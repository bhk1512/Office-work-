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ass32\Downloads\"/>
    </mc:Choice>
  </mc:AlternateContent>
  <xr:revisionPtr revIDLastSave="0" documentId="13_ncr:1_{46C85313-3222-445D-BE01-F9F376FA62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ual Chart" sheetId="36" r:id="rId1"/>
    <sheet name="VC-765kV MKTL" sheetId="30" state="hidden" r:id="rId2"/>
    <sheet name="DPR" sheetId="34" r:id="rId3"/>
    <sheet name="FDN pivot" sheetId="31" state="hidden" r:id="rId4"/>
    <sheet name="Erc pivot" sheetId="32" state="hidden" r:id="rId5"/>
    <sheet name="SUMMARY" sheetId="13" r:id="rId6"/>
    <sheet name="FOUNDATION" sheetId="33" r:id="rId7"/>
    <sheet name="ERECTION" sheetId="16" r:id="rId8"/>
    <sheet name="Sheet2" sheetId="35" state="hidden" r:id="rId9"/>
    <sheet name="XING" sheetId="20" state="hidden" r:id="rId10"/>
    <sheet name="EARTHING" sheetId="12" state="hidden" r:id="rId11"/>
    <sheet name="SUPPLY" sheetId="19" state="hidden" r:id="rId12"/>
    <sheet name="CST Gantry To AP 68 Common Poin" sheetId="28" state="hidden" r:id="rId13"/>
    <sheet name="Sheet1" sheetId="17" state="hidden" r:id="rId14"/>
    <sheet name="SURVEY SUMMARY" sheetId="14" state="hidden" r:id="rId15"/>
    <sheet name="SURVEY STATUS " sheetId="15" state="hidden" r:id="rId16"/>
    <sheet name="Erection productivity" sheetId="2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\0" localSheetId="2">#REF!</definedName>
    <definedName name="\0" localSheetId="6">#REF!</definedName>
    <definedName name="\0" localSheetId="0">#REF!</definedName>
    <definedName name="\0">#REF!</definedName>
    <definedName name="\2">#REF!</definedName>
    <definedName name="\A" localSheetId="6">#REF!</definedName>
    <definedName name="\A">#REF!</definedName>
    <definedName name="\A_1">"#REF!"</definedName>
    <definedName name="\B" localSheetId="2">#REF!</definedName>
    <definedName name="\B" localSheetId="6">#REF!</definedName>
    <definedName name="\B">#REF!</definedName>
    <definedName name="\C" localSheetId="2">#REF!</definedName>
    <definedName name="\C">#REF!</definedName>
    <definedName name="\c1" localSheetId="2">#REF!</definedName>
    <definedName name="\c1">#REF!</definedName>
    <definedName name="\d" localSheetId="2">#N/A</definedName>
    <definedName name="\D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2">#REF!</definedName>
    <definedName name="\i">#REF!</definedName>
    <definedName name="\KWS123">#N/A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P">#REF!</definedName>
    <definedName name="\q">#N/A</definedName>
    <definedName name="\R" localSheetId="2">#REF!</definedName>
    <definedName name="\R">#REF!</definedName>
    <definedName name="\S" localSheetId="2">#REF!</definedName>
    <definedName name="\S">#REF!</definedName>
    <definedName name="\t">#N/A</definedName>
    <definedName name="\U" localSheetId="2">#REF!</definedName>
    <definedName name="\U">#REF!</definedName>
    <definedName name="\V" localSheetId="2">#REF!</definedName>
    <definedName name="\V">#REF!</definedName>
    <definedName name="\z" localSheetId="2">#REF!</definedName>
    <definedName name="\z">#REF!</definedName>
    <definedName name="_" localSheetId="2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0">(#REF!,#REF!)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0" hidden="1">{"'PROFITABILITY'!$A$1:$F$45"}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localSheetId="0" hidden="1">{"'PROFITABILITY'!$A$1:$F$45"}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0">(#REF!,#REF!)</definedName>
    <definedName name="___________________xlnm.Print_Titles_2">(#REF!,#REF!)</definedName>
    <definedName name="___________________xlnm.Print_Titles_3">(#REF!,#REF!)</definedName>
    <definedName name="__________________aa1" localSheetId="0" hidden="1">{"'PROFITABILITY'!$A$1:$F$45"}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0" hidden="1">{"'PROFITABILITY'!$A$1:$F$45"}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0">(#REF!,#REF!)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0" hidden="1">{"'PROFITABILITY'!$A$1:$F$45"}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localSheetId="0" hidden="1">{"'PROFITABILITY'!$A$1:$F$45"}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0">(#REF!,#REF!)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0" hidden="1">{"'PROFITABILITY'!$A$1:$F$45"}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0" hidden="1">{"'PROFITABILITY'!$A$1:$F$45"}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0">(#REF!,#REF!)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0" hidden="1">{"'PROFITABILITY'!$A$1:$F$45"}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0" hidden="1">{"'PROFITABILITY'!$A$1:$F$45"}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0">(#REF!,#REF!)</definedName>
    <definedName name="______________xlnm.Print_Titles_2">(#REF!,#REF!)</definedName>
    <definedName name="______________xlnm.Print_Titles_3">(#REF!,#REF!)</definedName>
    <definedName name="_____________A65537" localSheetId="2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localSheetId="0" hidden="1">{"'PROFITABILITY'!$A$1:$F$45"}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localSheetId="0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0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0">(#REF!,#REF!)</definedName>
    <definedName name="_____________xlnm.Print_Titles_2">(#REF!,#REF!)</definedName>
    <definedName name="_____________xlnm.Print_Titles_3">(#REF!,#REF!)</definedName>
    <definedName name="____________A655600" localSheetId="2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0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localSheetId="0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2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0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 localSheetId="0">(#REF!,#REF!)</definedName>
    <definedName name="____________xlnm.Print_Titles_2">(#REF!,#REF!)</definedName>
    <definedName name="____________xlnm.Print_Titles_3">(#REF!,#REF!)</definedName>
    <definedName name="___________A65537" localSheetId="2">#REF!</definedName>
    <definedName name="___________A65537">#REF!</definedName>
    <definedName name="___________A655600" localSheetId="2">#REF!</definedName>
    <definedName name="___________A655600">#REF!</definedName>
    <definedName name="___________a655601" localSheetId="2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0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localSheetId="0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0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0">(#REF!,#REF!)</definedName>
    <definedName name="___________xlnm.Print_Titles_2">(#REF!,#REF!)</definedName>
    <definedName name="___________xlnm.Print_Titles_3">(#REF!,#REF!)</definedName>
    <definedName name="__________A65537" localSheetId="2">#REF!</definedName>
    <definedName name="__________A65537">#REF!</definedName>
    <definedName name="__________A655600" localSheetId="2">#REF!</definedName>
    <definedName name="__________A655600">#REF!</definedName>
    <definedName name="__________a655601" localSheetId="2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0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localSheetId="0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0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0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localSheetId="0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0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0">(#REF!,#REF!)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0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localSheetId="0" hidden="1">{"'Sheet1'!$A$4386:$N$4591"}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0" hidden="1">{"'PROFITABILITY'!$A$1:$F$45"}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0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2">#REF!</definedName>
    <definedName name="_______CFB1">#REF!</definedName>
    <definedName name="_______CFB2" localSheetId="2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0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localSheetId="0" hidden="1">{"'PROFITABILITY'!$A$1:$F$45"}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2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2">#REF!</definedName>
    <definedName name="_______SS402">#REF!</definedName>
    <definedName name="_______SS403" localSheetId="2">#REF!</definedName>
    <definedName name="_______SS403">#REF!</definedName>
    <definedName name="_______SS404" localSheetId="2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0">(#REF!,#REF!)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0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2">#REF!</definedName>
    <definedName name="______CFB1">#REF!</definedName>
    <definedName name="______CFB2" localSheetId="2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0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localSheetId="0" hidden="1">{"'PROFITABILITY'!$A$1:$F$45"}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2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2">#REF!</definedName>
    <definedName name="______SS402">#REF!</definedName>
    <definedName name="______SS403" localSheetId="2">#REF!</definedName>
    <definedName name="______SS403">#REF!</definedName>
    <definedName name="______SS404" localSheetId="2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2">#REF!</definedName>
    <definedName name="______xlnm.Print_Area_1">#REF!</definedName>
    <definedName name="______xlnm.Print_Area_1_1">"#REF!"</definedName>
    <definedName name="______xlnm.Print_Area_10" localSheetId="2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2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0">(#REF!,#REF!)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0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2">#REF!</definedName>
    <definedName name="_____cdd2">#REF!</definedName>
    <definedName name="_____cem124">#REF!</definedName>
    <definedName name="_____CFB1" localSheetId="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0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localSheetId="0" hidden="1">{"'PROFITABILITY'!$A$1:$F$45"}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2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2">#REF!</definedName>
    <definedName name="_____SS402">#REF!</definedName>
    <definedName name="_____SS403" localSheetId="2">#REF!</definedName>
    <definedName name="_____SS403">#REF!</definedName>
    <definedName name="_____SS404" localSheetId="2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2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2">#REF!</definedName>
    <definedName name="_____xlnm.Print_Area_2">#REF!</definedName>
    <definedName name="_____xlnm.Print_Area_3" localSheetId="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0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2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0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2">#REF!</definedName>
    <definedName name="____f1" localSheetId="6" hidden="1">{"'PROFITABILITY'!$A$1:$F$45"}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2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2" hidden="1">{"'PROFITABILITY'!$A$1:$F$45"}</definedName>
    <definedName name="____Nov2007" localSheetId="6" hidden="1">{"'PROFITABILITY'!$A$1:$F$45"}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2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2">#REF!</definedName>
    <definedName name="____SS402">#REF!</definedName>
    <definedName name="____SS403" localSheetId="2">#REF!</definedName>
    <definedName name="____SS403">#REF!</definedName>
    <definedName name="____SS404" localSheetId="2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2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2">#REF!</definedName>
    <definedName name="____xlnm.Print_Area_10">#REF!</definedName>
    <definedName name="____xlnm.Print_Area_10_1">"#REF!"</definedName>
    <definedName name="____xlnm.Print_Area_11" localSheetId="2">#REF!</definedName>
    <definedName name="____xlnm.Print_Area_11">#REF!</definedName>
    <definedName name="____xlnm.Print_Area_13">#REF!</definedName>
    <definedName name="____xlnm.Print_Area_2" localSheetId="2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 localSheetId="0">(#REF!,#REF!)</definedName>
    <definedName name="____xlnm.Print_Titles_2">(#REF!,#REF!)</definedName>
    <definedName name="____xlnm.Print_Titles_3">(#REF!,#REF!)</definedName>
    <definedName name="____xlnm.Print_Titles_4" localSheetId="2">#REF!</definedName>
    <definedName name="____xlnm.Print_Titles_4">#REF!</definedName>
    <definedName name="____xlnm.Print_Titles_7" localSheetId="2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0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2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0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2">#REF!</definedName>
    <definedName name="___f1" localSheetId="6" hidden="1">{"'PROFITABILITY'!$A$1:$F$45"}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2">#REF!</definedName>
    <definedName name="___INT1">#REF!</definedName>
    <definedName name="___Ism3" localSheetId="2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2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2" hidden="1">{"'PROFITABILITY'!$A$1:$F$45"}</definedName>
    <definedName name="___Nov2007" localSheetId="6" hidden="1">{"'PROFITABILITY'!$A$1:$F$45"}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2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2">#REF!</definedName>
    <definedName name="___SS402">#REF!</definedName>
    <definedName name="___SS403" localSheetId="2">#REF!</definedName>
    <definedName name="___SS403">#REF!</definedName>
    <definedName name="___SS404" localSheetId="2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2">#REF!</definedName>
    <definedName name="___xlnm._FilterDatabase_1">#REF!</definedName>
    <definedName name="___xlnm._FilterDatabase_2" localSheetId="2">#REF!</definedName>
    <definedName name="___xlnm._FilterDatabase_2">#REF!</definedName>
    <definedName name="___xlnm._FilterDatabase_3" localSheetId="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2">#REF!</definedName>
    <definedName name="___xlnm.Print_Area_10">#REF!</definedName>
    <definedName name="___xlnm.Print_Area_10_1">"#REF!"</definedName>
    <definedName name="___xlnm.Print_Area_11" localSheetId="2">#REF!</definedName>
    <definedName name="___xlnm.Print_Area_11">#REF!</definedName>
    <definedName name="___xlnm.Print_Area_13">#REF!</definedName>
    <definedName name="___xlnm.Print_Area_2" localSheetId="2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 localSheetId="0">(#REF!,#REF!)</definedName>
    <definedName name="___xlnm.Print_Titles_2">(#REF!,#REF!)</definedName>
    <definedName name="___xlnm.Print_Titles_3">(#REF!,#REF!)</definedName>
    <definedName name="___xlnm.Print_Titles_4" localSheetId="2">#REF!</definedName>
    <definedName name="___xlnm.Print_Titles_4">#REF!</definedName>
    <definedName name="___xlnm.Print_Titles_7" localSheetId="2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2" hidden="1">{"'PROFITABILITY'!$A$1:$F$45"}</definedName>
    <definedName name="__aa1" localSheetId="6" hidden="1">{"'PROFITABILITY'!$A$1:$F$45"}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2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" hidden="1">{"'Sheet1'!$A$4386:$N$4591"}</definedName>
    <definedName name="__dec05" localSheetId="6" hidden="1">{"'Sheet1'!$A$4386:$N$4591"}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2">#REF!</definedName>
    <definedName name="__f1" localSheetId="6" hidden="1">{"'PROFITABILITY'!$A$1:$F$45"}</definedName>
    <definedName name="__f1" localSheetId="0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2">#REF!</definedName>
    <definedName name="__INT1">#REF!</definedName>
    <definedName name="__IntlFixup">TRUE</definedName>
    <definedName name="__Ism3" localSheetId="2">#REF!</definedName>
    <definedName name="__Ism3">#REF!</definedName>
    <definedName name="__ISO220" localSheetId="2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2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2">#REF!</definedName>
    <definedName name="__LMH1">#REF!</definedName>
    <definedName name="__LMH2" localSheetId="2">#REF!</definedName>
    <definedName name="__LMH2">#REF!</definedName>
    <definedName name="__ls1" localSheetId="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2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2" hidden="1">{"'PROFITABILITY'!$A$1:$F$45"}</definedName>
    <definedName name="__Nov2007" localSheetId="6" hidden="1">{"'PROFITABILITY'!$A$1:$F$45"}</definedName>
    <definedName name="__Nov2007" localSheetId="0" hidden="1">{"'PROFITABILITY'!$A$1:$F$45"}</definedName>
    <definedName name="__Nov2007" hidden="1">{"'PROFITABILITY'!$A$1:$F$45"}</definedName>
    <definedName name="__ns1" localSheetId="2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2" hidden="1">{"form-D1",#N/A,FALSE,"FORM-D1";"form-D1_amt",#N/A,FALSE,"FORM-D1"}</definedName>
    <definedName name="__s41" localSheetId="6" hidden="1">{"form-D1",#N/A,FALSE,"FORM-D1";"form-D1_amt",#N/A,FALSE,"FORM-D1"}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2">#REF!</definedName>
    <definedName name="__tr75">#REF!</definedName>
    <definedName name="__trt75" localSheetId="2">#REF!</definedName>
    <definedName name="__trt75">#REF!</definedName>
    <definedName name="__tt75" localSheetId="2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2">#REF!</definedName>
    <definedName name="__xlnm._FilterDatabase_2">#REF!</definedName>
    <definedName name="__xlnm._FilterDatabase_2_1">"#REF!"</definedName>
    <definedName name="__xlnm._FilterDatabase_3" localSheetId="2">#REF!</definedName>
    <definedName name="__xlnm._FilterDatabase_3">#REF!</definedName>
    <definedName name="__xlnm._FilterDatabase_3_1">"#REF!"</definedName>
    <definedName name="__xlnm._FilterDatabase_4" localSheetId="2">#REF!</definedName>
    <definedName name="__xlnm._FilterDatabase_4">#REF!</definedName>
    <definedName name="__xlnm._FilterDatabase_5">#N/A</definedName>
    <definedName name="__xlnm.Print_Area">#REF!</definedName>
    <definedName name="__xlnm.Print_Area_1" localSheetId="2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2">#REF!</definedName>
    <definedName name="__xlnm.Print_Area_10">#REF!</definedName>
    <definedName name="__xlnm.Print_Area_10_1">"#REF!"</definedName>
    <definedName name="__xlnm.Print_Area_11" localSheetId="2">#REF!</definedName>
    <definedName name="__xlnm.Print_Area_11">#REF!</definedName>
    <definedName name="__xlnm.Print_Area_13">#REF!</definedName>
    <definedName name="__xlnm.Print_Area_2" localSheetId="2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2">#REF!</definedName>
    <definedName name="__xlnm.Print_Area_4">#REF!</definedName>
    <definedName name="__xlnm.Print_Area_5" localSheetId="2">#REF!</definedName>
    <definedName name="__xlnm.Print_Area_5">#REF!</definedName>
    <definedName name="__xlnm.Print_Area_6" localSheetId="2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2">#REF!</definedName>
    <definedName name="__xlnm.Print_Titles_4">#REF!</definedName>
    <definedName name="__xlnm.Print_Titles_7" localSheetId="2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">#REF!</definedName>
    <definedName name="_1Excel_BuiltIn_Print_Area_1_1">#REF!</definedName>
    <definedName name="_1Excel_BuiltIn_Print_Area_10_1">#REF!</definedName>
    <definedName name="_1Excel_BuiltIn_Print_Area_3_1" localSheetId="2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2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2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2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2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2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2">#REF!</definedName>
    <definedName name="_A">#REF!</definedName>
    <definedName name="_A1" localSheetId="2">#REF!</definedName>
    <definedName name="_A1">#REF!</definedName>
    <definedName name="_A10" localSheetId="2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0" hidden="1">{"'PROFITABILITY'!$A$1:$F$45"}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2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" hidden="1">{"'Sheet1'!$A$4386:$N$4591"}</definedName>
    <definedName name="_dec05" localSheetId="6" hidden="1">{"'Sheet1'!$A$4386:$N$4591"}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2">#REF!</definedName>
    <definedName name="_f1" localSheetId="6" hidden="1">{"'PROFITABILITY'!$A$1:$F$45"}</definedName>
    <definedName name="_f1" localSheetId="0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2" hidden="1">'CST Gantry To AP 68 Common Poin'!$A$6:$O$627</definedName>
    <definedName name="_xlnm._FilterDatabase" localSheetId="10" hidden="1">EARTHING!$A$2:$F$226</definedName>
    <definedName name="_xlnm._FilterDatabase" localSheetId="7" hidden="1">ERECTION!$A$2:$N$217</definedName>
    <definedName name="_xlnm._FilterDatabase" localSheetId="6" hidden="1">FOUNDATION!$A$2:$Q$276</definedName>
    <definedName name="_xlnm._FilterDatabase" localSheetId="8" hidden="1">Sheet2!$B$2:$C$28</definedName>
    <definedName name="_xlnm._FilterDatabase" localSheetId="0" hidden="1">'Visual Chart'!$AV$2:$BA$2</definedName>
    <definedName name="_xlnm._FilterDatabase">#REF!</definedName>
    <definedName name="_FLK1">#REF!</definedName>
    <definedName name="_fos1">#REF!</definedName>
    <definedName name="_Fpi1" localSheetId="2">#REF!</definedName>
    <definedName name="_Fpi1" localSheetId="6">#REF!</definedName>
    <definedName name="_Fpi1">#REF!</definedName>
    <definedName name="_g1">#REF!</definedName>
    <definedName name="_g66666" localSheetId="6">#REF!</definedName>
    <definedName name="_g66666">#REF!</definedName>
    <definedName name="_GEN1">#REF!</definedName>
    <definedName name="_HCO2" localSheetId="6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2">#REF!</definedName>
    <definedName name="_INT1">#REF!</definedName>
    <definedName name="_IPB1">#REF!</definedName>
    <definedName name="_Ism3" localSheetId="2">#REF!</definedName>
    <definedName name="_Ism3">#REF!</definedName>
    <definedName name="_ISO220" localSheetId="2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2">360/50</definedName>
    <definedName name="_mix30">352/50</definedName>
    <definedName name="_mix40" localSheetId="2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2">#REF!</definedName>
    <definedName name="_MMB220">#REF!</definedName>
    <definedName name="_mnk1" localSheetId="2">#REF!</definedName>
    <definedName name="_mnk1">#REF!</definedName>
    <definedName name="_mp1">#REF!</definedName>
    <definedName name="_N" localSheetId="2">#REF!</definedName>
    <definedName name="_N">#REF!</definedName>
    <definedName name="_new1">#REF!</definedName>
    <definedName name="_ngl3">#REF!</definedName>
    <definedName name="_ngl4">#REF!</definedName>
    <definedName name="_Nov2007" localSheetId="2" hidden="1">{"'PROFITABILITY'!$A$1:$F$45"}</definedName>
    <definedName name="_Nov2007" localSheetId="6" hidden="1">{"'PROFITABILITY'!$A$1:$F$45"}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2" hidden="1">0</definedName>
    <definedName name="_Order2" hidden="1">255</definedName>
    <definedName name="_out2" localSheetId="2">#REF!</definedName>
    <definedName name="_out2">#REF!</definedName>
    <definedName name="_P" localSheetId="2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2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localSheetId="0" hidden="1">{"'Sheet1'!$A$4386:$N$4591"}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2" hidden="1">{"form-D1",#N/A,FALSE,"FORM-D1";"form-D1_amt",#N/A,FALSE,"FORM-D1"}</definedName>
    <definedName name="_s41" localSheetId="6" hidden="1">{"form-D1",#N/A,FALSE,"FORM-D1";"form-D1_amt",#N/A,FALSE,"FORM-D1"}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2">#REF!</definedName>
    <definedName name="_sch2">#REF!</definedName>
    <definedName name="_sch9" localSheetId="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2">#REF!</definedName>
    <definedName name="_sit75">#REF!</definedName>
    <definedName name="_Sort" localSheetId="2" hidden="1">#REF!</definedName>
    <definedName name="_Sort" hidden="1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>#REF!</definedName>
    <definedName name="_SS403" localSheetId="2">#REF!</definedName>
    <definedName name="_SS403">#REF!</definedName>
    <definedName name="_SS404" localSheetId="2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2">#REF!</definedName>
    <definedName name="A">#REF!</definedName>
    <definedName name="a._Trimmer">#REF!</definedName>
    <definedName name="A.T.RAJAN" localSheetId="2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2">#REF!</definedName>
    <definedName name="A_A">#REF!</definedName>
    <definedName name="A_B" localSheetId="2">#REF!</definedName>
    <definedName name="A_B">#REF!</definedName>
    <definedName name="A_D" localSheetId="0">INDEX(#REF!,MATCH(#REF!,#REF!,0))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">#REF!</definedName>
    <definedName name="A1_">#REF!</definedName>
    <definedName name="A1____0" localSheetId="2">#REF!</definedName>
    <definedName name="A1____0">#REF!</definedName>
    <definedName name="A1____13" localSheetId="2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2" hidden="1">{#N/A,#N/A,FALSE,"COVER1.XLS ";#N/A,#N/A,FALSE,"RACT1.XLS";#N/A,#N/A,FALSE,"RACT2.XLS";#N/A,#N/A,FALSE,"ECCMP";#N/A,#N/A,FALSE,"WELDER.XLS"}</definedName>
    <definedName name="aaa">#REF!</definedName>
    <definedName name="aaaa" localSheetId="2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2" hidden="1">{"'PROFITABILITY'!$A$1:$F$45"}</definedName>
    <definedName name="aac" localSheetId="6" hidden="1">{"'PROFITABILITY'!$A$1:$F$45"}</definedName>
    <definedName name="aac" localSheetId="0" hidden="1">{"'PROFITABILITY'!$A$1:$F$45"}</definedName>
    <definedName name="aac" hidden="1">{"'PROFITABILITY'!$A$1:$F$45"}</definedName>
    <definedName name="aadf" hidden="1">#REF!</definedName>
    <definedName name="aaffa" localSheetId="2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2" hidden="1">{"'PROFITABILITY'!$A$1:$F$45"}</definedName>
    <definedName name="aav" localSheetId="6" hidden="1">{"'PROFITABILITY'!$A$1:$F$45"}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2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">#REF!</definedName>
    <definedName name="ABACUS">#REF!</definedName>
    <definedName name="abb">#REF!</definedName>
    <definedName name="abc">#REF!</definedName>
    <definedName name="abcd" localSheetId="2">#REF!</definedName>
    <definedName name="abcd">#REF!</definedName>
    <definedName name="abcdefg" localSheetId="0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2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2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 localSheetId="0">('Visual Chart'!PeriodInActual*(#REF!&gt;0))*'Visual Chart'!PeriodInPlan</definedName>
    <definedName name="Actual">(PeriodInActual*(#REF!&gt;0))*PeriodInPlan</definedName>
    <definedName name="ActualBeyond" localSheetId="0">'Visual Chart'!PeriodInActual*(#REF!&gt;0)</definedName>
    <definedName name="ActualBeyond">PeriodInActual*(#REF!&gt;0)</definedName>
    <definedName name="AD" localSheetId="2" hidden="1">{"'Sheet1'!$A$4386:$N$4591"}</definedName>
    <definedName name="ad">#REF!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2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2">#REF!</definedName>
    <definedName name="adasdas">#REF!</definedName>
    <definedName name="adcbef" localSheetId="0" hidden="1">{"'PROFITABILITY'!$A$1:$F$45"}</definedName>
    <definedName name="adcbef" hidden="1">{"'PROFITABILITY'!$A$1:$F$45"}</definedName>
    <definedName name="ADD" localSheetId="2">#REF!</definedName>
    <definedName name="ADD">#REF!</definedName>
    <definedName name="addf" localSheetId="2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localSheetId="0" hidden="1">{"'장비'!$A$3:$M$12"}</definedName>
    <definedName name="ADITION" hidden="1">{"'장비'!$A$3:$M$12"}</definedName>
    <definedName name="adj">#REF!</definedName>
    <definedName name="Admixture">#REF!</definedName>
    <definedName name="ads" localSheetId="2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2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 localSheetId="0">INDEX(#REF!,MATCH(#REF!,#REF!,0))</definedName>
    <definedName name="AJ">INDEX(#REF!,MATCH(#REF!,#REF!,0))</definedName>
    <definedName name="ajslk" localSheetId="2" hidden="1">{"form-D1",#N/A,FALSE,"FORM-D1";"form-D1_amt",#N/A,FALSE,"FORM-D1"}</definedName>
    <definedName name="ajslk" localSheetId="6" hidden="1">{"form-D1",#N/A,FALSE,"FORM-D1";"form-D1_amt",#N/A,FALSE,"FORM-D1"}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 localSheetId="2">INDEX(#REF!,MATCH(#REF!,#REF!,0))</definedName>
    <definedName name="AK">#REF!</definedName>
    <definedName name="aks" localSheetId="2">#REF!</definedName>
    <definedName name="aks">#REF!</definedName>
    <definedName name="aksj" localSheetId="2" hidden="1">{"form-D1",#N/A,FALSE,"FORM-D1";"form-D1_amt",#N/A,FALSE,"FORM-D1"}</definedName>
    <definedName name="aksj" localSheetId="6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 localSheetId="2">INDEX(#REF!,MATCH(#REF!,#REF!,0))</definedName>
    <definedName name="AL">#REF!</definedName>
    <definedName name="ALarea" localSheetId="2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2">#REF!</definedName>
    <definedName name="Alw">#REF!</definedName>
    <definedName name="alwarsump">#REF!</definedName>
    <definedName name="AM" localSheetId="0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 localSheetId="0">{"'Sheet1'!$L$16"}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2">#REF!</definedName>
    <definedName name="Aone">#REF!</definedName>
    <definedName name="AP" localSheetId="2">#REF!</definedName>
    <definedName name="AP">#REF!</definedName>
    <definedName name="app">#REF!</definedName>
    <definedName name="APPR">#REF!</definedName>
    <definedName name="Approach">#REF!</definedName>
    <definedName name="APRIL" localSheetId="2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2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2" hidden="1">{"'PROFITABILITY'!$A$1:$F$45"}</definedName>
    <definedName name="ASDGSG" localSheetId="6" hidden="1">{"'PROFITABILITY'!$A$1:$F$45"}</definedName>
    <definedName name="ASDGSG" localSheetId="0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2">#REF!</definedName>
    <definedName name="ASFFFF">#REF!</definedName>
    <definedName name="asfsd" localSheetId="2">#REF!</definedName>
    <definedName name="asfsd">#REF!</definedName>
    <definedName name="ASHOKA" localSheetId="2">#REF!</definedName>
    <definedName name="ASHOKA">#REF!</definedName>
    <definedName name="asjk" localSheetId="2" hidden="1">{"form-D1",#N/A,FALSE,"FORM-D1";"form-D1_amt",#N/A,FALSE,"FORM-D1"}</definedName>
    <definedName name="asjk" localSheetId="6" hidden="1">{"form-D1",#N/A,FALSE,"FORM-D1";"form-D1_amt",#N/A,FALSE,"FORM-D1"}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2">#REF!</definedName>
    <definedName name="assets">#REF!</definedName>
    <definedName name="ASSSSSS" hidden="1">#REF!</definedName>
    <definedName name="ASSSSSSSSSSSSSSSSSSSSSSSS" localSheetId="2">#REF!</definedName>
    <definedName name="ASSSSSSSSSSSSSSSSSSSSSSSS">#REF!</definedName>
    <definedName name="asw" localSheetId="2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localSheetId="0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localSheetId="0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2" hidden="1">{"'PROFITABILITY'!$A$1:$F$45"}</definedName>
    <definedName name="bcv" localSheetId="6" hidden="1">{"'PROFITABILITY'!$A$1:$F$45"}</definedName>
    <definedName name="bcv" localSheetId="0" hidden="1">{"'PROFITABILITY'!$A$1:$F$45"}</definedName>
    <definedName name="bcv" hidden="1">{"'PROFITABILITY'!$A$1:$F$45"}</definedName>
    <definedName name="BD" localSheetId="0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0">INDEX(#REF!,MATCH(#REF!,#REF!,0))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0">INDEX(#REF!,MATCH(#REF!,#REF!,0))</definedName>
    <definedName name="BJ">INDEX(#REF!,MATCH(#REF!,#REF!,0))</definedName>
    <definedName name="BK" localSheetId="0">INDEX(#REF!,MATCH(#REF!,#REF!,0))</definedName>
    <definedName name="BK">INDEX(#REF!,MATCH(#REF!,#REF!,0))</definedName>
    <definedName name="BL" localSheetId="0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2">#REF!</definedName>
    <definedName name="BuiltIn_Print_Titles___0">#N/A</definedName>
    <definedName name="BuiltIn_Print_Titles___0___0" localSheetId="2">#REF!</definedName>
    <definedName name="BuiltIn_Print_Titles___0___0">#REF!</definedName>
    <definedName name="BuiltIn_Print_Titles___0___0___0" localSheetId="2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2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2">#REF!*1.507</definedName>
    <definedName name="CA">#REF!</definedName>
    <definedName name="caa" localSheetId="2" hidden="1">{"'PROFITABILITY'!$A$1:$F$45"}</definedName>
    <definedName name="caa" localSheetId="6" hidden="1">{"'PROFITABILITY'!$A$1:$F$45"}</definedName>
    <definedName name="caa" localSheetId="0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2">#REF!</definedName>
    <definedName name="CAPAPR">#REF!</definedName>
    <definedName name="CAPAUG" localSheetId="2">#REF!</definedName>
    <definedName name="CAPAUG">#REF!</definedName>
    <definedName name="CAPDEC" localSheetId="2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2">#REF!</definedName>
    <definedName name="cash" localSheetId="6" hidden="1">{"'Sheet1'!$A$4386:$N$4591"}</definedName>
    <definedName name="cash" localSheetId="0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2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2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2">#REF!</definedName>
    <definedName name="Cf">#REF!</definedName>
    <definedName name="cf_musd">#REF!</definedName>
    <definedName name="cfre" localSheetId="2">#REF!</definedName>
    <definedName name="cfre">#REF!</definedName>
    <definedName name="CG" localSheetId="0">INDEX(#REF!,MATCH(#REF!,#REF!,0))</definedName>
    <definedName name="CG">INDEX(#REF!,MATCH(#REF!,#REF!,0))</definedName>
    <definedName name="cgxcf">#REF!</definedName>
    <definedName name="CH" localSheetId="0">INDEX(#REF!,MATCH(#REF!,#REF!,0))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2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 localSheetId="0">INDEX(#REF!,MATCH(#REF!,#REF!,0))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 localSheetId="0">INDEX(#REF!,MATCH(#REF!,#REF!,0))</definedName>
    <definedName name="CJ">INDEX(#REF!,MATCH(#REF!,#REF!,0))</definedName>
    <definedName name="CK" localSheetId="0">INDEX(#REF!,MATCH(#REF!,#REF!,0))</definedName>
    <definedName name="CK">INDEX(#REF!,MATCH(#REF!,#REF!,0))</definedName>
    <definedName name="cl" localSheetId="2">150</definedName>
    <definedName name="CL">#REF!</definedName>
    <definedName name="cl33kv">#REF!</definedName>
    <definedName name="clbs" localSheetId="2">#REF!</definedName>
    <definedName name="clbs">#REF!</definedName>
    <definedName name="cld" localSheetId="2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 localSheetId="0">INDEX(#REF!,MATCH(#REF!,#REF!,0))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2" hidden="1">{"'PROFITABILITY'!$A$1:$F$45"}</definedName>
    <definedName name="const" localSheetId="6" hidden="1">{"'PROFITABILITY'!$A$1:$F$45"}</definedName>
    <definedName name="const" localSheetId="0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2">#REF!</definedName>
    <definedName name="CVT">#REF!</definedName>
    <definedName name="cw" localSheetId="2">20</definedName>
    <definedName name="cw">10</definedName>
    <definedName name="cx" localSheetId="2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2">#REF!</definedName>
    <definedName name="d___0">#REF!</definedName>
    <definedName name="d___13" localSheetId="2">#REF!</definedName>
    <definedName name="d___13">#REF!</definedName>
    <definedName name="D_D" localSheetId="0">INDEX(#REF!,MATCH(#REF!,#REF!,0))</definedName>
    <definedName name="D_D">INDEX(#REF!,MATCH(#REF!,#REF!,0))</definedName>
    <definedName name="d_jp" localSheetId="2" hidden="1">{"'Sheet1'!$A$4386:$N$4591"}</definedName>
    <definedName name="d_jp" localSheetId="6" hidden="1">{"'Sheet1'!$A$4386:$N$4591"}</definedName>
    <definedName name="d_jp" localSheetId="0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localSheetId="0" hidden="1">{"'PROFITABILITY'!$A$1:$F$45"}</definedName>
    <definedName name="Dampers" hidden="1">{"'PROFITABILITY'!$A$1:$F$45"}</definedName>
    <definedName name="DANGA" localSheetId="0">#REF!,#REF!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2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2">#REF!</definedName>
    <definedName name="DE" localSheetId="6" hidden="1">{"'PROFITABILITY'!$A$1:$F$45"}</definedName>
    <definedName name="DE" localSheetId="0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 localSheetId="0">(#REF!,#REF!)</definedName>
    <definedName name="dfadf">(#REF!,#REF!)</definedName>
    <definedName name="dfaf" localSheetId="2" hidden="1">{"'장비'!$A$3:$M$12"}</definedName>
    <definedName name="dfaf">#REF!</definedName>
    <definedName name="DFD" localSheetId="2" hidden="1">{"'PROFITABILITY'!$A$1:$F$45"}</definedName>
    <definedName name="dfd">#REF!</definedName>
    <definedName name="dfdf">#REF!</definedName>
    <definedName name="dfdfdfd" localSheetId="0" hidden="1">{"'PROFITABILITY'!$A$1:$F$45"}</definedName>
    <definedName name="dfdfdfd" hidden="1">{"'PROFITABILITY'!$A$1:$F$45"}</definedName>
    <definedName name="dfdfs" localSheetId="2" hidden="1">{"'Sheet1'!$A$4386:$N$4591"}</definedName>
    <definedName name="dfdfs" localSheetId="6" hidden="1">{"'Sheet1'!$A$4386:$N$4591"}</definedName>
    <definedName name="dfdfs" localSheetId="0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2">#REF!</definedName>
    <definedName name="DFR">#REF!</definedName>
    <definedName name="dfrads" localSheetId="2">#REF!</definedName>
    <definedName name="dfrads">#REF!</definedName>
    <definedName name="dfsdf" localSheetId="2">#REF!</definedName>
    <definedName name="dfsdf">#REF!</definedName>
    <definedName name="dfsga">#REF!</definedName>
    <definedName name="dg">#REF!</definedName>
    <definedName name="DG_Total">#REF!</definedName>
    <definedName name="dgfgfd" localSheetId="2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2">#REF!</definedName>
    <definedName name="dgv">#REF!</definedName>
    <definedName name="DH" localSheetId="0">INDEX(#REF!,MATCH(#REF!,#REF!,0))</definedName>
    <definedName name="DH">INDEX(#REF!,MATCH(#REF!,#REF!,0))</definedName>
    <definedName name="dhgh">#REF!</definedName>
    <definedName name="DHTML" localSheetId="2" hidden="1">{"'Sheet1'!$A$4386:$N$4591"}</definedName>
    <definedName name="DHTML" localSheetId="6" hidden="1">{"'Sheet1'!$A$4386:$N$4591"}</definedName>
    <definedName name="DHTML" localSheetId="0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2" hidden="1">{"'PROFITABILITY'!$A$1:$F$45"}</definedName>
    <definedName name="Dis" localSheetId="6" hidden="1">{"'PROFITABILITY'!$A$1:$F$45"}</definedName>
    <definedName name="Dis" localSheetId="0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 localSheetId="0">INDEX(#REF!,MATCH(#REF!,#REF!,0))</definedName>
    <definedName name="DJ">INDEX(#REF!,MATCH(#REF!,#REF!,0))</definedName>
    <definedName name="DJH">#REF!</definedName>
    <definedName name="dk" localSheetId="2">#REF!</definedName>
    <definedName name="dk">#REF!</definedName>
    <definedName name="dkd">#REF!</definedName>
    <definedName name="DKG" localSheetId="0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2">#REF!</definedName>
    <definedName name="Dm">#REF!</definedName>
    <definedName name="dms" localSheetId="2">#REF!</definedName>
    <definedName name="dms">#REF!</definedName>
    <definedName name="dmt" localSheetId="2">#REF!</definedName>
    <definedName name="dmt">#REF!</definedName>
    <definedName name="DMUSD">#REF!</definedName>
    <definedName name="dn" localSheetId="2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2">#REF!</definedName>
    <definedName name="DOLLARS1">#REF!</definedName>
    <definedName name="DOLLARS2" localSheetId="2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 localSheetId="0">#REF!&amp;#REF!&amp;#REF!&amp;#REF!&amp;#REF!&amp;#REF!&amp;#REF!&amp;#REF!&amp;#REF!&amp;#REF!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0">INDEX(#REF!,MATCH(#REF!,#REF!,0))</definedName>
    <definedName name="EA">INDEX(#REF!,MATCH(#REF!,#REF!,0))</definedName>
    <definedName name="Eair">#REF!</definedName>
    <definedName name="Earth" localSheetId="2">#REF!</definedName>
    <definedName name="earth" localSheetId="6" hidden="1">{"'Sheet1'!$A$4386:$N$4591"}</definedName>
    <definedName name="earth" localSheetId="0" hidden="1">{"'Sheet1'!$A$4386:$N$4591"}</definedName>
    <definedName name="earth" hidden="1">{"'Sheet1'!$A$4386:$N$4591"}</definedName>
    <definedName name="EARTH1">#REF!</definedName>
    <definedName name="eawerawea">#REF!</definedName>
    <definedName name="EB" localSheetId="0">INDEX(#REF!,MATCH(#REF!,#REF!,0))</definedName>
    <definedName name="EB">INDEX(#REF!,MATCH(#REF!,#REF!,0))</definedName>
    <definedName name="EB_Total">#REF!</definedName>
    <definedName name="EC" localSheetId="0">INDEX(#REF!,MATCH(#REF!,#REF!,0))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 localSheetId="0">INDEX(#REF!,MATCH(#REF!,#REF!,0))</definedName>
    <definedName name="EF">INDEX(#REF!,MATCH(#REF!,#REF!,0))</definedName>
    <definedName name="EFFECT">#REF!</definedName>
    <definedName name="EFFICIENCY">#REF!</definedName>
    <definedName name="EG" localSheetId="0">INDEX(#REF!,MATCH(#REF!,#REF!,0))</definedName>
    <definedName name="EG">INDEX(#REF!,MATCH(#REF!,#REF!,0))</definedName>
    <definedName name="EH" localSheetId="0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0">INDEX(#REF!,MATCH(#REF!,#REF!,0))</definedName>
    <definedName name="EI">INDEX(#REF!,MATCH(#REF!,#REF!,0))</definedName>
    <definedName name="EJ" localSheetId="0">INDEX(#REF!,MATCH(#REF!,#REF!,0))</definedName>
    <definedName name="EJ">INDEX(#REF!,MATCH(#REF!,#REF!,0))</definedName>
    <definedName name="EK" localSheetId="0">INDEX(#REF!,MATCH(#REF!,#REF!,0))</definedName>
    <definedName name="EK">INDEX(#REF!,MATCH(#REF!,#REF!,0))</definedName>
    <definedName name="EL" localSheetId="0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2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 localSheetId="0">#REF!,#REF!,#REF!,#REF!,#REF!,#REF!,#REF!,#REF!,#REF!,#REF!,#REF!,#REF!,#REF!</definedName>
    <definedName name="ew">#REF!,#REF!,#REF!,#REF!,#REF!,#REF!,#REF!,#REF!,#REF!,#REF!,#REF!,#REF!,#REF!</definedName>
    <definedName name="EWEQEWE">#REF!</definedName>
    <definedName name="ewer" localSheetId="0" hidden="1">{"'PROFITABILITY'!$A$1:$F$45"}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1_1_1" localSheetId="2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>#REF!</definedName>
    <definedName name="Excel_BuiltIn_Print_Area_3_1_1_1_1" localSheetId="2">#REF!</definedName>
    <definedName name="Excel_BuiltIn_Print_Area_3_1_1_1_1">#REF!</definedName>
    <definedName name="Excel_BuiltIn_Print_Area_3_1_1_1_1_1" localSheetId="2">#REF!</definedName>
    <definedName name="Excel_BuiltIn_Print_Area_3_1_1_1_1_1">#REF!</definedName>
    <definedName name="Excel_BuiltIn_Print_Area_3_1_1_1_1_1_1" localSheetId="2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2">#REF!</definedName>
    <definedName name="Excel_BuiltIn_Print_Area_5_1">#REF!</definedName>
    <definedName name="Excel_BuiltIn_Print_Area_5_1_1" localSheetId="2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2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6">#REF!,#REF!</definedName>
    <definedName name="Excel_BuiltIn_Print_Titles_16">#REF!,#REF!</definedName>
    <definedName name="Excel_BuiltIn_Print_Titles_17" localSheetId="2">#REF!,#REF!</definedName>
    <definedName name="Excel_BuiltIn_Print_Titles_17">#REF!,#REF!</definedName>
    <definedName name="Excel_BuiltIn_Print_Titles_18" localSheetId="2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2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">"$#REF!.$A$6:$IP$8"</definedName>
    <definedName name="Excel_BuiltIn_Print_Titles_3_1_1">#REF!</definedName>
    <definedName name="Excel_BuiltIn_Print_Titles_4_1">#REF!</definedName>
    <definedName name="Excel_BuiltIn_Print_Titles_4_1_1" localSheetId="2">#REF!</definedName>
    <definedName name="Excel_BuiltIn_Print_Titles_4_1_1">#REF!</definedName>
    <definedName name="Excel_BuiltIn_Print_Titles_4_1_1_16" localSheetId="2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2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2">#REF!</definedName>
    <definedName name="Excel_BuiltIn_Print_Titles_9">#REF!</definedName>
    <definedName name="Excel_BuiltIn_Print_Titles_9_1">#REF!</definedName>
    <definedName name="Excel_BuiltIn_Print_Titles_9_16" localSheetId="2">#REF!</definedName>
    <definedName name="Excel_BuiltIn_Print_Titles_9_16">#REF!</definedName>
    <definedName name="Excel_BuiltIn_Print_Titles_9_2" localSheetId="2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2" hidden="1">{"'PROFITABILITY'!$A$1:$F$45"}</definedName>
    <definedName name="EXF" localSheetId="6" hidden="1">{"'PROFITABILITY'!$A$1:$F$45"}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2" hidden="1">{"'PROFITABILITY'!$A$1:$F$45"}</definedName>
    <definedName name="EXST" localSheetId="6" hidden="1">{"'PROFITABILITY'!$A$1:$F$45"}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localSheetId="0" hidden="1">{"'PROFITABILITY'!$A$1:$F$45"}</definedName>
    <definedName name="f_1" hidden="1">{"'PROFITABILITY'!$A$1:$F$45"}</definedName>
    <definedName name="f_shape">#REF!</definedName>
    <definedName name="fa" localSheetId="2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 localSheetId="0">#REF!/#REF!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localSheetId="0" hidden="1">{"'PROFITABILITY'!$A$1:$F$45"}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2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localSheetId="0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 localSheetId="2">#REF!</definedName>
    <definedName name="fdhd">#REF!</definedName>
    <definedName name="Fdl">#REF!</definedName>
    <definedName name="FDN" localSheetId="2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2" hidden="1">{"'TP-SUMMARY'!$I$11:$K$11"}</definedName>
    <definedName name="fdsdafas" localSheetId="6" hidden="1">{"'TP-SUMMARY'!$I$11:$K$11"}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2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localSheetId="0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 localSheetId="2">#REF!</definedName>
    <definedName name="FGNFN">#REF!</definedName>
    <definedName name="fgRKRKRKRKRKRKRKRKRKRKRKTBTBSPD">#REF!</definedName>
    <definedName name="Fh" localSheetId="2">#REF!</definedName>
    <definedName name="Fh">#REF!</definedName>
    <definedName name="Fha">#REF!</definedName>
    <definedName name="FHH">#REF!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2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0">INDEX(#REF!,MATCH(#REF!,#REF!,0))</definedName>
    <definedName name="FJ">INDEX(#REF!,MATCH(#REF!,#REF!,0))</definedName>
    <definedName name="fjhgfd" localSheetId="2" hidden="1">{"'Sheet1'!$A$4386:$N$4591"}</definedName>
    <definedName name="fjhgfd" localSheetId="6" hidden="1">{"'Sheet1'!$A$4386:$N$4591"}</definedName>
    <definedName name="fjhgfd" localSheetId="0" hidden="1">{"'Sheet1'!$A$4386:$N$4591"}</definedName>
    <definedName name="fjhgfd" hidden="1">{"'Sheet1'!$A$4386:$N$4591"}</definedName>
    <definedName name="FK" localSheetId="0">INDEX(#REF!,MATCH(#REF!,#REF!,0))</definedName>
    <definedName name="FK">INDEX(#REF!,MATCH(#REF!,#REF!,0))</definedName>
    <definedName name="FL" localSheetId="0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2">#REF!</definedName>
    <definedName name="Fpi">#REF!</definedName>
    <definedName name="Fpi0" localSheetId="2">#REF!</definedName>
    <definedName name="Fpi0">#REF!</definedName>
    <definedName name="Fr" localSheetId="0" hidden="1">{"'PROFITABILITY'!$A$1:$F$45"}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2" hidden="1">{"'Sheet1'!$A$4386:$N$4591"}</definedName>
    <definedName name="funds" localSheetId="6" hidden="1">{"'Sheet1'!$A$4386:$N$4591"}</definedName>
    <definedName name="funds" localSheetId="0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 localSheetId="0">INDEX(#REF!,MATCH(#REF!,#REF!,0))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0">INDEX(#REF!,MATCH(#REF!,#REF!,0))</definedName>
    <definedName name="GB">INDEX(#REF!,MATCH(#REF!,#REF!,0))</definedName>
    <definedName name="GBDFG">#REF!</definedName>
    <definedName name="GC" localSheetId="0">INDEX(#REF!,MATCH(#REF!,#REF!,0))</definedName>
    <definedName name="GC">INDEX(#REF!,MATCH(#REF!,#REF!,0))</definedName>
    <definedName name="Gci">#REF!</definedName>
    <definedName name="gcr">#REF!</definedName>
    <definedName name="GD" localSheetId="0">INDEX(#REF!,MATCH(#REF!,#REF!,0))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 localSheetId="0">INDEX(#REF!,MATCH(#REF!,#REF!,0))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2">INDEX(#REF!,MATCH(#REF!,#REF!,0))</definedName>
    <definedName name="GH">#REF!</definedName>
    <definedName name="ghmgm" localSheetId="2" hidden="1">{"'PROFITABILITY'!$A$1:$F$45"}</definedName>
    <definedName name="ghmgm" localSheetId="6" hidden="1">{"'PROFITABILITY'!$A$1:$F$45"}</definedName>
    <definedName name="ghmgm" localSheetId="0" hidden="1">{"'PROFITABILITY'!$A$1:$F$45"}</definedName>
    <definedName name="ghmgm" hidden="1">{"'PROFITABILITY'!$A$1:$F$45"}</definedName>
    <definedName name="GI">#REF!</definedName>
    <definedName name="girder.span">#REF!</definedName>
    <definedName name="GJ" localSheetId="0">INDEX(#REF!,MATCH(#REF!,#REF!,0))</definedName>
    <definedName name="GJ">INDEX(#REF!,MATCH(#REF!,#REF!,0))</definedName>
    <definedName name="gk">#REF!</definedName>
    <definedName name="GL" localSheetId="0">INDEX(#REF!,MATCH(#REF!,#REF!,0))</definedName>
    <definedName name="GL">INDEX(#REF!,MATCH(#REF!,#REF!,0))</definedName>
    <definedName name="globe">#REF!</definedName>
    <definedName name="GM" localSheetId="0">INDEX(#REF!,MATCH(#REF!,#REF!,0))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0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0" hidden="1">{#N/A,#N/A,FALSE,"CCTV"}</definedName>
    <definedName name="GV" hidden="1">{#N/A,#N/A,FALSE,"CCTV"}</definedName>
    <definedName name="Gw" localSheetId="2">#REF!</definedName>
    <definedName name="Gw">#REF!</definedName>
    <definedName name="h" localSheetId="2">#REF!</definedName>
    <definedName name="H">#REF!</definedName>
    <definedName name="H___0" localSheetId="2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0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 localSheetId="0">INDEX(#REF!,MATCH(#REF!,#REF!,0))</definedName>
    <definedName name="HB">INDEX(#REF!,MATCH(#REF!,#REF!,0))</definedName>
    <definedName name="HC" localSheetId="0">INDEX(#REF!,MATCH(#REF!,#REF!,0))</definedName>
    <definedName name="HC">INDEX(#REF!,MATCH(#REF!,#REF!,0))</definedName>
    <definedName name="Hcbdw">#REF!</definedName>
    <definedName name="Hcw">#REF!</definedName>
    <definedName name="HD" localSheetId="0">INDEX(#REF!,MATCH(#REF!,#REF!,0))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2" hidden="1">{"'PROFITABILITY'!$A$1:$F$45"}</definedName>
    <definedName name="hfh" localSheetId="6" hidden="1">{"'PROFITABILITY'!$A$1:$F$45"}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2" hidden="1">{"'PROFITABILITY'!$A$1:$F$45"}</definedName>
    <definedName name="hfjtyu" localSheetId="6" hidden="1">{"'PROFITABILITY'!$A$1:$F$45"}</definedName>
    <definedName name="hfjtyu" localSheetId="0" hidden="1">{"'PROFITABILITY'!$A$1:$F$45"}</definedName>
    <definedName name="hfjtyu" hidden="1">{"'PROFITABILITY'!$A$1:$F$45"}</definedName>
    <definedName name="HG" localSheetId="2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localSheetId="0" hidden="1">{"'PROFITABILITY'!$A$1:$F$45"}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2">INDEX(#REF!,MATCH(#REF!,#REF!,0))</definedName>
    <definedName name="HJ">#REF!</definedName>
    <definedName name="hjjjjjj" localSheetId="2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" localSheetId="0">INDEX(#REF!,MATCH(#REF!,#REF!,0))</definedName>
    <definedName name="HK">INDEX(#REF!,MATCH(#REF!,#REF!,0))</definedName>
    <definedName name="hkg" localSheetId="2">#REF!</definedName>
    <definedName name="hkg">#REF!</definedName>
    <definedName name="hl">#REF!</definedName>
    <definedName name="hleft" localSheetId="2">#REF!</definedName>
    <definedName name="hleft">#REF!</definedName>
    <definedName name="Hlp" localSheetId="2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2" hidden="1">{"form-D1",#N/A,FALSE,"FORM-D1";"form-D1_amt",#N/A,FALSE,"FORM-D1"}</definedName>
    <definedName name="HP" localSheetId="6" hidden="1">{"form-D1",#N/A,FALSE,"FORM-D1";"form-D1_amt",#N/A,FALSE,"FORM-D1"}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2">#REF!</definedName>
    <definedName name="hright">#REF!</definedName>
    <definedName name="hs" localSheetId="2">#REF!</definedName>
    <definedName name="hS">#REF!</definedName>
    <definedName name="hS___0" localSheetId="2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2">#REF!</definedName>
    <definedName name="HSS">#REF!</definedName>
    <definedName name="ht">#REF!</definedName>
    <definedName name="HTd">#REF!</definedName>
    <definedName name="hthree">#REF!</definedName>
    <definedName name="html" localSheetId="0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6" hidden="1">{"'TP-SUMMARY'!$I$11:$K$11"}</definedName>
    <definedName name="HTML_Control" localSheetId="0" hidden="1">{"'TP-SUMMARY'!$I$11:$K$11"}</definedName>
    <definedName name="HTML_Control" hidden="1">{"'TP-SUMMARY'!$I$11:$K$11"}</definedName>
    <definedName name="HTML_Control_1" localSheetId="0" hidden="1">{"'PROFITABILITY'!$A$1:$F$45"}</definedName>
    <definedName name="HTML_Control_1" hidden="1">{"'PROFITABILITY'!$A$1:$F$45"}</definedName>
    <definedName name="HTML_control2" localSheetId="2" hidden="1">{"'Sheet1'!$A$4386:$N$4591"}</definedName>
    <definedName name="HTML_control2" localSheetId="6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hidden="1">"TP-SUMMARY"</definedName>
    <definedName name="HTML_LastUpdate" localSheetId="2" hidden="1">"2/9/99"</definedName>
    <definedName name="HTML_LastUpdate" hidden="1">"12/10/04"</definedName>
    <definedName name="HTML_LineAfter" localSheetId="2" hidden="1">TRUE</definedName>
    <definedName name="HTML_LineAfter" hidden="1">FALSE</definedName>
    <definedName name="HTML_LineBefore" localSheetId="2" hidden="1">TRUE</definedName>
    <definedName name="HTML_LineBefore" hidden="1">FALSE</definedName>
    <definedName name="HTML_Name" localSheetId="2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hidden="1">"C:\My Documents\TATA RECORD\TLTS 2385 TATA  POWER\NEW TATA\tata\MyHTML.htm"</definedName>
    <definedName name="HTML_Title" localSheetId="2" hidden="1">"MANANTALI PROJECT"</definedName>
    <definedName name="HTML_Title" hidden="1">"JEERAT - SG INSP"</definedName>
    <definedName name="html2" localSheetId="0" hidden="1">{"'PROFITABILITY'!$A$1:$F$45"}</definedName>
    <definedName name="html2" hidden="1">{"'PROFITABILITY'!$A$1:$F$45"}</definedName>
    <definedName name="HTn">#REF!</definedName>
    <definedName name="htwo">#REF!</definedName>
    <definedName name="Hu" localSheetId="2">#REF!</definedName>
    <definedName name="Hu">#REF!</definedName>
    <definedName name="Hu___0" localSheetId="2">#REF!</definedName>
    <definedName name="Hu___0">#REF!</definedName>
    <definedName name="Hu___13" localSheetId="2">#REF!</definedName>
    <definedName name="Hu___13">#REF!</definedName>
    <definedName name="huy" localSheetId="0">{"'Sheet1'!$L$16"}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0">INDEX(#REF!,MATCH(#REF!,#REF!,0))</definedName>
    <definedName name="IA">INDEX(#REF!,MATCH(#REF!,#REF!,0))</definedName>
    <definedName name="IAH">#REF!</definedName>
    <definedName name="IAM" localSheetId="2" hidden="1">{"'Sheet1'!$A$4386:$N$4591"}</definedName>
    <definedName name="IAM" localSheetId="6" hidden="1">{"'Sheet1'!$A$4386:$N$4591"}</definedName>
    <definedName name="IAM" localSheetId="0" hidden="1">{"'Sheet1'!$A$4386:$N$4591"}</definedName>
    <definedName name="IAM" hidden="1">{"'Sheet1'!$A$4386:$N$4591"}</definedName>
    <definedName name="IB" localSheetId="0">INDEX(#REF!,MATCH(#REF!,#REF!,0))</definedName>
    <definedName name="IB">INDEX(#REF!,MATCH(#REF!,#REF!,0))</definedName>
    <definedName name="ic">5%</definedName>
    <definedName name="icb">#REF!</definedName>
    <definedName name="Icc" localSheetId="0">#REF!*#REF!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2">#REF!</definedName>
    <definedName name="idb">#REF!</definedName>
    <definedName name="IDIOT">#REF!</definedName>
    <definedName name="IDLandS_Peak_MP">#REF!</definedName>
    <definedName name="idt" localSheetId="2">#REF!</definedName>
    <definedName name="idt">#REF!</definedName>
    <definedName name="idto">#REF!</definedName>
    <definedName name="idyn" localSheetId="2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0">INDEX(#REF!,MATCH(#REF!,#REF!,0))</definedName>
    <definedName name="IH">INDEX(#REF!,MATCH(#REF!,#REF!,0))</definedName>
    <definedName name="II">#REF!</definedName>
    <definedName name="iii">#N/A</definedName>
    <definedName name="IJ" localSheetId="0">INDEX(#REF!,MATCH(#REF!,#REF!,0))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2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">#REF!</definedName>
    <definedName name="ipu">#REF!</definedName>
    <definedName name="ipu___0" localSheetId="2">#REF!</definedName>
    <definedName name="ipu___0">#REF!</definedName>
    <definedName name="ipu___13" localSheetId="2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2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0">INDEX(#REF!,MATCH(#REF!,#REF!,0))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 localSheetId="0">INDEX(#REF!,MATCH(#REF!,#REF!,0))</definedName>
    <definedName name="JB">INDEX(#REF!,MATCH(#REF!,#REF!,0))</definedName>
    <definedName name="JC" localSheetId="0">INDEX(#REF!,MATCH(#REF!,#REF!,0))</definedName>
    <definedName name="JC">INDEX(#REF!,MATCH(#REF!,#REF!,0))</definedName>
    <definedName name="JD" localSheetId="0">INDEX(#REF!,MATCH(#REF!,#REF!,0))</definedName>
    <definedName name="JD">INDEX(#REF!,MATCH(#REF!,#REF!,0))</definedName>
    <definedName name="jddd" localSheetId="2" hidden="1">{"form-D1",#N/A,FALSE,"FORM-D1";"form-D1_amt",#N/A,FALSE,"FORM-D1"}</definedName>
    <definedName name="jddd" localSheetId="6" hidden="1">{"form-D1",#N/A,FALSE,"FORM-D1";"form-D1_amt",#N/A,FALSE,"FORM-D1"}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 localSheetId="0">INDEX(#REF!,MATCH(#REF!,#REF!,0))</definedName>
    <definedName name="JE">INDEX(#REF!,MATCH(#REF!,#REF!,0))</definedName>
    <definedName name="JEERATE">#REF!</definedName>
    <definedName name="JEJS" localSheetId="2">#REF!</definedName>
    <definedName name="JEJS">#REF!</definedName>
    <definedName name="JEJS___0" localSheetId="2">#REF!</definedName>
    <definedName name="JEJS___0">#REF!</definedName>
    <definedName name="JEJS___11" localSheetId="2">#REF!</definedName>
    <definedName name="JEJS___11">#REF!</definedName>
    <definedName name="JEJS___12">#REF!</definedName>
    <definedName name="JEJS___13">#REF!</definedName>
    <definedName name="JEJS___4">#REF!</definedName>
    <definedName name="JF" localSheetId="0">INDEX(#REF!,MATCH(#REF!,#REF!,0))</definedName>
    <definedName name="JF">INDEX(#REF!,MATCH(#REF!,#REF!,0))</definedName>
    <definedName name="JFHGDT" hidden="1">#REF!</definedName>
    <definedName name="jfjfj">#REF!</definedName>
    <definedName name="JG" localSheetId="0">INDEX(#REF!,MATCH(#REF!,#REF!,0))</definedName>
    <definedName name="JG">INDEX(#REF!,MATCH(#REF!,#REF!,0))</definedName>
    <definedName name="JGGJKGKGJK">#REF!</definedName>
    <definedName name="jgjg" localSheetId="2" hidden="1">{"'PROFITABILITY'!$A$1:$F$45"}</definedName>
    <definedName name="jgjg" localSheetId="6" hidden="1">{"'PROFITABILITY'!$A$1:$F$45"}</definedName>
    <definedName name="jgjg" localSheetId="0" hidden="1">{"'PROFITABILITY'!$A$1:$F$45"}</definedName>
    <definedName name="jgjg" hidden="1">{"'PROFITABILITY'!$A$1:$F$45"}</definedName>
    <definedName name="JH" localSheetId="2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 localSheetId="0">INDEX(#REF!,MATCH(#REF!,#REF!,0))</definedName>
    <definedName name="JI">INDEX(#REF!,MATCH(#REF!,#REF!,0))</definedName>
    <definedName name="jj">#REF!</definedName>
    <definedName name="jjdzjjklb6f6e8f7f">#REF!</definedName>
    <definedName name="jjj" localSheetId="2">#REF!</definedName>
    <definedName name="jjj" localSheetId="6" hidden="1">{"form-D1",#N/A,FALSE,"FORM-D1";"form-D1_amt",#N/A,FALSE,"FORM-D1"}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 localSheetId="2">INDEX(#REF!,MATCH(#REF!,#REF!,0))</definedName>
    <definedName name="jk">#REF!</definedName>
    <definedName name="JL" localSheetId="0">INDEX(#REF!,MATCH(#REF!,#REF!,0))</definedName>
    <definedName name="JL">INDEX(#REF!,MATCH(#REF!,#REF!,0))</definedName>
    <definedName name="JM" localSheetId="0">INDEX(#REF!,MATCH(#REF!,#REF!,0))</definedName>
    <definedName name="JM">INDEX(#REF!,MATCH(#REF!,#REF!,0))</definedName>
    <definedName name="job">#REF!</definedName>
    <definedName name="job___0" localSheetId="2">#REF!</definedName>
    <definedName name="job___0">#REF!</definedName>
    <definedName name="job___11" localSheetId="2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2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2" hidden="1">{"form-D1",#N/A,FALSE,"FORM-D1";"form-D1_amt",#N/A,FALSE,"FORM-D1"}</definedName>
    <definedName name="KAMAL" localSheetId="6" hidden="1">{"form-D1",#N/A,FALSE,"FORM-D1";"form-D1_amt",#N/A,FALSE,"FORM-D1"}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2" hidden="1">{"form-D1",#N/A,FALSE,"FORM-D1";"form-D1_amt",#N/A,FALSE,"FORM-D1"}</definedName>
    <definedName name="kaml" localSheetId="6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2">#REF!</definedName>
    <definedName name="kb">#REF!</definedName>
    <definedName name="kc" localSheetId="2">#REF!</definedName>
    <definedName name="kc">#REF!</definedName>
    <definedName name="KD" localSheetId="0">INDEX(#REF!,MATCH(#REF!,#REF!,0))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2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2" hidden="1">{"'PROFITABILITY'!$A$1:$F$45"}</definedName>
    <definedName name="kklhl" localSheetId="6" hidden="1">{"'PROFITABILITY'!$A$1:$F$45"}</definedName>
    <definedName name="kklhl" localSheetId="0" hidden="1">{"'PROFITABILITY'!$A$1:$F$45"}</definedName>
    <definedName name="kklhl" hidden="1">{"'PROFITABILITY'!$A$1:$F$45"}</definedName>
    <definedName name="KL" localSheetId="2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2" hidden="1">{"'PROFITABILITY'!$A$1:$F$45"}</definedName>
    <definedName name="kltp" localSheetId="6" hidden="1">{"'PROFITABILITY'!$A$1:$F$45"}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2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2">#REF!</definedName>
    <definedName name="kt">#REF!</definedName>
    <definedName name="KTA">#REF!</definedName>
    <definedName name="KTB">#REF!</definedName>
    <definedName name="ktd" localSheetId="2">#REF!</definedName>
    <definedName name="ktd">#REF!</definedName>
    <definedName name="KTL" localSheetId="2">#REF!</definedName>
    <definedName name="KTL">#REF!</definedName>
    <definedName name="KTX">#REF!</definedName>
    <definedName name="KU">#REF!</definedName>
    <definedName name="KUKULE_GANGA_HYDROPOWER_PROJECT" localSheetId="2">#REF!,#REF!,#REF!,#REF!,#REF!,#REF!,#REF!,#REF!,#REF!</definedName>
    <definedName name="KUKULE_GANGA_HYDROPOWER_PROJECT" localSheetId="6">#REF!,#REF!,#REF!,#REF!,#REF!,#REF!,#REF!,#REF!,#REF!</definedName>
    <definedName name="KUKULE_GANGA_HYDROPOWER_PROJECT">#REF!,#REF!,#REF!,#REF!,#REF!,#REF!,#REF!,#REF!,#REF!</definedName>
    <definedName name="kususdd" localSheetId="0" hidden="1">{"'PROFITABILITY'!$A$1:$F$45"}</definedName>
    <definedName name="kususdd" hidden="1">{"'PROFITABILITY'!$A$1:$F$45"}</definedName>
    <definedName name="kvs" localSheetId="2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2">#REF!</definedName>
    <definedName name="L">#REF!</definedName>
    <definedName name="L_">#REF!</definedName>
    <definedName name="L___0" localSheetId="2">#REF!</definedName>
    <definedName name="L___0">#REF!</definedName>
    <definedName name="L___13" localSheetId="2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2">IF(#REF!,Header_Row+#REF!,Header_Row)</definedName>
    <definedName name="Last_Row">#N/A</definedName>
    <definedName name="LB" localSheetId="0">INDEX(#REF!,MATCH(#REF!,#REF!,0))</definedName>
    <definedName name="LB">INDEX(#REF!,MATCH(#REF!,#REF!,0))</definedName>
    <definedName name="LBA" localSheetId="2">#REF!</definedName>
    <definedName name="LBA">#REF!</definedName>
    <definedName name="LBA_1">#REF!</definedName>
    <definedName name="LC" localSheetId="2">#REF!</definedName>
    <definedName name="lc">#REF!</definedName>
    <definedName name="Lc___0" localSheetId="2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 localSheetId="0">INDEX(#REF!,MATCH(#REF!,#REF!,0))</definedName>
    <definedName name="LF">INDEX(#REF!,MATCH(#REF!,#REF!,0))</definedName>
    <definedName name="LG">#REF!</definedName>
    <definedName name="LH" localSheetId="0">INDEX(#REF!,MATCH(#REF!,#REF!,0))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2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2">#REF!</definedName>
    <definedName name="LIRA">#REF!</definedName>
    <definedName name="LJ">INDEX(#REF!,MATCH(#REF!,#REF!,0))</definedName>
    <definedName name="lk" localSheetId="2" hidden="1">{#N/A,#N/A,FALSE,"CCTV"}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2">#REF!</definedName>
    <definedName name="llll">#REF!</definedName>
    <definedName name="lm" localSheetId="2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0">City&amp;" "&amp;State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localSheetId="0" hidden="1">{"'PROFITABILITY'!$A$1:$F$45"}</definedName>
    <definedName name="Lot" hidden="1">{"'PROFITABILITY'!$A$1:$F$45"}</definedName>
    <definedName name="lp" localSheetId="2">#REF!</definedName>
    <definedName name="Lp">#REF!</definedName>
    <definedName name="LPROT220">#REF!</definedName>
    <definedName name="LPROT500">#REF!</definedName>
    <definedName name="Lr" localSheetId="2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 localSheetId="0">INDEX(#REF!,MATCH(#REF!,#REF!,0))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2">#REF!</definedName>
    <definedName name="main">#REF!</definedName>
    <definedName name="MainRelay" localSheetId="2">#REF!</definedName>
    <definedName name="MainRelay">#REF!</definedName>
    <definedName name="majord" localSheetId="2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2" hidden="1">{"form-D1",#N/A,FALSE,"FORM-D1";"form-D1_amt",#N/A,FALSE,"FORM-D1"}</definedName>
    <definedName name="mani" localSheetId="6" hidden="1">{"form-D1",#N/A,FALSE,"FORM-D1";"form-D1_amt",#N/A,FALSE,"FORM-D1"}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2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2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2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2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2">#REF!:#REF!</definedName>
    <definedName name="Mhpc" localSheetId="6">#REF!:#REF!</definedName>
    <definedName name="Mhpc">#REF!:#REF!</definedName>
    <definedName name="Mhpipd" localSheetId="2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2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2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2">#REF!</definedName>
    <definedName name="mmm">#REF!</definedName>
    <definedName name="MN">#REF!</definedName>
    <definedName name="mnk" localSheetId="2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localSheetId="0" hidden="1">{#N/A,#N/A,FALSE,"CCTV"}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2">125</definedName>
    <definedName name="ms">#REF!</definedName>
    <definedName name="MS.NO">#REF!</definedName>
    <definedName name="MS_Royalty">#REF!</definedName>
    <definedName name="MS200202rev2" localSheetId="2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2">INDEX(#REF!,MATCH(#REF!,#REF!,0))</definedName>
    <definedName name="nb">#REF!</definedName>
    <definedName name="NC" localSheetId="2">INDEX(#REF!,MATCH(#REF!,#REF!,0))</definedName>
    <definedName name="nc">#REF!</definedName>
    <definedName name="ncfnvo">#REF!</definedName>
    <definedName name="ND" localSheetId="2">INDEX(#REF!,MATCH(#REF!,#REF!,0))</definedName>
    <definedName name="nd">#REF!</definedName>
    <definedName name="NE" localSheetId="2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localSheetId="0" hidden="1">{#N/A,#N/A,FALSE,"CCTV"}</definedName>
    <definedName name="NEWNAME" hidden="1">{#N/A,#N/A,FALSE,"CCTV"}</definedName>
    <definedName name="NF" localSheetId="0">INDEX(#REF!,MATCH(#REF!,#REF!,0))</definedName>
    <definedName name="NF">INDEX(#REF!,MATCH(#REF!,#REF!,0))</definedName>
    <definedName name="NG" localSheetId="0">INDEX(#REF!,MATCH(#REF!,#REF!,0))</definedName>
    <definedName name="NG">INDEX(#REF!,MATCH(#REF!,#REF!,0))</definedName>
    <definedName name="Ngan" localSheetId="0">{"Book1"}</definedName>
    <definedName name="Ngan">{"Book1"}</definedName>
    <definedName name="ngl4tank">#REF!</definedName>
    <definedName name="NH" localSheetId="0">INDEX(#REF!,MATCH(#REF!,#REF!,0))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 localSheetId="0">INDEX(#REF!,MATCH(#REF!,#REF!,0))</definedName>
    <definedName name="NJ">INDEX(#REF!,MATCH(#REF!,#REF!,0))</definedName>
    <definedName name="NJPE">#REF!</definedName>
    <definedName name="njspsche">#REF!</definedName>
    <definedName name="NK" localSheetId="0">INDEX(#REF!,MATCH(#REF!,#REF!,0))</definedName>
    <definedName name="NK">INDEX(#REF!,MATCH(#REF!,#REF!,0))</definedName>
    <definedName name="NL" localSheetId="0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2" hidden="1">{"'PROFITABILITY'!$A$1:$F$45"}</definedName>
    <definedName name="nlllk" localSheetId="6" hidden="1">{"'PROFITABILITY'!$A$1:$F$45"}</definedName>
    <definedName name="nlllk" localSheetId="0" hidden="1">{"'PROFITABILITY'!$A$1:$F$45"}</definedName>
    <definedName name="nlllk" hidden="1">{"'PROFITABILITY'!$A$1:$F$45"}</definedName>
    <definedName name="NM" localSheetId="0">INDEX(#REF!,MATCH(#REF!,#REF!,0))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localSheetId="0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2">#REF!</definedName>
    <definedName name="Nx">#REF!</definedName>
    <definedName name="Nx___0" localSheetId="2">#REF!</definedName>
    <definedName name="Nx___0">#REF!</definedName>
    <definedName name="Nx___13" localSheetId="2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0">INDEX(#REF!,MATCH(#REF!,#REF!,0))</definedName>
    <definedName name="OA">INDEX(#REF!,MATCH(#REF!,#REF!,0))</definedName>
    <definedName name="OB" localSheetId="0">INDEX(#REF!,MATCH(#REF!,#REF!,0))</definedName>
    <definedName name="OB">INDEX(#REF!,MATCH(#REF!,#REF!,0))</definedName>
    <definedName name="OBJ">#REF!</definedName>
    <definedName name="OC" localSheetId="0">INDEX(#REF!,MATCH(#REF!,#REF!,0))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0">INDEX(#REF!,MATCH(#REF!,#REF!,0))</definedName>
    <definedName name="OD">INDEX(#REF!,MATCH(#REF!,#REF!,0))</definedName>
    <definedName name="ODH" hidden="1">#REF!</definedName>
    <definedName name="OE" localSheetId="0">INDEX(#REF!,MATCH(#REF!,#REF!,0))</definedName>
    <definedName name="OE">INDEX(#REF!,MATCH(#REF!,#REF!,0))</definedName>
    <definedName name="OF" localSheetId="0">INDEX(#REF!,MATCH(#REF!,#REF!,0))</definedName>
    <definedName name="OF">INDEX(#REF!,MATCH(#REF!,#REF!,0))</definedName>
    <definedName name="OFFICE_LIGHTING">#REF!</definedName>
    <definedName name="OG" localSheetId="0">INDEX(#REF!,MATCH(#REF!,#REF!,0))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 localSheetId="0">INDEX(#REF!,MATCH(#REF!,#REF!,0))</definedName>
    <definedName name="OI">INDEX(#REF!,MATCH(#REF!,#REF!,0))</definedName>
    <definedName name="Oilpit">#REF!</definedName>
    <definedName name="oirr">#REF!</definedName>
    <definedName name="OJ" localSheetId="0">INDEX(#REF!,MATCH(#REF!,#REF!,0))</definedName>
    <definedName name="OJ">INDEX(#REF!,MATCH(#REF!,#REF!,0))</definedName>
    <definedName name="ok">#REF!</definedName>
    <definedName name="OL" localSheetId="0">INDEX(#REF!,MATCH(#REF!,#REF!,0))</definedName>
    <definedName name="OL">INDEX(#REF!,MATCH(#REF!,#REF!,0))</definedName>
    <definedName name="OM" localSheetId="0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2">#REF!</definedName>
    <definedName name="orderbacklog">#REF!</definedName>
    <definedName name="orderbooked98">#REF!</definedName>
    <definedName name="ORDERSTATUS" localSheetId="2">#REF!</definedName>
    <definedName name="ORDERSTATUS">#REF!</definedName>
    <definedName name="OrderTable" localSheetId="2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2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2" localSheetId="2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2">#REF!</definedName>
    <definedName name="PAT_A">#REF!</definedName>
    <definedName name="PAT_B" localSheetId="2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2">#REF!</definedName>
    <definedName name="Pay_Date">#REF!</definedName>
    <definedName name="Pay_Num" localSheetId="2">#REF!</definedName>
    <definedName name="Pay_Num">#REF!</definedName>
    <definedName name="Payment_Date">#N/A</definedName>
    <definedName name="pb" localSheetId="2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0">'Visual Chart'!PercentCompleteBeyond*'Visual Chart'!PeriodInPlan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ersonal">#REF!</definedName>
    <definedName name="PERSONAL_TRANSPORT" localSheetId="2">#REF!</definedName>
    <definedName name="PERSONAL_TRANSPORT" localSheetId="6">#REF!</definedName>
    <definedName name="PERSONAL_TRANSPORT">#REF!</definedName>
    <definedName name="PERSONNEL">#REF!</definedName>
    <definedName name="PF">#REF!</definedName>
    <definedName name="PG" localSheetId="0">INDEX(#REF!,MATCH(#REF!,#REF!,0))</definedName>
    <definedName name="PG">INDEX(#REF!,MATCH(#REF!,#REF!,0))</definedName>
    <definedName name="pH" localSheetId="6">#REF!</definedName>
    <definedName name="pH">#REF!</definedName>
    <definedName name="pH___0" localSheetId="6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2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2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2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2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2" hidden="1">{"'Sheet1'!$A$4386:$N$4591"}</definedName>
    <definedName name="pratap" localSheetId="6" hidden="1">{"'Sheet1'!$A$4386:$N$4591"}</definedName>
    <definedName name="pratap" localSheetId="0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2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2">DPR!$A$1:$N$13</definedName>
    <definedName name="_xlnm.Print_Area" localSheetId="6">#REF!</definedName>
    <definedName name="_xlnm.Print_Area" localSheetId="1">'VC-765kV MKTL'!$A$1:$AT$211</definedName>
    <definedName name="_xlnm.Print_Area" localSheetId="0">'Visual Chart'!$A$1:$AT$223</definedName>
    <definedName name="_xlnm.Print_Area">#REF!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>#REF!</definedName>
    <definedName name="PRINT_AREA_MI" localSheetId="2">#REF!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2">DPR!$1:$3</definedName>
    <definedName name="_xlnm.Print_Titles">#N/A</definedName>
    <definedName name="Print_Titles_1">#REF!,#REF!</definedName>
    <definedName name="Print_Titles_2">#REF!</definedName>
    <definedName name="PRINT_TITLES_MI" localSheetId="2">#REF!</definedName>
    <definedName name="PRINT_TITLES_MI">#REF!</definedName>
    <definedName name="print1" localSheetId="2">#REF!</definedName>
    <definedName name="print1">#REF!</definedName>
    <definedName name="printarea" localSheetId="2">#REF!</definedName>
    <definedName name="printarea">#REF!</definedName>
    <definedName name="printedname">#N/A</definedName>
    <definedName name="printn" localSheetId="2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2">#REF!</definedName>
    <definedName name="qq" localSheetId="6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2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2">#REF!</definedName>
    <definedName name="Qty_as_on_apr">#REF!</definedName>
    <definedName name="QTY_AS_ON_APR_1" localSheetId="2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2" hidden="1">{"'Sheet1'!$A$4386:$N$4591"}</definedName>
    <definedName name="raaa" localSheetId="6" hidden="1">{"'Sheet1'!$A$4386:$N$4591"}</definedName>
    <definedName name="raaa" localSheetId="0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0" hidden="1">{"'PROFITABILITY'!$A$1:$F$45"}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2" hidden="1">{"'Sheet1'!$A$4386:$N$4591"}</definedName>
    <definedName name="Raj" localSheetId="6" hidden="1">{"'Sheet1'!$A$4386:$N$4591"}</definedName>
    <definedName name="Raj" localSheetId="0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 localSheetId="0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0">INDEX(#REF!,MATCH(#REF!,#REF!,0))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2" hidden="1">{"form-D1",#N/A,FALSE,"FORM-D1";"form-D1_amt",#N/A,FALSE,"FORM-D1"}</definedName>
    <definedName name="RECON" localSheetId="6" hidden="1">{"form-D1",#N/A,FALSE,"FORM-D1";"form-D1_amt",#N/A,FALSE,"FORM-D1"}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">#REF!</definedName>
    <definedName name="_xlnm.Recorder">#REF!</definedName>
    <definedName name="RECOUT">#N/A</definedName>
    <definedName name="rect_4_415" localSheetId="2">#REF!</definedName>
    <definedName name="rect_4_415">#REF!</definedName>
    <definedName name="red">#REF!</definedName>
    <definedName name="REE" localSheetId="2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2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2">#REF!</definedName>
    <definedName name="Result33">#REF!</definedName>
    <definedName name="Result51" localSheetId="2">#REF!</definedName>
    <definedName name="Result51">#REF!</definedName>
    <definedName name="Result61" localSheetId="2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0" hidden="1">{#N/A,#N/A,FALSE,"CCTV"}</definedName>
    <definedName name="RF" hidden="1">{#N/A,#N/A,FALSE,"CCTV"}</definedName>
    <definedName name="RFGF" localSheetId="2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0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 localSheetId="0">INDEX(#REF!,MATCH(#REF!,#REF!,0))</definedName>
    <definedName name="RH">INDEX(#REF!,MATCH(#REF!,#REF!,0))</definedName>
    <definedName name="rho">#REF!</definedName>
    <definedName name="RI" localSheetId="0">INDEX(#REF!,MATCH(#REF!,#REF!,0))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 localSheetId="0">INDEX(#REF!,MATCH(#REF!,#REF!,0))</definedName>
    <definedName name="RJ">INDEX(#REF!,MATCH(#REF!,#REF!,0))</definedName>
    <definedName name="rjrj" localSheetId="2" hidden="1">{"'PROFITABILITY'!$A$1:$F$45"}</definedName>
    <definedName name="rjrj" localSheetId="6" hidden="1">{"'PROFITABILITY'!$A$1:$F$45"}</definedName>
    <definedName name="rjrj" localSheetId="0" hidden="1">{"'PROFITABILITY'!$A$1:$F$45"}</definedName>
    <definedName name="rjrj" hidden="1">{"'PROFITABILITY'!$A$1:$F$45"}</definedName>
    <definedName name="rjrjj" localSheetId="2" hidden="1">{"'PROFITABILITY'!$A$1:$F$45"}</definedName>
    <definedName name="rjrjj" localSheetId="6" hidden="1">{"'PROFITABILITY'!$A$1:$F$45"}</definedName>
    <definedName name="rjrjj" localSheetId="0" hidden="1">{"'PROFITABILITY'!$A$1:$F$45"}</definedName>
    <definedName name="rjrjj" hidden="1">{"'PROFITABILITY'!$A$1:$F$45"}</definedName>
    <definedName name="RK" localSheetId="0">INDEX(#REF!,MATCH(#REF!,#REF!,0))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2" hidden="1">{"'PROFITABILITY'!$A$1:$F$45"}</definedName>
    <definedName name="rttj" localSheetId="6" hidden="1">{"'PROFITABILITY'!$A$1:$F$45"}</definedName>
    <definedName name="rttj" localSheetId="0" hidden="1">{"'PROFITABILITY'!$A$1:$F$45"}</definedName>
    <definedName name="rttj" hidden="1">{"'PROFITABILITY'!$A$1:$F$45"}</definedName>
    <definedName name="rttrt" localSheetId="2" hidden="1">{"form-D1",#N/A,FALSE,"FORM-D1";"form-D1_amt",#N/A,FALSE,"FORM-D1"}</definedName>
    <definedName name="rttrt" localSheetId="6" hidden="1">{"form-D1",#N/A,FALSE,"FORM-D1";"form-D1_amt",#N/A,FALSE,"FORM-D1"}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2">#REF!</definedName>
    <definedName name="RUPEES">#REF!</definedName>
    <definedName name="RUPEES_1">#REF!</definedName>
    <definedName name="rwere" localSheetId="2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2">#REF!</definedName>
    <definedName name="S">#REF!</definedName>
    <definedName name="s.f">#REF!</definedName>
    <definedName name="s_1" localSheetId="0" hidden="1">{"'PROFITABILITY'!$A$1:$F$45"}</definedName>
    <definedName name="s_1" hidden="1">{"'PROFITABILITY'!$A$1:$F$45"}</definedName>
    <definedName name="S_41" localSheetId="2" hidden="1">{0,0,0,0;0,#N/A,FALSE,0}</definedName>
    <definedName name="S_41" localSheetId="6" hidden="1">{0,0,0,0;0,#N/A,FALSE,0}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2" hidden="1">{"form-D1",#N/A,FALSE,"FORM-D1";"form-D1_amt",#N/A,FALSE,"FORM-D1"}</definedName>
    <definedName name="saa" localSheetId="6" hidden="1">{"form-D1",#N/A,FALSE,"FORM-D1";"form-D1_amt",#N/A,FALSE,"FORM-D1"}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2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2">#REF!</definedName>
    <definedName name="sarita">#REF!</definedName>
    <definedName name="sasi" localSheetId="2">#REF!</definedName>
    <definedName name="sasi">#REF!</definedName>
    <definedName name="sastry" localSheetId="2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2" hidden="1">{"form-D1",#N/A,FALSE,"FORM-D1";"form-D1_amt",#N/A,FALSE,"FORM-D1"}</definedName>
    <definedName name="sda" localSheetId="6" hidden="1">{"form-D1",#N/A,FALSE,"FORM-D1";"form-D1_amt",#N/A,FALSE,"FORM-D1"}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2">#REF!</definedName>
    <definedName name="Sdate">#REF!</definedName>
    <definedName name="sdf" localSheetId="2">#REF!</definedName>
    <definedName name="sdf" localSheetId="6" hidden="1">{"'PROFITABILITY'!$A$1:$F$45"}</definedName>
    <definedName name="sdf" localSheetId="0" hidden="1">{"'PROFITABILITY'!$A$1:$F$45"}</definedName>
    <definedName name="sdf" hidden="1">{"'PROFITABILITY'!$A$1:$F$45"}</definedName>
    <definedName name="SDF2A">#REF!</definedName>
    <definedName name="sdfds" localSheetId="2" hidden="1">{"'PROFITABILITY'!$A$1:$F$45"}</definedName>
    <definedName name="sdfds" localSheetId="6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2" hidden="1">{"'PROFITABILITY'!$A$1:$F$45"}</definedName>
    <definedName name="SDGDSHGD" localSheetId="6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2" hidden="1">{"'PROFITABILITY'!$A$1:$F$45"}</definedName>
    <definedName name="SDGSDG" localSheetId="6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2" hidden="1">{"'PROFITABILITY'!$A$1:$F$45"}</definedName>
    <definedName name="SDGSG" localSheetId="6" hidden="1">{"'PROFITABILITY'!$A$1:$F$45"}</definedName>
    <definedName name="SDGSG" localSheetId="0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2">#REF!:#REF!</definedName>
    <definedName name="sect_table">#REF!:#REF!</definedName>
    <definedName name="SECTAB">#REF!:#REF!</definedName>
    <definedName name="SECTION">#REF!</definedName>
    <definedName name="see" localSheetId="2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2">#REF!</definedName>
    <definedName name="Select">#REF!</definedName>
    <definedName name="SelectD1OrC1" localSheetId="2">#REF!</definedName>
    <definedName name="SelectD1OrC1">#REF!</definedName>
    <definedName name="SelectLessOrExcess">#REF!</definedName>
    <definedName name="sencount">1</definedName>
    <definedName name="SEPT" localSheetId="2">#REF!</definedName>
    <definedName name="SEPT">#REF!</definedName>
    <definedName name="SER_TAX">#REF!</definedName>
    <definedName name="Service" localSheetId="2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2">#REF!</definedName>
    <definedName name="sheet1">#REF!</definedName>
    <definedName name="sheet1___0" localSheetId="2">#REF!</definedName>
    <definedName name="sheet1___0">#REF!</definedName>
    <definedName name="sheet1___13" localSheetId="2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2" hidden="1">{"form-D1",#N/A,FALSE,"FORM-D1";"form-D1_amt",#N/A,FALSE,"FORM-D1"}</definedName>
    <definedName name="slab" localSheetId="6" hidden="1">{"form-D1",#N/A,FALSE,"FORM-D1";"form-D1_amt",#N/A,FALSE,"FORM-D1"}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2">#REF!</definedName>
    <definedName name="sm">#REF!</definedName>
    <definedName name="SMP" localSheetId="0">INDEX(#REF!,MATCH(#REF!,#REF!,0))</definedName>
    <definedName name="SMP">INDEX(#REF!,MATCH(#REF!,#REF!,0))</definedName>
    <definedName name="SMPL" localSheetId="0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2">0%</definedName>
    <definedName name="soh">1%</definedName>
    <definedName name="Soil" localSheetId="2">#REF!</definedName>
    <definedName name="Soil">#REF!</definedName>
    <definedName name="SoilClass">#REF!</definedName>
    <definedName name="SOL">#REF!</definedName>
    <definedName name="sone">#REF!</definedName>
    <definedName name="SOR" localSheetId="2">#REF!</definedName>
    <definedName name="SOR">#REF!</definedName>
    <definedName name="sort1" localSheetId="2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0" hidden="1">{"'PROFITABILITY'!$A$1:$F$45"}</definedName>
    <definedName name="SpacerDamper" hidden="1">{"'PROFITABILITY'!$A$1:$F$45"}</definedName>
    <definedName name="Spalls">#REF!</definedName>
    <definedName name="SPAN" localSheetId="0">VLOOKUP(#REF!&amp;#REF!,#REF!,4,FALSE)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localSheetId="0" hidden="1">{"'PROFITABILITY'!$A$1:$F$45"}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2" hidden="1">#REF!</definedName>
    <definedName name="SpecialPrice" hidden="1">#REF!</definedName>
    <definedName name="spfactor">#REF!</definedName>
    <definedName name="Spl" localSheetId="2">#REF!</definedName>
    <definedName name="Spl">#REF!</definedName>
    <definedName name="SPTNP">#REF!</definedName>
    <definedName name="SQRT__1___0.6___1.0" localSheetId="2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2">#REF!</definedName>
    <definedName name="sssssssss" localSheetId="6" hidden="1">{"form-D1",#N/A,FALSE,"FORM-D1";"form-D1_amt",#N/A,FALSE,"FORM-D1"}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2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2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2">#REF!</definedName>
    <definedName name="STATEMENT_1">#REF!</definedName>
    <definedName name="STATEMENT_2">#REF!</definedName>
    <definedName name="STATEMENT_3" localSheetId="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2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2" hidden="1">#REF!</definedName>
    <definedName name="tbl_ProdInfo" hidden="1">#REF!</definedName>
    <definedName name="TBo">#REF!</definedName>
    <definedName name="tc">#REF!</definedName>
    <definedName name="tcap" localSheetId="2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2">#REF!,#REF!,#REF!,#REF!,#REF!,#REF!,#REF!,#REF!,#REF!</definedName>
    <definedName name="teesta" localSheetId="6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2">#REF!</definedName>
    <definedName name="ter_vapi">#REF!</definedName>
    <definedName name="TERM" localSheetId="2">#REF!</definedName>
    <definedName name="TERM">#REF!</definedName>
    <definedName name="TEs" localSheetId="2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2">#REF!</definedName>
    <definedName name="TEST0">#REF!</definedName>
    <definedName name="TEST1" localSheetId="2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2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2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YTD" localSheetId="0">#REF!</definedName>
    <definedName name="Total_YTD">#REF!</definedName>
    <definedName name="TOTAL1RP" localSheetId="0">#REF!</definedName>
    <definedName name="TOTAL1RP">#REF!</definedName>
    <definedName name="TOTAL2RP" localSheetId="0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0" hidden="1">{"'PROFITABILITY'!$A$1:$F$45"}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localSheetId="0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2">#REF!</definedName>
    <definedName name="tr">#N/A</definedName>
    <definedName name="tr0" localSheetId="2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2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2">#REF!</definedName>
    <definedName name="Tres">#REF!</definedName>
    <definedName name="tres4">#REF!</definedName>
    <definedName name="trrrrrrrrrrrrr" localSheetId="2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">#REF!</definedName>
    <definedName name="try">#N/A</definedName>
    <definedName name="ts" localSheetId="2">#REF!</definedName>
    <definedName name="tS">#REF!</definedName>
    <definedName name="tS___0" localSheetId="2">#REF!</definedName>
    <definedName name="tS___0">#REF!</definedName>
    <definedName name="tS___13" localSheetId="2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 localSheetId="0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 localSheetId="0">IFERROR(VLOOKUP(#REF!,#REF!,2,FALSE),"")</definedName>
    <definedName name="TWR_WT">IFERROR(VLOOKUP(#REF!,#REF!,2,FALSE),"")</definedName>
    <definedName name="TY" hidden="1">#REF!</definedName>
    <definedName name="tyjyj" localSheetId="2" hidden="1">{"'PROFITABILITY'!$A$1:$F$45"}</definedName>
    <definedName name="tyjyj" localSheetId="6" hidden="1">{"'PROFITABILITY'!$A$1:$F$45"}</definedName>
    <definedName name="tyjyj" localSheetId="0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2">#REF!</definedName>
    <definedName name="V">#REF!</definedName>
    <definedName name="va" localSheetId="2">#REF!</definedName>
    <definedName name="va">#REF!</definedName>
    <definedName name="va___0" localSheetId="2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 localSheetId="0">INDEX(#REF!,MATCH(#REF!,#REF!,0))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2">#REF!</definedName>
    <definedName name="VELOKAL">#REF!</definedName>
    <definedName name="Vend" localSheetId="2">#REF!</definedName>
    <definedName name="Vend">#REF!</definedName>
    <definedName name="venu">150</definedName>
    <definedName name="vertical_col_and_corner_walls" localSheetId="2">#REF!</definedName>
    <definedName name="vertical_col_and_corner_walls">#REF!</definedName>
    <definedName name="VertPltWt">#REF!</definedName>
    <definedName name="VESWH" localSheetId="2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2" hidden="1">{"'Sheet1'!$A$4386:$N$4591"}</definedName>
    <definedName name="vggfd" localSheetId="6" hidden="1">{"'Sheet1'!$A$4386:$N$4591"}</definedName>
    <definedName name="vggfd" localSheetId="0" hidden="1">{"'Sheet1'!$A$4386:$N$4591"}</definedName>
    <definedName name="vggfd" hidden="1">{"'Sheet1'!$A$4386:$N$4591"}</definedName>
    <definedName name="vgwer">#REF!</definedName>
    <definedName name="view" localSheetId="0" hidden="1">{"'PROFITABILITY'!$A$1:$F$45"}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2" hidden="1">{"'PROFITABILITY'!$A$1:$F$45"}</definedName>
    <definedName name="vs" localSheetId="6" hidden="1">{"'PROFITABILITY'!$A$1:$F$45"}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2" hidden="1">{"'Sheet1'!$A$4386:$N$4591"}</definedName>
    <definedName name="water_funds" localSheetId="6" hidden="1">{"'Sheet1'!$A$4386:$N$4591"}</definedName>
    <definedName name="water_funds" localSheetId="0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2">#REF!</definedName>
    <definedName name="wer" localSheetId="6" hidden="1">{"form-D1",#N/A,FALSE,"FORM-D1";"form-D1_amt",#N/A,FALSE,"FORM-D1"}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tt" localSheetId="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2" hidden="1">#REF!</definedName>
    <definedName name="werwere" hidden="1">#REF!</definedName>
    <definedName name="wewe">#REF!</definedName>
    <definedName name="WFR" localSheetId="2">#REF!</definedName>
    <definedName name="WFR">#REF!</definedName>
    <definedName name="Wg" localSheetId="2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2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localSheetId="0" hidden="1">{#N/A,#N/A,FALSE,"CCTV"}</definedName>
    <definedName name="WRITE" hidden="1">{#N/A,#N/A,FALSE,"CCTV"}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2" hidden="1">{#N/A,#N/A,FALSE,"17MAY";#N/A,#N/A,FALSE,"24MAY"}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BM." localSheetId="0" hidden="1">{#N/A,#N/A,FALSE,"CCTV"}</definedName>
    <definedName name="wrn.BM." hidden="1">{#N/A,#N/A,FALSE,"CCTV"}</definedName>
    <definedName name="wrn.budget." localSheetId="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2" hidden="1">{#N/A,#N/A,TRUE,"GW-Cond";#N/A,#N/A,TRUE,"HW"}</definedName>
    <definedName name="wrn.Co." localSheetId="6" hidden="1">{#N/A,#N/A,TRUE,"GW-Cond";#N/A,#N/A,TRUE,"HW"}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localSheetId="0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2" hidden="1">{#N/A,#N/A,FALSE,"Motor List"}</definedName>
    <definedName name="wrn.test." localSheetId="6" hidden="1">{#N/A,#N/A,FALSE,"Motor List"}</definedName>
    <definedName name="wrn.test." localSheetId="0" hidden="1">{#N/A,#N/A,FALSE,"Motor List"}</definedName>
    <definedName name="wrn.test." hidden="1">{#N/A,#N/A,FALSE,"Motor List"}</definedName>
    <definedName name="WT">#REF!</definedName>
    <definedName name="wt.m" localSheetId="2">#REF!</definedName>
    <definedName name="wt.m">#REF!</definedName>
    <definedName name="wu">#REF!</definedName>
    <definedName name="ww" localSheetId="2">#REF!</definedName>
    <definedName name="ww">#REF!</definedName>
    <definedName name="www" localSheetId="2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2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2" hidden="1">{"form-D1",#N/A,FALSE,"FORM-D1";"form-D1_amt",#N/A,FALSE,"FORM-D1"}</definedName>
    <definedName name="xc" localSheetId="6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2">#REF!</definedName>
    <definedName name="Xl">#REF!</definedName>
    <definedName name="Xl___0" localSheetId="2">#REF!</definedName>
    <definedName name="Xl___0">#REF!</definedName>
    <definedName name="Xl___13" localSheetId="2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2">#REF!</definedName>
    <definedName name="xs">#REF!</definedName>
    <definedName name="Xso" localSheetId="2">#REF!</definedName>
    <definedName name="Xso">#REF!</definedName>
    <definedName name="xt" localSheetId="2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2" hidden="1">{"'PROFITABILITY'!$A$1:$F$45"}</definedName>
    <definedName name="yyy" localSheetId="6" hidden="1">{"'PROFITABILITY'!$A$1:$F$45"}</definedName>
    <definedName name="yyy" localSheetId="0" hidden="1">{"'PROFITABILITY'!$A$1:$F$45"}</definedName>
    <definedName name="yyy" hidden="1">{"'PROFITABILITY'!$A$1:$F$45"}</definedName>
    <definedName name="yyy1" localSheetId="2" hidden="1">{"'PROFITABILITY'!$A$1:$F$45"}</definedName>
    <definedName name="yyy1" localSheetId="6" hidden="1">{"'PROFITABILITY'!$A$1:$F$45"}</definedName>
    <definedName name="yyy1" localSheetId="0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0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0">#REF!,#REF!,#REF!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0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0" hidden="1">{"'장비'!$A$3:$M$12"}</definedName>
    <definedName name="토목변경" hidden="1">{"'장비'!$A$3:$M$12"}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4" l="1"/>
  <c r="H10" i="34"/>
  <c r="J10" i="34" s="1"/>
  <c r="K10" i="34" s="1"/>
  <c r="O10" i="13"/>
  <c r="F15" i="13"/>
  <c r="AE204" i="36"/>
  <c r="AH203" i="36"/>
  <c r="AE203" i="36"/>
  <c r="E10" i="34"/>
  <c r="D8" i="34"/>
  <c r="D7" i="34"/>
  <c r="D6" i="34"/>
  <c r="Q4" i="13"/>
  <c r="O4" i="13"/>
  <c r="E1" i="34"/>
  <c r="N217" i="36"/>
  <c r="M217" i="36"/>
  <c r="AK210" i="36"/>
  <c r="AK209" i="36"/>
  <c r="AK204" i="36"/>
  <c r="BA182" i="36"/>
  <c r="BA174" i="36"/>
  <c r="BA166" i="36"/>
  <c r="BA158" i="36"/>
  <c r="BA150" i="36"/>
  <c r="BA142" i="36"/>
  <c r="BA134" i="36"/>
  <c r="BA126" i="36"/>
  <c r="BA118" i="36"/>
  <c r="BA110" i="36"/>
  <c r="BA102" i="36"/>
  <c r="BA94" i="36"/>
  <c r="BA86" i="36"/>
  <c r="BA78" i="36"/>
  <c r="BA70" i="36"/>
  <c r="BA62" i="36"/>
  <c r="BA54" i="36"/>
  <c r="BA46" i="36"/>
  <c r="BA38" i="36"/>
  <c r="BA30" i="36"/>
  <c r="BA22" i="36"/>
  <c r="BA14" i="36"/>
  <c r="BA6" i="36"/>
  <c r="AZ3" i="36"/>
  <c r="AY3" i="36"/>
  <c r="L217" i="36" s="1"/>
  <c r="AX3" i="36"/>
  <c r="K217" i="36" s="1"/>
  <c r="AH207" i="36" s="1"/>
  <c r="AK207" i="36" s="1"/>
  <c r="AW3" i="36"/>
  <c r="J217" i="36" s="1"/>
  <c r="AH206" i="36" s="1"/>
  <c r="AK206" i="36" s="1"/>
  <c r="AV3" i="36"/>
  <c r="I217" i="36" s="1"/>
  <c r="AH205" i="36" s="1"/>
  <c r="AK205" i="36" s="1"/>
  <c r="A1" i="36"/>
  <c r="AK203" i="36" l="1"/>
  <c r="AH208" i="36"/>
  <c r="AK208" i="36" s="1"/>
  <c r="M8" i="13"/>
  <c r="BA3" i="36"/>
  <c r="M7" i="13"/>
  <c r="M9" i="13"/>
  <c r="G267" i="33"/>
  <c r="G260" i="33"/>
  <c r="G258" i="33"/>
  <c r="G256" i="33"/>
  <c r="H1" i="33" l="1"/>
  <c r="G273" i="33"/>
  <c r="G272" i="33"/>
  <c r="G271" i="33"/>
  <c r="G270" i="33"/>
  <c r="G269" i="33"/>
  <c r="G268" i="33"/>
  <c r="G266" i="33"/>
  <c r="G262" i="33"/>
  <c r="G1" i="33" s="1"/>
  <c r="E211" i="16"/>
  <c r="F211" i="16"/>
  <c r="E210" i="16"/>
  <c r="F210" i="16"/>
  <c r="F207" i="16"/>
  <c r="E207" i="16"/>
  <c r="E178" i="16"/>
  <c r="E208" i="16"/>
  <c r="E204" i="16"/>
  <c r="E188" i="16"/>
  <c r="E205" i="16"/>
  <c r="E195" i="16"/>
  <c r="E193" i="16"/>
  <c r="E190" i="16"/>
  <c r="E209" i="16"/>
  <c r="E206" i="16"/>
  <c r="E203" i="16"/>
  <c r="E202" i="16"/>
  <c r="E201" i="16"/>
  <c r="E200" i="16"/>
  <c r="E199" i="16"/>
  <c r="E198" i="16"/>
  <c r="E197" i="16"/>
  <c r="E196" i="16"/>
  <c r="E194" i="16"/>
  <c r="E192" i="16"/>
  <c r="E191" i="16"/>
  <c r="E189" i="16"/>
  <c r="E187" i="16"/>
  <c r="E186" i="16"/>
  <c r="E185" i="16"/>
  <c r="E184" i="16"/>
  <c r="F178" i="16"/>
  <c r="F208" i="16"/>
  <c r="F204" i="16"/>
  <c r="F188" i="16"/>
  <c r="E1" i="16" l="1"/>
  <c r="F206" i="16" l="1"/>
  <c r="F203" i="16"/>
  <c r="F202" i="16"/>
  <c r="F201" i="16"/>
  <c r="F199" i="16"/>
  <c r="F198" i="16"/>
  <c r="F196" i="16"/>
  <c r="F194" i="16"/>
  <c r="F192" i="16"/>
  <c r="F191" i="16"/>
  <c r="F189" i="16"/>
  <c r="F186" i="16"/>
  <c r="F185" i="16"/>
  <c r="F184" i="16"/>
  <c r="F1" i="16" l="1"/>
  <c r="C4" i="35" l="1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3" i="35"/>
  <c r="AH208" i="30"/>
  <c r="L217" i="30"/>
  <c r="J13" i="34"/>
  <c r="J12" i="34"/>
  <c r="C12" i="34"/>
  <c r="C13" i="34" s="1"/>
  <c r="E13" i="34" s="1"/>
  <c r="K13" i="34" s="1"/>
  <c r="J11" i="34"/>
  <c r="E11" i="34"/>
  <c r="K11" i="34" s="1"/>
  <c r="J9" i="34"/>
  <c r="E9" i="34"/>
  <c r="K9" i="34" l="1"/>
  <c r="O9" i="34"/>
  <c r="E12" i="34"/>
  <c r="K12" i="34" s="1"/>
  <c r="I13" i="19" l="1"/>
  <c r="J38" i="34"/>
  <c r="C27" i="34" l="1"/>
  <c r="B27" i="34"/>
  <c r="E23" i="34"/>
  <c r="C23" i="34"/>
  <c r="C19" i="34"/>
  <c r="O11" i="34"/>
  <c r="E8" i="34"/>
  <c r="A23" i="34" s="1"/>
  <c r="E7" i="34"/>
  <c r="E6" i="34"/>
  <c r="A19" i="34" s="1"/>
  <c r="J5" i="34"/>
  <c r="O5" i="34" s="1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12" i="34" l="1"/>
  <c r="K5" i="34"/>
  <c r="A27" i="34"/>
  <c r="AX3" i="30"/>
  <c r="L8" i="13"/>
  <c r="L7" i="13"/>
  <c r="G8" i="19"/>
  <c r="N217" i="30"/>
  <c r="M217" i="30"/>
  <c r="O13" i="34" l="1"/>
  <c r="AW3" i="30"/>
  <c r="K8" i="13" l="1"/>
  <c r="H7" i="34" s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3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K510" i="28"/>
  <c r="L510" i="28" s="1"/>
  <c r="O642" i="28"/>
  <c r="G627" i="28" l="1"/>
  <c r="S642" i="28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N7" i="13" l="1"/>
  <c r="I217" i="30"/>
  <c r="AH205" i="30" s="1"/>
  <c r="AK205" i="30" s="1"/>
  <c r="K7" i="13" l="1"/>
  <c r="H6" i="34" s="1"/>
  <c r="J6" i="34" l="1"/>
  <c r="B19" i="34"/>
  <c r="E19" i="34" s="1"/>
  <c r="F23" i="34" s="1"/>
  <c r="K6" i="34" l="1"/>
  <c r="O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J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<sst xmlns="http://schemas.openxmlformats.org/spreadsheetml/2006/main" count="11424" uniqueCount="2301">
  <si>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</si>
  <si>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</si>
  <si>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</si>
  <si>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</si>
  <si>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</si>
  <si>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</si>
  <si>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</si>
  <si>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</si>
  <si>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</si>
  <si>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</si>
  <si>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</si>
  <si>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</si>
  <si>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</si>
  <si>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</si>
  <si>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</si>
  <si>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</si>
  <si>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</si>
  <si>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</si>
  <si>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</si>
  <si>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</si>
  <si>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</si>
  <si>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</si>
  <si>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</si>
  <si>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</si>
  <si>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</si>
  <si>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</si>
  <si>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</si>
  <si>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</si>
  <si>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</si>
  <si>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</si>
  <si>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</si>
  <si>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</si>
  <si>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</si>
  <si>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</si>
  <si>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</si>
  <si>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</si>
  <si>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</si>
  <si>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</si>
  <si>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</si>
  <si>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</si>
  <si>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</si>
  <si>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</si>
  <si>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</si>
  <si>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</si>
  <si>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</si>
  <si>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</si>
  <si>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</si>
  <si>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</si>
  <si>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</si>
  <si>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</si>
  <si>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</si>
  <si>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</si>
  <si>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</si>
  <si>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</si>
  <si>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</si>
  <si>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</si>
  <si>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</si>
  <si>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</si>
  <si>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</si>
  <si>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</si>
  <si>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</si>
  <si>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</si>
  <si>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</si>
  <si>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</si>
  <si>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</si>
  <si>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</si>
  <si>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</si>
  <si>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</si>
  <si>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</si>
  <si>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</si>
  <si>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</si>
  <si>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</si>
  <si>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</si>
  <si>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</si>
  <si>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</si>
  <si>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</si>
  <si>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</si>
  <si>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</si>
  <si>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</si>
  <si>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</si>
  <si>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</si>
  <si>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</si>
  <si>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</si>
  <si>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</si>
  <si>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</si>
  <si>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</si>
  <si>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</si>
  <si>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</si>
  <si>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</si>
  <si>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</si>
  <si>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</si>
  <si>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</si>
  <si>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</si>
  <si>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</si>
  <si>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</si>
  <si>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</si>
  <si>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</si>
  <si>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</si>
  <si>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</si>
  <si>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</si>
  <si>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</si>
  <si>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</si>
  <si>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</si>
  <si>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</si>
  <si>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</si>
  <si>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</si>
  <si>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</si>
  <si>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</si>
  <si>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</si>
  <si>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</si>
  <si>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</si>
  <si>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</si>
  <si>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</si>
  <si>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</si>
  <si>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</si>
  <si>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</si>
  <si>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</si>
  <si>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</si>
  <si>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</si>
  <si>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</si>
  <si>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</si>
  <si>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</si>
  <si>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</si>
  <si>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</si>
  <si>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</si>
  <si>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</si>
  <si>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</si>
  <si>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</si>
  <si>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</si>
  <si>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</si>
  <si>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</si>
  <si>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</si>
  <si>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</si>
  <si>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</si>
  <si>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</si>
  <si>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</si>
  <si>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</si>
  <si>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</si>
  <si>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</si>
  <si>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</si>
  <si>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</si>
  <si>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</si>
  <si>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</si>
  <si>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</si>
  <si>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</si>
  <si>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</si>
  <si>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</si>
  <si>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</si>
  <si>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</si>
  <si>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</si>
  <si>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</si>
  <si>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</si>
  <si>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</si>
  <si>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</si>
  <si>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</si>
  <si>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</si>
  <si>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</si>
  <si>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</si>
  <si>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</si>
  <si>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</si>
  <si>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</si>
  <si>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</si>
  <si>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</si>
  <si>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</si>
  <si>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</si>
  <si>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</si>
  <si>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</si>
  <si>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</si>
  <si>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</si>
  <si>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</si>
  <si>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</si>
  <si>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</si>
  <si>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</si>
  <si>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</si>
  <si>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</si>
  <si>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</si>
  <si>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</si>
  <si>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</si>
  <si>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</si>
  <si>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</si>
  <si>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</si>
  <si>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</si>
  <si>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</si>
  <si>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</si>
  <si>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</si>
  <si>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</si>
  <si>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</si>
  <si>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</si>
  <si>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</si>
  <si>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</si>
  <si>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</si>
  <si>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</si>
  <si>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</si>
  <si>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</si>
  <si>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</si>
  <si>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</si>
  <si>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</si>
  <si>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</si>
  <si>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</si>
  <si>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</si>
  <si>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</si>
  <si>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</si>
  <si>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</si>
  <si>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</si>
  <si>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</si>
  <si>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</si>
  <si>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</si>
  <si>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</si>
  <si>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</si>
  <si>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</si>
  <si>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</si>
  <si>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</si>
  <si>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</si>
  <si>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</si>
  <si>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</si>
  <si>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</si>
  <si>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</si>
  <si>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</si>
  <si>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</si>
  <si>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</si>
  <si>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</si>
  <si>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</si>
  <si>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</si>
  <si>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</si>
  <si>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</si>
  <si>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</si>
  <si>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</si>
  <si>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</si>
  <si>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</si>
  <si>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</si>
  <si>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</si>
  <si>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</si>
  <si>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</si>
  <si>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</si>
  <si>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</si>
  <si>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</si>
  <si>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</si>
  <si>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</si>
  <si>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</si>
  <si>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</si>
  <si>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</si>
  <si>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</si>
  <si>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</si>
  <si>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</si>
  <si>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</si>
  <si>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</si>
  <si>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</si>
  <si>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</si>
  <si>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</si>
  <si>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</si>
  <si>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</si>
  <si>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</si>
  <si>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</si>
  <si>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</si>
  <si>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</si>
  <si>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</si>
  <si>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</si>
  <si>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</si>
  <si>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</si>
  <si>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</si>
  <si>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</si>
  <si>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</si>
  <si>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</si>
  <si>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</si>
  <si>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</si>
  <si>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</si>
  <si>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</si>
  <si>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</si>
  <si>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</si>
  <si>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</si>
  <si>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</si>
  <si>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</si>
  <si>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</si>
  <si>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</si>
  <si>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</si>
  <si>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</si>
  <si>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</si>
  <si>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</si>
  <si>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</si>
  <si>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</si>
  <si>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</si>
  <si>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</si>
  <si>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</si>
  <si>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</si>
  <si>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</si>
  <si>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</si>
  <si>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</si>
  <si>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</si>
  <si>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</si>
  <si>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</si>
  <si>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</si>
  <si>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</si>
  <si>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</si>
  <si>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</si>
  <si>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</si>
  <si>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</si>
  <si>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</si>
  <si>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</si>
  <si>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</si>
  <si>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</si>
  <si>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</si>
  <si>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</si>
  <si>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</si>
  <si>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</si>
  <si>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</si>
  <si>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</si>
  <si>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</si>
  <si>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</si>
  <si>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</si>
  <si>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</si>
  <si>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</si>
  <si>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</si>
  <si>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</si>
  <si>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</si>
  <si>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</si>
  <si>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</si>
  <si>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</si>
  <si>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</si>
  <si>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</si>
  <si>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</si>
  <si>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</si>
  <si>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</si>
  <si>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</si>
  <si>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</si>
  <si>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</si>
  <si>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</si>
  <si>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</si>
  <si>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</si>
  <si>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</si>
  <si>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</si>
  <si>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</si>
  <si>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</si>
  <si>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</si>
  <si>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</si>
  <si>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</si>
  <si>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</si>
  <si>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</si>
  <si>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</si>
  <si>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</si>
  <si>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</si>
  <si>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</si>
  <si>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</si>
  <si>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</si>
  <si>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</si>
  <si>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</si>
  <si>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</si>
  <si>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</si>
  <si>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</si>
  <si>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</si>
  <si>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</si>
  <si>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</si>
  <si>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</si>
  <si>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</si>
  <si>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</si>
  <si>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</si>
  <si>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</si>
  <si>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</si>
  <si>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</si>
  <si>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</si>
  <si>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</si>
  <si>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</si>
  <si>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</si>
  <si>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</si>
  <si>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</si>
  <si>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</si>
  <si>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</si>
  <si>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</si>
  <si>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</si>
  <si>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</si>
  <si>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</si>
  <si>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</si>
  <si>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</si>
  <si>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</si>
  <si>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</si>
  <si>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</si>
  <si>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</si>
  <si>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</si>
  <si>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</si>
  <si>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</si>
  <si>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</si>
  <si>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</si>
  <si>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</si>
  <si>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</si>
  <si>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</si>
  <si>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</si>
  <si>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</si>
  <si>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</si>
  <si>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</si>
  <si>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</si>
  <si>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</si>
  <si>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</si>
  <si>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</si>
  <si>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</si>
  <si>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</si>
  <si>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</si>
  <si>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</si>
  <si>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</si>
  <si>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</si>
  <si>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</si>
  <si>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</si>
  <si>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</si>
  <si>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</si>
  <si>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</si>
  <si>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</si>
  <si>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</si>
  <si>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</si>
  <si>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</si>
  <si>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</si>
  <si>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</si>
  <si>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</si>
  <si>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</si>
  <si>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</si>
  <si>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</si>
  <si>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</si>
  <si>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</si>
  <si>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</si>
  <si>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</si>
  <si>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</si>
  <si>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</si>
  <si>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</si>
  <si>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</si>
  <si>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</si>
  <si>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</si>
  <si>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</si>
  <si>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</si>
  <si>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</si>
  <si>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</si>
  <si>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</si>
  <si>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</si>
  <si>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</si>
  <si>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</si>
  <si>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</si>
  <si>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</si>
  <si>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</si>
  <si>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</si>
  <si>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</si>
  <si>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</si>
  <si>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</si>
  <si>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</si>
  <si>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</si>
  <si>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</si>
  <si>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</si>
  <si>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</si>
  <si>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</si>
  <si>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</si>
  <si>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</si>
  <si>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</si>
  <si>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</si>
  <si>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</si>
  <si>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</si>
  <si>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</si>
  <si>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</si>
  <si>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</si>
  <si>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</si>
  <si>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</si>
  <si>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</si>
  <si>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</si>
  <si>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</si>
  <si>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</si>
  <si>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</si>
  <si>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</si>
  <si>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</si>
  <si>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</si>
  <si>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</si>
  <si>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</si>
  <si>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</si>
  <si>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</si>
  <si>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</si>
  <si>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</si>
  <si>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</si>
  <si>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</si>
  <si>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</si>
  <si>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</si>
  <si>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</si>
  <si>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</si>
  <si>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</si>
  <si>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</si>
  <si>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</si>
  <si>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</si>
  <si>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</si>
  <si>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</si>
  <si>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</si>
  <si>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</si>
  <si>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</si>
  <si>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</si>
  <si>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</si>
  <si>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</si>
  <si>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</si>
  <si>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</si>
  <si>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</si>
  <si>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</si>
  <si>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</si>
  <si>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</si>
  <si>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</si>
  <si>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</si>
  <si>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</si>
  <si>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</si>
  <si>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</si>
  <si>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</si>
  <si>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</si>
  <si>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</si>
  <si>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</si>
  <si>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</si>
  <si>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</si>
  <si>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</si>
  <si>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</si>
  <si>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</si>
  <si>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</si>
  <si>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</si>
  <si>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</si>
  <si>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</si>
  <si>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</si>
  <si>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</si>
  <si>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</si>
  <si>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</si>
  <si>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</si>
  <si>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</si>
  <si>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</si>
  <si>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</si>
  <si>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</si>
  <si>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</si>
  <si>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</si>
  <si>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</si>
  <si>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</si>
  <si>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</si>
  <si>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</si>
  <si>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</si>
  <si>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</si>
  <si>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</si>
  <si>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</si>
  <si>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</si>
  <si>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</si>
  <si>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</si>
  <si>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</si>
  <si>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</si>
  <si>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</si>
  <si>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</si>
  <si>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</si>
  <si>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</si>
  <si>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</si>
  <si>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</si>
  <si>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</si>
  <si>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</si>
  <si>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</si>
  <si>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</si>
  <si>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</si>
  <si>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</si>
  <si>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</si>
  <si>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</si>
  <si>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</si>
  <si>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</si>
  <si>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</si>
  <si>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</si>
  <si>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</si>
  <si>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</si>
  <si>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</si>
  <si>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</si>
  <si>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</si>
  <si>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</si>
  <si>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</si>
  <si>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</si>
  <si>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</si>
  <si>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</si>
  <si>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</si>
  <si>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</si>
  <si>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</si>
  <si>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</si>
  <si>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</si>
  <si>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</si>
  <si>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</si>
  <si>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</si>
  <si>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</si>
  <si>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</si>
  <si>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</si>
  <si>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</si>
  <si>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</si>
  <si>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</si>
  <si>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</si>
  <si>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</si>
  <si>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</si>
  <si>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</si>
  <si>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</si>
  <si>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</si>
  <si>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</si>
  <si>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</si>
  <si>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</si>
  <si>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</si>
  <si>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</si>
  <si>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</si>
  <si>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</si>
  <si>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</si>
  <si>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</si>
  <si>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</si>
  <si>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</si>
  <si>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</si>
  <si>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</si>
  <si>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</si>
  <si>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</si>
  <si>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</si>
  <si>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</si>
  <si>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</si>
  <si>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</si>
  <si>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</si>
  <si>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</si>
  <si>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</si>
  <si>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</si>
  <si>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</si>
  <si>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</si>
  <si>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</si>
  <si>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</si>
  <si>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</si>
  <si>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</si>
  <si>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</si>
  <si>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</si>
  <si>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</si>
  <si>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</si>
  <si>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</si>
  <si>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</si>
  <si>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</si>
  <si>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</si>
  <si>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</si>
  <si>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</si>
  <si>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</si>
  <si>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</si>
  <si>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</si>
  <si>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</si>
  <si>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</si>
  <si>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</si>
  <si>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</si>
  <si>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</si>
  <si>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</si>
  <si>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</si>
  <si>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</si>
  <si>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</si>
  <si>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</si>
  <si>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</si>
  <si>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</si>
  <si>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</si>
  <si>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</si>
  <si>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</si>
  <si>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</si>
  <si>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</si>
  <si>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</si>
  <si>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</si>
  <si>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</si>
  <si>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</si>
  <si>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</si>
  <si>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</si>
  <si>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</si>
  <si>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</si>
  <si>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</si>
  <si>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</si>
  <si>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</si>
  <si>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</si>
  <si>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</si>
  <si>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</si>
  <si>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</si>
  <si>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</si>
  <si>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</si>
  <si>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</si>
  <si>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</si>
  <si>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</si>
  <si>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</si>
  <si>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</si>
  <si>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</si>
  <si>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</si>
  <si>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</si>
  <si>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</si>
  <si>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</si>
  <si>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</si>
  <si>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</si>
  <si>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</si>
  <si>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</si>
  <si>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</si>
  <si>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</si>
  <si>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</si>
  <si>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</si>
  <si>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</si>
  <si>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</si>
  <si>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</si>
  <si>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</si>
  <si>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</si>
  <si>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</si>
  <si>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</si>
  <si>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</si>
  <si>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</si>
  <si>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</si>
  <si>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</si>
  <si>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</si>
  <si>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</si>
  <si>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</si>
  <si>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</si>
  <si>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</si>
  <si>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</si>
  <si>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</si>
  <si>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</si>
  <si>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</si>
  <si>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</si>
  <si>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</si>
  <si>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</si>
  <si>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</si>
  <si>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</si>
  <si>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</si>
  <si>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</si>
  <si>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</si>
  <si>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</si>
  <si>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</si>
  <si>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</si>
  <si>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</si>
  <si>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</si>
  <si>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</si>
  <si>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</si>
  <si>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</si>
  <si>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</si>
  <si>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</si>
  <si>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</si>
  <si>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</si>
  <si>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</si>
  <si>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</si>
  <si>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</si>
  <si>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</si>
  <si>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</si>
  <si>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</si>
  <si>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</si>
  <si>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</si>
  <si>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</si>
  <si>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</si>
  <si>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</si>
  <si>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</si>
  <si>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</si>
  <si>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</si>
  <si>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</si>
  <si>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</si>
  <si>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</si>
  <si>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</si>
  <si>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</si>
  <si>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</si>
  <si>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</si>
  <si>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</si>
  <si>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</si>
  <si>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</si>
  <si>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</si>
  <si>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</si>
  <si>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</si>
  <si>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</si>
  <si>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</si>
  <si>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</si>
  <si>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</si>
  <si>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</si>
  <si>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</si>
  <si>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</si>
  <si>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</si>
  <si>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</si>
  <si>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</si>
  <si>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</si>
  <si>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</si>
  <si>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</si>
  <si>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</si>
  <si>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</si>
  <si>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</si>
  <si>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</si>
  <si>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</si>
  <si>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</si>
  <si>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</si>
  <si>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</si>
  <si>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</si>
  <si>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</si>
  <si>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</si>
  <si>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</si>
  <si>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</si>
  <si>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</si>
  <si>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</si>
  <si>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</si>
  <si>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</si>
  <si>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</si>
  <si>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</si>
  <si>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</si>
  <si>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</si>
  <si>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</si>
  <si>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</si>
  <si>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</si>
  <si>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</si>
  <si>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</si>
  <si>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</si>
  <si>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</si>
  <si>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</si>
  <si>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</si>
  <si>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</si>
  <si>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</si>
  <si>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</si>
  <si>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</si>
  <si>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</si>
  <si>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</si>
  <si>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</si>
  <si>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</si>
  <si>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</si>
  <si>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</si>
  <si>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</si>
  <si>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</si>
  <si>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</si>
  <si>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</si>
  <si>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</si>
  <si>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</si>
  <si>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</si>
  <si>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</si>
  <si>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</si>
  <si>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</si>
  <si>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</si>
  <si>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</si>
  <si>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</si>
  <si>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</si>
  <si>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</si>
  <si>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</si>
  <si>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</si>
  <si>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</si>
  <si>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</si>
  <si>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</si>
  <si>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</si>
  <si>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</si>
  <si>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</si>
  <si>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</si>
  <si>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</si>
  <si>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</si>
  <si>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</si>
  <si>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</si>
  <si>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</si>
  <si>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</si>
  <si>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</si>
  <si>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</si>
  <si>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</si>
  <si>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</si>
  <si>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</si>
  <si>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</si>
  <si>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</si>
  <si>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</si>
  <si>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</si>
  <si>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</si>
  <si>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</si>
  <si>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</si>
  <si>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</si>
  <si>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</si>
  <si>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</si>
  <si>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</si>
  <si>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</si>
  <si>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</si>
  <si>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</si>
  <si>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</si>
  <si>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</si>
  <si>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</si>
  <si>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</si>
  <si>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</si>
  <si>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</si>
  <si>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</si>
  <si>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</si>
  <si>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</si>
  <si>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</si>
  <si>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</si>
  <si>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</si>
  <si>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</si>
  <si>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</si>
  <si>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</si>
  <si>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</si>
  <si>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</si>
  <si>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</si>
  <si>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</si>
  <si>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</si>
  <si>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</si>
  <si>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</si>
  <si>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</si>
  <si>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</si>
  <si>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</si>
  <si>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</si>
  <si>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</si>
  <si>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</si>
  <si>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</si>
  <si>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</si>
  <si>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</si>
  <si>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</si>
  <si>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</si>
  <si>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</si>
  <si>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</si>
  <si>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</si>
  <si>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</si>
  <si>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</si>
  <si>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</si>
  <si>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</si>
  <si>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</si>
  <si>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</si>
  <si>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</si>
  <si>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</si>
  <si>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</si>
  <si>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</si>
  <si>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</si>
  <si>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</si>
  <si>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</si>
  <si>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</si>
  <si>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</si>
  <si>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</si>
  <si>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</si>
  <si>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</si>
  <si>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</si>
  <si>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</si>
  <si>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</si>
  <si>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</si>
  <si>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</si>
  <si>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</si>
  <si>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</si>
  <si>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</si>
  <si>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</si>
  <si>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</si>
  <si>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</si>
  <si>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</si>
  <si>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</si>
  <si>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</si>
  <si>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</si>
  <si>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</si>
  <si>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</si>
  <si>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</si>
  <si>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</si>
  <si>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</si>
  <si>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</si>
  <si>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</si>
  <si>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</si>
  <si>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</si>
  <si>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</si>
  <si>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</si>
  <si>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</si>
  <si>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</si>
  <si>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</si>
  <si>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</si>
  <si>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</si>
  <si>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</si>
  <si>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</si>
  <si>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</si>
  <si>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</si>
  <si>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</si>
  <si>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</si>
  <si>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</si>
  <si>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</si>
  <si>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</si>
  <si>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</si>
  <si>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</si>
  <si>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</si>
  <si>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</si>
  <si>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</si>
  <si>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</si>
  <si>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</si>
  <si>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</si>
  <si>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</si>
  <si>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</si>
  <si>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</si>
  <si>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</si>
  <si>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</si>
  <si>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</si>
  <si>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</si>
  <si>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</si>
  <si>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</si>
  <si>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</si>
  <si>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</si>
  <si>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</si>
  <si>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</si>
  <si>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</si>
  <si>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</si>
  <si>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</si>
  <si>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</si>
  <si>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</si>
  <si>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</si>
  <si>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</si>
  <si>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</si>
  <si>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</si>
  <si>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</si>
  <si>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</si>
  <si>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</si>
  <si>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</si>
  <si>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</si>
  <si>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</si>
  <si>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</si>
  <si>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</si>
  <si>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</si>
  <si>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</si>
  <si>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</si>
  <si>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</si>
  <si>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</si>
  <si>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</si>
  <si>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</si>
  <si>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</si>
  <si>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</si>
  <si>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</si>
  <si>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</si>
  <si>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</si>
  <si>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</si>
  <si>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</si>
  <si>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</si>
  <si>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</si>
  <si>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</si>
  <si>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</si>
  <si>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</si>
  <si>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</si>
  <si>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</si>
  <si>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</si>
  <si>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</si>
  <si>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</si>
  <si>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</si>
  <si>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</si>
  <si>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</si>
  <si>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</si>
  <si>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</si>
  <si>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</si>
  <si>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</si>
  <si>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</si>
  <si>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</si>
  <si>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</si>
  <si>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</si>
  <si>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</si>
  <si>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</si>
  <si>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</si>
  <si>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</si>
  <si>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</si>
  <si>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</si>
  <si>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</si>
  <si>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</si>
  <si>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</si>
  <si>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</si>
  <si>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</si>
  <si>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</si>
  <si>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</si>
  <si>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</si>
  <si>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</si>
  <si>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</si>
  <si>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</si>
  <si>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</si>
  <si>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</si>
  <si>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</si>
  <si>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</si>
  <si>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</si>
  <si>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</si>
  <si>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</si>
  <si>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</si>
  <si>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</si>
  <si>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</si>
  <si>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</si>
  <si>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</si>
  <si>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</si>
  <si>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</si>
  <si>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</si>
  <si>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</si>
  <si>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</si>
  <si>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</si>
  <si>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</si>
  <si>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</si>
  <si>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</si>
  <si>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</si>
  <si>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</si>
  <si>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</si>
  <si>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</si>
  <si>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</si>
  <si>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</si>
  <si>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</si>
  <si>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</si>
  <si>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</si>
  <si>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</si>
  <si>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</si>
  <si>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</si>
  <si>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</si>
  <si>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</si>
  <si>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</si>
  <si>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</si>
  <si>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</si>
  <si>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</si>
  <si>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</si>
  <si>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</si>
  <si>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</si>
  <si>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</si>
  <si>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</si>
  <si>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</si>
  <si>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</si>
  <si>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</si>
  <si>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</si>
  <si>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</si>
  <si>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</si>
  <si>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</si>
  <si>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</si>
  <si>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</si>
  <si>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</si>
  <si>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</si>
  <si>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</si>
  <si>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</si>
  <si>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</si>
  <si>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</si>
  <si>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</si>
  <si>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</si>
  <si>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</si>
  <si>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</si>
  <si>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</si>
  <si>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</si>
  <si>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</si>
  <si>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</si>
  <si>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</si>
  <si>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</si>
  <si>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</si>
  <si>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</si>
  <si>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</si>
  <si>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</si>
  <si>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</si>
  <si>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</si>
  <si>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</si>
  <si>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</si>
  <si>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</si>
  <si>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</si>
  <si>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</si>
  <si>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</si>
  <si>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</si>
  <si>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</si>
  <si>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</si>
  <si>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</si>
  <si>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</si>
  <si>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</si>
  <si>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</si>
  <si>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</si>
  <si>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</si>
  <si>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</si>
  <si>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</si>
  <si>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</si>
  <si>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</si>
  <si>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</si>
  <si>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</si>
  <si>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</si>
  <si>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</si>
  <si>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</si>
  <si>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</si>
  <si>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</si>
  <si>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</si>
  <si>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</si>
  <si>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</si>
  <si>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</si>
  <si>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</si>
  <si>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</si>
  <si>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</si>
  <si>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</si>
  <si>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</si>
  <si>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</si>
  <si>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</si>
  <si>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</si>
  <si>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</si>
  <si>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</si>
  <si>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</si>
  <si>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</si>
  <si>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</si>
  <si>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</si>
  <si>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</si>
  <si>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</si>
  <si>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</si>
  <si>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</si>
  <si>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</si>
  <si>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</si>
  <si>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</si>
  <si>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</si>
  <si>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</si>
  <si>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</si>
  <si>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</si>
  <si>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</si>
  <si>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</si>
  <si>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</si>
  <si>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</si>
  <si>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</si>
  <si>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</si>
  <si>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</si>
  <si>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</si>
  <si>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</si>
  <si>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</si>
  <si>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</si>
  <si>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</si>
  <si>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</si>
  <si>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</si>
  <si>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</si>
  <si>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</si>
  <si>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</si>
  <si>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</si>
  <si>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</si>
  <si>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</si>
  <si>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</si>
  <si>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</si>
  <si>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</si>
  <si>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</si>
  <si>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</si>
  <si>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</si>
  <si>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</si>
  <si>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</si>
  <si>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</si>
  <si>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</si>
  <si>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</si>
  <si>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</si>
  <si>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</si>
  <si>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</si>
  <si>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</si>
  <si>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</si>
  <si>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</si>
  <si>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</si>
  <si>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</si>
  <si>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</si>
  <si>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</si>
  <si>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</si>
  <si>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</si>
  <si>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</si>
  <si>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</si>
  <si>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</si>
  <si>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</si>
  <si>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</si>
  <si>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</si>
  <si>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</si>
  <si>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</si>
  <si>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</si>
  <si>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</si>
  <si>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</si>
  <si>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</si>
  <si>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</si>
  <si>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</si>
  <si>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</si>
  <si>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</si>
  <si>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</si>
  <si>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</si>
  <si>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</si>
  <si>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</si>
  <si>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</si>
  <si>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</si>
  <si>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</si>
  <si>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</si>
  <si>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</si>
  <si>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</si>
  <si>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</si>
  <si>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</si>
  <si>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</si>
  <si>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</si>
  <si>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</si>
  <si>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</si>
  <si>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</si>
  <si>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</si>
  <si>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</si>
  <si>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</si>
  <si>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</si>
  <si>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</si>
  <si>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</si>
  <si>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</si>
  <si>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</si>
  <si>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</si>
  <si>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</si>
  <si>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</si>
  <si>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</si>
  <si>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</si>
  <si>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</si>
  <si>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</si>
  <si>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</si>
  <si>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</si>
  <si>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</si>
  <si>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</si>
  <si>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</si>
  <si>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</si>
  <si>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</si>
  <si>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</si>
  <si>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</si>
  <si>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</si>
  <si>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</si>
  <si>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</si>
  <si>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</si>
  <si>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</si>
  <si>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</si>
  <si>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</si>
  <si>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</si>
  <si>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</si>
  <si>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</si>
  <si>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</si>
  <si>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</si>
  <si>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</si>
  <si>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</si>
  <si>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</si>
  <si>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</si>
  <si>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</si>
  <si>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</si>
  <si>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</si>
  <si>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</si>
  <si>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</si>
  <si>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</si>
  <si>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</si>
  <si>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</si>
  <si>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</si>
  <si>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</si>
  <si>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</si>
  <si>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</si>
  <si>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</si>
  <si>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</si>
  <si>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</si>
  <si>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</si>
  <si>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</si>
  <si>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</si>
  <si>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</si>
  <si>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</si>
  <si>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</si>
  <si>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</si>
  <si>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</si>
  <si>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</si>
  <si>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</si>
  <si>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</si>
  <si>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</si>
  <si>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</si>
  <si>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</si>
  <si>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</si>
  <si>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</si>
  <si>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</si>
  <si>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</si>
  <si>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</si>
  <si>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</si>
  <si>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</si>
  <si>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</si>
  <si>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</si>
  <si>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</si>
  <si>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</si>
  <si>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</si>
  <si>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</si>
  <si>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</si>
  <si>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</si>
  <si>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</si>
  <si>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</si>
  <si>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</si>
  <si>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</si>
  <si>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</si>
  <si>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</si>
  <si>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</si>
  <si>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</si>
  <si>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</si>
  <si>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</si>
  <si>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</si>
  <si>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</si>
  <si>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</si>
  <si>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</si>
  <si>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</si>
  <si>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</si>
  <si>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</si>
  <si>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</si>
  <si>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</si>
  <si>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</si>
  <si>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</si>
  <si>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</si>
  <si>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</si>
  <si>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</si>
  <si>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</si>
  <si>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</si>
  <si>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</si>
  <si>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</si>
  <si>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</si>
  <si>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</si>
  <si>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</si>
  <si>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</si>
  <si>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</si>
  <si>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</si>
  <si>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</si>
  <si>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</si>
  <si>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</si>
  <si>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</si>
  <si>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</si>
  <si>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</si>
  <si>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</si>
  <si>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</si>
  <si>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</si>
  <si>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</si>
  <si>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</si>
  <si>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</si>
  <si>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</si>
  <si>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</si>
  <si>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</si>
  <si>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</si>
  <si>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</si>
  <si>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</si>
  <si>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</si>
  <si>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</si>
  <si>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</si>
  <si>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</si>
  <si>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</si>
  <si>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</si>
  <si>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</si>
  <si>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</si>
  <si>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</si>
  <si>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</si>
  <si>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</si>
  <si>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</si>
  <si>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</si>
  <si>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</si>
  <si>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</si>
  <si>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</si>
  <si>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</si>
  <si>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</si>
  <si>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</si>
  <si>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</si>
  <si>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</si>
  <si>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</si>
  <si>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</si>
  <si>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</si>
  <si>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</si>
  <si>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</si>
  <si>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</si>
  <si>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</si>
  <si>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</si>
  <si>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</si>
  <si>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</si>
  <si>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</si>
  <si>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</si>
  <si>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</si>
  <si>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</si>
  <si>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</si>
  <si>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</si>
  <si>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</si>
  <si>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</si>
  <si>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</si>
  <si>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</si>
  <si>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</si>
  <si>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</si>
  <si>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</si>
  <si>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</si>
  <si>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</si>
  <si>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</si>
  <si>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</si>
  <si>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</si>
  <si>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</si>
  <si>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</si>
  <si>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</si>
  <si>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</si>
  <si>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</si>
  <si>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</si>
  <si>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</si>
  <si>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</si>
  <si>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</si>
  <si>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</si>
  <si>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</si>
  <si>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</si>
  <si>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</si>
  <si>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</si>
  <si>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</si>
  <si>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</si>
  <si>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</si>
  <si>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</si>
  <si>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</si>
  <si>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</si>
  <si>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</si>
  <si>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</si>
  <si>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</si>
  <si>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</si>
  <si>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</si>
  <si>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</si>
  <si>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</si>
  <si>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</si>
  <si>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</si>
  <si>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</si>
  <si>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</si>
  <si>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</si>
  <si>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</si>
  <si>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</si>
  <si>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</si>
  <si>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</si>
  <si>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</si>
  <si>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</si>
  <si>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</si>
  <si>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</si>
  <si>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</si>
  <si>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</si>
  <si>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</si>
  <si>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</si>
  <si>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</si>
  <si>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</si>
  <si>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</si>
  <si>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</si>
  <si>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</si>
  <si>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</si>
  <si>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</si>
  <si>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</si>
  <si>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</si>
  <si>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</si>
  <si>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</si>
  <si>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</si>
  <si>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</si>
  <si>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</si>
  <si>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</si>
  <si>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</si>
  <si>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</si>
  <si>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</si>
  <si>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</si>
  <si>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</si>
  <si>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</si>
  <si>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</si>
  <si>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</si>
  <si>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</si>
  <si>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</si>
  <si>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</si>
  <si>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</si>
  <si>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</si>
  <si>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</si>
  <si>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</si>
  <si>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</si>
  <si>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</si>
  <si>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</si>
  <si>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</si>
  <si>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</si>
  <si>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</si>
  <si>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</si>
  <si>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</si>
  <si>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</si>
  <si>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</si>
  <si>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</si>
  <si>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</si>
  <si>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</si>
  <si>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</si>
  <si>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</si>
  <si>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</si>
  <si>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</si>
  <si>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</si>
  <si>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</si>
  <si>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</si>
  <si>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</si>
  <si>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</si>
  <si>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</si>
  <si>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</si>
  <si>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</si>
  <si>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</si>
  <si>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</si>
  <si>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</si>
  <si>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</si>
  <si>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</si>
  <si>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</si>
  <si>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</si>
  <si>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</si>
  <si>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</si>
  <si>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</si>
  <si>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</si>
  <si>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</si>
  <si>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</si>
  <si>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</si>
  <si>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</si>
  <si>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</si>
  <si>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</si>
  <si>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</si>
  <si>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</si>
  <si>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</si>
  <si>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</si>
  <si>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</si>
  <si>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</si>
  <si>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</si>
  <si>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</si>
  <si>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</si>
  <si>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</si>
  <si>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</si>
  <si>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</si>
  <si>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</si>
  <si>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</si>
  <si>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</si>
  <si>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</si>
  <si>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</si>
  <si>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</si>
  <si>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</si>
  <si>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</si>
  <si>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</si>
  <si>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</si>
  <si>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</si>
  <si>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</si>
  <si>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</si>
  <si>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</si>
  <si>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</si>
  <si>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</si>
  <si>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</si>
  <si>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</si>
  <si>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</si>
  <si>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</si>
  <si>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</si>
  <si>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</si>
  <si>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</si>
  <si>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</si>
  <si>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</si>
  <si>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</si>
  <si>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</si>
  <si>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</si>
  <si>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</si>
  <si>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</si>
  <si>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</si>
  <si>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</si>
  <si>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</si>
  <si>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</si>
  <si>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</si>
  <si>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</si>
  <si>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</si>
  <si>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</si>
  <si>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</si>
  <si>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</si>
  <si>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</si>
  <si>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</si>
  <si>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</si>
  <si>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</si>
  <si>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</si>
  <si>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</si>
  <si>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</si>
  <si>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</si>
  <si>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</si>
  <si>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</si>
  <si>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</si>
  <si>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</si>
  <si>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</si>
  <si>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</si>
  <si>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</si>
  <si>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</si>
  <si>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</si>
  <si>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</si>
  <si>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</si>
  <si>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</si>
  <si>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</si>
  <si>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</si>
  <si>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</si>
  <si>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</si>
  <si>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</si>
  <si>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</si>
  <si>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</si>
  <si>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</si>
  <si>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</si>
  <si>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</si>
  <si>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</si>
  <si>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</si>
  <si>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</si>
  <si>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</si>
  <si>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</si>
  <si>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</si>
  <si>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</si>
  <si>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</si>
  <si>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</si>
  <si>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</si>
  <si>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</si>
  <si>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</si>
  <si>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</si>
  <si>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</si>
  <si>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</si>
  <si>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</si>
  <si>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</si>
  <si>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</si>
  <si>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</si>
  <si>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</si>
  <si>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</si>
  <si>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</si>
  <si>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</si>
  <si>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</si>
  <si>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</si>
  <si>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</si>
  <si>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</si>
  <si>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</si>
  <si>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</si>
  <si>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</si>
  <si>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</si>
  <si>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</si>
  <si>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</si>
  <si>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</si>
  <si>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</si>
  <si>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</si>
  <si>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</si>
  <si>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</si>
  <si>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</si>
  <si>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</si>
  <si>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</si>
  <si>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</si>
  <si>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</si>
  <si>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</si>
  <si>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</si>
  <si>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</si>
  <si>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</si>
  <si>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</si>
  <si>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</si>
  <si>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</si>
  <si>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</si>
  <si>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</si>
  <si>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</si>
  <si>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</si>
  <si>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</si>
  <si>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</si>
  <si>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</si>
  <si>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</si>
  <si>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</si>
  <si>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</si>
  <si>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</si>
  <si>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</si>
  <si>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</si>
  <si>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</si>
  <si>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</si>
  <si>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</si>
  <si>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</si>
  <si>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</si>
  <si>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</si>
  <si>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</si>
  <si>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</si>
  <si>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</si>
  <si>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</si>
  <si>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</si>
  <si>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</si>
  <si>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</si>
  <si>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</si>
  <si>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</si>
  <si>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</si>
  <si>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</si>
  <si>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</si>
  <si>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</si>
  <si>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</si>
  <si>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</si>
  <si>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</si>
  <si>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</si>
  <si>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</si>
  <si>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</si>
  <si>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</si>
  <si>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</si>
  <si>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</si>
  <si>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</si>
  <si>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</si>
  <si>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</si>
  <si>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</si>
  <si>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</si>
  <si>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</si>
  <si>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</si>
  <si>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</si>
  <si>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</si>
  <si>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</si>
  <si>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</si>
  <si>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</si>
  <si>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</si>
  <si>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</si>
  <si>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</si>
  <si>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</si>
  <si>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</si>
  <si>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</si>
  <si>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</si>
  <si>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</si>
  <si>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</si>
  <si>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</si>
  <si>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</si>
  <si>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</si>
  <si>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</si>
  <si>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</si>
  <si>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</si>
  <si>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</si>
  <si>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</si>
  <si>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</si>
  <si>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</si>
  <si>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</si>
  <si>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</si>
  <si>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</si>
  <si>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</si>
  <si>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</si>
  <si>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</si>
  <si>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</si>
  <si>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</si>
  <si>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</si>
  <si>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</si>
  <si>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</si>
  <si>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</si>
  <si>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</si>
  <si>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</si>
  <si>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</si>
  <si>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</si>
  <si>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</si>
  <si>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</si>
  <si>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</si>
  <si>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</si>
  <si>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</si>
  <si>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</si>
  <si>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</si>
  <si>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</si>
  <si>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</si>
  <si>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</si>
  <si>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</si>
  <si>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</si>
  <si>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</si>
  <si>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</si>
  <si>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</si>
  <si>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</si>
  <si>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</si>
  <si>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</si>
  <si>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</si>
  <si>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</si>
  <si>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</si>
  <si>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</si>
  <si>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</si>
  <si>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</si>
  <si>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</si>
  <si>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</si>
  <si>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</si>
  <si>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</si>
  <si>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</si>
  <si>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</si>
  <si>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</si>
  <si>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</si>
  <si>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</si>
  <si>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</si>
  <si>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</si>
  <si>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</si>
  <si>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</si>
  <si>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</si>
  <si>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</si>
  <si>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</si>
  <si>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</si>
  <si>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</si>
  <si>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</si>
  <si>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</si>
  <si>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</si>
  <si>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</si>
  <si>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</si>
  <si>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</si>
  <si>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</si>
  <si>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</si>
  <si>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</si>
  <si>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</si>
  <si>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</si>
  <si>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</si>
  <si>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</si>
  <si>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</si>
  <si>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</si>
  <si>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</si>
  <si>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</si>
  <si>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</si>
  <si>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</si>
  <si>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</si>
  <si>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</si>
  <si>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</si>
  <si>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</si>
  <si>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</si>
  <si>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</si>
  <si>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</si>
  <si>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</si>
  <si>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</si>
  <si>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</si>
  <si>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</si>
  <si>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</si>
  <si>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</si>
  <si>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</si>
  <si>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</si>
  <si>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</si>
  <si>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</si>
  <si>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</si>
  <si>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</si>
  <si>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</si>
  <si>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</si>
  <si>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</si>
  <si>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</si>
  <si>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</si>
  <si>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</si>
  <si>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</si>
  <si>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</si>
  <si>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</si>
  <si>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</si>
  <si>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</si>
  <si>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</si>
  <si>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</si>
  <si>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</si>
  <si>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</si>
  <si>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</si>
  <si>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</si>
  <si>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</si>
  <si>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</si>
  <si>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</si>
  <si>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</si>
  <si>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</si>
  <si>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</si>
  <si>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</si>
  <si>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</si>
  <si>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</si>
  <si>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</si>
  <si>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</si>
  <si>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</si>
  <si>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</si>
  <si>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</si>
  <si>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</si>
  <si>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</si>
  <si>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</si>
  <si>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</si>
  <si>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</si>
  <si>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</si>
  <si>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</si>
  <si>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</si>
  <si>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</si>
  <si>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</si>
  <si>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</si>
  <si>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</si>
  <si>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</si>
  <si>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</si>
  <si>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</si>
  <si>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</si>
  <si>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</si>
  <si>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</si>
  <si>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</si>
  <si>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</si>
  <si>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</si>
  <si>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</si>
  <si>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</si>
  <si>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</si>
  <si>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</si>
  <si>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</si>
  <si>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</si>
  <si>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</si>
  <si>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</si>
  <si>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</si>
  <si>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</si>
  <si>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</si>
  <si>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</si>
  <si>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</si>
  <si>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</si>
  <si>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</si>
  <si>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</si>
  <si>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</si>
  <si>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</si>
  <si>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</si>
  <si>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</si>
  <si>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</si>
  <si>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</si>
  <si>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</si>
  <si>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</si>
  <si>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</si>
  <si>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</si>
  <si>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</si>
  <si>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</si>
  <si>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</si>
  <si>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</si>
  <si>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</si>
  <si>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</si>
  <si>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</si>
  <si>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</si>
  <si>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</si>
  <si>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</si>
  <si>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</si>
  <si>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</si>
  <si>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</si>
  <si>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</si>
  <si>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</si>
  <si>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</si>
  <si>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</si>
  <si>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</si>
  <si>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</si>
  <si>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</si>
  <si>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</si>
  <si>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</si>
  <si>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</si>
  <si>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</si>
  <si>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</si>
  <si>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</si>
  <si>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</si>
  <si>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</si>
  <si>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</si>
  <si>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</si>
  <si>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</si>
  <si>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</si>
  <si>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</si>
  <si>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</si>
  <si>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</si>
  <si>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</si>
  <si>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</si>
  <si>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</si>
  <si>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</si>
  <si>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</si>
  <si>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</si>
  <si>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</si>
  <si>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</si>
  <si>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</si>
  <si>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</si>
  <si>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</si>
  <si>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</si>
  <si>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</si>
  <si>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</si>
  <si>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</si>
  <si>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</si>
  <si>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</si>
  <si>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</si>
  <si>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</si>
  <si>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</si>
  <si>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</si>
  <si>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</si>
  <si>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</si>
  <si>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</si>
  <si>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</si>
  <si>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</si>
  <si>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</si>
  <si>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</si>
  <si>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</si>
  <si>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</si>
  <si>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</si>
  <si>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</si>
  <si>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</si>
  <si>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</si>
  <si>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</si>
  <si>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</si>
  <si>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</si>
  <si>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</si>
  <si>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</si>
  <si>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</si>
  <si>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</si>
  <si>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</si>
  <si>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</si>
  <si>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</si>
  <si>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</si>
  <si>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</si>
  <si>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</si>
  <si>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</si>
  <si>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</si>
  <si>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</si>
  <si>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</si>
  <si>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</si>
  <si>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</si>
  <si>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</si>
  <si>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</si>
  <si>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</si>
  <si>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</si>
  <si>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</si>
  <si>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</si>
  <si>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</si>
  <si>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</si>
  <si>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</si>
  <si>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</si>
  <si>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</si>
  <si>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</si>
  <si>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</si>
  <si>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</si>
  <si>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</si>
  <si>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</si>
  <si>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</si>
  <si>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</si>
  <si>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</si>
  <si>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</si>
  <si>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</si>
  <si>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</si>
  <si>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</si>
  <si>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</si>
  <si>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</si>
  <si>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</si>
  <si>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</si>
  <si>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</si>
  <si>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</si>
  <si>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</si>
  <si>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</si>
  <si>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</si>
  <si>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</si>
  <si>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</si>
  <si>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</si>
  <si>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</si>
  <si>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</si>
  <si>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</si>
  <si>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</si>
  <si>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</si>
  <si>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</si>
  <si>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</si>
  <si>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</si>
  <si>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</si>
  <si>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</si>
  <si>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</si>
  <si>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</si>
  <si>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</si>
  <si>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</si>
  <si>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</si>
  <si>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</si>
  <si>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</si>
  <si>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</si>
  <si>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</si>
  <si>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</si>
  <si>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</si>
  <si>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</si>
  <si>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</si>
  <si>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</si>
  <si>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</si>
  <si>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</si>
  <si>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</si>
  <si>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</si>
  <si>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</si>
  <si>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</si>
  <si>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</si>
  <si>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</si>
  <si>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</si>
  <si>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</si>
  <si>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</si>
  <si>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</si>
  <si>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</si>
  <si>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</si>
  <si>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</si>
  <si>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</si>
  <si>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</si>
  <si>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</si>
  <si>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</si>
  <si>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</si>
  <si>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</si>
  <si>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</si>
  <si>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</si>
  <si>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</si>
  <si>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</si>
  <si>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</si>
  <si>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</si>
  <si>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</si>
  <si>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</si>
  <si>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</si>
  <si>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</si>
  <si>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</si>
  <si>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</si>
  <si>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</si>
  <si>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</si>
  <si>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</si>
  <si>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</si>
  <si>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</si>
  <si>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</si>
  <si>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</si>
  <si>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</si>
  <si>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</si>
  <si>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</si>
  <si>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</si>
  <si>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</si>
  <si>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</si>
  <si>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</si>
  <si>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</si>
  <si>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</si>
  <si>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</si>
  <si>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</si>
  <si>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</si>
  <si>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</si>
  <si>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</si>
  <si>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</si>
  <si>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</si>
  <si>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</si>
  <si>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</si>
  <si>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</si>
  <si>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</si>
  <si>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</si>
  <si>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</si>
  <si>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</si>
  <si>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</si>
  <si>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</si>
  <si>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</si>
  <si>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</si>
  <si>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</si>
  <si>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Nirmal Wire Pvt. Ltd.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</si>
  <si>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</si>
  <si>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</si>
  <si>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</si>
  <si>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</si>
  <si>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</si>
  <si>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</si>
  <si>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</si>
  <si>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</si>
  <si>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</si>
  <si>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</si>
  <si>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</si>
  <si>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</si>
  <si>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</si>
  <si>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</si>
  <si>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</si>
  <si>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</si>
  <si>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</si>
  <si>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</si>
  <si>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</si>
  <si>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</si>
  <si>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</si>
  <si>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</si>
  <si>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District wise section</t>
  </si>
  <si>
    <t>May'26</t>
  </si>
  <si>
    <t>Sub-Contractor</t>
  </si>
  <si>
    <t>Jwala singh -2</t>
  </si>
  <si>
    <t>Balaji Construction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</si>
  <si>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</si>
  <si>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</si>
  <si>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</si>
  <si>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</si>
  <si>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</si>
  <si>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</si>
  <si>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</si>
  <si>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</si>
  <si>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</si>
  <si>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</si>
  <si>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</si>
  <si>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</si>
  <si>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</si>
  <si>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</si>
  <si>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</si>
  <si>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</si>
  <si>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</si>
  <si>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</si>
  <si>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</si>
  <si>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</si>
  <si>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</si>
  <si>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</si>
  <si>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</si>
  <si>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</si>
  <si>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</si>
  <si>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</si>
  <si>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</si>
  <si>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</si>
  <si>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</si>
  <si>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</si>
  <si>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</si>
  <si>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</si>
  <si>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</si>
  <si>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</si>
  <si>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</si>
  <si>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</si>
  <si>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</si>
  <si>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</si>
  <si>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</si>
  <si>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</si>
  <si>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</si>
  <si>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</si>
  <si>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</si>
  <si>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</si>
  <si>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</si>
  <si>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</si>
  <si>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</si>
  <si>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</si>
  <si>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</si>
  <si>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</si>
  <si>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</si>
  <si>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</si>
  <si>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</si>
  <si>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</si>
  <si>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</si>
  <si>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</si>
  <si>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</si>
  <si>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</si>
  <si>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</si>
  <si>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</si>
  <si>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</si>
  <si>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</si>
  <si>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</si>
  <si>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</si>
  <si>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</si>
  <si>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</si>
  <si>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</si>
  <si>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</si>
  <si>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</si>
  <si>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</si>
  <si>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</si>
  <si>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</si>
  <si>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</si>
  <si>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</si>
  <si>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</si>
  <si>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</si>
  <si>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</si>
  <si>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</si>
  <si>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</si>
  <si>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</si>
  <si>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</si>
  <si>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</si>
  <si>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</si>
  <si>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</si>
  <si>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</si>
  <si>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</si>
  <si>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</si>
  <si>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</si>
  <si>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</si>
  <si>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</si>
  <si>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</si>
  <si>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Aug'25</t>
  </si>
  <si>
    <t>Sep'25</t>
  </si>
  <si>
    <t>Oct'25</t>
  </si>
  <si>
    <t>Final Checking</t>
  </si>
  <si>
    <t>Jan'25</t>
  </si>
  <si>
    <t>Feb'25</t>
  </si>
  <si>
    <t>Mar'25</t>
  </si>
  <si>
    <t>Apr'25</t>
  </si>
  <si>
    <t>May'25</t>
  </si>
  <si>
    <t>Jun'25</t>
  </si>
  <si>
    <t>Jul'25</t>
  </si>
  <si>
    <t>Jwala Singh 2</t>
  </si>
  <si>
    <t xml:space="preserve">Jwala Singh </t>
  </si>
  <si>
    <t>Rev</t>
  </si>
  <si>
    <t>WK</t>
  </si>
  <si>
    <t>W1</t>
  </si>
  <si>
    <t>W2</t>
  </si>
  <si>
    <t>W3</t>
  </si>
  <si>
    <t>W4</t>
  </si>
  <si>
    <t>Sum of Rev</t>
  </si>
  <si>
    <t>(May) Week wise</t>
  </si>
  <si>
    <t>1st section u/p</t>
  </si>
  <si>
    <t>Material shifting </t>
  </si>
  <si>
    <t>Comp WK</t>
  </si>
  <si>
    <t>June'26</t>
  </si>
  <si>
    <t xml:space="preserve">TP </t>
  </si>
  <si>
    <t>Jun'26</t>
  </si>
  <si>
    <t>Jwala Singh </t>
  </si>
  <si>
    <t>Jwala Singh 2</t>
  </si>
  <si>
    <t xml:space="preserve">JWALA SINGH </t>
  </si>
  <si>
    <t>JWALA SINGH-2</t>
  </si>
  <si>
    <t>Excavation u/p</t>
  </si>
  <si>
    <t>Tack Welding</t>
  </si>
  <si>
    <t>Hemraj Yadav</t>
  </si>
  <si>
    <t>Route alignment Approval Pending from PGCIL AP 41 and AP 45 (6.465 km) &amp; (MPIDC - AP 21 and AP 24 - 3.843 km)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</si>
  <si>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</si>
  <si>
    <t>Mausauddin sk</t>
  </si>
  <si>
    <t>Basic body u/p</t>
  </si>
  <si>
    <t>Pit-B&amp;C Steel binding complete </t>
  </si>
  <si>
    <t>Pit marking Complete </t>
  </si>
  <si>
    <t>ROW- 61/1, 41/6, 61/0, 65/6</t>
  </si>
  <si>
    <t>Tower body complete</t>
  </si>
  <si>
    <t>Ground assembly </t>
  </si>
  <si>
    <t>Mausauddin sk </t>
  </si>
  <si>
    <t>7/0 to 8/0 (Top left side
Pilot wire paying out complete)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</si>
  <si>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7/0 to 8/0 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(Top left side
Pilot wire paying out complete)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</si>
  <si>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59/1, 60/0
</t>
    </r>
    <r>
      <rPr>
        <b/>
        <i/>
        <sz val="11"/>
        <rFont val="Calibri"/>
        <family val="2"/>
        <scheme val="minor"/>
      </rPr>
      <t>Today Completed -</t>
    </r>
  </si>
  <si>
    <t>59/1, 60/0</t>
  </si>
  <si>
    <t>(3/0, 41/4, 39/6)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</si>
  <si>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3/0, 41/4, 39/6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</si>
  <si>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10/2, 10/3, 11/0, 12/1, 5/0, 5/2, 5/6, 5/7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8/6,8/7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</si>
  <si>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8/2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8/4,8/1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</si>
</sst>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6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0" fontId="107" fillId="0" borderId="1" xfId="0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76" fillId="0" borderId="1" xfId="5" applyFont="1" applyBorder="1" applyAlignment="1">
      <alignment horizontal="center" vertical="center" wrapText="1"/>
    </xf>
    <xf numFmtId="20" fontId="76" fillId="2" borderId="1" xfId="28" applyNumberFormat="1" applyFont="1" applyFill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center" vertical="center"/>
    </xf>
    <xf numFmtId="166" fontId="57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quotePrefix="1" applyNumberForma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2" xfId="0" applyFont="1" applyFill="1" applyBorder="1" applyAlignment="1">
      <alignment horizontal="center"/>
    </xf>
    <xf numFmtId="167" fontId="18" fillId="0" borderId="20" xfId="0" applyNumberFormat="1" applyFont="1" applyBorder="1" applyAlignment="1">
      <alignment horizontal="center" vertical="center" wrapText="1"/>
    </xf>
    <xf numFmtId="1" fontId="18" fillId="0" borderId="47" xfId="0" applyNumberFormat="1" applyFont="1" applyBorder="1" applyAlignment="1">
      <alignment horizontal="center" vertical="center"/>
    </xf>
    <xf numFmtId="0" fontId="37" fillId="0" borderId="19" xfId="7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quotePrefix="1"/>
    <xf numFmtId="0" fontId="0" fillId="4" borderId="1" xfId="0" applyFill="1" applyBorder="1"/>
    <xf numFmtId="0" fontId="12" fillId="0" borderId="47" xfId="0" applyFont="1" applyBorder="1" applyAlignment="1">
      <alignment horizontal="center" vertical="center" wrapText="1"/>
    </xf>
    <xf numFmtId="167" fontId="76" fillId="0" borderId="1" xfId="5" applyNumberFormat="1" applyFont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46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1B0C5D3-C834-490D-A192-5DD440D0ED13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45DFAC-9A48-4F9A-8FC6-50A8D76FBF20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E673D39-3BEC-448C-A425-9C1D6B04FF9F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C51828B-9D84-46C7-9986-892D475850DE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DC4D1658-84C8-4328-A35D-9577CEAA2641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FAEB5468-93A0-42EA-8A4B-5D948CBADF62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CA71585-6D65-416F-9F67-A4A5753F3EE3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56EA8ED-2287-46A9-B4A4-1A1C015B5CD1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7D6F7066-3C15-4A0A-93A3-E5254D302D8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E9F1E614-AA26-44A2-9CFE-3000EC9FF2C4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96B0677-C4ED-4431-A214-0D127533EF11}"/>
            </a:ext>
          </a:extLst>
        </xdr:cNvPr>
        <xdr:cNvSpPr/>
      </xdr:nvSpPr>
      <xdr:spPr>
        <a:xfrm>
          <a:off x="6534150" y="2127250"/>
          <a:ext cx="535842" cy="37004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1E39222-F9AD-4C7C-841E-7E08FD9CD1D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926736EC-D494-4598-944F-0D81F0472F1F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F3DDF28D-F998-4EF2-B8A8-605B40EA291A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93AE774-7D12-46DC-83C6-406FC1B94E57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869C66-E722-40E5-9E0A-0253B5BD3849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57803DCA-2166-4CAF-B437-6CED77B47A30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2D19C89-50DD-4B04-9E96-9A92268D424D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583A3124-BC1E-4C4A-A244-EC1D2E5BAFE8}"/>
            </a:ext>
          </a:extLst>
        </xdr:cNvPr>
        <xdr:cNvSpPr/>
      </xdr:nvSpPr>
      <xdr:spPr>
        <a:xfrm>
          <a:off x="4660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AC1A384-CE88-4FF2-BB45-C532F559E166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FE5169BE-D37A-477C-BFAE-6B2D66A3D49E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906051BC-A301-4871-A388-328C834BE0E3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97DE1AAE-B15B-4373-858F-7BD6DAA2AD0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3DDBF4A-785F-4723-9A00-741B5C6392E7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5ECB79B-40D3-4FD1-AF04-DEF82EC98E1C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2E7F4E-4830-4425-B26B-DD03127B5612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A45D714C-3AF3-48D9-A471-3C97F4D99C39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6E4B3B0-D66B-41F9-96B5-5761C79EC027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25DABA48-0C96-465A-9A03-376454FA40FB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F5D9AF4-D8FC-47C9-9E76-A08AEB523083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52626E9-7A69-41CC-8132-747610B841C9}"/>
            </a:ext>
          </a:extLst>
        </xdr:cNvPr>
        <xdr:cNvSpPr/>
      </xdr:nvSpPr>
      <xdr:spPr>
        <a:xfrm>
          <a:off x="16319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F26146-F840-44B4-9AED-9C2BDC4DD365}"/>
            </a:ext>
          </a:extLst>
        </xdr:cNvPr>
        <xdr:cNvSpPr/>
      </xdr:nvSpPr>
      <xdr:spPr>
        <a:xfrm>
          <a:off x="5568950" y="8026400"/>
          <a:ext cx="558800" cy="3683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24E86A7A-0CA7-404F-905E-53F1496BC744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1699A076-ABC9-4E17-9147-64FD7B10BA2C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219F3124-02F9-4D15-B6DC-BD5874765020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39782081-B05D-48B9-85CD-5787FB61AFFC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EEAA889A-9FD3-4FBF-8449-56619AB74529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A534D8C7-2408-4F97-AC1D-81797A8494D2}"/>
            </a:ext>
          </a:extLst>
        </xdr:cNvPr>
        <xdr:cNvSpPr/>
      </xdr:nvSpPr>
      <xdr:spPr>
        <a:xfrm>
          <a:off x="65341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9B34F04A-9C62-47B3-BBA2-3F7016029649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DE12B630-CEAE-47E4-A5FD-F0014A7231EC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9B0B1F-2E66-4B6D-B286-F427BCD7BE4E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F025C88-3ED7-48AA-B42A-09BA347DB593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95861B0F-2F9A-42EE-8D53-FD3C16B35819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949CAD14-C248-408F-B06E-79BDAE128267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4E86024F-9752-45D2-9C09-5CAD74CCF5AB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F53EA71C-D868-4FA8-BEDE-5A9A44BB461B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B4E1906A-DE32-4B83-8D66-7577A1C87B47}"/>
            </a:ext>
          </a:extLst>
        </xdr:cNvPr>
        <xdr:cNvSpPr/>
      </xdr:nvSpPr>
      <xdr:spPr>
        <a:xfrm>
          <a:off x="55689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1A2DFBC6-CE6B-4728-A83E-A3845359D206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791FA02E-271F-4AE0-8812-5E5D98786F83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E75D9F84-B9E4-4211-8955-B205A1CEE7B4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BE396A57-9E65-420D-B53E-F69DF09A5E73}"/>
            </a:ext>
          </a:extLst>
        </xdr:cNvPr>
        <xdr:cNvSpPr/>
      </xdr:nvSpPr>
      <xdr:spPr>
        <a:xfrm>
          <a:off x="10560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646E32-4561-4C48-BE86-B6A9877985C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2E1442FC-C56C-4E2A-809F-E974FAF77E46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D4976882-D471-494F-B0BD-E4DBCBBD090C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8BE5A22-0A60-4347-B03C-EB116E0C3962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3BB28201-99A1-4ACA-96B9-9AE2DC7EEA15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64E585C3-53D6-4112-BACD-BA9711C9A63A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CFA3DC5B-C067-410E-A027-A2B0CE8A950D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302F12E-F827-42A4-B9C6-7140D574D361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BA0CC7F-330A-43F6-856A-1C80146A765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3725393F-D438-4C66-98DB-EC9BE85C1DFB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106275C6-66C1-4EF9-B353-E14E81B35275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D56099F4-2FE9-44BF-8587-93B36C9C2269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E6FFB4C7-6006-4138-8A84-42479750BE4C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2D532EA3-9840-4D84-A894-1C7F65BB2F93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B1B604AA-DD93-4A40-B5CF-F38CEAF3DDF4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8FB23F31-0B32-4765-905B-83C241B6B1A4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469A1EE6-804A-43B6-892D-35E7BF40AF78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832B545C-74CD-477F-A23E-33A878C6F0BB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383F116-D60B-4414-8229-58CB99C118FA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AE06B68-1E51-4B96-9094-3805E4D945F2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7AA797F1-EEFE-44A2-92A8-C84A77E9246E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D3AB0FAD-023D-4637-AB13-EA2CA367596E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23F48A93-D3A9-4332-9ECB-69440007822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CBD01CD-A27A-4A71-8C93-E3FCD2D01DC6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35B221AA-E5AC-4CB5-B0DD-2AD6E72764EC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CCA26D2A-8F82-4C15-95D2-3117EDF28A7C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65202D0-B48E-48EB-A3BD-745F0B266960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15070F8A-AB8B-42CD-A202-241BA8757469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2A7A1EB-0100-41A2-85F7-F8454BC52A79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286CF349-34ED-4176-8701-DF4A9AD53159}"/>
            </a:ext>
          </a:extLst>
        </xdr:cNvPr>
        <xdr:cNvSpPr/>
      </xdr:nvSpPr>
      <xdr:spPr>
        <a:xfrm>
          <a:off x="1631950" y="154051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577DB529-C4D7-4AB8-88E0-8D486AF13471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FC5CB0-75BB-4224-9831-F85B92FB8430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98DD65D-A998-40F7-B7F0-3C242E4D21B3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22837734-EBAC-4800-896F-F3063F8BBCFE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C8158290-3F98-458F-8394-BE92256A4458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BC0DF0C9-C81D-43D3-9F50-078BE06D5409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A5BF0C76-6186-4087-BB21-2ECD881BD1BD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20F935D0-92D2-431D-8F0A-DCF677641A10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9A3915C8-9D06-40FB-B01F-B62798AD2196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37EE73BD-525C-4B0B-9086-347C5CA7EAB1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211F9685-4FE4-4019-B1D9-6313413E2F49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8D970ABA-5344-4B6B-9D16-69303EAD3415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9BAB7C8-A6EE-4ACA-A349-E283BB1E4EA4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4AB20179-2C3D-4D9F-BD37-8CE5CD563133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790D5AF9-223F-4E33-B49E-44E1141CD1D2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E3F21FC4-F696-4054-9B5D-6808C8CEAB92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9E3E882-12F4-4D6A-AA6A-A494694C3C47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1F525160-C5D6-4B25-AAAE-D368AC2FFF0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13ACEF4F-45A1-42C8-9451-35ACF0D90E22}"/>
            </a:ext>
          </a:extLst>
        </xdr:cNvPr>
        <xdr:cNvSpPr/>
      </xdr:nvSpPr>
      <xdr:spPr>
        <a:xfrm>
          <a:off x="9594850" y="168783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AA537D47-1058-4CAF-8637-0403ECD1B209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95E120E0-E95A-4C46-9163-7A58A5C6BACD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4643E4D-7574-4678-9449-EFB5A19B5BF4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1D294478-7B4E-4DD9-A9FD-27CCCD009CF2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C6CB4DE-57B8-4CDB-873B-C51B7A997BDF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4CEF88B3-0108-407A-8CBC-E3F195B0091A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90454E9-A7A4-42E7-9041-C922F52D8410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C9A32F7-9D13-4B6B-824A-CA6F259A2DB4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029D396-A6F9-4087-9DE9-E7C4F1125CA8}"/>
            </a:ext>
          </a:extLst>
        </xdr:cNvPr>
        <xdr:cNvSpPr/>
      </xdr:nvSpPr>
      <xdr:spPr>
        <a:xfrm>
          <a:off x="4630740" y="18362324"/>
          <a:ext cx="588961" cy="3587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B6D33335-FB57-4A81-A07B-1F6BF89C3791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BEF67D0-24E3-48C0-A10F-9543235E3761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4C5A3A6-CB51-42B1-9DCF-F3590328CF55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15E455D6-D4D7-4951-A9A1-CAFEB1604A89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32B4817-3403-4D73-8767-370950970B77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379EE79-9211-4D90-B9B1-C73B37AA2E9E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108CBD-3B3F-4212-B7C1-8D91D3CE5210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5A8D340-B95D-4AFA-AF21-A1643BCFF62C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D69B081-7AC0-4110-AF36-DB9E15F41C23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7AD442F-724A-45EC-8AD5-A572B56B1E11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6FEC688-BEBE-46D8-A910-06FC75DC0535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B364AEFC-AEF9-4BA9-89CB-048F2BB034B0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84FA611A-2B0D-41B3-A21C-6F0801EC349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B466B44-9AD4-4E0D-AF16-6D6BC21FE0E9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1FA632A3-C3A9-41C9-B9D2-43463D225B4D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2B1D9AFA-A47E-435A-80FC-BD48285C7C8E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C001525B-EEDF-4D7C-BFDD-670A7EB5774D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C5D86149-BF7D-41A1-ACBC-FBCDF92942A0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38E5CB7-47F6-438A-9882-362C299BA596}"/>
            </a:ext>
          </a:extLst>
        </xdr:cNvPr>
        <xdr:cNvSpPr/>
      </xdr:nvSpPr>
      <xdr:spPr>
        <a:xfrm>
          <a:off x="2679700" y="6752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135255A0-4FCC-48AB-9E2E-25AECF0128FF}"/>
            </a:ext>
          </a:extLst>
        </xdr:cNvPr>
        <xdr:cNvSpPr/>
      </xdr:nvSpPr>
      <xdr:spPr>
        <a:xfrm>
          <a:off x="3714750" y="685801"/>
          <a:ext cx="567871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1273087-A181-4FCC-B072-4DAB2948DB92}"/>
            </a:ext>
          </a:extLst>
        </xdr:cNvPr>
        <xdr:cNvSpPr/>
      </xdr:nvSpPr>
      <xdr:spPr>
        <a:xfrm>
          <a:off x="4663620" y="685800"/>
          <a:ext cx="583293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6322042-82A6-4B8E-99F5-930B58A2C5BE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92B4ED-61B3-42EE-AE39-BC1A91884A81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501188EF-6570-4CC7-9228-1ACA48F402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A701AEB6-44C5-434F-8AC9-C0E0713FB5EA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18657B83-C97F-4EC8-95BB-E69AF1B89A18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5531FB67-DC9E-4034-8797-8E3E478E5075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B3465B2-7A2D-4490-B27E-03EE7E1BC3AE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300BE7A-1E27-49EB-B594-DC1DA96D86D4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E065EFEF-68E3-44D6-99ED-B3CDFEFE1969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8CDFC97-550E-4540-B6D8-5AFC69672003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3F61086-2776-45DD-A76E-5DC55E67CF40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97A09921-2E38-47DA-B5D3-9B6E73D3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8BECE61-F4A8-4C4C-91B6-28A0A1F1420A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DD7D5A7E-209C-416B-A61B-2EFF8CD53A1E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99FBD228-E2B1-4D1B-8E51-C780616F5BE1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4F5F1E2-6262-410B-8C3A-03FC12373779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D9E6C859-6AFD-4B2B-A172-4F33A64B7A3B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B50BC988-2386-4B9F-9596-F90A1AB8262E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FE6A7AB6-C387-4DD2-9697-465582896EC6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B4B56CCC-F020-4738-AA1C-852EF94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73EF8CC-0826-4D9C-AE82-0E13E840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DE5DECA1-AF39-42C7-A0EF-4D9844D43D45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2E0FA788-2165-48B7-86CF-FA356CBFEC17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88BB6778-F7DB-4222-93A5-D99144D79FB3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289D0830-4712-4D4C-AD87-912136AB77B6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9A74A3FD-4DDC-48D6-AC94-83DB10B81FC4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A308D019-CDBF-4C9B-B232-569704D2D434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D4E2BA44-B47D-4CB2-84B0-F7D51871F43A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C62B63ED-FB80-4AF7-8D6E-51E3E6258E61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A6B0D049-FB9C-442B-BF53-1EE30BB9FB80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564D7F1C-D097-4061-A994-2EDF96861FCF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4F014749-49CE-41DC-93CE-1421CADDC537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3EF1268D-6D06-440B-8E43-4518182B34BB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EF64EA28-C9CD-41FF-B836-8D081EADD09A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35F701EA-9362-4B20-829E-DED2893056CC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50032FDB-6A7C-4BD8-9077-456D94A56CC2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99A90434-478E-4844-9C1A-E86154D5A695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936F05E7-821C-4195-8CCF-DB07A955B358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EB26FA48-C977-4ADD-8AB7-B177B3808BAA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45553D21-8433-44AE-A4B5-225DE0FCDE78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B2F61CD-AE6B-4876-ACC0-D0777479DB02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ED4E1622-2AEB-40CB-8388-800CAF85673C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32049EF0-E2A3-45C8-8DD4-232BAD2DBA6C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3628E02-5BA5-4909-82F7-7E07C53E8C55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D87BB36D-9FE4-4D66-ADC9-E4616AE6BC5A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C935BE24-849C-4C67-834C-714A678BB092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29D67F33-F057-4B0F-9213-8E636BA77D65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83D24D5D-A7AC-4CD4-9A5E-02BC7839890E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224835AA-A9FE-4AEC-9982-595B2EA2D467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EEAD53C3-061A-44AD-8B0E-2B1D5A5EF310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3B94C43E-291D-4ED7-88B7-6BD2E00B0142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321A1108-2908-4945-B06B-7CF5896E4E1F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B914A6F6-324C-48FB-8D4A-AB3009BA063E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FCFD7E58-0B7C-40F7-BFAA-12A3F3695D98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C4EC986E-C396-4903-B297-4104C8DB51D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28FCA232-77F3-4CDC-91A5-D8FC6AB099BE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25530E63-DA40-495A-AF4A-C4F3F0EF2CBA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C73BEFFD-9CE5-4D05-9096-06B5FA913DA7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2720851F-98D0-4CDE-9AD4-65FE2E66E49E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1427C741-7AE4-4967-8D5C-06405C6DFB03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D0F0CBE0-082A-4CF6-8953-13CE9BEF46C2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42CD9864-7D59-4D7D-8234-00AA2D801EF5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84B43F9D-9F8F-40A9-889A-BEB34AEBC51C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9BB24D5-E6D7-407F-8E88-5B96BE83D029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B972C52-07E6-4BF6-AE16-1924D871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1B35022E-41C9-4C83-9580-36433B1B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B6A08-A35A-408F-88D7-03307B849C7E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F8E458EC-4DAD-474E-8E97-7050749D9238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44397CDB-294F-4D91-B463-D70F8C37A900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9E52F3BE-8266-4EE8-801C-A6E09BACED98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C71F61A-BE86-4D3E-B79E-060EB62B9F93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81C2846B-BD25-4375-BE96-E7149F8F445E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63968E4B-ABB9-4974-90AA-D5BD2EDE2532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7FD1CC56-954D-4B75-BA39-0A60A40FF7E6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142F3AA0-71E8-4E56-B4BB-A4EF296E59B0}"/>
            </a:ext>
          </a:extLst>
        </xdr:cNvPr>
        <xdr:cNvSpPr/>
      </xdr:nvSpPr>
      <xdr:spPr>
        <a:xfrm>
          <a:off x="3714750" y="13942462"/>
          <a:ext cx="570416" cy="351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A1D6C908-9B2C-4568-B323-3511E81631D4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F86628B0-4295-486A-B4EA-30D054113D7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87B0AE9A-A26D-4C39-AA1D-CCBB6DE1F443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C86721-3DA7-4D21-B38B-028CEC12E07F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C9A893C2-7473-453A-9946-FCC81AD35015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854BEAC8-253C-4084-B656-525B3761299F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98126CA9-9BE7-4982-B528-329B7A8451FF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AC14B131-C042-4FDF-8131-6F2BDC6D67E1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C0F98B88-17DA-4911-A706-83BB55D7D48B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D5B9A2F7-5D6B-4D34-B0FE-E067BB5DFAF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561D7E5E-3419-4914-8E76-CE7335FFBF36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9712427E-34A5-48CF-85BE-AD05F8972161}"/>
            </a:ext>
          </a:extLst>
        </xdr:cNvPr>
        <xdr:cNvSpPr/>
      </xdr:nvSpPr>
      <xdr:spPr>
        <a:xfrm>
          <a:off x="55689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60E51434-9E4C-4B1B-B776-3DAB364CC5EE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1A7A3C66-CD19-4B8A-9172-EF84AB5AAB11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D06A0503-73C2-43A9-B604-F81B88FF3180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1035DC72-07C9-4CAE-AB53-DAB6AD36F0BC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FAEF34B0-437D-4E27-AD7E-46547D454B9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36A60B33-0C1E-4F2A-A612-217658C8BEDF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A57F64AD-E115-40EB-BECB-1525B051D00E}"/>
            </a:ext>
          </a:extLst>
        </xdr:cNvPr>
        <xdr:cNvSpPr/>
      </xdr:nvSpPr>
      <xdr:spPr>
        <a:xfrm>
          <a:off x="1370330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9F6C6FC6-D456-4088-8B9D-55597121B21A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2F9EAF66-C569-4DC2-9BEB-B75940C9BA33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A8D5996B-346A-49A6-A737-3B9C08BC3A3A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68813817-8385-4F63-8883-D7F8C9788EE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38E8D964-BF6A-4004-831A-16C187028358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CC32B4C-D517-4A17-8BB7-95258E7D15BB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3E5A99D3-15A0-494B-870D-5A32399791E5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F5E2431C-9D86-49CB-AA63-9EA61F7EB5F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B5BC51C4-4369-4A76-9DAD-7D9EFC715EBE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B260A092-485F-47C5-95E4-C2DAC684A980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D3781BB8-C0E8-4FB9-B20A-D84C824FCBA3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7BC244AD-F006-49AC-9265-70ECF7C849ED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AA2D95AC-B74F-49EB-A680-F18343169491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93209F75-B843-424F-8E6E-4EEC92398181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464BAF69-F657-4361-9F56-47C8F45D7370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24DAD465-B290-437F-8FFA-BF1F661D3498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A5616C60-D712-4B8E-B5EE-3161AB9692C9}"/>
            </a:ext>
          </a:extLst>
        </xdr:cNvPr>
        <xdr:cNvSpPr/>
      </xdr:nvSpPr>
      <xdr:spPr>
        <a:xfrm>
          <a:off x="1631950" y="1540510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4DC50515-A2F7-4706-8F82-9E9FF618B0CB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8EB3C926-17AF-44CD-A05D-533848CA31C8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96FC3FA2-083A-4CBF-8BD5-E3272A35CE46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C16B67E8-E979-4E22-BFAA-C91BF244AB80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FAF86D9-4AA0-4541-8392-9987730B6431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1710DD79-D5D2-4948-8873-C51C3E3C2450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D175ED84-14CA-4E83-B65B-87AFEEB51905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9951CA3B-3401-47AF-83D8-95B6632FBF24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99818119-0EEE-4657-AC4C-443566ED6ED5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CB9A5A9D-599A-4AF0-9CA5-F6C1FC5B7F18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FBE2F169-3E85-4C08-93E0-549AA183D260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733EB5FF-ADFD-4CC3-A4C9-7CC454D24620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F58BC973-088A-4E10-B52E-6882CCF52005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AA64B9D9-8D6B-4007-8A4A-6E6C50F3BA8E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BF9E9024-8258-4AB7-A9DA-0FCBAA97DA8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C992872E-8C64-454A-986D-35A0BDF485C8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D7799AE0-0EE1-4123-93B6-DE64EBAA77AB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B1B89E18-2022-492D-BAFF-76EB2E0BC03E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CDCCB9B0-F52A-4BBF-8B1B-9E706C72C913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C8E6B025-78E0-488B-882E-65970040EF3B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D4FE8895-4829-4CF7-AAB4-A9C7FAF872AE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A964627D-4ECD-4C4C-9D7C-D9058D764555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8D83CB77-D2B5-4A3F-873A-9A02F00D4E8F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935639EB-C48C-4EA2-9496-68C6379D221B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33946D7F-3ECB-4493-8BE3-638F02AAB1C9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48184E06-ACEF-42A7-AEF6-90AFBF292E6B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1ABB7384-9628-42E0-87EB-38F5640118E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68AEEE64-E75A-4CA4-9220-A2D98D38473B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A0C525B1-9679-4CF7-B8B4-34E250AB84C7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EC52394B-4673-489E-BA5D-76A2AA0A3CB0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A6ADE04-35D0-4067-A3E9-716F9EB8E0A2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B9816170-7634-4D08-96D3-9F377FD01B8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F37FA1E-511B-4217-977A-8989A8BD39B7}"/>
            </a:ext>
          </a:extLst>
        </xdr:cNvPr>
        <xdr:cNvSpPr/>
      </xdr:nvSpPr>
      <xdr:spPr>
        <a:xfrm>
          <a:off x="6413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C204BDCD-96BB-4161-8557-7490A26DA72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5D00E46-B564-4D08-8EF3-23983DF10B36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D6C7F764-F7D0-40F3-9BBA-CA1B5C0E805C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D4B62FC9-A71C-4043-88FD-21EE36D77CF2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BC5BAD3C-BE70-4FB0-997A-381769BB714A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72CC2902-0485-42B1-AD1F-94EC32D0AB1F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D49ED86-A2EE-4F94-B1A5-B3285501839C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B475AA1-7540-4703-B562-C61185071437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16EE9A9C-91B4-45D8-BB5E-41AB31239C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C1562930-83B9-4BD9-BDD1-7A57FAC0C6D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1BDDE4D4-260D-4739-AD2E-C36A9E933B79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5A39BFA8-8438-43BC-8224-61C2139C152F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B73F7198-80B0-4514-9801-ADA938FAC52F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7F78F798-8408-4413-96CD-E897FF6909AF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7B11B1A3-328C-4AF7-98AD-801E8A1D5B9E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7FB9497E-2E9B-4533-B8C6-6864359A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01008E3-6517-447D-922F-60A7EF98AF92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8B749F2-8C8D-45A8-9FF1-4E9CDA592B58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1D9DC535-8EAA-492E-A081-AEB4A2A2E9FA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C102FECF-8734-47FA-B27C-A4F73FA348C5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7826289D-063A-4270-AE8C-D460BDCB4C90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6838817-61D7-4669-B99F-85CA6E3FF8A0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C41749F4-14D2-4F05-AEFE-E18647EA2598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CE2250DD-8FC6-44BD-8589-57F7450ED22D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9A9E0C67-4FF5-41F9-81FB-96260530632A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D1BA0D9B-BA83-42B8-AC33-BFD1E4C7AA98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6AF7D94C-0137-427B-ACF4-E7781668DDA6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C1DD30DB-4201-4E1D-BBCF-D80238C053DE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401B247D-6E63-457C-8C49-FB560C7EA941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43A8EF49-88CA-4B2F-9DDA-937AAD80DF6F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22F2148-8B85-4437-AB3D-18FAAA3BB18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12A3FC11-91A3-46B7-AFBB-7C03529588FC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14C0D8B3-471F-45EA-B6D6-74D346FB6BF5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6232DD48-9468-4FA6-B9CB-E4F7D6AB61CA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AEB95971-6117-4DA6-AF2C-E6BF2843A113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B181240F-01B7-4566-9056-73CE25CFEFB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D756AC11-E9C0-4F6A-9A73-9F0DED54DB4B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D6844D66-41FC-4438-85BA-B1A77FB1580A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6A73260E-456B-446D-802B-0EF2B1240CC3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6A8DF9B0-941A-4288-8775-FF33ADBA7DC8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7749206C-BA7F-4FCB-BB50-CFCB4F83C4FD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BADF799E-D4A8-4AF7-B72D-3454A701DDFE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120B3451-F1D9-48A2-80A5-1764798B3114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DD047845-5E3E-4F3C-88F6-DD354AD6C145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9277663-2AC2-4C01-83D6-EAD3552539F3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FA4061A7-A56D-4CD2-A2E6-61D571865B24}"/>
            </a:ext>
          </a:extLst>
        </xdr:cNvPr>
        <xdr:cNvSpPr/>
      </xdr:nvSpPr>
      <xdr:spPr>
        <a:xfrm>
          <a:off x="55689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104C59C3-522D-4A57-A419-CD76D47C9ED7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E5DDCFF2-468B-4455-B1E7-A1A976DB67B1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65EF22D-94F3-4C5E-8D90-2ED326D43312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57FED15F-3635-4E87-854E-A3E9254079BC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80701B2A-2782-49CB-A702-3C6080F34F00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8F43DE1D-B677-4CB9-AEF0-3D9A07C28A04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2CBFC974-A5AF-4DE5-B752-0EF9DB275B82}"/>
            </a:ext>
          </a:extLst>
        </xdr:cNvPr>
        <xdr:cNvSpPr/>
      </xdr:nvSpPr>
      <xdr:spPr>
        <a:xfrm>
          <a:off x="1631950" y="24242766"/>
          <a:ext cx="558800" cy="3698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2F4D5F72-9038-4B46-8E99-8957D7149D67}"/>
            </a:ext>
          </a:extLst>
        </xdr:cNvPr>
        <xdr:cNvSpPr/>
      </xdr:nvSpPr>
      <xdr:spPr>
        <a:xfrm>
          <a:off x="26797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15956540-03EB-429C-8950-574E80CA65A4}"/>
            </a:ext>
          </a:extLst>
        </xdr:cNvPr>
        <xdr:cNvSpPr/>
      </xdr:nvSpPr>
      <xdr:spPr>
        <a:xfrm>
          <a:off x="37147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DC3C113A-FCA2-4ABA-A367-1D3E62A9878F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98858B8F-AAEB-4D63-91F9-4796A790F282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FDDA7516-8375-4920-80CB-8652104A677A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C0A75A4D-90F7-4034-B704-7BBE73942693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30727A9B-0359-42A4-A32B-BD763E742555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1E5642B5-81F7-4C6F-B854-D7C2B0E48723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9FD139CE-D194-4628-8D36-2E8EC7DB411C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D88F2E9C-097B-48AF-9F26-19F233F45A33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28FD61A4-F21F-43ED-B9E2-2E55D77EF6F4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BC8D5E4C-4E4D-457B-9769-F49CED61DA2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91B68857-E7FB-45B8-957E-61AF27F6AFE2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075EF0C-2286-4577-A7F3-6E1BCDFF8049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792C47E8-4F4A-4F32-A286-CDF14D024387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92526AFB-CEB7-4067-9912-CD8240E601CF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D6CB778-1B9C-4F2C-A6AC-6B8B84C4F77E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76FAB83B-C544-4F34-A1A0-3F5600F6AA4A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A567AAD-BCD6-4D69-9E2B-AD80F0C5FB45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0D4160B-CD4D-4A3B-A41E-4A9452C0C307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CA45E15C-881C-4B0E-94BE-7141DE51CAD8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BE854187-F72C-4DA0-B914-A8E949158F04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7A68C5AB-6217-4178-8971-B4346C6A4289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BFC7C759-780C-49B3-B768-6BA92A9CE746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A171D51E-FC60-43C9-AA2C-947BC897317F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EE86F74C-FD78-4E3D-B354-E6A5F8E1DEC4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FC2CD78E-8BC5-48B4-94C9-C2A87F5B79F5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D218F3F0-BF16-4744-8E23-C304165B108B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AB0762A8-705E-4270-AAFB-9D5F4AE2222A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EF2AF2F8-5979-4E0A-AC38-4A589FD38C60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510E0A28-6345-4BB1-92E4-D877CF4331F9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553A24A9-2B09-495E-AF9B-5719BF98A9E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32A125DF-7CB7-4861-B940-B1DC4C331DB4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EBAB8427-6803-4F79-9229-0CC7D1067ADD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9903F316-E9C1-4D0E-918F-F1F980FDB5BE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F884D6AE-7EEE-4018-8A2F-47DF85E4AE55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D7E03A3D-57D8-4567-9CD0-B6143E7898B3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94B68964-DCA6-4C6C-8D0B-4E36797845FD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E6BC9A0A-498A-4EEE-8840-3C772BE5FB3C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22B6C3FC-0AD6-4421-B2C5-4790E8C5D8AC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86A5D179-9DAE-406F-A357-630F476EACE4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C2CB51BD-9196-407B-821E-CA593A34C13D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4E4EC542-2DB0-44CC-9ED4-309C1B649C6B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66C3999E-E4EE-4E3B-9FE3-278B26895C49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FA42FDE8-2B1C-476B-AB5C-65CD63169CB3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E149DF31-6C49-4711-8A6F-41D4C0D4BBB9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A614097A-7FC9-4022-9D5A-25D9C8524A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D4E7E97E-4CFB-434F-9B2C-9DC879AA841E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80A93F3E-BBF8-4AF6-BFCA-92D5B0E59A5A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C1EB85B8-68A5-47C9-B5E4-A34BD0BF81B0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B96F945D-621E-4CE1-99C2-FC8329E3D54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D1062F38-E29C-466A-A259-7061FE69BE6F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616089A9-4336-4282-B823-D18282C74146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73E31E1C-791D-47AE-8267-6D42BDCA62B0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EBE7100E-4F20-4D6E-966C-6B2BCC06E325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EDAE52A1-66E7-421F-BA45-2ED2A53AB709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17ADDC8F-20C3-4189-9854-EC162EFAD8ED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0B057B-49CE-4E5F-9895-2E40994DD15B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CA8FB12-30B5-453E-9274-350DCE27578F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2128FE-C059-4F16-BA46-A3C6B171A565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4116AD1E-968E-437C-9441-7C87E91F56FB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FD8047CD-8B6D-4C66-8D8F-0D439893AED5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E4162860-A9B1-4DDD-B386-C142040F7189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396AE567-DBDB-4829-866B-028F95A49B71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966B5CC6-FC88-43D4-B45A-88E6AFD5BF40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E6E5838F-FE94-48B5-BE22-BDB7A1961EE7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60C0806C-AF77-4A26-B71C-54D5FE3657BD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8D8D7166-1390-4758-ABFE-1D0526D115AE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587604E7-6F2E-482C-9E61-D7B1495F6209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8A4CE853-1ABB-4C01-8C3A-72C2A916A960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B03FC87C-2B7E-44D5-8FA1-DF0E039D545E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43C186C-907B-4EE4-9006-CB205D962AE8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E0A90BDB-FB2E-4918-97B4-500618B124AC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297C4262-CC55-426E-8F6D-38EFB42395A0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D0BD150-1E1E-4370-A79D-6672FFCAF731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20E7FA2-1F5B-4647-AB1E-98457686250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A93E12DF-DA9F-4761-9132-623EC8146FCC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7F6A20E4-0915-4C92-AA71-EF8E8ADD8363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42315D61-043A-4138-9A6A-ED4C24E022AA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E226F433-79C6-4B24-B010-8EB427AF37B5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D9ECFB90-0527-46C0-AA19-57D4ED0CE53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44E03977-BA90-46F4-8C9D-92BB0B83F458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45B8D165-E6FA-4A85-9A86-36770644BBC1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D25E89A0-B18B-41CD-B0E8-D869F4F40AA5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BF19317C-6BFF-4BEA-9897-38DECBF56A96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2E5A7B88-C55B-4864-8B98-A612A2FF9A7C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C25C7363-443E-4E3F-B1B4-57B5564BA853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CDBECE0E-7B3A-4B2F-8A24-B8AFB9160465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B300134F-10D1-4742-BB33-EBA3C6DC7A4B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A81A75ED-C2E1-4AAF-8714-5669161C07CC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2E906258-31EB-4137-93B3-F469572B6DC3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E461DFE3-676C-4E1E-8B7D-2DD682564788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F3D5C3C5-06EF-4F37-9E59-2BAD1044E262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6C9DF8E0-FB5B-4E22-B9D6-ADB2B96B0D2F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6DCFF040-5B11-458A-9020-A0846C673D32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83C75E6C-1DCE-423D-8380-A7F5623099C8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BD8E3FBD-8174-42F2-8D96-BC651A3BAFEB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99F4D1E1-313B-48E7-AE0A-ACC7783800E1}"/>
            </a:ext>
          </a:extLst>
        </xdr:cNvPr>
        <xdr:cNvSpPr/>
      </xdr:nvSpPr>
      <xdr:spPr>
        <a:xfrm>
          <a:off x="1647313" y="30152463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3C7E6C3F-1DF1-45C8-B073-B87B1F5739FD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3C386205-868A-4217-A090-24E62F099642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33F05299-75E0-464E-899E-4310154E9E65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46747E53-3284-47DA-9B31-5B31FB5D403E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1D3FB0CD-8553-4922-88FA-BE8331399DA4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96CB6F8-0ACE-4BA5-8CFA-214FD67FA19B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A0A3649F-4C66-4CD0-B2E2-524744157B5B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27B3439C-FF34-4875-A452-1919EF75FB7B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12CCD800-B539-417A-B5C4-FF125583D7EC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26BC7831-6EBE-4B0F-99B2-D587BD0ECE65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8DF173B1-FA8A-4BA3-B659-3282D7AC68EB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9934332C-DCD2-4C25-B4E4-3A3A5230ACE6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B656764A-DA1E-4171-B63B-61451DFC266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E252DC08-3CA5-4805-973F-5A435975FD59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3CED4011-CC9D-48EA-A49B-B1E769E0DE72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84597838-A62A-4640-854B-70D6EB31E643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5364F57-202C-4C73-9413-ECDD2FA99E6D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ADAB20E-08AB-4222-AD32-6CC229337DF5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6E4EC480-429A-4124-8F3C-32D524664321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67F8DE61-5DE1-41C1-99B6-CA1B95E05052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4FDAAD34-2F53-447F-899A-DC66E6724D30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28F6B4D8-A57C-4881-9DD7-147C0A30C217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BB94FB34-860E-48D2-A9AE-730CA8A04369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56052FB8-834D-40D0-AD3A-201F17E3877D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858CD56A-D12C-4B4F-9A00-CFA6F27403C4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B686591-2C4D-46AB-8A64-778F72ACE351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53EDAF9A-EC8A-4C85-B7C4-88BFD728C9D1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944F0CF0-9FF6-4FC9-BADC-38A2FC5B6253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E0A6948F-6734-4B1A-AB66-CC66A1F3BAED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D750982-9C8A-49D3-982F-E4EC7964611F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491E66A6-C4FF-4737-BA50-533F5A4D1D5A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D7A52DF1-87ED-4CC2-BB9C-137613AB26E0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5675B9DC-9D4D-47A0-A14F-D5129BEC5008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894D8AED-69C5-4D17-AEFD-A4468E565390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E9828AC9-DD87-4B67-90CB-2757CCB4C657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C102FB2-8957-4D76-A72A-8004DD0BAD5A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8A9F20F4-E6A7-4DCA-A48D-7B920252C5CC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255623FD-E0D5-4C12-A872-01BDE01D95BF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CF7480C-4CDD-4A00-A505-C992B4D8CE7D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9AE7BCBF-75F2-48DB-A786-0DB69E5FF30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D9ABF04D-18AE-4890-A952-8294D025209B}"/>
            </a:ext>
          </a:extLst>
        </xdr:cNvPr>
        <xdr:cNvSpPr/>
      </xdr:nvSpPr>
      <xdr:spPr>
        <a:xfrm>
          <a:off x="1631950" y="33083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3FA0CE7A-A1F6-420E-95A1-33F4C99DB361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66C1533E-BE1F-4179-B3C8-C667E11DBE10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6B34A28-4F23-4061-BC77-27675340CB0E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1B237806-3452-41CB-B03D-3BA43AF3B167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80001CB-E0C0-437E-AFC9-91E1DCC2ADA6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4A0393B-30EA-4DBE-A4BD-F1E53A56A875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3C06888-A0EB-48B8-9D59-702891BB799F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70D21FB3-A5CE-4D69-8995-0BB23234257E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4F1F1AC7-CA7A-4D1D-BE4C-54146EA7F91C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9226F3F-81DF-4380-B2B6-0DAC8DA4807A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26B5677D-570D-486D-B01E-B2E580EAD384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69CC3CF-EDEE-4057-A25B-49AE1CBA5B19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9CAF6652-550E-486E-9276-F98EAD4CC69F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FD6B5508-F4A3-4313-B3CE-AE4EB3335CAD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A0D33F77-D48A-474E-873C-3339006FCC60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F8C68992-DB4A-479D-B06D-F61F1B7CE21C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C1FF55D7-D854-47D1-8ED6-45323B7975BD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1ECB82A7-5B6C-44CF-A885-9DCA60C415BE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9CD409B-C300-482B-969E-334680955A62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20F2F5B6-051F-4FF2-8E1A-70D948C00451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EE765EF7-3AA4-4FD2-AB8F-EC68BCEC7896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B5A5CE1D-A5B4-4009-B581-501FF294E110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75503B78-4585-496B-BAD8-3F7633CBC364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A96A6F6A-16F4-4E48-9205-D2CEA211343D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73AE05AD-B62A-4C4E-9DFE-918935A03DA1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B39046DE-7311-4A58-A558-F3BEA7A1591B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8DF21584-2BD1-4843-ACE4-C9EF0F93D277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8B788484-692A-4B6B-B568-6B032FFF5F9E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97BDD4B4-5FA2-4FBD-987A-77C41B5C3667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107838B6-81E1-4409-A711-31581789CE0D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13E825C5-4925-4416-ADAA-955739B6FC31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B1016431-B3E6-4AEA-81BF-FD6C845CE808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9DE41D9E-361C-4A25-80E4-8F8F8030442E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6EEDEC1D-45F0-4333-8526-501B8DBA5DAF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AE8F86FD-6D13-4D13-BDF2-3EEB59D6E4AB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997B480A-F4B6-4F97-89E6-19739CB4E51B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5074B46C-0DA0-4B63-AC60-221757FAA85B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AA2D9871-3ECA-4F73-8F63-E6FB1BFEFE91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890D3F9F-9B48-4F37-A491-7BFD81C69B6F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F1B26188-EE16-4FEC-9484-4B446F15F800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70500866-AC8E-4BAC-B093-66EFB64EA27D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E8BF4B7-025C-4192-8D2E-C654F9A19302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9F517529-B5AF-4F05-8350-60AE754384DD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62AC3007-7B47-452C-AF7B-FF68E29CF638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5A37BD8D-28B5-42F4-BB9E-D5983FD6005C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F5A27A7E-A9EF-404A-970F-C75FC520F511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D7E26520-E160-4C04-AE78-1D1206D214AF}"/>
            </a:ext>
          </a:extLst>
        </xdr:cNvPr>
        <xdr:cNvSpPr/>
      </xdr:nvSpPr>
      <xdr:spPr>
        <a:xfrm>
          <a:off x="3238500" y="5441950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2366FCFE-D164-41E6-8C46-9BD6B2CC4C1B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E29A417D-33EE-46DC-9933-308C54A0189C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2D99AB36-95A5-43FE-B7E8-C8FDE3DC6BAF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8FEF6041-B9EB-4DF6-B1DA-B1E10B71AE14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49623EEC-73A3-4E9A-85CC-E44CA46C8723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B1DC44DB-C81B-4C7E-BFF3-A246376DF560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D24A101C-E54E-49EF-B237-45C1E92D5AD1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144CE714-92B3-4D93-8B92-98F7482711FE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DE3F2ED3-C6F1-4F89-B725-B6A035F626CC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FE83EB7C-078D-4B0B-B378-4C48348B1C24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4320697-5778-4BDC-B18D-F099B18C2193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32810C87-09C5-4E82-9162-D59470011765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A62BCF48-2120-47E3-A88A-B4D0EBD41F75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F33A3A54-72AD-4A5D-BE9D-E73987DA9BFE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422C1171-BB9A-47E7-94D5-A09AE13D196C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F56A53B2-36B8-4E78-9E48-26C54AE7072E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4A985618-B757-4DCF-AD22-E7E0045C39C0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C08A71F8-508F-4E81-BB1A-9A0E7A972A38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A87E004C-7E08-48D1-BCD8-F1CF839909A4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BE1BEAE7-FBD1-4053-8FB9-99EEB9063C1D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BF94F63B-32F9-480F-806C-833C6EFBFE3C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5F7C2A6C-9BC3-4229-9031-422F831A0B18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8DB6D316-1605-49A8-AC43-9D44E9A570CD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45C5D87B-893C-4CC9-A7BF-7EA2A339C957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A5CAF456-219C-41D5-A211-0AC0220A8CF5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88CAE926-C584-4733-9478-969B02467C78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A73B5948-D6EF-42A7-A458-90D99BA72DB0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ACA59C80-869C-4AAC-A54B-7F12E45D394A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56B1F526-5DA0-40CE-AABF-6A3AC914059A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65F846DD-D329-45C7-90A2-281A1C915C33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470D2DB9-7B7D-4DBB-B9FE-21ECBA73D829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8512499A-6A0B-4AD8-979A-A06E1C6ED708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B729B117-1286-41B9-820A-662E9FB0BB1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FCBC79DB-0315-4406-86CA-1EA8661134AD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655C4AAA-F772-49E5-A0CC-B77105EB4A7E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A661CF7B-03FE-431B-A760-07A04BA91DCF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E845A1E8-C053-470B-82D0-3A88959A5F79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7D13BB88-0DEE-4D84-8B11-5C8092726591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BD76204-57F2-49B8-8547-ACA8F45DA550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703CEC58-7A50-4F72-93B4-594BAB6246DE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832CAFA7-3946-4C5F-B01F-36D082C119EA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7068713A-2182-4761-B0AD-BD2134972764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AEC5E332-D1F9-47C7-8AD8-AF4C56AD3601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581862D1-B464-46E1-B830-3C62013A853D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8BFEDEE1-E737-4F52-AD62-B014B822BF6F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2E7490CB-4E76-44B5-BE08-A1E69AF2E0F7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86F2B2B7-B5A9-44A9-8E49-D730021AA667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3716208B-77F7-4809-9391-10E9B07D7C47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4A0E0966-88F0-4278-A25D-F1CEB3DE975E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B27CCC73-2F74-468F-B15D-AFA9BE437A98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DCDA45FF-EE83-4827-BE5C-852183C193AF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5E2A1809-F529-44E0-BBB6-D9C2B7518E26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6E3D8101-7E2A-4366-B82F-80EE480EBE9C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C4032278-BA69-4167-B63E-696CBC574F42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44638E20-31E6-4EE8-93FD-BD93C9026779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AA4F0BBA-7529-482A-A1E6-4C1E0E590B02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DBF67959-EC6D-4D27-B6EA-8EE5FDC696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EC9FDC53-632F-4693-803C-82EB36ACA3D0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3A5BF37A-B69C-4420-B071-FC1343BA328B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64221D-E842-460E-83FF-C1A17EA24276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946553CA-D9AC-4A59-81C6-B4657BA25005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3727E4E5-8E16-4E99-9E84-616B4D37AC3D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54F9452F-66F4-4956-A85B-0AF56DD4B7C2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B9E65759-CB11-4A48-B52E-D37CE4EB7078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82ED6149-60DF-4B9D-AB6C-36C420156DF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9C9B0EC6-E020-40ED-9D72-008026CA0709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AB1B9F4F-3A22-42D2-9281-F075365F2BD0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3C389454-7F3C-49A0-8DC9-7292EFD6277E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7199BF06-274B-4074-8FA2-C338F40F1076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1C9112A2-87E2-432D-A614-EAD582BDD19A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C31FD275-1783-4B79-9CFF-9677D876D3DE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EBDE38BF-070E-43E4-8675-EA73ABACE6D8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DE2FF724-203C-4EED-9F90-E13C6ECFE662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C4D7EB94-BD7E-4904-9B61-239220EBE7C3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6E26F4A3-1D4C-4307-B962-CFB2AC194D36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6979D6F2-DF47-48FA-A0E6-9BB10E082EE4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400BED0C-434A-44EF-A308-97400CA42F80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F4A304C1-F96A-4B89-9D0B-D344CBE79D74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D639D97E-8B58-4ACE-96C6-35C3F0C4196F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3DF07AC1-054B-452D-8763-5D31EF1CD641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F26466C7-7518-43B4-AB18-273EF1FE4A27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34478763-2408-4765-BB06-C17748BF7497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328457F4-A365-48D5-857F-51D915C731B6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C43ACF81-0707-4FDE-B114-F1A4C8BD3BAA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BAC1B9DC-85ED-4945-ADC0-A52B89118FEC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3825B0FE-44C1-43B6-962D-8911BFD13ACC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74BDBB36-04CA-4048-AF2B-5EDCA3BAF724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4306F981-8AD1-490F-BCF1-2CC18ACFF7E4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33DE459F-8E0C-46A4-B3E7-3398EF2FAFEE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62CDB705-8A5E-401C-B04C-F7047C97DB51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6FE6857A-4367-4D85-BDAA-366E8115E652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CBBCB970-3583-426D-AFE9-FCF8022D4F52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34EEF56A-FE6E-460E-BAF3-C088E059EB50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80D1BA46-5EE9-4A01-9F04-78362600BE6A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B3DA6E44-40A1-4B3E-AB0D-E873B9198999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5BF13D32-609F-4AD2-88CC-CDD6DACE20B9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26953FAF-18F9-4C10-8DE9-CC3232E8CF91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FF4616F-9966-4340-813E-A4A050CE0F9E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20AC020E-A545-402D-A425-45977091F09F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E5E3082F-99D2-4120-826B-9B6D4CD311BE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84FDFA35-3109-4D36-9C5A-18482487B597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CC54FFF4-603C-402B-B3C3-D65A13876145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5113101A-F3DF-4630-9F38-4B4AD735B887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4A8B07E6-88BD-4C82-997E-8989B4DAD271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C28F1A60-F196-4792-ABF6-A88BCD134311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704B8B6D-B74B-4507-801A-8D574B2BAE2E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20EADAFB-B3A4-44EA-B67D-29BFBDF96D40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418040DF-AE28-4F7D-9DC0-1A598338E0DE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85F6048B-EACD-4756-91C7-9A9E7BE88DDC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5C90C757-11D6-417D-8C0E-383C061AFB05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962834CA-B5D4-40C2-ACC4-61C61A0B5F08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409AE73E-57B1-4FB2-91B5-9A6D9E96FD58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F314062E-DCF0-46DB-A0BC-E5A3C53FD96D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450BC86F-AF02-45BC-91AA-6403586E7E49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F752F845-1E6A-459F-9566-F0E6E2CA80B4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47ED1DD4-C328-43E3-81F8-94AD6EA6EB2D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951C05F7-E4B1-430F-8E89-85F5344D2A0B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57356870-F934-4BEF-AB1C-3F2B5B68621C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F0E4CD4C-3839-4F37-8F83-34B98E6273D4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5296F2E3-290A-43F9-B646-A255C7294851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F143B88D-81BC-4FE6-B0B4-A3D6462D9D0B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8A54E1B2-8506-4ABF-86F9-50B54EBDF5EE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22B5E6AA-F062-4112-99AF-EDD2582A1638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681F670A-543A-4BB5-835E-EB4031DFD582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5B5F3B0F-CA8A-489F-A686-391AAD82BDE4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85D61520-7B6D-4A81-933C-AF3545194449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BD70C357-27D6-435D-B4A7-B38C18F2A3E9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67FD5AA-A482-4E6E-90F5-ECCF1771EF07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E76D2F64-F5F6-4E45-A71A-3B9C14936629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CF9AE951-665E-4230-B15F-F3DBEED3DE11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59DC38E4-FA6A-45F5-BA8A-E1A0228614B3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D06AD3E5-4B49-4640-8F2F-04BAF57D1F0D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2B0B5EE-AB83-42B5-B7B3-FBBEFEDA3176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313339DD-064E-4102-B219-1E6EDBEE210B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99AD2AF9-0C1C-42AE-B664-8D7EAE107DF8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560ECF46-A1B1-4379-AA96-8120400F7BE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1C422D57-6D0F-4328-BC50-827707159B9A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E8816BA6-D455-4573-9F11-AD72C475874E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4BD343D4-72E5-455C-9379-ECF348510326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4577DB2E-9109-46B5-B8E9-BF649CCB70E6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21054330-C1C5-492A-ADD2-29E16F2442A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473D606B-53DA-45FB-9CE9-816E7CEE60DA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6D2E0B2A-87CE-4C98-BDC6-FDDBF0F0FAB7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C2FED971-833A-4087-8F35-9C71086F951F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7D482690-36B6-4796-AE15-B14A90160A86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B66C35AB-B866-4BB0-A610-CD299C98E7D1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E40A3B6A-3F6A-475C-BEF0-DF4BA9BF95B5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EBA14674-6EF9-4F85-B70F-385910912F1A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CF864675-6E8E-4E46-85FF-C67193BBACEB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3162A3F3-84DB-4D31-AAAB-6CDF5A6B757E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BFDF73B1-A8C2-44E2-AD9B-27E20F296A98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5E854F57-910B-4410-A781-DC7B51B03FB8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2E340A7B-D15E-4542-9581-A652EC3FEC10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8C6AC541-517E-43CB-A101-05292702C758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28CF0DF-CA85-424C-A58A-DEBA804A6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4EEFBBD6-23CD-4178-88D7-6965117D7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B3A0FE04-3EEA-4E9C-ADC1-4E27704B4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64B46AD1-6023-4D98-B4DD-CD0D8C2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A79D4EE7-DC4C-4299-8C6D-159D71BE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213818FF-59B8-42B2-B60E-3E5CF21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3F7BA9CA-2B85-4D9A-8DE7-2AF358AA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2644814E-3A5D-4154-9DA0-31640E8B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B00BF51D-5C45-483A-8540-9A355A85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2FDB9ECD-DC64-4473-9AB8-DE1460D8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3F30927A-EC0C-4B59-AB82-515F1D3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FD01E130-5538-4C63-B25D-9E847A9F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23863D1F-E641-4EC7-A5A3-54B56B4A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535B19F2-0620-49F2-B382-4BDEBE33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9DF43011-5473-4D27-BCAA-F6AE9DFD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530D6B8B-EE38-4CCE-A1B3-57B273C7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E37DC61E-4A60-474F-BE94-76DAA45C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42E50CC8-45E2-4B19-ABD9-D5BA10A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F25D80DF-1AE4-41C0-9A58-1E95AF66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723E1A4E-4F5C-4CA4-83C4-01E011E3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CEAC1FF9-8DD3-4969-AEFD-2DB0AD2F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ED3D629F-B60F-4327-9536-F5B94D7B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635D89A8-40BB-4D76-AEB8-C0FF4DE9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9E9405FA-3034-4CA8-8CEE-32718D22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F8BAF2C9-67CA-43C2-833B-1751F841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80E02FDE-CDE4-45ED-9354-12CA5C72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687E3E93-E803-4952-9962-7AF0D135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74B4495A-C705-4511-BDB5-B087CD13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E7043B2C-4F8A-4A97-A195-4759B19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8BBEB493-0996-437A-8D87-4C5E6CDB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D2355970-AD1B-410C-9A6B-42A51E71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CABBA5C3-7768-49AD-87F5-982E4254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E98D08CC-4B60-413B-AA38-8FB97097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D2AA787-1154-4BE8-B521-6D6044FA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712D5C8E-DF59-4471-81C5-682A47D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6508B0F9-4D08-4B00-8760-F6FA536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5CBC640B-5354-4BF2-978B-302E267C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F5568D35-4176-4590-BC27-E233C21E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8AFFE6B7-FC65-422D-9EEE-7C264DEB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ADC901C5-599B-4C7A-8628-67EDEE4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28D93735-EC32-41CB-B63D-7E684FF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404CBF06-F599-4CAB-843D-B9C6E326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56C99211-EDC8-4925-BAD4-87A360DF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77E1AEC4-2E89-41A8-91DE-9EE054ED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2F5A2ACC-2E0E-4186-A66D-8D3C8C01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3047691-86C5-4FCC-88D2-B1F1950A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395841BE-E379-4F2C-8229-AC1C85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24AC80BE-0F71-421B-983C-944946A6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23DE8FA0-49CA-4708-9ACD-684F3E25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10DB0B65-DB29-41B2-A0A6-CC37D766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A98841F7-D62B-4FDB-BF46-8D3EA19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C94042BD-6359-41F0-A380-E07A3F79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51B021D1-34E1-4427-A19C-33E3E582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A6A20F9F-6F41-4AF6-A402-62394D52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D35FA3F7-E033-4B8D-8B90-A7565C35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572A1860-555B-4557-8396-6295F0D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7CC36630-1441-49D6-98BE-27AAC2FA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A60E53A2-310F-44F9-B0CD-E48EF270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93E8F989-E6F8-4BF7-87BA-16D7A359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F994BBFC-1692-446F-A019-724A09B2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68B65FF7-64A0-47B2-906C-F294A8F8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9BDA96E-FBF2-43FB-8506-E34CDF41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1730D3D8-B5B7-4468-87D9-F3746A4E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E179F915-F188-4A6B-8E53-BA09D2C3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3ACC8DFD-2D8A-4BAA-A540-68863CC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C8C1DCF9-8CC4-464A-8D1B-15FF4FE2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3898BD3D-040D-4FD7-A488-2EF4C307E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4115D3EA-98BE-478A-B335-74524D10007D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70ECA54F-D1F3-4888-A468-54665E064FB5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2B9913CD-B882-4AF7-B8C7-0ECCDB3A175E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1E27D1A9-7DF4-468E-B671-7365DE539880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BB37320D-0935-4C86-82A8-442A7948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E198F1AA-48F0-47FA-86DC-E39C34AC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5BCF6470-3D41-46F7-80CA-08B844D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B098D243-9D86-4DB8-894B-C3E0F07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AE9C2722-1226-4FE6-AF7D-EEFA8564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A3A013B2-E75B-4EB0-AB08-D97E3D0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B631CA-F6D3-49EE-92E0-E5A5184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312C9B05-D2A2-4C24-A115-13C6FEF9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3F8D30BC-3DB8-48CB-8EA7-FF18EA6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ACCC262E-FEE8-462E-BCE2-7E0C6A5B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B8AB3BBF-4142-43F8-839E-9931F1E3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21F6E56-FE26-4882-B567-42A7A6AC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2EA4F09-EA8C-4B59-B4AB-5580B773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739D42B5-E7A3-4E73-9577-D4C52230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B745A09B-AF46-4ADD-8957-034AFA48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AD6FC1C6-4CF0-494C-96B5-DC81DDBB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54CF8716-D146-4F30-9B80-CB3392F1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B1FF2268-FA36-4456-8B3D-B0FDBD7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59235F9D-77C2-4AF7-A5E9-299DBDA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6F9F001F-A8DC-4488-BAE9-E7AA48BE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E1084C26-CF89-4872-A9EB-9E08DE7C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EA80739E-4E7D-44C1-BBE9-2C893388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31FF83A3-9B78-4118-AF1F-4F69F47E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C2C020E1-972E-4F42-964C-FA57C0E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B34E3D8D-3A8F-4302-AB20-C0876EBB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2641959F-5F1C-42BE-86C0-99BCBFE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AA44F7AE-C3EA-4967-8FE8-4AA324B2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13B0E5A9-97C4-4A5D-B95C-C04CA753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BA690CAC-32EE-415C-92BE-1CD6C38E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251CF8A-4A49-42E3-84DE-3D9C9BB9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E5B55F87-7F23-425A-9946-B6A47390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D0A5D9D4-863F-4C33-B47E-82006B3C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6D3186D-06A7-49F7-913A-B5EE9C0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33FB82BF-9E64-4D97-82DE-B84154F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677795F0-4305-4385-96AE-C04F8838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A31293E6-D07B-4837-A98D-94D8562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7E4D5B95-A512-4404-B48B-CA22869E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6C2B33BC-5645-43F7-A126-F0C24E3C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8FF147ED-706E-4DD7-BA4F-119490AE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A75FC758-7973-4596-ACF5-21DDA55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49DFD974-EE32-455C-BC66-7E96392A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F9232E5D-A982-42C7-9518-E8EACF7B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49CC83A-B4C4-4B59-A5DF-256AAE66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6B956E5-31CB-4EA0-8BA4-9FD0366B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7BC64AEF-64C1-48A4-928E-32AE3333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4D111921-8A38-4B1A-A651-AC35835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2F1C2244-DC30-4CC6-BA52-767F93B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C99DE930-90BB-40B4-90EE-03AEF11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4F5B2444-131F-4D1D-9947-1FDAD279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22001CE4-A439-4E1F-96F2-7E1E660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5393EB39-BBBE-4BFA-80D8-4EC786B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DEC5F05B-6386-4E71-9CF2-F47C64BF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CC26448-3BB9-4EF3-9A42-4741D9E8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CDFC0317-8DC0-4AF2-8127-8533CC379CAE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E485BBB-4489-4B4E-B92F-B2F7428E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8A43A118-8ABD-4940-A034-47DB017749DA}"/>
            </a:ext>
          </a:extLst>
        </xdr:cNvPr>
        <xdr:cNvSpPr/>
      </xdr:nvSpPr>
      <xdr:spPr>
        <a:xfrm>
          <a:off x="12655550" y="9510303"/>
          <a:ext cx="538666" cy="3588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B4A9679-4E7E-4F09-812B-F684F1F1E0C0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3037897B-CC6A-43D6-9BC1-A43DCD8AC14D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C3189ED5-46D9-4FDC-8271-817608CB3E4A}"/>
            </a:ext>
          </a:extLst>
        </xdr:cNvPr>
        <xdr:cNvSpPr/>
      </xdr:nvSpPr>
      <xdr:spPr>
        <a:xfrm>
          <a:off x="13670465" y="5073650"/>
          <a:ext cx="565151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8254E64A-697B-434F-85D4-8C2A8370A3FC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875FF201-C72E-4A74-B1FA-07D89D195E04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139B249D-08CE-476C-A72D-41DAF1EC4452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21D076A2-2292-40EA-AA36-3DFD48FD101A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69F78361-9395-44A1-8AA0-DED5067FEBE4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3C416E01-7ADB-482B-8065-DF89B9A2D2A0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6B7BA7AC-AE76-44FB-9D4A-813CF215B100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459A1E11-83B0-4A2D-96CE-573789EC7FA6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8D221C04-1737-43B9-AEB9-50EEFAD8D85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3D010D3B-7266-41A0-9CA0-39472223897F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8183EDD4-2C8C-4D0C-BFAE-33D8148B22A3}"/>
            </a:ext>
          </a:extLst>
        </xdr:cNvPr>
        <xdr:cNvSpPr/>
      </xdr:nvSpPr>
      <xdr:spPr>
        <a:xfrm>
          <a:off x="65341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47E29D03-5E0F-4880-A9F0-2230042786C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D7876DDD-42E3-41CB-98B5-E4524438558B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26452868-8DA5-4126-94CC-14F32B5A2016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DC6B3ECB-5C70-423D-967D-FF60300C52DA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D7651B58-16BC-4217-ADA2-E289E992B8EE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E739A2F-E276-4601-86E3-2DAB58827315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A3037EF1-0DF0-43A6-97FD-BACC4F3E09B8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6B10A4D-A7BE-4D56-9A78-D7DC92D5EEDB}"/>
            </a:ext>
          </a:extLst>
        </xdr:cNvPr>
        <xdr:cNvSpPr/>
      </xdr:nvSpPr>
      <xdr:spPr>
        <a:xfrm>
          <a:off x="4672239" y="5075916"/>
          <a:ext cx="535842" cy="36505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CC9DE42C-DD30-472A-A946-9291C842FF53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53949FAC-B9EC-46FF-95EE-EA2336D7A345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D78EEC90-7CEE-4555-8AFD-118C13909200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A491B211-57B7-4851-A3BB-009B7BB284D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899CF363-4AB6-46F1-8D14-68858E88B916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96940DC4-F4B8-402E-BE5A-42D61233FC70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F5C05440-3DAA-4626-AD9C-58B95FAE6210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10320633-9B29-462D-857E-2F03CC269B98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8EB4F3C2-2718-4567-8E17-CE73A4533BBC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D9097588-F453-43CF-BE52-74B9CA713740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646BD-88FD-400A-8955-BCD809FEC254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7688947B-CBA2-4676-B636-BAF0B16B22EB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DE4E2B09-2779-4DF9-AE91-6E0289E390B8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151CB19B-4307-433E-BB63-B622B914BBAF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BAAB663F-F764-4F07-90EF-792F34747FD6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27EB8C7F-346B-4FCF-8E98-B9E2595098EC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CCF591F0-B156-4DA8-9FEF-1C3EC48A84E6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DA65C3C8-49D4-4E7B-A2A5-D06D61F5EBED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D653035A-1EB5-4917-B54F-3242BE2B2DB1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0A9B5BE-065A-40BD-ABD3-BAA658B0A118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EED8A219-5C4A-405A-A7C4-0513FA011D07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D3783E08-133A-4065-A90B-BC47ECA0C0B3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973EF7D1-D208-4DC1-A178-5551DCA51188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9F2BE8A9-4D16-4873-A1DF-F00DD779F819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5E0569DA-50B1-41E9-B775-8765A10D026D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8A236DB8-B711-4CE9-A5E3-7805A4206D78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CB19F813-2092-44CA-ACCC-01B351E5B6EC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AB9A0417-1CE3-4595-B4DB-BFA1DC63BAB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2B00157D-0E19-4755-AF95-6140B79346BC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E9D463F3-393A-41A7-8E2D-BFD59E3720C5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795C8D79-9144-4E43-A1C6-2E1230D158A9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31D4DDFE-56F6-42A3-BF71-21F1ADE64A16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79E82C85-4669-4BD0-A322-CF6C19311FEF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0415099-69C3-401B-AD64-E9D217E48967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C9983481-00DB-4546-BA8F-6E8163394093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44C5F13B-60A0-4A62-AC24-253D084493B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2252EAE-F6CE-4170-AA10-9BBABE02A096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C399B18F-F69D-442F-AF3D-5F274A2D8BE2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49C7F26C-EDB3-432D-9551-AE159869254D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9D8CE922-177D-4EDE-91CF-F30247A62F79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B36C25B1-46B5-42FD-8CBC-04781E5EAAE2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2AE3CFA6-8E86-46B7-A047-99795044C18A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92F7C644-DA71-4D09-B77F-5E284C9D4DDB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7E733E88-6B1B-42D8-AC82-B2B8A5BAB332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69A5EF26-9420-40DE-B7B0-0E5A87A70124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D469C057-52EB-4900-B831-D41B275DF615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21FA2950-EF77-49B0-9F19-638315696346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798B5892-FD63-4FBF-92B5-21E4E907CF2F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A7BD6650-3719-401F-8544-4ABB4C53ACB3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D13F163-6996-4C54-964F-821D346EB3B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EEDF80E5-824A-47FE-91BD-24AFA2CA572E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F6B8CCC8-95E7-406B-A93D-8ADEC26A071E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FCF36768-0460-4EFB-AA18-47C5ACE70696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C799FCDE-1975-4E7C-AF41-2ECC5347277A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6ED5C83E-50F2-4AFB-BDE6-0A0395DE9166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7A68E7AA-3A8E-4E97-AE77-DB354F1FAEC1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940E6845-474E-482F-9C6F-4EF344468AF3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43DF57C3-AB03-40B3-91FF-AEE54BAB09D6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32A43197-7353-4828-A1A7-FEDC9CAA41C9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63ED45BC-D1E1-4072-9346-63B49C259AE1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9EEAE6C2-4961-4F5B-84B4-625C1496BF69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7F9113CB-DCC7-4C7D-BCB9-2381D89209D6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93C75DDF-EC82-4A29-B757-CF2D450352E1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A6DB08BB-D7C1-43D3-A8EC-7ED201054489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5678026F-6E20-436C-A708-F005EBBEC3E2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1787336F-B37C-4D2C-81EB-87BA51EF637E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E404A186-C66B-4F69-B6EB-F11AEED6C543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D318AF79-776D-4F81-B9E7-0DC53B035203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3217669-C753-47A2-A722-CB9AB33094B8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734CA0D5-A81B-42F5-8840-BC737FA36BEC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69916CE4-B646-402E-99AB-DDB9EA1893FA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93ABAC78-78B7-4E13-B016-CC8411C35D03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23F8FE37-8184-4307-A034-9816DBE8C8AE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AE9673F3-213C-47C7-8669-FD597E7CA84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DC67CFB8-A431-42DB-BC8C-62B56A1333F4}"/>
            </a:ext>
          </a:extLst>
        </xdr:cNvPr>
        <xdr:cNvSpPr/>
      </xdr:nvSpPr>
      <xdr:spPr>
        <a:xfrm>
          <a:off x="9594850" y="16878300"/>
          <a:ext cx="5363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A0AA1990-E174-43B7-B2FA-4F3BD2010826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2D8BC99E-03CA-43E6-A993-6EDEADA3FE94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3E1EA76C-553E-4452-A11E-85A38C9DBC39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897B6FCE-A402-4974-A6D3-DF8AF28BDC3A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8EBBC144-C8A5-47FF-9B5F-BF8FA5BE7BEE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14D76495-0A93-4AC9-8391-F0808202F41C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791724DD-CBAB-4556-962A-48D83749CD7A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9C3AF0E-A912-4ECB-9690-69D311426C91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307FFE26-B983-4845-917E-4736C05EF643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68BF5383-4C38-413A-AC18-62D333B15C62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D5B3751B-5D06-456B-ABD1-B2C2CBD862B9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A356FEF7-F40E-4570-8247-0C4FB47D1D56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B396F841-D417-4E4E-A990-89A01562CE99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10DF6E24-EF3B-4551-8DEE-01F6317DE04C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75B2C920-2BFB-4381-B46E-86557E61FCF4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C97CB455-E740-4076-B8A7-38DB8AEB80E9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9E4C5626-691F-46DA-A60B-F60076315147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A33668DD-0956-444E-800B-D822D309CC83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7013632F-E46C-48AA-BB8B-D224AD7B7CA7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ED0D9BC2-DC36-4D81-B622-90EBE2042167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B98D9C29-C4D0-4A7C-A668-697CF76E99A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4BE5C3B2-1EE6-4965-9125-A10B47A0CC61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3FF476A6-2F79-4B8A-883B-55F6DBD3DD11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FE5A9D85-D311-41F0-B122-CF0D6812A23F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809C8D56-2064-4BDF-BAA7-8677AFCBA0EE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7644A140-7B02-41EA-987C-96A837F12036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CAA04AE2-D749-4DB3-A731-06EBC6DF810D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8AA59B87-5000-44AE-9C2A-6D10C2D96F10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EAB960B2-9D0A-4F4B-A2EC-717585C255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4DA5A937-B6BC-431F-9B90-1711086BE9F8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E5D5B36E-A213-4769-99D8-0D7C24AA4A62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28" name="Curved Connector 523">
          <a:extLst>
            <a:ext uri="{FF2B5EF4-FFF2-40B4-BE49-F238E27FC236}">
              <a16:creationId xmlns:a16="http://schemas.microsoft.com/office/drawing/2014/main" id="{B30B658D-1099-47B5-8E21-D806FFEA89F1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29" name="Straight Arrow Connector 928">
          <a:extLst>
            <a:ext uri="{FF2B5EF4-FFF2-40B4-BE49-F238E27FC236}">
              <a16:creationId xmlns:a16="http://schemas.microsoft.com/office/drawing/2014/main" id="{88947801-5287-4E1E-97F4-42B0C3C7AFF2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0" name="Straight Arrow Connector 929">
          <a:extLst>
            <a:ext uri="{FF2B5EF4-FFF2-40B4-BE49-F238E27FC236}">
              <a16:creationId xmlns:a16="http://schemas.microsoft.com/office/drawing/2014/main" id="{667A677A-FEC9-490C-9357-C6AE0F5E4286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B30C3093-C090-4F82-A8EA-5C29360D37D7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48ADD9C3-F374-43C7-BC8F-ED825EF4DBC7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E4F269B1-3C30-4769-A517-EE5A20072352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4" name="Picture 933" descr="A black and white symbol&#10;&#10;Description automatically generated">
          <a:extLst>
            <a:ext uri="{FF2B5EF4-FFF2-40B4-BE49-F238E27FC236}">
              <a16:creationId xmlns:a16="http://schemas.microsoft.com/office/drawing/2014/main" id="{9AEB3761-DF67-47ED-A8CA-126B5EDD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AE322C3B-23FD-43F9-A789-B7F353C93D73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6" name="Straight Arrow Connector 935">
          <a:extLst>
            <a:ext uri="{FF2B5EF4-FFF2-40B4-BE49-F238E27FC236}">
              <a16:creationId xmlns:a16="http://schemas.microsoft.com/office/drawing/2014/main" id="{8B95C4A6-5CEA-434C-9519-1AF6A791763B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7" name="Lightning Bolt 936">
          <a:extLst>
            <a:ext uri="{FF2B5EF4-FFF2-40B4-BE49-F238E27FC236}">
              <a16:creationId xmlns:a16="http://schemas.microsoft.com/office/drawing/2014/main" id="{805C196B-9C50-4298-9F28-26060ACA3BF6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38" name="Lightning Bolt 937">
          <a:extLst>
            <a:ext uri="{FF2B5EF4-FFF2-40B4-BE49-F238E27FC236}">
              <a16:creationId xmlns:a16="http://schemas.microsoft.com/office/drawing/2014/main" id="{6EACEBFA-86FD-46D3-9066-F2161B6211A0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39" name="Arrow: Up 1004">
          <a:extLst>
            <a:ext uri="{FF2B5EF4-FFF2-40B4-BE49-F238E27FC236}">
              <a16:creationId xmlns:a16="http://schemas.microsoft.com/office/drawing/2014/main" id="{C3D6FA42-4547-448C-8066-1609DB48F604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0" name="Arrow: Up 1005">
          <a:extLst>
            <a:ext uri="{FF2B5EF4-FFF2-40B4-BE49-F238E27FC236}">
              <a16:creationId xmlns:a16="http://schemas.microsoft.com/office/drawing/2014/main" id="{1B9817F9-F45B-404D-9737-695AC9C02C64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1" name="Arrow: Up-Down 1006">
          <a:extLst>
            <a:ext uri="{FF2B5EF4-FFF2-40B4-BE49-F238E27FC236}">
              <a16:creationId xmlns:a16="http://schemas.microsoft.com/office/drawing/2014/main" id="{81BCAC7D-B1E8-4D6E-BE8F-C1E267EB7444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2" name="Picture 95405" descr="LADDER">
          <a:extLst>
            <a:ext uri="{FF2B5EF4-FFF2-40B4-BE49-F238E27FC236}">
              <a16:creationId xmlns:a16="http://schemas.microsoft.com/office/drawing/2014/main" id="{8B4950D2-CF00-4770-AD6F-D731B7C9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3" name="Picture 94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334CCFE-6C92-4792-88FD-5136A789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4" name="Arrow: Up 1009">
          <a:extLst>
            <a:ext uri="{FF2B5EF4-FFF2-40B4-BE49-F238E27FC236}">
              <a16:creationId xmlns:a16="http://schemas.microsoft.com/office/drawing/2014/main" id="{49486DC4-2996-4336-AEAA-936E3351D83E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5" name="Arrow: Up 1010">
          <a:extLst>
            <a:ext uri="{FF2B5EF4-FFF2-40B4-BE49-F238E27FC236}">
              <a16:creationId xmlns:a16="http://schemas.microsoft.com/office/drawing/2014/main" id="{834BA79E-4299-400A-9678-9509C1571DEC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6" name="Arrow: Up 1011">
          <a:extLst>
            <a:ext uri="{FF2B5EF4-FFF2-40B4-BE49-F238E27FC236}">
              <a16:creationId xmlns:a16="http://schemas.microsoft.com/office/drawing/2014/main" id="{18744D4C-1E14-41DC-9E95-EB957689D41F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7" name="Arrow: Up 1012">
          <a:extLst>
            <a:ext uri="{FF2B5EF4-FFF2-40B4-BE49-F238E27FC236}">
              <a16:creationId xmlns:a16="http://schemas.microsoft.com/office/drawing/2014/main" id="{BB2A4DA9-703B-417B-9EB3-991967C01CE8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48" name="Arrow: Up 1013">
          <a:extLst>
            <a:ext uri="{FF2B5EF4-FFF2-40B4-BE49-F238E27FC236}">
              <a16:creationId xmlns:a16="http://schemas.microsoft.com/office/drawing/2014/main" id="{8AE9E61D-0331-4CD3-84A7-D2A4636E21BA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49" name="Arrow: Up 1014">
          <a:extLst>
            <a:ext uri="{FF2B5EF4-FFF2-40B4-BE49-F238E27FC236}">
              <a16:creationId xmlns:a16="http://schemas.microsoft.com/office/drawing/2014/main" id="{7BF70049-BC95-4E44-B004-C9738FE51A8D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0" name="Arrow: Up 1015">
          <a:extLst>
            <a:ext uri="{FF2B5EF4-FFF2-40B4-BE49-F238E27FC236}">
              <a16:creationId xmlns:a16="http://schemas.microsoft.com/office/drawing/2014/main" id="{ECC54869-46D7-44D9-8F0E-7632BEDC4A9C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1" name="Arrow: Up 1016">
          <a:extLst>
            <a:ext uri="{FF2B5EF4-FFF2-40B4-BE49-F238E27FC236}">
              <a16:creationId xmlns:a16="http://schemas.microsoft.com/office/drawing/2014/main" id="{D2DF84E0-2417-4C78-A4CD-4FA7D74D07F7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2" name="Arrow: Up 1017">
          <a:extLst>
            <a:ext uri="{FF2B5EF4-FFF2-40B4-BE49-F238E27FC236}">
              <a16:creationId xmlns:a16="http://schemas.microsoft.com/office/drawing/2014/main" id="{D0FE32A8-51BA-4E51-82F7-BCCC2249EFB9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3" name="Arrow: Up 1018">
          <a:extLst>
            <a:ext uri="{FF2B5EF4-FFF2-40B4-BE49-F238E27FC236}">
              <a16:creationId xmlns:a16="http://schemas.microsoft.com/office/drawing/2014/main" id="{7C182D4F-3D40-45F4-A090-6C7F3664CAD5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4" name="Arrow: Up 1019">
          <a:extLst>
            <a:ext uri="{FF2B5EF4-FFF2-40B4-BE49-F238E27FC236}">
              <a16:creationId xmlns:a16="http://schemas.microsoft.com/office/drawing/2014/main" id="{764E041F-D8C6-4EBE-A3F3-8C08AB55A319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5" name="Arrow: Up 1020">
          <a:extLst>
            <a:ext uri="{FF2B5EF4-FFF2-40B4-BE49-F238E27FC236}">
              <a16:creationId xmlns:a16="http://schemas.microsoft.com/office/drawing/2014/main" id="{DAB3FA75-6D4A-4238-A0DB-697D51EC0127}"/>
            </a:ext>
          </a:extLst>
        </xdr:cNvPr>
        <xdr:cNvSpPr/>
      </xdr:nvSpPr>
      <xdr:spPr>
        <a:xfrm>
          <a:off x="14294858" y="8365622"/>
          <a:ext cx="142875" cy="3895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6" name="Arrow: Up 1021">
          <a:extLst>
            <a:ext uri="{FF2B5EF4-FFF2-40B4-BE49-F238E27FC236}">
              <a16:creationId xmlns:a16="http://schemas.microsoft.com/office/drawing/2014/main" id="{65068BDA-D4A5-4734-883E-5801498AF4EE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7" name="Arrow: Up 1022">
          <a:extLst>
            <a:ext uri="{FF2B5EF4-FFF2-40B4-BE49-F238E27FC236}">
              <a16:creationId xmlns:a16="http://schemas.microsoft.com/office/drawing/2014/main" id="{C432F943-6103-4E74-AE91-69355295AC93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58" name="Arrow: Up 1023">
          <a:extLst>
            <a:ext uri="{FF2B5EF4-FFF2-40B4-BE49-F238E27FC236}">
              <a16:creationId xmlns:a16="http://schemas.microsoft.com/office/drawing/2014/main" id="{86532731-5B16-4288-BC20-38CE3956AAF9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59" name="Arrow: Up 1024">
          <a:extLst>
            <a:ext uri="{FF2B5EF4-FFF2-40B4-BE49-F238E27FC236}">
              <a16:creationId xmlns:a16="http://schemas.microsoft.com/office/drawing/2014/main" id="{E6B3BD2F-FCDA-45B5-BBF4-C62D24001D00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0" name="Arrow: Up 1025">
          <a:extLst>
            <a:ext uri="{FF2B5EF4-FFF2-40B4-BE49-F238E27FC236}">
              <a16:creationId xmlns:a16="http://schemas.microsoft.com/office/drawing/2014/main" id="{2309E05C-1DA4-484D-B731-5E25E39CEF77}"/>
            </a:ext>
          </a:extLst>
        </xdr:cNvPr>
        <xdr:cNvSpPr/>
      </xdr:nvSpPr>
      <xdr:spPr>
        <a:xfrm>
          <a:off x="14436571" y="11318081"/>
          <a:ext cx="170753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1" name="Arrow: Up 1026">
          <a:extLst>
            <a:ext uri="{FF2B5EF4-FFF2-40B4-BE49-F238E27FC236}">
              <a16:creationId xmlns:a16="http://schemas.microsoft.com/office/drawing/2014/main" id="{C42781E6-9E49-4DFB-9976-D13E06BD8910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2" name="Arrow: Up 1027">
          <a:extLst>
            <a:ext uri="{FF2B5EF4-FFF2-40B4-BE49-F238E27FC236}">
              <a16:creationId xmlns:a16="http://schemas.microsoft.com/office/drawing/2014/main" id="{0C2776C1-B640-4BC5-817C-D045316AAA8A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3" name="Arrow: Up 1028">
          <a:extLst>
            <a:ext uri="{FF2B5EF4-FFF2-40B4-BE49-F238E27FC236}">
              <a16:creationId xmlns:a16="http://schemas.microsoft.com/office/drawing/2014/main" id="{B68E5685-941F-455D-BA39-4570A118B2ED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4" name="Arrow: Up 1029">
          <a:extLst>
            <a:ext uri="{FF2B5EF4-FFF2-40B4-BE49-F238E27FC236}">
              <a16:creationId xmlns:a16="http://schemas.microsoft.com/office/drawing/2014/main" id="{7AFB6F89-EB3E-4929-A044-9C351B4A74C1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5" name="Arrow: Up 1030">
          <a:extLst>
            <a:ext uri="{FF2B5EF4-FFF2-40B4-BE49-F238E27FC236}">
              <a16:creationId xmlns:a16="http://schemas.microsoft.com/office/drawing/2014/main" id="{5FD4F612-DA57-42DE-BC62-077FE7CF7408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6" name="Arrow: Up 1031">
          <a:extLst>
            <a:ext uri="{FF2B5EF4-FFF2-40B4-BE49-F238E27FC236}">
              <a16:creationId xmlns:a16="http://schemas.microsoft.com/office/drawing/2014/main" id="{69860E6F-0311-4497-B065-38B97F77EBBB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7" name="Arrow: Up 1032">
          <a:extLst>
            <a:ext uri="{FF2B5EF4-FFF2-40B4-BE49-F238E27FC236}">
              <a16:creationId xmlns:a16="http://schemas.microsoft.com/office/drawing/2014/main" id="{5BD24A8B-38BB-4F33-9326-9FB0483B3C3C}"/>
            </a:ext>
          </a:extLst>
        </xdr:cNvPr>
        <xdr:cNvSpPr/>
      </xdr:nvSpPr>
      <xdr:spPr>
        <a:xfrm>
          <a:off x="14296891" y="1281480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68" name="Arrow: Up 1033">
          <a:extLst>
            <a:ext uri="{FF2B5EF4-FFF2-40B4-BE49-F238E27FC236}">
              <a16:creationId xmlns:a16="http://schemas.microsoft.com/office/drawing/2014/main" id="{E3B85849-4E7E-436F-A7FF-3CCAC88045A6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69" name="Arrow: Up 1034">
          <a:extLst>
            <a:ext uri="{FF2B5EF4-FFF2-40B4-BE49-F238E27FC236}">
              <a16:creationId xmlns:a16="http://schemas.microsoft.com/office/drawing/2014/main" id="{1435CF6C-74DA-4A49-8666-562DE88D98EB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0" name="Arrow: Up 1035">
          <a:extLst>
            <a:ext uri="{FF2B5EF4-FFF2-40B4-BE49-F238E27FC236}">
              <a16:creationId xmlns:a16="http://schemas.microsoft.com/office/drawing/2014/main" id="{08D91DE4-F183-4F1B-8BE3-8BF8A0211939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1" name="Arrow: Up 1036">
          <a:extLst>
            <a:ext uri="{FF2B5EF4-FFF2-40B4-BE49-F238E27FC236}">
              <a16:creationId xmlns:a16="http://schemas.microsoft.com/office/drawing/2014/main" id="{CE1F3968-6B66-4C2B-B119-C731F82D7BAB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2" name="Arrow: Up 1037">
          <a:extLst>
            <a:ext uri="{FF2B5EF4-FFF2-40B4-BE49-F238E27FC236}">
              <a16:creationId xmlns:a16="http://schemas.microsoft.com/office/drawing/2014/main" id="{28E8D7B8-1E47-4773-B14E-67776324CDD2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3" name="Arrow: Up 1038">
          <a:extLst>
            <a:ext uri="{FF2B5EF4-FFF2-40B4-BE49-F238E27FC236}">
              <a16:creationId xmlns:a16="http://schemas.microsoft.com/office/drawing/2014/main" id="{54885523-78D8-46E4-AF5D-2CEBC5C75DB1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4" name="Arrow: Up 1039">
          <a:extLst>
            <a:ext uri="{FF2B5EF4-FFF2-40B4-BE49-F238E27FC236}">
              <a16:creationId xmlns:a16="http://schemas.microsoft.com/office/drawing/2014/main" id="{7E986098-77D2-469E-9E24-A1100C37FC23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5" name="Arrow: Up 1040">
          <a:extLst>
            <a:ext uri="{FF2B5EF4-FFF2-40B4-BE49-F238E27FC236}">
              <a16:creationId xmlns:a16="http://schemas.microsoft.com/office/drawing/2014/main" id="{A086209D-9CE6-4DE3-A0FE-90DCF0CF75DA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6" name="Arrow: Up 1041">
          <a:extLst>
            <a:ext uri="{FF2B5EF4-FFF2-40B4-BE49-F238E27FC236}">
              <a16:creationId xmlns:a16="http://schemas.microsoft.com/office/drawing/2014/main" id="{6E392754-BF30-4087-B0A8-8CE61D786ADD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7" name="Arrow: Up 1042">
          <a:extLst>
            <a:ext uri="{FF2B5EF4-FFF2-40B4-BE49-F238E27FC236}">
              <a16:creationId xmlns:a16="http://schemas.microsoft.com/office/drawing/2014/main" id="{AD1569E8-9FD8-4FDC-A473-ABAFDB8E3CDE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78" name="Arrow: Up 1043">
          <a:extLst>
            <a:ext uri="{FF2B5EF4-FFF2-40B4-BE49-F238E27FC236}">
              <a16:creationId xmlns:a16="http://schemas.microsoft.com/office/drawing/2014/main" id="{1709C992-1B38-4661-8256-33000B62F626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79" name="Arrow: Up 1044">
          <a:extLst>
            <a:ext uri="{FF2B5EF4-FFF2-40B4-BE49-F238E27FC236}">
              <a16:creationId xmlns:a16="http://schemas.microsoft.com/office/drawing/2014/main" id="{6A6C3E0C-ABD9-453D-ADE9-C79E46E2D4DF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827F01B8-3682-4A49-BA2F-19E305CE0C1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CCB395E4-DE6F-42FA-A2F1-EA9A8C9D2E8C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3C1C7E0E-1C63-4192-B0F2-A6D683F451F6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936FFBBD-69AA-44AF-9485-51C64F89FE1D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8CDEE2A-9908-4933-8A94-C7AE9067D4C1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6776ECA5-3CCD-4FC9-B4FE-137AC7B3A219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FD806BDB-316B-4998-9010-CAD0E61C04C3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7" name="Arrow: Up 1052">
          <a:extLst>
            <a:ext uri="{FF2B5EF4-FFF2-40B4-BE49-F238E27FC236}">
              <a16:creationId xmlns:a16="http://schemas.microsoft.com/office/drawing/2014/main" id="{428B00B0-6F8D-4186-856F-E21BED4450CB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88" name="Arrow: Up 1053">
          <a:extLst>
            <a:ext uri="{FF2B5EF4-FFF2-40B4-BE49-F238E27FC236}">
              <a16:creationId xmlns:a16="http://schemas.microsoft.com/office/drawing/2014/main" id="{FD5B6F4B-D3FB-4805-AA19-40B5540014FA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89" name="Arrow: Up 1054">
          <a:extLst>
            <a:ext uri="{FF2B5EF4-FFF2-40B4-BE49-F238E27FC236}">
              <a16:creationId xmlns:a16="http://schemas.microsoft.com/office/drawing/2014/main" id="{1E45E370-0331-44C5-AAD8-C6BC10440E90}"/>
            </a:ext>
          </a:extLst>
        </xdr:cNvPr>
        <xdr:cNvSpPr/>
      </xdr:nvSpPr>
      <xdr:spPr>
        <a:xfrm>
          <a:off x="14343064" y="18702337"/>
          <a:ext cx="182949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0" name="Arrow: Up 1055">
          <a:extLst>
            <a:ext uri="{FF2B5EF4-FFF2-40B4-BE49-F238E27FC236}">
              <a16:creationId xmlns:a16="http://schemas.microsoft.com/office/drawing/2014/main" id="{C5A74B30-FC6A-41A3-9E10-92F75CDD4A33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BB045A8-3CEE-4366-8E73-B9F57262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2" name="Picture 991">
          <a:extLst>
            <a:ext uri="{FF2B5EF4-FFF2-40B4-BE49-F238E27FC236}">
              <a16:creationId xmlns:a16="http://schemas.microsoft.com/office/drawing/2014/main" id="{38E0CFDD-BF8C-46B7-8827-86ECEA0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3" name="Isosceles Triangle 992">
          <a:extLst>
            <a:ext uri="{FF2B5EF4-FFF2-40B4-BE49-F238E27FC236}">
              <a16:creationId xmlns:a16="http://schemas.microsoft.com/office/drawing/2014/main" id="{972474C7-9867-49B0-A39C-706061DD6984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BEAF46C3-5576-4D74-AC85-CF7ECD4010CB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CED3C376-C689-44C2-B55C-B9EEFB457E29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4841042F-098C-49D8-B2F8-B0F8CA293382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3FFBC771-0D21-42D4-9316-D173FC615B4E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93E38DA3-AA49-47FF-A3C8-9A85DD78E760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8DC6E3E7-1CFA-471F-AF30-9A3E8AA6D686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C497F140-36A8-4F20-B12B-E3778D625DAC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A274619B-E4A5-44A1-A91A-AF7E1145311F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30B366C-09D3-41BB-ADBE-C69749033E2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D1E88C4A-FE96-4289-B821-A8D234901482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514F1389-0B5E-452B-820C-82A2A2C890BA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D8652177-FA62-46FA-9FE9-00115AD6A2ED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977BF3B3-F30A-4B98-8FDE-7DC03B1E4A01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762FF65E-DCE6-4C78-B354-3824CEE9B659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D5A314AC-617B-4606-AFD1-E1B57D03EDC8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C8EED33F-2778-4D89-97AD-0A72405445B4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67865237-612E-4098-9F8A-8E9114FC283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DCDF0A87-090C-4FC6-8EDE-0E41895CC5D4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CDFEAD02-6C69-4DB9-9D0C-5F1605313ADA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614877EC-021B-4886-A385-256104DE260C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FD1B494E-75CF-4F09-9991-24B5B6C6AADB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D77D165C-AF61-4733-BD4E-C46F4A8AECE3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1A1C8ED8-64DE-4026-87D0-BB9DDB47765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DA7DD8FE-908D-4983-BE1C-1CEA685D0A9C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E392C47B-CE0B-431C-92B8-C89F46B72BA4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AF1CA1A1-9942-4B57-B1F9-56B4D52D47E0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E04F814E-E26B-41F1-A4FF-41DD9AC01B92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48DE5FBE-CEB9-4165-95A7-1BDB165D859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F336550C-1D0A-4550-8F1D-4877C91926DA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7BE4CD3D-2FA2-4BB7-95FE-DCEBB6D42813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79D5C759-B296-4CE5-86E7-7872D4478657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C149DC6F-C51C-4562-A1EE-564B32F6765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B4E4A7E8-EDD1-44BE-9E67-5AF0CC4E6482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86747E3C-5CFF-41F2-BC6D-73EFF0DEDAA1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33BEBC2-7304-4EC9-8EF3-C52199C68D3D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489D85D4-27D3-4E94-9D89-1A26FA7D4273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B428CA9A-8B2B-4647-BD15-EBE98CE87678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3B6E4875-7415-4C63-BF20-A9DFED388535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7E85599A-D305-4A31-87FF-53514485C5FD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79E012BA-AA64-4CC7-8703-AA677BADA667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A2F263A8-C34F-4F9D-B21C-6B8B7EE88770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4A7CD0D0-D9E3-47FD-B92B-344B9D8E8E75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FC72726-5091-4874-B094-CFCD72A2A495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900D5E39-1593-404B-9BFE-914B83B7B35E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C2A05CD-CD99-407B-B8A5-D8362E075334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61946EEC-58A2-4E75-A300-2C2076BAD99F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88AD2DC2-4B17-48D2-A0C6-671A06B1B77A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81CB2293-D63B-4CDC-A25F-052D2B1507BA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84D8821A-4D6D-4EDE-9ED7-3183B02A4E1D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742BC972-DBA9-4C01-8078-7C5353ACAD05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3CC0C003-8148-4113-B4C8-37569E7EDBC1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340FE1DC-482A-4B2D-982A-DF6024DF2603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DEB7CA3F-F9FB-4F8A-A66A-2A35329F82AC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FD2E1FAA-EE30-4CCC-8D80-6C3A0B31950F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4B3E1D8A-3AE4-474C-B1A0-DD1E572471F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A6E4FEEC-E82C-4A26-A9AC-EA410CE01DD4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5E03E873-81D6-449B-844B-532418423AB8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E2324C99-7263-43C0-93BE-4105D72E63FB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5CD7D698-F0CF-4D03-A0B6-ACA53FFA3645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483BCC61-E0BF-4495-BD8F-F85A3CC21F02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35F1DD6C-2B47-44C9-BB7B-A78B9D185DB2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FA0660E0-F522-4204-95B6-4E5830C8C636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AFC7E4AB-326F-41EA-B76F-FBF320E93E97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EF501549-302E-452B-8D18-4D6CC08213C0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0" name="5-Point Star 520">
          <a:extLst>
            <a:ext uri="{FF2B5EF4-FFF2-40B4-BE49-F238E27FC236}">
              <a16:creationId xmlns:a16="http://schemas.microsoft.com/office/drawing/2014/main" id="{5B0843B5-B91E-46B9-86ED-2513AC25AFAF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1" name="Curved Connector 522">
          <a:extLst>
            <a:ext uri="{FF2B5EF4-FFF2-40B4-BE49-F238E27FC236}">
              <a16:creationId xmlns:a16="http://schemas.microsoft.com/office/drawing/2014/main" id="{E8F870BE-7E8D-48FA-A82F-DFF7FF6BE5D7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558B7339-22D4-43B9-9203-8100008E908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8ACC98BB-F2D9-45DB-B3DE-C3B81D07C189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E0D91BAD-DCE2-40F9-9254-18F10A47E7CD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4DF6B1E3-5821-4B8B-B87D-AEC29B0441B5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E5100957-DE8D-45C9-8042-4CFC9858917A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5F64A86E-84B5-49B4-8FB6-0C7283814557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E8BD2D8A-78A4-4147-8E2E-81F88C4D2D8A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AF0076A0-3026-4B69-A489-85E47C34933D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EADB5FBD-E567-4E49-952D-ED08C172284B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E689D6F7-C1E1-4518-923A-B573114693A1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F4A7A27E-C21E-46ED-88E1-498CF53FDB52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642902DD-8F8C-4315-A768-D6A861C6C9E5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305FE75F-56D6-4961-B4C9-1DA38E3FBD04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D0A580DA-0458-4567-8934-8381317F8F3F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957DA8A7-9BCF-4497-A3E4-04046631DD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B82F1150-BB0B-4167-8B6B-584397EC42B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E0285362-F3F4-4646-8DC8-3DCEB32DD0D8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65C47AE2-1D03-4C8A-88C9-66FC81CAFBD8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3B066C17-6B6C-4503-8686-DD6788F06833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C161E2B6-1D9C-4ABB-AA06-40E861A9118B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EB539E49-881A-4FFC-AEAE-E0C07A219265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3" name="Picture 1082" descr="A black and white symbol&#10;&#10;Description automatically generated">
          <a:extLst>
            <a:ext uri="{FF2B5EF4-FFF2-40B4-BE49-F238E27FC236}">
              <a16:creationId xmlns:a16="http://schemas.microsoft.com/office/drawing/2014/main" id="{3ED6396C-F576-414B-BFC6-6958135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E69E12D7-CD31-469F-88B4-919B0AA7AD10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CDBB5959-7D93-489A-B1DA-6F96CE1E109B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95288084-38AF-4CC7-8853-E28959BE6EFD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5A6CB52D-1BA5-4FDB-AC3B-DF122F2E07F3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C59825E6-0350-4279-B4BA-76D90CD329E9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73BF96A9-BDCD-48B5-9227-990463AAC453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EB155BA9-E082-47E0-B97A-309A30BF743B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F99C9D5-C49C-414E-96B8-0B0C6F8315D4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49D39891-3D57-4185-8FAF-84D29ABCCF08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E188D66B-8E30-4F35-969D-F918DCFF0E4B}"/>
            </a:ext>
          </a:extLst>
        </xdr:cNvPr>
        <xdr:cNvSpPr/>
      </xdr:nvSpPr>
      <xdr:spPr>
        <a:xfrm>
          <a:off x="6500091" y="21382182"/>
          <a:ext cx="533534" cy="3622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7B28C0CE-C4C4-4F47-894F-F8823104E80F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2ED97462-FBAA-4244-A583-B907CEE9C249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34D6A40F-5A82-4CDD-B4A5-4DF876ADFB80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4CAE6D3C-6486-45AE-B896-E597CB959E58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9410957-9DB9-46C9-8797-D68E8836E82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7602DBA1-F026-4A1A-A628-8BA2A9C6B8EB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2C61D6A8-8C44-48A4-9B44-FC0273A87A02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21073FDE-DF3F-4E8F-9ECA-750D3377A51D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F018FB12-9991-4E0F-9DC4-B049E91E4457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E249BBB-8E15-441F-B913-CCBC8EF2500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4730E2DF-9C3C-45B0-9CA8-D3D4C2F62EC6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7799EE15-0026-4975-AA9D-494767EF62C1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39</xdr:col>
      <xdr:colOff>7637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CECFB4D6-9B42-4E4B-A35F-B00E274E7024}"/>
            </a:ext>
          </a:extLst>
        </xdr:cNvPr>
        <xdr:cNvSpPr/>
      </xdr:nvSpPr>
      <xdr:spPr>
        <a:xfrm>
          <a:off x="12584545" y="22860000"/>
          <a:ext cx="527183" cy="367900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626800B0-7838-4D6C-A4A3-AE2117371140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08" name="Arrow: Up 1186">
          <a:extLst>
            <a:ext uri="{FF2B5EF4-FFF2-40B4-BE49-F238E27FC236}">
              <a16:creationId xmlns:a16="http://schemas.microsoft.com/office/drawing/2014/main" id="{E0FB4C69-64B7-43DB-882C-396FB7D6F19E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9FA693B-DF3A-4085-BD5C-23AC5C80AE4B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E1E63D5-2CA4-42F7-B32A-E3A55681243A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452EF0D5-CA78-4D42-811D-D194D64287CB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70C3B694-2FD5-48BA-8C99-D854412722E1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9F30060B-DB09-4A6E-BF5C-49B3D8FD0536}"/>
            </a:ext>
          </a:extLst>
        </xdr:cNvPr>
        <xdr:cNvSpPr/>
      </xdr:nvSpPr>
      <xdr:spPr>
        <a:xfrm>
          <a:off x="5568950" y="22771100"/>
          <a:ext cx="542471" cy="35650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C765CE82-4102-4A20-9EFB-D4D121C698C5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1B7CDD39-E366-4584-A97A-874D0EA588C7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33B7FCC3-EBA3-4C35-926A-73B91A5D3645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A6AD75E9-B542-4BC6-B8C6-1C554E5D465E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F4F27976-5AC1-46A3-BC44-7F89124A5B58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294FAFC9-AEEE-485B-A5DD-CB30A0981ACF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8C8B59C8-55CF-4603-973A-9B65450D4514}"/>
            </a:ext>
          </a:extLst>
        </xdr:cNvPr>
        <xdr:cNvSpPr/>
      </xdr:nvSpPr>
      <xdr:spPr>
        <a:xfrm>
          <a:off x="1631950" y="24245212"/>
          <a:ext cx="558800" cy="367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13F15142-5658-40C4-AB25-8AA0EF2EFB45}"/>
            </a:ext>
          </a:extLst>
        </xdr:cNvPr>
        <xdr:cNvSpPr/>
      </xdr:nvSpPr>
      <xdr:spPr>
        <a:xfrm>
          <a:off x="267970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665EEF7-A6FE-4B15-BBEB-A8CE61151AD2}"/>
            </a:ext>
          </a:extLst>
        </xdr:cNvPr>
        <xdr:cNvSpPr/>
      </xdr:nvSpPr>
      <xdr:spPr>
        <a:xfrm>
          <a:off x="371475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7288F65A-C444-44E1-8176-7102CC8FBA59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A384D2F6-2953-447E-8149-27D9119EB88D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1400A5F8-3B86-411E-A68E-78677B53B694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6FC8ECE7-A328-41CB-9F67-346B5AE58D88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C040EE3F-9C4E-42A2-8E7D-AC6005B32404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CF89D9D6-3C00-4101-B552-BC5850D4B72F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6F34A167-794D-4192-80CB-C31FD5FBEE7F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309C1022-386B-4E2A-8DA2-EA4579D12EB0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BAFB8107-3737-40CA-8625-7E5BE43B4BCF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5E901D60-6F79-426F-898C-B82E4ADAF5D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6AF40EB-5CF9-4EE7-BCB5-91747ED6FF6B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6766B5CD-D669-44FD-B6EF-1F6F56431AB2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8655365D-4711-4C7B-85DD-25D2B148B91C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267B8E4F-6419-46D7-86DE-33279236EAF1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AC193471-FA8B-4A3C-B631-5A3E2A7AF6B5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5C2DFF03-23AD-4B96-A623-0316D9BC22F8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F8DE79E5-18E8-4FF8-8F41-5ADE4B3BB583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B5B991CE-6ADD-440F-B29F-21575674B8E4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37B977BE-5D57-4A6D-862F-243DD089FDD7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5994C330-F583-4BD7-87A2-FC5CBCF7F9CE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DD495299-3F23-494A-A0A6-217F968AC521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B567C697-F2DF-4AD4-9D15-9C9EE682BC05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FB96B80A-2B41-493B-9026-84770423517D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8D88AD2D-381D-4870-8E04-B1971F0CD2BE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9D022FF3-4F4B-445D-A4C5-E3C2343E1EC1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F6BA7F41-6B05-4119-B3E7-15A455191203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58D82AEE-6BD7-4FDA-ADCB-C0090C30FDD8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F94D1BA8-501B-445F-BBFA-7E00562949CB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F7973E34-3F81-45E4-A009-B85466E5350A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F7910756-1466-430F-85A1-B2A590FDD4F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5AEBC4FA-F0E1-433A-9691-0E032A947F1A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E617D19A-8BCC-4D1F-8BB9-1078848D97E4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B20AF227-59F5-4277-A2DE-7AB335CB0E07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6" name="Arrow: Up 1234">
          <a:extLst>
            <a:ext uri="{FF2B5EF4-FFF2-40B4-BE49-F238E27FC236}">
              <a16:creationId xmlns:a16="http://schemas.microsoft.com/office/drawing/2014/main" id="{C2A80BA2-F5F6-4F92-8405-32334E6D41B0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84757910-3BD5-42AA-B422-98D5DCF0F2D7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C9CE1E38-FF3E-436A-9426-F4A8F7FBF0E1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775DF4B2-AB44-4C71-825B-3171E5093FD7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A660F5A5-C605-4A9E-BB52-BA3FDBF399D4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8BEC2241-FAFB-4EF7-AB7D-B0CBD0C09AB8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1BCBFEDE-03AC-482D-B909-29ACC15A7425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8301CAD9-1CD8-48CE-A1AA-3F2D6189BC5E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BF51BE38-77DC-449B-9556-290335A264DC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224A08F-B287-449C-A1DD-6B3E2748C722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D9D7F607-93A3-43C9-B7E2-755E08DB7245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1B99B3CB-BA5C-4D85-8211-C1BF0FECDB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E284432A-CF1B-403E-82B6-4809BA380E43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A30358E5-E9F0-436C-B60B-B19AEFB45D4E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7399F0B1-21E7-41B9-BC80-A4E58C0DC492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2485E8AC-730B-4184-82D1-78DCE9DEAAD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1F4446F-2290-4E4F-906B-128D206A9FD4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ED294DA8-CEFC-4372-8137-8C868BC191A1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66D8955B-6AD0-431D-9C09-9B8E3DEE3D5B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46D5756F-08F6-4543-800C-C0ADE3B010A6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F3334F3-512F-4080-8697-2C0D70EB0C9A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4BE89EF9-2B34-4878-8EEA-9CC5768A52C5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00CC009-35E8-4D66-9DC6-1F4F5FF47988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AD6F3F96-3E16-4AC4-8D27-102CEEBBF42C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AE0F2233-C788-435C-9C32-26A23B65CC11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1" name="Arrow: Up 1259">
          <a:extLst>
            <a:ext uri="{FF2B5EF4-FFF2-40B4-BE49-F238E27FC236}">
              <a16:creationId xmlns:a16="http://schemas.microsoft.com/office/drawing/2014/main" id="{82063CFC-9F2D-4D1E-AFFC-1C5A9BDAA1FC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DCFAAB0A-CDDB-4833-8A3F-2A405CD7F98B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25CD6437-B214-4509-B3E7-28EDAAF3737C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E6291965-B671-498A-8564-A41898EF6138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A1B420FE-36DA-4267-B9CC-76D367E2B79F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8E592B9B-EEA2-472B-A210-7E1291A25E11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7C882551-86CC-4B0B-9332-E195E6233A85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AE16E19E-4026-44F2-9072-FF31E6212468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C681D664-ECB6-4735-A2A8-2A4F77F38524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A9BDEE52-9F93-48E4-BF4A-9532227FF7EE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B4203312-0C5A-4B89-9E9E-47F95C5538EF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88F679B3-F9D0-4DDE-8D1F-DDEE06717675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C8F2BD94-396B-488D-B41D-70A706602946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238823C3-32F3-4E69-9239-1D022F0CA81E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C28E8CE-31AE-48A8-93A4-F8806DF6C6B4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67A8771-B528-45F4-9113-214521AE1B7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CC2EA010-C558-40D0-BECD-257C622AE242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70869178-57FF-45E9-B06E-B38599C14DA8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B99E961C-3532-4148-9B51-DEB5CF656965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9B906975-B0A3-4963-AD6C-A2E798735000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6F998B87-C142-473A-AD92-89ADDD1837F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42A35D79-E6C2-4D34-B41B-AB23720B37ED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61197353-08D3-4AB4-9987-BAABE84584A6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84246B47-6226-4056-AFF0-51DCBC217B8D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5D4E7240-FF23-48C8-BD33-7D1C8B933403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6" name="Arrow: Up 1284">
          <a:extLst>
            <a:ext uri="{FF2B5EF4-FFF2-40B4-BE49-F238E27FC236}">
              <a16:creationId xmlns:a16="http://schemas.microsoft.com/office/drawing/2014/main" id="{5BCCD484-1705-43C7-BC70-1259786884A4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C40637F-E510-4B21-BBD2-93EC15C31E8F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DDF3B99D-F924-4A6C-B2EE-880AAFC4B569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E0D4B43C-FF55-4D17-B656-2BA0F8259BE0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DB7AADB-47D3-43B1-9F90-DE22104341F3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7D237CCE-CC93-401D-BA9F-1FFCA42CBCB7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ADF28840-6AD1-4BB5-8A6D-F81BFF98E8E3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E51F7A01-B8D6-48DE-9540-4EB70EFF18F7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EC09E907-A3D0-44EF-8262-9C4EC9B26082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65A43F98-BF32-4F92-9FFC-D47445D58FD0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E9D42C85-0262-482B-8254-76D3E9B70F73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19B4BC76-F439-4141-A021-7A7F9067F9A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635B7723-6164-4607-AD50-545D092C35C1}"/>
            </a:ext>
          </a:extLst>
        </xdr:cNvPr>
        <xdr:cNvSpPr/>
      </xdr:nvSpPr>
      <xdr:spPr>
        <a:xfrm>
          <a:off x="1635697" y="30140847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4F4C0E91-395A-4DFB-BF87-945C6BC685D3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E50B60C-652F-4A92-99D5-D797E71E2359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9D2C60B9-0B47-427C-B7D1-26B8F3C9989F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B779CED8-AA49-4C0B-908D-67CC77C175F1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88FEB5EA-D3BB-4D3C-B4CD-BDC3E72B4B4B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D904E249-7925-47FB-8D5E-74D9C8B0844E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872105C9-C883-4686-ABB3-C8EE32A6A12A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114C05ED-765A-4228-823E-D1BC668EDACD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2CDEE65F-6AE2-4B8D-B615-5DB39FE423C0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BB3567A6-5BDD-4596-B697-E38739CFAA9C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29" name="Arrow: Up 1309">
          <a:extLst>
            <a:ext uri="{FF2B5EF4-FFF2-40B4-BE49-F238E27FC236}">
              <a16:creationId xmlns:a16="http://schemas.microsoft.com/office/drawing/2014/main" id="{073D7CAF-797D-4741-96ED-790FFC439ED2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7CC5A703-D1B4-49FF-8954-2B0D4D37FC61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1DD3AD03-846E-4FAB-B849-1C26EE3B955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F9522AFA-C853-4315-9E0B-F78567E916A0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D9980E0-973D-43C3-9E82-A5ADD75CE9E7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2E8D3EE5-80C5-430D-A2D9-F67CCC4BE7BB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9F512DBC-5974-4604-AB8C-C34CBC5FF8F7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72F6D1-B635-4A69-B286-5980E6923E93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DCE13725-C05F-45F2-A504-277C0E991775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BC07DE8E-EFB4-4FE0-84DF-E2457A8B6FC0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CC700B26-DB3F-4EC0-B1BB-18BA09C8583F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2BA6B228-A967-4BED-A189-69DC79B3B32A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CBE2AF48-5161-4FEA-A356-A5221A5E3715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BD6C599F-C36A-4F42-9C97-EFD54199D9F0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EF720EB2-2CEE-4CDB-A060-BF69E957E935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9078BD63-250A-4DC9-B272-6F33FC5F5CAA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DE2995EA-57A2-4A59-96FD-FB2C57FAE01B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5F5C5AA4-90A9-4B16-8C1D-90F95DC99C77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6F541E79-1478-4940-8BA5-1B8A289AA1D6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96F4B5AA-3D96-422A-9A34-E7D86D357BCE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60EE5AF2-AF6F-4DA5-A244-98145F5A26CB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40A2F6F9-9A02-4404-89FA-4E8AA0748735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9404BD46-8EF5-469B-9433-F141D02549FC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3B3C394-ECA9-4224-9866-37A0C811B407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492EB72F-5052-443A-93F1-A88ABFF59AC9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D397A4DF-30EF-45E7-BC95-F7C58F206AB0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1A336855-5D6E-47E6-B65F-437C6C881A6D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54A70FB5-F485-4E23-BF99-806426B97780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CD34A633-D327-4974-BF86-A4D2F01FA741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E98E0429-348D-4ED0-BD97-D11236F1E27B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F282FB83-D336-419B-91A3-0034DE33003A}"/>
            </a:ext>
          </a:extLst>
        </xdr:cNvPr>
        <xdr:cNvSpPr/>
      </xdr:nvSpPr>
      <xdr:spPr>
        <a:xfrm>
          <a:off x="1631950" y="33083500"/>
          <a:ext cx="5617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27240D44-98F4-4F59-BFF5-2352581BD194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B08FB877-9B4E-43CB-87B3-B5E04EED6454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BF1652BE-5088-4008-A26E-AE405C83FDFC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80158C4B-57B8-4627-9C23-141EA907BA86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DC381BA3-BE66-4EE2-BD90-8FD04FA4EF57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9366098A-6223-44A9-8138-5E7E681EEE0C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AEEBA284-BA5A-4B37-A118-0272E8A1FAA0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DCE56595-D3FD-4FAC-802D-867688D22DD6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37EDC1B5-268A-4010-944A-38E5D7E705C4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2B08839-CF44-4F45-A21F-8ACA0563C8B5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8374EA49-F7E1-401E-8AF3-17CEB9E270C9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B8659DEF-2E08-4191-958E-70DBD7293E8C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8DB98DF2-9D14-4404-B3E7-4A4EC5978230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8BDC9623-4614-4A8E-97BA-A668C8E6C6FB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6F44B8B4-9A8A-41A6-B331-A08ED1BC8336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AB7D8AF4-4F1D-415A-BE41-1C7DD52ECBDF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53851112-FD63-4264-9C0A-A993EB3D8CC5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CFEAF034-48F3-4582-80E0-656BADD1DC8F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3F193041-B9B0-4347-B0B1-9F593B82D4EB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B99D25-1F8C-4DCE-B313-228BC732C7A5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8F2EF244-2961-45EE-A0FC-80B0C1CC91F5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AF9B2CBA-AA10-45BD-B60B-CB6D3727EEC3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2" name="Arrow: Up 256">
          <a:extLst>
            <a:ext uri="{FF2B5EF4-FFF2-40B4-BE49-F238E27FC236}">
              <a16:creationId xmlns:a16="http://schemas.microsoft.com/office/drawing/2014/main" id="{1F07E810-8CB8-46ED-A9D6-A2FB40168AB8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3" name="Arrow: Up 256">
          <a:extLst>
            <a:ext uri="{FF2B5EF4-FFF2-40B4-BE49-F238E27FC236}">
              <a16:creationId xmlns:a16="http://schemas.microsoft.com/office/drawing/2014/main" id="{560C1948-6A31-4F73-B198-A8829C8B33D0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776C00F8-5E01-4F29-9BBD-7E1546441692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35479D5D-BD74-4A2D-A2B3-F43746B695F9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6" name="Arrow: Up 232">
          <a:extLst>
            <a:ext uri="{FF2B5EF4-FFF2-40B4-BE49-F238E27FC236}">
              <a16:creationId xmlns:a16="http://schemas.microsoft.com/office/drawing/2014/main" id="{DB3F12D7-2D1E-4211-9597-5D89B5325F39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7" name="Arrow: Up-Down 285">
          <a:extLst>
            <a:ext uri="{FF2B5EF4-FFF2-40B4-BE49-F238E27FC236}">
              <a16:creationId xmlns:a16="http://schemas.microsoft.com/office/drawing/2014/main" id="{CFB82EB1-6077-4C91-83E3-25A8AB3B1824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F9F7ECA-994C-4BCC-863B-5CEBDD3D6E3B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89" name="Arrow: Up 256">
          <a:extLst>
            <a:ext uri="{FF2B5EF4-FFF2-40B4-BE49-F238E27FC236}">
              <a16:creationId xmlns:a16="http://schemas.microsoft.com/office/drawing/2014/main" id="{270F42D8-F24B-497D-AE20-6A140EBCCF01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46E92316-EF66-4CDB-8C26-1928AD4C32BD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F81E5A9-7FFF-42CA-8738-86286A4D034B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2" name="Arrow: Up 233">
          <a:extLst>
            <a:ext uri="{FF2B5EF4-FFF2-40B4-BE49-F238E27FC236}">
              <a16:creationId xmlns:a16="http://schemas.microsoft.com/office/drawing/2014/main" id="{67044EE6-7D92-49E8-ACDE-3A92A17370D2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3A113560-2B05-450F-8BAA-477C256F29D4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4" name="Arrow: Up 256">
          <a:extLst>
            <a:ext uri="{FF2B5EF4-FFF2-40B4-BE49-F238E27FC236}">
              <a16:creationId xmlns:a16="http://schemas.microsoft.com/office/drawing/2014/main" id="{8E8D29A0-5EF6-4A56-B8B6-5CFE3EC8053A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F7B33907-6F2F-42DE-BE2B-A334F3339E6E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6D6E1175-ED30-4733-9240-B061F3C6DC51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7" name="Arrow: Up 228">
          <a:extLst>
            <a:ext uri="{FF2B5EF4-FFF2-40B4-BE49-F238E27FC236}">
              <a16:creationId xmlns:a16="http://schemas.microsoft.com/office/drawing/2014/main" id="{12A09FE4-83DB-426F-93F6-A60C8EB71C17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CCD8D0BE-3E3A-474E-BD92-E1C20D08DC8C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299" name="Arrow: Up 241">
          <a:extLst>
            <a:ext uri="{FF2B5EF4-FFF2-40B4-BE49-F238E27FC236}">
              <a16:creationId xmlns:a16="http://schemas.microsoft.com/office/drawing/2014/main" id="{E2775C97-C2BD-483B-A788-952F467EDE25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0" name="Arrow: Up-Down 285">
          <a:extLst>
            <a:ext uri="{FF2B5EF4-FFF2-40B4-BE49-F238E27FC236}">
              <a16:creationId xmlns:a16="http://schemas.microsoft.com/office/drawing/2014/main" id="{0A92CB76-F72B-4269-A163-21FBDEA58257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1" name="Arrow: Up 256">
          <a:extLst>
            <a:ext uri="{FF2B5EF4-FFF2-40B4-BE49-F238E27FC236}">
              <a16:creationId xmlns:a16="http://schemas.microsoft.com/office/drawing/2014/main" id="{6144F442-4F75-4AE2-AEB4-5BDA4FF9C9DD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2" name="Arrow: Up 237">
          <a:extLst>
            <a:ext uri="{FF2B5EF4-FFF2-40B4-BE49-F238E27FC236}">
              <a16:creationId xmlns:a16="http://schemas.microsoft.com/office/drawing/2014/main" id="{E772BBE5-BECA-47F5-BF41-FA5617B8E235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3" name="Arrow: Up 237">
          <a:extLst>
            <a:ext uri="{FF2B5EF4-FFF2-40B4-BE49-F238E27FC236}">
              <a16:creationId xmlns:a16="http://schemas.microsoft.com/office/drawing/2014/main" id="{61F678BD-369E-4D11-BAC5-DE0C0377D751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4" name="Arrow: Up 256">
          <a:extLst>
            <a:ext uri="{FF2B5EF4-FFF2-40B4-BE49-F238E27FC236}">
              <a16:creationId xmlns:a16="http://schemas.microsoft.com/office/drawing/2014/main" id="{06E4A2C1-5E36-41B3-AFE7-C2D63037A94B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5" name="Arrow: Up 239">
          <a:extLst>
            <a:ext uri="{FF2B5EF4-FFF2-40B4-BE49-F238E27FC236}">
              <a16:creationId xmlns:a16="http://schemas.microsoft.com/office/drawing/2014/main" id="{A347F782-0289-4D99-AD9A-0965F634CA26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1D8F4B82-5CF2-440B-8450-A04529623574}"/>
            </a:ext>
          </a:extLst>
        </xdr:cNvPr>
        <xdr:cNvSpPr/>
      </xdr:nvSpPr>
      <xdr:spPr>
        <a:xfrm>
          <a:off x="3238500" y="5441950"/>
          <a:ext cx="162622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7" name="Arrow: Up-Down 285">
          <a:extLst>
            <a:ext uri="{FF2B5EF4-FFF2-40B4-BE49-F238E27FC236}">
              <a16:creationId xmlns:a16="http://schemas.microsoft.com/office/drawing/2014/main" id="{5DD4B83D-BA04-47CE-812C-1E1C4B75C8FF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08" name="Arrow: Up-Down 285">
          <a:extLst>
            <a:ext uri="{FF2B5EF4-FFF2-40B4-BE49-F238E27FC236}">
              <a16:creationId xmlns:a16="http://schemas.microsoft.com/office/drawing/2014/main" id="{4C2C9A87-6FEB-4D37-ADB1-E28BF227928D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09" name="Arrow: Up 240">
          <a:extLst>
            <a:ext uri="{FF2B5EF4-FFF2-40B4-BE49-F238E27FC236}">
              <a16:creationId xmlns:a16="http://schemas.microsoft.com/office/drawing/2014/main" id="{70907339-BE3E-4625-92E0-409D25FD57FC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0" name="Arrow: Up 240">
          <a:extLst>
            <a:ext uri="{FF2B5EF4-FFF2-40B4-BE49-F238E27FC236}">
              <a16:creationId xmlns:a16="http://schemas.microsoft.com/office/drawing/2014/main" id="{C0A365AE-976F-4AB0-8CA9-3BEF62177F77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1" name="Arrow: Up 256">
          <a:extLst>
            <a:ext uri="{FF2B5EF4-FFF2-40B4-BE49-F238E27FC236}">
              <a16:creationId xmlns:a16="http://schemas.microsoft.com/office/drawing/2014/main" id="{4AB615A9-1091-4E06-A131-BFBAF5470C5B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2" name="Arrow: Up 241">
          <a:extLst>
            <a:ext uri="{FF2B5EF4-FFF2-40B4-BE49-F238E27FC236}">
              <a16:creationId xmlns:a16="http://schemas.microsoft.com/office/drawing/2014/main" id="{128FF561-40EB-4CAB-94A1-21FA5FFBE87F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1120FAA5-8614-4768-B571-973B22B06C8D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E23BE31C-9709-40E8-AAB2-470931812709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5" name="Arrow: Up 241">
          <a:extLst>
            <a:ext uri="{FF2B5EF4-FFF2-40B4-BE49-F238E27FC236}">
              <a16:creationId xmlns:a16="http://schemas.microsoft.com/office/drawing/2014/main" id="{F7688427-281C-433C-B7E8-1934FC4294C4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6" name="Arrow: Up 256">
          <a:extLst>
            <a:ext uri="{FF2B5EF4-FFF2-40B4-BE49-F238E27FC236}">
              <a16:creationId xmlns:a16="http://schemas.microsoft.com/office/drawing/2014/main" id="{04035459-7C20-4D06-B0FB-2133149F24BF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7" name="Arrow: Up 256">
          <a:extLst>
            <a:ext uri="{FF2B5EF4-FFF2-40B4-BE49-F238E27FC236}">
              <a16:creationId xmlns:a16="http://schemas.microsoft.com/office/drawing/2014/main" id="{C6D54563-1933-4ED8-94B7-3565B695B637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6D03DD4F-9E35-4041-B036-CD9059E969F9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19" name="Arrow: Up 243">
          <a:extLst>
            <a:ext uri="{FF2B5EF4-FFF2-40B4-BE49-F238E27FC236}">
              <a16:creationId xmlns:a16="http://schemas.microsoft.com/office/drawing/2014/main" id="{0D81E589-E3BF-4968-B32A-F83DBB224BD6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FEA07482-59CC-47BC-86B7-28AD2FBF1A9B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5DF75376-9FBD-4FB5-9934-BF404601C177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2" name="Arrow: Up-Down 285">
          <a:extLst>
            <a:ext uri="{FF2B5EF4-FFF2-40B4-BE49-F238E27FC236}">
              <a16:creationId xmlns:a16="http://schemas.microsoft.com/office/drawing/2014/main" id="{ED663F13-9517-4C43-8B1D-BFC84D1BC446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3" name="Arrow: Up 256">
          <a:extLst>
            <a:ext uri="{FF2B5EF4-FFF2-40B4-BE49-F238E27FC236}">
              <a16:creationId xmlns:a16="http://schemas.microsoft.com/office/drawing/2014/main" id="{80696CF1-DD80-4EBD-ABD6-A3DCB8AB69CD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4" name="Arrow: Up 244">
          <a:extLst>
            <a:ext uri="{FF2B5EF4-FFF2-40B4-BE49-F238E27FC236}">
              <a16:creationId xmlns:a16="http://schemas.microsoft.com/office/drawing/2014/main" id="{4DFDFC54-7FC4-4F36-B418-71FB968FBC9E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9323EF80-2AA8-410B-AFCF-8F6D0808F503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6" name="Arrow: Up 256">
          <a:extLst>
            <a:ext uri="{FF2B5EF4-FFF2-40B4-BE49-F238E27FC236}">
              <a16:creationId xmlns:a16="http://schemas.microsoft.com/office/drawing/2014/main" id="{FF1CDB07-B78C-4D27-B95F-216997AE3ABA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7" name="Arrow: Up 243">
          <a:extLst>
            <a:ext uri="{FF2B5EF4-FFF2-40B4-BE49-F238E27FC236}">
              <a16:creationId xmlns:a16="http://schemas.microsoft.com/office/drawing/2014/main" id="{2D72051D-768C-4110-A2D1-64443562A3C9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28" name="Arrow: Up 243">
          <a:extLst>
            <a:ext uri="{FF2B5EF4-FFF2-40B4-BE49-F238E27FC236}">
              <a16:creationId xmlns:a16="http://schemas.microsoft.com/office/drawing/2014/main" id="{787466BA-FE45-4B31-A79C-F32C3530D950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29" name="Arrow: Up 252">
          <a:extLst>
            <a:ext uri="{FF2B5EF4-FFF2-40B4-BE49-F238E27FC236}">
              <a16:creationId xmlns:a16="http://schemas.microsoft.com/office/drawing/2014/main" id="{93D19813-337D-455F-A1E7-AED3B1601227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0" name="Arrow: Up 252">
          <a:extLst>
            <a:ext uri="{FF2B5EF4-FFF2-40B4-BE49-F238E27FC236}">
              <a16:creationId xmlns:a16="http://schemas.microsoft.com/office/drawing/2014/main" id="{74C212BE-47DF-4AF2-99B3-E4A808CEDDC4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1" name="Arrow: Up-Down 285">
          <a:extLst>
            <a:ext uri="{FF2B5EF4-FFF2-40B4-BE49-F238E27FC236}">
              <a16:creationId xmlns:a16="http://schemas.microsoft.com/office/drawing/2014/main" id="{60AF2D97-AAC3-4BE2-8324-CBCC2117ACFB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2" name="Arrow: Up-Down 285">
          <a:extLst>
            <a:ext uri="{FF2B5EF4-FFF2-40B4-BE49-F238E27FC236}">
              <a16:creationId xmlns:a16="http://schemas.microsoft.com/office/drawing/2014/main" id="{AC6B880A-BB06-4C5C-B32E-1FD4D6D2F061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3" name="Arrow: Up 251">
          <a:extLst>
            <a:ext uri="{FF2B5EF4-FFF2-40B4-BE49-F238E27FC236}">
              <a16:creationId xmlns:a16="http://schemas.microsoft.com/office/drawing/2014/main" id="{F304F7DF-E10F-4951-A817-7EC5CC61E519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4" name="Arrow: Up 247">
          <a:extLst>
            <a:ext uri="{FF2B5EF4-FFF2-40B4-BE49-F238E27FC236}">
              <a16:creationId xmlns:a16="http://schemas.microsoft.com/office/drawing/2014/main" id="{24375D8F-E612-43E2-A838-ED75E1147BE3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5" name="Arrow: Up 247">
          <a:extLst>
            <a:ext uri="{FF2B5EF4-FFF2-40B4-BE49-F238E27FC236}">
              <a16:creationId xmlns:a16="http://schemas.microsoft.com/office/drawing/2014/main" id="{117BB42C-AADC-46FC-831F-02CCFCD187FF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6" name="Arrow: Up 251">
          <a:extLst>
            <a:ext uri="{FF2B5EF4-FFF2-40B4-BE49-F238E27FC236}">
              <a16:creationId xmlns:a16="http://schemas.microsoft.com/office/drawing/2014/main" id="{C3BDE704-14A2-4454-9633-9160A75669C1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7" name="Arrow: Up 251">
          <a:extLst>
            <a:ext uri="{FF2B5EF4-FFF2-40B4-BE49-F238E27FC236}">
              <a16:creationId xmlns:a16="http://schemas.microsoft.com/office/drawing/2014/main" id="{4B51FE78-86DF-4EE0-A144-5CFE6A43B094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A8C5A060-1875-4958-90D7-40060585D9F7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57DAD90D-D05F-4C0C-ACBD-3C9BBE7DE7A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0" name="Arrow: Up 255">
          <a:extLst>
            <a:ext uri="{FF2B5EF4-FFF2-40B4-BE49-F238E27FC236}">
              <a16:creationId xmlns:a16="http://schemas.microsoft.com/office/drawing/2014/main" id="{02CC5A08-A4B2-4979-BC13-21A281BFE532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1" name="Arrow: Up 247">
          <a:extLst>
            <a:ext uri="{FF2B5EF4-FFF2-40B4-BE49-F238E27FC236}">
              <a16:creationId xmlns:a16="http://schemas.microsoft.com/office/drawing/2014/main" id="{BC1C7217-8BBE-4165-8BC3-5A54354A7752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2" name="Arrow: Up-Down 285">
          <a:extLst>
            <a:ext uri="{FF2B5EF4-FFF2-40B4-BE49-F238E27FC236}">
              <a16:creationId xmlns:a16="http://schemas.microsoft.com/office/drawing/2014/main" id="{5E812C2A-4536-4301-8014-C2231EA6213D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3" name="Arrow: Up-Down 285">
          <a:extLst>
            <a:ext uri="{FF2B5EF4-FFF2-40B4-BE49-F238E27FC236}">
              <a16:creationId xmlns:a16="http://schemas.microsoft.com/office/drawing/2014/main" id="{04553260-8576-4F35-9FCC-04E50B6D90D8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4" name="Arrow: Up 257">
          <a:extLst>
            <a:ext uri="{FF2B5EF4-FFF2-40B4-BE49-F238E27FC236}">
              <a16:creationId xmlns:a16="http://schemas.microsoft.com/office/drawing/2014/main" id="{A2C9B78F-AAEC-4FD2-A4E2-78F08924E096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8DA417A5-F5DD-41E8-AAC4-12B524817820}"/>
            </a:ext>
          </a:extLst>
        </xdr:cNvPr>
        <xdr:cNvSpPr/>
      </xdr:nvSpPr>
      <xdr:spPr>
        <a:xfrm>
          <a:off x="14247232" y="11324649"/>
          <a:ext cx="166182" cy="3891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6" name="Arrow: Up-Down 285">
          <a:extLst>
            <a:ext uri="{FF2B5EF4-FFF2-40B4-BE49-F238E27FC236}">
              <a16:creationId xmlns:a16="http://schemas.microsoft.com/office/drawing/2014/main" id="{B68C7261-8488-40D4-8664-B6706224E528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9AA533CA-204B-4539-B731-8139D6543A29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48" name="Arrow: Up 268">
          <a:extLst>
            <a:ext uri="{FF2B5EF4-FFF2-40B4-BE49-F238E27FC236}">
              <a16:creationId xmlns:a16="http://schemas.microsoft.com/office/drawing/2014/main" id="{1C61784A-29EC-40A9-B66C-C3C5B45F0383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49" name="Arrow: Up 269">
          <a:extLst>
            <a:ext uri="{FF2B5EF4-FFF2-40B4-BE49-F238E27FC236}">
              <a16:creationId xmlns:a16="http://schemas.microsoft.com/office/drawing/2014/main" id="{FF9CF47B-7978-4BAE-97E3-6E95507DBC93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BB251E6-079C-4743-9F04-B41B00F268C9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1" name="Arrow: Up 271">
          <a:extLst>
            <a:ext uri="{FF2B5EF4-FFF2-40B4-BE49-F238E27FC236}">
              <a16:creationId xmlns:a16="http://schemas.microsoft.com/office/drawing/2014/main" id="{433FDF15-C33E-49C7-BA24-3894E65636AC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2" name="Arrow: Up 265">
          <a:extLst>
            <a:ext uri="{FF2B5EF4-FFF2-40B4-BE49-F238E27FC236}">
              <a16:creationId xmlns:a16="http://schemas.microsoft.com/office/drawing/2014/main" id="{A6CAD935-5AB2-4210-816F-266A0F685853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3" name="Arrow: Up 265">
          <a:extLst>
            <a:ext uri="{FF2B5EF4-FFF2-40B4-BE49-F238E27FC236}">
              <a16:creationId xmlns:a16="http://schemas.microsoft.com/office/drawing/2014/main" id="{44F672E3-CA58-4AF1-93AE-1B699633B720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69CE3480-95A7-4D11-90F4-F929836E7F12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4F15D85D-2396-4EF4-911A-291F4D1A8ACA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5A6300A4-22A2-4535-9DB6-3A1BC5209BCA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7" name="Arrow: Up 262">
          <a:extLst>
            <a:ext uri="{FF2B5EF4-FFF2-40B4-BE49-F238E27FC236}">
              <a16:creationId xmlns:a16="http://schemas.microsoft.com/office/drawing/2014/main" id="{7C853E73-513D-4E22-8B7A-6EAA7327EA36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E18AE0D6-02AE-4BBA-8AFF-434463723052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59" name="Arrow: Up 275">
          <a:extLst>
            <a:ext uri="{FF2B5EF4-FFF2-40B4-BE49-F238E27FC236}">
              <a16:creationId xmlns:a16="http://schemas.microsoft.com/office/drawing/2014/main" id="{849C486D-A314-4EFC-A16A-E54CB28417D2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0" name="Arrow: Up 262">
          <a:extLst>
            <a:ext uri="{FF2B5EF4-FFF2-40B4-BE49-F238E27FC236}">
              <a16:creationId xmlns:a16="http://schemas.microsoft.com/office/drawing/2014/main" id="{B48379B2-D06A-423D-A471-901E25C64ED5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1" name="Arrow: Up 262">
          <a:extLst>
            <a:ext uri="{FF2B5EF4-FFF2-40B4-BE49-F238E27FC236}">
              <a16:creationId xmlns:a16="http://schemas.microsoft.com/office/drawing/2014/main" id="{E5D9C543-CEE2-432E-82DB-74E264095E7A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2" name="Arrow: Up 275">
          <a:extLst>
            <a:ext uri="{FF2B5EF4-FFF2-40B4-BE49-F238E27FC236}">
              <a16:creationId xmlns:a16="http://schemas.microsoft.com/office/drawing/2014/main" id="{621A86F0-E7F8-4B85-8003-DC0E42E46C4A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3" name="Arrow: Up 275">
          <a:extLst>
            <a:ext uri="{FF2B5EF4-FFF2-40B4-BE49-F238E27FC236}">
              <a16:creationId xmlns:a16="http://schemas.microsoft.com/office/drawing/2014/main" id="{3B234921-9DB6-42C1-BA2A-2F93644DA70C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C2D27C63-F64D-46F8-9EAB-6F6AB2535B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7AE06518-7EB9-45B7-BDBA-AC59286F8694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E8E8F8F-EE5C-47B1-A1CA-71D9BFB4DC3D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7" name="Arrow: Up 279">
          <a:extLst>
            <a:ext uri="{FF2B5EF4-FFF2-40B4-BE49-F238E27FC236}">
              <a16:creationId xmlns:a16="http://schemas.microsoft.com/office/drawing/2014/main" id="{52703856-CB12-42F4-866C-C3B5E6593511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86B1D0DF-7D36-41BD-9253-AB2F3D10491B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E0494F9F-2EA4-4D1E-B5E6-CFF44DF97906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5B3D45E1-BF67-4BCA-AC95-DD9A23518E6B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1" name="Arrow: Up 281">
          <a:extLst>
            <a:ext uri="{FF2B5EF4-FFF2-40B4-BE49-F238E27FC236}">
              <a16:creationId xmlns:a16="http://schemas.microsoft.com/office/drawing/2014/main" id="{0DED8372-5F2C-4B05-A852-88E9BA8FCC81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2" name="Arrow: Up 284">
          <a:extLst>
            <a:ext uri="{FF2B5EF4-FFF2-40B4-BE49-F238E27FC236}">
              <a16:creationId xmlns:a16="http://schemas.microsoft.com/office/drawing/2014/main" id="{B580945A-B071-4CD4-9221-4BE42DCD441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C51594F3-65CF-40D3-B3FC-EB97AD83915A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4" name="Arrow: Up 286">
          <a:extLst>
            <a:ext uri="{FF2B5EF4-FFF2-40B4-BE49-F238E27FC236}">
              <a16:creationId xmlns:a16="http://schemas.microsoft.com/office/drawing/2014/main" id="{B3ADA70D-F292-4313-9A64-C9671073791D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89DA6C65-380D-4F18-A714-68648B81A231}"/>
            </a:ext>
          </a:extLst>
        </xdr:cNvPr>
        <xdr:cNvSpPr/>
      </xdr:nvSpPr>
      <xdr:spPr>
        <a:xfrm>
          <a:off x="14293697" y="15729960"/>
          <a:ext cx="145780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6" name="Arrow: Up 275">
          <a:extLst>
            <a:ext uri="{FF2B5EF4-FFF2-40B4-BE49-F238E27FC236}">
              <a16:creationId xmlns:a16="http://schemas.microsoft.com/office/drawing/2014/main" id="{A2262CBC-BC04-479D-AB7E-D879346BC35B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7" name="Arrow: Up 289">
          <a:extLst>
            <a:ext uri="{FF2B5EF4-FFF2-40B4-BE49-F238E27FC236}">
              <a16:creationId xmlns:a16="http://schemas.microsoft.com/office/drawing/2014/main" id="{E4A5FDF1-56A5-4DFF-AA91-46E2024A9604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9C152FE5-3946-4A8A-B35F-609CBE380080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9782D2B2-F139-4127-8D5C-4C891FA3E52B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0" name="Arrow: Up 292">
          <a:extLst>
            <a:ext uri="{FF2B5EF4-FFF2-40B4-BE49-F238E27FC236}">
              <a16:creationId xmlns:a16="http://schemas.microsoft.com/office/drawing/2014/main" id="{7C760629-9B2A-4727-BFDB-D0FF86E250BF}"/>
            </a:ext>
          </a:extLst>
        </xdr:cNvPr>
        <xdr:cNvSpPr/>
      </xdr:nvSpPr>
      <xdr:spPr>
        <a:xfrm>
          <a:off x="14256472" y="17201840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1" name="Arrow: Up 295">
          <a:extLst>
            <a:ext uri="{FF2B5EF4-FFF2-40B4-BE49-F238E27FC236}">
              <a16:creationId xmlns:a16="http://schemas.microsoft.com/office/drawing/2014/main" id="{7B1D2B3C-B134-4D23-B767-65112294177F}"/>
            </a:ext>
          </a:extLst>
        </xdr:cNvPr>
        <xdr:cNvSpPr/>
      </xdr:nvSpPr>
      <xdr:spPr>
        <a:xfrm>
          <a:off x="14429654" y="17211609"/>
          <a:ext cx="154438" cy="3895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2" name="Arrow: Up 296">
          <a:extLst>
            <a:ext uri="{FF2B5EF4-FFF2-40B4-BE49-F238E27FC236}">
              <a16:creationId xmlns:a16="http://schemas.microsoft.com/office/drawing/2014/main" id="{B00D82C7-2EA3-43C6-9F18-975F5766617B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3" name="Arrow: Up 291">
          <a:extLst>
            <a:ext uri="{FF2B5EF4-FFF2-40B4-BE49-F238E27FC236}">
              <a16:creationId xmlns:a16="http://schemas.microsoft.com/office/drawing/2014/main" id="{71094B02-DA29-49A3-A582-A0435296CFE5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4" name="Arrow: Up 310">
          <a:extLst>
            <a:ext uri="{FF2B5EF4-FFF2-40B4-BE49-F238E27FC236}">
              <a16:creationId xmlns:a16="http://schemas.microsoft.com/office/drawing/2014/main" id="{7FAB0E8C-38B5-4EA7-9C32-BCCBD53EAC64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5" name="Arrow: Up 296">
          <a:extLst>
            <a:ext uri="{FF2B5EF4-FFF2-40B4-BE49-F238E27FC236}">
              <a16:creationId xmlns:a16="http://schemas.microsoft.com/office/drawing/2014/main" id="{DFB64BB0-8EC3-410F-84D2-0A7883C7F512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6" name="Arrow: Up 296">
          <a:extLst>
            <a:ext uri="{FF2B5EF4-FFF2-40B4-BE49-F238E27FC236}">
              <a16:creationId xmlns:a16="http://schemas.microsoft.com/office/drawing/2014/main" id="{687783CD-294C-491E-83D2-946017742CA0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740F9AD2-B55E-4BCA-A454-F1616ABFD6BC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88" name="Arrow: Up 313">
          <a:extLst>
            <a:ext uri="{FF2B5EF4-FFF2-40B4-BE49-F238E27FC236}">
              <a16:creationId xmlns:a16="http://schemas.microsoft.com/office/drawing/2014/main" id="{48FD1E30-9FD3-4879-8B19-4B27E54BC182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89" name="Arrow: Up 313">
          <a:extLst>
            <a:ext uri="{FF2B5EF4-FFF2-40B4-BE49-F238E27FC236}">
              <a16:creationId xmlns:a16="http://schemas.microsoft.com/office/drawing/2014/main" id="{8F60A7A2-5141-4172-B03F-002ECA3D57D5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0" name="Arrow: Up-Down 285">
          <a:extLst>
            <a:ext uri="{FF2B5EF4-FFF2-40B4-BE49-F238E27FC236}">
              <a16:creationId xmlns:a16="http://schemas.microsoft.com/office/drawing/2014/main" id="{D0F31EEE-CEE9-4810-A1F8-34789FCA35B8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1" name="Arrow: Up 296">
          <a:extLst>
            <a:ext uri="{FF2B5EF4-FFF2-40B4-BE49-F238E27FC236}">
              <a16:creationId xmlns:a16="http://schemas.microsoft.com/office/drawing/2014/main" id="{C9846EAA-7FC0-4452-8AC0-A543102DF9BA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2" name="Arrow: Up 296">
          <a:extLst>
            <a:ext uri="{FF2B5EF4-FFF2-40B4-BE49-F238E27FC236}">
              <a16:creationId xmlns:a16="http://schemas.microsoft.com/office/drawing/2014/main" id="{71DDA4FA-1D9B-4389-95E0-658C33CA4BA2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F250292C-0A70-4C41-B374-75355FC8167B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4" name="Arrow: Up 313">
          <a:extLst>
            <a:ext uri="{FF2B5EF4-FFF2-40B4-BE49-F238E27FC236}">
              <a16:creationId xmlns:a16="http://schemas.microsoft.com/office/drawing/2014/main" id="{06B28555-EFD0-4EFA-89EF-55F555CF63D9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CEF4E114-65FC-4A0A-8FE8-F307203D18B1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6" name="Arrow: Up 296">
          <a:extLst>
            <a:ext uri="{FF2B5EF4-FFF2-40B4-BE49-F238E27FC236}">
              <a16:creationId xmlns:a16="http://schemas.microsoft.com/office/drawing/2014/main" id="{D007825B-DB2E-463B-8266-A946033F93CF}"/>
            </a:ext>
          </a:extLst>
        </xdr:cNvPr>
        <xdr:cNvSpPr/>
      </xdr:nvSpPr>
      <xdr:spPr>
        <a:xfrm>
          <a:off x="14333032" y="20171208"/>
          <a:ext cx="181365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A86F8F61-2DE7-4EB6-986F-7F4089A9926F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71B970AC-A029-4251-8A6F-69CD96926A70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2F659EC2-7EC5-4DC2-B9B6-E1B9E4B2C7DE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0" name="Arrow: Up-Down 285">
          <a:extLst>
            <a:ext uri="{FF2B5EF4-FFF2-40B4-BE49-F238E27FC236}">
              <a16:creationId xmlns:a16="http://schemas.microsoft.com/office/drawing/2014/main" id="{9390ED8D-F712-451D-81B5-858752EBD442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E7127D2C-5BDE-494B-92C9-E46FB0AF6C0B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2" name="Arrow: Up 296">
          <a:extLst>
            <a:ext uri="{FF2B5EF4-FFF2-40B4-BE49-F238E27FC236}">
              <a16:creationId xmlns:a16="http://schemas.microsoft.com/office/drawing/2014/main" id="{28984273-C5BB-493A-A1D5-306702A31EB6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6604A631-C07E-40CB-B0BD-689816AA7BC1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219958D9-6E55-4B7F-AED8-85601066AB52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AB58F7D0-5859-43A1-9A8D-92EBE9F1F47B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9340BBAB-6DED-4DD8-9902-C2084BAAF420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6BD47FC7-B41A-43ED-8B19-D6BA85B1FE56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8D13D87A-D588-415C-A89A-37147F292C5B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E009911F-7A45-4CB7-BBDE-79D62908FB01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9C80B165-8C9C-42AA-BBCB-E30AC5336C9A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3BDD74AB-DDE4-417F-B6F4-52DA840C9715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3990499B-47EE-4BDC-80E7-424E3394760B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8C9B3846-DA5D-4FBA-BE79-836325357DCC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B47C70A8-5AF8-4D2B-AA93-3D1CE24DAA20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5" name="Arrow: Up 805">
          <a:extLst>
            <a:ext uri="{FF2B5EF4-FFF2-40B4-BE49-F238E27FC236}">
              <a16:creationId xmlns:a16="http://schemas.microsoft.com/office/drawing/2014/main" id="{03D890DF-11F0-427B-BE37-EA631EF5F20C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6" name="Arrow: Up 805">
          <a:extLst>
            <a:ext uri="{FF2B5EF4-FFF2-40B4-BE49-F238E27FC236}">
              <a16:creationId xmlns:a16="http://schemas.microsoft.com/office/drawing/2014/main" id="{4B580048-C74B-4C24-A886-AA31997B270E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7" name="Arrow: Up 296">
          <a:extLst>
            <a:ext uri="{FF2B5EF4-FFF2-40B4-BE49-F238E27FC236}">
              <a16:creationId xmlns:a16="http://schemas.microsoft.com/office/drawing/2014/main" id="{C110F89D-0D20-424F-8E6F-EFF89FCFF0B6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18" name="Arrow: Up 296">
          <a:extLst>
            <a:ext uri="{FF2B5EF4-FFF2-40B4-BE49-F238E27FC236}">
              <a16:creationId xmlns:a16="http://schemas.microsoft.com/office/drawing/2014/main" id="{1C9DB09F-EBAF-47B7-8274-F3B8EB0D019F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19" name="Arrow: Up 805">
          <a:extLst>
            <a:ext uri="{FF2B5EF4-FFF2-40B4-BE49-F238E27FC236}">
              <a16:creationId xmlns:a16="http://schemas.microsoft.com/office/drawing/2014/main" id="{8B60C5DF-EC3D-487E-A9BE-7624032571FA}"/>
            </a:ext>
          </a:extLst>
        </xdr:cNvPr>
        <xdr:cNvSpPr/>
      </xdr:nvSpPr>
      <xdr:spPr>
        <a:xfrm>
          <a:off x="14364711" y="24613247"/>
          <a:ext cx="184533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0" name="Arrow: Up 805">
          <a:extLst>
            <a:ext uri="{FF2B5EF4-FFF2-40B4-BE49-F238E27FC236}">
              <a16:creationId xmlns:a16="http://schemas.microsoft.com/office/drawing/2014/main" id="{29117E0E-8DA0-491B-9FF7-44CD262520DB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1" name="Arrow: Up 296">
          <a:extLst>
            <a:ext uri="{FF2B5EF4-FFF2-40B4-BE49-F238E27FC236}">
              <a16:creationId xmlns:a16="http://schemas.microsoft.com/office/drawing/2014/main" id="{0FD4AAA2-FB9A-4044-BCDB-514643AEB26D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226E8C46-E556-457F-9196-196CF8E91E72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E224A920-006C-41EB-84DB-432C89BE6BA6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4" name="Arrow: Up 296">
          <a:extLst>
            <a:ext uri="{FF2B5EF4-FFF2-40B4-BE49-F238E27FC236}">
              <a16:creationId xmlns:a16="http://schemas.microsoft.com/office/drawing/2014/main" id="{2F92A1C9-3553-40AF-A9FF-CD9C195D7527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C8461F99-CE7F-49EB-BF36-A8D5C25FD4E2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11E558E3-1397-4331-A161-AB0A46918C7E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7" name="Arrow: Up 913">
          <a:extLst>
            <a:ext uri="{FF2B5EF4-FFF2-40B4-BE49-F238E27FC236}">
              <a16:creationId xmlns:a16="http://schemas.microsoft.com/office/drawing/2014/main" id="{D48F7F7A-5352-4C38-B477-1E8929BB45DC}"/>
            </a:ext>
          </a:extLst>
        </xdr:cNvPr>
        <xdr:cNvSpPr/>
      </xdr:nvSpPr>
      <xdr:spPr>
        <a:xfrm>
          <a:off x="14307425" y="2608644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1EF753FC-1049-43F9-A0E8-BB469462F82B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29" name="Arrow: Up 296">
          <a:extLst>
            <a:ext uri="{FF2B5EF4-FFF2-40B4-BE49-F238E27FC236}">
              <a16:creationId xmlns:a16="http://schemas.microsoft.com/office/drawing/2014/main" id="{A7E236A6-E03B-49C1-8DF5-5D522E06051E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63F6E892-FA56-4570-AE5B-B6E0952A3794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A9F89924-65F6-4C24-AF67-32B741516274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2" name="Arrow: Up-Down 285">
          <a:extLst>
            <a:ext uri="{FF2B5EF4-FFF2-40B4-BE49-F238E27FC236}">
              <a16:creationId xmlns:a16="http://schemas.microsoft.com/office/drawing/2014/main" id="{357A188A-E2D2-43C6-BAC4-707251D424D1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3" name="Arrow: Up 913">
          <a:extLst>
            <a:ext uri="{FF2B5EF4-FFF2-40B4-BE49-F238E27FC236}">
              <a16:creationId xmlns:a16="http://schemas.microsoft.com/office/drawing/2014/main" id="{146A89D9-8894-4E6B-BA51-CD2E72A1FD1B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4" name="Arrow: Up 296">
          <a:extLst>
            <a:ext uri="{FF2B5EF4-FFF2-40B4-BE49-F238E27FC236}">
              <a16:creationId xmlns:a16="http://schemas.microsoft.com/office/drawing/2014/main" id="{AE19CCCA-5DC9-4FF3-A65B-F78826C47652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5" name="Arrow: Up-Down 285">
          <a:extLst>
            <a:ext uri="{FF2B5EF4-FFF2-40B4-BE49-F238E27FC236}">
              <a16:creationId xmlns:a16="http://schemas.microsoft.com/office/drawing/2014/main" id="{12E9415D-371A-47AB-9008-4B4601C69603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6" name="Arrow: Up 913">
          <a:extLst>
            <a:ext uri="{FF2B5EF4-FFF2-40B4-BE49-F238E27FC236}">
              <a16:creationId xmlns:a16="http://schemas.microsoft.com/office/drawing/2014/main" id="{312CEE70-3D02-4E61-AAAF-50788899F979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153B3599-AE01-4897-BDEC-9B37FBBFF1FA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38" name="Arrow: Up-Down 285">
          <a:extLst>
            <a:ext uri="{FF2B5EF4-FFF2-40B4-BE49-F238E27FC236}">
              <a16:creationId xmlns:a16="http://schemas.microsoft.com/office/drawing/2014/main" id="{2F79DC69-DAB9-4841-8177-8CA83E5A3F23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39" name="Arrow: Up 296">
          <a:extLst>
            <a:ext uri="{FF2B5EF4-FFF2-40B4-BE49-F238E27FC236}">
              <a16:creationId xmlns:a16="http://schemas.microsoft.com/office/drawing/2014/main" id="{83D41200-CD6D-4B0D-87CC-FAD0D06A4143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49D9D887-860A-4D8D-A2B5-3565EB3FE02A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90F93B7A-21C1-45B0-BCEA-28AEA58FA90A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2" name="Arrow: Up 913">
          <a:extLst>
            <a:ext uri="{FF2B5EF4-FFF2-40B4-BE49-F238E27FC236}">
              <a16:creationId xmlns:a16="http://schemas.microsoft.com/office/drawing/2014/main" id="{DD2874BD-050F-4125-8E82-0987D640F312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758B1D2E-2D01-46F7-ABED-D6BC4B632A82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4" name="Arrow: Up-Down 285">
          <a:extLst>
            <a:ext uri="{FF2B5EF4-FFF2-40B4-BE49-F238E27FC236}">
              <a16:creationId xmlns:a16="http://schemas.microsoft.com/office/drawing/2014/main" id="{AA2DC044-EBDD-41D8-8F2B-8B8717FE4301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7327647E-706C-4BDA-A7A3-64ECF98B65DC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6" name="Arrow: Up 296">
          <a:extLst>
            <a:ext uri="{FF2B5EF4-FFF2-40B4-BE49-F238E27FC236}">
              <a16:creationId xmlns:a16="http://schemas.microsoft.com/office/drawing/2014/main" id="{BB02ADA6-0712-45F9-829C-D385D86E0501}"/>
            </a:ext>
          </a:extLst>
        </xdr:cNvPr>
        <xdr:cNvSpPr/>
      </xdr:nvSpPr>
      <xdr:spPr>
        <a:xfrm>
          <a:off x="14333032" y="29022816"/>
          <a:ext cx="192981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840C1C25-4345-4C2D-8514-6B0F118438BA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48" name="Arrow: Up 913">
          <a:extLst>
            <a:ext uri="{FF2B5EF4-FFF2-40B4-BE49-F238E27FC236}">
              <a16:creationId xmlns:a16="http://schemas.microsoft.com/office/drawing/2014/main" id="{C6605D51-706A-46A2-A2BC-ACB9913056D8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6316694C-01F0-4ABE-BF4E-EA862E8B566F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D90C68CB-84AB-4E13-A668-B0C0AD63D5C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753C71DD-1DF4-4E83-8918-7007B65646A4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2" name="Arrow: Up 296">
          <a:extLst>
            <a:ext uri="{FF2B5EF4-FFF2-40B4-BE49-F238E27FC236}">
              <a16:creationId xmlns:a16="http://schemas.microsoft.com/office/drawing/2014/main" id="{797833A8-EACD-4088-B11B-A5A91BBB851D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3" name="Arrow: Up 1075">
          <a:extLst>
            <a:ext uri="{FF2B5EF4-FFF2-40B4-BE49-F238E27FC236}">
              <a16:creationId xmlns:a16="http://schemas.microsoft.com/office/drawing/2014/main" id="{49C61F7E-70B7-4F61-BF21-8D4D6EA6AB0C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9C459AB0-E72D-42FF-81F5-201A9FE542E5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5" name="Arrow: Up 296">
          <a:extLst>
            <a:ext uri="{FF2B5EF4-FFF2-40B4-BE49-F238E27FC236}">
              <a16:creationId xmlns:a16="http://schemas.microsoft.com/office/drawing/2014/main" id="{EE0B83AE-1F40-464F-B051-C60023BAFF8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F8DA0837-2A72-477F-8FBC-1E1BBD9CF9E9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6C403AC3-A722-49C6-9BD7-89BAFCF014B3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12AED6A7-5722-4B63-8729-C865A0A67170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D6365728-F5E1-449B-94B1-0412F3652A1D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4891D4E4-EC98-4FEC-8406-A6B8FE495440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BA30A385-DC4A-403B-B2D9-FF2DE6433DC2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2" name="Arrow: Up 913">
          <a:extLst>
            <a:ext uri="{FF2B5EF4-FFF2-40B4-BE49-F238E27FC236}">
              <a16:creationId xmlns:a16="http://schemas.microsoft.com/office/drawing/2014/main" id="{2DB23447-6132-4008-A0D0-CD265AD1A861}"/>
            </a:ext>
          </a:extLst>
        </xdr:cNvPr>
        <xdr:cNvSpPr/>
      </xdr:nvSpPr>
      <xdr:spPr>
        <a:xfrm>
          <a:off x="14309800" y="31969215"/>
          <a:ext cx="142875" cy="3968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3" name="Arrow: Up 281">
          <a:extLst>
            <a:ext uri="{FF2B5EF4-FFF2-40B4-BE49-F238E27FC236}">
              <a16:creationId xmlns:a16="http://schemas.microsoft.com/office/drawing/2014/main" id="{0DBED415-E2C7-4A20-BDDE-E2BD98175BED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4" name="Lightning Bolt 1463">
          <a:extLst>
            <a:ext uri="{FF2B5EF4-FFF2-40B4-BE49-F238E27FC236}">
              <a16:creationId xmlns:a16="http://schemas.microsoft.com/office/drawing/2014/main" id="{60B164B6-8FCE-40D4-A4F4-F2ADC7A1B94A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5" name="Lightning Bolt 1464">
          <a:extLst>
            <a:ext uri="{FF2B5EF4-FFF2-40B4-BE49-F238E27FC236}">
              <a16:creationId xmlns:a16="http://schemas.microsoft.com/office/drawing/2014/main" id="{87C2C4D9-EBA8-4F56-8A27-EA385A4D0D4A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7FFDD9AA-84A6-4F10-84B8-613D6F41CE97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E87046B9-CECD-4E3A-AD23-DEF8BD216E1E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45FA26C4-4123-4447-AFAA-2547C56EE982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2DCDF30E-FD20-41A8-8869-AB787D6DA7BD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0" name="Picture 14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539A083B-8A8C-4B3A-9794-9FF6F3E4A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1" name="Picture 14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D3B42CB2-BD47-4A9C-A50C-410A5D101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8524E48E-8FA4-4419-B3DD-AA1503056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3" name="Picture 95405" descr="LADDER">
          <a:extLst>
            <a:ext uri="{FF2B5EF4-FFF2-40B4-BE49-F238E27FC236}">
              <a16:creationId xmlns:a16="http://schemas.microsoft.com/office/drawing/2014/main" id="{3B50863E-60FC-4950-BF4E-646010DA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4" name="Picture 1473" descr="A black and white symbol&#10;&#10;Description automatically generated">
          <a:extLst>
            <a:ext uri="{FF2B5EF4-FFF2-40B4-BE49-F238E27FC236}">
              <a16:creationId xmlns:a16="http://schemas.microsoft.com/office/drawing/2014/main" id="{FE1EA7AF-FCB8-4A37-B3D5-EDDDBC3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5" name="Picture 1474" descr="A black and white symbol&#10;&#10;Description automatically generated">
          <a:extLst>
            <a:ext uri="{FF2B5EF4-FFF2-40B4-BE49-F238E27FC236}">
              <a16:creationId xmlns:a16="http://schemas.microsoft.com/office/drawing/2014/main" id="{48B243BD-73CF-4D9B-9987-48E222A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61E2A76F-B87B-42FF-B03E-544DEE5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7A4A9013-4EFD-45A3-9C81-50FEEE1D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F3F8BB4D-C558-4373-9D0B-1E782BEA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61B04F8D-4352-4E32-B050-3870C85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8C506DA4-1E46-4000-B39A-0675FC2E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DA4892CB-2B09-4294-84DE-CDE438C4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D7DB6131-7414-48AF-8EF7-7C6BA4BF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EA460D51-4063-40D0-90E4-1F9DFD93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48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D157CD3A-3213-41D8-8D78-6E99C137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B69760B0-0A04-4868-858B-97BC9215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1A469FBC-A9E2-4808-A699-1F98ACB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FC07CC54-7676-4871-B680-588EAD6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A5E1ED8A-D472-429E-B1A9-68B4772C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C3EEF550-07EA-454B-B1A9-8B0A7030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CC11F760-092E-441A-8194-18F9F3F8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A51B340C-30C2-4C6B-A578-D7CEBD2E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FC7D228C-33BC-40B2-AF14-C76AB97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33E80A2A-628C-47B9-9614-FF281C4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2F6ADDD5-ABAE-452B-AFEE-C33D3D3E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14E11BF4-4380-41B8-8328-AE8FAE5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480D7DCA-007E-41B3-A7F8-AB25F49B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5B871684-2FD7-4044-A644-C813F34E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B1724700-EB69-458D-BE6E-1BF30F2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C3B0F937-7102-454C-9B99-882ED3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D27A463D-868A-4706-B402-36163920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D4EEAEAF-BF61-459F-AB3E-DD1EFF91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98812F60-FE05-45DC-B04F-54DB4A9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EF400118-E529-4FAE-A528-5FC71BC6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C7DE942D-0D6D-4BC4-9E67-98571D87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C77C60AE-2B8B-4A56-9FC2-9CED49B5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2667FEDF-0792-4800-8C26-10208C6D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88F8C2C6-0B93-47FE-BC4E-5B90E290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AD17FC75-5726-48B2-ADFA-8E4EC41F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657CCC49-1FF9-4AE3-91CC-19D5B0E14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C32D158E-64DC-4136-9A2B-C6445A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21DAC91E-97E1-45BB-B009-311EFCA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1BBEB93E-2D98-4E75-9350-7468854C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375F7C56-F1CB-4970-A452-A516E9A7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2523FF7E-C395-4DC3-B5FD-7B1EC621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828D0A9F-925C-4142-A1E2-C6CA9549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617630E8-1860-4D1A-A582-845598D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FFCACFBC-EA28-4504-8691-F4FFCA74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2ECF4A3B-2D34-4552-BA74-9BC38FB4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6A0881BF-87AD-439D-B75E-58F4FA7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C29D7DF7-82AF-46BF-812E-ADE0403C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C8A1EDB2-8A71-43F7-8B0C-D00E4701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AD2B3E21-58DF-4B66-8F0F-C6D8CD5D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43254915-FDBE-426C-B3BE-CD19EDAA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2C836759-A4B4-43C1-985C-ED6CF851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9C2CA24C-0FA7-4537-AC6B-1DDFA942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998357A2-E92F-48C9-A497-950A2E1F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F20F7324-6E93-4546-B444-6E2005A7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5BEE3B59-88A3-4D42-B529-C882914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7FC1EA38-E7E2-4005-89D0-BA033F7F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7B3416EF-138A-436C-BDD5-9FA9E18B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38A78F0-9017-48A8-A5AC-09494358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824C0627-AFBE-45A9-8CD3-B703C789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7604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785AD5DA-C90E-472C-B49B-469EDB52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E8C7C46C-A5C1-48B3-A97E-6DF83B9A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686AC9D1-EC82-40EA-A18A-FA7D7B2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77B29B5F-696D-4CED-947A-8F40F6E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302954C8-30BF-40F9-B6E1-DCAEC07C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ED894590-A2DC-47D3-8EC0-BCE02C2B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39" name="Lightning Bolt 1538">
          <a:extLst>
            <a:ext uri="{FF2B5EF4-FFF2-40B4-BE49-F238E27FC236}">
              <a16:creationId xmlns:a16="http://schemas.microsoft.com/office/drawing/2014/main" id="{BF972AF2-611E-48A2-BB23-04180CAC475F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0" name="Lightning Bolt 1539">
          <a:extLst>
            <a:ext uri="{FF2B5EF4-FFF2-40B4-BE49-F238E27FC236}">
              <a16:creationId xmlns:a16="http://schemas.microsoft.com/office/drawing/2014/main" id="{09C236C7-70B4-47A3-B0BF-964F27F4CDBD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BEEFBAA6-496B-4CA6-AA3F-05C3DC663DF5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2338B7A0-2082-4E16-9007-72F243EA402F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3" name="Picture 1542" descr="A black and white symbol&#10;&#10;Description automatically generated">
          <a:extLst>
            <a:ext uri="{FF2B5EF4-FFF2-40B4-BE49-F238E27FC236}">
              <a16:creationId xmlns:a16="http://schemas.microsoft.com/office/drawing/2014/main" id="{BC3C12B5-FF7C-4737-BE6D-4726CE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2116" y="13905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4" name="Picture 1543" descr="A black and white symbol&#10;&#10;Description automatically generated">
          <a:extLst>
            <a:ext uri="{FF2B5EF4-FFF2-40B4-BE49-F238E27FC236}">
              <a16:creationId xmlns:a16="http://schemas.microsoft.com/office/drawing/2014/main" id="{81B16FFA-CFAB-4C6D-B932-9864166A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FD69DF10-1620-47F6-9B66-F7C04AD5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8E4C687C-E59A-463B-ADFA-C3B1F040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8EACB8A5-44C3-4A25-8074-47622E5E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13F45321-795E-4B9B-90BF-54641D7C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CF1ABE5-0950-45CC-9FA1-1C6F3403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B23808CB-4912-4155-831E-4409DA22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1BAE12F7-0765-41B5-A633-24DDC53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143507C9-4C09-4FD9-A5AC-AF0B74DC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36D61EDA-7223-4B99-B35D-05462E3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74369A6B-DD3F-40C7-9031-23149387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5C6E8271-8E9B-460B-A983-D5F23AC5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9529C885-5427-47DB-A309-4F6A2800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5C2BD547-9903-4855-AEA2-2F1069C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3113D77A-4E4F-4A99-B77C-C321E48A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3240A8A5-082A-4163-9E54-7F72B3A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7B8813F2-E8C0-49FD-9ABE-38F24798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33D8752F-D098-41F6-8BAC-79FB20A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4A19E4A0-97B8-40C2-A350-83F9D63D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782233C2-6EA2-4C8E-A4A2-692DE9D8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8D5E16C6-7A3F-4A54-A326-A14DF2B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282CB36C-B105-4AA7-80FE-5AB4831A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C3005985-F5B3-4FF9-B2F0-CCF0996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FCC81C9F-9166-4DD1-AC35-CD047A9A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8E524189-E31D-4F7C-9B95-264B9575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F4EE0307-5118-422E-ABE4-BFFB105D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6B13A208-A830-46F7-95C9-FBF5C75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FAB3DEF-E391-45A4-8DBE-459DE6E3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BF16A982-A439-414A-8300-9465ED4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ADB1A0FA-AEF5-4A84-ACB3-3CBCC1BB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C74F461D-D203-4A0C-B608-050F6CA5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B955197E-71DD-4B97-AA47-731D986D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3B268BD6-CA58-41E5-86DF-2DED952C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16880587-DE78-4FE4-80BF-5A417FA9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1999FFF-8AA3-446B-ABC3-3E4E95F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E969ACBA-6ACC-45B8-8DC1-7512994B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1" y="23497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1D02F7F-F49B-4D93-B520-E43FE1F4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1A2A9989-6795-4688-87F2-70CCE6D2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62A30CFA-89F9-42AF-86DC-9A51E22A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53A8CD84-59D3-4AC0-BDEC-88DDBBFC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2A51898F-D956-4712-B3B3-BD70A1D3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DE1C7D0A-92E0-4B18-A1F2-89D5E84A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18050B06-253D-4B64-B812-E01C0853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ED5DBE91-BB8B-42AE-BDDF-B09CC75A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F6967E1-2ADD-4C71-B274-3EEF065D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D3E66E54-852F-43CE-AF9D-D6B1AC05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E083C12B-F2BA-4645-9D59-50017F8C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3D9AA485-3623-4949-A10F-FB3E1E9A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98D35960-305B-4919-80AE-E9CD2F4B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71883C17-5784-4350-B3B2-72AE2AE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88C6E835-8381-435D-A666-F1F2B5AC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7D9A8E17-8A67-4324-9A0A-E4512E56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15D8BB6-6FFC-45B5-BA5E-0BF40B24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D0BC4170-9649-4061-A63C-CAC5A77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598" name="Lightning Bolt 1597">
          <a:extLst>
            <a:ext uri="{FF2B5EF4-FFF2-40B4-BE49-F238E27FC236}">
              <a16:creationId xmlns:a16="http://schemas.microsoft.com/office/drawing/2014/main" id="{81A78A89-B02E-414A-B8D8-6AE3BB398708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BC299FB7-DB24-4C42-A1E6-3F0F9F2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0" name="Isosceles Triangle 1599">
          <a:extLst>
            <a:ext uri="{FF2B5EF4-FFF2-40B4-BE49-F238E27FC236}">
              <a16:creationId xmlns:a16="http://schemas.microsoft.com/office/drawing/2014/main" id="{6CEC1457-AD6F-4BC1-B501-44B6170E0128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1" name="Isosceles Triangle 1600">
          <a:extLst>
            <a:ext uri="{FF2B5EF4-FFF2-40B4-BE49-F238E27FC236}">
              <a16:creationId xmlns:a16="http://schemas.microsoft.com/office/drawing/2014/main" id="{93C0B6C4-35AC-4B44-99A3-B686A7479207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59335A7-5818-42A3-8813-2FE8975E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8FB4A84C-F967-45E0-AE3F-328B4C59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66A824BE-0801-4E5A-A70C-9AA5A35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69A14708-4EA3-4997-8FEE-C1D0E88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CBAF2FAD-559F-4881-89C8-6848B29F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AB544138-898D-4BB0-9614-75C9267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6" y="29390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E0E003C6-D407-4C6B-9D4D-CC0B3687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AFE79463-906D-4659-B29E-CCD7CAD4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28926C1D-4C7E-45EA-BB67-2279EFC0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7233" y="2499251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4631FFB0-EE27-4A31-8E5D-75CE3B8E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D4030819-B4D4-4DE2-9B13-DEF0934F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8FCE1D9A-3897-4552-9051-11B4D63B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4" name="Isosceles Triangle 1613">
          <a:extLst>
            <a:ext uri="{FF2B5EF4-FFF2-40B4-BE49-F238E27FC236}">
              <a16:creationId xmlns:a16="http://schemas.microsoft.com/office/drawing/2014/main" id="{B354D88A-C1BA-4344-9FFA-686F3DC34CFC}"/>
            </a:ext>
          </a:extLst>
        </xdr:cNvPr>
        <xdr:cNvSpPr/>
      </xdr:nvSpPr>
      <xdr:spPr>
        <a:xfrm>
          <a:off x="466090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5" name="Isosceles Triangle 1614">
          <a:extLst>
            <a:ext uri="{FF2B5EF4-FFF2-40B4-BE49-F238E27FC236}">
              <a16:creationId xmlns:a16="http://schemas.microsoft.com/office/drawing/2014/main" id="{2794D58D-55F3-40EB-A7CA-204019B56CBC}"/>
            </a:ext>
          </a:extLst>
        </xdr:cNvPr>
        <xdr:cNvSpPr/>
      </xdr:nvSpPr>
      <xdr:spPr>
        <a:xfrm>
          <a:off x="3714750" y="94996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24</xdr:col>
      <xdr:colOff>507999</xdr:colOff>
      <xdr:row>18</xdr:row>
      <xdr:rowOff>0</xdr:rowOff>
    </xdr:from>
    <xdr:to>
      <xdr:col>27</xdr:col>
      <xdr:colOff>23090</xdr:colOff>
      <xdr:row>20</xdr:row>
      <xdr:rowOff>11545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1A3E1B41-DB89-43F7-8B8F-3B257D2C51E2}"/>
            </a:ext>
          </a:extLst>
        </xdr:cNvPr>
        <xdr:cNvSpPr/>
      </xdr:nvSpPr>
      <xdr:spPr>
        <a:xfrm>
          <a:off x="8474363" y="3613727"/>
          <a:ext cx="611909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EE11431A-4057-46D1-AD84-E462EF98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8FC72E7E-9409-45A4-9252-ADA6FECE6DFC}"/>
            </a:ext>
          </a:extLst>
        </xdr:cNvPr>
        <xdr:cNvSpPr/>
      </xdr:nvSpPr>
      <xdr:spPr>
        <a:xfrm>
          <a:off x="6534150" y="10979150"/>
          <a:ext cx="535842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19" name="Isosceles Triangle 1618">
          <a:extLst>
            <a:ext uri="{FF2B5EF4-FFF2-40B4-BE49-F238E27FC236}">
              <a16:creationId xmlns:a16="http://schemas.microsoft.com/office/drawing/2014/main" id="{D1FEBD67-9ADC-4FE8-8BC7-B11704E8BC85}"/>
            </a:ext>
          </a:extLst>
        </xdr:cNvPr>
        <xdr:cNvSpPr/>
      </xdr:nvSpPr>
      <xdr:spPr>
        <a:xfrm>
          <a:off x="8571006" y="50736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0" name="Lightning Bolt 1619">
          <a:extLst>
            <a:ext uri="{FF2B5EF4-FFF2-40B4-BE49-F238E27FC236}">
              <a16:creationId xmlns:a16="http://schemas.microsoft.com/office/drawing/2014/main" id="{32BC533F-F022-437B-A0D4-F7F6FB563ACC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1" name="Lightning Bolt 1620">
          <a:extLst>
            <a:ext uri="{FF2B5EF4-FFF2-40B4-BE49-F238E27FC236}">
              <a16:creationId xmlns:a16="http://schemas.microsoft.com/office/drawing/2014/main" id="{ACB09FEE-FC86-4AD1-BDBF-F7CB978DA0B7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ADC0ADC1-1942-45FF-8485-D26AC64B68CA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596AC79F-4F1A-4008-BDF3-C0ADC5751F75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4" name="Isosceles Triangle 1623">
          <a:extLst>
            <a:ext uri="{FF2B5EF4-FFF2-40B4-BE49-F238E27FC236}">
              <a16:creationId xmlns:a16="http://schemas.microsoft.com/office/drawing/2014/main" id="{653214D3-7E83-4AA0-9020-16A49399BB46}"/>
            </a:ext>
          </a:extLst>
        </xdr:cNvPr>
        <xdr:cNvSpPr/>
      </xdr:nvSpPr>
      <xdr:spPr>
        <a:xfrm>
          <a:off x="855980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5" name="Isosceles Triangle 1624">
          <a:extLst>
            <a:ext uri="{FF2B5EF4-FFF2-40B4-BE49-F238E27FC236}">
              <a16:creationId xmlns:a16="http://schemas.microsoft.com/office/drawing/2014/main" id="{6D106048-5C4E-4B40-B4E9-1A9AB6D6B762}"/>
            </a:ext>
          </a:extLst>
        </xdr:cNvPr>
        <xdr:cNvSpPr/>
      </xdr:nvSpPr>
      <xdr:spPr>
        <a:xfrm>
          <a:off x="466090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1EF12452-6CF3-42C1-B73F-5E9CC3DE9068}"/>
            </a:ext>
          </a:extLst>
        </xdr:cNvPr>
        <xdr:cNvSpPr/>
      </xdr:nvSpPr>
      <xdr:spPr>
        <a:xfrm>
          <a:off x="13703300" y="3600450"/>
          <a:ext cx="52070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DADE86E6-063A-42EE-88FE-B55EBCD2E403}"/>
            </a:ext>
          </a:extLst>
        </xdr:cNvPr>
        <xdr:cNvSpPr/>
      </xdr:nvSpPr>
      <xdr:spPr>
        <a:xfrm>
          <a:off x="556895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E154138D-908E-40C6-8563-78CA790CA782}"/>
            </a:ext>
          </a:extLst>
        </xdr:cNvPr>
        <xdr:cNvSpPr/>
      </xdr:nvSpPr>
      <xdr:spPr>
        <a:xfrm>
          <a:off x="13703301" y="9499600"/>
          <a:ext cx="520700" cy="36518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F2CD939-0499-49B5-AF8A-E14B796D49CC}"/>
            </a:ext>
          </a:extLst>
        </xdr:cNvPr>
        <xdr:cNvSpPr/>
      </xdr:nvSpPr>
      <xdr:spPr>
        <a:xfrm>
          <a:off x="9555629" y="6564406"/>
          <a:ext cx="595032" cy="3609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97D4D6D4-CEE3-4017-A8BB-1B7ACAFEBCB3}"/>
            </a:ext>
          </a:extLst>
        </xdr:cNvPr>
        <xdr:cNvSpPr/>
      </xdr:nvSpPr>
      <xdr:spPr>
        <a:xfrm>
          <a:off x="65341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3F901A95-80E5-4521-AEB3-1DA3E34E775D}"/>
            </a:ext>
          </a:extLst>
        </xdr:cNvPr>
        <xdr:cNvSpPr/>
      </xdr:nvSpPr>
      <xdr:spPr>
        <a:xfrm>
          <a:off x="37147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13206672-8276-4AB3-9871-5C6EB29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B2CFA5E5-3C95-4E9C-AE3E-4CFDC4B3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4" name="Isosceles Triangle 1633">
          <a:extLst>
            <a:ext uri="{FF2B5EF4-FFF2-40B4-BE49-F238E27FC236}">
              <a16:creationId xmlns:a16="http://schemas.microsoft.com/office/drawing/2014/main" id="{293CB55E-A4CA-46D0-88D1-44D49AC3D420}"/>
            </a:ext>
          </a:extLst>
        </xdr:cNvPr>
        <xdr:cNvSpPr/>
      </xdr:nvSpPr>
      <xdr:spPr>
        <a:xfrm>
          <a:off x="9594850" y="5073650"/>
          <a:ext cx="554517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5" name="Isosceles Triangle 1634">
          <a:extLst>
            <a:ext uri="{FF2B5EF4-FFF2-40B4-BE49-F238E27FC236}">
              <a16:creationId xmlns:a16="http://schemas.microsoft.com/office/drawing/2014/main" id="{70439E9D-C1FB-4D22-A0C0-C7BCD2CBFEB8}"/>
            </a:ext>
          </a:extLst>
        </xdr:cNvPr>
        <xdr:cNvSpPr/>
      </xdr:nvSpPr>
      <xdr:spPr>
        <a:xfrm>
          <a:off x="1631950" y="12452350"/>
          <a:ext cx="57000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4D9CC581-2065-4278-9E61-E68028C7296A}"/>
            </a:ext>
          </a:extLst>
        </xdr:cNvPr>
        <xdr:cNvSpPr/>
      </xdr:nvSpPr>
      <xdr:spPr>
        <a:xfrm>
          <a:off x="2679700" y="9499600"/>
          <a:ext cx="57000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0C245ACA-1C11-4207-94EE-C3ADA7BE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E1DC0E35-44D7-4D07-93DB-FF4213B55003}"/>
            </a:ext>
          </a:extLst>
        </xdr:cNvPr>
        <xdr:cNvSpPr/>
      </xdr:nvSpPr>
      <xdr:spPr>
        <a:xfrm>
          <a:off x="2643768" y="12452350"/>
          <a:ext cx="60593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57E561C4-7B7D-450C-AD83-9179800D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2EF4330C-209A-4822-9376-6742DF3283CF}"/>
            </a:ext>
          </a:extLst>
        </xdr:cNvPr>
        <xdr:cNvSpPr/>
      </xdr:nvSpPr>
      <xdr:spPr>
        <a:xfrm>
          <a:off x="2655383" y="6553200"/>
          <a:ext cx="59473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1F61444-B2CA-47E7-8D67-E0631CC2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7FAFA386-251F-4080-9680-4655DA9770E3}"/>
            </a:ext>
          </a:extLst>
        </xdr:cNvPr>
        <xdr:cNvSpPr/>
      </xdr:nvSpPr>
      <xdr:spPr>
        <a:xfrm>
          <a:off x="10560050" y="6553200"/>
          <a:ext cx="572885" cy="3626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3" name="Isosceles Triangle 1642">
          <a:extLst>
            <a:ext uri="{FF2B5EF4-FFF2-40B4-BE49-F238E27FC236}">
              <a16:creationId xmlns:a16="http://schemas.microsoft.com/office/drawing/2014/main" id="{E84016D5-03B0-44BA-B06D-457DE5870A20}"/>
            </a:ext>
          </a:extLst>
        </xdr:cNvPr>
        <xdr:cNvSpPr/>
      </xdr:nvSpPr>
      <xdr:spPr>
        <a:xfrm>
          <a:off x="11637818" y="3613727"/>
          <a:ext cx="543530" cy="36790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ABAC4963-FD9A-45B1-B399-1726801A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890E949B-D894-4782-96ED-1264FA6C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1F51E6FB-428A-4209-9BF5-87B7E274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337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911E9FF5-0128-4BE6-BAF1-85342F85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86A74CD4-67EE-4C70-8052-6C4AE186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50F78EB6-F566-4BDB-B3F3-1435B4C1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0" name="Isosceles Triangle 1649">
          <a:extLst>
            <a:ext uri="{FF2B5EF4-FFF2-40B4-BE49-F238E27FC236}">
              <a16:creationId xmlns:a16="http://schemas.microsoft.com/office/drawing/2014/main" id="{465799B4-315D-4227-B970-E8201A1ED151}"/>
            </a:ext>
          </a:extLst>
        </xdr:cNvPr>
        <xdr:cNvSpPr/>
      </xdr:nvSpPr>
      <xdr:spPr>
        <a:xfrm>
          <a:off x="641350" y="5073650"/>
          <a:ext cx="563541" cy="36881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D10061BA-7091-4364-8227-04508C00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3B11CE44-E743-4DD7-8ADA-097B5C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745AB83F-7E56-496B-AC9B-53AEAA94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3F782AFF-81D4-4718-BD8D-03932574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1CB59FD8-CA3E-4129-88EC-03798AE8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D43AA423-6C18-446C-8C9D-E7438B2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CA7EE881-29CE-431C-A0F7-5B7360D5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83C81DD4-F6F1-4900-BE2A-70880EFC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8B54878-46CE-4E4E-AE57-8797D3BB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64A0288E-EF54-41B7-A2CC-BBF8D171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DE103957-CDEB-47CF-A98D-818FADAE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78CA2487-3CFC-47B9-BD74-86FE2DCF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3" name="Isosceles Triangle 1662">
          <a:extLst>
            <a:ext uri="{FF2B5EF4-FFF2-40B4-BE49-F238E27FC236}">
              <a16:creationId xmlns:a16="http://schemas.microsoft.com/office/drawing/2014/main" id="{98D09C37-DD2D-4992-964E-ACB886C5789E}"/>
            </a:ext>
          </a:extLst>
        </xdr:cNvPr>
        <xdr:cNvSpPr/>
      </xdr:nvSpPr>
      <xdr:spPr>
        <a:xfrm>
          <a:off x="55689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97507D7C-8422-4FE8-85F3-CA6EC417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49CA5912-8DD6-4B4C-8486-0521E14D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465C4040-9965-4FDF-B1FB-8A7BC91C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7" name="Isosceles Triangle 1666">
          <a:extLst>
            <a:ext uri="{FF2B5EF4-FFF2-40B4-BE49-F238E27FC236}">
              <a16:creationId xmlns:a16="http://schemas.microsoft.com/office/drawing/2014/main" id="{87AF5D0F-0FE1-4A74-ABEC-E2F7EA657E89}"/>
            </a:ext>
          </a:extLst>
        </xdr:cNvPr>
        <xdr:cNvSpPr/>
      </xdr:nvSpPr>
      <xdr:spPr>
        <a:xfrm>
          <a:off x="4675868" y="5083176"/>
          <a:ext cx="535840" cy="360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DF5AB1D3-79C2-47A4-ADBC-AEDB50E0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66FDAB8C-5C60-4086-9113-A1BF9F24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391CB9CB-C582-4AE9-9402-E3A1D7A5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7A6B29EF-A4F8-4C4E-92B7-CF5E8FBB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2" name="Isosceles Triangle 1671">
          <a:extLst>
            <a:ext uri="{FF2B5EF4-FFF2-40B4-BE49-F238E27FC236}">
              <a16:creationId xmlns:a16="http://schemas.microsoft.com/office/drawing/2014/main" id="{18673E26-BF50-4284-BB31-7D16EDCF0C52}"/>
            </a:ext>
          </a:extLst>
        </xdr:cNvPr>
        <xdr:cNvSpPr/>
      </xdr:nvSpPr>
      <xdr:spPr>
        <a:xfrm>
          <a:off x="10548603" y="5073649"/>
          <a:ext cx="575435" cy="3772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59EFFA23-57CF-4F70-A283-FB1B682C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DA3C9973-C487-4C9C-B208-D68D63558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65BFF7F5-6A9E-4597-80C4-51F3871B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DD90255-BC5E-46E7-9001-E49787E1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7" name="Isosceles Triangle 1676">
          <a:extLst>
            <a:ext uri="{FF2B5EF4-FFF2-40B4-BE49-F238E27FC236}">
              <a16:creationId xmlns:a16="http://schemas.microsoft.com/office/drawing/2014/main" id="{DE2F884D-0075-446D-AE38-FEDC8ECC3F39}"/>
            </a:ext>
          </a:extLst>
        </xdr:cNvPr>
        <xdr:cNvSpPr/>
      </xdr:nvSpPr>
      <xdr:spPr>
        <a:xfrm>
          <a:off x="11703050" y="8026400"/>
          <a:ext cx="5263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78" name="Isosceles Triangle 1677">
          <a:extLst>
            <a:ext uri="{FF2B5EF4-FFF2-40B4-BE49-F238E27FC236}">
              <a16:creationId xmlns:a16="http://schemas.microsoft.com/office/drawing/2014/main" id="{A9345608-5E33-4812-9CE6-F2B5746F66CB}"/>
            </a:ext>
          </a:extLst>
        </xdr:cNvPr>
        <xdr:cNvSpPr/>
      </xdr:nvSpPr>
      <xdr:spPr>
        <a:xfrm>
          <a:off x="37147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EBAE85C-7E16-4538-9193-1901FFD3AA7A}"/>
            </a:ext>
          </a:extLst>
        </xdr:cNvPr>
        <xdr:cNvSpPr/>
      </xdr:nvSpPr>
      <xdr:spPr>
        <a:xfrm>
          <a:off x="13703300" y="654050"/>
          <a:ext cx="5207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659952C3-DA63-457A-A19C-25E7D6C2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05BF27C6-9A83-46BD-8AAE-401FEC53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2" name="Isosceles Triangle 1681">
          <a:extLst>
            <a:ext uri="{FF2B5EF4-FFF2-40B4-BE49-F238E27FC236}">
              <a16:creationId xmlns:a16="http://schemas.microsoft.com/office/drawing/2014/main" id="{192440CE-FDEF-4BB7-AC10-A9DE99E846B4}"/>
            </a:ext>
          </a:extLst>
        </xdr:cNvPr>
        <xdr:cNvSpPr/>
      </xdr:nvSpPr>
      <xdr:spPr>
        <a:xfrm>
          <a:off x="10539556" y="3600450"/>
          <a:ext cx="57741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3" name="Isosceles Triangle 1682">
          <a:extLst>
            <a:ext uri="{FF2B5EF4-FFF2-40B4-BE49-F238E27FC236}">
              <a16:creationId xmlns:a16="http://schemas.microsoft.com/office/drawing/2014/main" id="{D9ADA413-8D48-4039-B923-20F9B67927A2}"/>
            </a:ext>
          </a:extLst>
        </xdr:cNvPr>
        <xdr:cNvSpPr/>
      </xdr:nvSpPr>
      <xdr:spPr>
        <a:xfrm>
          <a:off x="1631950" y="6553200"/>
          <a:ext cx="560384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AF28143F-39B3-43B2-AE4C-0510C324F199}"/>
            </a:ext>
          </a:extLst>
        </xdr:cNvPr>
        <xdr:cNvSpPr/>
      </xdr:nvSpPr>
      <xdr:spPr>
        <a:xfrm>
          <a:off x="1631950" y="212725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5" name="Picture 1684" descr="A black and white symbol&#10;&#10;Description automatically generated">
          <a:extLst>
            <a:ext uri="{FF2B5EF4-FFF2-40B4-BE49-F238E27FC236}">
              <a16:creationId xmlns:a16="http://schemas.microsoft.com/office/drawing/2014/main" id="{6F32808D-2AE8-40F0-858D-03C84C09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6" name="Picture 1685" descr="A black and white symbol&#10;&#10;Description automatically generated">
          <a:extLst>
            <a:ext uri="{FF2B5EF4-FFF2-40B4-BE49-F238E27FC236}">
              <a16:creationId xmlns:a16="http://schemas.microsoft.com/office/drawing/2014/main" id="{6904FD9C-C720-4A6A-AC4C-374DCAC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7" name="Isosceles Triangle 1686">
          <a:extLst>
            <a:ext uri="{FF2B5EF4-FFF2-40B4-BE49-F238E27FC236}">
              <a16:creationId xmlns:a16="http://schemas.microsoft.com/office/drawing/2014/main" id="{D0ED108F-04E0-46D4-9040-2A451BE2945F}"/>
            </a:ext>
          </a:extLst>
        </xdr:cNvPr>
        <xdr:cNvSpPr/>
      </xdr:nvSpPr>
      <xdr:spPr>
        <a:xfrm>
          <a:off x="26797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88" name="Isosceles Triangle 1687">
          <a:extLst>
            <a:ext uri="{FF2B5EF4-FFF2-40B4-BE49-F238E27FC236}">
              <a16:creationId xmlns:a16="http://schemas.microsoft.com/office/drawing/2014/main" id="{5F2BFEE7-7CCE-45F1-808A-F741C98EE428}"/>
            </a:ext>
          </a:extLst>
        </xdr:cNvPr>
        <xdr:cNvSpPr/>
      </xdr:nvSpPr>
      <xdr:spPr>
        <a:xfrm>
          <a:off x="3714750" y="2127250"/>
          <a:ext cx="57041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E21F5D56-6AA0-4ABD-A6AC-FB9B81AEAE3C}"/>
            </a:ext>
          </a:extLst>
        </xdr:cNvPr>
        <xdr:cNvSpPr/>
      </xdr:nvSpPr>
      <xdr:spPr>
        <a:xfrm>
          <a:off x="267970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9BBF7D14-70F9-4B3D-8DE1-9454D2EDDCC7}"/>
            </a:ext>
          </a:extLst>
        </xdr:cNvPr>
        <xdr:cNvSpPr/>
      </xdr:nvSpPr>
      <xdr:spPr>
        <a:xfrm>
          <a:off x="8559800" y="8026400"/>
          <a:ext cx="56962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70DAF049-2F87-4EF6-A932-351B63DD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A892A034-0EE8-44EB-BE3F-1A5721CC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9B41A36F-7001-48DE-85EE-8B548138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4" name="Isosceles Triangle 1693">
          <a:extLst>
            <a:ext uri="{FF2B5EF4-FFF2-40B4-BE49-F238E27FC236}">
              <a16:creationId xmlns:a16="http://schemas.microsoft.com/office/drawing/2014/main" id="{4EFB6B16-3811-4C09-B3B2-0D6E0A4B5B86}"/>
            </a:ext>
          </a:extLst>
        </xdr:cNvPr>
        <xdr:cNvSpPr/>
      </xdr:nvSpPr>
      <xdr:spPr>
        <a:xfrm>
          <a:off x="4660900" y="109791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5" name="Isosceles Triangle 1694">
          <a:extLst>
            <a:ext uri="{FF2B5EF4-FFF2-40B4-BE49-F238E27FC236}">
              <a16:creationId xmlns:a16="http://schemas.microsoft.com/office/drawing/2014/main" id="{E597F931-80F9-4429-83E3-4E282A52F290}"/>
            </a:ext>
          </a:extLst>
        </xdr:cNvPr>
        <xdr:cNvSpPr/>
      </xdr:nvSpPr>
      <xdr:spPr>
        <a:xfrm>
          <a:off x="5568950" y="2127250"/>
          <a:ext cx="570415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36DE8CE7-AE9A-4547-A3AB-7893C43F1887}"/>
            </a:ext>
          </a:extLst>
        </xdr:cNvPr>
        <xdr:cNvSpPr/>
      </xdr:nvSpPr>
      <xdr:spPr>
        <a:xfrm>
          <a:off x="7454900" y="8026400"/>
          <a:ext cx="56962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B7AF9518-77CD-45CB-8AA9-C1D9F572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677FB887-5350-4BF2-ADC2-4FC557240AB2}"/>
            </a:ext>
          </a:extLst>
        </xdr:cNvPr>
        <xdr:cNvSpPr/>
      </xdr:nvSpPr>
      <xdr:spPr>
        <a:xfrm>
          <a:off x="6413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0DD6B02E-D6A2-4946-8A84-7FDA8EDDCD35}"/>
            </a:ext>
          </a:extLst>
        </xdr:cNvPr>
        <xdr:cNvSpPr/>
      </xdr:nvSpPr>
      <xdr:spPr>
        <a:xfrm>
          <a:off x="16319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8D9B47B7-D5A1-4BE4-A2D8-0F58F348EA51}"/>
            </a:ext>
          </a:extLst>
        </xdr:cNvPr>
        <xdr:cNvSpPr/>
      </xdr:nvSpPr>
      <xdr:spPr>
        <a:xfrm>
          <a:off x="13703300" y="2127250"/>
          <a:ext cx="5207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A83C0222-6A15-4ABE-B7EC-E4AF3EEF792C}"/>
            </a:ext>
          </a:extLst>
        </xdr:cNvPr>
        <xdr:cNvSpPr/>
      </xdr:nvSpPr>
      <xdr:spPr>
        <a:xfrm>
          <a:off x="10560050" y="30137100"/>
          <a:ext cx="55771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1696ACB7-CBD0-49E2-80F4-7AD615D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E0045D30-C7CC-4788-BB90-BFF4F793B9F1}"/>
            </a:ext>
          </a:extLst>
        </xdr:cNvPr>
        <xdr:cNvSpPr/>
      </xdr:nvSpPr>
      <xdr:spPr>
        <a:xfrm>
          <a:off x="65341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E26A8834-7FC4-41B3-A7EA-02E6B7E1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193EAF59-8A63-41ED-B3E9-7BE2E043DCB7}"/>
            </a:ext>
          </a:extLst>
        </xdr:cNvPr>
        <xdr:cNvSpPr/>
      </xdr:nvSpPr>
      <xdr:spPr>
        <a:xfrm>
          <a:off x="12655550" y="2127250"/>
          <a:ext cx="538666" cy="3700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6" name="Isosceles Triangle 1705">
          <a:extLst>
            <a:ext uri="{FF2B5EF4-FFF2-40B4-BE49-F238E27FC236}">
              <a16:creationId xmlns:a16="http://schemas.microsoft.com/office/drawing/2014/main" id="{E75E313D-93BB-4BC2-8BBA-03F87AFE2200}"/>
            </a:ext>
          </a:extLst>
        </xdr:cNvPr>
        <xdr:cNvSpPr/>
      </xdr:nvSpPr>
      <xdr:spPr>
        <a:xfrm>
          <a:off x="3714750" y="360045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E4E2E6E1-3657-4863-B2D7-F039F60E289E}"/>
            </a:ext>
          </a:extLst>
        </xdr:cNvPr>
        <xdr:cNvSpPr/>
      </xdr:nvSpPr>
      <xdr:spPr>
        <a:xfrm>
          <a:off x="267970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08" name="Picture 1707" descr="A black and white symbol&#10;&#10;Description automatically generated">
          <a:extLst>
            <a:ext uri="{FF2B5EF4-FFF2-40B4-BE49-F238E27FC236}">
              <a16:creationId xmlns:a16="http://schemas.microsoft.com/office/drawing/2014/main" id="{47E524ED-C938-46A6-B5BE-A50389C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09" name="Picture 1708" descr="A black and white symbol&#10;&#10;Description automatically generated">
          <a:extLst>
            <a:ext uri="{FF2B5EF4-FFF2-40B4-BE49-F238E27FC236}">
              <a16:creationId xmlns:a16="http://schemas.microsoft.com/office/drawing/2014/main" id="{E201C06E-615B-4D04-BACA-2227F3FD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339040AE-D6C8-43C5-9CD4-0356D8FBC882}"/>
            </a:ext>
          </a:extLst>
        </xdr:cNvPr>
        <xdr:cNvSpPr/>
      </xdr:nvSpPr>
      <xdr:spPr>
        <a:xfrm>
          <a:off x="1631950" y="316103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9899FCF7-9D91-4FF4-8C6B-F89413E10DE8}"/>
            </a:ext>
          </a:extLst>
        </xdr:cNvPr>
        <xdr:cNvSpPr/>
      </xdr:nvSpPr>
      <xdr:spPr>
        <a:xfrm>
          <a:off x="9594850" y="8026400"/>
          <a:ext cx="5450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D402C21A-4D29-4A2B-8504-F392B033BF7F}"/>
            </a:ext>
          </a:extLst>
        </xdr:cNvPr>
        <xdr:cNvSpPr/>
      </xdr:nvSpPr>
      <xdr:spPr>
        <a:xfrm>
          <a:off x="12655550" y="3600450"/>
          <a:ext cx="539559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1B4996A6-9F10-4F85-B90F-C5337E7C7820}"/>
            </a:ext>
          </a:extLst>
        </xdr:cNvPr>
        <xdr:cNvSpPr/>
      </xdr:nvSpPr>
      <xdr:spPr>
        <a:xfrm>
          <a:off x="4660900" y="3600450"/>
          <a:ext cx="5588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F5810D86-7682-49E3-9BD0-07C8192C4E7F}"/>
            </a:ext>
          </a:extLst>
        </xdr:cNvPr>
        <xdr:cNvSpPr/>
      </xdr:nvSpPr>
      <xdr:spPr>
        <a:xfrm>
          <a:off x="371475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5" name="Picture 1714" descr="A black and white symbol&#10;&#10;Description automatically generated">
          <a:extLst>
            <a:ext uri="{FF2B5EF4-FFF2-40B4-BE49-F238E27FC236}">
              <a16:creationId xmlns:a16="http://schemas.microsoft.com/office/drawing/2014/main" id="{EF707F7D-3E9C-4F40-93F4-C6BF47C6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68C2874F-B8EC-46A6-BA64-80CF8EB59E16}"/>
            </a:ext>
          </a:extLst>
        </xdr:cNvPr>
        <xdr:cNvSpPr/>
      </xdr:nvSpPr>
      <xdr:spPr>
        <a:xfrm>
          <a:off x="9594851" y="212725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7" name="Isosceles Triangle 1716">
          <a:extLst>
            <a:ext uri="{FF2B5EF4-FFF2-40B4-BE49-F238E27FC236}">
              <a16:creationId xmlns:a16="http://schemas.microsoft.com/office/drawing/2014/main" id="{77D2A549-3FBE-43DD-AF8C-7F0E345B7600}"/>
            </a:ext>
          </a:extLst>
        </xdr:cNvPr>
        <xdr:cNvSpPr/>
      </xdr:nvSpPr>
      <xdr:spPr>
        <a:xfrm>
          <a:off x="9594851" y="949960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1A243826-5120-454C-9FB8-3445083968E1}"/>
            </a:ext>
          </a:extLst>
        </xdr:cNvPr>
        <xdr:cNvSpPr/>
      </xdr:nvSpPr>
      <xdr:spPr>
        <a:xfrm>
          <a:off x="5568950" y="15405100"/>
          <a:ext cx="558799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19" name="Picture 1718" descr="A black and white symbol&#10;&#10;Description automatically generated">
          <a:extLst>
            <a:ext uri="{FF2B5EF4-FFF2-40B4-BE49-F238E27FC236}">
              <a16:creationId xmlns:a16="http://schemas.microsoft.com/office/drawing/2014/main" id="{5E483FB3-4B61-418C-BF31-12BD2CCA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D909D2F-74A5-4B38-BB13-E3F282C1FDDF}"/>
            </a:ext>
          </a:extLst>
        </xdr:cNvPr>
        <xdr:cNvSpPr/>
      </xdr:nvSpPr>
      <xdr:spPr>
        <a:xfrm>
          <a:off x="5568950" y="30137100"/>
          <a:ext cx="53494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FD0A7180-394B-43E6-9CC4-341ACB31D9CC}"/>
            </a:ext>
          </a:extLst>
        </xdr:cNvPr>
        <xdr:cNvSpPr/>
      </xdr:nvSpPr>
      <xdr:spPr>
        <a:xfrm>
          <a:off x="6413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306D4872-7DE8-4955-A2AB-C0738010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7C3F3384-ECB7-486C-87F6-E88EA808734E}"/>
            </a:ext>
          </a:extLst>
        </xdr:cNvPr>
        <xdr:cNvSpPr/>
      </xdr:nvSpPr>
      <xdr:spPr>
        <a:xfrm>
          <a:off x="55689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4" name="Isosceles Triangle 1723">
          <a:extLst>
            <a:ext uri="{FF2B5EF4-FFF2-40B4-BE49-F238E27FC236}">
              <a16:creationId xmlns:a16="http://schemas.microsoft.com/office/drawing/2014/main" id="{30FB535B-3082-4B83-B9E0-8F29B9D28353}"/>
            </a:ext>
          </a:extLst>
        </xdr:cNvPr>
        <xdr:cNvSpPr/>
      </xdr:nvSpPr>
      <xdr:spPr>
        <a:xfrm>
          <a:off x="55689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5" name="Picture 1724" descr="A black and white symbol&#10;&#10;Description automatically generated">
          <a:extLst>
            <a:ext uri="{FF2B5EF4-FFF2-40B4-BE49-F238E27FC236}">
              <a16:creationId xmlns:a16="http://schemas.microsoft.com/office/drawing/2014/main" id="{BB378FA6-B262-40A5-9DF2-81FD0720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AE100E5F-1BC3-40D8-99BA-5D741C61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023263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F280D044-40F8-49AE-8A85-52641A7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D6192236-7585-4D40-AEE7-B01E6A7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932" y="1908810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6F4C7DF-6C97-4E7B-BAD9-5F0DD7F0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4970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974EFEAC-390D-4A76-9FC7-7FCF46CF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99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8FC6E97D-13E8-42A8-AD3E-62613331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7F30B7AC-CC8B-4623-B96C-B41392A5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5DFC8527-49F0-4C36-A3E8-F5155473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51065384-51D5-446E-A884-64AD89E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F70AE480-8EC6-4963-9CA8-BC635DCE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815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D495F652-1E97-408D-BAA5-6C660F6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8E4A3288-A5AC-4BDC-BBA7-1DB1EBA8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5140BE10-6B48-4B67-A866-641A4269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B68F3EF9-1C7C-4D08-B4C1-325E7F90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DFFBF77D-2B81-42CD-B04A-C6FDA71D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E4B6CD37-A90D-4E94-B4E4-DBD39E72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289BC8F7-59FA-46B9-8C31-337AF195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F997E92A-246B-4253-95BD-DF62DC57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2B8374D-0EC8-4F82-B46E-4FC00370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D965306C-9CF3-4675-AED7-0AE4DE5E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1705F430-3233-498B-8F1A-AEDBA9D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DE8F58AB-AC27-48A5-80BC-B98BDA06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C048B6B3-18D3-40D0-A8DD-0B087F85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8C428E8E-ADBD-4607-ABBC-69CA0D5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D8B02E12-6409-4C7A-BBD8-9B303D07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EC276FB3-D0B4-43A3-9761-0F126DE8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5E90AF95-926D-4C2E-9E5F-F0AB6495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892AD360-B635-4794-B8BB-3A69D7AC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FC493D72-8C7C-4AE5-85EF-0BD185FA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21683B77-CD3D-46A0-A4B4-95B95FAA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8994CF6D-80F1-4B9F-961B-7DDE5AB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1F3F1DD6-5C1B-4048-BF3B-EC5BC89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58" name="Isosceles Triangle 1757">
          <a:extLst>
            <a:ext uri="{FF2B5EF4-FFF2-40B4-BE49-F238E27FC236}">
              <a16:creationId xmlns:a16="http://schemas.microsoft.com/office/drawing/2014/main" id="{AEA38C2A-1B70-4760-89F1-0A79F00B3AD4}"/>
            </a:ext>
          </a:extLst>
        </xdr:cNvPr>
        <xdr:cNvSpPr/>
      </xdr:nvSpPr>
      <xdr:spPr>
        <a:xfrm>
          <a:off x="12655550" y="6553718"/>
          <a:ext cx="540507" cy="3570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10B78339-026D-4CA3-8CE3-032BA56F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5D1D9567-5279-4CCB-A293-E650D0DA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51BFADBB-4C3C-4470-8D92-84ABA47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D2C299B3-BC75-41FE-989C-12355435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C195B068-77F8-4361-A283-9EDD56DB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4C71542C-5307-44A3-9D59-1AE0EA6A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A80B5A8-8FB9-405E-B8F9-C6F82E94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6EBDB193-6EE4-424D-BB8A-4E855C37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CC443088-239E-411B-B67D-89B5CB70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AEA60FC2-AEF1-4AFF-AA74-70346AE2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99B576F6-E5F5-4722-BD64-0659D1BB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355F405-6BFD-4266-BEAB-CCCFD28D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23E44CEB-CC7B-4D85-A106-DADFA3B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921A5C52-2637-40BF-95A0-6F9F2D42C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3CC52B92-173B-4627-877B-FD9D2E6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D0E6716B-1362-4407-816F-1A4DC857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DCC56BA8-E4DF-4606-B3F0-5122491D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F5FA2B12-981D-4D6A-A28C-62FDDF5A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307D7268-1ACD-4453-A23C-D43DAF6D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7BFC6A7B-6B48-4478-992C-37314C6F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5E82EDB4-2B69-4B9A-AF89-2F7B48B6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972347DD-B277-401A-A1BE-9B3871CF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69D8DF3A-A4E7-4768-BE38-CCB845A6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E76488A3-14DB-4C5D-87EF-94703B3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A686A26C-8341-4AA7-B893-EE7EDF14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D602A9A-E375-4378-91DE-F614309B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2E886FBC-A561-4EAA-9266-A08D1DC6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F4EFB56-713D-4B8C-B9AE-4A8A2D37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17AB0FB8-AC81-403A-AC3C-D4738A81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93DC439A-EA73-443C-B4DD-4FECA80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1FD3CF0E-12A9-44E4-A416-2F9608B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17B70F73-B0AE-408D-ACD3-49D017AFD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808BB6E1-69C6-4547-A190-9F92EA64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96FFE7D0-7168-4219-A1A1-51996BD2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3F82FB1F-34AD-4DE5-AA67-DF25B0FB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6422A7F8-F00A-45BB-B03C-D378494F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C9DFABDC-5DFC-442A-8BA0-4712515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339DD4C6-0E8B-4909-BC95-65B132B9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DAF156B2-3D79-4880-81C5-C0BFF188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69E594AB-EF23-457C-B756-AC685C32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FEFABC46-E5EE-423D-822D-0A63A57D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605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726A6D53-1C5C-4D31-ABCA-0E018B7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23046388-EA8B-463F-B0D9-A4329A31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4F4725E3-6931-47D1-9999-9606A891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D2AF4CC2-F0B7-4723-94A4-BC48AA2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49660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A5FB6FE1-8CBB-4331-B7F5-D51E48FC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43FD769-B3E0-4EF2-A4BD-03AE9DA2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1A33B612-4176-41AF-88EC-B9BBF5F7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435F8756-D07D-4B2C-B15E-FE463F25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13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9C05C0E8-C6B6-47B8-A5B2-A46064F3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3CAFEA17-3BDC-46CE-A0A6-59AF5E18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73B1F2FC-C897-4E61-B939-A73880D9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FA4C8D26-BA38-49F0-B6B1-87C40E61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123" y="285029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F9B54317-49A4-488D-BACD-B0B67738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875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6185A18-2D40-453B-A6C0-7708EE8A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DF772420-D8B3-480D-95C2-E2DB70117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683" y="1171356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CC63BD12-F876-4480-88C2-74E38E3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CF08AEAE-6404-4A3E-BF9A-E6E1C78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983E0AE3-B56E-4F6C-BF52-BECAFC24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727624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150091</xdr:colOff>
      <xdr:row>10</xdr:row>
      <xdr:rowOff>127000</xdr:rowOff>
    </xdr:from>
    <xdr:to>
      <xdr:col>20</xdr:col>
      <xdr:colOff>108720</xdr:colOff>
      <xdr:row>11</xdr:row>
      <xdr:rowOff>116417</xdr:rowOff>
    </xdr:to>
    <xdr:sp macro="" textlink="">
      <xdr:nvSpPr>
        <xdr:cNvPr id="1818" name="5-Point Star 520">
          <a:extLst>
            <a:ext uri="{FF2B5EF4-FFF2-40B4-BE49-F238E27FC236}">
              <a16:creationId xmlns:a16="http://schemas.microsoft.com/office/drawing/2014/main" id="{8B4141DE-BE8E-4285-9E63-EEBB30021DA1}"/>
            </a:ext>
          </a:extLst>
        </xdr:cNvPr>
        <xdr:cNvSpPr/>
      </xdr:nvSpPr>
      <xdr:spPr>
        <a:xfrm>
          <a:off x="6650182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150091</xdr:colOff>
      <xdr:row>10</xdr:row>
      <xdr:rowOff>138545</xdr:rowOff>
    </xdr:from>
    <xdr:to>
      <xdr:col>23</xdr:col>
      <xdr:colOff>108720</xdr:colOff>
      <xdr:row>11</xdr:row>
      <xdr:rowOff>127962</xdr:rowOff>
    </xdr:to>
    <xdr:sp macro="" textlink="">
      <xdr:nvSpPr>
        <xdr:cNvPr id="1819" name="5-Point Star 520">
          <a:extLst>
            <a:ext uri="{FF2B5EF4-FFF2-40B4-BE49-F238E27FC236}">
              <a16:creationId xmlns:a16="http://schemas.microsoft.com/office/drawing/2014/main" id="{33FEC8F7-0B2C-470A-AE95-2A647394D572}"/>
            </a:ext>
          </a:extLst>
        </xdr:cNvPr>
        <xdr:cNvSpPr/>
      </xdr:nvSpPr>
      <xdr:spPr>
        <a:xfrm>
          <a:off x="7562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138546</xdr:colOff>
      <xdr:row>10</xdr:row>
      <xdr:rowOff>127000</xdr:rowOff>
    </xdr:from>
    <xdr:to>
      <xdr:col>32</xdr:col>
      <xdr:colOff>97175</xdr:colOff>
      <xdr:row>11</xdr:row>
      <xdr:rowOff>116417</xdr:rowOff>
    </xdr:to>
    <xdr:sp macro="" textlink="">
      <xdr:nvSpPr>
        <xdr:cNvPr id="1821" name="5-Point Star 520">
          <a:extLst>
            <a:ext uri="{FF2B5EF4-FFF2-40B4-BE49-F238E27FC236}">
              <a16:creationId xmlns:a16="http://schemas.microsoft.com/office/drawing/2014/main" id="{880203F1-564C-41AA-B7EA-2C46B7A975E9}"/>
            </a:ext>
          </a:extLst>
        </xdr:cNvPr>
        <xdr:cNvSpPr/>
      </xdr:nvSpPr>
      <xdr:spPr>
        <a:xfrm>
          <a:off x="10633364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127001</xdr:colOff>
      <xdr:row>10</xdr:row>
      <xdr:rowOff>138546</xdr:rowOff>
    </xdr:from>
    <xdr:to>
      <xdr:col>26</xdr:col>
      <xdr:colOff>85630</xdr:colOff>
      <xdr:row>11</xdr:row>
      <xdr:rowOff>127963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F0702276-FA3D-41F3-BA60-F403B2B6997E}"/>
            </a:ext>
          </a:extLst>
        </xdr:cNvPr>
        <xdr:cNvSpPr/>
      </xdr:nvSpPr>
      <xdr:spPr>
        <a:xfrm>
          <a:off x="8636001" y="227445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161635</xdr:colOff>
      <xdr:row>10</xdr:row>
      <xdr:rowOff>150091</xdr:rowOff>
    </xdr:from>
    <xdr:to>
      <xdr:col>29</xdr:col>
      <xdr:colOff>131809</xdr:colOff>
      <xdr:row>11</xdr:row>
      <xdr:rowOff>139508</xdr:rowOff>
    </xdr:to>
    <xdr:sp macro="" textlink="">
      <xdr:nvSpPr>
        <xdr:cNvPr id="1823" name="5-Point Star 520">
          <a:extLst>
            <a:ext uri="{FF2B5EF4-FFF2-40B4-BE49-F238E27FC236}">
              <a16:creationId xmlns:a16="http://schemas.microsoft.com/office/drawing/2014/main" id="{4DA05422-74ED-4DFE-8591-98D0BC21661E}"/>
            </a:ext>
          </a:extLst>
        </xdr:cNvPr>
        <xdr:cNvSpPr/>
      </xdr:nvSpPr>
      <xdr:spPr>
        <a:xfrm>
          <a:off x="9698180" y="2286000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138546</xdr:colOff>
      <xdr:row>10</xdr:row>
      <xdr:rowOff>138545</xdr:rowOff>
    </xdr:from>
    <xdr:to>
      <xdr:col>35</xdr:col>
      <xdr:colOff>97175</xdr:colOff>
      <xdr:row>11</xdr:row>
      <xdr:rowOff>127962</xdr:rowOff>
    </xdr:to>
    <xdr:sp macro="" textlink="">
      <xdr:nvSpPr>
        <xdr:cNvPr id="1824" name="5-Point Star 520">
          <a:extLst>
            <a:ext uri="{FF2B5EF4-FFF2-40B4-BE49-F238E27FC236}">
              <a16:creationId xmlns:a16="http://schemas.microsoft.com/office/drawing/2014/main" id="{EDBD24F9-D0AA-4CBD-8D43-3BD1458610B1}"/>
            </a:ext>
          </a:extLst>
        </xdr:cNvPr>
        <xdr:cNvSpPr/>
      </xdr:nvSpPr>
      <xdr:spPr>
        <a:xfrm>
          <a:off x="11776364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158</xdr:row>
      <xdr:rowOff>0</xdr:rowOff>
    </xdr:from>
    <xdr:ext cx="230186" cy="271084"/>
    <xdr:pic>
      <xdr:nvPicPr>
        <xdr:cNvPr id="1825" name="Picture 1824" descr="A black and white symbol&#10;&#10;Description automatically generated">
          <a:extLst>
            <a:ext uri="{FF2B5EF4-FFF2-40B4-BE49-F238E27FC236}">
              <a16:creationId xmlns:a16="http://schemas.microsoft.com/office/drawing/2014/main" id="{F562DB71-BF3A-4F37-9058-C36083F5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455" y="295101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150091</xdr:colOff>
      <xdr:row>10</xdr:row>
      <xdr:rowOff>127000</xdr:rowOff>
    </xdr:from>
    <xdr:to>
      <xdr:col>38</xdr:col>
      <xdr:colOff>108720</xdr:colOff>
      <xdr:row>11</xdr:row>
      <xdr:rowOff>116417</xdr:rowOff>
    </xdr:to>
    <xdr:sp macro="" textlink="">
      <xdr:nvSpPr>
        <xdr:cNvPr id="1822" name="5-Point Star 520">
          <a:extLst>
            <a:ext uri="{FF2B5EF4-FFF2-40B4-BE49-F238E27FC236}">
              <a16:creationId xmlns:a16="http://schemas.microsoft.com/office/drawing/2014/main" id="{7747F5CD-7B72-44F0-8862-D294E0A91439}"/>
            </a:ext>
          </a:extLst>
        </xdr:cNvPr>
        <xdr:cNvSpPr/>
      </xdr:nvSpPr>
      <xdr:spPr>
        <a:xfrm>
          <a:off x="12734636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161637</xdr:colOff>
      <xdr:row>10</xdr:row>
      <xdr:rowOff>138545</xdr:rowOff>
    </xdr:from>
    <xdr:to>
      <xdr:col>41</xdr:col>
      <xdr:colOff>120266</xdr:colOff>
      <xdr:row>11</xdr:row>
      <xdr:rowOff>127962</xdr:rowOff>
    </xdr:to>
    <xdr:sp macro="" textlink="">
      <xdr:nvSpPr>
        <xdr:cNvPr id="1826" name="5-Point Star 520">
          <a:extLst>
            <a:ext uri="{FF2B5EF4-FFF2-40B4-BE49-F238E27FC236}">
              <a16:creationId xmlns:a16="http://schemas.microsoft.com/office/drawing/2014/main" id="{8B0950C2-38C5-437B-9FE9-3026795C69BD}"/>
            </a:ext>
          </a:extLst>
        </xdr:cNvPr>
        <xdr:cNvSpPr/>
      </xdr:nvSpPr>
      <xdr:spPr>
        <a:xfrm>
          <a:off x="13785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150091</xdr:colOff>
      <xdr:row>18</xdr:row>
      <xdr:rowOff>115455</xdr:rowOff>
    </xdr:from>
    <xdr:to>
      <xdr:col>2</xdr:col>
      <xdr:colOff>108720</xdr:colOff>
      <xdr:row>19</xdr:row>
      <xdr:rowOff>104871</xdr:rowOff>
    </xdr:to>
    <xdr:sp macro="" textlink="">
      <xdr:nvSpPr>
        <xdr:cNvPr id="1827" name="5-Point Star 520">
          <a:extLst>
            <a:ext uri="{FF2B5EF4-FFF2-40B4-BE49-F238E27FC236}">
              <a16:creationId xmlns:a16="http://schemas.microsoft.com/office/drawing/2014/main" id="{F054C038-5A7D-4D69-8CD3-CAE5C35482CF}"/>
            </a:ext>
          </a:extLst>
        </xdr:cNvPr>
        <xdr:cNvSpPr/>
      </xdr:nvSpPr>
      <xdr:spPr>
        <a:xfrm>
          <a:off x="796636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161637</xdr:colOff>
      <xdr:row>18</xdr:row>
      <xdr:rowOff>103909</xdr:rowOff>
    </xdr:from>
    <xdr:to>
      <xdr:col>5</xdr:col>
      <xdr:colOff>108721</xdr:colOff>
      <xdr:row>19</xdr:row>
      <xdr:rowOff>93325</xdr:rowOff>
    </xdr:to>
    <xdr:sp macro="" textlink="">
      <xdr:nvSpPr>
        <xdr:cNvPr id="1828" name="5-Point Star 520">
          <a:extLst>
            <a:ext uri="{FF2B5EF4-FFF2-40B4-BE49-F238E27FC236}">
              <a16:creationId xmlns:a16="http://schemas.microsoft.com/office/drawing/2014/main" id="{0F1266D5-983C-48BE-AA7F-81B3E218751D}"/>
            </a:ext>
          </a:extLst>
        </xdr:cNvPr>
        <xdr:cNvSpPr/>
      </xdr:nvSpPr>
      <xdr:spPr>
        <a:xfrm>
          <a:off x="178954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161636</xdr:colOff>
      <xdr:row>18</xdr:row>
      <xdr:rowOff>103909</xdr:rowOff>
    </xdr:from>
    <xdr:to>
      <xdr:col>8</xdr:col>
      <xdr:colOff>120265</xdr:colOff>
      <xdr:row>19</xdr:row>
      <xdr:rowOff>93325</xdr:rowOff>
    </xdr:to>
    <xdr:sp macro="" textlink="">
      <xdr:nvSpPr>
        <xdr:cNvPr id="1830" name="5-Point Star 520">
          <a:extLst>
            <a:ext uri="{FF2B5EF4-FFF2-40B4-BE49-F238E27FC236}">
              <a16:creationId xmlns:a16="http://schemas.microsoft.com/office/drawing/2014/main" id="{66C68FC4-0317-4C9E-81F1-E894327BC8E4}"/>
            </a:ext>
          </a:extLst>
        </xdr:cNvPr>
        <xdr:cNvSpPr/>
      </xdr:nvSpPr>
      <xdr:spPr>
        <a:xfrm>
          <a:off x="282863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161637</xdr:colOff>
      <xdr:row>18</xdr:row>
      <xdr:rowOff>80818</xdr:rowOff>
    </xdr:from>
    <xdr:to>
      <xdr:col>11</xdr:col>
      <xdr:colOff>120266</xdr:colOff>
      <xdr:row>19</xdr:row>
      <xdr:rowOff>70234</xdr:rowOff>
    </xdr:to>
    <xdr:sp macro="" textlink="">
      <xdr:nvSpPr>
        <xdr:cNvPr id="1831" name="5-Point Star 520">
          <a:extLst>
            <a:ext uri="{FF2B5EF4-FFF2-40B4-BE49-F238E27FC236}">
              <a16:creationId xmlns:a16="http://schemas.microsoft.com/office/drawing/2014/main" id="{F088C601-51CD-4E3D-AF14-E9BD2BD880D8}"/>
            </a:ext>
          </a:extLst>
        </xdr:cNvPr>
        <xdr:cNvSpPr/>
      </xdr:nvSpPr>
      <xdr:spPr>
        <a:xfrm>
          <a:off x="3856182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161636</xdr:colOff>
      <xdr:row>18</xdr:row>
      <xdr:rowOff>80818</xdr:rowOff>
    </xdr:from>
    <xdr:to>
      <xdr:col>14</xdr:col>
      <xdr:colOff>120265</xdr:colOff>
      <xdr:row>19</xdr:row>
      <xdr:rowOff>70234</xdr:rowOff>
    </xdr:to>
    <xdr:sp macro="" textlink="">
      <xdr:nvSpPr>
        <xdr:cNvPr id="1832" name="5-Point Star 520">
          <a:extLst>
            <a:ext uri="{FF2B5EF4-FFF2-40B4-BE49-F238E27FC236}">
              <a16:creationId xmlns:a16="http://schemas.microsoft.com/office/drawing/2014/main" id="{2C222C3E-7B53-4114-9115-185BF54732C8}"/>
            </a:ext>
          </a:extLst>
        </xdr:cNvPr>
        <xdr:cNvSpPr/>
      </xdr:nvSpPr>
      <xdr:spPr>
        <a:xfrm>
          <a:off x="4802909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161637</xdr:colOff>
      <xdr:row>18</xdr:row>
      <xdr:rowOff>115454</xdr:rowOff>
    </xdr:from>
    <xdr:to>
      <xdr:col>17</xdr:col>
      <xdr:colOff>120266</xdr:colOff>
      <xdr:row>19</xdr:row>
      <xdr:rowOff>104870</xdr:rowOff>
    </xdr:to>
    <xdr:sp macro="" textlink="">
      <xdr:nvSpPr>
        <xdr:cNvPr id="1833" name="5-Point Star 520">
          <a:extLst>
            <a:ext uri="{FF2B5EF4-FFF2-40B4-BE49-F238E27FC236}">
              <a16:creationId xmlns:a16="http://schemas.microsoft.com/office/drawing/2014/main" id="{D5CB02B1-C429-4D4C-B389-ACBF2F00B1A1}"/>
            </a:ext>
          </a:extLst>
        </xdr:cNvPr>
        <xdr:cNvSpPr/>
      </xdr:nvSpPr>
      <xdr:spPr>
        <a:xfrm>
          <a:off x="5703455" y="372918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138545</xdr:colOff>
      <xdr:row>18</xdr:row>
      <xdr:rowOff>92364</xdr:rowOff>
    </xdr:from>
    <xdr:to>
      <xdr:col>20</xdr:col>
      <xdr:colOff>97174</xdr:colOff>
      <xdr:row>19</xdr:row>
      <xdr:rowOff>81780</xdr:rowOff>
    </xdr:to>
    <xdr:sp macro="" textlink="">
      <xdr:nvSpPr>
        <xdr:cNvPr id="1834" name="5-Point Star 520">
          <a:extLst>
            <a:ext uri="{FF2B5EF4-FFF2-40B4-BE49-F238E27FC236}">
              <a16:creationId xmlns:a16="http://schemas.microsoft.com/office/drawing/2014/main" id="{EF95E330-76A8-416B-A968-A23CF468025A}"/>
            </a:ext>
          </a:extLst>
        </xdr:cNvPr>
        <xdr:cNvSpPr/>
      </xdr:nvSpPr>
      <xdr:spPr>
        <a:xfrm>
          <a:off x="6638636" y="370609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161637</xdr:colOff>
      <xdr:row>18</xdr:row>
      <xdr:rowOff>115455</xdr:rowOff>
    </xdr:from>
    <xdr:to>
      <xdr:col>23</xdr:col>
      <xdr:colOff>120266</xdr:colOff>
      <xdr:row>19</xdr:row>
      <xdr:rowOff>104871</xdr:rowOff>
    </xdr:to>
    <xdr:sp macro="" textlink="">
      <xdr:nvSpPr>
        <xdr:cNvPr id="1835" name="5-Point Star 520">
          <a:extLst>
            <a:ext uri="{FF2B5EF4-FFF2-40B4-BE49-F238E27FC236}">
              <a16:creationId xmlns:a16="http://schemas.microsoft.com/office/drawing/2014/main" id="{E55C18A4-CFF1-4A4C-BCCE-1A9955A74493}"/>
            </a:ext>
          </a:extLst>
        </xdr:cNvPr>
        <xdr:cNvSpPr/>
      </xdr:nvSpPr>
      <xdr:spPr>
        <a:xfrm>
          <a:off x="7573819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173182</xdr:colOff>
      <xdr:row>18</xdr:row>
      <xdr:rowOff>126999</xdr:rowOff>
    </xdr:from>
    <xdr:to>
      <xdr:col>26</xdr:col>
      <xdr:colOff>131811</xdr:colOff>
      <xdr:row>19</xdr:row>
      <xdr:rowOff>116415</xdr:rowOff>
    </xdr:to>
    <xdr:sp macro="" textlink="">
      <xdr:nvSpPr>
        <xdr:cNvPr id="1836" name="5-Point Star 520">
          <a:extLst>
            <a:ext uri="{FF2B5EF4-FFF2-40B4-BE49-F238E27FC236}">
              <a16:creationId xmlns:a16="http://schemas.microsoft.com/office/drawing/2014/main" id="{9768A849-2B5D-4C80-8F41-EAD8E8AF3844}"/>
            </a:ext>
          </a:extLst>
        </xdr:cNvPr>
        <xdr:cNvSpPr/>
      </xdr:nvSpPr>
      <xdr:spPr>
        <a:xfrm>
          <a:off x="8682182" y="374072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11546</xdr:colOff>
      <xdr:row>10</xdr:row>
      <xdr:rowOff>11546</xdr:rowOff>
    </xdr:from>
    <xdr:to>
      <xdr:col>22</xdr:col>
      <xdr:colOff>254000</xdr:colOff>
      <xdr:row>10</xdr:row>
      <xdr:rowOff>22130</xdr:rowOff>
    </xdr:to>
    <xdr:cxnSp macro="">
      <xdr:nvCxnSpPr>
        <xdr:cNvPr id="1837" name="Curved Connector 522">
          <a:extLst>
            <a:ext uri="{FF2B5EF4-FFF2-40B4-BE49-F238E27FC236}">
              <a16:creationId xmlns:a16="http://schemas.microsoft.com/office/drawing/2014/main" id="{563E2AE7-EAA2-48E1-967C-34E016302972}"/>
            </a:ext>
          </a:extLst>
        </xdr:cNvPr>
        <xdr:cNvCxnSpPr/>
      </xdr:nvCxnSpPr>
      <xdr:spPr>
        <a:xfrm rot="16200000" flipH="1">
          <a:off x="7222163" y="1714020"/>
          <a:ext cx="10584" cy="87745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10</xdr:row>
      <xdr:rowOff>0</xdr:rowOff>
    </xdr:from>
    <xdr:to>
      <xdr:col>26</xdr:col>
      <xdr:colOff>0</xdr:colOff>
      <xdr:row>10</xdr:row>
      <xdr:rowOff>10584</xdr:rowOff>
    </xdr:to>
    <xdr:cxnSp macro="">
      <xdr:nvCxnSpPr>
        <xdr:cNvPr id="1840" name="Curved Connector 522">
          <a:extLst>
            <a:ext uri="{FF2B5EF4-FFF2-40B4-BE49-F238E27FC236}">
              <a16:creationId xmlns:a16="http://schemas.microsoft.com/office/drawing/2014/main" id="{92F8A23E-EF8C-4416-967D-BE9919B18510}"/>
            </a:ext>
          </a:extLst>
        </xdr:cNvPr>
        <xdr:cNvCxnSpPr/>
      </xdr:nvCxnSpPr>
      <xdr:spPr>
        <a:xfrm rot="16200000" flipH="1">
          <a:off x="8232390" y="1592792"/>
          <a:ext cx="10584" cy="1096818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10</xdr:row>
      <xdr:rowOff>1</xdr:rowOff>
    </xdr:from>
    <xdr:to>
      <xdr:col>29</xdr:col>
      <xdr:colOff>11546</xdr:colOff>
      <xdr:row>10</xdr:row>
      <xdr:rowOff>10585</xdr:rowOff>
    </xdr:to>
    <xdr:cxnSp macro="">
      <xdr:nvCxnSpPr>
        <xdr:cNvPr id="1842" name="Curved Connector 522">
          <a:extLst>
            <a:ext uri="{FF2B5EF4-FFF2-40B4-BE49-F238E27FC236}">
              <a16:creationId xmlns:a16="http://schemas.microsoft.com/office/drawing/2014/main" id="{F7FEDB67-C1F4-40D8-9667-74ADFE21CDBA}"/>
            </a:ext>
          </a:extLst>
        </xdr:cNvPr>
        <xdr:cNvCxnSpPr/>
      </xdr:nvCxnSpPr>
      <xdr:spPr>
        <a:xfrm rot="16200000" flipH="1">
          <a:off x="9294573" y="1627429"/>
          <a:ext cx="10584" cy="1027545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9</xdr:row>
      <xdr:rowOff>173181</xdr:rowOff>
    </xdr:from>
    <xdr:to>
      <xdr:col>32</xdr:col>
      <xdr:colOff>11546</xdr:colOff>
      <xdr:row>9</xdr:row>
      <xdr:rowOff>183765</xdr:rowOff>
    </xdr:to>
    <xdr:cxnSp macro="">
      <xdr:nvCxnSpPr>
        <xdr:cNvPr id="1844" name="Curved Connector 522">
          <a:extLst>
            <a:ext uri="{FF2B5EF4-FFF2-40B4-BE49-F238E27FC236}">
              <a16:creationId xmlns:a16="http://schemas.microsoft.com/office/drawing/2014/main" id="{0DB64093-9CC3-49B7-80F7-6E924988EF76}"/>
            </a:ext>
          </a:extLst>
        </xdr:cNvPr>
        <xdr:cNvCxnSpPr/>
      </xdr:nvCxnSpPr>
      <xdr:spPr>
        <a:xfrm rot="16200000" flipH="1">
          <a:off x="10287481" y="1638973"/>
          <a:ext cx="10584" cy="98136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150091</xdr:colOff>
      <xdr:row>18</xdr:row>
      <xdr:rowOff>127000</xdr:rowOff>
    </xdr:from>
    <xdr:to>
      <xdr:col>29</xdr:col>
      <xdr:colOff>120265</xdr:colOff>
      <xdr:row>19</xdr:row>
      <xdr:rowOff>116416</xdr:rowOff>
    </xdr:to>
    <xdr:sp macro="" textlink="">
      <xdr:nvSpPr>
        <xdr:cNvPr id="1845" name="5-Point Star 520">
          <a:extLst>
            <a:ext uri="{FF2B5EF4-FFF2-40B4-BE49-F238E27FC236}">
              <a16:creationId xmlns:a16="http://schemas.microsoft.com/office/drawing/2014/main" id="{645E299A-BAE2-4943-8469-04CEEB60596F}"/>
            </a:ext>
          </a:extLst>
        </xdr:cNvPr>
        <xdr:cNvSpPr/>
      </xdr:nvSpPr>
      <xdr:spPr>
        <a:xfrm>
          <a:off x="9686636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150091</xdr:colOff>
      <xdr:row>18</xdr:row>
      <xdr:rowOff>127000</xdr:rowOff>
    </xdr:from>
    <xdr:to>
      <xdr:col>32</xdr:col>
      <xdr:colOff>108720</xdr:colOff>
      <xdr:row>19</xdr:row>
      <xdr:rowOff>116416</xdr:rowOff>
    </xdr:to>
    <xdr:sp macro="" textlink="">
      <xdr:nvSpPr>
        <xdr:cNvPr id="1846" name="5-Point Star 520">
          <a:extLst>
            <a:ext uri="{FF2B5EF4-FFF2-40B4-BE49-F238E27FC236}">
              <a16:creationId xmlns:a16="http://schemas.microsoft.com/office/drawing/2014/main" id="{CABAF36A-DD74-41C6-B8B1-C637CCCE5B08}"/>
            </a:ext>
          </a:extLst>
        </xdr:cNvPr>
        <xdr:cNvSpPr/>
      </xdr:nvSpPr>
      <xdr:spPr>
        <a:xfrm>
          <a:off x="10644909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1847" name="Picture 1846" descr="A black and white symbol&#10;&#10;Description automatically generated">
          <a:extLst>
            <a:ext uri="{FF2B5EF4-FFF2-40B4-BE49-F238E27FC236}">
              <a16:creationId xmlns:a16="http://schemas.microsoft.com/office/drawing/2014/main" id="{0D5065AC-C4FA-4217-9868-8EEC2BA2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727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161637</xdr:colOff>
      <xdr:row>18</xdr:row>
      <xdr:rowOff>161637</xdr:rowOff>
    </xdr:from>
    <xdr:to>
      <xdr:col>35</xdr:col>
      <xdr:colOff>120266</xdr:colOff>
      <xdr:row>19</xdr:row>
      <xdr:rowOff>151053</xdr:rowOff>
    </xdr:to>
    <xdr:sp macro="" textlink="">
      <xdr:nvSpPr>
        <xdr:cNvPr id="1838" name="5-Point Star 520">
          <a:extLst>
            <a:ext uri="{FF2B5EF4-FFF2-40B4-BE49-F238E27FC236}">
              <a16:creationId xmlns:a16="http://schemas.microsoft.com/office/drawing/2014/main" id="{8D57C208-F8ED-4B81-880A-C10A1FBB6108}"/>
            </a:ext>
          </a:extLst>
        </xdr:cNvPr>
        <xdr:cNvSpPr/>
      </xdr:nvSpPr>
      <xdr:spPr>
        <a:xfrm>
          <a:off x="11799455" y="377536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637818" y="18426545"/>
          <a:ext cx="533533" cy="3679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509000" y="22860000"/>
          <a:ext cx="533533" cy="3679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404092</xdr:colOff>
      <xdr:row>26</xdr:row>
      <xdr:rowOff>1</xdr:rowOff>
    </xdr:from>
    <xdr:to>
      <xdr:col>33</xdr:col>
      <xdr:colOff>0</xdr:colOff>
      <xdr:row>27</xdr:row>
      <xdr:rowOff>173183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471728" y="5091546"/>
          <a:ext cx="565727" cy="35791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140195</xdr:colOff>
      <xdr:row>10</xdr:row>
      <xdr:rowOff>123508</xdr:rowOff>
    </xdr:from>
    <xdr:to>
      <xdr:col>20</xdr:col>
      <xdr:colOff>98824</xdr:colOff>
      <xdr:row>11</xdr:row>
      <xdr:rowOff>112924</xdr:rowOff>
    </xdr:to>
    <xdr:sp macro="" textlink="">
      <xdr:nvSpPr>
        <xdr:cNvPr id="1813" name="5-Point Star 520">
          <a:extLst>
            <a:ext uri="{FF2B5EF4-FFF2-40B4-BE49-F238E27FC236}">
              <a16:creationId xmlns:a16="http://schemas.microsoft.com/office/drawing/2014/main" id="{C8C93300-4168-43C9-A3D5-E7B2FF1A0B5D}"/>
            </a:ext>
          </a:extLst>
        </xdr:cNvPr>
        <xdr:cNvSpPr/>
      </xdr:nvSpPr>
      <xdr:spPr>
        <a:xfrm>
          <a:off x="6647077" y="227503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135854</xdr:colOff>
      <xdr:row>10</xdr:row>
      <xdr:rowOff>99331</xdr:rowOff>
    </xdr:from>
    <xdr:to>
      <xdr:col>23</xdr:col>
      <xdr:colOff>94483</xdr:colOff>
      <xdr:row>11</xdr:row>
      <xdr:rowOff>88747</xdr:rowOff>
    </xdr:to>
    <xdr:sp macro="" textlink="">
      <xdr:nvSpPr>
        <xdr:cNvPr id="1816" name="5-Point Star 520">
          <a:extLst>
            <a:ext uri="{FF2B5EF4-FFF2-40B4-BE49-F238E27FC236}">
              <a16:creationId xmlns:a16="http://schemas.microsoft.com/office/drawing/2014/main" id="{BFCE3ED7-63AA-42EC-B7B9-A472898727B4}"/>
            </a:ext>
          </a:extLst>
        </xdr:cNvPr>
        <xdr:cNvSpPr/>
      </xdr:nvSpPr>
      <xdr:spPr>
        <a:xfrm>
          <a:off x="7554148" y="2250860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136898</xdr:colOff>
      <xdr:row>10</xdr:row>
      <xdr:rowOff>147162</xdr:rowOff>
    </xdr:from>
    <xdr:to>
      <xdr:col>26</xdr:col>
      <xdr:colOff>95528</xdr:colOff>
      <xdr:row>11</xdr:row>
      <xdr:rowOff>136578</xdr:rowOff>
    </xdr:to>
    <xdr:sp macro="" textlink="">
      <xdr:nvSpPr>
        <xdr:cNvPr id="1817" name="5-Point Star 520">
          <a:extLst>
            <a:ext uri="{FF2B5EF4-FFF2-40B4-BE49-F238E27FC236}">
              <a16:creationId xmlns:a16="http://schemas.microsoft.com/office/drawing/2014/main" id="{4284C079-017D-4AD5-8BDA-CC54D92B488B}"/>
            </a:ext>
          </a:extLst>
        </xdr:cNvPr>
        <xdr:cNvSpPr/>
      </xdr:nvSpPr>
      <xdr:spPr>
        <a:xfrm>
          <a:off x="8653369" y="2298691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129428</xdr:colOff>
      <xdr:row>10</xdr:row>
      <xdr:rowOff>128868</xdr:rowOff>
    </xdr:from>
    <xdr:to>
      <xdr:col>32</xdr:col>
      <xdr:colOff>88057</xdr:colOff>
      <xdr:row>11</xdr:row>
      <xdr:rowOff>118284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24CE16FE-626B-4E5A-A76F-AF5CE0FB0711}"/>
            </a:ext>
          </a:extLst>
        </xdr:cNvPr>
        <xdr:cNvSpPr/>
      </xdr:nvSpPr>
      <xdr:spPr>
        <a:xfrm>
          <a:off x="10648016" y="228039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0</xdr:colOff>
      <xdr:row>134</xdr:row>
      <xdr:rowOff>0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FC1E8155-FB65-4E2F-AC8C-39788CAA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182" y="2507672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KG%20F%20Progress%20DPR-TB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entative%20work%20plan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DN"/>
      <sheetName val="Erection"/>
      <sheetName val="Analysis"/>
      <sheetName val="Sheet1"/>
    </sheetNames>
    <sheetDataSet>
      <sheetData sheetId="0"/>
      <sheetData sheetId="1">
        <row r="1">
          <cell r="H1">
            <v>2188.230834</v>
          </cell>
          <cell r="I1">
            <v>2.2045504119999988</v>
          </cell>
          <cell r="J1"/>
        </row>
        <row r="2">
          <cell r="F2" t="str">
            <v>Location No</v>
          </cell>
          <cell r="G2" t="str">
            <v>Tower Type</v>
          </cell>
          <cell r="H2" t="str">
            <v>MT</v>
          </cell>
          <cell r="I2" t="str">
            <v>Rev</v>
          </cell>
          <cell r="J2"/>
        </row>
        <row r="3">
          <cell r="F3" t="str">
            <v>24/1</v>
          </cell>
          <cell r="G3" t="str">
            <v>DA+0</v>
          </cell>
          <cell r="H3">
            <v>36.159756000000002</v>
          </cell>
          <cell r="I3">
            <v>363769.59999999998</v>
          </cell>
          <cell r="J3">
            <v>3.6376959999999996</v>
          </cell>
        </row>
        <row r="4">
          <cell r="F4" t="str">
            <v>24/2</v>
          </cell>
          <cell r="G4" t="str">
            <v>DA+0</v>
          </cell>
          <cell r="H4">
            <v>36.159756000000002</v>
          </cell>
          <cell r="I4">
            <v>363769.59999999998</v>
          </cell>
          <cell r="J4">
            <v>3.6376959999999996</v>
          </cell>
        </row>
        <row r="5">
          <cell r="F5" t="str">
            <v>24/3</v>
          </cell>
          <cell r="G5" t="str">
            <v>DA+6</v>
          </cell>
          <cell r="H5">
            <v>43.8</v>
          </cell>
          <cell r="I5">
            <v>440668.24000000005</v>
          </cell>
          <cell r="J5">
            <v>4.4066824000000002</v>
          </cell>
        </row>
        <row r="6">
          <cell r="F6" t="str">
            <v>21/1</v>
          </cell>
          <cell r="G6" t="str">
            <v>DA(-)3</v>
          </cell>
          <cell r="H6">
            <v>34.79</v>
          </cell>
          <cell r="I6">
            <v>349987.39999999997</v>
          </cell>
          <cell r="J6">
            <v>3.4998739999999997</v>
          </cell>
        </row>
        <row r="7">
          <cell r="F7" t="str">
            <v>21/2</v>
          </cell>
          <cell r="G7" t="str">
            <v>DA+0</v>
          </cell>
          <cell r="H7">
            <v>36.159756000000002</v>
          </cell>
          <cell r="I7">
            <v>363769.59999999998</v>
          </cell>
          <cell r="J7">
            <v>3.6376959999999996</v>
          </cell>
        </row>
        <row r="8">
          <cell r="F8" t="str">
            <v>13/5</v>
          </cell>
          <cell r="G8" t="str">
            <v>DA+0</v>
          </cell>
          <cell r="H8">
            <v>36.159756000000002</v>
          </cell>
          <cell r="I8">
            <v>363769.59999999998</v>
          </cell>
          <cell r="J8">
            <v>3.6376959999999996</v>
          </cell>
        </row>
        <row r="9">
          <cell r="F9" t="str">
            <v>24/4</v>
          </cell>
          <cell r="G9" t="str">
            <v>DA(-)3</v>
          </cell>
          <cell r="H9">
            <v>34.79</v>
          </cell>
          <cell r="I9">
            <v>349987.39999999997</v>
          </cell>
          <cell r="J9">
            <v>3.4998739999999997</v>
          </cell>
        </row>
        <row r="10">
          <cell r="F10" t="str">
            <v>24/5</v>
          </cell>
          <cell r="G10" t="str">
            <v>DA(-)3</v>
          </cell>
          <cell r="H10">
            <v>34.79</v>
          </cell>
          <cell r="I10">
            <v>349987.39999999997</v>
          </cell>
          <cell r="J10">
            <v>3.4998739999999997</v>
          </cell>
        </row>
        <row r="11">
          <cell r="F11" t="str">
            <v>34/2</v>
          </cell>
          <cell r="G11" t="str">
            <v>DA(-)3</v>
          </cell>
          <cell r="H11">
            <v>34.79</v>
          </cell>
          <cell r="I11">
            <v>349987.39999999997</v>
          </cell>
          <cell r="J11">
            <v>3.4998739999999997</v>
          </cell>
        </row>
        <row r="12">
          <cell r="F12" t="str">
            <v>63/3</v>
          </cell>
          <cell r="G12" t="str">
            <v>DA(-)3</v>
          </cell>
          <cell r="H12">
            <v>34.79</v>
          </cell>
          <cell r="I12">
            <v>349987.39999999997</v>
          </cell>
          <cell r="J12">
            <v>3.4998739999999997</v>
          </cell>
        </row>
        <row r="13">
          <cell r="F13" t="str">
            <v>63/2</v>
          </cell>
          <cell r="G13" t="str">
            <v>DA(-)3</v>
          </cell>
          <cell r="H13">
            <v>34.79</v>
          </cell>
          <cell r="I13">
            <v>349987.39999999997</v>
          </cell>
          <cell r="J13">
            <v>3.4998739999999997</v>
          </cell>
        </row>
        <row r="14">
          <cell r="F14" t="str">
            <v>36/1</v>
          </cell>
          <cell r="G14" t="str">
            <v>DA+0</v>
          </cell>
          <cell r="H14">
            <v>36.159756000000002</v>
          </cell>
          <cell r="I14">
            <v>363769.59999999998</v>
          </cell>
          <cell r="J14">
            <v>3.6376959999999996</v>
          </cell>
        </row>
        <row r="15">
          <cell r="F15" t="str">
            <v>36/8</v>
          </cell>
          <cell r="G15" t="str">
            <v>DA+0</v>
          </cell>
          <cell r="H15">
            <v>36.159756000000002</v>
          </cell>
          <cell r="I15">
            <v>363769.59999999998</v>
          </cell>
          <cell r="J15">
            <v>3.6376959999999996</v>
          </cell>
        </row>
        <row r="16">
          <cell r="F16" t="str">
            <v>39/10</v>
          </cell>
          <cell r="G16" t="str">
            <v>DA+0</v>
          </cell>
          <cell r="H16">
            <v>36.159756000000002</v>
          </cell>
          <cell r="I16">
            <v>363769.59999999998</v>
          </cell>
          <cell r="J16">
            <v>3.6376959999999996</v>
          </cell>
        </row>
        <row r="17">
          <cell r="F17" t="str">
            <v>39/11</v>
          </cell>
          <cell r="G17" t="str">
            <v>DA+3</v>
          </cell>
          <cell r="H17">
            <v>37.93</v>
          </cell>
          <cell r="I17">
            <v>381585.86</v>
          </cell>
          <cell r="J17">
            <v>3.8158585999999999</v>
          </cell>
        </row>
        <row r="18">
          <cell r="F18" t="str">
            <v>46A/2</v>
          </cell>
          <cell r="G18" t="str">
            <v>DA(-)3</v>
          </cell>
          <cell r="H18">
            <v>34.79</v>
          </cell>
          <cell r="I18">
            <v>349987.39999999997</v>
          </cell>
          <cell r="J18">
            <v>3.4998739999999997</v>
          </cell>
        </row>
        <row r="19">
          <cell r="F19" t="str">
            <v>46A/3</v>
          </cell>
          <cell r="G19" t="str">
            <v>DA(-)3</v>
          </cell>
          <cell r="H19">
            <v>34.79</v>
          </cell>
          <cell r="I19">
            <v>349987.39999999997</v>
          </cell>
          <cell r="J19">
            <v>3.4998739999999997</v>
          </cell>
        </row>
        <row r="20">
          <cell r="F20" t="str">
            <v>41/7</v>
          </cell>
          <cell r="G20" t="str">
            <v>DA+6</v>
          </cell>
          <cell r="H20">
            <v>43.8</v>
          </cell>
          <cell r="I20">
            <v>440668.24000000005</v>
          </cell>
          <cell r="J20">
            <v>4.4066824000000002</v>
          </cell>
        </row>
        <row r="21">
          <cell r="F21" t="str">
            <v>41/3</v>
          </cell>
          <cell r="G21" t="str">
            <v>DA+1.5</v>
          </cell>
          <cell r="H21">
            <v>37.138323999999997</v>
          </cell>
          <cell r="I21">
            <v>373608.27999999997</v>
          </cell>
          <cell r="J21">
            <v>3.7360827999999997</v>
          </cell>
        </row>
        <row r="22">
          <cell r="F22" t="str">
            <v>65/1</v>
          </cell>
          <cell r="G22" t="str">
            <v>DA(-)1.5</v>
          </cell>
          <cell r="H22">
            <v>35.6</v>
          </cell>
          <cell r="I22">
            <v>358156.12</v>
          </cell>
          <cell r="J22">
            <v>3.5815611999999999</v>
          </cell>
        </row>
        <row r="23">
          <cell r="F23" t="str">
            <v>65/3</v>
          </cell>
          <cell r="G23" t="str">
            <v>DA+6</v>
          </cell>
          <cell r="H23">
            <v>43.8</v>
          </cell>
          <cell r="I23">
            <v>440668.24000000005</v>
          </cell>
          <cell r="J23">
            <v>4.4066824000000002</v>
          </cell>
        </row>
        <row r="24">
          <cell r="F24" t="str">
            <v>65/4</v>
          </cell>
          <cell r="G24" t="str">
            <v>DA(-)1.5</v>
          </cell>
          <cell r="H24">
            <v>35.6</v>
          </cell>
          <cell r="I24">
            <v>358156.12</v>
          </cell>
          <cell r="J24">
            <v>3.5815611999999999</v>
          </cell>
        </row>
        <row r="25">
          <cell r="F25" t="str">
            <v>65/5</v>
          </cell>
          <cell r="G25" t="str">
            <v>DA(-)3</v>
          </cell>
          <cell r="H25">
            <v>34.79</v>
          </cell>
          <cell r="I25">
            <v>349987.39999999997</v>
          </cell>
          <cell r="J25">
            <v>3.4998739999999997</v>
          </cell>
        </row>
        <row r="26">
          <cell r="F26" t="str">
            <v>67/1</v>
          </cell>
          <cell r="G26" t="str">
            <v>DA(-)3</v>
          </cell>
          <cell r="H26">
            <v>34.79</v>
          </cell>
          <cell r="I26">
            <v>349987.39999999997</v>
          </cell>
          <cell r="J26">
            <v>3.4998739999999997</v>
          </cell>
        </row>
        <row r="27">
          <cell r="F27" t="str">
            <v>67/2</v>
          </cell>
          <cell r="G27" t="str">
            <v>DA(-)3</v>
          </cell>
          <cell r="H27">
            <v>34.79</v>
          </cell>
          <cell r="I27">
            <v>349987.39999999997</v>
          </cell>
          <cell r="J27">
            <v>3.4998739999999997</v>
          </cell>
        </row>
        <row r="28">
          <cell r="F28" t="str">
            <v>47/3</v>
          </cell>
          <cell r="G28" t="str">
            <v>DA+0</v>
          </cell>
          <cell r="H28">
            <v>36.159756000000002</v>
          </cell>
          <cell r="I28">
            <v>363769.59999999998</v>
          </cell>
          <cell r="J28">
            <v>3.6376959999999996</v>
          </cell>
        </row>
        <row r="29">
          <cell r="F29" t="str">
            <v>47/4</v>
          </cell>
          <cell r="G29" t="str">
            <v>DA+3</v>
          </cell>
          <cell r="H29">
            <v>37.93</v>
          </cell>
          <cell r="I29">
            <v>381585.86</v>
          </cell>
          <cell r="J29">
            <v>3.8158585999999999</v>
          </cell>
        </row>
        <row r="30">
          <cell r="F30" t="str">
            <v>48/3</v>
          </cell>
          <cell r="G30" t="str">
            <v>DA+3</v>
          </cell>
          <cell r="H30">
            <v>37.93</v>
          </cell>
          <cell r="I30">
            <v>381585.86</v>
          </cell>
          <cell r="J30">
            <v>3.8158585999999999</v>
          </cell>
        </row>
        <row r="31">
          <cell r="F31" t="str">
            <v>49/2</v>
          </cell>
          <cell r="G31" t="str">
            <v>DA+0</v>
          </cell>
          <cell r="H31">
            <v>36.159756000000002</v>
          </cell>
          <cell r="I31">
            <v>363769.59999999998</v>
          </cell>
          <cell r="J31">
            <v>3.6376959999999996</v>
          </cell>
        </row>
        <row r="32">
          <cell r="F32" t="str">
            <v>41/1</v>
          </cell>
          <cell r="G32" t="str">
            <v>DA+6</v>
          </cell>
          <cell r="H32">
            <v>43.8</v>
          </cell>
          <cell r="I32">
            <v>440668.24000000005</v>
          </cell>
          <cell r="J32">
            <v>4.4066824000000002</v>
          </cell>
        </row>
        <row r="33">
          <cell r="F33" t="str">
            <v>41/2</v>
          </cell>
          <cell r="G33" t="str">
            <v>DA(-)1.5</v>
          </cell>
          <cell r="H33">
            <v>35.6</v>
          </cell>
          <cell r="I33">
            <v>358156.12</v>
          </cell>
          <cell r="J33">
            <v>3.5815611999999999</v>
          </cell>
        </row>
        <row r="34">
          <cell r="F34" t="str">
            <v>41/4</v>
          </cell>
          <cell r="G34" t="str">
            <v>DA+3</v>
          </cell>
          <cell r="H34">
            <v>37.93</v>
          </cell>
          <cell r="I34">
            <v>381585.86</v>
          </cell>
          <cell r="J34">
            <v>3.8158585999999999</v>
          </cell>
        </row>
        <row r="35">
          <cell r="F35" t="str">
            <v>41/5</v>
          </cell>
          <cell r="G35" t="str">
            <v>DA+0</v>
          </cell>
          <cell r="H35">
            <v>36.159756000000002</v>
          </cell>
          <cell r="I35">
            <v>363769.59999999998</v>
          </cell>
          <cell r="J35">
            <v>3.6376959999999996</v>
          </cell>
        </row>
        <row r="36">
          <cell r="F36" t="str">
            <v>38/6</v>
          </cell>
          <cell r="G36" t="str">
            <v>DA(-)3</v>
          </cell>
          <cell r="H36">
            <v>34.79</v>
          </cell>
          <cell r="I36">
            <v>349987.39999999997</v>
          </cell>
          <cell r="J36">
            <v>3.4998739999999997</v>
          </cell>
        </row>
        <row r="37">
          <cell r="F37" t="str">
            <v>39/5</v>
          </cell>
          <cell r="G37" t="str">
            <v>DA+0</v>
          </cell>
          <cell r="H37">
            <v>36.159756000000002</v>
          </cell>
          <cell r="I37">
            <v>363769.59999999998</v>
          </cell>
          <cell r="J37">
            <v>3.6376959999999996</v>
          </cell>
        </row>
        <row r="38">
          <cell r="F38" t="str">
            <v>39/7</v>
          </cell>
          <cell r="G38" t="str">
            <v>DA+0</v>
          </cell>
          <cell r="H38">
            <v>36.159756000000002</v>
          </cell>
          <cell r="I38">
            <v>363769.59999999998</v>
          </cell>
          <cell r="J38">
            <v>3.6376959999999996</v>
          </cell>
        </row>
        <row r="39">
          <cell r="F39" t="str">
            <v>21/0</v>
          </cell>
          <cell r="G39" t="str">
            <v>DC2+0</v>
          </cell>
          <cell r="H39">
            <v>67.260000000000005</v>
          </cell>
          <cell r="I39">
            <v>676655.72</v>
          </cell>
          <cell r="J39">
            <v>6.7665571999999994</v>
          </cell>
        </row>
        <row r="40">
          <cell r="F40" t="str">
            <v>46A/0</v>
          </cell>
          <cell r="G40" t="str">
            <v>DC1+0</v>
          </cell>
          <cell r="H40">
            <v>62.44</v>
          </cell>
          <cell r="I40">
            <v>628186.64</v>
          </cell>
          <cell r="J40">
            <v>6.2818664000000002</v>
          </cell>
        </row>
        <row r="41">
          <cell r="F41" t="str">
            <v>39/6</v>
          </cell>
          <cell r="G41" t="str">
            <v>DC2+0</v>
          </cell>
          <cell r="H41">
            <v>67.260000000000005</v>
          </cell>
          <cell r="I41">
            <v>676655.72</v>
          </cell>
          <cell r="J41">
            <v>6.7665571999999994</v>
          </cell>
        </row>
        <row r="42">
          <cell r="F42" t="str">
            <v>35/0</v>
          </cell>
          <cell r="G42" t="str">
            <v>DB2+3</v>
          </cell>
          <cell r="H42">
            <v>62.1</v>
          </cell>
          <cell r="I42">
            <v>624886.96</v>
          </cell>
          <cell r="J42">
            <v>6.2488695999999999</v>
          </cell>
        </row>
        <row r="43">
          <cell r="F43" t="str">
            <v>29/0</v>
          </cell>
          <cell r="G43" t="str">
            <v>DD45+18</v>
          </cell>
          <cell r="H43">
            <v>110.62602199999999</v>
          </cell>
          <cell r="I43">
            <v>1112887.5</v>
          </cell>
          <cell r="J43">
            <v>11.128875000000001</v>
          </cell>
        </row>
        <row r="44">
          <cell r="F44" t="str">
            <v>31/0</v>
          </cell>
          <cell r="G44" t="str">
            <v>DD60+0</v>
          </cell>
          <cell r="H44">
            <v>83.13</v>
          </cell>
          <cell r="I44">
            <v>836328.04</v>
          </cell>
          <cell r="J44">
            <v>8.3632804000000007</v>
          </cell>
        </row>
        <row r="45">
          <cell r="F45" t="str">
            <v>28/0</v>
          </cell>
          <cell r="G45" t="str">
            <v>DD45+6</v>
          </cell>
          <cell r="H45">
            <v>85.506823999999995</v>
          </cell>
          <cell r="I45">
            <v>889988.08000000007</v>
          </cell>
          <cell r="J45">
            <v>8.8998808</v>
          </cell>
        </row>
        <row r="46">
          <cell r="F46" t="str">
            <v>32/0</v>
          </cell>
          <cell r="G46" t="str">
            <v>DD60+9</v>
          </cell>
          <cell r="H46">
            <v>101.95259200000001</v>
          </cell>
          <cell r="I46">
            <v>1025647.18</v>
          </cell>
          <cell r="J46">
            <v>10.2564718</v>
          </cell>
        </row>
        <row r="47">
          <cell r="F47" t="str">
            <v>53A/0</v>
          </cell>
          <cell r="G47" t="str">
            <v>DB1(-)1.5</v>
          </cell>
          <cell r="H47">
            <v>55.4</v>
          </cell>
          <cell r="I47">
            <v>557837.06000000006</v>
          </cell>
          <cell r="J47">
            <v>5.5783706000000004</v>
          </cell>
        </row>
        <row r="48">
          <cell r="F48" t="str">
            <v>53B/0</v>
          </cell>
          <cell r="G48" t="str">
            <v>DB2(-)1.5</v>
          </cell>
          <cell r="H48">
            <v>59.5</v>
          </cell>
          <cell r="I48">
            <v>598580.05999999994</v>
          </cell>
          <cell r="J48">
            <v>5.9858005999999992</v>
          </cell>
        </row>
        <row r="49">
          <cell r="F49" t="str">
            <v>48/0</v>
          </cell>
          <cell r="G49" t="str">
            <v>DB1+0</v>
          </cell>
          <cell r="H49">
            <v>55.4</v>
          </cell>
          <cell r="I49">
            <v>557837.06000000006</v>
          </cell>
          <cell r="J49">
            <v>5.5783706000000004</v>
          </cell>
        </row>
        <row r="50">
          <cell r="F50" t="str">
            <v>5/0</v>
          </cell>
          <cell r="G50" t="str">
            <v>DB1+0</v>
          </cell>
          <cell r="H50">
            <v>55.4</v>
          </cell>
          <cell r="I50">
            <v>557837.06000000006</v>
          </cell>
          <cell r="J50">
            <v>5.5783706000000004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8268055553" createdVersion="7" refreshedVersion="7" minRefreshableVersion="3" recordCount="8" xr:uid="{34776822-DBFE-4A7B-94DD-512EFB4E900B}">
  <cacheSource type="worksheet">
    <worksheetSource ref="E2:F10" sheet="Sheet2"/>
  </cacheSource>
  <cacheFields count="2">
    <cacheField name="WK" numFmtId="0">
      <sharedItems count="4">
        <s v="W2"/>
        <s v="W1"/>
        <s v="W4"/>
        <s v="W3"/>
      </sharedItems>
    </cacheField>
    <cacheField name="Rev" numFmtId="0">
      <sharedItems containsSemiMixedTypes="0" containsString="0" containsNumber="1" minValue="5.4959937183199994" maxValue="31.68171571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9615972219" createdVersion="7" refreshedVersion="7" minRefreshableVersion="3" recordCount="29" xr:uid="{D697680D-07DC-4074-A662-4F5ADAB06CC8}">
  <cacheSource type="worksheet">
    <worksheetSource ref="E14:G43" sheet="Sheet2"/>
  </cacheSource>
  <cacheFields count="3">
    <cacheField name="WK" numFmtId="0">
      <sharedItems count="4">
        <s v="W3"/>
        <s v="W1"/>
        <s v="W2"/>
        <s v="W4"/>
      </sharedItems>
    </cacheField>
    <cacheField name="Rev" numFmtId="0">
      <sharedItems containsSemiMixedTypes="0" containsString="0" containsNumber="1" minValue="3.4998739999999997" maxValue="11.128875000000001"/>
    </cacheField>
    <cacheField name="MT" numFmtId="0">
      <sharedItems containsSemiMixedTypes="0" containsString="0" containsNumber="1" minValue="34.79" maxValue="110.6260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71.502037152779" createdVersion="7" refreshedVersion="7" minRefreshableVersion="3" recordCount="210" xr:uid="{49F84DCB-ED89-4499-9EDD-7DE695DFB1AD}">
  <cacheSource type="worksheet">
    <worksheetSource ref="A2:M212" sheet="ERECTION"/>
  </cacheSource>
  <cacheFields count="13">
    <cacheField name="SL NO." numFmtId="0">
      <sharedItems containsSemiMixedTypes="0" containsString="0" containsNumber="1" containsInteger="1" minValue="1" maxValue="211"/>
    </cacheField>
    <cacheField name="LOC No. " numFmtId="0">
      <sharedItems/>
    </cacheField>
    <cacheField name="Tower Type" numFmtId="0">
      <sharedItems/>
    </cacheField>
    <cacheField name="WK" numFmtId="0">
      <sharedItems containsBlank="1"/>
    </cacheField>
    <cacheField name="Rev" numFmtId="0">
      <sharedItems containsString="0" containsBlank="1" containsNumber="1" minValue="3.4998739999999997" maxValue="11.128875000000001"/>
    </cacheField>
    <cacheField name="MT" numFmtId="0">
      <sharedItems containsString="0" containsBlank="1" containsNumber="1" minValue="34.79" maxValue="110.62602199999999"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5">
        <s v="COMPLETED "/>
        <s v="COMPLETED  "/>
        <s v="1st section u/p"/>
        <s v="Material shifting "/>
        <s v="Cross arm u/p" u="1"/>
      </sharedItems>
    </cacheField>
    <cacheField name="STARTING DATE" numFmtId="14">
      <sharedItems containsDate="1" containsMixedTypes="1" minDate="2025-05-27T00:00:00" maxDate="2026-05-28T00:00:00"/>
    </cacheField>
    <cacheField name="ENDING DATE " numFmtId="0">
      <sharedItems containsDate="1" containsBlank="1" containsMixedTypes="1" minDate="2025-09-03T00:00:00" maxDate="2026-05-28T00:00:00"/>
    </cacheField>
    <cacheField name="Work starting month" numFmtId="0">
      <sharedItems/>
    </cacheField>
    <cacheField name="Work completion Month" numFmtId="0">
      <sharedItems containsBlank="1"/>
    </cacheField>
    <cacheField name="Sub-Contr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82.65901087963" createdVersion="7" refreshedVersion="7" minRefreshableVersion="3" recordCount="274" xr:uid="{D3A9AA45-E82A-4AA5-8E46-7D46112B4381}">
  <cacheSource type="worksheet">
    <worksheetSource ref="A2:N276" sheet="FOUNDATION"/>
  </cacheSource>
  <cacheFields count="14">
    <cacheField name="SL NO." numFmtId="0">
      <sharedItems containsSemiMixedTypes="0" containsString="0" containsNumber="1" containsInteger="1" minValue="1" maxValue="274"/>
    </cacheField>
    <cacheField name="LOC No. " numFmtId="0">
      <sharedItems/>
    </cacheField>
    <cacheField name="District wise 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WK" numFmtId="0">
      <sharedItems containsBlank="1"/>
    </cacheField>
    <cacheField name="Rev" numFmtId="0">
      <sharedItems containsString="0" containsBlank="1" containsNumber="1" minValue="5.4959937183199994" maxValue="31.681715710000002"/>
    </cacheField>
    <cacheField name="MT" numFmtId="0">
      <sharedItems containsNonDate="0" containsString="0" containsBlank="1"/>
    </cacheField>
    <cacheField name="STATUS " numFmtId="0">
      <sharedItems count="5">
        <s v="COMPLETED"/>
        <s v="COMPLETED  "/>
        <s v="No Progress (Water pipe line)"/>
        <s v="ROW"/>
        <s v="Excavation u/p"/>
      </sharedItems>
    </cacheField>
    <cacheField name="STARTING DATE" numFmtId="0">
      <sharedItems containsDate="1" containsBlank="1" containsMixedTypes="1" minDate="2025-05-14T00:00:00" maxDate="2026-06-07T00:00:00"/>
    </cacheField>
    <cacheField name="ENDING DATE " numFmtId="0">
      <sharedItems containsDate="1" containsBlank="1" containsMixedTypes="1" minDate="2025-01-01T00:00:00" maxDate="2026-06-08T00:00:00"/>
    </cacheField>
    <cacheField name="Work started month" numFmtId="0">
      <sharedItems containsBlank="1"/>
    </cacheField>
    <cacheField name="Completed month" numFmtId="0">
      <sharedItems containsBlank="1"/>
    </cacheField>
    <cacheField name="Sub-Contra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5.4959937183199994"/>
  </r>
  <r>
    <x v="1"/>
    <n v="16.938269999999999"/>
  </r>
  <r>
    <x v="2"/>
    <n v="26.745646600000001"/>
  </r>
  <r>
    <x v="0"/>
    <n v="26.7446269"/>
  </r>
  <r>
    <x v="3"/>
    <n v="31.681715710000002"/>
  </r>
  <r>
    <x v="2"/>
    <n v="19.31312149"/>
  </r>
  <r>
    <x v="2"/>
    <n v="17.270996950000001"/>
  </r>
  <r>
    <x v="3"/>
    <n v="7.23716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.3684469999999997"/>
    <n v="73.244547999999995"/>
  </r>
  <r>
    <x v="1"/>
    <n v="5.5783706000000004"/>
    <n v="55.4"/>
  </r>
  <r>
    <x v="2"/>
    <n v="11.128875000000001"/>
    <n v="110.62602199999999"/>
  </r>
  <r>
    <x v="2"/>
    <n v="10.2564718"/>
    <n v="101.95259200000001"/>
  </r>
  <r>
    <x v="1"/>
    <n v="3.6376959999999996"/>
    <n v="36.159756000000002"/>
  </r>
  <r>
    <x v="2"/>
    <n v="3.8158585999999999"/>
    <n v="37.931088000000003"/>
  </r>
  <r>
    <x v="2"/>
    <n v="6.2818664000000002"/>
    <n v="62.44"/>
  </r>
  <r>
    <x v="1"/>
    <n v="3.5815611999999999"/>
    <n v="35.6"/>
  </r>
  <r>
    <x v="2"/>
    <n v="8.3632804000000007"/>
    <n v="83.13"/>
  </r>
  <r>
    <x v="1"/>
    <n v="3.4998739999999997"/>
    <n v="34.79"/>
  </r>
  <r>
    <x v="0"/>
    <n v="3.6376959999999996"/>
    <n v="36.159756000000002"/>
  </r>
  <r>
    <x v="1"/>
    <n v="3.4998739999999997"/>
    <n v="34.79"/>
  </r>
  <r>
    <x v="2"/>
    <n v="3.6376959999999996"/>
    <n v="36.159756000000002"/>
  </r>
  <r>
    <x v="2"/>
    <n v="3.4998739999999997"/>
    <n v="34.79"/>
  </r>
  <r>
    <x v="2"/>
    <n v="3.6376959999999996"/>
    <n v="36.159756000000002"/>
  </r>
  <r>
    <x v="0"/>
    <n v="3.4998739999999997"/>
    <n v="34.79"/>
  </r>
  <r>
    <x v="0"/>
    <n v="4.4066824000000002"/>
    <n v="43.8"/>
  </r>
  <r>
    <x v="0"/>
    <n v="3.6376959999999996"/>
    <n v="36.159756000000002"/>
  </r>
  <r>
    <x v="0"/>
    <n v="3.4998739999999997"/>
    <n v="34.79"/>
  </r>
  <r>
    <x v="3"/>
    <n v="8.8998808"/>
    <n v="85.506823999999995"/>
  </r>
  <r>
    <x v="0"/>
    <n v="3.4998739999999997"/>
    <n v="34.79"/>
  </r>
  <r>
    <x v="3"/>
    <n v="3.8158585999999999"/>
    <n v="37.931088000000003"/>
  </r>
  <r>
    <x v="0"/>
    <n v="3.6376959999999996"/>
    <n v="36.159756000000002"/>
  </r>
  <r>
    <x v="3"/>
    <n v="3.4998739999999997"/>
    <n v="34.79"/>
  </r>
  <r>
    <x v="3"/>
    <n v="3.6376959999999996"/>
    <n v="36.159756000000002"/>
  </r>
  <r>
    <x v="3"/>
    <n v="3.8158585999999999"/>
    <n v="37.931088000000003"/>
  </r>
  <r>
    <x v="3"/>
    <n v="3.6376959999999996"/>
    <n v="36.159756000000002"/>
  </r>
  <r>
    <x v="3"/>
    <n v="6.7665571999999994"/>
    <n v="67.261728000000005"/>
  </r>
  <r>
    <x v="3"/>
    <n v="3.8158585999999999"/>
    <n v="37.9310880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"/>
    <s v="16/4"/>
    <s v="DA+0"/>
    <m/>
    <m/>
    <m/>
    <x v="0"/>
    <x v="0"/>
    <s v="22/08/2025"/>
    <d v="2025-09-03T00:00:00"/>
    <s v="Aug'25"/>
    <s v="Sep'25"/>
    <s v="DEVI CONST.-I"/>
  </r>
  <r>
    <n v="2"/>
    <s v="13/2"/>
    <s v="DA+0"/>
    <m/>
    <m/>
    <m/>
    <x v="0"/>
    <x v="0"/>
    <s v="22/08/2025"/>
    <s v="15.09.2025"/>
    <s v="Aug'25"/>
    <s v="Sep'25"/>
    <s v="DEONATH MAHATO "/>
  </r>
  <r>
    <n v="3"/>
    <s v="8/5"/>
    <s v="DA+0"/>
    <m/>
    <m/>
    <m/>
    <x v="0"/>
    <x v="0"/>
    <s v="25/08/2025"/>
    <s v="08.09.2025"/>
    <s v="Aug'25"/>
    <s v="Sep'25"/>
    <s v="JAWALA SINGH "/>
  </r>
  <r>
    <n v="4"/>
    <s v="12/6"/>
    <s v="DA+0"/>
    <m/>
    <m/>
    <m/>
    <x v="0"/>
    <x v="0"/>
    <s v="25/08/2025"/>
    <s v="18.09.2025"/>
    <s v="Aug'25"/>
    <s v="Sep'25"/>
    <s v="MODINA INDIA  "/>
  </r>
  <r>
    <n v="5"/>
    <s v="12/1"/>
    <s v="DA+3"/>
    <m/>
    <m/>
    <m/>
    <x v="0"/>
    <x v="0"/>
    <s v="02.09.2025"/>
    <s v="23.09.2025"/>
    <s v="Sep'25"/>
    <s v="Sep'25"/>
    <s v="OM CONSTRUCTION"/>
  </r>
  <r>
    <n v="6"/>
    <s v="15/2"/>
    <s v="DA+3"/>
    <m/>
    <m/>
    <m/>
    <x v="0"/>
    <x v="0"/>
    <s v="02.09.2025"/>
    <s v="12.09.2025"/>
    <s v="Sep'25"/>
    <s v="Sep'25"/>
    <s v="HEMLAL MAHATO-I (Anita Devi)"/>
  </r>
  <r>
    <n v="7"/>
    <s v="20/1"/>
    <s v="DA(-)3"/>
    <m/>
    <m/>
    <m/>
    <x v="0"/>
    <x v="0"/>
    <s v="07.09.2025"/>
    <s v="14.09.2025"/>
    <s v="Sep'25"/>
    <s v="Sep'25"/>
    <s v="DEVI CONST.-I"/>
  </r>
  <r>
    <n v="8"/>
    <s v="16/1"/>
    <s v="DA+0"/>
    <m/>
    <m/>
    <m/>
    <x v="0"/>
    <x v="0"/>
    <s v="07.09.2025"/>
    <s v="12.09.2025"/>
    <s v="Sep'25"/>
    <s v="Sep'25"/>
    <s v="DEVI CONST.-II"/>
  </r>
  <r>
    <n v="9"/>
    <s v="8/6"/>
    <s v="DA+0"/>
    <m/>
    <m/>
    <m/>
    <x v="0"/>
    <x v="0"/>
    <s v="25/08/2025"/>
    <s v="14.09.2025"/>
    <s v="Aug'25"/>
    <s v="Sep'25"/>
    <s v="JAWALA SINGH "/>
  </r>
  <r>
    <n v="10"/>
    <s v="13/4"/>
    <s v="DA(-)3"/>
    <m/>
    <m/>
    <m/>
    <x v="0"/>
    <x v="0"/>
    <s v="13.09.2025"/>
    <s v="27.09.2025"/>
    <s v="Sep'25"/>
    <s v="Sep'25"/>
    <s v="DEONATH MAHATO "/>
  </r>
  <r>
    <n v="11"/>
    <s v="15/5"/>
    <s v="DA(-)3"/>
    <m/>
    <m/>
    <m/>
    <x v="0"/>
    <x v="0"/>
    <s v="11.09.2025"/>
    <s v="19.09.2025"/>
    <s v="Sep'25"/>
    <s v="Sep'25"/>
    <s v="HEMLAL MAHATO-I (Anita Devi)"/>
  </r>
  <r>
    <n v="12"/>
    <s v="16/8"/>
    <s v="DA(-)3"/>
    <m/>
    <m/>
    <m/>
    <x v="0"/>
    <x v="0"/>
    <s v="13.09.2025"/>
    <s v="19.09.2025"/>
    <s v="Sep'25"/>
    <s v="Sep'25"/>
    <s v="DEVI CONST.-I"/>
  </r>
  <r>
    <n v="13"/>
    <s v="8/7"/>
    <s v="DA+0"/>
    <m/>
    <m/>
    <m/>
    <x v="0"/>
    <x v="0"/>
    <s v="14.09.2025"/>
    <s v="20.09.2025"/>
    <s v="Sep'25"/>
    <s v="Sep'25"/>
    <s v="JAWALA SINGH "/>
  </r>
  <r>
    <n v="14"/>
    <s v="22/1"/>
    <s v="DA+6"/>
    <m/>
    <m/>
    <m/>
    <x v="0"/>
    <x v="0"/>
    <s v="15.09.2025"/>
    <s v="23.09.2025"/>
    <s v="Sep'25"/>
    <s v="Sep'25"/>
    <s v="DEVI CONST.-II"/>
  </r>
  <r>
    <n v="15"/>
    <s v="12/2"/>
    <s v="DA(-)3"/>
    <m/>
    <m/>
    <m/>
    <x v="0"/>
    <x v="0"/>
    <s v="25.09.2025"/>
    <s v="04.10.2025"/>
    <s v="Sep'25"/>
    <s v="Oct'25"/>
    <s v="OM CONSTRUCTION"/>
  </r>
  <r>
    <n v="16"/>
    <s v="14/1"/>
    <s v="DA+0"/>
    <m/>
    <m/>
    <m/>
    <x v="0"/>
    <x v="0"/>
    <s v="16.09.2025"/>
    <s v="24.09.2025"/>
    <s v="Sep'25"/>
    <s v="Sep'25"/>
    <s v="HEMLAL MAHATO-II (Anita Devi)"/>
  </r>
  <r>
    <n v="17"/>
    <s v="16/9"/>
    <s v="DA+0"/>
    <m/>
    <m/>
    <m/>
    <x v="0"/>
    <x v="0"/>
    <s v="19.09.2025"/>
    <s v="25.09.2025"/>
    <s v="Sep'25"/>
    <s v="Sep'25"/>
    <s v="DEVI CONST.-I"/>
  </r>
  <r>
    <n v="18"/>
    <s v="9/1"/>
    <s v="DA+3"/>
    <m/>
    <m/>
    <m/>
    <x v="0"/>
    <x v="0"/>
    <s v="20.09.2025"/>
    <s v="26.09.2025"/>
    <s v="Sep'25"/>
    <s v="Sep'25"/>
    <s v="JAWALA SINGH "/>
  </r>
  <r>
    <n v="19"/>
    <s v="20/2"/>
    <s v="DA(-)3"/>
    <m/>
    <m/>
    <m/>
    <x v="0"/>
    <x v="0"/>
    <s v="23.09.2025"/>
    <s v="29.09.2025"/>
    <s v="Sep'25"/>
    <s v="Sep'25"/>
    <s v="DEVI CONST.-II"/>
  </r>
  <r>
    <n v="20"/>
    <s v="14/2"/>
    <s v="DA+0"/>
    <m/>
    <m/>
    <m/>
    <x v="0"/>
    <x v="0"/>
    <s v="24.09.2025"/>
    <s v="30.09.2025"/>
    <s v="Sep'25"/>
    <s v="Sep'25"/>
    <s v="HEMLAL MAHATO-I (Anita Devi)"/>
  </r>
  <r>
    <n v="21"/>
    <s v="16/7"/>
    <s v="DA+0"/>
    <m/>
    <m/>
    <m/>
    <x v="0"/>
    <x v="0"/>
    <s v="01.10.2025"/>
    <s v="06.10.2025"/>
    <s v="Oct'25"/>
    <s v="Oct'25"/>
    <s v="DEVI CONST.-I"/>
  </r>
  <r>
    <n v="22"/>
    <s v="10/1"/>
    <s v="DA+0"/>
    <m/>
    <m/>
    <m/>
    <x v="0"/>
    <x v="0"/>
    <s v="27.09.2025"/>
    <s v="02.10.2025"/>
    <s v="Sep'25"/>
    <s v="Oct'25"/>
    <s v="JAWALA SINGH "/>
  </r>
  <r>
    <n v="23"/>
    <s v="13/1"/>
    <s v="DA(-)1.5"/>
    <m/>
    <m/>
    <m/>
    <x v="0"/>
    <x v="0"/>
    <s v="01.10.2025"/>
    <s v="13.10.2025"/>
    <s v="Oct'25"/>
    <s v="Oct'25"/>
    <s v="DEONATH MAHATO "/>
  </r>
  <r>
    <n v="24"/>
    <s v="16/11"/>
    <s v="DA+0"/>
    <m/>
    <m/>
    <m/>
    <x v="0"/>
    <x v="0"/>
    <s v="25.09.2025"/>
    <s v="01.10.2025"/>
    <s v="Sep'25"/>
    <s v="Oct'25"/>
    <s v="DEVI CONST.-I"/>
  </r>
  <r>
    <n v="25"/>
    <s v="24/6"/>
    <s v="DA+3"/>
    <m/>
    <m/>
    <m/>
    <x v="0"/>
    <x v="0"/>
    <s v="01.10.2025"/>
    <s v="06.10.2025"/>
    <s v="Oct'25"/>
    <s v="Oct'25"/>
    <s v="DEVI CONST.-II"/>
  </r>
  <r>
    <n v="26"/>
    <s v="14/3"/>
    <s v="DA(-)3"/>
    <m/>
    <m/>
    <m/>
    <x v="0"/>
    <x v="0"/>
    <s v="05.10.2025"/>
    <s v="16.10.2025"/>
    <s v="Oct'25"/>
    <s v="Oct'25"/>
    <s v="OM CONSTRUCTION"/>
  </r>
  <r>
    <n v="27"/>
    <s v="24/7"/>
    <s v="DA+0"/>
    <m/>
    <m/>
    <m/>
    <x v="0"/>
    <x v="0"/>
    <s v="07.10.2025"/>
    <s v="11.10.2025"/>
    <s v="Oct'25"/>
    <s v="Oct'25"/>
    <s v="DEVI CONST."/>
  </r>
  <r>
    <n v="28"/>
    <s v="8/10"/>
    <s v="DA+0"/>
    <m/>
    <m/>
    <m/>
    <x v="0"/>
    <x v="0"/>
    <s v="12.10.2025"/>
    <s v="16.10.2025"/>
    <s v="Oct'25"/>
    <s v="Oct'25"/>
    <s v="DEVI CONST."/>
  </r>
  <r>
    <n v="29"/>
    <s v="8/9"/>
    <s v="DA(-)3"/>
    <m/>
    <m/>
    <m/>
    <x v="0"/>
    <x v="0"/>
    <s v="17.10.2025"/>
    <s v="22.10.2025"/>
    <s v="Oct'25"/>
    <s v="Oct'25"/>
    <s v="DEVI CONST."/>
  </r>
  <r>
    <n v="30"/>
    <s v="8/8"/>
    <s v="DA+3"/>
    <m/>
    <m/>
    <m/>
    <x v="0"/>
    <x v="0"/>
    <s v="24.10.2025"/>
    <d v="2025-10-25T00:00:00"/>
    <s v="Oct'25"/>
    <s v="Oct'25"/>
    <s v="DEVI CONST."/>
  </r>
  <r>
    <n v="31"/>
    <s v="9/2"/>
    <s v="DA+0"/>
    <m/>
    <m/>
    <m/>
    <x v="0"/>
    <x v="0"/>
    <s v="26.10.2025"/>
    <s v="02.11.2025"/>
    <s v="Oct'25"/>
    <s v="Nov'25"/>
    <s v="DEVI CONST."/>
  </r>
  <r>
    <n v="32"/>
    <s v="8/4"/>
    <s v="DA+3"/>
    <m/>
    <m/>
    <m/>
    <x v="0"/>
    <x v="0"/>
    <s v="03.11.2025"/>
    <s v="07.11.2025"/>
    <s v="Nov'25"/>
    <s v="Nov'25"/>
    <s v="DEVI CONST."/>
  </r>
  <r>
    <n v="33"/>
    <s v="10/2"/>
    <s v="DA(-)3"/>
    <m/>
    <m/>
    <m/>
    <x v="0"/>
    <x v="0"/>
    <s v="08.11.2025"/>
    <s v="11.11.2025"/>
    <s v="Nov'25"/>
    <s v="Nov'25"/>
    <s v="DEVI CONST."/>
  </r>
  <r>
    <n v="34"/>
    <s v="15/4"/>
    <s v="DA+6"/>
    <m/>
    <m/>
    <m/>
    <x v="0"/>
    <x v="0"/>
    <s v="13.11.2025"/>
    <s v="25.11.2025"/>
    <s v="Nov'25"/>
    <s v="Nov'25"/>
    <s v="Arawali infra-1"/>
  </r>
  <r>
    <n v="35"/>
    <s v="16/2"/>
    <s v="DA+0"/>
    <m/>
    <m/>
    <m/>
    <x v="0"/>
    <x v="0"/>
    <s v="13.11.2025"/>
    <s v="24.11.2025"/>
    <s v="Nov'25"/>
    <s v="Nov'25"/>
    <s v="Arawali infra-2"/>
  </r>
  <r>
    <n v="36"/>
    <s v="21/4"/>
    <s v="DA+3"/>
    <m/>
    <m/>
    <m/>
    <x v="0"/>
    <x v="0"/>
    <s v="27.11.2025"/>
    <s v="09.12.2025"/>
    <s v="Nov'25"/>
    <s v="Dec'25"/>
    <s v="Kaushlya Devi"/>
  </r>
  <r>
    <n v="37"/>
    <s v="12/3"/>
    <s v="DA(-)3"/>
    <m/>
    <m/>
    <m/>
    <x v="0"/>
    <x v="0"/>
    <s v="11.11.2025"/>
    <s v="16.11.2025"/>
    <s v="Nov'25"/>
    <s v="Nov'25"/>
    <s v="DEVI CONST."/>
  </r>
  <r>
    <n v="38"/>
    <s v="13/0"/>
    <s v="DB2+0"/>
    <m/>
    <m/>
    <m/>
    <x v="0"/>
    <x v="0"/>
    <s v="16.11.2025"/>
    <s v="27.11.2025"/>
    <s v="Nov'25"/>
    <s v="Nov'25"/>
    <s v="DEVI CONST."/>
  </r>
  <r>
    <n v="39"/>
    <s v="5/1"/>
    <s v="DA(-)3"/>
    <m/>
    <m/>
    <m/>
    <x v="0"/>
    <x v="0"/>
    <s v="20.11.2025"/>
    <s v="25.11.2025"/>
    <s v="Nov'25"/>
    <s v="Nov'25"/>
    <s v="JAWALA SINGH "/>
  </r>
  <r>
    <n v="40"/>
    <s v="5/3"/>
    <s v="DA+3"/>
    <m/>
    <m/>
    <m/>
    <x v="0"/>
    <x v="0"/>
    <s v="26.11.2025"/>
    <s v="30.11.2025"/>
    <s v="Nov'25"/>
    <s v="Nov'25"/>
    <s v="JAWALA SINGH "/>
  </r>
  <r>
    <n v="41"/>
    <s v="15/9"/>
    <s v="DA+3"/>
    <m/>
    <m/>
    <m/>
    <x v="0"/>
    <x v="0"/>
    <s v="26.11.2025"/>
    <s v="04.12.2025"/>
    <s v="Nov'25"/>
    <s v="Dec'25"/>
    <s v="Arawali infra-2"/>
  </r>
  <r>
    <n v="42"/>
    <s v="15/3"/>
    <s v="DA+0"/>
    <m/>
    <m/>
    <m/>
    <x v="0"/>
    <x v="0"/>
    <s v="27.11.2025"/>
    <s v="05.12.2025"/>
    <s v="Nov'25"/>
    <s v="Dec'25"/>
    <s v="Arawali infra-1"/>
  </r>
  <r>
    <n v="43"/>
    <s v="8/1"/>
    <s v="DA+0"/>
    <m/>
    <m/>
    <m/>
    <x v="0"/>
    <x v="0"/>
    <s v="28.11.2025"/>
    <s v="03.12.2025"/>
    <s v="Nov'25"/>
    <s v="Dec'25"/>
    <s v="DEVI CONST."/>
  </r>
  <r>
    <n v="44"/>
    <s v="5/5"/>
    <s v="DA+0"/>
    <m/>
    <m/>
    <m/>
    <x v="0"/>
    <x v="0"/>
    <s v="01.12.2025"/>
    <s v="05.12.2025"/>
    <s v="Dec'25"/>
    <s v="Dec'25"/>
    <s v="JAWALA SINGH "/>
  </r>
  <r>
    <n v="45"/>
    <s v="15/1"/>
    <s v="DA+0"/>
    <m/>
    <m/>
    <m/>
    <x v="0"/>
    <x v="0"/>
    <s v="07.12.2025"/>
    <s v="15.12.2025"/>
    <s v="Dec'25"/>
    <s v="Dec'25"/>
    <s v="Arawali infra-1"/>
  </r>
  <r>
    <n v="46"/>
    <s v="15/8"/>
    <s v="DA+0"/>
    <m/>
    <m/>
    <m/>
    <x v="0"/>
    <x v="0"/>
    <s v="04.12.2025"/>
    <s v="12.12.2025"/>
    <s v="Dec'25"/>
    <s v="Dec'25"/>
    <s v="Arawali infra-2"/>
  </r>
  <r>
    <n v="47"/>
    <s v="5/7"/>
    <s v="DA(-)3"/>
    <m/>
    <m/>
    <m/>
    <x v="0"/>
    <x v="0"/>
    <s v="06.12.2025"/>
    <s v="11.12.2025"/>
    <s v="Dec'25"/>
    <s v="Dec'25"/>
    <s v="JAWALA SINGH "/>
  </r>
  <r>
    <n v="48"/>
    <s v="8/0"/>
    <s v="DB1+0"/>
    <m/>
    <m/>
    <m/>
    <x v="0"/>
    <x v="0"/>
    <s v="05.12.2025"/>
    <s v="16.12.2025"/>
    <s v="Dec'25"/>
    <s v="Dec'25"/>
    <s v="DEVI CONST."/>
  </r>
  <r>
    <n v="49"/>
    <s v="15/7"/>
    <s v="DA+0"/>
    <m/>
    <m/>
    <m/>
    <x v="0"/>
    <x v="0"/>
    <s v="11.12.2025"/>
    <s v="19.12.2025"/>
    <s v="Dec'25"/>
    <s v="Dec'25"/>
    <s v="Arawali infra-2"/>
  </r>
  <r>
    <n v="50"/>
    <s v="65/7"/>
    <s v="DA(-)3"/>
    <m/>
    <m/>
    <m/>
    <x v="1"/>
    <x v="0"/>
    <s v="11.12.2025"/>
    <s v="17.12.2025"/>
    <s v="Dec'25"/>
    <s v="Dec'25"/>
    <s v="Anita Devi"/>
  </r>
  <r>
    <n v="51"/>
    <s v="7/3"/>
    <s v="DA+0"/>
    <m/>
    <m/>
    <m/>
    <x v="0"/>
    <x v="0"/>
    <s v="12.12.2025"/>
    <s v="16.12.2025"/>
    <s v="Dec'25"/>
    <s v="Dec'25"/>
    <s v="JAWALA SINGH "/>
  </r>
  <r>
    <n v="52"/>
    <s v="18/1"/>
    <s v="DA+6"/>
    <m/>
    <m/>
    <m/>
    <x v="0"/>
    <x v="0"/>
    <s v="14.12.2025"/>
    <s v="06.01.2026"/>
    <s v="Dec'25"/>
    <s v="Jan'26"/>
    <s v="Kaushlya Devi"/>
  </r>
  <r>
    <n v="53"/>
    <s v="32/3"/>
    <s v="DA+1.5"/>
    <m/>
    <m/>
    <m/>
    <x v="0"/>
    <x v="0"/>
    <s v="16.12.2025"/>
    <s v="23.12.2025"/>
    <s v="Dec'25"/>
    <s v="Dec'25"/>
    <s v="Arawali infra-1"/>
  </r>
  <r>
    <n v="54"/>
    <s v="7/2"/>
    <s v="DA+0"/>
    <m/>
    <m/>
    <m/>
    <x v="0"/>
    <x v="0"/>
    <s v="17.12.2025"/>
    <s v="21.12.2025"/>
    <s v="Dec'25"/>
    <s v="Dec'25"/>
    <s v="JAWALA SINGH "/>
  </r>
  <r>
    <n v="55"/>
    <s v="8/2"/>
    <s v="DA+3"/>
    <m/>
    <m/>
    <m/>
    <x v="0"/>
    <x v="0"/>
    <s v="18.12.2025"/>
    <s v="22.12.2025"/>
    <s v="Dec'25"/>
    <s v="Dec'25"/>
    <s v="DEVI CONST."/>
  </r>
  <r>
    <n v="56"/>
    <s v="66/0"/>
    <s v="DB1+0"/>
    <m/>
    <m/>
    <m/>
    <x v="1"/>
    <x v="0"/>
    <s v="19.12.2025"/>
    <s v="28.12.2025"/>
    <s v="Dec'25"/>
    <s v="Dec'25"/>
    <s v="Anita Devi"/>
  </r>
  <r>
    <n v="57"/>
    <s v="16/0"/>
    <s v="DB1+0"/>
    <m/>
    <m/>
    <m/>
    <x v="0"/>
    <x v="0"/>
    <s v="21.12.2025"/>
    <s v="31.12.2025"/>
    <s v="Dec'25"/>
    <s v="Dec'25"/>
    <s v="Arawali infra-2"/>
  </r>
  <r>
    <n v="58"/>
    <s v="9/0"/>
    <s v="DB2+0"/>
    <m/>
    <m/>
    <m/>
    <x v="0"/>
    <x v="0"/>
    <s v="22.12.2025"/>
    <s v="29.12.2025"/>
    <s v="Dec'25"/>
    <s v="Dec'25"/>
    <s v="JAWALA SINGH "/>
  </r>
  <r>
    <n v="59"/>
    <s v="8/3"/>
    <s v="DA+3"/>
    <m/>
    <m/>
    <m/>
    <x v="0"/>
    <x v="0"/>
    <s v="23.12.2025"/>
    <s v="28.12.2025"/>
    <s v="Dec'25"/>
    <s v="Dec'25"/>
    <s v="DEVI CONST."/>
  </r>
  <r>
    <n v="60"/>
    <s v="32/4"/>
    <s v="DA+0"/>
    <m/>
    <m/>
    <m/>
    <x v="0"/>
    <x v="0"/>
    <s v="24.12.2025"/>
    <s v="30.12.2025"/>
    <s v="Dec'25"/>
    <s v="Dec'25"/>
    <s v="Arawali infra-1"/>
  </r>
  <r>
    <n v="61"/>
    <s v="9/3"/>
    <s v="DA+6"/>
    <m/>
    <m/>
    <m/>
    <x v="0"/>
    <x v="0"/>
    <s v="30.12.2025"/>
    <s v="04.01.2026"/>
    <s v="Dec'25"/>
    <s v="Jan'26"/>
    <s v="JAWALA SINGH "/>
  </r>
  <r>
    <n v="62"/>
    <s v="6/3"/>
    <s v="DA+1.5"/>
    <m/>
    <m/>
    <m/>
    <x v="0"/>
    <x v="0"/>
    <s v="30.12.2025"/>
    <s v="03.01.2026"/>
    <s v="Dec'25"/>
    <s v="Jan'26"/>
    <s v="DEVI CONST."/>
  </r>
  <r>
    <n v="63"/>
    <s v="16/10"/>
    <s v="DA+6"/>
    <m/>
    <m/>
    <m/>
    <x v="0"/>
    <x v="0"/>
    <s v="02.01.2026"/>
    <s v="12.01.2026"/>
    <s v="Jan'26"/>
    <s v="Jan'26"/>
    <s v="Arawali infra-2"/>
  </r>
  <r>
    <n v="64"/>
    <s v="65/2"/>
    <s v="DA+0"/>
    <m/>
    <m/>
    <m/>
    <x v="1"/>
    <x v="0"/>
    <s v="31.12.2025"/>
    <s v="09.01.2026"/>
    <s v="Dec'25"/>
    <s v="Jan'26"/>
    <s v="Anita Devi"/>
  </r>
  <r>
    <n v="65"/>
    <s v="32/6"/>
    <s v="DA+0"/>
    <m/>
    <m/>
    <m/>
    <x v="0"/>
    <x v="0"/>
    <s v="31.12.2025"/>
    <s v="06.01.2026"/>
    <s v="Dec'25"/>
    <s v="Jan'26"/>
    <s v="Arawali infra-1"/>
  </r>
  <r>
    <n v="66"/>
    <s v="7/4"/>
    <s v="DA+0"/>
    <m/>
    <m/>
    <m/>
    <x v="0"/>
    <x v="0"/>
    <s v="04.01.2026"/>
    <s v="09.01.2026"/>
    <s v="Jan'26"/>
    <s v="Jan'26"/>
    <s v="DEVI CONST."/>
  </r>
  <r>
    <n v="67"/>
    <s v="10/3"/>
    <s v="DA+3"/>
    <m/>
    <m/>
    <m/>
    <x v="0"/>
    <x v="0"/>
    <s v="05.01.2026"/>
    <s v="10.01.2026"/>
    <s v="Jan'26"/>
    <s v="Jan'26"/>
    <s v="JAWALA SINGH "/>
  </r>
  <r>
    <n v="68"/>
    <s v="32/5"/>
    <s v="DA+1.5"/>
    <m/>
    <m/>
    <m/>
    <x v="0"/>
    <x v="0"/>
    <s v="08.01.2026"/>
    <s v="14.01.2026"/>
    <s v="Jan'26"/>
    <s v="Jan'26"/>
    <s v="Arawali infra-2"/>
  </r>
  <r>
    <n v="69"/>
    <s v="14/0"/>
    <s v="DC1+0"/>
    <m/>
    <m/>
    <m/>
    <x v="0"/>
    <x v="0"/>
    <s v="11.01.2026"/>
    <s v="19.01.2026"/>
    <s v="Jan'26"/>
    <s v="Jan'26"/>
    <s v="DEVI CONST."/>
  </r>
  <r>
    <n v="70"/>
    <s v="68/0"/>
    <s v="DB2+6"/>
    <m/>
    <m/>
    <m/>
    <x v="1"/>
    <x v="0"/>
    <s v="12.01.2026"/>
    <s v="25.01.2026"/>
    <s v="Jan'26"/>
    <s v="Jan'26"/>
    <s v="Anita Devi"/>
  </r>
  <r>
    <n v="71"/>
    <s v="12/4"/>
    <s v="DA+0"/>
    <m/>
    <m/>
    <m/>
    <x v="0"/>
    <x v="0"/>
    <s v="11.01.2026"/>
    <s v="15.01.2026"/>
    <s v="Jan'26"/>
    <s v="Jan'26"/>
    <s v="JAWALA SINGH "/>
  </r>
  <r>
    <n v="72"/>
    <s v="16/6"/>
    <s v="DA(-)3"/>
    <m/>
    <m/>
    <m/>
    <x v="0"/>
    <x v="0"/>
    <s v="15.01.2026"/>
    <s v="20.01.2026"/>
    <s v="Jan'26"/>
    <s v="Jan'26"/>
    <s v="Arawali infra-2"/>
  </r>
  <r>
    <n v="73"/>
    <s v="12/5"/>
    <s v="DA+1.5"/>
    <m/>
    <m/>
    <m/>
    <x v="0"/>
    <x v="0"/>
    <s v="16.01.2026"/>
    <s v="19.01.2026"/>
    <s v="Jan'26"/>
    <s v="Jan'26"/>
    <s v="JAWALA SINGH "/>
  </r>
  <r>
    <n v="74"/>
    <s v="48/4"/>
    <s v="DA(-)1.5"/>
    <m/>
    <m/>
    <m/>
    <x v="1"/>
    <x v="0"/>
    <s v="19.01.2026"/>
    <s v="24.01.2026"/>
    <s v="Jan'26"/>
    <s v="Jan'26"/>
    <s v="DEVI CONST."/>
  </r>
  <r>
    <n v="75"/>
    <s v="18/0"/>
    <s v="DD45+0"/>
    <m/>
    <m/>
    <m/>
    <x v="0"/>
    <x v="0"/>
    <s v="25.01.2026"/>
    <s v="06.02.2026"/>
    <s v="Jan'26"/>
    <s v="Feb'26"/>
    <s v="Senaul Haque"/>
  </r>
  <r>
    <n v="76"/>
    <s v="38/1"/>
    <s v="DA(-)3"/>
    <m/>
    <m/>
    <m/>
    <x v="0"/>
    <x v="0"/>
    <s v="20.01.2026"/>
    <s v="25.01.2026"/>
    <s v="Jan'26"/>
    <s v="Jan'26"/>
    <s v="JAWALA SINGH "/>
  </r>
  <r>
    <n v="77"/>
    <s v="24/8"/>
    <s v="DA+6"/>
    <m/>
    <m/>
    <m/>
    <x v="0"/>
    <x v="0"/>
    <s v="21.01.2026"/>
    <s v="27.01.2026"/>
    <s v="Jan'26"/>
    <s v="Jan'26"/>
    <s v="DEVI CONST."/>
  </r>
  <r>
    <n v="78"/>
    <s v="10/0"/>
    <s v="DB1+0"/>
    <m/>
    <m/>
    <m/>
    <x v="0"/>
    <x v="0"/>
    <s v="21.01.2026"/>
    <s v="28.01.2026"/>
    <s v="Jan'26"/>
    <s v="Jan'26"/>
    <s v="JAWALA SINGH "/>
  </r>
  <r>
    <n v="79"/>
    <s v="16/5"/>
    <s v="DA+6"/>
    <m/>
    <m/>
    <m/>
    <x v="0"/>
    <x v="0"/>
    <s v="21.01.2026"/>
    <s v="27.01.2026"/>
    <s v="Jan'26"/>
    <s v="Jan'26"/>
    <s v="Arawali infra-1"/>
  </r>
  <r>
    <n v="80"/>
    <s v="32/1"/>
    <s v="DB1+9"/>
    <m/>
    <m/>
    <m/>
    <x v="0"/>
    <x v="0"/>
    <s v="25.01.2026"/>
    <s v="06.02.2026"/>
    <s v="Jan'26"/>
    <s v="Feb'26"/>
    <s v="Arawali infra-1"/>
  </r>
  <r>
    <n v="81"/>
    <s v="46/0"/>
    <s v="DD45+0"/>
    <m/>
    <m/>
    <m/>
    <x v="2"/>
    <x v="0"/>
    <s v="27.01.2026"/>
    <s v="06.02.2026"/>
    <s v="Jan'26"/>
    <s v="Feb'26"/>
    <s v="Amit construction"/>
  </r>
  <r>
    <n v="82"/>
    <s v="64/0"/>
    <s v="DD45+0"/>
    <m/>
    <m/>
    <m/>
    <x v="1"/>
    <x v="0"/>
    <s v="27.01.2026"/>
    <s v="09.02.2026"/>
    <s v="Jan'26"/>
    <s v="Feb'26"/>
    <s v="Anita Devi"/>
  </r>
  <r>
    <n v="83"/>
    <s v="47/11"/>
    <s v="DA+6"/>
    <m/>
    <m/>
    <m/>
    <x v="1"/>
    <x v="0"/>
    <s v="25.01.2026"/>
    <s v="30.01.2026"/>
    <s v="Jan'26"/>
    <s v="Jan'26"/>
    <s v="DEVI CONST.-2"/>
  </r>
  <r>
    <n v="84"/>
    <s v="16/3"/>
    <s v="DA+9"/>
    <m/>
    <m/>
    <m/>
    <x v="0"/>
    <x v="0"/>
    <s v="28.01.2026"/>
    <s v="03.02.2026"/>
    <s v="Jan'26"/>
    <s v="Feb'26"/>
    <s v="Arawali infra-2"/>
  </r>
  <r>
    <n v="85"/>
    <s v="38/2"/>
    <s v="DA+0"/>
    <m/>
    <m/>
    <m/>
    <x v="0"/>
    <x v="0"/>
    <s v="27.01.2026"/>
    <s v="30.01.2026"/>
    <s v="Jan'26"/>
    <s v="Jan'26"/>
    <s v="JAWALA SINGH "/>
  </r>
  <r>
    <n v="86"/>
    <s v="24/9"/>
    <s v="DA(-)1.5"/>
    <m/>
    <m/>
    <m/>
    <x v="0"/>
    <x v="0"/>
    <s v="28.01.2026"/>
    <s v="01.02.2026"/>
    <s v="Jan'26"/>
    <s v="Feb'26"/>
    <s v="DEVI CONST."/>
  </r>
  <r>
    <n v="87"/>
    <s v="7/0"/>
    <s v="DC2+0"/>
    <m/>
    <m/>
    <m/>
    <x v="0"/>
    <x v="0"/>
    <s v="31.01.2026"/>
    <s v="06.02.2026"/>
    <s v="Jan'26"/>
    <s v="Feb'26"/>
    <s v="JAWALA SINGH "/>
  </r>
  <r>
    <n v="88"/>
    <s v="48/2"/>
    <s v="DA(-)1.5"/>
    <m/>
    <m/>
    <m/>
    <x v="1"/>
    <x v="0"/>
    <s v="31.01.2026"/>
    <s v="06.02.2026"/>
    <s v="Jan'26"/>
    <s v="Feb'26"/>
    <s v="DEVI CONST.-2"/>
  </r>
  <r>
    <n v="89"/>
    <s v="36/3"/>
    <s v="DA+0"/>
    <m/>
    <m/>
    <m/>
    <x v="0"/>
    <x v="0"/>
    <s v="01.02.2026"/>
    <s v="05.02.2026"/>
    <s v="Feb'26"/>
    <s v="Feb'26"/>
    <s v="JAWALA SINGH "/>
  </r>
  <r>
    <n v="90"/>
    <s v="24/10"/>
    <s v="DA+1.5"/>
    <m/>
    <m/>
    <m/>
    <x v="0"/>
    <x v="0"/>
    <s v="02.02.2026"/>
    <s v="08.02.2026"/>
    <s v="Feb'26"/>
    <s v="Feb'26"/>
    <s v="DEVI CONST."/>
  </r>
  <r>
    <n v="91"/>
    <s v="26/2"/>
    <s v="DA+6"/>
    <m/>
    <m/>
    <m/>
    <x v="0"/>
    <x v="0"/>
    <s v="03.02.2026"/>
    <s v="13.02.2026"/>
    <s v="Feb'26"/>
    <s v="Feb'26"/>
    <s v="SONI KUMARI"/>
  </r>
  <r>
    <n v="92"/>
    <s v="15/0"/>
    <s v="DB2+0"/>
    <m/>
    <m/>
    <m/>
    <x v="0"/>
    <x v="0"/>
    <s v="07.02.2026"/>
    <s v="14.02.2026"/>
    <s v="Feb'26"/>
    <s v="Feb'26"/>
    <s v="ARAVALI INFRA-2"/>
  </r>
  <r>
    <n v="93"/>
    <s v="38/0"/>
    <s v="DD45+9"/>
    <m/>
    <m/>
    <m/>
    <x v="0"/>
    <x v="0"/>
    <s v="07.02.2026"/>
    <s v="16.02.2026"/>
    <s v="Feb'26"/>
    <s v="Feb'26"/>
    <s v="JAWALA SINGH "/>
  </r>
  <r>
    <n v="94"/>
    <s v="11/0"/>
    <s v="DD60+25"/>
    <m/>
    <m/>
    <m/>
    <x v="0"/>
    <x v="0"/>
    <s v="21.02.2026"/>
    <s v="16.03.2026"/>
    <s v="Feb'26"/>
    <s v="Mar'26"/>
    <s v="JAWALA SINGH "/>
  </r>
  <r>
    <n v="95"/>
    <s v="32/7"/>
    <s v="DA(-)1.5"/>
    <m/>
    <m/>
    <m/>
    <x v="0"/>
    <x v="0"/>
    <s v="08.02.2026"/>
    <s v="14.02.2026"/>
    <s v="Feb'26"/>
    <s v="Feb'26"/>
    <s v="JAWALA SINGH"/>
  </r>
  <r>
    <n v="96"/>
    <s v="45/0"/>
    <s v="DC1+0"/>
    <m/>
    <m/>
    <m/>
    <x v="2"/>
    <x v="0"/>
    <s v="08.02.2026"/>
    <s v="17.02.2026"/>
    <s v="Feb'26"/>
    <s v="Feb'26"/>
    <s v="Amit construction"/>
  </r>
  <r>
    <n v="97"/>
    <s v="7/1"/>
    <s v="DA+0"/>
    <m/>
    <m/>
    <m/>
    <x v="0"/>
    <x v="0"/>
    <s v="08.02.2026"/>
    <s v="12.02.2026"/>
    <s v="Feb'26"/>
    <s v="Feb'26"/>
    <s v="JAWALA SINGH "/>
  </r>
  <r>
    <n v="98"/>
    <s v="47/8"/>
    <s v="DA+0"/>
    <m/>
    <m/>
    <m/>
    <x v="2"/>
    <x v="0"/>
    <s v="07.02.2026"/>
    <s v="12.02.2026"/>
    <s v="Feb'26"/>
    <s v="Feb'26"/>
    <s v="DEVI CONST.-2"/>
  </r>
  <r>
    <n v="99"/>
    <s v="24/11"/>
    <s v="DA+0"/>
    <m/>
    <m/>
    <m/>
    <x v="0"/>
    <x v="0"/>
    <s v="10.02.2026"/>
    <s v="13.02.2026"/>
    <s v="Feb'26"/>
    <s v="Feb'26"/>
    <s v="DEVI CONST."/>
  </r>
  <r>
    <n v="100"/>
    <s v="65/9"/>
    <s v="DA(-)3"/>
    <m/>
    <m/>
    <m/>
    <x v="1"/>
    <x v="0"/>
    <s v="10.02.2026"/>
    <s v="16.02.2026"/>
    <s v="Feb'26"/>
    <s v="Feb'26"/>
    <s v="Anita Devi"/>
  </r>
  <r>
    <n v="101"/>
    <s v="5/6"/>
    <s v="DA+0"/>
    <m/>
    <m/>
    <m/>
    <x v="0"/>
    <x v="0"/>
    <s v="13.02.2026"/>
    <s v="17.02.2026"/>
    <s v="Feb'26"/>
    <s v="Feb'26"/>
    <s v="JAWALA SINGH "/>
  </r>
  <r>
    <n v="102"/>
    <s v="49/0"/>
    <s v="DB1+0"/>
    <m/>
    <m/>
    <m/>
    <x v="1"/>
    <x v="0"/>
    <s v="14.02.2026"/>
    <s v="22.02.2026"/>
    <s v="Feb'26"/>
    <s v="Feb'26"/>
    <s v="DEVI CONST.-2"/>
  </r>
  <r>
    <n v="103"/>
    <s v="26/1"/>
    <s v="DA+1.5"/>
    <m/>
    <m/>
    <m/>
    <x v="0"/>
    <x v="0"/>
    <s v="15.02.2026"/>
    <s v="25.02.2026"/>
    <s v="Feb'26"/>
    <s v="Feb'26"/>
    <s v="SONI KUMARI"/>
  </r>
  <r>
    <n v="104"/>
    <s v="27/0"/>
    <s v="DB2+9"/>
    <m/>
    <m/>
    <m/>
    <x v="0"/>
    <x v="0"/>
    <s v="15.02.2026"/>
    <s v="27.02.2026"/>
    <s v="Feb'26"/>
    <s v="Feb'26"/>
    <s v="DEVI CONST."/>
  </r>
  <r>
    <n v="105"/>
    <s v="55/1"/>
    <s v="DA+6"/>
    <m/>
    <m/>
    <m/>
    <x v="1"/>
    <x v="0"/>
    <s v="15.02.2026"/>
    <s v="25.02.2026"/>
    <s v="Feb'26"/>
    <s v="Feb'26"/>
    <s v="ARAVALI INFRA-2"/>
  </r>
  <r>
    <n v="106"/>
    <s v="33/0"/>
    <s v="DD45+9"/>
    <m/>
    <m/>
    <m/>
    <x v="0"/>
    <x v="0"/>
    <s v="15.02.2026"/>
    <s v="28.02.2026"/>
    <s v="Feb'26"/>
    <s v="Feb'26"/>
    <s v="ARAVALI INFRA-1"/>
  </r>
  <r>
    <n v="107"/>
    <s v="36/0"/>
    <s v="DC2+0"/>
    <m/>
    <m/>
    <m/>
    <x v="0"/>
    <x v="0"/>
    <s v="17.02.2026"/>
    <s v="26.02.2026"/>
    <s v="Feb'26"/>
    <s v="Feb'26"/>
    <s v="JAWALA SINGH-2"/>
  </r>
  <r>
    <n v="108"/>
    <s v="65/11"/>
    <s v="DA+6"/>
    <m/>
    <m/>
    <m/>
    <x v="1"/>
    <x v="0"/>
    <s v="17.02.2026"/>
    <s v="25.02.2026"/>
    <s v="Feb'26"/>
    <s v="Feb'26"/>
    <s v="Anita Devi"/>
  </r>
  <r>
    <n v="109"/>
    <s v="40/0"/>
    <s v="DC1+0"/>
    <m/>
    <m/>
    <m/>
    <x v="2"/>
    <x v="0"/>
    <s v="19.02.2026"/>
    <s v="27.02.2026"/>
    <s v="Feb'26"/>
    <s v="Feb'26"/>
    <s v="Amit construction"/>
  </r>
  <r>
    <n v="110"/>
    <s v="5/4"/>
    <s v="DA+1.5"/>
    <m/>
    <m/>
    <m/>
    <x v="0"/>
    <x v="0"/>
    <s v="18.02.2026"/>
    <s v="22.02.2026"/>
    <s v="Feb'26"/>
    <s v="Feb'26"/>
    <s v="JAWALA SINGH "/>
  </r>
  <r>
    <n v="111"/>
    <s v="49/1"/>
    <s v="DA+6"/>
    <m/>
    <m/>
    <m/>
    <x v="1"/>
    <x v="0"/>
    <s v="23.02.2026"/>
    <s v="28.02.2026"/>
    <s v="Feb'26"/>
    <s v="Feb'26"/>
    <s v="DEVI CONST.-2"/>
  </r>
  <r>
    <n v="112"/>
    <s v="6/1"/>
    <s v="DA(-)1.5"/>
    <m/>
    <m/>
    <m/>
    <x v="0"/>
    <x v="0"/>
    <s v="23.02.2026"/>
    <s v="27.02.2026"/>
    <s v="Feb'26"/>
    <s v="Feb'26"/>
    <s v="JAWALA SINGH"/>
  </r>
  <r>
    <n v="113"/>
    <s v="65/8"/>
    <s v="DA+1.5"/>
    <m/>
    <m/>
    <m/>
    <x v="1"/>
    <x v="0"/>
    <s v="28.02.2026"/>
    <s v="09.03.2026"/>
    <s v="Feb'26"/>
    <s v="Mar'26"/>
    <s v="Anita Devi"/>
  </r>
  <r>
    <n v="114"/>
    <s v="52/0"/>
    <s v="DC2+0"/>
    <m/>
    <m/>
    <m/>
    <x v="1"/>
    <x v="0"/>
    <s v="27.02.2026"/>
    <s v="12.03.2026"/>
    <s v="Feb'26"/>
    <s v="Mar'26"/>
    <s v="ARAVALI INFRA-2"/>
  </r>
  <r>
    <n v="115"/>
    <s v="39/0"/>
    <s v="DC1+0"/>
    <m/>
    <m/>
    <m/>
    <x v="0"/>
    <x v="0"/>
    <s v="28.02.2026"/>
    <s v="09.03.2026"/>
    <s v="Feb'26"/>
    <s v="Mar'26"/>
    <s v="JAWALA SINGH-2"/>
  </r>
  <r>
    <n v="116"/>
    <s v="39/4"/>
    <s v="DA+0"/>
    <m/>
    <m/>
    <m/>
    <x v="2"/>
    <x v="0"/>
    <s v="01.03.2026"/>
    <s v="09.03.2026"/>
    <s v="Mar'26"/>
    <s v="Mar'26"/>
    <s v="Amit construction"/>
  </r>
  <r>
    <n v="117"/>
    <s v="27/1"/>
    <s v="DB1+9"/>
    <m/>
    <m/>
    <m/>
    <x v="0"/>
    <x v="0"/>
    <s v="01.03.2026"/>
    <s v="15.03.2026"/>
    <s v="Mar'26"/>
    <s v="Mar'26"/>
    <s v="DEVI CONST."/>
  </r>
  <r>
    <n v="118"/>
    <s v="49/6"/>
    <s v="DA+6"/>
    <m/>
    <m/>
    <m/>
    <x v="1"/>
    <x v="0"/>
    <s v="03.03.2026"/>
    <s v="10.03.2026"/>
    <s v="Mar'26"/>
    <s v="Mar'26"/>
    <s v="DEVI CONST.-2"/>
  </r>
  <r>
    <n v="119"/>
    <s v="34/0"/>
    <s v="DC1+3"/>
    <m/>
    <m/>
    <m/>
    <x v="0"/>
    <x v="0"/>
    <s v="19.03.2026"/>
    <s v="02.04.2026"/>
    <s v="Mar'26"/>
    <s v="Apr'26"/>
    <s v="ARAVALI INFRA-1"/>
  </r>
  <r>
    <n v="120"/>
    <s v="63/1"/>
    <s v="DA(-)3"/>
    <m/>
    <m/>
    <m/>
    <x v="1"/>
    <x v="0"/>
    <s v="12.03.2026"/>
    <s v="17.03.2026"/>
    <s v="Mar'26"/>
    <s v="Mar'26"/>
    <s v="Anita Devi"/>
  </r>
  <r>
    <n v="121"/>
    <s v="39/3"/>
    <s v="DA+0"/>
    <m/>
    <m/>
    <m/>
    <x v="2"/>
    <x v="0"/>
    <s v="10.03.2026"/>
    <s v="15.03.2026"/>
    <s v="Mar'26"/>
    <s v="Mar'26"/>
    <s v="Amit construction"/>
  </r>
  <r>
    <n v="122"/>
    <s v="39/1"/>
    <s v="DA+3"/>
    <m/>
    <m/>
    <m/>
    <x v="2"/>
    <x v="0"/>
    <s v="11.03.2026"/>
    <s v="16.03.2026"/>
    <s v="Mar'26"/>
    <s v="Mar'26"/>
    <s v="JAWALA SINGH-2"/>
  </r>
  <r>
    <n v="123"/>
    <s v="51/2"/>
    <s v="DA(-)3"/>
    <m/>
    <m/>
    <m/>
    <x v="1"/>
    <x v="0"/>
    <s v="12.03.2026"/>
    <s v="16.03.2026"/>
    <s v="Mar'26"/>
    <s v="Mar'26"/>
    <s v="DEVI CONST.-2"/>
  </r>
  <r>
    <n v="124"/>
    <s v="53/0"/>
    <s v="DB2+3"/>
    <m/>
    <m/>
    <m/>
    <x v="1"/>
    <x v="0"/>
    <s v="15.03.2026"/>
    <s v="30.03.2026"/>
    <s v="Mar'26"/>
    <s v="Mar'26"/>
    <s v="ARAVALI INFRA-2"/>
  </r>
  <r>
    <n v="125"/>
    <s v="27/3"/>
    <s v="DA+1.5"/>
    <m/>
    <m/>
    <m/>
    <x v="0"/>
    <x v="0"/>
    <s v="17.03.2026"/>
    <s v="23.03.2026"/>
    <s v="Mar'26"/>
    <s v="Mar'26"/>
    <s v="DEVI CONST."/>
  </r>
  <r>
    <n v="126"/>
    <s v="40/3"/>
    <s v="DA+0"/>
    <m/>
    <m/>
    <m/>
    <x v="2"/>
    <x v="0"/>
    <s v="17.03.2026"/>
    <s v="21.03.2026"/>
    <s v="Mar'26"/>
    <s v="Mar'26"/>
    <s v="Amit construction"/>
  </r>
  <r>
    <n v="127"/>
    <s v="51/1"/>
    <s v="DA+0"/>
    <m/>
    <m/>
    <m/>
    <x v="1"/>
    <x v="0"/>
    <s v="18.03.2026"/>
    <s v="23.03.2026"/>
    <s v="Mar'26"/>
    <s v="Mar'26"/>
    <s v="DEVI CONST.-2"/>
  </r>
  <r>
    <n v="128"/>
    <s v="39/2"/>
    <s v="DA+0"/>
    <m/>
    <m/>
    <m/>
    <x v="2"/>
    <x v="0"/>
    <s v="17.03.2026"/>
    <s v="20.03.2026"/>
    <s v="Mar'26"/>
    <s v="Mar'26"/>
    <s v="JAWALA SINGH-2"/>
  </r>
  <r>
    <n v="129"/>
    <s v="12/7"/>
    <s v="DA+0"/>
    <m/>
    <m/>
    <m/>
    <x v="0"/>
    <x v="0"/>
    <s v="17.03.2026"/>
    <s v="21.03.2026"/>
    <s v="Mar'26"/>
    <s v="Mar'26"/>
    <s v="JAWALA SINGH "/>
  </r>
  <r>
    <n v="130"/>
    <s v="66/5"/>
    <s v="DA+3"/>
    <m/>
    <m/>
    <m/>
    <x v="1"/>
    <x v="0"/>
    <s v="20.03.2026"/>
    <s v="23.03.2026"/>
    <s v="Mar'26"/>
    <s v="Mar'26"/>
    <s v="Anita Devi"/>
  </r>
  <r>
    <n v="131"/>
    <s v="37/0"/>
    <s v="DD45+12"/>
    <m/>
    <m/>
    <m/>
    <x v="0"/>
    <x v="0"/>
    <s v="22.03.2026"/>
    <s v="31.03.2026"/>
    <s v="Mar'26"/>
    <s v="Mar'26"/>
    <s v="JAWALA SINGH-2"/>
  </r>
  <r>
    <n v="132"/>
    <s v="45A/0"/>
    <s v="DC2+0"/>
    <m/>
    <m/>
    <m/>
    <x v="2"/>
    <x v="0"/>
    <s v="23.03.2026"/>
    <s v="29.03.2026"/>
    <s v="Mar'26"/>
    <s v="Mar'26"/>
    <s v="Amit construction"/>
  </r>
  <r>
    <n v="133"/>
    <s v="17/0"/>
    <s v="DB2+3"/>
    <m/>
    <m/>
    <m/>
    <x v="0"/>
    <x v="0"/>
    <s v="23.03.2026"/>
    <s v="29.03.2026"/>
    <s v="Mar'26"/>
    <s v="Mar'26"/>
    <s v="JAWALA SINGH "/>
  </r>
  <r>
    <n v="134"/>
    <s v="30/2"/>
    <s v="DA+0"/>
    <m/>
    <m/>
    <m/>
    <x v="0"/>
    <x v="0"/>
    <s v="23.03.2026"/>
    <s v="28.03.2026"/>
    <s v="Mar'26"/>
    <s v="Mar'26"/>
    <s v="Splicenet construction"/>
  </r>
  <r>
    <n v="135"/>
    <s v="40/1"/>
    <s v="DA+3"/>
    <m/>
    <m/>
    <m/>
    <x v="2"/>
    <x v="0"/>
    <s v="24.03.2026"/>
    <d v="2026-04-09T00:00:00"/>
    <s v="Mar'26"/>
    <s v="Apr'26"/>
    <s v="ARAVALI INFRA-3"/>
  </r>
  <r>
    <n v="136"/>
    <s v="27/4"/>
    <s v="DA(-)3"/>
    <m/>
    <m/>
    <m/>
    <x v="0"/>
    <x v="0"/>
    <s v="25.03.2026"/>
    <s v="01.04.2026"/>
    <s v="Mar'26"/>
    <s v="Apr'26"/>
    <s v="DEVI CONST."/>
  </r>
  <r>
    <n v="137"/>
    <s v="66/6"/>
    <s v="DA(-)1.5"/>
    <m/>
    <m/>
    <m/>
    <x v="1"/>
    <x v="0"/>
    <s v="26.03.2026"/>
    <s v="29.03.2026"/>
    <s v="Mar'26"/>
    <s v="Mar'26"/>
    <s v="Anita Devi"/>
  </r>
  <r>
    <n v="138"/>
    <s v="48/8"/>
    <s v="DA+0"/>
    <m/>
    <m/>
    <m/>
    <x v="1"/>
    <x v="0"/>
    <s v="25.03.2026"/>
    <s v="31.03.2026"/>
    <s v="Mar'26"/>
    <s v="Mar'26"/>
    <s v="DEVI CONST.-2"/>
  </r>
  <r>
    <n v="139"/>
    <s v="29/2"/>
    <s v="DA+1.5"/>
    <m/>
    <m/>
    <m/>
    <x v="0"/>
    <x v="0"/>
    <s v="25.03.2026"/>
    <s v="04.04.2026"/>
    <s v="Mar'26"/>
    <s v="Apr'26"/>
    <s v="Splicenet construction-II"/>
  </r>
  <r>
    <n v="140"/>
    <s v="30/1"/>
    <s v="DA+1.5"/>
    <m/>
    <m/>
    <m/>
    <x v="0"/>
    <x v="0"/>
    <s v="30.03.2026"/>
    <s v="05.04.2026"/>
    <s v="Mar'26"/>
    <s v="Apr'26"/>
    <s v="Splicenet construction"/>
  </r>
  <r>
    <n v="141"/>
    <s v="13/3"/>
    <s v="DA+0"/>
    <m/>
    <m/>
    <m/>
    <x v="0"/>
    <x v="0"/>
    <s v="30.03.2026"/>
    <s v="02.04.2026"/>
    <s v="Mar'26"/>
    <s v="Apr'26"/>
    <s v="JAWALA SINGH "/>
  </r>
  <r>
    <n v="142"/>
    <s v="45/3"/>
    <s v="DA+0"/>
    <m/>
    <m/>
    <m/>
    <x v="2"/>
    <x v="0"/>
    <s v="31.03.2026"/>
    <s v="04.04.2026"/>
    <s v="Mar'26"/>
    <s v="Apr'26"/>
    <s v="Amit construction"/>
  </r>
  <r>
    <n v="143"/>
    <s v="66/4"/>
    <s v="DA(-)3"/>
    <m/>
    <m/>
    <m/>
    <x v="1"/>
    <x v="0"/>
    <s v="31.03.2026"/>
    <s v="04.04.2026"/>
    <s v="Mar'26"/>
    <s v="Apr'26"/>
    <s v="Anita Devi"/>
  </r>
  <r>
    <n v="144"/>
    <s v="53B/1"/>
    <s v="DA+3"/>
    <m/>
    <m/>
    <m/>
    <x v="1"/>
    <x v="0"/>
    <s v="01.04.2026"/>
    <d v="2026-04-07T00:00:00"/>
    <s v="Apr'26"/>
    <s v="Apr'26"/>
    <s v="ARAVALI INFRA-2"/>
  </r>
  <r>
    <n v="145"/>
    <s v="38/3"/>
    <s v="DA(-)3"/>
    <m/>
    <m/>
    <m/>
    <x v="0"/>
    <x v="0"/>
    <s v="02.04.2026"/>
    <s v="05.04.2026"/>
    <s v="Apr'26"/>
    <s v="Apr'26"/>
    <s v="JAWALA SINGH-2"/>
  </r>
  <r>
    <n v="146"/>
    <s v="48/5"/>
    <s v="DA+0"/>
    <m/>
    <m/>
    <m/>
    <x v="1"/>
    <x v="0"/>
    <s v="02.04.2026"/>
    <d v="2026-04-07T00:00:00"/>
    <s v="Apr'26"/>
    <s v="Apr'26"/>
    <s v="DEVI CONST.-2"/>
  </r>
  <r>
    <n v="147"/>
    <s v="27/5"/>
    <s v="DA(-)1.5"/>
    <m/>
    <m/>
    <m/>
    <x v="0"/>
    <x v="0"/>
    <s v="03.04.2026"/>
    <d v="2026-04-09T00:00:00"/>
    <s v="Apr'26"/>
    <s v="Apr'26"/>
    <s v="DEVI CONST."/>
  </r>
  <r>
    <n v="148"/>
    <s v="14/5"/>
    <s v="DA+0"/>
    <m/>
    <m/>
    <m/>
    <x v="0"/>
    <x v="0"/>
    <s v="03.04.2026"/>
    <s v="06.04.2026"/>
    <s v="Apr'26"/>
    <s v="Apr'26"/>
    <s v="JAWALA SINGH "/>
  </r>
  <r>
    <n v="149"/>
    <s v="32/2"/>
    <s v="DA+1.5"/>
    <m/>
    <m/>
    <m/>
    <x v="0"/>
    <x v="0"/>
    <s v="03.04.2026"/>
    <d v="2026-04-10T00:00:00"/>
    <s v="Apr'26"/>
    <s v="Apr'26"/>
    <s v="ARAVALI INFRA-1"/>
  </r>
  <r>
    <n v="150"/>
    <s v="29/1"/>
    <s v="DA+1.5"/>
    <m/>
    <m/>
    <m/>
    <x v="0"/>
    <x v="0"/>
    <s v="06.04.2026"/>
    <d v="2026-04-13T00:00:00"/>
    <s v="Apr'26"/>
    <s v="Apr'26"/>
    <s v="Splicenet construction-II"/>
  </r>
  <r>
    <n v="151"/>
    <s v="45/1"/>
    <s v="DA(-)3"/>
    <m/>
    <m/>
    <m/>
    <x v="2"/>
    <x v="0"/>
    <s v="06.04.2026"/>
    <d v="2026-04-09T00:00:00"/>
    <s v="Apr'26"/>
    <s v="Apr'26"/>
    <s v="Amit construction"/>
  </r>
  <r>
    <n v="152"/>
    <s v="67/0"/>
    <s v="DB2+6"/>
    <m/>
    <m/>
    <m/>
    <x v="1"/>
    <x v="0"/>
    <s v="06.04.2026"/>
    <d v="2026-04-15T00:00:00"/>
    <s v="Apr'26"/>
    <s v="Apr'26"/>
    <s v="Anita Devi"/>
  </r>
  <r>
    <n v="153"/>
    <s v="30/0"/>
    <s v="DC1+0"/>
    <m/>
    <m/>
    <m/>
    <x v="0"/>
    <x v="1"/>
    <s v="06.04.2026"/>
    <d v="2026-04-16T00:00:00"/>
    <s v="Apr'26"/>
    <s v="Apr'26"/>
    <s v="Splicenet construction"/>
  </r>
  <r>
    <n v="154"/>
    <s v="36/4"/>
    <s v="DA+3"/>
    <m/>
    <m/>
    <m/>
    <x v="0"/>
    <x v="0"/>
    <s v="06.04.2026"/>
    <d v="2026-04-09T00:00:00"/>
    <s v="Apr'26"/>
    <s v="Apr'26"/>
    <s v="JAWALA SINGH-2"/>
  </r>
  <r>
    <n v="155"/>
    <s v="14/4"/>
    <s v="DA+3"/>
    <m/>
    <m/>
    <m/>
    <x v="0"/>
    <x v="0"/>
    <d v="2026-04-08T00:00:00"/>
    <d v="2026-04-11T00:00:00"/>
    <s v="Apr'26"/>
    <s v="Apr'26"/>
    <s v="JAWALA SINGH "/>
  </r>
  <r>
    <n v="156"/>
    <s v="52/1"/>
    <s v="DA+1.5"/>
    <m/>
    <m/>
    <m/>
    <x v="1"/>
    <x v="0"/>
    <d v="2026-04-09T00:00:00"/>
    <d v="2026-04-14T00:00:00"/>
    <s v="Apr'26"/>
    <s v="Apr'26"/>
    <s v="ARAVALI INFRA-2"/>
  </r>
  <r>
    <n v="157"/>
    <s v="38/8"/>
    <s v="DA+6"/>
    <m/>
    <m/>
    <m/>
    <x v="0"/>
    <x v="0"/>
    <d v="2026-04-08T00:00:00"/>
    <d v="2026-04-29T00:00:00"/>
    <s v="Apr'26"/>
    <s v="Apr'26"/>
    <s v="Splicenet construction-III"/>
  </r>
  <r>
    <n v="158"/>
    <s v="27/2"/>
    <s v="DA+0"/>
    <m/>
    <m/>
    <m/>
    <x v="0"/>
    <x v="0"/>
    <d v="2026-04-11T00:00:00"/>
    <d v="2026-04-14T00:00:00"/>
    <s v="Apr'26"/>
    <s v="Apr'26"/>
    <s v="DEVI CONST."/>
  </r>
  <r>
    <n v="159"/>
    <s v="40/2"/>
    <s v="DA+0"/>
    <m/>
    <m/>
    <m/>
    <x v="2"/>
    <x v="0"/>
    <d v="2026-04-12T00:00:00"/>
    <d v="2026-04-21T00:00:00"/>
    <s v="Apr'26"/>
    <s v="Apr'26"/>
    <s v="ARAVALI INFRA-3"/>
  </r>
  <r>
    <n v="160"/>
    <s v="36/6"/>
    <s v="DA(-)1.5"/>
    <m/>
    <m/>
    <m/>
    <x v="0"/>
    <x v="0"/>
    <d v="2026-04-10T00:00:00"/>
    <d v="2026-04-13T00:00:00"/>
    <s v="Apr'26"/>
    <s v="Apr'26"/>
    <s v="JAWALA SINGH-2"/>
  </r>
  <r>
    <n v="161"/>
    <s v="45/4"/>
    <s v="DA+1.5"/>
    <m/>
    <m/>
    <m/>
    <x v="2"/>
    <x v="0"/>
    <d v="2026-04-10T00:00:00"/>
    <d v="2026-04-15T00:00:00"/>
    <s v="Apr'26"/>
    <s v="Apr'26"/>
    <s v="Amit construction"/>
  </r>
  <r>
    <n v="162"/>
    <s v="34/3"/>
    <s v="DA+6"/>
    <m/>
    <m/>
    <m/>
    <x v="0"/>
    <x v="0"/>
    <d v="2026-04-12T00:00:00"/>
    <d v="2026-04-18T00:00:00"/>
    <s v="Apr'26"/>
    <s v="Apr'26"/>
    <s v="ARAVALI INFRA-1"/>
  </r>
  <r>
    <n v="163"/>
    <s v="26/4"/>
    <s v="DA(-)3"/>
    <m/>
    <m/>
    <m/>
    <x v="0"/>
    <x v="0"/>
    <d v="2026-04-13T00:00:00"/>
    <d v="2026-04-21T00:00:00"/>
    <s v="Apr'26"/>
    <s v="Apr'26"/>
    <s v="Splicenet construction-II"/>
  </r>
  <r>
    <n v="164"/>
    <s v="36/5"/>
    <s v="DA+6"/>
    <m/>
    <m/>
    <m/>
    <x v="0"/>
    <x v="0"/>
    <d v="2026-04-13T00:00:00"/>
    <d v="2026-04-16T00:00:00"/>
    <s v="Apr'26"/>
    <s v="Apr'26"/>
    <s v="JAWALA SINGH-2"/>
  </r>
  <r>
    <n v="165"/>
    <s v="25/0"/>
    <s v="DC2+18"/>
    <m/>
    <m/>
    <m/>
    <x v="0"/>
    <x v="0"/>
    <d v="2026-04-16T00:00:00"/>
    <d v="2026-04-29T00:00:00"/>
    <s v="Apr'26"/>
    <s v="Apr'26"/>
    <s v="Devi construction"/>
  </r>
  <r>
    <n v="166"/>
    <s v="55/2"/>
    <s v="DA+3"/>
    <m/>
    <m/>
    <m/>
    <x v="1"/>
    <x v="0"/>
    <d v="2026-04-14T00:00:00"/>
    <d v="2026-04-23T00:00:00"/>
    <s v="Apr'26"/>
    <s v="Apr'26"/>
    <s v="ARAVALI INFRA-2"/>
  </r>
  <r>
    <n v="167"/>
    <s v="6/0"/>
    <s v="DC2+0"/>
    <m/>
    <m/>
    <m/>
    <x v="0"/>
    <x v="0"/>
    <d v="2026-04-12T00:00:00"/>
    <d v="2026-04-18T00:00:00"/>
    <s v="Apr'26"/>
    <s v="Apr'26"/>
    <s v="Jwala Singh"/>
  </r>
  <r>
    <n v="168"/>
    <s v="46/2"/>
    <s v="DA+3"/>
    <m/>
    <m/>
    <m/>
    <x v="2"/>
    <x v="0"/>
    <d v="2026-04-16T00:00:00"/>
    <d v="2026-04-22T00:00:00"/>
    <s v="Apr'26"/>
    <s v="Apr'26"/>
    <s v="Amit construction"/>
  </r>
  <r>
    <n v="169"/>
    <s v="66/8"/>
    <s v="DA(-)3"/>
    <m/>
    <m/>
    <m/>
    <x v="1"/>
    <x v="0"/>
    <d v="2026-04-17T00:00:00"/>
    <d v="2026-04-22T00:00:00"/>
    <s v="Apr'26"/>
    <s v="Apr'26"/>
    <s v="Anita Devi"/>
  </r>
  <r>
    <n v="170"/>
    <s v="36/7"/>
    <s v="DA+3"/>
    <m/>
    <m/>
    <m/>
    <x v="0"/>
    <x v="0"/>
    <d v="2026-04-18T00:00:00"/>
    <d v="2026-04-21T00:00:00"/>
    <s v="Apr'26"/>
    <s v="Apr'26"/>
    <s v="JAWALA SINGH-2"/>
  </r>
  <r>
    <n v="171"/>
    <s v="6/2"/>
    <s v="DA+1.5"/>
    <m/>
    <m/>
    <m/>
    <x v="0"/>
    <x v="0"/>
    <d v="2026-04-19T00:00:00"/>
    <d v="2026-04-22T00:00:00"/>
    <s v="Apr'26"/>
    <s v="Apr'26"/>
    <s v="Jwala Singh"/>
  </r>
  <r>
    <n v="172"/>
    <s v="34/1"/>
    <s v="DA+3"/>
    <m/>
    <m/>
    <m/>
    <x v="0"/>
    <x v="0"/>
    <d v="2026-04-19T00:00:00"/>
    <d v="2026-04-28T00:00:00"/>
    <s v="Apr'26"/>
    <s v="Apr'26"/>
    <s v="ARAVALI INFRA-1"/>
  </r>
  <r>
    <n v="173"/>
    <s v="47/1"/>
    <s v="DA+0"/>
    <m/>
    <m/>
    <m/>
    <x v="2"/>
    <x v="0"/>
    <d v="2026-04-21T00:00:00"/>
    <d v="2026-04-26T00:00:00"/>
    <s v="Apr'26"/>
    <s v="Apr'26"/>
    <s v="Splicenet  Cons 1"/>
  </r>
  <r>
    <n v="174"/>
    <s v="26/3"/>
    <s v="DA+6"/>
    <m/>
    <m/>
    <m/>
    <x v="0"/>
    <x v="0"/>
    <d v="2026-04-22T00:00:00"/>
    <d v="2026-04-30T00:00:00"/>
    <s v="Apr'26"/>
    <s v="Apr'26"/>
    <s v="Splicenet construction-II"/>
  </r>
  <r>
    <n v="175"/>
    <s v="36/2"/>
    <s v="DA+0"/>
    <m/>
    <m/>
    <m/>
    <x v="0"/>
    <x v="0"/>
    <d v="2026-04-22T00:00:00"/>
    <d v="2026-04-25T00:00:00"/>
    <s v="Apr'26"/>
    <s v="Apr'26"/>
    <s v="JAWALA SINGH-2"/>
  </r>
  <r>
    <n v="176"/>
    <s v="41/0"/>
    <s v="DD45+0"/>
    <s v="W3"/>
    <n v="7.3684469999999997"/>
    <n v="73.244547999999995"/>
    <x v="2"/>
    <x v="0"/>
    <d v="2026-04-22T00:00:00"/>
    <d v="2026-05-21T00:00:00"/>
    <s v="Apr'26"/>
    <s v="May'26"/>
    <s v="ARAVALI INFRA-3"/>
  </r>
  <r>
    <n v="177"/>
    <s v="5/2"/>
    <s v="DA+0"/>
    <m/>
    <m/>
    <m/>
    <x v="0"/>
    <x v="0"/>
    <d v="2026-04-23T00:00:00"/>
    <d v="2026-04-26T00:00:00"/>
    <s v="Apr'26"/>
    <s v="Apr'26"/>
    <s v="Jwala Singh"/>
  </r>
  <r>
    <n v="178"/>
    <s v="46A/1"/>
    <s v="DA+3"/>
    <m/>
    <m/>
    <m/>
    <x v="2"/>
    <x v="0"/>
    <d v="2026-04-23T00:00:00"/>
    <d v="2026-04-28T00:00:00"/>
    <s v="Apr'26"/>
    <s v="Apr'26"/>
    <s v="Amit construction"/>
  </r>
  <r>
    <n v="179"/>
    <s v="65/5"/>
    <s v="DA(-)3"/>
    <m/>
    <m/>
    <m/>
    <x v="1"/>
    <x v="0"/>
    <d v="2026-04-23T00:00:00"/>
    <d v="2026-04-28T00:00:00"/>
    <s v="Apr'26"/>
    <s v="Apr'26"/>
    <s v="Anita Devi"/>
  </r>
  <r>
    <n v="180"/>
    <s v="36/1"/>
    <s v="DA+0"/>
    <m/>
    <m/>
    <m/>
    <x v="0"/>
    <x v="0"/>
    <d v="2026-04-26T00:00:00"/>
    <d v="2026-04-28T00:00:00"/>
    <s v="Apr'26"/>
    <s v="Apr'26"/>
    <s v="JAWALA SINGH-2"/>
  </r>
  <r>
    <n v="181"/>
    <s v="63/3"/>
    <s v="DA(-)3"/>
    <m/>
    <m/>
    <m/>
    <x v="1"/>
    <x v="0"/>
    <d v="2026-04-26T00:00:00"/>
    <d v="2026-04-30T00:00:00"/>
    <s v="Apr'26"/>
    <s v="Apr'26"/>
    <s v="ARAVALI INFRA-2"/>
  </r>
  <r>
    <n v="182"/>
    <s v="5/0"/>
    <s v="DB1+0"/>
    <s v="W1"/>
    <n v="5.5783706000000004"/>
    <n v="55.4"/>
    <x v="0"/>
    <x v="0"/>
    <d v="2026-04-26T00:00:00"/>
    <d v="2026-05-02T00:00:00"/>
    <s v="Apr'26"/>
    <s v="May'26"/>
    <s v="Jwala Singh"/>
  </r>
  <r>
    <n v="184"/>
    <s v="29/0"/>
    <s v="DD45+18"/>
    <s v="W2"/>
    <n v="11.128875000000001"/>
    <n v="110.62602199999999"/>
    <x v="0"/>
    <x v="0"/>
    <d v="2026-04-30T00:00:00"/>
    <d v="2026-05-14T00:00:00"/>
    <s v="Apr'26"/>
    <s v="May'26"/>
    <s v="Devi construction"/>
  </r>
  <r>
    <n v="185"/>
    <s v="32/0"/>
    <s v="DD60+9"/>
    <s v="W2"/>
    <n v="10.2564718"/>
    <n v="101.95259200000001"/>
    <x v="0"/>
    <x v="0"/>
    <d v="2026-04-30T00:00:00"/>
    <d v="2026-05-12T00:00:00"/>
    <s v="Apr'26"/>
    <s v="May'26"/>
    <s v="ARAVALI INFRA-1"/>
  </r>
  <r>
    <n v="186"/>
    <s v="36/8"/>
    <s v="DA+0"/>
    <s v="W1"/>
    <n v="3.6376959999999996"/>
    <n v="36.159756000000002"/>
    <x v="0"/>
    <x v="0"/>
    <d v="2026-04-29T00:00:00"/>
    <d v="2026-05-02T00:00:00"/>
    <s v="Apr'26"/>
    <s v="May'26"/>
    <s v="JAWALA SINGH-2"/>
  </r>
  <r>
    <n v="187"/>
    <s v="38/4"/>
    <s v="DA+3"/>
    <s v="W2"/>
    <n v="3.8158585999999999"/>
    <n v="37.931088000000003"/>
    <x v="0"/>
    <x v="0"/>
    <d v="2026-04-30T00:00:00"/>
    <d v="2026-05-11T00:00:00"/>
    <s v="Apr'26"/>
    <s v="May'26"/>
    <s v="Splicenet construction-III"/>
  </r>
  <r>
    <n v="188"/>
    <s v="46A/0"/>
    <s v="DC1+0"/>
    <s v="W2"/>
    <n v="6.2818664000000002"/>
    <n v="62.44"/>
    <x v="2"/>
    <x v="0"/>
    <d v="2026-04-29T00:00:00"/>
    <d v="2026-05-08T00:00:00"/>
    <s v="Apr'26"/>
    <s v="May'26"/>
    <s v="Amit construction"/>
  </r>
  <r>
    <n v="189"/>
    <s v="66/2"/>
    <s v="DA(-)1.5"/>
    <s v="W1"/>
    <n v="3.5815611999999999"/>
    <n v="35.6"/>
    <x v="1"/>
    <x v="0"/>
    <d v="2026-04-30T00:00:00"/>
    <d v="2026-05-06T00:00:00"/>
    <s v="Apr'26"/>
    <s v="May'26"/>
    <s v="Anita Devi"/>
  </r>
  <r>
    <n v="190"/>
    <s v="31/0"/>
    <s v="DD60+0"/>
    <s v="W2"/>
    <n v="8.3632804000000007"/>
    <n v="83.13"/>
    <x v="0"/>
    <x v="0"/>
    <d v="2026-04-30T00:00:00"/>
    <d v="2026-05-12T00:00:00"/>
    <s v="Apr'26"/>
    <s v="May'26"/>
    <s v="Splicenet construction-II"/>
  </r>
  <r>
    <n v="191"/>
    <s v="38/6"/>
    <s v="DA(-)3"/>
    <s v="W1"/>
    <n v="3.4998739999999997"/>
    <n v="34.79"/>
    <x v="0"/>
    <x v="0"/>
    <d v="2026-05-03T00:00:00"/>
    <d v="2026-05-06T00:00:00"/>
    <s v="May'26"/>
    <s v="May'26"/>
    <s v="JAWALA SINGH-2"/>
  </r>
  <r>
    <n v="192"/>
    <s v="49/4"/>
    <s v="DA+0"/>
    <s v="W3"/>
    <n v="3.6376959999999996"/>
    <n v="36.159756000000002"/>
    <x v="1"/>
    <x v="0"/>
    <d v="2026-05-03T00:00:00"/>
    <d v="2026-05-17T00:00:00"/>
    <s v="May'26"/>
    <s v="May'26"/>
    <s v="ARAVALI INFRA-2"/>
  </r>
  <r>
    <n v="193"/>
    <s v="21/1"/>
    <s v="DA(-)3"/>
    <s v="W1"/>
    <n v="3.4998739999999997"/>
    <n v="34.79"/>
    <x v="0"/>
    <x v="0"/>
    <d v="2026-05-04T00:00:00"/>
    <d v="2026-05-07T00:00:00"/>
    <s v="May'26"/>
    <s v="May'26"/>
    <s v="Jwala Singh"/>
  </r>
  <r>
    <n v="194"/>
    <s v="38/7"/>
    <s v="DA+0"/>
    <s v="W2"/>
    <n v="3.6376959999999996"/>
    <n v="36.159756000000002"/>
    <x v="0"/>
    <x v="0"/>
    <d v="2026-05-07T00:00:00"/>
    <d v="2026-05-11T00:00:00"/>
    <s v="May'26"/>
    <s v="May'26"/>
    <s v="Jwala singh -2"/>
  </r>
  <r>
    <n v="195"/>
    <s v="67/2"/>
    <s v="DA(-)3"/>
    <s v="W2"/>
    <n v="3.4998739999999997"/>
    <n v="34.79"/>
    <x v="1"/>
    <x v="0"/>
    <d v="2026-05-07T00:00:00"/>
    <d v="2026-05-14T00:00:00"/>
    <s v="May'26"/>
    <s v="May'26"/>
    <s v="Anita Devi"/>
  </r>
  <r>
    <n v="196"/>
    <s v="21/2"/>
    <s v="DA+0"/>
    <s v="W2"/>
    <n v="3.6376959999999996"/>
    <n v="36.159756000000002"/>
    <x v="0"/>
    <x v="0"/>
    <d v="2026-05-08T00:00:00"/>
    <d v="2026-05-11T00:00:00"/>
    <s v="May'26"/>
    <s v="May'26"/>
    <s v="Jwala Singh"/>
  </r>
  <r>
    <n v="197"/>
    <s v="46A/3"/>
    <s v="DA(-)3"/>
    <s v="W3"/>
    <n v="3.4998739999999997"/>
    <n v="34.79"/>
    <x v="2"/>
    <x v="0"/>
    <d v="2026-05-09T00:00:00"/>
    <d v="2026-05-16T00:00:00"/>
    <s v="May'26"/>
    <s v="May'26"/>
    <s v="Amit construction"/>
  </r>
  <r>
    <n v="198"/>
    <s v="24/3"/>
    <s v="DA+6"/>
    <s v="W3"/>
    <n v="4.4066824000000002"/>
    <n v="43.8"/>
    <x v="0"/>
    <x v="0"/>
    <d v="2026-05-12T00:00:00"/>
    <d v="2026-05-16T00:00:00"/>
    <s v="May'26"/>
    <s v="May'26"/>
    <s v="Jwala Singh"/>
  </r>
  <r>
    <n v="199"/>
    <s v="39/5"/>
    <s v="DA+0"/>
    <s v="W3"/>
    <n v="3.6376959999999996"/>
    <n v="36.159756000000002"/>
    <x v="2"/>
    <x v="0"/>
    <d v="2026-05-12T00:00:00"/>
    <d v="2026-05-16T00:00:00"/>
    <s v="May'26"/>
    <s v="May'26"/>
    <s v="Jwala singh -2"/>
  </r>
  <r>
    <n v="200"/>
    <s v="34/2"/>
    <s v="DA(-)3"/>
    <s v="W3"/>
    <n v="3.4998739999999997"/>
    <n v="34.79"/>
    <x v="0"/>
    <x v="0"/>
    <d v="2026-05-15T00:00:00"/>
    <d v="2026-05-18T00:00:00"/>
    <s v="May'26"/>
    <s v="May'26"/>
    <s v="ARAVALI INFRA-1"/>
  </r>
  <r>
    <n v="201"/>
    <s v="28/0"/>
    <s v="DD45+6"/>
    <s v="W4"/>
    <n v="8.8998808"/>
    <n v="85.506823999999995"/>
    <x v="0"/>
    <x v="0"/>
    <d v="2026-05-16T00:00:00"/>
    <d v="2026-05-24T00:00:00"/>
    <s v="May'26"/>
    <s v="May'26"/>
    <s v="Devi construction"/>
  </r>
  <r>
    <n v="202"/>
    <s v="67/1"/>
    <s v="DA(-)3"/>
    <s v="W3"/>
    <n v="3.4998739999999997"/>
    <n v="34.79"/>
    <x v="1"/>
    <x v="0"/>
    <d v="2026-05-15T00:00:00"/>
    <d v="2026-05-20T00:00:00"/>
    <s v="May'26"/>
    <s v="May'26"/>
    <s v="Anita Devi"/>
  </r>
  <r>
    <n v="203"/>
    <s v="23/1"/>
    <s v="DA+3"/>
    <s v="W4"/>
    <n v="3.8158585999999999"/>
    <n v="37.931088000000003"/>
    <x v="0"/>
    <x v="0"/>
    <d v="2026-05-18T00:00:00"/>
    <d v="2026-05-22T00:00:00"/>
    <s v="May'26"/>
    <s v="May'26"/>
    <s v="Jwala Singh"/>
  </r>
  <r>
    <n v="204"/>
    <s v="48/1"/>
    <s v="DA+0"/>
    <s v="W3"/>
    <n v="3.6376959999999996"/>
    <n v="36.159756000000002"/>
    <x v="1"/>
    <x v="0"/>
    <d v="2026-05-18T00:00:00"/>
    <d v="2026-05-21T00:00:00"/>
    <s v="May'26"/>
    <s v="May'26"/>
    <s v="Jwala singh -2"/>
  </r>
  <r>
    <n v="205"/>
    <s v="46A/2"/>
    <s v="DA(-)3"/>
    <s v="W4"/>
    <n v="3.4998739999999997"/>
    <n v="34.79"/>
    <x v="2"/>
    <x v="0"/>
    <d v="2026-05-18T00:00:00"/>
    <d v="2026-05-25T00:00:00"/>
    <s v="May'26"/>
    <s v="May'26"/>
    <s v="Amit construction"/>
  </r>
  <r>
    <n v="206"/>
    <s v="49/2"/>
    <s v="DA+0"/>
    <s v="W4"/>
    <n v="3.6376959999999996"/>
    <n v="36.159756000000002"/>
    <x v="1"/>
    <x v="0"/>
    <d v="2026-05-19T00:00:00"/>
    <d v="2026-05-27T00:00:00"/>
    <s v="May'26"/>
    <s v="May'26"/>
    <s v="ARAVALI INFRA-2"/>
  </r>
  <r>
    <n v="207"/>
    <s v="48/9"/>
    <s v="DA+3"/>
    <s v="W4"/>
    <n v="3.8158585999999999"/>
    <n v="37.931088000000003"/>
    <x v="1"/>
    <x v="0"/>
    <d v="2026-05-23T00:00:00"/>
    <d v="2026-05-26T00:00:00"/>
    <s v="May'26"/>
    <s v="May'26"/>
    <s v="Jwala singh -2"/>
  </r>
  <r>
    <n v="208"/>
    <s v="24/2"/>
    <s v="DA+0"/>
    <s v="W4"/>
    <n v="3.6376959999999996"/>
    <n v="36.159756000000002"/>
    <x v="0"/>
    <x v="0"/>
    <d v="2026-05-22T00:00:00"/>
    <d v="2026-05-26T00:00:00"/>
    <s v="May'26"/>
    <s v="May'26"/>
    <s v="Jwala Singh"/>
  </r>
  <r>
    <n v="209"/>
    <s v="21/0"/>
    <s v="DC2+0"/>
    <s v="W4"/>
    <n v="6.7665571999999994"/>
    <n v="67.261728000000005"/>
    <x v="0"/>
    <x v="2"/>
    <d v="2026-05-26T00:00:00"/>
    <m/>
    <s v="May'26"/>
    <s v="May'26"/>
    <s v="Jwala Singh "/>
  </r>
  <r>
    <n v="210"/>
    <s v="48/6"/>
    <s v="DA+3"/>
    <s v="W4"/>
    <n v="3.8158585999999999"/>
    <n v="37.931088000000003"/>
    <x v="1"/>
    <x v="3"/>
    <d v="2026-05-27T00:00:00"/>
    <m/>
    <s v="May'26"/>
    <s v="May'26"/>
    <s v="Jwala Singh 2"/>
  </r>
  <r>
    <n v="211"/>
    <s v="41/1"/>
    <s v="DC2+0"/>
    <m/>
    <m/>
    <m/>
    <x v="2"/>
    <x v="2"/>
    <d v="2025-05-27T00:00:00"/>
    <m/>
    <s v="May'26"/>
    <m/>
    <s v="Amit constru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"/>
    <s v="8/1"/>
    <x v="0"/>
    <s v="DA+0"/>
    <s v="DFR"/>
    <m/>
    <m/>
    <m/>
    <x v="0"/>
    <m/>
    <d v="2025-01-01T00:00:00"/>
    <m/>
    <s v="Jan'25"/>
    <s v="JSC Enterprises"/>
  </r>
  <r>
    <n v="2"/>
    <s v="8/3"/>
    <x v="0"/>
    <s v="DA+3"/>
    <s v="DFR"/>
    <m/>
    <m/>
    <m/>
    <x v="0"/>
    <m/>
    <d v="2025-01-01T00:00:00"/>
    <m/>
    <s v="Jan'25"/>
    <s v="JSC Enterprises"/>
  </r>
  <r>
    <n v="3"/>
    <s v="8/4"/>
    <x v="0"/>
    <s v="DA+3"/>
    <s v="DFR"/>
    <m/>
    <m/>
    <m/>
    <x v="0"/>
    <m/>
    <d v="2025-01-01T00:00:00"/>
    <m/>
    <s v="Jan'25"/>
    <s v="JSC Enterprises"/>
  </r>
  <r>
    <n v="4"/>
    <s v="8/6"/>
    <x v="0"/>
    <s v="DA+0"/>
    <s v="DFR"/>
    <m/>
    <m/>
    <m/>
    <x v="0"/>
    <m/>
    <d v="2025-01-01T00:00:00"/>
    <m/>
    <s v="Jan'25"/>
    <s v="Afflux Construction"/>
  </r>
  <r>
    <n v="5"/>
    <s v="16/4"/>
    <x v="0"/>
    <s v="DA+0"/>
    <s v="DFR"/>
    <m/>
    <m/>
    <m/>
    <x v="0"/>
    <m/>
    <d v="2025-01-01T00:00:00"/>
    <m/>
    <s v="Jan'25"/>
    <s v="JSC Enterprises"/>
  </r>
  <r>
    <n v="6"/>
    <s v="8/5"/>
    <x v="0"/>
    <s v="DA+0"/>
    <s v="DFR"/>
    <m/>
    <m/>
    <m/>
    <x v="0"/>
    <m/>
    <d v="2025-02-01T00:00:00"/>
    <m/>
    <s v="Feb'25"/>
    <s v="JSC Enterprises"/>
  </r>
  <r>
    <n v="7"/>
    <s v="8/7"/>
    <x v="0"/>
    <s v="DA+0"/>
    <s v="WC"/>
    <m/>
    <m/>
    <m/>
    <x v="0"/>
    <m/>
    <d v="2025-02-01T00:00:00"/>
    <m/>
    <s v="Feb'25"/>
    <s v="Afflux Construction"/>
  </r>
  <r>
    <n v="8"/>
    <s v="8/8"/>
    <x v="0"/>
    <s v="DA+3"/>
    <s v="WC"/>
    <m/>
    <m/>
    <m/>
    <x v="0"/>
    <m/>
    <d v="2025-02-01T00:00:00"/>
    <m/>
    <s v="Feb'25"/>
    <s v="Afflux Construction"/>
  </r>
  <r>
    <n v="9"/>
    <s v="8/2"/>
    <x v="0"/>
    <s v="DA+3"/>
    <s v="DFR"/>
    <m/>
    <m/>
    <m/>
    <x v="0"/>
    <m/>
    <d v="2025-02-01T00:00:00"/>
    <m/>
    <s v="Feb'25"/>
    <s v="JSC Enterprises"/>
  </r>
  <r>
    <n v="10"/>
    <s v="16/1"/>
    <x v="0"/>
    <s v="DA+0"/>
    <s v="DFR"/>
    <m/>
    <m/>
    <m/>
    <x v="0"/>
    <m/>
    <d v="2025-02-01T00:00:00"/>
    <m/>
    <s v="Feb'25"/>
    <s v="Surya Group"/>
  </r>
  <r>
    <n v="11"/>
    <s v="15/7"/>
    <x v="0"/>
    <s v="DA+0"/>
    <s v="DFR"/>
    <m/>
    <m/>
    <m/>
    <x v="0"/>
    <m/>
    <d v="2025-02-01T00:00:00"/>
    <m/>
    <s v="Feb'25"/>
    <s v="Surya Group"/>
  </r>
  <r>
    <n v="12"/>
    <s v="7/3"/>
    <x v="0"/>
    <s v="DA+0"/>
    <s v="DFR"/>
    <m/>
    <m/>
    <m/>
    <x v="0"/>
    <m/>
    <d v="2025-02-01T00:00:00"/>
    <m/>
    <s v="Feb'25"/>
    <s v="Afflux Construction"/>
  </r>
  <r>
    <n v="13"/>
    <s v="9/3"/>
    <x v="0"/>
    <s v="DA+6"/>
    <s v="DFR"/>
    <m/>
    <m/>
    <m/>
    <x v="0"/>
    <m/>
    <d v="2025-02-01T00:00:00"/>
    <m/>
    <s v="Feb'25"/>
    <s v="JSC Enterprises"/>
  </r>
  <r>
    <n v="14"/>
    <s v="15/8"/>
    <x v="0"/>
    <s v="DA+0"/>
    <s v="DFR"/>
    <m/>
    <m/>
    <m/>
    <x v="0"/>
    <m/>
    <d v="2025-02-01T00:00:00"/>
    <m/>
    <s v="Feb'25"/>
    <s v="Surya Group"/>
  </r>
  <r>
    <n v="15"/>
    <s v="13/1"/>
    <x v="0"/>
    <s v="DA-1.5"/>
    <s v="DFR"/>
    <m/>
    <m/>
    <m/>
    <x v="0"/>
    <m/>
    <d v="2025-02-01T00:00:00"/>
    <m/>
    <s v="Feb'25"/>
    <s v="Urmila Bibi"/>
  </r>
  <r>
    <n v="16"/>
    <s v="15/2"/>
    <x v="0"/>
    <s v="DA+3"/>
    <s v="DFR"/>
    <m/>
    <m/>
    <m/>
    <x v="0"/>
    <m/>
    <d v="2025-02-01T00:00:00"/>
    <m/>
    <s v="Feb'25"/>
    <s v="Shree Shyam Granite"/>
  </r>
  <r>
    <n v="17"/>
    <s v="15/9"/>
    <x v="0"/>
    <s v="DA+3"/>
    <s v="DFR"/>
    <m/>
    <m/>
    <m/>
    <x v="0"/>
    <m/>
    <d v="2025-02-01T00:00:00"/>
    <m/>
    <s v="Feb'25"/>
    <s v="Surya Group"/>
  </r>
  <r>
    <n v="18"/>
    <s v="9/2"/>
    <x v="0"/>
    <s v="DA+0"/>
    <s v="DFR"/>
    <m/>
    <m/>
    <m/>
    <x v="0"/>
    <m/>
    <d v="2025-02-01T00:00:00"/>
    <m/>
    <s v="Feb'25"/>
    <s v="JSC Enterprises"/>
  </r>
  <r>
    <n v="19"/>
    <s v="13/2"/>
    <x v="0"/>
    <s v="DA+0"/>
    <s v="DFR"/>
    <m/>
    <m/>
    <m/>
    <x v="0"/>
    <m/>
    <d v="2025-02-01T00:00:00"/>
    <m/>
    <s v="Feb'25"/>
    <s v="Urmila Bibi"/>
  </r>
  <r>
    <n v="20"/>
    <s v="7/4"/>
    <x v="0"/>
    <s v="DA+0"/>
    <s v="DFR"/>
    <m/>
    <m/>
    <m/>
    <x v="0"/>
    <m/>
    <d v="2025-03-01T00:00:00"/>
    <m/>
    <s v="Mar'25"/>
    <s v="Afflux Construction"/>
  </r>
  <r>
    <n v="21"/>
    <s v="15/4"/>
    <x v="0"/>
    <s v="DA+6"/>
    <s v="DFR"/>
    <m/>
    <m/>
    <m/>
    <x v="0"/>
    <m/>
    <d v="2025-03-01T00:00:00"/>
    <m/>
    <s v="Mar'25"/>
    <s v="Shree Shyam Granite"/>
  </r>
  <r>
    <n v="22"/>
    <s v="16/2"/>
    <x v="0"/>
    <s v="DA-3"/>
    <s v="WFR"/>
    <m/>
    <m/>
    <m/>
    <x v="0"/>
    <m/>
    <d v="2025-03-01T00:00:00"/>
    <m/>
    <s v="Mar'25"/>
    <s v="Surya Group"/>
  </r>
  <r>
    <n v="23"/>
    <s v="13/4"/>
    <x v="0"/>
    <s v="DA-3"/>
    <s v="DFR"/>
    <m/>
    <m/>
    <m/>
    <x v="0"/>
    <m/>
    <d v="2025-03-01T00:00:00"/>
    <m/>
    <s v="Mar'25"/>
    <s v="Urmila Bibi"/>
  </r>
  <r>
    <n v="24"/>
    <s v="16/8"/>
    <x v="0"/>
    <s v="DA-3"/>
    <s v="DFR"/>
    <m/>
    <m/>
    <m/>
    <x v="0"/>
    <m/>
    <d v="2025-03-01T00:00:00"/>
    <m/>
    <s v="Mar'25"/>
    <s v="Surya Group"/>
  </r>
  <r>
    <n v="25"/>
    <s v="7/2"/>
    <x v="0"/>
    <s v="DA+0"/>
    <s v="DFR"/>
    <m/>
    <m/>
    <m/>
    <x v="0"/>
    <m/>
    <d v="2025-03-01T00:00:00"/>
    <m/>
    <s v="Mar'25"/>
    <s v="Afflux Construction"/>
  </r>
  <r>
    <n v="26"/>
    <s v="13/3"/>
    <x v="0"/>
    <s v="DA+0"/>
    <s v="DFR"/>
    <m/>
    <m/>
    <m/>
    <x v="0"/>
    <m/>
    <d v="2025-03-01T00:00:00"/>
    <m/>
    <s v="Mar'25"/>
    <s v="Urmila Bibi"/>
  </r>
  <r>
    <n v="27"/>
    <s v="10/2"/>
    <x v="0"/>
    <s v="DA(-)3"/>
    <s v="DFR"/>
    <m/>
    <m/>
    <m/>
    <x v="0"/>
    <m/>
    <d v="2025-03-01T00:00:00"/>
    <m/>
    <s v="Mar'25"/>
    <s v="JSC Enterprises"/>
  </r>
  <r>
    <n v="28"/>
    <s v="15/1"/>
    <x v="0"/>
    <s v="DA+0"/>
    <s v="WFR"/>
    <m/>
    <m/>
    <m/>
    <x v="0"/>
    <m/>
    <d v="2025-03-01T00:00:00"/>
    <m/>
    <s v="Mar'25"/>
    <s v="Shree Shyam Granite"/>
  </r>
  <r>
    <n v="29"/>
    <s v="15/5"/>
    <x v="0"/>
    <s v="DA(-)3"/>
    <s v="WFR"/>
    <m/>
    <m/>
    <m/>
    <x v="0"/>
    <m/>
    <d v="2025-03-01T00:00:00"/>
    <m/>
    <s v="Mar'25"/>
    <s v="Surya Group"/>
  </r>
  <r>
    <n v="30"/>
    <s v="13/5"/>
    <x v="0"/>
    <s v="DA+0"/>
    <s v="DFR"/>
    <m/>
    <m/>
    <m/>
    <x v="0"/>
    <m/>
    <d v="2025-03-01T00:00:00"/>
    <m/>
    <s v="Mar'25"/>
    <s v="Urmila Bibi"/>
  </r>
  <r>
    <n v="31"/>
    <s v="10/1"/>
    <x v="0"/>
    <s v="DA+0"/>
    <s v="DFR"/>
    <m/>
    <m/>
    <m/>
    <x v="0"/>
    <m/>
    <d v="2025-03-01T00:00:00"/>
    <m/>
    <s v="Mar'25"/>
    <s v="JSC Enterprises"/>
  </r>
  <r>
    <n v="32"/>
    <s v="16/3"/>
    <x v="0"/>
    <s v="DA+9"/>
    <s v="WFR"/>
    <m/>
    <m/>
    <m/>
    <x v="0"/>
    <m/>
    <d v="2025-03-01T00:00:00"/>
    <m/>
    <s v="Mar'25"/>
    <s v="Surya Group"/>
  </r>
  <r>
    <n v="33"/>
    <s v="15/3"/>
    <x v="0"/>
    <s v="DA+0"/>
    <s v="DFR"/>
    <m/>
    <m/>
    <m/>
    <x v="0"/>
    <m/>
    <d v="2025-03-01T00:00:00"/>
    <m/>
    <s v="Mar'25"/>
    <s v="Shree Shyam Granite"/>
  </r>
  <r>
    <n v="34"/>
    <s v="14/1"/>
    <x v="0"/>
    <s v="DA+0"/>
    <s v="DFR"/>
    <m/>
    <m/>
    <m/>
    <x v="0"/>
    <m/>
    <d v="2025-03-01T00:00:00"/>
    <m/>
    <s v="Mar'25"/>
    <s v="Urmila Bibi"/>
  </r>
  <r>
    <n v="35"/>
    <s v="16/7"/>
    <x v="0"/>
    <s v="DA+0"/>
    <s v="DFR"/>
    <m/>
    <m/>
    <m/>
    <x v="0"/>
    <m/>
    <d v="2025-03-01T00:00:00"/>
    <m/>
    <s v="Mar'25"/>
    <s v="Surya Group"/>
  </r>
  <r>
    <n v="36"/>
    <s v="12/2"/>
    <x v="0"/>
    <s v="DA-3"/>
    <s v="DFR"/>
    <m/>
    <m/>
    <m/>
    <x v="0"/>
    <m/>
    <d v="2025-03-01T00:00:00"/>
    <m/>
    <s v="Mar'25"/>
    <s v="Afflux Construction"/>
  </r>
  <r>
    <n v="37"/>
    <s v="14/3"/>
    <x v="0"/>
    <s v="DA(-)3"/>
    <s v="DFR"/>
    <m/>
    <m/>
    <m/>
    <x v="0"/>
    <m/>
    <d v="2025-03-01T00:00:00"/>
    <m/>
    <s v="Mar'25"/>
    <s v="Urmila Bibi"/>
  </r>
  <r>
    <n v="38"/>
    <s v="12/5"/>
    <x v="0"/>
    <s v="DA+1.5"/>
    <s v="DFR"/>
    <m/>
    <m/>
    <m/>
    <x v="0"/>
    <m/>
    <d v="2025-03-01T00:00:00"/>
    <m/>
    <s v="Mar'25"/>
    <s v="Shree Shyam Granite"/>
  </r>
  <r>
    <n v="39"/>
    <s v="14/4"/>
    <x v="0"/>
    <s v="DA+3"/>
    <s v="DFR"/>
    <m/>
    <m/>
    <m/>
    <x v="0"/>
    <m/>
    <d v="2025-03-01T00:00:00"/>
    <m/>
    <s v="Mar'25"/>
    <s v="Urmila Bibi"/>
  </r>
  <r>
    <n v="40"/>
    <s v="16/6"/>
    <x v="0"/>
    <s v="DA-3"/>
    <s v="DFR"/>
    <m/>
    <m/>
    <m/>
    <x v="0"/>
    <m/>
    <d v="2025-03-01T00:00:00"/>
    <m/>
    <s v="Mar'25"/>
    <s v="Surya Group"/>
  </r>
  <r>
    <n v="41"/>
    <s v="12/1"/>
    <x v="0"/>
    <s v="DA+3"/>
    <s v="DFR"/>
    <m/>
    <m/>
    <m/>
    <x v="0"/>
    <m/>
    <d v="2025-03-01T00:00:00"/>
    <m/>
    <s v="Mar'25"/>
    <s v="Afflux Construction"/>
  </r>
  <r>
    <n v="42"/>
    <s v="12/6"/>
    <x v="0"/>
    <s v="DA+0"/>
    <s v="DFR"/>
    <m/>
    <m/>
    <m/>
    <x v="0"/>
    <m/>
    <d v="2025-03-01T00:00:00"/>
    <m/>
    <s v="Mar'25"/>
    <s v="Shree Shyam Granite"/>
  </r>
  <r>
    <n v="43"/>
    <s v="14/2"/>
    <x v="0"/>
    <s v="DA+0"/>
    <s v="DFR"/>
    <m/>
    <m/>
    <m/>
    <x v="0"/>
    <m/>
    <d v="2025-03-01T00:00:00"/>
    <m/>
    <s v="Mar'25"/>
    <s v="Urmila Bibi"/>
  </r>
  <r>
    <n v="44"/>
    <s v="16/9"/>
    <x v="0"/>
    <s v="DA+0"/>
    <s v="DFR"/>
    <m/>
    <m/>
    <m/>
    <x v="0"/>
    <m/>
    <d v="2025-03-01T00:00:00"/>
    <m/>
    <s v="Mar'25"/>
    <s v="Surya Group"/>
  </r>
  <r>
    <n v="45"/>
    <s v="16/5"/>
    <x v="0"/>
    <s v="DA+6"/>
    <s v="DFR"/>
    <m/>
    <m/>
    <m/>
    <x v="0"/>
    <m/>
    <d v="2025-03-01T00:00:00"/>
    <m/>
    <s v="Mar'25"/>
    <s v="Surya Group"/>
  </r>
  <r>
    <n v="46"/>
    <s v="12/3"/>
    <x v="0"/>
    <s v="DA(-)3"/>
    <s v="DFR"/>
    <m/>
    <m/>
    <m/>
    <x v="0"/>
    <m/>
    <d v="2025-03-01T00:00:00"/>
    <m/>
    <s v="Mar'25"/>
    <s v="Afflux Construction"/>
  </r>
  <r>
    <n v="47"/>
    <s v="12/4"/>
    <x v="0"/>
    <s v="DA+0"/>
    <s v="DFR"/>
    <m/>
    <m/>
    <m/>
    <x v="0"/>
    <m/>
    <d v="2025-03-01T00:00:00"/>
    <m/>
    <s v="Mar'25"/>
    <s v="Shree Shyam Granite"/>
  </r>
  <r>
    <n v="48"/>
    <s v="16/11"/>
    <x v="0"/>
    <s v="DA+0"/>
    <s v="DFR"/>
    <m/>
    <m/>
    <m/>
    <x v="0"/>
    <m/>
    <d v="2025-03-01T00:00:00"/>
    <m/>
    <s v="Mar'25"/>
    <s v="Surya Group"/>
  </r>
  <r>
    <n v="49"/>
    <s v="16/10"/>
    <x v="0"/>
    <s v="DA+6"/>
    <s v="WFR"/>
    <m/>
    <m/>
    <m/>
    <x v="0"/>
    <m/>
    <d v="2025-03-01T00:00:00"/>
    <m/>
    <s v="Mar'25"/>
    <s v="Surya Group"/>
  </r>
  <r>
    <n v="50"/>
    <s v="24/3"/>
    <x v="0"/>
    <s v="DA+6"/>
    <s v="DFR"/>
    <m/>
    <m/>
    <m/>
    <x v="0"/>
    <m/>
    <d v="2025-03-01T00:00:00"/>
    <m/>
    <s v="Mar'25"/>
    <s v="Surya Group"/>
  </r>
  <r>
    <n v="51"/>
    <s v="24/1"/>
    <x v="0"/>
    <s v="DA+0"/>
    <s v="DFR"/>
    <m/>
    <m/>
    <m/>
    <x v="0"/>
    <m/>
    <d v="2025-03-01T00:00:00"/>
    <m/>
    <s v="Mar'25"/>
    <s v="Surya Group"/>
  </r>
  <r>
    <n v="52"/>
    <s v="39/4"/>
    <x v="1"/>
    <s v="DA+0"/>
    <s v="DFR"/>
    <m/>
    <m/>
    <m/>
    <x v="0"/>
    <m/>
    <d v="2025-03-01T00:00:00"/>
    <m/>
    <s v="Mar'25"/>
    <s v="Shree Shyam Granite"/>
  </r>
  <r>
    <n v="53"/>
    <s v="39/7"/>
    <x v="1"/>
    <s v="DA+0"/>
    <s v="DFR"/>
    <m/>
    <m/>
    <m/>
    <x v="0"/>
    <m/>
    <d v="2025-04-01T00:00:00"/>
    <m/>
    <s v="Apr'25"/>
    <s v="Afflux Construction"/>
  </r>
  <r>
    <n v="54"/>
    <s v="24/6"/>
    <x v="0"/>
    <s v="DA+3"/>
    <s v="DFR"/>
    <m/>
    <m/>
    <m/>
    <x v="0"/>
    <m/>
    <d v="2025-04-01T00:00:00"/>
    <m/>
    <s v="Apr'25"/>
    <s v="Surya Group"/>
  </r>
  <r>
    <n v="55"/>
    <s v="24/2"/>
    <x v="0"/>
    <s v="DA+0"/>
    <s v="DFR"/>
    <m/>
    <m/>
    <m/>
    <x v="0"/>
    <m/>
    <d v="2025-04-01T00:00:00"/>
    <m/>
    <s v="Apr'25"/>
    <s v="Surya Group"/>
  </r>
  <r>
    <n v="56"/>
    <s v="39/2"/>
    <x v="1"/>
    <s v="DA+0"/>
    <s v="DFR"/>
    <m/>
    <m/>
    <m/>
    <x v="0"/>
    <m/>
    <d v="2025-04-01T00:00:00"/>
    <m/>
    <s v="Apr'25"/>
    <s v="Shree Shyam Granite"/>
  </r>
  <r>
    <n v="57"/>
    <s v="39/3"/>
    <x v="1"/>
    <s v="DA+0"/>
    <s v="DFR"/>
    <m/>
    <m/>
    <m/>
    <x v="0"/>
    <m/>
    <d v="2025-04-01T00:00:00"/>
    <m/>
    <s v="Apr'25"/>
    <s v="Shree Shyam Granite"/>
  </r>
  <r>
    <n v="58"/>
    <s v="39/5"/>
    <x v="1"/>
    <s v="DA+0"/>
    <s v="DFR"/>
    <m/>
    <m/>
    <m/>
    <x v="0"/>
    <m/>
    <d v="2025-04-01T00:00:00"/>
    <m/>
    <s v="Apr'25"/>
    <s v="Afflux Construction"/>
  </r>
  <r>
    <n v="59"/>
    <s v="24/9"/>
    <x v="0"/>
    <s v="DA(-)1.5"/>
    <s v="DFR"/>
    <m/>
    <m/>
    <m/>
    <x v="0"/>
    <m/>
    <d v="2025-04-01T00:00:00"/>
    <m/>
    <s v="Apr'25"/>
    <s v="Surya Group"/>
  </r>
  <r>
    <n v="60"/>
    <s v="24/7"/>
    <x v="0"/>
    <s v="DA+0"/>
    <s v="DFR"/>
    <m/>
    <m/>
    <m/>
    <x v="0"/>
    <m/>
    <d v="2025-04-01T00:00:00"/>
    <m/>
    <s v="Apr'25"/>
    <s v="Surya Group"/>
  </r>
  <r>
    <n v="61"/>
    <s v="21/1"/>
    <x v="0"/>
    <s v="DA(-)3"/>
    <s v="WC"/>
    <m/>
    <m/>
    <m/>
    <x v="0"/>
    <m/>
    <d v="2025-04-01T00:00:00"/>
    <m/>
    <s v="Apr'25"/>
    <s v="Yatharth Construction"/>
  </r>
  <r>
    <n v="62"/>
    <s v="24/8"/>
    <x v="0"/>
    <s v="DA+6"/>
    <s v="DFR"/>
    <m/>
    <m/>
    <m/>
    <x v="0"/>
    <m/>
    <d v="2025-04-01T00:00:00"/>
    <m/>
    <s v="Apr'25"/>
    <s v="Surya Group"/>
  </r>
  <r>
    <n v="63"/>
    <s v="39/1"/>
    <x v="1"/>
    <s v="DA+3"/>
    <s v="WC"/>
    <m/>
    <m/>
    <m/>
    <x v="0"/>
    <m/>
    <d v="2025-04-01T00:00:00"/>
    <m/>
    <s v="Apr'25"/>
    <s v="Shree Shyam Granite"/>
  </r>
  <r>
    <n v="64"/>
    <s v="24/10"/>
    <x v="0"/>
    <s v="DA+1.5"/>
    <s v="DFR"/>
    <m/>
    <m/>
    <m/>
    <x v="0"/>
    <m/>
    <d v="2025-04-01T00:00:00"/>
    <m/>
    <s v="Apr'25"/>
    <s v="Surya Group"/>
  </r>
  <r>
    <n v="65"/>
    <s v="40/1"/>
    <x v="1"/>
    <s v="DA+3"/>
    <s v="DFR"/>
    <m/>
    <m/>
    <m/>
    <x v="0"/>
    <m/>
    <d v="2025-04-01T00:00:00"/>
    <m/>
    <s v="Apr'25"/>
    <s v="Afflux Construction"/>
  </r>
  <r>
    <n v="66"/>
    <s v="24/11"/>
    <x v="0"/>
    <s v="DA+0"/>
    <s v="DFR"/>
    <m/>
    <m/>
    <m/>
    <x v="0"/>
    <m/>
    <d v="2025-04-01T00:00:00"/>
    <m/>
    <s v="Apr'25"/>
    <s v="Surya Group"/>
  </r>
  <r>
    <n v="67"/>
    <s v="24/5"/>
    <x v="0"/>
    <s v="DA(-)3"/>
    <s v="DFR"/>
    <m/>
    <m/>
    <m/>
    <x v="0"/>
    <m/>
    <d v="2025-04-01T00:00:00"/>
    <m/>
    <s v="Apr'25"/>
    <s v="Surya Group"/>
  </r>
  <r>
    <n v="68"/>
    <s v="21/2"/>
    <x v="0"/>
    <s v="DA+0"/>
    <s v="WC"/>
    <m/>
    <m/>
    <m/>
    <x v="0"/>
    <m/>
    <d v="2025-04-01T00:00:00"/>
    <m/>
    <s v="Apr'25"/>
    <s v="Yatharth Construction"/>
  </r>
  <r>
    <n v="69"/>
    <s v="41/1"/>
    <x v="1"/>
    <s v="DA+6"/>
    <s v="DFR"/>
    <m/>
    <m/>
    <m/>
    <x v="0"/>
    <m/>
    <d v="2025-04-01T00:00:00"/>
    <m/>
    <s v="Apr'25"/>
    <s v="Shree Shyam Granite"/>
  </r>
  <r>
    <n v="70"/>
    <s v="24/4"/>
    <x v="0"/>
    <s v="DA(-)3"/>
    <s v="DFR"/>
    <m/>
    <m/>
    <m/>
    <x v="0"/>
    <m/>
    <d v="2025-04-01T00:00:00"/>
    <m/>
    <s v="Apr'25"/>
    <s v="Surya Group"/>
  </r>
  <r>
    <n v="71"/>
    <s v="44/2"/>
    <x v="1"/>
    <s v="DA+3"/>
    <s v="DFR"/>
    <m/>
    <m/>
    <m/>
    <x v="0"/>
    <m/>
    <d v="2025-04-01T00:00:00"/>
    <m/>
    <s v="Apr'25"/>
    <s v="Urmila Bibi"/>
  </r>
  <r>
    <n v="72"/>
    <s v="40/2"/>
    <x v="1"/>
    <s v="DA+0"/>
    <s v="DFR"/>
    <m/>
    <m/>
    <m/>
    <x v="0"/>
    <m/>
    <d v="2025-04-01T00:00:00"/>
    <m/>
    <s v="Apr'25"/>
    <s v="Afflux Construction"/>
  </r>
  <r>
    <n v="73"/>
    <s v="26/1"/>
    <x v="0"/>
    <s v="DA+1.5"/>
    <s v="DFR"/>
    <m/>
    <m/>
    <m/>
    <x v="0"/>
    <m/>
    <d v="2025-04-01T00:00:00"/>
    <m/>
    <s v="Apr'25"/>
    <s v="Surya Group"/>
  </r>
  <r>
    <n v="74"/>
    <s v="8/9"/>
    <x v="0"/>
    <s v="DA-3"/>
    <s v="WC"/>
    <m/>
    <m/>
    <m/>
    <x v="0"/>
    <m/>
    <d v="2025-04-01T00:00:00"/>
    <m/>
    <s v="Apr'25"/>
    <s v="JSC Enterprises"/>
  </r>
  <r>
    <n v="75"/>
    <s v="26/2"/>
    <x v="0"/>
    <s v="DA+6"/>
    <s v="DFR"/>
    <m/>
    <m/>
    <m/>
    <x v="0"/>
    <m/>
    <d v="2025-04-01T00:00:00"/>
    <m/>
    <s v="Apr'25"/>
    <s v="Surya Group"/>
  </r>
  <r>
    <n v="76"/>
    <s v="44/3"/>
    <x v="1"/>
    <s v="DA+0"/>
    <s v="DFR"/>
    <m/>
    <m/>
    <m/>
    <x v="0"/>
    <m/>
    <d v="2025-04-01T00:00:00"/>
    <m/>
    <s v="Apr'25"/>
    <s v="Urmila Bibi"/>
  </r>
  <r>
    <n v="77"/>
    <s v="41/2"/>
    <x v="1"/>
    <s v="DA(-)1.5"/>
    <s v="DFR"/>
    <m/>
    <m/>
    <m/>
    <x v="0"/>
    <m/>
    <d v="2025-04-01T00:00:00"/>
    <m/>
    <s v="Apr'25"/>
    <s v="Shree Shyam Granite"/>
  </r>
  <r>
    <n v="78"/>
    <s v="40/3"/>
    <x v="1"/>
    <s v="DA+0"/>
    <s v="DFR"/>
    <m/>
    <m/>
    <m/>
    <x v="0"/>
    <m/>
    <d v="2025-04-01T00:00:00"/>
    <m/>
    <s v="Apr'25"/>
    <s v="Afflux Construction"/>
  </r>
  <r>
    <n v="79"/>
    <s v="21/3"/>
    <x v="0"/>
    <s v="DA+0"/>
    <s v="DFR"/>
    <m/>
    <m/>
    <m/>
    <x v="0"/>
    <m/>
    <d v="2025-04-01T00:00:00"/>
    <m/>
    <s v="Apr'25"/>
    <s v="Yatharth Construction"/>
  </r>
  <r>
    <n v="80"/>
    <s v="9/1"/>
    <x v="0"/>
    <s v="DA+3"/>
    <s v="DFR"/>
    <m/>
    <m/>
    <m/>
    <x v="0"/>
    <m/>
    <d v="2025-04-01T00:00:00"/>
    <m/>
    <s v="Apr'25"/>
    <s v="GM Construction"/>
  </r>
  <r>
    <n v="81"/>
    <s v="26/3"/>
    <x v="0"/>
    <s v="DA+6"/>
    <s v="WFR"/>
    <m/>
    <m/>
    <m/>
    <x v="0"/>
    <m/>
    <d v="2025-04-01T00:00:00"/>
    <m/>
    <s v="Apr'25"/>
    <s v="Surya Group"/>
  </r>
  <r>
    <n v="82"/>
    <s v="26/4"/>
    <x v="0"/>
    <s v="DA(-)3"/>
    <s v="DFR"/>
    <m/>
    <m/>
    <m/>
    <x v="0"/>
    <m/>
    <d v="2025-04-01T00:00:00"/>
    <m/>
    <s v="Apr'25"/>
    <s v="Surya Group"/>
  </r>
  <r>
    <n v="83"/>
    <s v="27/2"/>
    <x v="0"/>
    <s v="DA+0"/>
    <s v="WFR"/>
    <m/>
    <m/>
    <m/>
    <x v="0"/>
    <m/>
    <d v="2025-04-01T00:00:00"/>
    <m/>
    <s v="Apr'25"/>
    <s v="Surya Group"/>
  </r>
  <r>
    <n v="84"/>
    <s v="27/5"/>
    <x v="0"/>
    <s v="DA(-)1.5"/>
    <s v="DFR"/>
    <m/>
    <m/>
    <m/>
    <x v="0"/>
    <m/>
    <d v="2025-04-01T00:00:00"/>
    <m/>
    <s v="Apr'25"/>
    <s v="Surya Group"/>
  </r>
  <r>
    <n v="85"/>
    <s v="8/10"/>
    <x v="0"/>
    <s v="DA+0"/>
    <s v="WC"/>
    <m/>
    <m/>
    <m/>
    <x v="0"/>
    <m/>
    <d v="2025-04-01T00:00:00"/>
    <m/>
    <s v="Apr'25"/>
    <s v="JSC Enterprises"/>
  </r>
  <r>
    <n v="86"/>
    <s v="41/5"/>
    <x v="1"/>
    <s v="DA+0"/>
    <s v="DFR"/>
    <m/>
    <m/>
    <m/>
    <x v="0"/>
    <m/>
    <d v="2025-04-01T00:00:00"/>
    <m/>
    <s v="Apr'25"/>
    <s v="Shree Shyam Granite"/>
  </r>
  <r>
    <n v="87"/>
    <s v="39/8"/>
    <x v="1"/>
    <s v="DA+3"/>
    <s v="DFR"/>
    <m/>
    <m/>
    <m/>
    <x v="0"/>
    <m/>
    <d v="2025-04-01T00:00:00"/>
    <m/>
    <s v="Apr'25"/>
    <s v="Afflux Construction"/>
  </r>
  <r>
    <n v="88"/>
    <s v="36/8"/>
    <x v="0"/>
    <s v="DA+0"/>
    <s v="WFR"/>
    <m/>
    <m/>
    <m/>
    <x v="0"/>
    <m/>
    <d v="2025-04-01T00:00:00"/>
    <m/>
    <s v="Apr'25"/>
    <s v="Urmila Bibi"/>
  </r>
  <r>
    <n v="89"/>
    <s v="27/4"/>
    <x v="0"/>
    <s v="DA(-)3"/>
    <s v="DFR"/>
    <m/>
    <m/>
    <m/>
    <x v="0"/>
    <m/>
    <d v="2025-04-01T00:00:00"/>
    <m/>
    <s v="Apr'25"/>
    <s v="Surya Group"/>
  </r>
  <r>
    <n v="90"/>
    <s v="21/4"/>
    <x v="0"/>
    <s v="DA+3"/>
    <s v="DFR"/>
    <m/>
    <m/>
    <m/>
    <x v="0"/>
    <m/>
    <d v="2025-04-01T00:00:00"/>
    <m/>
    <s v="Apr'25"/>
    <s v="Yatharth Construction"/>
  </r>
  <r>
    <n v="91"/>
    <s v="36/7"/>
    <x v="0"/>
    <s v="DA+3"/>
    <s v="DFR"/>
    <m/>
    <m/>
    <m/>
    <x v="0"/>
    <m/>
    <d v="2025-04-01T00:00:00"/>
    <m/>
    <s v="Apr'25"/>
    <s v="Urmila Bibi"/>
  </r>
  <r>
    <n v="92"/>
    <s v="41/8"/>
    <x v="1"/>
    <s v="DA+3"/>
    <s v="DFR"/>
    <m/>
    <m/>
    <m/>
    <x v="0"/>
    <m/>
    <d v="2025-04-01T00:00:00"/>
    <m/>
    <s v="Apr'25"/>
    <s v="Jeenmata Infratech"/>
  </r>
  <r>
    <n v="93"/>
    <s v="5/2"/>
    <x v="0"/>
    <s v="DA+0"/>
    <s v="WC"/>
    <m/>
    <m/>
    <m/>
    <x v="0"/>
    <m/>
    <d v="2025-04-01T00:00:00"/>
    <m/>
    <s v="Apr'25"/>
    <s v="GM Construction"/>
  </r>
  <r>
    <n v="94"/>
    <s v="29/1"/>
    <x v="0"/>
    <s v="DA+1.5"/>
    <s v="DFR"/>
    <m/>
    <m/>
    <m/>
    <x v="0"/>
    <m/>
    <d v="2025-04-01T00:00:00"/>
    <m/>
    <s v="Apr'25"/>
    <s v="Surya Group"/>
  </r>
  <r>
    <n v="95"/>
    <s v="22/1"/>
    <x v="0"/>
    <s v="DA+6"/>
    <s v="DFR"/>
    <m/>
    <m/>
    <m/>
    <x v="0"/>
    <m/>
    <d v="2025-04-01T00:00:00"/>
    <m/>
    <s v="Apr'25"/>
    <s v="Yatharth Construction"/>
  </r>
  <r>
    <n v="96"/>
    <s v="7/1"/>
    <x v="0"/>
    <s v="DA+0"/>
    <s v="DFR"/>
    <m/>
    <m/>
    <m/>
    <x v="0"/>
    <m/>
    <d v="2025-04-01T00:00:00"/>
    <m/>
    <s v="Apr'25"/>
    <s v="JSC Enterprises"/>
  </r>
  <r>
    <n v="97"/>
    <s v="36/2"/>
    <x v="0"/>
    <s v="DA+0"/>
    <s v="DFR"/>
    <m/>
    <m/>
    <m/>
    <x v="0"/>
    <m/>
    <d v="2025-04-01T00:00:00"/>
    <m/>
    <s v="Apr'25"/>
    <s v="Afflux Construction"/>
  </r>
  <r>
    <n v="98"/>
    <s v="36/6"/>
    <x v="0"/>
    <s v="DA(-)1.5"/>
    <s v="DFR"/>
    <m/>
    <m/>
    <m/>
    <x v="0"/>
    <m/>
    <d v="2025-04-01T00:00:00"/>
    <m/>
    <s v="Apr'25"/>
    <s v="Urmila Bibi"/>
  </r>
  <r>
    <n v="99"/>
    <s v="34/2"/>
    <x v="0"/>
    <s v="DA(-)3"/>
    <s v="WC"/>
    <m/>
    <m/>
    <m/>
    <x v="0"/>
    <m/>
    <d v="2025-04-01T00:00:00"/>
    <m/>
    <s v="Apr'25"/>
    <s v="Jeenmata Infratech"/>
  </r>
  <r>
    <n v="100"/>
    <s v="29/2"/>
    <x v="0"/>
    <s v="DA+1.5"/>
    <s v="DFR"/>
    <m/>
    <m/>
    <m/>
    <x v="0"/>
    <m/>
    <d v="2025-04-01T00:00:00"/>
    <m/>
    <s v="Apr'25"/>
    <s v="Surya Group"/>
  </r>
  <r>
    <n v="101"/>
    <s v="36/3"/>
    <x v="0"/>
    <s v="DA+0"/>
    <s v="DFR"/>
    <m/>
    <m/>
    <m/>
    <x v="0"/>
    <s v="23/04/2025"/>
    <s v="02/05/2025"/>
    <s v="Apr'25"/>
    <s v="May'25"/>
    <s v="URMILA-BIBI"/>
  </r>
  <r>
    <n v="102"/>
    <s v="5/1"/>
    <x v="0"/>
    <s v="DA(-)3"/>
    <s v="DFR"/>
    <m/>
    <m/>
    <m/>
    <x v="0"/>
    <s v="28/04/2025"/>
    <d v="2025-03-05T00:00:00"/>
    <s v="Apr'25"/>
    <s v="May'25"/>
    <s v="GM Construction  "/>
  </r>
  <r>
    <n v="103"/>
    <s v="27/3"/>
    <x v="0"/>
    <s v="DA+1.5"/>
    <s v="DFR"/>
    <m/>
    <m/>
    <m/>
    <x v="0"/>
    <s v="28/04/2025"/>
    <d v="2025-03-05T00:00:00"/>
    <s v="Apr'25"/>
    <s v="May'25"/>
    <s v="SURYA-GROUP "/>
  </r>
  <r>
    <n v="104"/>
    <s v="23/1"/>
    <x v="0"/>
    <s v="DA+3"/>
    <s v="DFR"/>
    <m/>
    <m/>
    <m/>
    <x v="0"/>
    <s v="1/5/2025"/>
    <d v="2025-04-05T00:00:00"/>
    <s v="May'25"/>
    <s v="May'25"/>
    <s v="Yatharth Construction"/>
  </r>
  <r>
    <n v="105"/>
    <s v="30/1"/>
    <x v="0"/>
    <s v="DA+1.5"/>
    <s v="DFR"/>
    <m/>
    <m/>
    <m/>
    <x v="0"/>
    <s v="2/5/2025"/>
    <d v="2025-05-05T00:00:00"/>
    <s v="May'25"/>
    <s v="May'25"/>
    <s v="SURYA-GROUP "/>
  </r>
  <r>
    <n v="106"/>
    <s v="34/1"/>
    <x v="0"/>
    <s v="DA+3"/>
    <s v="WFR"/>
    <m/>
    <m/>
    <m/>
    <x v="0"/>
    <s v="27/4/2025"/>
    <d v="2025-05-05T00:00:00"/>
    <s v="Apr'25"/>
    <s v="May'25"/>
    <s v="SREE SHAYAM GRANTE "/>
  </r>
  <r>
    <n v="107"/>
    <s v="36/4"/>
    <x v="0"/>
    <s v="DA+3"/>
    <s v="DFR"/>
    <m/>
    <m/>
    <m/>
    <x v="0"/>
    <s v="23/04/2025"/>
    <d v="2025-05-05T00:00:00"/>
    <s v="Apr'25"/>
    <s v="May'25"/>
    <s v="URMILA-BIBI"/>
  </r>
  <r>
    <n v="108"/>
    <s v="36/5"/>
    <x v="0"/>
    <s v="DA+6"/>
    <s v="WC"/>
    <m/>
    <m/>
    <m/>
    <x v="0"/>
    <s v="30/04/2025"/>
    <d v="2025-05-05T00:00:00"/>
    <s v="Apr'25"/>
    <s v="May'25"/>
    <s v="AFFLUX CONSTRUCTION "/>
  </r>
  <r>
    <n v="109"/>
    <s v="5/5"/>
    <x v="0"/>
    <s v="DA+0"/>
    <s v="WC"/>
    <m/>
    <m/>
    <m/>
    <x v="0"/>
    <m/>
    <d v="2025-05-06T00:00:00"/>
    <m/>
    <s v="May'25"/>
    <s v="GM Construction  "/>
  </r>
  <r>
    <n v="110"/>
    <s v="6/3"/>
    <x v="0"/>
    <s v="DA+1.5"/>
    <s v="DFR"/>
    <m/>
    <m/>
    <m/>
    <x v="0"/>
    <m/>
    <d v="2025-05-07T00:00:00"/>
    <m/>
    <s v="May'25"/>
    <s v="JSC Enterprises"/>
  </r>
  <r>
    <n v="111"/>
    <s v="20/1"/>
    <x v="0"/>
    <s v="DA(-)3"/>
    <s v="DFR"/>
    <m/>
    <m/>
    <m/>
    <x v="0"/>
    <m/>
    <d v="2025-05-08T00:00:00"/>
    <m/>
    <s v="May'25"/>
    <s v="Yatharth Construction"/>
  </r>
  <r>
    <n v="112"/>
    <s v="34/3"/>
    <x v="0"/>
    <s v="DA+6"/>
    <s v="WFR"/>
    <m/>
    <m/>
    <m/>
    <x v="0"/>
    <m/>
    <d v="2025-05-08T00:00:00"/>
    <m/>
    <s v="May'25"/>
    <s v="Jeenmata Infratech"/>
  </r>
  <r>
    <n v="113"/>
    <s v="32/3"/>
    <x v="0"/>
    <s v="DA+1.5"/>
    <s v="DFR"/>
    <m/>
    <m/>
    <m/>
    <x v="0"/>
    <m/>
    <d v="2025-05-08T00:00:00"/>
    <m/>
    <s v="May'25"/>
    <s v="SURYA-GROUP "/>
  </r>
  <r>
    <n v="114"/>
    <s v="36/1"/>
    <x v="0"/>
    <s v="DA+0"/>
    <s v="DFR"/>
    <m/>
    <m/>
    <m/>
    <x v="0"/>
    <m/>
    <d v="2025-05-09T00:00:00"/>
    <m/>
    <s v="May'25"/>
    <s v="AFFLUX CONSTRUCTION "/>
  </r>
  <r>
    <n v="115"/>
    <s v="5/3"/>
    <x v="0"/>
    <s v="DA+3"/>
    <s v="WC"/>
    <m/>
    <m/>
    <m/>
    <x v="0"/>
    <m/>
    <d v="2025-05-09T00:00:00"/>
    <m/>
    <s v="May'25"/>
    <s v="GM Construction  "/>
  </r>
  <r>
    <n v="116"/>
    <s v="32/4"/>
    <x v="0"/>
    <s v="DA+0"/>
    <s v="DFR"/>
    <m/>
    <m/>
    <m/>
    <x v="0"/>
    <m/>
    <d v="2025-05-10T00:00:00"/>
    <m/>
    <s v="May'25"/>
    <s v="SURYA-GROUP "/>
  </r>
  <r>
    <n v="117"/>
    <s v="38/4"/>
    <x v="0"/>
    <s v="DA+3"/>
    <s v="DFR"/>
    <m/>
    <m/>
    <m/>
    <x v="0"/>
    <m/>
    <d v="2025-05-11T00:00:00"/>
    <m/>
    <s v="May'25"/>
    <s v="URMILA-BIBI"/>
  </r>
  <r>
    <n v="118"/>
    <s v="20/2"/>
    <x v="0"/>
    <s v="DA(-)3"/>
    <s v="DFR"/>
    <m/>
    <m/>
    <m/>
    <x v="0"/>
    <m/>
    <d v="2025-05-12T00:00:00"/>
    <m/>
    <s v="May'25"/>
    <s v="YATHARTH-CONSTRUCTION"/>
  </r>
  <r>
    <n v="119"/>
    <s v="5/4"/>
    <x v="0"/>
    <s v="DA+1.5"/>
    <s v="WC"/>
    <m/>
    <m/>
    <m/>
    <x v="0"/>
    <m/>
    <d v="2025-05-13T00:00:00"/>
    <m/>
    <s v="May'25"/>
    <s v="GM Construction  "/>
  </r>
  <r>
    <n v="120"/>
    <s v="38/3"/>
    <x v="0"/>
    <s v="DA(-)3"/>
    <s v="DFR"/>
    <m/>
    <m/>
    <m/>
    <x v="0"/>
    <m/>
    <d v="2025-05-13T00:00:00"/>
    <m/>
    <s v="May'25"/>
    <s v="URMILA-BIBI"/>
  </r>
  <r>
    <n v="121"/>
    <s v="32/5"/>
    <x v="0"/>
    <s v="DA+1.5"/>
    <s v="DFR"/>
    <m/>
    <m/>
    <m/>
    <x v="0"/>
    <m/>
    <d v="2025-05-15T00:00:00"/>
    <m/>
    <s v="May'25"/>
    <s v="SURYA-GROUP "/>
  </r>
  <r>
    <n v="122"/>
    <s v="6/1"/>
    <x v="0"/>
    <s v="DA(-)1.5"/>
    <s v="DFR"/>
    <m/>
    <m/>
    <m/>
    <x v="0"/>
    <d v="2025-05-15T00:00:00"/>
    <d v="2025-05-16T00:00:00"/>
    <s v="May'25"/>
    <s v="May'25"/>
    <s v="JSC Enterprises"/>
  </r>
  <r>
    <n v="123"/>
    <s v="38/1"/>
    <x v="0"/>
    <s v="DA(-)3"/>
    <s v="DFR"/>
    <m/>
    <m/>
    <m/>
    <x v="0"/>
    <m/>
    <d v="2025-05-17T00:00:00"/>
    <m/>
    <s v="May'25"/>
    <s v="URMILA-BIBI"/>
  </r>
  <r>
    <n v="124"/>
    <s v="38/7"/>
    <x v="0"/>
    <s v="DA+0"/>
    <s v="WC"/>
    <m/>
    <m/>
    <m/>
    <x v="0"/>
    <d v="2025-05-14T00:00:00"/>
    <d v="2025-05-19T00:00:00"/>
    <s v="May'25"/>
    <s v="May'25"/>
    <s v="AFFLUX CONSTRUCTION "/>
  </r>
  <r>
    <n v="125"/>
    <s v="47/8"/>
    <x v="1"/>
    <s v="DA+0"/>
    <s v="DFR"/>
    <m/>
    <m/>
    <m/>
    <x v="0"/>
    <s v="14.05.2025"/>
    <s v="19.05.2025"/>
    <s v="May'25"/>
    <s v="May'25"/>
    <s v="Jeenmata Infratech"/>
  </r>
  <r>
    <n v="126"/>
    <s v="49/1"/>
    <x v="2"/>
    <s v="DA+6"/>
    <s v="DFR"/>
    <m/>
    <m/>
    <m/>
    <x v="0"/>
    <s v="15/05/2025"/>
    <s v="19.05.2025"/>
    <s v="May'25"/>
    <s v="May'25"/>
    <s v="GM Construction  "/>
  </r>
  <r>
    <n v="127"/>
    <s v="32/7"/>
    <x v="0"/>
    <s v="DA(-)1.5 "/>
    <s v="DFR"/>
    <m/>
    <m/>
    <m/>
    <x v="0"/>
    <s v="16/05/2025"/>
    <s v="21/5/2025"/>
    <s v="May'25"/>
    <s v="May'25"/>
    <s v="SURYA-GROUP "/>
  </r>
  <r>
    <n v="128"/>
    <s v="32/6"/>
    <x v="0"/>
    <s v="DA+0"/>
    <s v="DFR"/>
    <m/>
    <m/>
    <m/>
    <x v="0"/>
    <s v="14/05/2025"/>
    <s v="21/05/2025"/>
    <s v="May'25"/>
    <s v="May'25"/>
    <s v="SURYA-GROUP "/>
  </r>
  <r>
    <n v="129"/>
    <s v="51/2"/>
    <x v="2"/>
    <s v="DA(-)3"/>
    <s v="DFR"/>
    <m/>
    <m/>
    <m/>
    <x v="0"/>
    <s v="14.05.2025"/>
    <s v="22.05.2025"/>
    <s v="May'25"/>
    <s v="May'25"/>
    <s v="YATHARTH-CONSTRUCTION"/>
  </r>
  <r>
    <n v="130"/>
    <s v="47/11"/>
    <x v="2"/>
    <s v="DA+6"/>
    <s v="DFR"/>
    <m/>
    <m/>
    <m/>
    <x v="0"/>
    <s v="19.05.2025"/>
    <s v="23/5/2025"/>
    <s v="May'25"/>
    <s v="May'25"/>
    <s v="Jeenmata Infratech"/>
  </r>
  <r>
    <n v="131"/>
    <s v="5/7"/>
    <x v="0"/>
    <s v="DA(-)3"/>
    <s v="WC"/>
    <m/>
    <m/>
    <m/>
    <x v="0"/>
    <s v="19.05.2025"/>
    <s v="23/5/2025"/>
    <s v="May'25"/>
    <s v="May'25"/>
    <s v="URMILA-BIBI"/>
  </r>
  <r>
    <n v="132"/>
    <s v="38/6"/>
    <x v="0"/>
    <s v="DA(-)3"/>
    <s v="DFR"/>
    <m/>
    <m/>
    <m/>
    <x v="0"/>
    <s v="15.05.2025"/>
    <s v="23.05.2025"/>
    <s v="May'25"/>
    <s v="May'25"/>
    <s v="AFFLUX CONSTRUCTION "/>
  </r>
  <r>
    <n v="133"/>
    <s v="49/3"/>
    <x v="2"/>
    <s v="DA+3"/>
    <s v="WC"/>
    <m/>
    <m/>
    <m/>
    <x v="0"/>
    <s v="15.05.2025"/>
    <s v="23.05.2025"/>
    <s v="May'25"/>
    <s v="May'25"/>
    <s v="GM Construction  "/>
  </r>
  <r>
    <n v="134"/>
    <s v="51/1"/>
    <x v="2"/>
    <s v="DA+0"/>
    <s v="DFR"/>
    <m/>
    <m/>
    <m/>
    <x v="0"/>
    <s v="17.05.2025"/>
    <s v="24.05.2025"/>
    <s v="May'25"/>
    <s v="May'25"/>
    <s v="YATHARTH-CONSTRUCTION"/>
  </r>
  <r>
    <n v="135"/>
    <s v="32/2"/>
    <x v="0"/>
    <s v="DA+1.5 "/>
    <s v="DFR"/>
    <m/>
    <m/>
    <m/>
    <x v="0"/>
    <s v="20.05.2025"/>
    <s v="25.05.2025"/>
    <s v="May'25"/>
    <s v="May'25"/>
    <s v="SURYA-GROUP "/>
  </r>
  <r>
    <n v="136"/>
    <s v="5/6"/>
    <x v="0"/>
    <s v="DA+0 "/>
    <s v="WC"/>
    <m/>
    <m/>
    <m/>
    <x v="0"/>
    <s v="20.05.2025"/>
    <s v="25.05.2025"/>
    <s v="May'25"/>
    <s v="May'25"/>
    <s v="URMILA-BIBI"/>
  </r>
  <r>
    <n v="137"/>
    <s v="49/2"/>
    <x v="2"/>
    <s v="DA+0"/>
    <s v="DFR"/>
    <m/>
    <m/>
    <m/>
    <x v="0"/>
    <m/>
    <d v="2025-05-26T00:00:00"/>
    <m/>
    <s v="May'25"/>
    <s v="GM Construction  "/>
  </r>
  <r>
    <n v="138"/>
    <s v="47/4"/>
    <x v="1"/>
    <s v="DA+3 "/>
    <s v="DFR"/>
    <m/>
    <m/>
    <m/>
    <x v="0"/>
    <s v="20.05.2025"/>
    <s v="27.05.2025"/>
    <s v="May'25"/>
    <s v="May'25"/>
    <s v="Jeenmata Infratech"/>
  </r>
  <r>
    <n v="139"/>
    <s v="51/3"/>
    <x v="2"/>
    <s v="DA(-)3"/>
    <s v="DFR"/>
    <m/>
    <m/>
    <m/>
    <x v="0"/>
    <m/>
    <s v="26.05.2025"/>
    <m/>
    <s v="May'25"/>
    <s v="YATHARTH-CONSTRUCTION"/>
  </r>
  <r>
    <n v="140"/>
    <s v="13/0"/>
    <x v="0"/>
    <s v="DB2+0"/>
    <s v="DFR"/>
    <m/>
    <m/>
    <m/>
    <x v="0"/>
    <m/>
    <s v="30.05.2025"/>
    <m/>
    <s v="May'25"/>
    <s v="URMILA-BIBI"/>
  </r>
  <r>
    <n v="141"/>
    <s v="38/8"/>
    <x v="0"/>
    <s v="DA+6"/>
    <s v="WC"/>
    <m/>
    <m/>
    <m/>
    <x v="0"/>
    <m/>
    <d v="2025-05-29T00:00:00"/>
    <m/>
    <s v="May'25"/>
    <s v="AFFLUX CONSTRUCTION "/>
  </r>
  <r>
    <n v="142"/>
    <s v="48/2"/>
    <x v="2"/>
    <s v="DA(-)1.5"/>
    <s v="DFR "/>
    <m/>
    <m/>
    <m/>
    <x v="0"/>
    <m/>
    <d v="2025-05-29T00:00:00"/>
    <m/>
    <s v="May'25"/>
    <s v="Jeenmata Infratech"/>
  </r>
  <r>
    <n v="143"/>
    <s v="67/2"/>
    <x v="2"/>
    <s v="DA(-)3"/>
    <s v="WC"/>
    <m/>
    <m/>
    <m/>
    <x v="0"/>
    <s v="28.05.2024"/>
    <s v="31.05.2025"/>
    <s v="May'25"/>
    <s v="May'25"/>
    <s v="Shri Sai Brick Udyog"/>
  </r>
  <r>
    <n v="144"/>
    <s v="48/6"/>
    <x v="2"/>
    <s v="DA+3"/>
    <s v="DFR"/>
    <m/>
    <m/>
    <m/>
    <x v="0"/>
    <s v="26.05.2025"/>
    <s v="01.06.2025"/>
    <s v="May'25"/>
    <s v="Jun'25"/>
    <s v="GM Infratech "/>
  </r>
  <r>
    <n v="145"/>
    <s v="49/4"/>
    <x v="2"/>
    <s v="DA+0"/>
    <s v="WC"/>
    <m/>
    <m/>
    <m/>
    <x v="0"/>
    <s v="19/05/2025"/>
    <s v="01.06.2025"/>
    <s v="May'25"/>
    <s v="Jun'25"/>
    <s v="YATHARTH-CONSTRUCTION"/>
  </r>
  <r>
    <n v="146"/>
    <s v="38/2"/>
    <x v="0"/>
    <s v="DA+0"/>
    <s v="DFR"/>
    <m/>
    <m/>
    <m/>
    <x v="0"/>
    <s v="19/05/2025"/>
    <s v="02.06.2025"/>
    <s v="May'25"/>
    <s v="Jun'25"/>
    <s v="AFFLUX CONSTRUCTION "/>
  </r>
  <r>
    <n v="147"/>
    <s v="47/6"/>
    <x v="1"/>
    <s v="DA+3"/>
    <s v="DFR"/>
    <m/>
    <m/>
    <m/>
    <x v="0"/>
    <s v="01.06.2025"/>
    <s v="04.06.2025"/>
    <s v="Jun'25"/>
    <s v="Jun'25"/>
    <s v="Jeenmata Infratech"/>
  </r>
  <r>
    <n v="148"/>
    <s v="48/8"/>
    <x v="2"/>
    <s v="DA+0"/>
    <s v="DFR"/>
    <m/>
    <m/>
    <m/>
    <x v="0"/>
    <s v="01.06.2025"/>
    <s v="05.06.2025"/>
    <s v="Jun'25"/>
    <s v="Jun'25"/>
    <s v="GM CONSTRUCTION "/>
  </r>
  <r>
    <n v="149"/>
    <s v="49/5"/>
    <x v="2"/>
    <s v="DA+0"/>
    <s v="WC"/>
    <m/>
    <m/>
    <m/>
    <x v="0"/>
    <s v="02.06.2025"/>
    <d v="2025-06-06T00:00:00"/>
    <s v="Jun'25"/>
    <s v="Jun'25"/>
    <s v="YATHARTH-CONSTRUCTION"/>
  </r>
  <r>
    <n v="150"/>
    <s v="67/1"/>
    <x v="2"/>
    <s v="DA(-)3"/>
    <s v="DFR"/>
    <m/>
    <m/>
    <m/>
    <x v="0"/>
    <s v="02.06.2025"/>
    <d v="2025-07-06T00:00:00"/>
    <s v="Jun'25"/>
    <s v="Jul'25"/>
    <s v="Shri Sai Brick Udyog"/>
  </r>
  <r>
    <n v="151"/>
    <s v="41/4"/>
    <x v="1"/>
    <s v="DA+3"/>
    <s v="DFR"/>
    <m/>
    <m/>
    <m/>
    <x v="0"/>
    <s v="02.06.2025"/>
    <d v="2025-08-06T00:00:00"/>
    <s v="Jun'25"/>
    <s v="Aug'25"/>
    <s v="Jeenmata Infratech"/>
  </r>
  <r>
    <n v="152"/>
    <s v="48/9"/>
    <x v="2"/>
    <s v="DA+3"/>
    <s v="WC"/>
    <m/>
    <m/>
    <m/>
    <x v="0"/>
    <s v="04.06.2025"/>
    <d v="2025-06-10T00:00:00"/>
    <s v="Jun'25"/>
    <s v="Jun'25"/>
    <s v="GM Construction  "/>
  </r>
  <r>
    <n v="153"/>
    <s v="47/7"/>
    <x v="1"/>
    <s v="DA+0"/>
    <s v="DFR "/>
    <m/>
    <m/>
    <m/>
    <x v="0"/>
    <s v="07.06.2025"/>
    <d v="2025-11-06T00:00:00"/>
    <s v="Jun'25"/>
    <s v="Jun'25"/>
    <s v="Jeenmata Infratech"/>
  </r>
  <r>
    <n v="154"/>
    <s v="66/8"/>
    <x v="2"/>
    <s v="DA(-)3"/>
    <s v="DFR"/>
    <m/>
    <m/>
    <m/>
    <x v="0"/>
    <s v="01.06.2025"/>
    <d v="2025-11-06T00:00:00"/>
    <s v="Jun'25"/>
    <s v="Jun'25"/>
    <s v="Shri Sai Brick Udyog"/>
  </r>
  <r>
    <n v="155"/>
    <s v="49/6"/>
    <x v="2"/>
    <s v="DA+6 "/>
    <s v="DFR"/>
    <m/>
    <m/>
    <m/>
    <x v="0"/>
    <s v="03.06.2025"/>
    <s v="14/06/2025"/>
    <s v="Jun'25"/>
    <s v="Jun'25"/>
    <s v="YATHARTH-CONSTRUCTION"/>
  </r>
  <r>
    <n v="156"/>
    <s v="49/0"/>
    <x v="2"/>
    <s v="DB1+0"/>
    <s v="DFR"/>
    <m/>
    <m/>
    <m/>
    <x v="0"/>
    <d v="2025-10-06T00:00:00"/>
    <s v="16/06/2025"/>
    <s v="Jun'25"/>
    <s v="Jun'25"/>
    <s v="GM CONSTRUCTION "/>
  </r>
  <r>
    <n v="157"/>
    <s v="66/5"/>
    <x v="2"/>
    <s v="DA+3"/>
    <s v="DFR"/>
    <m/>
    <m/>
    <m/>
    <x v="0"/>
    <m/>
    <s v="17.06.2025"/>
    <s v="Jun'25"/>
    <s v="Jun'25"/>
    <s v="Shri Sai Brick Udyog"/>
  </r>
  <r>
    <n v="158"/>
    <s v="65/1"/>
    <x v="2"/>
    <s v="DA(-)1.5"/>
    <s v="DFR"/>
    <m/>
    <m/>
    <m/>
    <x v="0"/>
    <s v="08.06.2025"/>
    <s v="18/6/2025"/>
    <s v="Jun'25"/>
    <s v="Jun'25"/>
    <s v="AFFLUX CONSTRUCTION "/>
  </r>
  <r>
    <n v="159"/>
    <s v="41/0"/>
    <x v="1"/>
    <s v="DD45+0"/>
    <s v="DFR"/>
    <m/>
    <m/>
    <m/>
    <x v="0"/>
    <s v="09.06.2025"/>
    <s v="21/06/2025"/>
    <s v="Jun'25"/>
    <s v="Jun'25"/>
    <s v="Jeenmata Infratech"/>
  </r>
  <r>
    <n v="160"/>
    <s v="65/2"/>
    <x v="2"/>
    <s v="DA+0"/>
    <s v="DFR"/>
    <m/>
    <m/>
    <m/>
    <x v="0"/>
    <s v="19.06.2025"/>
    <d v="2025-06-23T00:00:00"/>
    <s v="Jun'25"/>
    <s v="Jun'25"/>
    <s v="AFFLUX CONSTRUCTION "/>
  </r>
  <r>
    <n v="161"/>
    <s v="66/7"/>
    <x v="2"/>
    <s v="DA+6"/>
    <s v="DFR"/>
    <m/>
    <m/>
    <m/>
    <x v="0"/>
    <s v="08.06.2025"/>
    <s v="27/06/2025"/>
    <s v="Jun'25"/>
    <s v="Jun'25"/>
    <s v="Shri Sai Brick Udyog"/>
  </r>
  <r>
    <n v="162"/>
    <s v="65/3"/>
    <x v="2"/>
    <s v="DA+0"/>
    <s v="DFR"/>
    <m/>
    <m/>
    <m/>
    <x v="0"/>
    <s v="16/06/2025"/>
    <s v="30/06/2025"/>
    <s v="Jun'25"/>
    <s v="Jun'25"/>
    <s v="AFFLUX CONSTRUCTION "/>
  </r>
  <r>
    <n v="163"/>
    <s v="65/9"/>
    <x v="2"/>
    <s v="DA(-)3"/>
    <s v="DFR"/>
    <m/>
    <m/>
    <m/>
    <x v="0"/>
    <m/>
    <d v="2025-07-07T00:00:00"/>
    <m/>
    <s v="Jul'25"/>
    <s v="Shri Sai Brick Udyog"/>
  </r>
  <r>
    <n v="164"/>
    <s v="65/7"/>
    <x v="2"/>
    <s v="DA(-)3"/>
    <s v="DFR"/>
    <m/>
    <m/>
    <m/>
    <x v="0"/>
    <m/>
    <s v="14/07/2025"/>
    <m/>
    <m/>
    <s v="Shri Sai Brick Udyog"/>
  </r>
  <r>
    <n v="165"/>
    <s v="63/1"/>
    <x v="2"/>
    <s v="DA(-)3"/>
    <s v="DFR "/>
    <m/>
    <m/>
    <m/>
    <x v="1"/>
    <s v="30.06.2025"/>
    <s v="11.07.2025"/>
    <s v="Jun'25"/>
    <s v="Jul'25"/>
    <s v="AFFLUX CONSTRUCTION "/>
  </r>
  <r>
    <n v="166"/>
    <s v="63/2"/>
    <x v="2"/>
    <s v="DA(-)3"/>
    <s v="DFR "/>
    <m/>
    <m/>
    <m/>
    <x v="1"/>
    <s v="01.07.2025"/>
    <s v="16.07.2025"/>
    <s v="Jul'25"/>
    <s v="Jul'25"/>
    <s v="AFFLUX CONSTRUCTION "/>
  </r>
  <r>
    <n v="167"/>
    <s v="65/11"/>
    <x v="2"/>
    <s v="DA+6"/>
    <s v="DFR "/>
    <m/>
    <m/>
    <m/>
    <x v="1"/>
    <m/>
    <s v="22.07.2025"/>
    <m/>
    <s v="Jul'25"/>
    <s v="Shri Sai Brick Udyog"/>
  </r>
  <r>
    <n v="168"/>
    <s v="7/0"/>
    <x v="0"/>
    <s v="DC2+0 "/>
    <s v="WC"/>
    <m/>
    <m/>
    <m/>
    <x v="1"/>
    <s v="16.07.2025"/>
    <s v="19.08.2025"/>
    <s v="Jul'25"/>
    <s v="Aug'25"/>
    <s v="AFFLUX CONSTRUCTION "/>
  </r>
  <r>
    <n v="169"/>
    <s v="21/0"/>
    <x v="0"/>
    <s v="DC2+0 "/>
    <s v="WFR"/>
    <m/>
    <m/>
    <m/>
    <x v="1"/>
    <s v="02.08.2025"/>
    <s v="12.08.2025"/>
    <s v="Aug'25"/>
    <s v="Aug'25"/>
    <s v="SHAKHINA BIBI"/>
  </r>
  <r>
    <n v="170"/>
    <s v="46/0"/>
    <x v="1"/>
    <s v="DD45+0"/>
    <s v="DFR"/>
    <m/>
    <m/>
    <m/>
    <x v="1"/>
    <s v="26.07.2025"/>
    <s v="12.08.2025"/>
    <s v="Jul'25"/>
    <s v="Aug'25"/>
    <s v="Shri Sai Brick Udyog"/>
  </r>
  <r>
    <n v="171"/>
    <s v="45/1"/>
    <x v="1"/>
    <s v="DA+0"/>
    <s v="DFR "/>
    <m/>
    <m/>
    <m/>
    <x v="1"/>
    <s v="06.08.2025"/>
    <s v="19.08.2025  "/>
    <s v="Aug'25"/>
    <s v="Aug'25"/>
    <s v="SHREE KHATUSHAYAM CONST. "/>
  </r>
  <r>
    <n v="172"/>
    <s v="15/0"/>
    <x v="0"/>
    <s v="DB2+0"/>
    <s v="WFR"/>
    <m/>
    <m/>
    <m/>
    <x v="1"/>
    <s v="11.08.2025"/>
    <s v="18.08.2025 "/>
    <s v="Aug'25"/>
    <s v="Aug'25"/>
    <s v="SHAKHINA BIBI"/>
  </r>
  <r>
    <n v="173"/>
    <s v="46A/0"/>
    <x v="1"/>
    <s v="DC1+0 "/>
    <s v="WFR "/>
    <m/>
    <m/>
    <m/>
    <x v="1"/>
    <s v="12.08.2025"/>
    <s v="14.09.2025"/>
    <s v="Aug'25"/>
    <s v="Sep'25"/>
    <s v="Shri Sai Brick Udyog"/>
  </r>
  <r>
    <n v="174"/>
    <s v="45/3"/>
    <x v="1"/>
    <s v="DA+0"/>
    <s v="DFR"/>
    <m/>
    <m/>
    <m/>
    <x v="1"/>
    <s v="20.08.2025"/>
    <s v="16.09.2025"/>
    <s v="Aug'25"/>
    <s v="Sep'25"/>
    <s v="SHREE KHATUSHAYAM CONST. "/>
  </r>
  <r>
    <n v="175"/>
    <s v="33/0"/>
    <x v="0"/>
    <s v="DD45+0"/>
    <s v="WFR"/>
    <m/>
    <m/>
    <m/>
    <x v="1"/>
    <s v="20.08.2025 "/>
    <s v="22.09.2025"/>
    <s v="Aug'25"/>
    <s v="Sep'25"/>
    <s v="SHAKHINA BIBI"/>
  </r>
  <r>
    <n v="176"/>
    <s v="10/0"/>
    <x v="0"/>
    <s v="DB1+0"/>
    <s v="WFR"/>
    <m/>
    <m/>
    <m/>
    <x v="1"/>
    <s v="20.08.2025 "/>
    <s v="13.10.2025"/>
    <s v="Aug'25"/>
    <s v="Oct'25"/>
    <s v="AFFLUX CONSTRUCTION "/>
  </r>
  <r>
    <n v="177"/>
    <s v="34/0"/>
    <x v="0"/>
    <s v="DC1+3"/>
    <s v="WFR"/>
    <m/>
    <m/>
    <m/>
    <x v="1"/>
    <s v="25.08.2025"/>
    <s v="14.09.2025"/>
    <s v="Aug'25"/>
    <s v="Sep'25"/>
    <s v="SHAKHINA BIBI"/>
  </r>
  <r>
    <n v="178"/>
    <s v="45/4"/>
    <x v="1"/>
    <s v="DA+1.5"/>
    <s v="WFR"/>
    <m/>
    <m/>
    <m/>
    <x v="1"/>
    <s v="22.09.2025"/>
    <s v="30.09.2025"/>
    <s v="Sep'25"/>
    <s v="Sep'25"/>
    <s v="SHREE KHATUSHAYAM CONST. "/>
  </r>
  <r>
    <n v="179"/>
    <s v="46/2"/>
    <x v="1"/>
    <s v="DA+3"/>
    <s v="WFR"/>
    <m/>
    <m/>
    <m/>
    <x v="1"/>
    <s v="19.09.2025"/>
    <s v="13.10.2025"/>
    <s v="Sep'25"/>
    <s v="Oct'25"/>
    <s v="Shri Balaji Contractor"/>
  </r>
  <r>
    <n v="180"/>
    <s v="46A/1"/>
    <x v="1"/>
    <s v="DA+3"/>
    <s v="DFR"/>
    <m/>
    <m/>
    <m/>
    <x v="1"/>
    <s v="22.09.2025"/>
    <s v="11.10.2025"/>
    <s v="Sep'25"/>
    <s v="Oct'25"/>
    <s v="Durga construction"/>
  </r>
  <r>
    <n v="181"/>
    <s v="12/7"/>
    <x v="0"/>
    <s v="DA+0"/>
    <s v="WFR"/>
    <m/>
    <m/>
    <m/>
    <x v="1"/>
    <s v="22.09.2025"/>
    <s v="29.09.2025"/>
    <s v="Sep'25"/>
    <s v="Sep'25"/>
    <s v="SHAKHINA BIBI"/>
  </r>
  <r>
    <n v="182"/>
    <s v="10/3"/>
    <x v="0"/>
    <s v="DA+3"/>
    <s v="WFR"/>
    <m/>
    <m/>
    <m/>
    <x v="1"/>
    <s v="27.09.2025"/>
    <s v="01.10.2025"/>
    <s v="Sep'25"/>
    <s v="Oct'25"/>
    <s v="SHAKHINA BIBI"/>
  </r>
  <r>
    <n v="183"/>
    <s v="14/5"/>
    <x v="0"/>
    <s v="DA+0"/>
    <s v="WFR"/>
    <m/>
    <m/>
    <m/>
    <x v="1"/>
    <s v="01.10.2025"/>
    <s v="06.10.2025"/>
    <s v="Oct'25"/>
    <s v="Oct'25"/>
    <s v="MAUSAUDDIN SK "/>
  </r>
  <r>
    <n v="184"/>
    <s v="8/0"/>
    <x v="0"/>
    <s v="DB1+0"/>
    <s v="WFR"/>
    <m/>
    <m/>
    <m/>
    <x v="1"/>
    <s v="09.10.2025"/>
    <s v="15.10.2025"/>
    <s v="Oct'25"/>
    <s v="Oct'25"/>
    <s v="MAUSAUDDIN SK "/>
  </r>
  <r>
    <n v="185"/>
    <s v="9/0"/>
    <x v="0"/>
    <s v="DB2+0"/>
    <s v="DFR"/>
    <m/>
    <m/>
    <m/>
    <x v="1"/>
    <s v="15.10.2025"/>
    <s v="23/10/2025 "/>
    <s v="Oct'25"/>
    <s v="Oct'25"/>
    <s v="MAUSAUDDIN SK "/>
  </r>
  <r>
    <n v="186"/>
    <s v="45A/0"/>
    <x v="1"/>
    <s v="DC2+0 "/>
    <s v="DFR"/>
    <m/>
    <m/>
    <m/>
    <x v="1"/>
    <s v="29.09.2205"/>
    <s v="07.11.2025"/>
    <s v="Sep'25"/>
    <s v="Nov'25"/>
    <s v="SHREE KHATUSHAYAM CONST. "/>
  </r>
  <r>
    <n v="187"/>
    <s v="46A/2"/>
    <x v="1"/>
    <s v="DA(-)3"/>
    <s v="WFR"/>
    <m/>
    <m/>
    <m/>
    <x v="1"/>
    <s v="07.10.2025"/>
    <s v="06.11.2025"/>
    <s v="Oct'25"/>
    <s v="Nov'25"/>
    <s v="Durga construction"/>
  </r>
  <r>
    <n v="188"/>
    <s v="66/0"/>
    <x v="2"/>
    <s v="DB1+0"/>
    <s v="WC"/>
    <m/>
    <m/>
    <m/>
    <x v="1"/>
    <s v="07.10.2025"/>
    <s v="03.11.2025"/>
    <s v="Oct'25"/>
    <s v="Nov'25"/>
    <s v="DS Construction"/>
  </r>
  <r>
    <n v="189"/>
    <s v="46A/3"/>
    <x v="1"/>
    <s v="DA(-)3"/>
    <s v="WFR"/>
    <m/>
    <m/>
    <m/>
    <x v="1"/>
    <s v="11.10.2025"/>
    <s v="26.10.2025"/>
    <s v="Oct'25"/>
    <s v="Oct'25"/>
    <s v="Shri Balaji Contractor"/>
  </r>
  <r>
    <n v="190"/>
    <s v="47/1"/>
    <x v="1"/>
    <s v="DA+0"/>
    <s v="WFR"/>
    <m/>
    <m/>
    <m/>
    <x v="1"/>
    <s v="15.10.2025"/>
    <s v="08.11.2025"/>
    <s v="Oct'25"/>
    <s v="Nov'25"/>
    <s v="Shri Balaji Contractor"/>
  </r>
  <r>
    <n v="191"/>
    <s v="47/2"/>
    <x v="1"/>
    <s v="DA+6"/>
    <s v="WFR"/>
    <m/>
    <m/>
    <m/>
    <x v="1"/>
    <s v="15.10.2025"/>
    <s v="05.11.2025"/>
    <s v="Oct'25"/>
    <s v="Nov'25"/>
    <s v="Durga construction"/>
  </r>
  <r>
    <n v="192"/>
    <s v="66/2"/>
    <x v="2"/>
    <s v="DA+0"/>
    <s v="WFR"/>
    <m/>
    <m/>
    <m/>
    <x v="1"/>
    <s v="15.10.2025"/>
    <s v="05.11.2025"/>
    <s v="Oct'25"/>
    <s v="Nov'25"/>
    <s v="Jay bhawani construction"/>
  </r>
  <r>
    <n v="193"/>
    <s v="47/3"/>
    <x v="1"/>
    <s v="DA+0"/>
    <s v="WFR"/>
    <m/>
    <m/>
    <m/>
    <x v="1"/>
    <s v="17.10.2025"/>
    <s v="13.11.2025"/>
    <s v="Oct'25"/>
    <s v="Nov'25"/>
    <s v="SHREE KHATUSHAYAM CONST. "/>
  </r>
  <r>
    <n v="194"/>
    <s v="16/0"/>
    <x v="0"/>
    <s v="DB1+0"/>
    <s v="DFR"/>
    <m/>
    <m/>
    <m/>
    <x v="1"/>
    <s v="19.10.2025"/>
    <s v="25.10.2025"/>
    <s v="Oct'25"/>
    <s v="Oct'25"/>
    <s v="MAUSAUDDIN SK "/>
  </r>
  <r>
    <n v="195"/>
    <s v="18/1"/>
    <x v="0"/>
    <s v="DA+6"/>
    <s v="WET"/>
    <m/>
    <m/>
    <m/>
    <x v="1"/>
    <s v="28.10.2025"/>
    <s v="05.11.2025"/>
    <s v="Oct'25"/>
    <s v="Nov'25"/>
    <s v="MAUSAUDDIN SK "/>
  </r>
  <r>
    <n v="196"/>
    <s v="65/8"/>
    <x v="2"/>
    <s v="DA+1.5"/>
    <s v="DFR"/>
    <m/>
    <m/>
    <m/>
    <x v="1"/>
    <s v="31.10.2025"/>
    <s v="13.11.2025"/>
    <s v="Oct'25"/>
    <s v="Nov'25"/>
    <s v="AFFLUX CONSTRUCTION "/>
  </r>
  <r>
    <n v="197"/>
    <s v="66/6"/>
    <x v="2"/>
    <s v="DA(-)1.5"/>
    <s v="WFR"/>
    <m/>
    <m/>
    <m/>
    <x v="1"/>
    <s v="03.11.2025"/>
    <s v="20.11.2025"/>
    <s v="Nov'25"/>
    <s v="Nov'25"/>
    <s v="Hemraj yadav cont."/>
  </r>
  <r>
    <n v="198"/>
    <s v="61/1"/>
    <x v="2"/>
    <s v="DA+6"/>
    <m/>
    <m/>
    <m/>
    <m/>
    <x v="2"/>
    <s v="24.11.2025"/>
    <m/>
    <m/>
    <m/>
    <s v="Shri Balaji Contractor"/>
  </r>
  <r>
    <n v="199"/>
    <s v="64/0"/>
    <x v="2"/>
    <s v="DD45+0"/>
    <s v="DFR"/>
    <m/>
    <m/>
    <m/>
    <x v="1"/>
    <s v="24.07.2025"/>
    <s v="29.10.2025"/>
    <s v="Jul'25"/>
    <s v="Oct'25"/>
    <s v="AFFLUX CONSTRUCTION "/>
  </r>
  <r>
    <n v="200"/>
    <s v="64/1"/>
    <x v="2"/>
    <s v="DA+6"/>
    <s v="WFR"/>
    <m/>
    <m/>
    <m/>
    <x v="1"/>
    <s v="06.09.2025"/>
    <s v="30.10.2025"/>
    <s v="Jul'25"/>
    <s v="Oct'25"/>
    <s v="AFFLUX CONSTRUCTION "/>
  </r>
  <r>
    <n v="201"/>
    <s v="17/0"/>
    <x v="0"/>
    <s v="DB2+3"/>
    <s v="DFR"/>
    <m/>
    <m/>
    <m/>
    <x v="1"/>
    <s v="30.10.2025"/>
    <s v="03.11.2025"/>
    <s v="Oct'25"/>
    <s v="Nov'25"/>
    <s v="MAUSAUDDIN SK "/>
  </r>
  <r>
    <n v="202"/>
    <s v="63/3"/>
    <x v="2"/>
    <s v="DA(-)3"/>
    <s v="DFR"/>
    <m/>
    <m/>
    <m/>
    <x v="1"/>
    <s v="30.10.2025"/>
    <s v="08.11.2025"/>
    <s v="Oct'25"/>
    <s v="Nov'25"/>
    <s v="AFFLUX CONSTRUCTION "/>
  </r>
  <r>
    <n v="203"/>
    <s v="18/0"/>
    <x v="0"/>
    <s v="DA+6"/>
    <s v="WFR"/>
    <m/>
    <m/>
    <m/>
    <x v="1"/>
    <s v="03.11.2025"/>
    <s v="15.11.2025"/>
    <s v="Nov'25"/>
    <s v="Nov'25"/>
    <s v="MAUSAUDDIN SK "/>
  </r>
  <r>
    <n v="204"/>
    <s v="65/5"/>
    <x v="2"/>
    <s v="DA(-)3"/>
    <s v="DFR"/>
    <m/>
    <m/>
    <m/>
    <x v="1"/>
    <s v="28.10.2025"/>
    <s v="19.11.2025"/>
    <s v="Oct'25"/>
    <s v="Nov'25"/>
    <s v="Shree Mahakal const."/>
  </r>
  <r>
    <n v="205"/>
    <s v="66/3"/>
    <x v="2"/>
    <s v="DA+6"/>
    <s v="WFR"/>
    <m/>
    <m/>
    <m/>
    <x v="1"/>
    <s v="07.11.2025"/>
    <s v="18.11.2025"/>
    <s v="Nov'25"/>
    <s v="Nov'25"/>
    <s v="Jai bhawani construction"/>
  </r>
  <r>
    <n v="206"/>
    <s v="66/4"/>
    <x v="2"/>
    <s v="DA(-)3"/>
    <s v="WFR"/>
    <m/>
    <m/>
    <m/>
    <x v="1"/>
    <s v="08.11.2025"/>
    <s v="23.11.2025"/>
    <s v="Nov'25"/>
    <s v="Nov'25"/>
    <s v="DS Construction"/>
  </r>
  <r>
    <n v="207"/>
    <s v="65/0"/>
    <x v="2"/>
    <s v="DC2+0 "/>
    <s v="DFR"/>
    <m/>
    <m/>
    <m/>
    <x v="1"/>
    <s v="13.11.2025"/>
    <s v="02.12.2025"/>
    <s v="Nov'25"/>
    <s v="Dec'25"/>
    <s v="AFFLUX CONSTRUCTION "/>
  </r>
  <r>
    <n v="208"/>
    <s v="45/0"/>
    <x v="1"/>
    <s v="DC1+0 "/>
    <s v="DFR"/>
    <m/>
    <m/>
    <m/>
    <x v="1"/>
    <s v="12.11.2025"/>
    <s v="21.11.2025"/>
    <s v="Nov'25"/>
    <s v="Nov'25"/>
    <s v="Durga construction"/>
  </r>
  <r>
    <n v="209"/>
    <s v="67/0"/>
    <x v="2"/>
    <s v="DB2+6"/>
    <s v="DFR"/>
    <m/>
    <m/>
    <m/>
    <x v="1"/>
    <s v="13.11.2025"/>
    <s v="04.12.2025"/>
    <s v="Nov'25"/>
    <s v="Dec'25"/>
    <s v="Shri Balaji Contractor"/>
  </r>
  <r>
    <n v="210"/>
    <s v="40/0"/>
    <x v="1"/>
    <s v="DC1+0 "/>
    <s v="WET"/>
    <m/>
    <m/>
    <m/>
    <x v="1"/>
    <s v="14.11.2025"/>
    <s v="07.12.2025"/>
    <s v="Nov'25"/>
    <s v="Dec'25"/>
    <s v="SHREE KHATUSHAYAM CONST. "/>
  </r>
  <r>
    <n v="211"/>
    <s v="6/0"/>
    <x v="0"/>
    <s v="DC2+0 "/>
    <s v="WET"/>
    <m/>
    <m/>
    <m/>
    <x v="1"/>
    <s v="13.11.2025"/>
    <s v="21.11.2025"/>
    <s v="Nov'25"/>
    <s v="Nov'25"/>
    <s v="MAUSAUDDIN SK "/>
  </r>
  <r>
    <n v="212"/>
    <s v="23/0"/>
    <x v="0"/>
    <s v="DD45+3"/>
    <s v="DFR"/>
    <m/>
    <m/>
    <m/>
    <x v="1"/>
    <s v="15.11.2025"/>
    <s v="29.11.2025"/>
    <s v="Nov'25"/>
    <s v="Nov'25"/>
    <s v="MAUSAUDDIN SK "/>
  </r>
  <r>
    <n v="213"/>
    <s v="55/2"/>
    <x v="2"/>
    <s v="DA+3"/>
    <s v="DFR"/>
    <m/>
    <m/>
    <m/>
    <x v="1"/>
    <s v="10.11.2025"/>
    <s v="23.11.2025"/>
    <s v="Nov'25"/>
    <s v="Nov'25"/>
    <s v="Shree ram construction"/>
  </r>
  <r>
    <n v="214"/>
    <s v="6/2"/>
    <x v="0"/>
    <s v="DA+1.5"/>
    <s v="WFR"/>
    <m/>
    <m/>
    <m/>
    <x v="1"/>
    <s v="17.11.2025"/>
    <s v="24.11.2025"/>
    <s v="Nov'25"/>
    <s v="Nov'25"/>
    <s v="MAUSAUDDIN SK "/>
  </r>
  <r>
    <n v="215"/>
    <s v="55/1"/>
    <x v="2"/>
    <s v="DA+6"/>
    <s v="WFR"/>
    <m/>
    <m/>
    <m/>
    <x v="1"/>
    <s v="04.12.2025"/>
    <s v="16.12.2025"/>
    <s v="Dec'25"/>
    <s v="Dec'25"/>
    <s v="Shree ram construction"/>
  </r>
  <r>
    <n v="216"/>
    <s v="14/0"/>
    <x v="0"/>
    <s v="DC1+0"/>
    <s v="DFR"/>
    <m/>
    <m/>
    <m/>
    <x v="1"/>
    <s v="25.11.2025"/>
    <s v="01.12.2025"/>
    <s v="Nov'25"/>
    <s v="Dec'25"/>
    <s v="MAUSAUDDIN SK "/>
  </r>
  <r>
    <n v="217"/>
    <s v="52/1"/>
    <x v="2"/>
    <s v="DA+1.5"/>
    <s v="DFR"/>
    <m/>
    <m/>
    <m/>
    <x v="1"/>
    <s v="19.11.2025"/>
    <s v="03.12.2025"/>
    <s v="Nov'25"/>
    <s v="Dec'25"/>
    <s v="Shree ram construction"/>
  </r>
  <r>
    <n v="218"/>
    <s v="53/0"/>
    <x v="2"/>
    <s v="DB2+3"/>
    <s v="DFR"/>
    <m/>
    <m/>
    <m/>
    <x v="1"/>
    <s v="27.11.2025"/>
    <s v="13.12.2025"/>
    <s v="Nov'25"/>
    <s v="Dec'25"/>
    <s v="AFFLUX CONSTRUCTION "/>
  </r>
  <r>
    <n v="219"/>
    <s v="68/0"/>
    <x v="2"/>
    <s v="DB2+6"/>
    <s v="WC"/>
    <m/>
    <m/>
    <m/>
    <x v="1"/>
    <s v="27.11.2025"/>
    <s v="27.12.2025"/>
    <s v="Nov'25"/>
    <s v="Dec'25"/>
    <s v="Durga construction"/>
  </r>
  <r>
    <n v="220"/>
    <s v="32/1"/>
    <x v="0"/>
    <s v="DB1+9"/>
    <s v="WFR"/>
    <m/>
    <m/>
    <m/>
    <x v="1"/>
    <s v="29.11.2025"/>
    <s v="07.12.2025"/>
    <s v="Nov'25"/>
    <s v="Dec'25"/>
    <s v="MAUSAUDDIN SK "/>
  </r>
  <r>
    <n v="221"/>
    <s v="48/4"/>
    <x v="2"/>
    <s v="DA(-)1.5"/>
    <s v="DFR"/>
    <m/>
    <m/>
    <m/>
    <x v="1"/>
    <s v="29.11.2025"/>
    <s v="09.12.2025"/>
    <s v="Nov'25"/>
    <s v="Dec'25"/>
    <s v="Durga construction"/>
  </r>
  <r>
    <n v="222"/>
    <s v="11/0"/>
    <x v="0"/>
    <s v="DD60+25"/>
    <s v="WFR"/>
    <m/>
    <m/>
    <m/>
    <x v="1"/>
    <s v="01.12.2025"/>
    <s v="09.12.2025"/>
    <s v="Dec'25"/>
    <s v="Dec'25"/>
    <s v="MAUSAUDDIN SK -II"/>
  </r>
  <r>
    <n v="223"/>
    <s v="56/2"/>
    <x v="2"/>
    <s v="DB1+6"/>
    <s v="WFR"/>
    <m/>
    <m/>
    <m/>
    <x v="1"/>
    <s v="05.12.2025"/>
    <s v="19.12.2025"/>
    <s v="Dec'25"/>
    <s v="Dec'25"/>
    <s v="Shri Balaji Contractor"/>
  </r>
  <r>
    <n v="224"/>
    <s v="39/0"/>
    <x v="0"/>
    <s v="DC1+0"/>
    <s v="WC"/>
    <m/>
    <m/>
    <m/>
    <x v="1"/>
    <s v="06.12.2025"/>
    <s v="20.12.2025"/>
    <s v="Dec'25"/>
    <s v="Dec'25"/>
    <s v="Jai bhawani construction"/>
  </r>
  <r>
    <n v="225"/>
    <s v="53B/1"/>
    <x v="2"/>
    <s v="DA+3"/>
    <s v="DFR"/>
    <m/>
    <m/>
    <m/>
    <x v="1"/>
    <s v="10.12.2025"/>
    <s v="21.12.2025"/>
    <s v="Dec'25"/>
    <s v="Dec'25"/>
    <s v="Jai shree ram construction"/>
  </r>
  <r>
    <n v="226"/>
    <s v="52/0"/>
    <x v="2"/>
    <s v="DC2+0"/>
    <s v="DFR"/>
    <m/>
    <m/>
    <m/>
    <x v="1"/>
    <s v="15.12.2025"/>
    <s v="09.01.2026"/>
    <s v="Dec'25"/>
    <s v="Jan'26"/>
    <s v="AFFLUX CONSTRUCTION "/>
  </r>
  <r>
    <n v="227"/>
    <s v="29/0"/>
    <x v="0"/>
    <s v="DD45+18"/>
    <s v="DFR"/>
    <m/>
    <m/>
    <m/>
    <x v="1"/>
    <s v="10.12.2025"/>
    <s v="16.12.2025"/>
    <s v="Dec'25"/>
    <s v="Dec'25"/>
    <s v="MAUSAUDDIN SK-I"/>
  </r>
  <r>
    <n v="228"/>
    <s v="25/0"/>
    <x v="0"/>
    <s v="DC2+18"/>
    <s v="WFR"/>
    <m/>
    <m/>
    <m/>
    <x v="1"/>
    <s v="10.12.2025"/>
    <s v="22.12.2025"/>
    <s v="Dec'25"/>
    <s v="Dec'25"/>
    <s v="MAUSAUDDIN SK -II"/>
  </r>
  <r>
    <n v="229"/>
    <s v="38/0"/>
    <x v="0"/>
    <s v="DD45+9"/>
    <s v="DFR"/>
    <m/>
    <m/>
    <m/>
    <x v="1"/>
    <s v="16.12.2025"/>
    <s v="07.01.2025"/>
    <s v="Dec'25"/>
    <s v="Dec'25"/>
    <s v="Shri Balaji Contractor"/>
  </r>
  <r>
    <n v="230"/>
    <s v="27/0"/>
    <x v="0"/>
    <s v="DB2+9"/>
    <s v="WFR"/>
    <m/>
    <m/>
    <m/>
    <x v="1"/>
    <s v="17.12.2025"/>
    <s v="26.12.2025"/>
    <s v="Dec'25"/>
    <s v="Dec'25"/>
    <s v="MAUSAUDDIN SK-I"/>
  </r>
  <r>
    <n v="231"/>
    <s v="30/2"/>
    <x v="0"/>
    <s v="DA+0"/>
    <s v="WFR"/>
    <m/>
    <m/>
    <m/>
    <x v="1"/>
    <s v="23.12.2025"/>
    <s v="30.12.2025"/>
    <s v="Dec'25"/>
    <s v="Dec'25"/>
    <s v="MAUSAUDDIN SK-I"/>
  </r>
  <r>
    <n v="232"/>
    <s v="36/0"/>
    <x v="0"/>
    <s v="DC2+0"/>
    <s v="WC"/>
    <m/>
    <m/>
    <m/>
    <x v="1"/>
    <s v="09.01.2026"/>
    <s v="21.01.2026"/>
    <s v="Jan'26"/>
    <s v="Jan'26"/>
    <s v="MAUSAUDDIN SK-I"/>
  </r>
  <r>
    <n v="233"/>
    <s v="48/3"/>
    <x v="2"/>
    <s v="DA+3"/>
    <s v="WC"/>
    <m/>
    <m/>
    <m/>
    <x v="1"/>
    <s v="27.12.2025"/>
    <s v="4.01.2026"/>
    <s v="Dec'25"/>
    <s v="Jan'26"/>
    <s v="Jai bhawani construction"/>
  </r>
  <r>
    <n v="234"/>
    <s v="30/0"/>
    <x v="0"/>
    <s v="DC1+0"/>
    <s v="DFR"/>
    <m/>
    <m/>
    <m/>
    <x v="1"/>
    <s v="13.01.2026"/>
    <s v="29.01.2026"/>
    <s v="Jan'26"/>
    <s v="Jan'26"/>
    <s v="MAUSAUDDIN SK-I"/>
  </r>
  <r>
    <n v="235"/>
    <s v="48/1"/>
    <x v="2"/>
    <s v="DA+0"/>
    <s v="DFR"/>
    <m/>
    <m/>
    <m/>
    <x v="1"/>
    <s v="14.01.2026"/>
    <s v="24.01.2026"/>
    <s v="Jan'26"/>
    <s v="Jan'26"/>
    <s v="Jai bhawani construction"/>
  </r>
  <r>
    <n v="236"/>
    <s v="48/5"/>
    <x v="2"/>
    <s v="DA+0"/>
    <s v="DFR"/>
    <m/>
    <m/>
    <m/>
    <x v="1"/>
    <s v="24.01.2026"/>
    <s v="01.02.2026"/>
    <s v="Jan'26"/>
    <s v="Feb'26"/>
    <s v="Jai bhawani construction"/>
  </r>
  <r>
    <n v="237"/>
    <s v="26/0"/>
    <x v="0"/>
    <s v="DC2+12"/>
    <s v="DFR"/>
    <m/>
    <m/>
    <m/>
    <x v="1"/>
    <s v="28.01.2026"/>
    <s v="06.02.2026"/>
    <s v="Jan'26"/>
    <s v="Feb'26"/>
    <s v="MAUSAUDDIN SK-I"/>
  </r>
  <r>
    <n v="238"/>
    <s v="27/1"/>
    <x v="0"/>
    <s v="DB1+9"/>
    <s v="WFR"/>
    <m/>
    <m/>
    <m/>
    <x v="1"/>
    <s v="06.02.2026"/>
    <s v="12.02.2026"/>
    <s v="Feb'26"/>
    <s v="Feb'26"/>
    <s v="MAUSAUDDIN SK-I"/>
  </r>
  <r>
    <n v="239"/>
    <s v="37/0"/>
    <x v="0"/>
    <s v="DD45+12"/>
    <s v="DFR"/>
    <m/>
    <m/>
    <m/>
    <x v="1"/>
    <s v="11.02.2026"/>
    <s v="25.02.2026"/>
    <s v="Feb'26"/>
    <s v="Feb'26"/>
    <s v="Hemraj yadav"/>
  </r>
  <r>
    <n v="240"/>
    <s v="31/0"/>
    <x v="0"/>
    <s v="DD60+0"/>
    <s v="WFR"/>
    <m/>
    <m/>
    <m/>
    <x v="1"/>
    <s v="12.02.2026"/>
    <s v="23.02.2026"/>
    <s v="Feb'26"/>
    <s v="Feb'26"/>
    <s v="MAUSAUDDIN SK-I"/>
  </r>
  <r>
    <n v="241"/>
    <s v="32/0"/>
    <x v="0"/>
    <s v="DC2+0"/>
    <s v="DFR"/>
    <m/>
    <m/>
    <m/>
    <x v="1"/>
    <s v="22.02.2026"/>
    <s v="28.02.2026"/>
    <s v="Feb'26"/>
    <s v="Feb'26"/>
    <s v="MAUSAUDDIN SK-I"/>
  </r>
  <r>
    <n v="242"/>
    <s v="53A/0"/>
    <x v="2"/>
    <s v="DB1(-)1.5"/>
    <s v="DFR"/>
    <m/>
    <m/>
    <m/>
    <x v="1"/>
    <s v="28.02.2026"/>
    <s v="14.03.2026"/>
    <s v="Feb'26"/>
    <s v="Mar'26"/>
    <s v="Hemraj yadav"/>
  </r>
  <r>
    <n v="243"/>
    <s v="39/6"/>
    <x v="1"/>
    <s v="DC2+0"/>
    <s v="DFR"/>
    <m/>
    <m/>
    <m/>
    <x v="1"/>
    <s v="26.02.2026"/>
    <s v="21.03.2026"/>
    <s v="Feb'26"/>
    <s v="Mar'26"/>
    <s v="AFFLUX CONSTRUCTION "/>
  </r>
  <r>
    <n v="244"/>
    <s v="41/7"/>
    <x v="1"/>
    <s v="DA+6"/>
    <s v="DFR"/>
    <m/>
    <m/>
    <m/>
    <x v="1"/>
    <s v="11.03.2026"/>
    <s v="26.03.2026"/>
    <s v="Mar'26"/>
    <s v="Mar'26"/>
    <s v="Khatu Shyam construction"/>
  </r>
  <r>
    <n v="245"/>
    <s v="53B/0"/>
    <x v="2"/>
    <s v="DB2(-)1.5"/>
    <s v="DFR"/>
    <m/>
    <m/>
    <m/>
    <x v="1"/>
    <s v="17.03.2026"/>
    <s v="30.03.2026"/>
    <s v="Mar'26"/>
    <s v="Mar'26"/>
    <s v="Hemraj yadav"/>
  </r>
  <r>
    <n v="246"/>
    <s v="48/0"/>
    <x v="2"/>
    <s v="DB1+0"/>
    <s v="WET"/>
    <m/>
    <m/>
    <m/>
    <x v="1"/>
    <s v="15.03.2026"/>
    <s v="05.04.2026"/>
    <s v="Mar'26"/>
    <s v="Apr'26"/>
    <s v="Jai bhawani construction"/>
  </r>
  <r>
    <n v="247"/>
    <s v="41/3"/>
    <x v="1"/>
    <s v="DA+1.5"/>
    <s v="WC"/>
    <m/>
    <m/>
    <m/>
    <x v="1"/>
    <s v="19.03.2026"/>
    <d v="2026-04-10T00:00:00"/>
    <s v="Mar'26"/>
    <s v="Apr'26"/>
    <s v="Khatu Shyam construction"/>
  </r>
  <r>
    <n v="248"/>
    <s v="65/4"/>
    <x v="2"/>
    <s v="DA(-)1.5"/>
    <s v="DFR"/>
    <m/>
    <m/>
    <m/>
    <x v="1"/>
    <s v="19.03.2026"/>
    <s v="05.04.2026"/>
    <s v="Mar'26"/>
    <s v="Apr'26"/>
    <s v="Shri Balaji Contractor"/>
  </r>
  <r>
    <n v="249"/>
    <s v="39/10"/>
    <x v="1"/>
    <s v="DA+0"/>
    <s v="DFR"/>
    <m/>
    <m/>
    <m/>
    <x v="1"/>
    <s v="22.03.2026"/>
    <s v="31.03.2026"/>
    <s v="Mar'26"/>
    <s v="Mar'26"/>
    <s v="AFFLUX CONSTRUCTION "/>
  </r>
  <r>
    <n v="250"/>
    <s v="39/11"/>
    <x v="1"/>
    <s v="DA+3"/>
    <s v="WC"/>
    <m/>
    <m/>
    <m/>
    <x v="1"/>
    <s v="26.03.2026"/>
    <d v="2026-04-08T00:00:00"/>
    <s v="Mar'26"/>
    <s v="Apr'26"/>
    <s v="AFFLUX CONSTRUCTION "/>
  </r>
  <r>
    <n v="251"/>
    <s v="28/0"/>
    <x v="0"/>
    <s v="DD45+6"/>
    <s v="DFR"/>
    <m/>
    <m/>
    <m/>
    <x v="1"/>
    <s v="27.03.2026"/>
    <s v="04.04.2026"/>
    <s v="Mar'26"/>
    <s v="Apr'26"/>
    <s v="MAUSAUDDIN SK-I"/>
  </r>
  <r>
    <n v="252"/>
    <s v="54/0"/>
    <x v="2"/>
    <s v="DC2+18"/>
    <s v="DFR"/>
    <m/>
    <m/>
    <m/>
    <x v="1"/>
    <s v="31.03.2026"/>
    <d v="2026-04-18T00:00:00"/>
    <s v="Apr'26"/>
    <s v="Apr'26"/>
    <s v="Hemraj yadav"/>
  </r>
  <r>
    <n v="253"/>
    <s v="35/0"/>
    <x v="0"/>
    <s v="DB2+3"/>
    <s v="WET"/>
    <m/>
    <m/>
    <m/>
    <x v="1"/>
    <s v="01.04.2026"/>
    <d v="2026-04-09T00:00:00"/>
    <s v="Apr'26"/>
    <s v="Apr'26"/>
    <s v="MAUSAUDDIN SK-I"/>
  </r>
  <r>
    <n v="254"/>
    <s v="47/10"/>
    <x v="1"/>
    <s v="DA+3"/>
    <s v="WC"/>
    <s v="W3"/>
    <n v="6.5744400000000001"/>
    <m/>
    <x v="1"/>
    <d v="2026-04-14T00:00:00"/>
    <d v="2026-05-22T00:00:00"/>
    <s v="Apr'26"/>
    <s v="May'26"/>
    <s v="AFFLUX CONSTRUCTION "/>
  </r>
  <r>
    <n v="255"/>
    <s v="5/0"/>
    <x v="0"/>
    <s v="DB1+0"/>
    <s v="WC"/>
    <m/>
    <m/>
    <m/>
    <x v="1"/>
    <d v="2026-04-10T00:00:00"/>
    <d v="2026-04-14T00:00:00"/>
    <s v="Apr'26"/>
    <s v="Apr'26"/>
    <s v="MAUSAUDDIN SK-I"/>
  </r>
  <r>
    <n v="256"/>
    <s v="50/0"/>
    <x v="2"/>
    <s v="DC2+18"/>
    <s v="DFR"/>
    <s v="W1"/>
    <n v="22.435251039999997"/>
    <m/>
    <x v="1"/>
    <d v="2026-04-10T00:00:00"/>
    <d v="2026-05-05T00:00:00"/>
    <s v="Apr'26"/>
    <s v="May'26"/>
    <s v="Jai bhawani construction"/>
  </r>
  <r>
    <n v="257"/>
    <s v="39/9"/>
    <x v="1"/>
    <s v="DA+3"/>
    <s v="DFR"/>
    <m/>
    <m/>
    <m/>
    <x v="1"/>
    <d v="2026-04-10T00:00:00"/>
    <d v="2026-04-25T00:00:00"/>
    <s v="Apr'26"/>
    <s v="Apr'26"/>
    <s v="AFFLUX CONSTRUCTION "/>
  </r>
  <r>
    <n v="258"/>
    <s v="45/2"/>
    <x v="1"/>
    <s v="DA+0"/>
    <s v="DFR"/>
    <s v="W1"/>
    <n v="6.3707200000000004"/>
    <m/>
    <x v="1"/>
    <d v="2026-04-14T00:00:00"/>
    <d v="2026-05-04T00:00:00"/>
    <s v="Apr'26"/>
    <s v="May'26"/>
    <s v="AFFLUX CONSTRUCTION "/>
  </r>
  <r>
    <n v="259"/>
    <s v="4/6"/>
    <x v="0"/>
    <s v="DA+6"/>
    <s v="DFR"/>
    <m/>
    <m/>
    <m/>
    <x v="1"/>
    <d v="2026-04-10T00:00:00"/>
    <d v="2026-04-16T00:00:00"/>
    <s v="Apr'26"/>
    <s v="Apr'26"/>
    <s v="MAUSAUDDIN SK-I"/>
  </r>
  <r>
    <n v="260"/>
    <s v="47/9"/>
    <x v="1"/>
    <s v="DA+0"/>
    <s v="WC"/>
    <s v="W2"/>
    <n v="5.4959937183199994"/>
    <m/>
    <x v="1"/>
    <d v="2026-05-05T00:00:00"/>
    <d v="2026-05-14T00:00:00"/>
    <s v="May'26"/>
    <s v="May'26"/>
    <s v="AFFLUX CONSTRUCTION "/>
  </r>
  <r>
    <n v="261"/>
    <s v="4/3"/>
    <x v="0"/>
    <s v="DA(-)3"/>
    <s v="DFR"/>
    <m/>
    <m/>
    <m/>
    <x v="1"/>
    <d v="2026-04-16T00:00:00"/>
    <d v="2026-04-20T00:00:00"/>
    <s v="Apr'26"/>
    <s v="Apr'26"/>
    <s v="MAUSAUDDIN SK-I"/>
  </r>
  <r>
    <n v="262"/>
    <s v="4/4"/>
    <x v="0"/>
    <s v="DA+6"/>
    <s v="DFR"/>
    <m/>
    <m/>
    <m/>
    <x v="1"/>
    <d v="2026-04-16T00:00:00"/>
    <d v="2026-04-18T00:00:00"/>
    <s v="Apr'26"/>
    <s v="Apr'26"/>
    <s v="MAUSAUDDIN SK-I"/>
  </r>
  <r>
    <n v="263"/>
    <s v="3/1"/>
    <x v="0"/>
    <s v="DA(-)1.5"/>
    <s v="DFR "/>
    <m/>
    <m/>
    <m/>
    <x v="1"/>
    <d v="2026-04-27T00:00:00"/>
    <d v="2026-04-29T00:00:00"/>
    <s v="Apr'26"/>
    <s v="Apr'26"/>
    <s v="MAUSAUDDIN SK-I"/>
  </r>
  <r>
    <n v="264"/>
    <s v="4/0"/>
    <x v="0"/>
    <s v="DC1+0"/>
    <s v="DFR "/>
    <s v="W1"/>
    <n v="16.938269999999999"/>
    <m/>
    <x v="1"/>
    <d v="2026-05-01T00:00:00"/>
    <d v="2026-05-06T00:00:00"/>
    <s v="May'26"/>
    <s v="May'26"/>
    <s v="MAUSAUDDIN SK-I"/>
  </r>
  <r>
    <n v="265"/>
    <s v="4/5"/>
    <x v="0"/>
    <s v="DA(-)3"/>
    <s v="DFR "/>
    <s v="W1"/>
    <n v="6.2319500000000003"/>
    <m/>
    <x v="1"/>
    <d v="2026-04-28T00:00:00"/>
    <d v="2026-05-02T00:00:00"/>
    <s v="Apr'26"/>
    <s v="May'26"/>
    <s v="MAUSAUDDIN SK-I"/>
  </r>
  <r>
    <n v="266"/>
    <s v="51/0"/>
    <x v="2"/>
    <s v="DD45+9"/>
    <s v="DFR"/>
    <s v="W4"/>
    <n v="26.745646600000001"/>
    <m/>
    <x v="0"/>
    <d v="2026-05-08T00:00:00"/>
    <d v="2026-05-31T00:00:00"/>
    <s v="May'26"/>
    <s v="May'26"/>
    <s v="Balaji Construction"/>
  </r>
  <r>
    <n v="267"/>
    <s v="3/0"/>
    <x v="0"/>
    <s v="DD45+3"/>
    <s v="DFR"/>
    <s v="W2"/>
    <n v="26.7446269"/>
    <m/>
    <x v="1"/>
    <d v="2026-05-07T00:00:00"/>
    <d v="2026-05-12T00:00:00"/>
    <s v="May'26"/>
    <s v="May'26"/>
    <s v="Musauddin Sk"/>
  </r>
  <r>
    <n v="268"/>
    <s v="2/0"/>
    <x v="0"/>
    <s v="DD60+0"/>
    <s v="DFR"/>
    <s v="W3"/>
    <n v="31.681715710000002"/>
    <m/>
    <x v="1"/>
    <d v="2026-05-13T00:00:00"/>
    <d v="2026-05-19T00:00:00"/>
    <s v="May'26"/>
    <s v="May'26"/>
    <s v="Musauddin Sk"/>
  </r>
  <r>
    <n v="269"/>
    <s v="63/0"/>
    <x v="2"/>
    <s v="DC2+12"/>
    <s v="DFR"/>
    <s v="W4"/>
    <n v="19.31312149"/>
    <m/>
    <x v="1"/>
    <d v="2026-05-12T00:00:00"/>
    <d v="2026-06-07T00:00:00"/>
    <s v="May'26"/>
    <s v="June'26"/>
    <s v="Hemraj yadav"/>
  </r>
  <r>
    <n v="270"/>
    <s v="47/0"/>
    <x v="1"/>
    <s v="DC1+3"/>
    <s v="DFR"/>
    <s v="W4"/>
    <n v="17.270996950000001"/>
    <m/>
    <x v="1"/>
    <d v="2026-05-16T00:00:00"/>
    <d v="2026-06-06T00:00:00"/>
    <s v="May'26"/>
    <s v="June'26"/>
    <s v="Khatu Shyam construction"/>
  </r>
  <r>
    <n v="271"/>
    <s v="3/2"/>
    <x v="0"/>
    <s v="DA+6"/>
    <s v="DFR"/>
    <s v="W3"/>
    <n v="7.2371699999999999"/>
    <m/>
    <x v="1"/>
    <d v="2026-05-16T00:00:00"/>
    <d v="2026-05-20T00:00:00"/>
    <s v="May'26"/>
    <s v="May'26"/>
    <s v="Musauddin Sk"/>
  </r>
  <r>
    <n v="272"/>
    <s v="47/5"/>
    <x v="1"/>
    <s v="DA+3"/>
    <m/>
    <m/>
    <m/>
    <m/>
    <x v="3"/>
    <m/>
    <m/>
    <m/>
    <m/>
    <m/>
  </r>
  <r>
    <n v="273"/>
    <s v="1/0"/>
    <x v="0"/>
    <s v="DD60+0"/>
    <m/>
    <m/>
    <m/>
    <m/>
    <x v="4"/>
    <d v="2026-06-06T00:00:00"/>
    <m/>
    <s v="Jun'26"/>
    <m/>
    <s v="Musauddin Sk"/>
  </r>
  <r>
    <n v="274"/>
    <s v="62/0"/>
    <x v="2"/>
    <s v="DB1+12"/>
    <m/>
    <m/>
    <m/>
    <m/>
    <x v="4"/>
    <s v="6/7/267"/>
    <m/>
    <s v="Jun'26"/>
    <m/>
    <s v="Hemra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B720-7BB7-4343-924A-224BBE644AE3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G9" firstHeaderRow="1" firstDataRow="2" firstDataCol="1"/>
  <pivotFields count="1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24EB-2EBA-4CEF-8A50-0448E5690062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BC0-D99C-473D-98B7-4FCB132228E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14:J19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80CA-BC42-46D3-AEA5-AA6EE96256B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3:J8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27F-8FD2-4DEE-9553-DE91EAD5D833}">
  <sheetPr>
    <pageSetUpPr fitToPage="1"/>
  </sheetPr>
  <dimension ref="A1:BA222"/>
  <sheetViews>
    <sheetView tabSelected="1" zoomScale="55" zoomScaleNormal="55" workbookViewId="0">
      <selection activeCell="AT23" sqref="AT23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88" t="str">
        <f>[2]TS!A1</f>
        <v>Name of Line:- 765 KV D/C Mandsaur - Kurawar (Part-1)Transmission Line(WZ-4)</v>
      </c>
      <c r="B1" s="689"/>
      <c r="C1" s="689"/>
      <c r="D1" s="689"/>
      <c r="E1" s="689"/>
      <c r="F1" s="689"/>
      <c r="G1" s="690"/>
      <c r="H1" s="690"/>
      <c r="I1" s="690"/>
      <c r="J1" s="690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689"/>
      <c r="AH1" s="689"/>
      <c r="AI1" s="689"/>
      <c r="AJ1" s="689"/>
      <c r="AK1" s="689"/>
      <c r="AL1" s="689"/>
      <c r="AM1" s="689"/>
      <c r="AN1" s="689"/>
      <c r="AO1" s="689"/>
      <c r="AP1" s="689"/>
      <c r="AQ1" s="689"/>
      <c r="AR1" s="689"/>
      <c r="AS1" s="689"/>
      <c r="AT1" s="219"/>
      <c r="AV1" s="691"/>
      <c r="AW1" s="692"/>
      <c r="AX1" s="692"/>
      <c r="AY1" s="692"/>
      <c r="AZ1" s="692"/>
      <c r="BA1" s="692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3" t="s">
        <v>387</v>
      </c>
      <c r="U2" s="693"/>
      <c r="V2" s="693"/>
      <c r="W2" s="693"/>
      <c r="X2" s="693"/>
      <c r="Y2" s="693"/>
      <c r="Z2" s="693"/>
      <c r="AA2" s="693"/>
      <c r="AB2" s="693"/>
      <c r="AC2" s="693"/>
      <c r="AD2" s="693"/>
      <c r="AE2" s="19"/>
      <c r="AF2" s="506"/>
      <c r="AG2" s="506"/>
      <c r="AH2" s="19"/>
      <c r="AI2" s="506"/>
      <c r="AJ2" s="506"/>
      <c r="AK2" s="694" t="s">
        <v>351</v>
      </c>
      <c r="AL2" s="694"/>
      <c r="AM2" s="694"/>
      <c r="AN2" s="695">
        <v>46194</v>
      </c>
      <c r="AO2" s="695"/>
      <c r="AP2" s="695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273</v>
      </c>
      <c r="AW3" s="8">
        <f>SUM(AW6:AW182)</f>
        <v>249</v>
      </c>
      <c r="AX3" s="8">
        <f>SUM(AX6:AX182)</f>
        <v>217</v>
      </c>
      <c r="AY3" s="8">
        <f t="shared" ref="AY3:BA3" si="0">SUM(AY6:AY182)</f>
        <v>20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96"/>
      <c r="C4" s="696"/>
      <c r="E4" s="696"/>
      <c r="F4" s="696"/>
      <c r="H4" s="697"/>
      <c r="I4" s="697"/>
      <c r="K4" s="696"/>
      <c r="L4" s="696"/>
      <c r="N4" s="696"/>
      <c r="O4" s="696"/>
      <c r="Q4" s="697"/>
      <c r="R4" s="697"/>
      <c r="T4" s="697"/>
      <c r="U4" s="697"/>
      <c r="W4" s="710"/>
      <c r="X4" s="710"/>
      <c r="Z4" s="710"/>
      <c r="AA4" s="710"/>
      <c r="AC4" s="697"/>
      <c r="AD4" s="696"/>
      <c r="AF4" s="697"/>
      <c r="AG4" s="696"/>
      <c r="AI4" s="697"/>
      <c r="AJ4" s="696"/>
      <c r="AL4" s="697"/>
      <c r="AM4" s="696"/>
      <c r="AO4" s="697"/>
      <c r="AP4" s="696"/>
      <c r="AQ4" s="10"/>
      <c r="AR4" s="10"/>
      <c r="AT4" s="7"/>
      <c r="AV4" s="10"/>
    </row>
    <row r="5" spans="1:53" x14ac:dyDescent="0.35">
      <c r="A5" s="5"/>
      <c r="B5" s="11"/>
      <c r="C5" s="12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04" t="s">
        <v>397</v>
      </c>
      <c r="U5" s="705"/>
      <c r="V5" s="510"/>
      <c r="W5" s="704" t="s">
        <v>397</v>
      </c>
      <c r="X5" s="705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678"/>
      <c r="C6" s="678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06"/>
      <c r="U6" s="707"/>
      <c r="V6" s="513"/>
      <c r="W6" s="706"/>
      <c r="X6" s="707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12</v>
      </c>
      <c r="AW6" s="2">
        <v>12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699" t="s">
        <v>9</v>
      </c>
      <c r="C7" s="699"/>
      <c r="D7" s="517">
        <v>148.47800000000001</v>
      </c>
      <c r="E7" s="699" t="s">
        <v>9</v>
      </c>
      <c r="F7" s="699"/>
      <c r="G7" s="517">
        <v>408.83199999999999</v>
      </c>
      <c r="H7" s="701" t="s">
        <v>12</v>
      </c>
      <c r="I7" s="699"/>
      <c r="J7" s="513">
        <v>380</v>
      </c>
      <c r="K7" s="701" t="s">
        <v>14</v>
      </c>
      <c r="L7" s="699"/>
      <c r="M7" s="513">
        <v>422</v>
      </c>
      <c r="N7" s="708" t="s">
        <v>16</v>
      </c>
      <c r="O7" s="709"/>
      <c r="P7" s="517">
        <v>408.35199999999998</v>
      </c>
      <c r="Q7" s="702" t="s">
        <v>18</v>
      </c>
      <c r="R7" s="699"/>
      <c r="S7" s="517">
        <v>419.45299999999997</v>
      </c>
      <c r="T7" s="702" t="s">
        <v>20</v>
      </c>
      <c r="U7" s="699"/>
      <c r="V7" s="513">
        <v>381</v>
      </c>
      <c r="W7" s="702" t="s">
        <v>20</v>
      </c>
      <c r="X7" s="699"/>
      <c r="Y7" s="513">
        <v>417</v>
      </c>
      <c r="Z7" s="698" t="s">
        <v>23</v>
      </c>
      <c r="AA7" s="699"/>
      <c r="AB7" s="6">
        <v>417</v>
      </c>
      <c r="AC7" s="698" t="s">
        <v>16</v>
      </c>
      <c r="AD7" s="699"/>
      <c r="AE7" s="513">
        <v>417</v>
      </c>
      <c r="AF7" s="699" t="s">
        <v>23</v>
      </c>
      <c r="AG7" s="699"/>
      <c r="AH7" s="517">
        <v>388.00299999999999</v>
      </c>
      <c r="AI7" s="698" t="s">
        <v>16</v>
      </c>
      <c r="AJ7" s="699"/>
      <c r="AK7" s="517">
        <v>452.34300000000002</v>
      </c>
      <c r="AL7" s="698" t="s">
        <v>28</v>
      </c>
      <c r="AM7" s="699"/>
      <c r="AN7" s="337">
        <v>401</v>
      </c>
      <c r="AO7" s="700" t="s">
        <v>23</v>
      </c>
      <c r="AP7" s="700"/>
      <c r="AQ7" s="513">
        <v>330</v>
      </c>
      <c r="AT7" s="7"/>
      <c r="AX7" s="10"/>
    </row>
    <row r="8" spans="1:53" x14ac:dyDescent="0.35">
      <c r="A8" s="5"/>
      <c r="B8" s="699" t="s">
        <v>8</v>
      </c>
      <c r="C8" s="699"/>
      <c r="D8" s="519"/>
      <c r="E8" s="699" t="s">
        <v>10</v>
      </c>
      <c r="F8" s="699"/>
      <c r="G8" s="519"/>
      <c r="H8" s="701" t="s">
        <v>11</v>
      </c>
      <c r="I8" s="699"/>
      <c r="J8" s="519"/>
      <c r="K8" s="701" t="s">
        <v>13</v>
      </c>
      <c r="L8" s="699"/>
      <c r="M8" s="519"/>
      <c r="N8" s="702" t="s">
        <v>15</v>
      </c>
      <c r="O8" s="703"/>
      <c r="P8" s="519"/>
      <c r="Q8" s="702" t="s">
        <v>17</v>
      </c>
      <c r="R8" s="703"/>
      <c r="S8" s="519"/>
      <c r="T8" s="702" t="s">
        <v>19</v>
      </c>
      <c r="U8" s="703"/>
      <c r="V8" s="519"/>
      <c r="W8" s="702" t="s">
        <v>21</v>
      </c>
      <c r="X8" s="703"/>
      <c r="Y8" s="519"/>
      <c r="Z8" s="702" t="s">
        <v>22</v>
      </c>
      <c r="AA8" s="703"/>
      <c r="AB8" s="513"/>
      <c r="AC8" s="702" t="s">
        <v>24</v>
      </c>
      <c r="AD8" s="703"/>
      <c r="AE8" s="519"/>
      <c r="AF8" s="702" t="s">
        <v>25</v>
      </c>
      <c r="AG8" s="703"/>
      <c r="AH8" s="519"/>
      <c r="AI8" s="702" t="s">
        <v>26</v>
      </c>
      <c r="AJ8" s="703"/>
      <c r="AK8" s="519"/>
      <c r="AL8" s="698" t="s">
        <v>27</v>
      </c>
      <c r="AM8" s="699"/>
      <c r="AN8" s="516"/>
      <c r="AO8" s="698" t="s">
        <v>29</v>
      </c>
      <c r="AP8" s="699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717"/>
      <c r="T10" s="717"/>
      <c r="U10" s="717"/>
      <c r="V10" s="717"/>
      <c r="Y10" s="718"/>
      <c r="Z10" s="718"/>
      <c r="AA10" s="718"/>
      <c r="AB10" s="718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0"/>
      <c r="C12" s="710"/>
      <c r="E12" s="697"/>
      <c r="F12" s="696"/>
      <c r="H12" s="697"/>
      <c r="I12" s="696"/>
      <c r="K12" s="696"/>
      <c r="L12" s="696"/>
      <c r="N12" s="697"/>
      <c r="O12" s="696"/>
      <c r="Q12" s="697"/>
      <c r="R12" s="696"/>
      <c r="T12" s="697"/>
      <c r="U12" s="696"/>
      <c r="W12" s="697"/>
      <c r="X12" s="696"/>
      <c r="Z12" s="697"/>
      <c r="AA12" s="696"/>
      <c r="AC12" s="696"/>
      <c r="AD12" s="696"/>
      <c r="AF12" s="697"/>
      <c r="AG12" s="696"/>
      <c r="AI12" s="696"/>
      <c r="AJ12" s="696"/>
      <c r="AL12" s="696"/>
      <c r="AM12" s="696"/>
      <c r="AO12" s="697"/>
      <c r="AP12" s="696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14</v>
      </c>
      <c r="AX14" s="2">
        <v>14</v>
      </c>
      <c r="AY14" s="2">
        <v>8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699" t="s">
        <v>31</v>
      </c>
      <c r="C15" s="699"/>
      <c r="D15" s="513">
        <v>413</v>
      </c>
      <c r="E15" s="711" t="s">
        <v>33</v>
      </c>
      <c r="F15" s="711"/>
      <c r="G15" s="527">
        <v>422</v>
      </c>
      <c r="H15" s="712" t="s">
        <v>35</v>
      </c>
      <c r="I15" s="711"/>
      <c r="J15" s="519">
        <v>396</v>
      </c>
      <c r="K15" s="713" t="s">
        <v>31</v>
      </c>
      <c r="L15" s="711"/>
      <c r="M15" s="513">
        <v>385</v>
      </c>
      <c r="N15" s="713" t="s">
        <v>31</v>
      </c>
      <c r="O15" s="711"/>
      <c r="P15" s="513">
        <v>338</v>
      </c>
      <c r="Q15" s="714" t="s">
        <v>23</v>
      </c>
      <c r="R15" s="715"/>
      <c r="S15" s="513">
        <v>324</v>
      </c>
      <c r="T15" s="716" t="s">
        <v>40</v>
      </c>
      <c r="U15" s="711"/>
      <c r="V15" s="513">
        <v>380</v>
      </c>
      <c r="W15" s="698" t="s">
        <v>14</v>
      </c>
      <c r="X15" s="699"/>
      <c r="Y15" s="513">
        <v>374</v>
      </c>
      <c r="Z15" s="716" t="s">
        <v>35</v>
      </c>
      <c r="AA15" s="711"/>
      <c r="AB15" s="528">
        <v>415</v>
      </c>
      <c r="AC15" s="711" t="s">
        <v>35</v>
      </c>
      <c r="AD15" s="711"/>
      <c r="AE15" s="529">
        <v>386</v>
      </c>
      <c r="AF15" s="713" t="s">
        <v>40</v>
      </c>
      <c r="AG15" s="711"/>
      <c r="AH15" s="513">
        <v>352</v>
      </c>
      <c r="AI15" s="713" t="s">
        <v>31</v>
      </c>
      <c r="AJ15" s="711"/>
      <c r="AK15" s="513">
        <v>392</v>
      </c>
      <c r="AL15" s="713" t="s">
        <v>31</v>
      </c>
      <c r="AM15" s="711"/>
      <c r="AN15" s="513">
        <v>381</v>
      </c>
      <c r="AO15" s="713" t="s">
        <v>31</v>
      </c>
      <c r="AP15" s="711"/>
      <c r="AQ15" s="516">
        <v>390</v>
      </c>
      <c r="AR15" s="516"/>
      <c r="AS15" s="519"/>
      <c r="AT15" s="213"/>
    </row>
    <row r="16" spans="1:53" x14ac:dyDescent="0.35">
      <c r="A16" s="5"/>
      <c r="B16" s="698" t="s">
        <v>30</v>
      </c>
      <c r="C16" s="699"/>
      <c r="D16" s="519"/>
      <c r="E16" s="698" t="s">
        <v>32</v>
      </c>
      <c r="F16" s="699"/>
      <c r="G16" s="519"/>
      <c r="H16" s="698" t="s">
        <v>34</v>
      </c>
      <c r="I16" s="699"/>
      <c r="J16" s="519"/>
      <c r="K16" s="698" t="s">
        <v>36</v>
      </c>
      <c r="L16" s="699"/>
      <c r="M16" s="519"/>
      <c r="N16" s="698" t="s">
        <v>37</v>
      </c>
      <c r="O16" s="699"/>
      <c r="P16" s="519"/>
      <c r="Q16" s="698" t="s">
        <v>38</v>
      </c>
      <c r="R16" s="699"/>
      <c r="S16" s="519"/>
      <c r="T16" s="702" t="s">
        <v>39</v>
      </c>
      <c r="U16" s="703"/>
      <c r="V16" s="519"/>
      <c r="W16" s="702" t="s">
        <v>41</v>
      </c>
      <c r="X16" s="703"/>
      <c r="Y16" s="519"/>
      <c r="Z16" s="702" t="s">
        <v>42</v>
      </c>
      <c r="AA16" s="703"/>
      <c r="AB16" s="528"/>
      <c r="AC16" s="702" t="s">
        <v>43</v>
      </c>
      <c r="AD16" s="703"/>
      <c r="AE16" s="529"/>
      <c r="AF16" s="702" t="s">
        <v>44</v>
      </c>
      <c r="AG16" s="703"/>
      <c r="AH16" s="519"/>
      <c r="AI16" s="702" t="s">
        <v>45</v>
      </c>
      <c r="AJ16" s="703"/>
      <c r="AK16" s="519"/>
      <c r="AL16" s="702" t="s">
        <v>46</v>
      </c>
      <c r="AM16" s="703"/>
      <c r="AN16" s="519"/>
      <c r="AO16" s="702" t="s">
        <v>47</v>
      </c>
      <c r="AP16" s="703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718"/>
      <c r="E18" s="718"/>
      <c r="F18" s="718"/>
      <c r="G18" s="718"/>
      <c r="AT18" s="7"/>
    </row>
    <row r="19" spans="1:53" x14ac:dyDescent="0.35">
      <c r="A19" s="5"/>
      <c r="AT19" s="7"/>
    </row>
    <row r="20" spans="1:53" x14ac:dyDescent="0.35">
      <c r="A20" s="5"/>
      <c r="B20" s="719"/>
      <c r="C20" s="710"/>
      <c r="E20" s="696"/>
      <c r="F20" s="696"/>
      <c r="H20" s="697"/>
      <c r="I20" s="696"/>
      <c r="K20" s="696"/>
      <c r="L20" s="696"/>
      <c r="N20" s="696"/>
      <c r="O20" s="696"/>
      <c r="Q20" s="697"/>
      <c r="R20" s="696"/>
      <c r="T20" s="697"/>
      <c r="U20" s="696"/>
      <c r="W20" s="697"/>
      <c r="X20" s="696"/>
      <c r="Z20" s="697"/>
      <c r="AA20" s="696"/>
      <c r="AC20" s="697"/>
      <c r="AD20" s="696"/>
      <c r="AF20" s="697"/>
      <c r="AG20" s="696"/>
      <c r="AI20" s="697"/>
      <c r="AJ20" s="696"/>
      <c r="AL20" s="697"/>
      <c r="AM20" s="696"/>
      <c r="AO20" s="697"/>
      <c r="AP20" s="696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12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702" t="s">
        <v>31</v>
      </c>
      <c r="C23" s="703"/>
      <c r="D23" s="519">
        <v>391</v>
      </c>
      <c r="E23" s="713" t="s">
        <v>28</v>
      </c>
      <c r="F23" s="711"/>
      <c r="G23" s="519">
        <v>331</v>
      </c>
      <c r="H23" s="712" t="s">
        <v>31</v>
      </c>
      <c r="I23" s="711"/>
      <c r="J23" s="513">
        <v>404</v>
      </c>
      <c r="K23" s="713" t="s">
        <v>33</v>
      </c>
      <c r="L23" s="711"/>
      <c r="M23" s="513">
        <v>410</v>
      </c>
      <c r="N23" s="713" t="s">
        <v>33</v>
      </c>
      <c r="O23" s="711"/>
      <c r="P23" s="513">
        <v>398</v>
      </c>
      <c r="Q23" s="714" t="s">
        <v>33</v>
      </c>
      <c r="R23" s="715"/>
      <c r="S23" s="513">
        <v>432</v>
      </c>
      <c r="T23" s="712" t="s">
        <v>31</v>
      </c>
      <c r="U23" s="711"/>
      <c r="V23" s="513">
        <v>356</v>
      </c>
      <c r="W23" s="712" t="s">
        <v>31</v>
      </c>
      <c r="X23" s="711"/>
      <c r="Y23" s="513">
        <v>408</v>
      </c>
      <c r="Z23" s="712" t="s">
        <v>31</v>
      </c>
      <c r="AA23" s="711"/>
      <c r="AB23" s="513">
        <v>415</v>
      </c>
      <c r="AC23" s="714" t="s">
        <v>33</v>
      </c>
      <c r="AD23" s="715"/>
      <c r="AE23" s="513">
        <v>371</v>
      </c>
      <c r="AF23" s="720" t="s">
        <v>23</v>
      </c>
      <c r="AG23" s="720"/>
      <c r="AH23" s="519">
        <v>364</v>
      </c>
      <c r="AI23" s="712" t="s">
        <v>31</v>
      </c>
      <c r="AJ23" s="711"/>
      <c r="AK23" s="530">
        <v>415</v>
      </c>
      <c r="AL23" s="720" t="s">
        <v>61</v>
      </c>
      <c r="AM23" s="720"/>
      <c r="AN23" s="519">
        <v>389</v>
      </c>
      <c r="AO23" s="714" t="s">
        <v>33</v>
      </c>
      <c r="AP23" s="715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702" t="s">
        <v>48</v>
      </c>
      <c r="C24" s="703"/>
      <c r="D24" s="519"/>
      <c r="E24" s="698" t="s">
        <v>49</v>
      </c>
      <c r="F24" s="699"/>
      <c r="G24" s="519"/>
      <c r="H24" s="698" t="s">
        <v>50</v>
      </c>
      <c r="I24" s="699"/>
      <c r="J24" s="519"/>
      <c r="K24" s="698" t="s">
        <v>51</v>
      </c>
      <c r="L24" s="699"/>
      <c r="M24" s="519"/>
      <c r="N24" s="698" t="s">
        <v>52</v>
      </c>
      <c r="O24" s="699"/>
      <c r="P24" s="519"/>
      <c r="Q24" s="698" t="s">
        <v>53</v>
      </c>
      <c r="R24" s="699"/>
      <c r="S24" s="519"/>
      <c r="T24" s="698" t="s">
        <v>54</v>
      </c>
      <c r="U24" s="699"/>
      <c r="V24" s="519"/>
      <c r="W24" s="698" t="s">
        <v>55</v>
      </c>
      <c r="X24" s="699"/>
      <c r="Y24" s="519"/>
      <c r="Z24" s="698" t="s">
        <v>56</v>
      </c>
      <c r="AA24" s="699"/>
      <c r="AB24" s="519"/>
      <c r="AC24" s="698" t="s">
        <v>57</v>
      </c>
      <c r="AD24" s="699"/>
      <c r="AE24" s="531"/>
      <c r="AF24" s="698" t="s">
        <v>58</v>
      </c>
      <c r="AG24" s="699"/>
      <c r="AH24" s="531"/>
      <c r="AI24" s="698" t="s">
        <v>59</v>
      </c>
      <c r="AJ24" s="699"/>
      <c r="AK24" s="531"/>
      <c r="AL24" s="721" t="s">
        <v>60</v>
      </c>
      <c r="AM24" s="721"/>
      <c r="AN24" s="531"/>
      <c r="AO24" s="721" t="s">
        <v>62</v>
      </c>
      <c r="AP24" s="721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722"/>
      <c r="H26" s="722"/>
      <c r="I26" s="722"/>
      <c r="J26" s="722"/>
      <c r="T26" s="723" t="s">
        <v>404</v>
      </c>
      <c r="U26" s="723"/>
      <c r="V26" s="723"/>
      <c r="W26" s="723"/>
      <c r="X26" s="723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719"/>
      <c r="C28" s="710"/>
      <c r="E28" s="696"/>
      <c r="F28" s="696"/>
      <c r="H28" s="696"/>
      <c r="I28" s="696"/>
      <c r="K28" s="696"/>
      <c r="L28" s="696"/>
      <c r="N28" s="696"/>
      <c r="O28" s="696"/>
      <c r="Q28" s="696"/>
      <c r="R28" s="696"/>
      <c r="T28" s="696"/>
      <c r="U28" s="696"/>
      <c r="W28" s="696"/>
      <c r="X28" s="696"/>
      <c r="Z28" s="696"/>
      <c r="AA28" s="696"/>
      <c r="AC28" s="696"/>
      <c r="AD28" s="696"/>
      <c r="AF28" s="696"/>
      <c r="AG28" s="696"/>
      <c r="AI28" s="696"/>
      <c r="AJ28" s="696"/>
      <c r="AL28" s="696"/>
      <c r="AM28" s="696"/>
      <c r="AO28" s="696"/>
      <c r="AP28" s="696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04" t="s">
        <v>897</v>
      </c>
      <c r="X29" s="705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06"/>
      <c r="X30" s="707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712" t="s">
        <v>31</v>
      </c>
      <c r="C31" s="711"/>
      <c r="D31" s="513">
        <v>439</v>
      </c>
      <c r="E31" s="712" t="s">
        <v>16</v>
      </c>
      <c r="F31" s="711"/>
      <c r="G31" s="513">
        <v>381</v>
      </c>
      <c r="H31" s="713" t="s">
        <v>28</v>
      </c>
      <c r="I31" s="711"/>
      <c r="J31" s="513">
        <v>386</v>
      </c>
      <c r="K31" s="713" t="s">
        <v>31</v>
      </c>
      <c r="L31" s="711"/>
      <c r="M31" s="513">
        <v>356</v>
      </c>
      <c r="N31" s="713" t="s">
        <v>23</v>
      </c>
      <c r="O31" s="711"/>
      <c r="P31" s="513">
        <v>365</v>
      </c>
      <c r="Q31" s="713" t="s">
        <v>33</v>
      </c>
      <c r="R31" s="711"/>
      <c r="S31" s="513">
        <v>475</v>
      </c>
      <c r="T31" s="713" t="s">
        <v>70</v>
      </c>
      <c r="U31" s="711"/>
      <c r="V31" s="513">
        <v>196</v>
      </c>
      <c r="W31" s="713" t="s">
        <v>70</v>
      </c>
      <c r="X31" s="711"/>
      <c r="Y31" s="519">
        <v>477</v>
      </c>
      <c r="Z31" s="713" t="s">
        <v>33</v>
      </c>
      <c r="AA31" s="711"/>
      <c r="AB31" s="513">
        <v>363</v>
      </c>
      <c r="AC31" s="713" t="s">
        <v>23</v>
      </c>
      <c r="AD31" s="711"/>
      <c r="AE31" s="513">
        <v>328</v>
      </c>
      <c r="AF31" s="713" t="s">
        <v>23</v>
      </c>
      <c r="AG31" s="711"/>
      <c r="AH31" s="519">
        <v>376</v>
      </c>
      <c r="AI31" s="713" t="s">
        <v>31</v>
      </c>
      <c r="AJ31" s="711"/>
      <c r="AK31" s="513">
        <v>393</v>
      </c>
      <c r="AL31" s="713" t="s">
        <v>35</v>
      </c>
      <c r="AM31" s="711"/>
      <c r="AN31" s="519">
        <v>397</v>
      </c>
      <c r="AO31" s="713" t="s">
        <v>31</v>
      </c>
      <c r="AP31" s="711"/>
      <c r="AQ31" s="516">
        <v>394</v>
      </c>
      <c r="AR31" s="516"/>
      <c r="AS31" s="513"/>
      <c r="AT31" s="211"/>
    </row>
    <row r="32" spans="1:53" x14ac:dyDescent="0.35">
      <c r="A32" s="5"/>
      <c r="B32" s="721" t="s">
        <v>63</v>
      </c>
      <c r="C32" s="721"/>
      <c r="D32" s="519"/>
      <c r="E32" s="721" t="s">
        <v>64</v>
      </c>
      <c r="F32" s="721"/>
      <c r="G32" s="519"/>
      <c r="H32" s="721" t="s">
        <v>65</v>
      </c>
      <c r="I32" s="721"/>
      <c r="J32" s="519"/>
      <c r="K32" s="721" t="s">
        <v>66</v>
      </c>
      <c r="L32" s="721"/>
      <c r="M32" s="519"/>
      <c r="N32" s="721" t="s">
        <v>67</v>
      </c>
      <c r="O32" s="721"/>
      <c r="P32" s="519"/>
      <c r="Q32" s="721" t="s">
        <v>68</v>
      </c>
      <c r="R32" s="721"/>
      <c r="S32" s="519"/>
      <c r="T32" s="698" t="s">
        <v>69</v>
      </c>
      <c r="U32" s="699"/>
      <c r="V32" s="519"/>
      <c r="W32" s="698" t="s">
        <v>388</v>
      </c>
      <c r="X32" s="699"/>
      <c r="Y32" s="519"/>
      <c r="Z32" s="698" t="s">
        <v>71</v>
      </c>
      <c r="AA32" s="699"/>
      <c r="AB32" s="519"/>
      <c r="AC32" s="698" t="s">
        <v>72</v>
      </c>
      <c r="AD32" s="699"/>
      <c r="AE32" s="519"/>
      <c r="AF32" s="698" t="s">
        <v>73</v>
      </c>
      <c r="AG32" s="699"/>
      <c r="AH32" s="519"/>
      <c r="AI32" s="698" t="s">
        <v>74</v>
      </c>
      <c r="AJ32" s="699"/>
      <c r="AK32" s="519"/>
      <c r="AL32" s="698" t="s">
        <v>75</v>
      </c>
      <c r="AM32" s="699"/>
      <c r="AN32" s="519"/>
      <c r="AO32" s="698" t="s">
        <v>76</v>
      </c>
      <c r="AP32" s="699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0"/>
      <c r="C34" s="710"/>
      <c r="D34" s="710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0"/>
      <c r="C36" s="710"/>
      <c r="E36" s="696"/>
      <c r="F36" s="696"/>
      <c r="H36" s="696"/>
      <c r="I36" s="696"/>
      <c r="K36" s="696"/>
      <c r="L36" s="696"/>
      <c r="N36" s="696"/>
      <c r="O36" s="696"/>
      <c r="Q36" s="696"/>
      <c r="R36" s="696"/>
      <c r="T36" s="696"/>
      <c r="U36" s="696"/>
      <c r="W36" s="696"/>
      <c r="X36" s="696"/>
      <c r="Z36" s="696"/>
      <c r="AA36" s="696"/>
      <c r="AC36" s="696"/>
      <c r="AD36" s="696"/>
      <c r="AF36" s="696"/>
      <c r="AG36" s="696"/>
      <c r="AI36" s="696"/>
      <c r="AJ36" s="696"/>
      <c r="AL36" s="696"/>
      <c r="AM36" s="696"/>
      <c r="AO36" s="696"/>
      <c r="AP36" s="696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14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698" t="s">
        <v>31</v>
      </c>
      <c r="C39" s="699"/>
      <c r="D39" s="519">
        <v>373</v>
      </c>
      <c r="E39" s="713" t="s">
        <v>61</v>
      </c>
      <c r="F39" s="711"/>
      <c r="G39" s="519">
        <v>357</v>
      </c>
      <c r="H39" s="713" t="s">
        <v>14</v>
      </c>
      <c r="I39" s="711"/>
      <c r="J39" s="519">
        <v>374</v>
      </c>
      <c r="K39" s="713" t="s">
        <v>31</v>
      </c>
      <c r="L39" s="711"/>
      <c r="M39" s="519">
        <v>380</v>
      </c>
      <c r="N39" s="713" t="s">
        <v>31</v>
      </c>
      <c r="O39" s="711"/>
      <c r="P39" s="519">
        <v>344</v>
      </c>
      <c r="Q39" s="713" t="s">
        <v>23</v>
      </c>
      <c r="R39" s="711"/>
      <c r="S39" s="519">
        <v>330</v>
      </c>
      <c r="T39" s="713" t="s">
        <v>31</v>
      </c>
      <c r="U39" s="711"/>
      <c r="V39" s="519">
        <v>367</v>
      </c>
      <c r="W39" s="713" t="s">
        <v>18</v>
      </c>
      <c r="X39" s="711"/>
      <c r="Y39" s="519">
        <v>385</v>
      </c>
      <c r="Z39" s="713" t="s">
        <v>31</v>
      </c>
      <c r="AA39" s="711"/>
      <c r="AB39" s="519">
        <v>355</v>
      </c>
      <c r="AC39" s="713" t="s">
        <v>31</v>
      </c>
      <c r="AD39" s="711"/>
      <c r="AE39" s="519">
        <v>357</v>
      </c>
      <c r="AF39" s="713" t="s">
        <v>23</v>
      </c>
      <c r="AG39" s="711"/>
      <c r="AH39" s="519">
        <v>393</v>
      </c>
      <c r="AI39" s="713" t="s">
        <v>33</v>
      </c>
      <c r="AJ39" s="711"/>
      <c r="AK39" s="530">
        <v>383</v>
      </c>
      <c r="AL39" s="713" t="s">
        <v>31</v>
      </c>
      <c r="AM39" s="711"/>
      <c r="AN39" s="519">
        <v>388</v>
      </c>
      <c r="AO39" s="713" t="s">
        <v>61</v>
      </c>
      <c r="AP39" s="711"/>
      <c r="AQ39" s="516">
        <v>368</v>
      </c>
      <c r="AR39" s="516"/>
      <c r="AT39" s="7"/>
    </row>
    <row r="40" spans="1:53" x14ac:dyDescent="0.35">
      <c r="A40" s="5"/>
      <c r="B40" s="698" t="s">
        <v>77</v>
      </c>
      <c r="C40" s="699"/>
      <c r="D40" s="519"/>
      <c r="E40" s="698" t="s">
        <v>78</v>
      </c>
      <c r="F40" s="699"/>
      <c r="G40" s="519"/>
      <c r="H40" s="698" t="s">
        <v>79</v>
      </c>
      <c r="I40" s="699"/>
      <c r="J40" s="519"/>
      <c r="K40" s="698" t="s">
        <v>80</v>
      </c>
      <c r="L40" s="699"/>
      <c r="M40" s="519"/>
      <c r="N40" s="698" t="s">
        <v>81</v>
      </c>
      <c r="O40" s="699"/>
      <c r="P40" s="519"/>
      <c r="Q40" s="698" t="s">
        <v>82</v>
      </c>
      <c r="R40" s="699"/>
      <c r="S40" s="519"/>
      <c r="T40" s="698" t="s">
        <v>83</v>
      </c>
      <c r="U40" s="699"/>
      <c r="V40" s="519"/>
      <c r="W40" s="698" t="s">
        <v>84</v>
      </c>
      <c r="X40" s="699"/>
      <c r="Y40" s="519"/>
      <c r="Z40" s="698" t="s">
        <v>85</v>
      </c>
      <c r="AA40" s="699"/>
      <c r="AB40" s="519"/>
      <c r="AC40" s="698" t="s">
        <v>86</v>
      </c>
      <c r="AD40" s="699"/>
      <c r="AE40" s="519"/>
      <c r="AF40" s="698" t="s">
        <v>87</v>
      </c>
      <c r="AG40" s="699"/>
      <c r="AH40" s="519"/>
      <c r="AI40" s="698" t="s">
        <v>88</v>
      </c>
      <c r="AJ40" s="699"/>
      <c r="AK40" s="519"/>
      <c r="AL40" s="698" t="s">
        <v>89</v>
      </c>
      <c r="AM40" s="699"/>
      <c r="AN40" s="519"/>
      <c r="AO40" s="698" t="s">
        <v>90</v>
      </c>
      <c r="AP40" s="699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0"/>
      <c r="C44" s="710"/>
      <c r="E44" s="696"/>
      <c r="F44" s="696"/>
      <c r="H44" s="696"/>
      <c r="I44" s="696"/>
      <c r="K44" s="696"/>
      <c r="L44" s="696"/>
      <c r="N44" s="696"/>
      <c r="O44" s="696"/>
      <c r="Q44" s="696"/>
      <c r="R44" s="696"/>
      <c r="T44" s="696"/>
      <c r="U44" s="696"/>
      <c r="W44" s="696"/>
      <c r="X44" s="696"/>
      <c r="Z44" s="696"/>
      <c r="AA44" s="696"/>
      <c r="AC44" s="696"/>
      <c r="AD44" s="696"/>
      <c r="AF44" s="696"/>
      <c r="AG44" s="696"/>
      <c r="AI44" s="696"/>
      <c r="AJ44" s="696"/>
      <c r="AL44" s="696"/>
      <c r="AM44" s="696"/>
      <c r="AO44" s="696"/>
      <c r="AP44" s="696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04" t="s">
        <v>397</v>
      </c>
      <c r="R45" s="705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06"/>
      <c r="R46" s="707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13" t="s">
        <v>31</v>
      </c>
      <c r="C47" s="711"/>
      <c r="D47" s="519">
        <v>412</v>
      </c>
      <c r="E47" s="713" t="s">
        <v>33</v>
      </c>
      <c r="F47" s="711"/>
      <c r="G47" s="519">
        <v>416</v>
      </c>
      <c r="H47" s="713" t="s">
        <v>31</v>
      </c>
      <c r="I47" s="711"/>
      <c r="J47" s="513">
        <v>407</v>
      </c>
      <c r="K47" s="713" t="s">
        <v>16</v>
      </c>
      <c r="L47" s="711"/>
      <c r="M47" s="534">
        <v>425</v>
      </c>
      <c r="N47" s="713" t="s">
        <v>23</v>
      </c>
      <c r="O47" s="711"/>
      <c r="P47" s="519">
        <v>386</v>
      </c>
      <c r="Q47" s="713" t="s">
        <v>31</v>
      </c>
      <c r="R47" s="711"/>
      <c r="S47" s="519">
        <v>359</v>
      </c>
      <c r="T47" s="713" t="s">
        <v>31</v>
      </c>
      <c r="U47" s="711"/>
      <c r="V47" s="519">
        <v>368</v>
      </c>
      <c r="W47" s="713" t="s">
        <v>31</v>
      </c>
      <c r="X47" s="711"/>
      <c r="Y47" s="519">
        <v>390</v>
      </c>
      <c r="Z47" s="713" t="s">
        <v>33</v>
      </c>
      <c r="AA47" s="711"/>
      <c r="AB47" s="519">
        <v>410</v>
      </c>
      <c r="AC47" s="713" t="s">
        <v>28</v>
      </c>
      <c r="AD47" s="711"/>
      <c r="AE47" s="519">
        <v>380</v>
      </c>
      <c r="AF47" s="713" t="s">
        <v>31</v>
      </c>
      <c r="AG47" s="711"/>
      <c r="AH47" s="530">
        <v>367</v>
      </c>
      <c r="AI47" s="713" t="s">
        <v>31</v>
      </c>
      <c r="AJ47" s="711"/>
      <c r="AK47" s="530">
        <v>433</v>
      </c>
      <c r="AL47" s="713" t="s">
        <v>20</v>
      </c>
      <c r="AM47" s="711"/>
      <c r="AN47" s="519">
        <v>400</v>
      </c>
      <c r="AO47" s="713" t="s">
        <v>31</v>
      </c>
      <c r="AP47" s="711"/>
      <c r="AQ47" s="516">
        <v>396</v>
      </c>
      <c r="AR47" s="516"/>
      <c r="AT47" s="7"/>
    </row>
    <row r="48" spans="1:53" x14ac:dyDescent="0.35">
      <c r="A48" s="5"/>
      <c r="B48" s="698" t="s">
        <v>91</v>
      </c>
      <c r="C48" s="699"/>
      <c r="D48" s="519"/>
      <c r="E48" s="698" t="s">
        <v>92</v>
      </c>
      <c r="F48" s="699"/>
      <c r="G48" s="519"/>
      <c r="H48" s="698" t="s">
        <v>93</v>
      </c>
      <c r="I48" s="698"/>
      <c r="J48" s="519"/>
      <c r="K48" s="698" t="s">
        <v>94</v>
      </c>
      <c r="L48" s="698"/>
      <c r="M48" s="519"/>
      <c r="N48" s="698" t="s">
        <v>95</v>
      </c>
      <c r="O48" s="698"/>
      <c r="P48" s="519"/>
      <c r="Q48" s="698" t="s">
        <v>96</v>
      </c>
      <c r="R48" s="698"/>
      <c r="S48" s="519"/>
      <c r="T48" s="698" t="s">
        <v>97</v>
      </c>
      <c r="U48" s="698"/>
      <c r="V48" s="519"/>
      <c r="W48" s="698" t="s">
        <v>98</v>
      </c>
      <c r="X48" s="699"/>
      <c r="Y48" s="519"/>
      <c r="Z48" s="698" t="s">
        <v>99</v>
      </c>
      <c r="AA48" s="699"/>
      <c r="AB48" s="519"/>
      <c r="AC48" s="698" t="s">
        <v>100</v>
      </c>
      <c r="AD48" s="699"/>
      <c r="AE48" s="519"/>
      <c r="AF48" s="698" t="s">
        <v>101</v>
      </c>
      <c r="AG48" s="699"/>
      <c r="AH48" s="519"/>
      <c r="AI48" s="698" t="s">
        <v>102</v>
      </c>
      <c r="AJ48" s="699"/>
      <c r="AK48" s="519"/>
      <c r="AL48" s="698" t="s">
        <v>103</v>
      </c>
      <c r="AM48" s="699"/>
      <c r="AN48" s="519"/>
      <c r="AO48" s="698" t="s">
        <v>104</v>
      </c>
      <c r="AP48" s="699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23" t="s">
        <v>406</v>
      </c>
      <c r="X50" s="723"/>
      <c r="Y50" s="723"/>
      <c r="Z50" s="723"/>
      <c r="AA50" s="723"/>
      <c r="AB50" s="723"/>
      <c r="AC50" s="723"/>
      <c r="AD50" s="723"/>
      <c r="AT50" s="7"/>
    </row>
    <row r="51" spans="1:53" x14ac:dyDescent="0.35">
      <c r="A51" s="5"/>
      <c r="AT51" s="7"/>
    </row>
    <row r="52" spans="1:53" x14ac:dyDescent="0.35">
      <c r="A52" s="5"/>
      <c r="B52" s="710"/>
      <c r="C52" s="710"/>
      <c r="E52" s="696"/>
      <c r="F52" s="696"/>
      <c r="H52" s="696"/>
      <c r="I52" s="696"/>
      <c r="K52" s="696"/>
      <c r="L52" s="696"/>
      <c r="N52" s="696"/>
      <c r="O52" s="696"/>
      <c r="Q52" s="696"/>
      <c r="R52" s="696"/>
      <c r="T52" s="696"/>
      <c r="U52" s="696"/>
      <c r="W52" s="696"/>
      <c r="X52" s="696"/>
      <c r="Z52" s="696"/>
      <c r="AA52" s="696"/>
      <c r="AC52" s="696"/>
      <c r="AD52" s="696"/>
      <c r="AF52" s="696"/>
      <c r="AG52" s="696"/>
      <c r="AI52" s="696"/>
      <c r="AJ52" s="696"/>
      <c r="AL52" s="696"/>
      <c r="AM52" s="696"/>
      <c r="AO52" s="696"/>
      <c r="AP52" s="696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04" t="s">
        <v>397</v>
      </c>
      <c r="AG53" s="705"/>
      <c r="AH53" s="510"/>
      <c r="AI53" s="724" t="s">
        <v>397</v>
      </c>
      <c r="AJ53" s="725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06"/>
      <c r="AG54" s="707"/>
      <c r="AH54" s="513"/>
      <c r="AI54" s="726"/>
      <c r="AJ54" s="727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13" t="s">
        <v>16</v>
      </c>
      <c r="C55" s="711"/>
      <c r="D55" s="513">
        <v>420</v>
      </c>
      <c r="E55" s="713" t="s">
        <v>23</v>
      </c>
      <c r="F55" s="711"/>
      <c r="G55" s="513">
        <v>354</v>
      </c>
      <c r="H55" s="713" t="s">
        <v>31</v>
      </c>
      <c r="I55" s="711"/>
      <c r="J55" s="513">
        <v>348</v>
      </c>
      <c r="K55" s="713" t="s">
        <v>23</v>
      </c>
      <c r="L55" s="711"/>
      <c r="M55" s="513">
        <v>319</v>
      </c>
      <c r="N55" s="713" t="s">
        <v>31</v>
      </c>
      <c r="O55" s="711"/>
      <c r="P55" s="513">
        <v>379</v>
      </c>
      <c r="Q55" s="713" t="s">
        <v>16</v>
      </c>
      <c r="R55" s="711"/>
      <c r="S55" s="513">
        <v>428</v>
      </c>
      <c r="T55" s="713" t="s">
        <v>31</v>
      </c>
      <c r="U55" s="711"/>
      <c r="V55" s="513">
        <v>397</v>
      </c>
      <c r="W55" s="711" t="s">
        <v>113</v>
      </c>
      <c r="X55" s="711"/>
      <c r="Y55" s="513">
        <v>247</v>
      </c>
      <c r="Z55" s="713" t="s">
        <v>115</v>
      </c>
      <c r="AA55" s="711"/>
      <c r="AB55" s="513">
        <v>423</v>
      </c>
      <c r="AC55" s="711" t="s">
        <v>16</v>
      </c>
      <c r="AD55" s="711"/>
      <c r="AE55" s="513">
        <v>395</v>
      </c>
      <c r="AF55" s="713" t="s">
        <v>118</v>
      </c>
      <c r="AG55" s="711"/>
      <c r="AH55" s="513">
        <v>499</v>
      </c>
      <c r="AI55" s="716" t="s">
        <v>120</v>
      </c>
      <c r="AJ55" s="711"/>
      <c r="AK55" s="519">
        <v>377</v>
      </c>
      <c r="AL55" s="716" t="s">
        <v>23</v>
      </c>
      <c r="AM55" s="711"/>
      <c r="AN55" s="513">
        <v>443</v>
      </c>
      <c r="AO55" s="716" t="s">
        <v>23</v>
      </c>
      <c r="AP55" s="711"/>
      <c r="AQ55" s="516">
        <v>344</v>
      </c>
      <c r="AR55" s="516"/>
      <c r="AS55" s="513"/>
      <c r="AT55" s="211"/>
    </row>
    <row r="56" spans="1:53" x14ac:dyDescent="0.35">
      <c r="A56" s="5"/>
      <c r="B56" s="698" t="s">
        <v>105</v>
      </c>
      <c r="C56" s="699"/>
      <c r="D56" s="519"/>
      <c r="E56" s="698" t="s">
        <v>106</v>
      </c>
      <c r="F56" s="699"/>
      <c r="G56" s="519"/>
      <c r="H56" s="698" t="s">
        <v>107</v>
      </c>
      <c r="I56" s="699"/>
      <c r="J56" s="519"/>
      <c r="K56" s="698" t="s">
        <v>108</v>
      </c>
      <c r="L56" s="699"/>
      <c r="M56" s="519"/>
      <c r="N56" s="698" t="s">
        <v>109</v>
      </c>
      <c r="O56" s="699"/>
      <c r="P56" s="519"/>
      <c r="Q56" s="698" t="s">
        <v>110</v>
      </c>
      <c r="R56" s="699"/>
      <c r="S56" s="519"/>
      <c r="T56" s="698" t="s">
        <v>111</v>
      </c>
      <c r="U56" s="699"/>
      <c r="V56" s="519"/>
      <c r="W56" s="698" t="s">
        <v>112</v>
      </c>
      <c r="X56" s="699"/>
      <c r="Y56" s="519"/>
      <c r="Z56" s="698" t="s">
        <v>114</v>
      </c>
      <c r="AA56" s="699"/>
      <c r="AB56" s="519"/>
      <c r="AC56" s="698" t="s">
        <v>116</v>
      </c>
      <c r="AD56" s="699"/>
      <c r="AE56" s="519"/>
      <c r="AF56" s="698" t="s">
        <v>117</v>
      </c>
      <c r="AG56" s="699"/>
      <c r="AH56" s="519"/>
      <c r="AI56" s="702" t="s">
        <v>119</v>
      </c>
      <c r="AJ56" s="699"/>
      <c r="AK56" s="519"/>
      <c r="AL56" s="702" t="s">
        <v>121</v>
      </c>
      <c r="AM56" s="699"/>
      <c r="AN56" s="519"/>
      <c r="AO56" s="702" t="s">
        <v>122</v>
      </c>
      <c r="AP56" s="699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0"/>
      <c r="C60" s="710"/>
      <c r="E60" s="696"/>
      <c r="F60" s="696"/>
      <c r="H60" s="696"/>
      <c r="I60" s="696"/>
      <c r="K60" s="696"/>
      <c r="L60" s="696"/>
      <c r="N60" s="696"/>
      <c r="O60" s="696"/>
      <c r="Q60" s="696"/>
      <c r="R60" s="696"/>
      <c r="T60" s="696"/>
      <c r="U60" s="696"/>
      <c r="W60" s="696"/>
      <c r="X60" s="696"/>
      <c r="Z60" s="696"/>
      <c r="AA60" s="696"/>
      <c r="AC60" s="696"/>
      <c r="AD60" s="696"/>
      <c r="AF60" s="696"/>
      <c r="AG60" s="696"/>
      <c r="AI60" s="696"/>
      <c r="AJ60" s="696"/>
      <c r="AL60" s="696"/>
      <c r="AM60" s="696"/>
      <c r="AO60" s="696"/>
      <c r="AP60" s="696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04" t="s">
        <v>397</v>
      </c>
      <c r="R61" s="705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04" t="s">
        <v>397</v>
      </c>
      <c r="AD61" s="705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06"/>
      <c r="R62" s="707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06"/>
      <c r="AD62" s="707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12</v>
      </c>
      <c r="AX62" s="2">
        <v>9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702" t="s">
        <v>40</v>
      </c>
      <c r="C63" s="699"/>
      <c r="D63" s="513">
        <v>390</v>
      </c>
      <c r="E63" s="702" t="s">
        <v>23</v>
      </c>
      <c r="F63" s="699"/>
      <c r="G63" s="513">
        <v>352</v>
      </c>
      <c r="H63" s="713" t="s">
        <v>31</v>
      </c>
      <c r="I63" s="711"/>
      <c r="J63" s="513">
        <v>426</v>
      </c>
      <c r="K63" s="713" t="s">
        <v>31</v>
      </c>
      <c r="L63" s="711"/>
      <c r="M63" s="513">
        <v>394</v>
      </c>
      <c r="N63" s="713" t="s">
        <v>33</v>
      </c>
      <c r="O63" s="711"/>
      <c r="P63" s="513">
        <v>408</v>
      </c>
      <c r="Q63" s="711" t="s">
        <v>115</v>
      </c>
      <c r="R63" s="711"/>
      <c r="S63" s="513">
        <v>373</v>
      </c>
      <c r="T63" s="713" t="s">
        <v>16</v>
      </c>
      <c r="U63" s="711"/>
      <c r="V63" s="513">
        <v>408</v>
      </c>
      <c r="W63" s="716" t="s">
        <v>12</v>
      </c>
      <c r="X63" s="728"/>
      <c r="Y63" s="519">
        <v>379</v>
      </c>
      <c r="Z63" s="713" t="s">
        <v>33</v>
      </c>
      <c r="AA63" s="711"/>
      <c r="AB63" s="519">
        <v>406</v>
      </c>
      <c r="AC63" s="713" t="s">
        <v>133</v>
      </c>
      <c r="AD63" s="711"/>
      <c r="AE63" s="513">
        <v>385</v>
      </c>
      <c r="AF63" s="713" t="s">
        <v>31</v>
      </c>
      <c r="AG63" s="711"/>
      <c r="AH63" s="513">
        <v>400</v>
      </c>
      <c r="AI63" s="713" t="s">
        <v>31</v>
      </c>
      <c r="AJ63" s="711"/>
      <c r="AK63" s="513">
        <v>439</v>
      </c>
      <c r="AL63" s="713" t="s">
        <v>16</v>
      </c>
      <c r="AM63" s="711"/>
      <c r="AN63" s="6">
        <v>400</v>
      </c>
      <c r="AO63" s="716" t="s">
        <v>23</v>
      </c>
      <c r="AP63" s="711"/>
      <c r="AQ63" s="516">
        <v>291</v>
      </c>
      <c r="AR63" s="516"/>
      <c r="AT63" s="7"/>
    </row>
    <row r="64" spans="1:53" x14ac:dyDescent="0.35">
      <c r="A64" s="5"/>
      <c r="B64" s="702" t="s">
        <v>123</v>
      </c>
      <c r="C64" s="699"/>
      <c r="D64" s="519"/>
      <c r="E64" s="702" t="s">
        <v>124</v>
      </c>
      <c r="F64" s="699"/>
      <c r="G64" s="519"/>
      <c r="H64" s="702" t="s">
        <v>125</v>
      </c>
      <c r="I64" s="699"/>
      <c r="J64" s="519"/>
      <c r="K64" s="702" t="s">
        <v>126</v>
      </c>
      <c r="L64" s="699"/>
      <c r="M64" s="519"/>
      <c r="N64" s="702" t="s">
        <v>127</v>
      </c>
      <c r="O64" s="699"/>
      <c r="P64" s="519"/>
      <c r="Q64" s="698" t="s">
        <v>128</v>
      </c>
      <c r="R64" s="699"/>
      <c r="S64" s="519"/>
      <c r="T64" s="698" t="s">
        <v>129</v>
      </c>
      <c r="U64" s="699"/>
      <c r="V64" s="519"/>
      <c r="W64" s="702" t="s">
        <v>130</v>
      </c>
      <c r="X64" s="703"/>
      <c r="Y64" s="519"/>
      <c r="Z64" s="702" t="s">
        <v>131</v>
      </c>
      <c r="AA64" s="703"/>
      <c r="AB64" s="519"/>
      <c r="AC64" s="698" t="s">
        <v>132</v>
      </c>
      <c r="AD64" s="699"/>
      <c r="AE64" s="513"/>
      <c r="AF64" s="698" t="s">
        <v>134</v>
      </c>
      <c r="AG64" s="699"/>
      <c r="AH64" s="513"/>
      <c r="AI64" s="698" t="s">
        <v>135</v>
      </c>
      <c r="AJ64" s="699"/>
      <c r="AL64" s="698" t="s">
        <v>136</v>
      </c>
      <c r="AM64" s="699"/>
      <c r="AN64" s="519"/>
      <c r="AO64" s="698" t="s">
        <v>137</v>
      </c>
      <c r="AP64" s="699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23" t="s">
        <v>404</v>
      </c>
      <c r="X66" s="723"/>
      <c r="Y66" s="723"/>
      <c r="Z66" s="723"/>
      <c r="AA66" s="723"/>
      <c r="AO66" s="710"/>
      <c r="AP66" s="710"/>
      <c r="AQ66" s="710"/>
      <c r="AR66" s="710"/>
      <c r="AS66" s="710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0"/>
      <c r="C68" s="710"/>
      <c r="E68" s="696"/>
      <c r="F68" s="696"/>
      <c r="H68" s="696"/>
      <c r="I68" s="696"/>
      <c r="K68" s="696"/>
      <c r="L68" s="696"/>
      <c r="N68" s="696"/>
      <c r="O68" s="696"/>
      <c r="Q68" s="696"/>
      <c r="R68" s="696"/>
      <c r="T68" s="696"/>
      <c r="U68" s="696"/>
      <c r="W68" s="696"/>
      <c r="X68" s="696"/>
      <c r="Z68" s="696"/>
      <c r="AA68" s="696"/>
      <c r="AC68" s="696"/>
      <c r="AD68" s="696"/>
      <c r="AF68" s="696"/>
      <c r="AG68" s="696"/>
      <c r="AI68" s="696"/>
      <c r="AJ68" s="696"/>
      <c r="AL68" s="696"/>
      <c r="AM68" s="696"/>
      <c r="AO68" s="696"/>
      <c r="AP68" s="696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13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16" t="s">
        <v>23</v>
      </c>
      <c r="C71" s="711"/>
      <c r="D71" s="513">
        <v>390</v>
      </c>
      <c r="E71" s="713" t="s">
        <v>33</v>
      </c>
      <c r="F71" s="711"/>
      <c r="G71" s="513">
        <v>403</v>
      </c>
      <c r="H71" s="713" t="s">
        <v>31</v>
      </c>
      <c r="I71" s="711"/>
      <c r="J71" s="519">
        <v>422</v>
      </c>
      <c r="K71" s="713" t="s">
        <v>16</v>
      </c>
      <c r="L71" s="711"/>
      <c r="M71" s="519">
        <v>389</v>
      </c>
      <c r="N71" s="713" t="s">
        <v>14</v>
      </c>
      <c r="O71" s="711"/>
      <c r="P71" s="513">
        <v>436</v>
      </c>
      <c r="Q71" s="711" t="s">
        <v>35</v>
      </c>
      <c r="R71" s="711"/>
      <c r="S71" s="513">
        <v>380</v>
      </c>
      <c r="T71" s="713" t="s">
        <v>31</v>
      </c>
      <c r="U71" s="711"/>
      <c r="V71" s="513">
        <v>445</v>
      </c>
      <c r="W71" s="713" t="s">
        <v>146</v>
      </c>
      <c r="X71" s="711"/>
      <c r="Y71" s="519">
        <v>220</v>
      </c>
      <c r="Z71" s="713" t="s">
        <v>148</v>
      </c>
      <c r="AA71" s="711"/>
      <c r="AB71" s="519">
        <v>435</v>
      </c>
      <c r="AC71" s="711" t="s">
        <v>35</v>
      </c>
      <c r="AD71" s="711"/>
      <c r="AE71" s="513">
        <v>405</v>
      </c>
      <c r="AF71" s="713" t="s">
        <v>16</v>
      </c>
      <c r="AG71" s="711"/>
      <c r="AH71" s="519">
        <v>434</v>
      </c>
      <c r="AI71" s="713" t="s">
        <v>16</v>
      </c>
      <c r="AJ71" s="711"/>
      <c r="AK71" s="513">
        <v>380</v>
      </c>
      <c r="AL71" s="713" t="s">
        <v>23</v>
      </c>
      <c r="AM71" s="711"/>
      <c r="AN71" s="513">
        <v>379</v>
      </c>
      <c r="AO71" s="713" t="s">
        <v>154</v>
      </c>
      <c r="AP71" s="711"/>
      <c r="AQ71" s="516">
        <v>479</v>
      </c>
      <c r="AR71" s="516"/>
      <c r="AS71" s="513"/>
      <c r="AT71" s="211"/>
    </row>
    <row r="72" spans="1:53" x14ac:dyDescent="0.35">
      <c r="A72" s="5"/>
      <c r="B72" s="698" t="s">
        <v>138</v>
      </c>
      <c r="C72" s="699"/>
      <c r="E72" s="698" t="s">
        <v>139</v>
      </c>
      <c r="F72" s="699"/>
      <c r="G72" s="519"/>
      <c r="H72" s="698" t="s">
        <v>140</v>
      </c>
      <c r="I72" s="699"/>
      <c r="J72" s="519"/>
      <c r="K72" s="698" t="s">
        <v>141</v>
      </c>
      <c r="L72" s="699"/>
      <c r="M72" s="519"/>
      <c r="N72" s="698" t="s">
        <v>142</v>
      </c>
      <c r="O72" s="699"/>
      <c r="P72" s="519"/>
      <c r="Q72" s="698" t="s">
        <v>143</v>
      </c>
      <c r="R72" s="699"/>
      <c r="S72" s="519"/>
      <c r="T72" s="698" t="s">
        <v>144</v>
      </c>
      <c r="U72" s="699"/>
      <c r="V72" s="519"/>
      <c r="W72" s="698" t="s">
        <v>145</v>
      </c>
      <c r="X72" s="699"/>
      <c r="Y72" s="519"/>
      <c r="Z72" s="698" t="s">
        <v>147</v>
      </c>
      <c r="AA72" s="699"/>
      <c r="AB72" s="519"/>
      <c r="AC72" s="698" t="s">
        <v>149</v>
      </c>
      <c r="AD72" s="699"/>
      <c r="AE72" s="519"/>
      <c r="AF72" s="698" t="s">
        <v>150</v>
      </c>
      <c r="AG72" s="699"/>
      <c r="AH72" s="519"/>
      <c r="AI72" s="698" t="s">
        <v>151</v>
      </c>
      <c r="AJ72" s="699"/>
      <c r="AK72" s="519"/>
      <c r="AL72" s="698" t="s">
        <v>152</v>
      </c>
      <c r="AM72" s="699"/>
      <c r="AN72" s="519"/>
      <c r="AO72" s="698" t="s">
        <v>153</v>
      </c>
      <c r="AP72" s="699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729" t="s">
        <v>403</v>
      </c>
      <c r="B74" s="730"/>
      <c r="C74" s="730"/>
      <c r="Q74" s="723"/>
      <c r="R74" s="723"/>
      <c r="S74" s="723"/>
      <c r="AI74" s="723" t="s">
        <v>405</v>
      </c>
      <c r="AJ74" s="723"/>
      <c r="AK74" s="723"/>
      <c r="AL74" s="723"/>
      <c r="AM74" s="723"/>
      <c r="AN74" s="723"/>
      <c r="AO74" s="723"/>
      <c r="AP74" s="723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0"/>
      <c r="C76" s="710"/>
      <c r="E76" s="696"/>
      <c r="F76" s="696"/>
      <c r="H76" s="696"/>
      <c r="I76" s="696"/>
      <c r="K76" s="731"/>
      <c r="L76" s="696"/>
      <c r="N76" s="731"/>
      <c r="O76" s="696"/>
      <c r="Q76" s="731"/>
      <c r="R76" s="696"/>
      <c r="T76" s="731"/>
      <c r="U76" s="696"/>
      <c r="W76" s="696"/>
      <c r="X76" s="696"/>
      <c r="Z76" s="696"/>
      <c r="AA76" s="696"/>
      <c r="AC76" s="696"/>
      <c r="AD76" s="696"/>
      <c r="AF76" s="696"/>
      <c r="AG76" s="696"/>
      <c r="AI76" s="696"/>
      <c r="AJ76" s="696"/>
      <c r="AL76" s="696"/>
      <c r="AM76" s="696"/>
      <c r="AO76" s="696"/>
      <c r="AP76" s="696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698" t="s">
        <v>156</v>
      </c>
      <c r="C79" s="699"/>
      <c r="D79" s="513">
        <v>464</v>
      </c>
      <c r="E79" s="713" t="s">
        <v>31</v>
      </c>
      <c r="F79" s="711"/>
      <c r="G79" s="513">
        <v>376</v>
      </c>
      <c r="H79" s="711" t="s">
        <v>35</v>
      </c>
      <c r="I79" s="711"/>
      <c r="J79" s="519">
        <v>380</v>
      </c>
      <c r="K79" s="713" t="s">
        <v>23</v>
      </c>
      <c r="L79" s="711"/>
      <c r="M79" s="519">
        <v>352</v>
      </c>
      <c r="N79" s="713" t="s">
        <v>14</v>
      </c>
      <c r="O79" s="711"/>
      <c r="P79" s="513">
        <v>361</v>
      </c>
      <c r="Q79" s="713" t="s">
        <v>162</v>
      </c>
      <c r="R79" s="711"/>
      <c r="S79" s="519">
        <v>252</v>
      </c>
      <c r="T79" s="713" t="s">
        <v>164</v>
      </c>
      <c r="U79" s="711"/>
      <c r="V79" s="513">
        <v>394</v>
      </c>
      <c r="W79" s="711" t="s">
        <v>35</v>
      </c>
      <c r="X79" s="711"/>
      <c r="Y79" s="513">
        <v>389</v>
      </c>
      <c r="Z79" s="713" t="s">
        <v>35</v>
      </c>
      <c r="AA79" s="711"/>
      <c r="AB79" s="513">
        <v>399</v>
      </c>
      <c r="AC79" s="713" t="s">
        <v>18</v>
      </c>
      <c r="AD79" s="711"/>
      <c r="AE79" s="513">
        <v>392</v>
      </c>
      <c r="AF79" s="713" t="s">
        <v>35</v>
      </c>
      <c r="AG79" s="711"/>
      <c r="AH79" s="513">
        <v>363</v>
      </c>
      <c r="AI79" s="713" t="s">
        <v>31</v>
      </c>
      <c r="AJ79" s="711"/>
      <c r="AK79" s="513">
        <v>379</v>
      </c>
      <c r="AL79" s="713" t="s">
        <v>9</v>
      </c>
      <c r="AM79" s="711"/>
      <c r="AN79" s="519">
        <v>226</v>
      </c>
      <c r="AO79" s="711" t="s">
        <v>172</v>
      </c>
      <c r="AP79" s="711"/>
      <c r="AQ79" s="516">
        <v>499</v>
      </c>
      <c r="AR79" s="516"/>
      <c r="AS79" s="513"/>
      <c r="AT79" s="211"/>
    </row>
    <row r="80" spans="1:53" x14ac:dyDescent="0.35">
      <c r="A80" s="5"/>
      <c r="B80" s="698" t="s">
        <v>155</v>
      </c>
      <c r="C80" s="699"/>
      <c r="D80" s="519"/>
      <c r="E80" s="698" t="s">
        <v>157</v>
      </c>
      <c r="F80" s="699"/>
      <c r="G80" s="513"/>
      <c r="H80" s="698" t="s">
        <v>158</v>
      </c>
      <c r="I80" s="699"/>
      <c r="J80" s="519"/>
      <c r="K80" s="698" t="s">
        <v>159</v>
      </c>
      <c r="L80" s="699"/>
      <c r="M80" s="519"/>
      <c r="N80" s="698" t="s">
        <v>160</v>
      </c>
      <c r="O80" s="699"/>
      <c r="P80" s="535"/>
      <c r="Q80" s="698" t="s">
        <v>161</v>
      </c>
      <c r="R80" s="699"/>
      <c r="S80" s="519"/>
      <c r="T80" s="698" t="s">
        <v>163</v>
      </c>
      <c r="U80" s="699"/>
      <c r="V80" s="519"/>
      <c r="W80" s="698" t="s">
        <v>165</v>
      </c>
      <c r="X80" s="699"/>
      <c r="Y80" s="519"/>
      <c r="Z80" s="698" t="s">
        <v>166</v>
      </c>
      <c r="AA80" s="699"/>
      <c r="AB80" s="519"/>
      <c r="AC80" s="698" t="s">
        <v>167</v>
      </c>
      <c r="AD80" s="699"/>
      <c r="AE80" s="513"/>
      <c r="AF80" s="698" t="s">
        <v>168</v>
      </c>
      <c r="AG80" s="699"/>
      <c r="AH80" s="519"/>
      <c r="AI80" s="698" t="s">
        <v>169</v>
      </c>
      <c r="AJ80" s="699"/>
      <c r="AK80" s="519"/>
      <c r="AL80" s="698" t="s">
        <v>170</v>
      </c>
      <c r="AM80" s="699"/>
      <c r="AN80" s="519"/>
      <c r="AO80" s="698" t="s">
        <v>171</v>
      </c>
      <c r="AP80" s="699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732" t="s">
        <v>405</v>
      </c>
      <c r="B82" s="723"/>
      <c r="C82" s="723"/>
      <c r="D82" s="723"/>
      <c r="W82" s="710"/>
      <c r="X82" s="710"/>
      <c r="Y82" s="710"/>
      <c r="Z82" s="710"/>
      <c r="AA82" s="710"/>
      <c r="AL82" s="723" t="s">
        <v>406</v>
      </c>
      <c r="AM82" s="723"/>
      <c r="AN82" s="723"/>
      <c r="AO82" s="723"/>
      <c r="AP82" s="723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0"/>
      <c r="C84" s="710"/>
      <c r="E84" s="696"/>
      <c r="F84" s="696"/>
      <c r="H84" s="696"/>
      <c r="I84" s="696"/>
      <c r="K84" s="696"/>
      <c r="L84" s="696"/>
      <c r="N84" s="696"/>
      <c r="O84" s="696"/>
      <c r="Q84" s="733"/>
      <c r="R84" s="696"/>
      <c r="T84" s="696"/>
      <c r="U84" s="696"/>
      <c r="W84" s="696"/>
      <c r="X84" s="696"/>
      <c r="Z84" s="696"/>
      <c r="AA84" s="696"/>
      <c r="AC84" s="696"/>
      <c r="AD84" s="696"/>
      <c r="AF84" s="696"/>
      <c r="AG84" s="696"/>
      <c r="AI84" s="696"/>
      <c r="AJ84" s="696"/>
      <c r="AL84" s="696"/>
      <c r="AM84" s="696"/>
      <c r="AO84" s="696"/>
      <c r="AP84" s="696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698" t="s">
        <v>156</v>
      </c>
      <c r="C87" s="699"/>
      <c r="D87" s="513">
        <v>446</v>
      </c>
      <c r="E87" s="713" t="s">
        <v>35</v>
      </c>
      <c r="F87" s="711"/>
      <c r="G87" s="513">
        <v>394</v>
      </c>
      <c r="H87" s="713" t="s">
        <v>35</v>
      </c>
      <c r="I87" s="711"/>
      <c r="J87" s="513">
        <v>391</v>
      </c>
      <c r="K87" s="713" t="s">
        <v>31</v>
      </c>
      <c r="L87" s="711"/>
      <c r="M87" s="513">
        <v>409</v>
      </c>
      <c r="N87" s="713" t="s">
        <v>35</v>
      </c>
      <c r="O87" s="711"/>
      <c r="P87" s="513">
        <v>379</v>
      </c>
      <c r="Q87" s="713" t="s">
        <v>31</v>
      </c>
      <c r="R87" s="711"/>
      <c r="S87" s="513">
        <v>364</v>
      </c>
      <c r="T87" s="713" t="s">
        <v>14</v>
      </c>
      <c r="U87" s="711"/>
      <c r="V87" s="513">
        <v>447</v>
      </c>
      <c r="W87" s="713" t="s">
        <v>118</v>
      </c>
      <c r="X87" s="711"/>
      <c r="Y87" s="513">
        <v>257</v>
      </c>
      <c r="Z87" s="711" t="s">
        <v>182</v>
      </c>
      <c r="AA87" s="711"/>
      <c r="AB87" s="513">
        <v>232</v>
      </c>
      <c r="AC87" s="713" t="s">
        <v>33</v>
      </c>
      <c r="AD87" s="711"/>
      <c r="AE87" s="513">
        <v>365</v>
      </c>
      <c r="AF87" s="713" t="s">
        <v>23</v>
      </c>
      <c r="AG87" s="711"/>
      <c r="AH87" s="513">
        <v>379</v>
      </c>
      <c r="AI87" s="713" t="s">
        <v>16</v>
      </c>
      <c r="AJ87" s="711"/>
      <c r="AK87" s="513">
        <v>440</v>
      </c>
      <c r="AL87" s="713" t="s">
        <v>113</v>
      </c>
      <c r="AM87" s="711"/>
      <c r="AN87" s="513">
        <v>221</v>
      </c>
      <c r="AO87" s="713" t="s">
        <v>40</v>
      </c>
      <c r="AP87" s="711"/>
      <c r="AQ87" s="516">
        <v>395</v>
      </c>
      <c r="AR87" s="516"/>
      <c r="AS87" s="513"/>
      <c r="AT87" s="211"/>
    </row>
    <row r="88" spans="1:53" x14ac:dyDescent="0.35">
      <c r="A88" s="5"/>
      <c r="B88" s="698" t="s">
        <v>173</v>
      </c>
      <c r="C88" s="699"/>
      <c r="D88" s="519"/>
      <c r="E88" s="698" t="s">
        <v>174</v>
      </c>
      <c r="F88" s="699"/>
      <c r="G88" s="519"/>
      <c r="H88" s="698" t="s">
        <v>175</v>
      </c>
      <c r="I88" s="699"/>
      <c r="J88" s="519"/>
      <c r="K88" s="698" t="s">
        <v>176</v>
      </c>
      <c r="L88" s="699"/>
      <c r="M88" s="513"/>
      <c r="N88" s="698" t="s">
        <v>177</v>
      </c>
      <c r="O88" s="699"/>
      <c r="P88" s="519"/>
      <c r="Q88" s="698" t="s">
        <v>178</v>
      </c>
      <c r="R88" s="699"/>
      <c r="S88" s="519"/>
      <c r="T88" s="698" t="s">
        <v>179</v>
      </c>
      <c r="U88" s="699"/>
      <c r="V88" s="519"/>
      <c r="W88" s="698" t="s">
        <v>180</v>
      </c>
      <c r="X88" s="699"/>
      <c r="Y88" s="519"/>
      <c r="Z88" s="698" t="s">
        <v>181</v>
      </c>
      <c r="AA88" s="699"/>
      <c r="AB88" s="519"/>
      <c r="AC88" s="698" t="s">
        <v>183</v>
      </c>
      <c r="AD88" s="699"/>
      <c r="AE88" s="519"/>
      <c r="AF88" s="698" t="s">
        <v>184</v>
      </c>
      <c r="AG88" s="699"/>
      <c r="AH88" s="519"/>
      <c r="AI88" s="698" t="s">
        <v>185</v>
      </c>
      <c r="AJ88" s="699"/>
      <c r="AK88" s="519"/>
      <c r="AL88" s="698" t="s">
        <v>186</v>
      </c>
      <c r="AM88" s="699"/>
      <c r="AN88" s="519"/>
      <c r="AO88" s="698" t="s">
        <v>187</v>
      </c>
      <c r="AP88" s="699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23"/>
      <c r="AA90" s="723"/>
      <c r="AB90" s="723"/>
      <c r="AC90" s="723"/>
      <c r="AD90" s="723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96"/>
      <c r="C92" s="696"/>
      <c r="E92" s="696"/>
      <c r="F92" s="696"/>
      <c r="H92" s="696"/>
      <c r="I92" s="696"/>
      <c r="K92" s="696"/>
      <c r="L92" s="696"/>
      <c r="N92" s="696"/>
      <c r="O92" s="696"/>
      <c r="Q92" s="696"/>
      <c r="R92" s="696"/>
      <c r="T92" s="696"/>
      <c r="U92" s="696"/>
      <c r="W92" s="696"/>
      <c r="X92" s="696"/>
      <c r="Z92" s="696"/>
      <c r="AA92" s="696"/>
      <c r="AC92" s="696"/>
      <c r="AD92" s="696"/>
      <c r="AF92" s="696"/>
      <c r="AG92" s="696"/>
      <c r="AI92" s="696"/>
      <c r="AJ92" s="696"/>
      <c r="AL92" s="696"/>
      <c r="AM92" s="696"/>
      <c r="AN92" s="510"/>
      <c r="AO92" s="696"/>
      <c r="AP92" s="696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13" t="s">
        <v>31</v>
      </c>
      <c r="C95" s="711"/>
      <c r="D95" s="513">
        <v>356</v>
      </c>
      <c r="E95" s="713" t="s">
        <v>31</v>
      </c>
      <c r="F95" s="711"/>
      <c r="G95" s="519">
        <v>404</v>
      </c>
      <c r="H95" s="713" t="s">
        <v>31</v>
      </c>
      <c r="I95" s="711"/>
      <c r="J95" s="513">
        <v>380</v>
      </c>
      <c r="K95" s="713" t="s">
        <v>33</v>
      </c>
      <c r="L95" s="711"/>
      <c r="M95" s="513">
        <v>460</v>
      </c>
      <c r="N95" s="713" t="s">
        <v>16</v>
      </c>
      <c r="O95" s="711"/>
      <c r="P95" s="513">
        <v>380</v>
      </c>
      <c r="Q95" s="713" t="s">
        <v>14</v>
      </c>
      <c r="R95" s="711"/>
      <c r="S95" s="519">
        <v>413</v>
      </c>
      <c r="T95" s="713" t="s">
        <v>33</v>
      </c>
      <c r="U95" s="711"/>
      <c r="V95" s="513">
        <v>413</v>
      </c>
      <c r="W95" s="713" t="s">
        <v>31</v>
      </c>
      <c r="X95" s="711"/>
      <c r="Y95" s="513">
        <v>427</v>
      </c>
      <c r="Z95" s="711" t="s">
        <v>197</v>
      </c>
      <c r="AA95" s="711"/>
      <c r="AB95" s="513">
        <v>220</v>
      </c>
      <c r="AC95" s="713" t="s">
        <v>118</v>
      </c>
      <c r="AD95" s="711"/>
      <c r="AE95" s="513">
        <v>430</v>
      </c>
      <c r="AF95" s="713" t="s">
        <v>23</v>
      </c>
      <c r="AG95" s="711"/>
      <c r="AH95" s="513">
        <v>344</v>
      </c>
      <c r="AI95" s="713" t="s">
        <v>31</v>
      </c>
      <c r="AJ95" s="711"/>
      <c r="AK95" s="513">
        <v>373</v>
      </c>
      <c r="AL95" s="713" t="s">
        <v>23</v>
      </c>
      <c r="AM95" s="711"/>
      <c r="AN95" s="513">
        <v>389</v>
      </c>
      <c r="AO95" s="713" t="s">
        <v>33</v>
      </c>
      <c r="AP95" s="711"/>
      <c r="AQ95" s="516">
        <v>444</v>
      </c>
      <c r="AR95" s="516"/>
      <c r="AS95" s="513"/>
      <c r="AT95" s="211"/>
    </row>
    <row r="96" spans="1:53" x14ac:dyDescent="0.35">
      <c r="A96" s="5"/>
      <c r="B96" s="698" t="s">
        <v>188</v>
      </c>
      <c r="C96" s="699"/>
      <c r="D96" s="519"/>
      <c r="E96" s="698" t="s">
        <v>189</v>
      </c>
      <c r="F96" s="699"/>
      <c r="G96" s="519"/>
      <c r="H96" s="698" t="s">
        <v>190</v>
      </c>
      <c r="I96" s="699"/>
      <c r="J96" s="519"/>
      <c r="K96" s="698" t="s">
        <v>191</v>
      </c>
      <c r="L96" s="699"/>
      <c r="M96" s="519"/>
      <c r="N96" s="698" t="s">
        <v>192</v>
      </c>
      <c r="O96" s="699"/>
      <c r="P96" s="519"/>
      <c r="Q96" s="698" t="s">
        <v>193</v>
      </c>
      <c r="R96" s="699"/>
      <c r="S96" s="519"/>
      <c r="T96" s="698" t="s">
        <v>194</v>
      </c>
      <c r="U96" s="699"/>
      <c r="V96" s="519"/>
      <c r="W96" s="698" t="s">
        <v>195</v>
      </c>
      <c r="X96" s="699"/>
      <c r="Y96" s="519"/>
      <c r="Z96" s="698" t="s">
        <v>196</v>
      </c>
      <c r="AA96" s="699"/>
      <c r="AB96" s="519"/>
      <c r="AC96" s="698" t="s">
        <v>198</v>
      </c>
      <c r="AD96" s="699"/>
      <c r="AE96" s="519"/>
      <c r="AF96" s="698" t="s">
        <v>199</v>
      </c>
      <c r="AG96" s="699"/>
      <c r="AH96" s="519"/>
      <c r="AI96" s="698" t="s">
        <v>200</v>
      </c>
      <c r="AJ96" s="699"/>
      <c r="AK96" s="519"/>
      <c r="AL96" s="698" t="s">
        <v>201</v>
      </c>
      <c r="AM96" s="699"/>
      <c r="AN96" s="519"/>
      <c r="AO96" s="698" t="s">
        <v>202</v>
      </c>
      <c r="AP96" s="699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699"/>
      <c r="AG98" s="699"/>
      <c r="AH98" s="699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34"/>
      <c r="C100" s="734"/>
      <c r="D100" s="519"/>
      <c r="E100" s="734"/>
      <c r="F100" s="734"/>
      <c r="G100" s="519"/>
      <c r="H100" s="734"/>
      <c r="I100" s="734"/>
      <c r="J100" s="519"/>
      <c r="K100" s="734"/>
      <c r="L100" s="734"/>
      <c r="M100" s="519"/>
      <c r="N100" s="734"/>
      <c r="O100" s="734"/>
      <c r="P100" s="519"/>
      <c r="Q100" s="734"/>
      <c r="R100" s="734"/>
      <c r="S100" s="519"/>
      <c r="T100" s="734"/>
      <c r="U100" s="734"/>
      <c r="V100" s="519"/>
      <c r="W100" s="734"/>
      <c r="X100" s="734"/>
      <c r="Y100" s="519"/>
      <c r="Z100" s="734"/>
      <c r="AA100" s="734"/>
      <c r="AB100" s="519"/>
      <c r="AC100" s="734"/>
      <c r="AD100" s="734"/>
      <c r="AE100" s="519"/>
      <c r="AF100" s="734"/>
      <c r="AG100" s="734"/>
      <c r="AH100" s="519"/>
      <c r="AI100" s="734"/>
      <c r="AJ100" s="734"/>
      <c r="AK100" s="519"/>
      <c r="AL100" s="734"/>
      <c r="AM100" s="734"/>
      <c r="AN100" s="519"/>
      <c r="AO100" s="734"/>
      <c r="AP100" s="734"/>
      <c r="AQ100" s="516"/>
      <c r="AR100" s="516"/>
      <c r="AS100" s="519"/>
      <c r="AT100" s="213"/>
    </row>
    <row r="101" spans="1:53" x14ac:dyDescent="0.35">
      <c r="A101" s="5"/>
      <c r="B101" s="735" t="s">
        <v>397</v>
      </c>
      <c r="C101" s="736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739" t="s">
        <v>2274</v>
      </c>
      <c r="AG101" s="740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37"/>
      <c r="C102" s="738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741"/>
      <c r="AG102" s="742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10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13" t="s">
        <v>16</v>
      </c>
      <c r="C103" s="711"/>
      <c r="D103" s="513">
        <v>308</v>
      </c>
      <c r="E103" s="713" t="s">
        <v>23</v>
      </c>
      <c r="F103" s="711"/>
      <c r="G103" s="513">
        <v>345</v>
      </c>
      <c r="H103" s="713" t="s">
        <v>31</v>
      </c>
      <c r="I103" s="711"/>
      <c r="J103" s="513">
        <v>425</v>
      </c>
      <c r="K103" s="713" t="s">
        <v>16</v>
      </c>
      <c r="L103" s="711"/>
      <c r="M103" s="513">
        <v>412</v>
      </c>
      <c r="N103" s="728" t="s">
        <v>18</v>
      </c>
      <c r="O103" s="728"/>
      <c r="P103" s="513">
        <v>399</v>
      </c>
      <c r="Q103" s="713" t="s">
        <v>33</v>
      </c>
      <c r="R103" s="711"/>
      <c r="S103" s="513">
        <v>420</v>
      </c>
      <c r="T103" s="713" t="s">
        <v>31</v>
      </c>
      <c r="U103" s="711"/>
      <c r="V103" s="513">
        <v>367</v>
      </c>
      <c r="W103" s="713" t="s">
        <v>31</v>
      </c>
      <c r="X103" s="711"/>
      <c r="Y103" s="519">
        <v>354</v>
      </c>
      <c r="Z103" s="713" t="s">
        <v>31</v>
      </c>
      <c r="AA103" s="711"/>
      <c r="AB103" s="519">
        <v>399</v>
      </c>
      <c r="AC103" s="713" t="s">
        <v>31</v>
      </c>
      <c r="AD103" s="711"/>
      <c r="AE103" s="513">
        <v>375</v>
      </c>
      <c r="AF103" s="713" t="s">
        <v>40</v>
      </c>
      <c r="AG103" s="711"/>
      <c r="AH103" s="519">
        <v>380</v>
      </c>
      <c r="AI103" s="713" t="s">
        <v>31</v>
      </c>
      <c r="AJ103" s="711"/>
      <c r="AK103" s="519">
        <v>405</v>
      </c>
      <c r="AL103" s="713" t="s">
        <v>33</v>
      </c>
      <c r="AM103" s="711"/>
      <c r="AN103" s="519">
        <v>420</v>
      </c>
      <c r="AO103" s="713" t="s">
        <v>33</v>
      </c>
      <c r="AP103" s="711"/>
      <c r="AQ103" s="516">
        <v>399</v>
      </c>
      <c r="AR103" s="516"/>
      <c r="AS103" s="519"/>
      <c r="AT103" s="213"/>
    </row>
    <row r="104" spans="1:53" x14ac:dyDescent="0.35">
      <c r="A104" s="5"/>
      <c r="B104" s="698" t="s">
        <v>203</v>
      </c>
      <c r="C104" s="699"/>
      <c r="D104" s="519"/>
      <c r="E104" s="698" t="s">
        <v>204</v>
      </c>
      <c r="F104" s="699"/>
      <c r="G104" s="519"/>
      <c r="H104" s="698" t="s">
        <v>205</v>
      </c>
      <c r="I104" s="699"/>
      <c r="J104" s="519"/>
      <c r="K104" s="698" t="s">
        <v>206</v>
      </c>
      <c r="L104" s="699"/>
      <c r="M104" s="519"/>
      <c r="N104" s="702" t="s">
        <v>207</v>
      </c>
      <c r="O104" s="703"/>
      <c r="P104" s="519"/>
      <c r="Q104" s="702" t="s">
        <v>208</v>
      </c>
      <c r="R104" s="703"/>
      <c r="S104" s="519"/>
      <c r="T104" s="702" t="s">
        <v>209</v>
      </c>
      <c r="U104" s="703"/>
      <c r="V104" s="519"/>
      <c r="W104" s="702" t="s">
        <v>210</v>
      </c>
      <c r="X104" s="703"/>
      <c r="Y104" s="519"/>
      <c r="Z104" s="702" t="s">
        <v>211</v>
      </c>
      <c r="AA104" s="703"/>
      <c r="AB104" s="519"/>
      <c r="AC104" s="702" t="s">
        <v>212</v>
      </c>
      <c r="AD104" s="703"/>
      <c r="AE104" s="519"/>
      <c r="AF104" s="702" t="s">
        <v>213</v>
      </c>
      <c r="AG104" s="703"/>
      <c r="AH104" s="519"/>
      <c r="AI104" s="702" t="s">
        <v>214</v>
      </c>
      <c r="AJ104" s="703"/>
      <c r="AK104" s="519"/>
      <c r="AL104" s="702" t="s">
        <v>215</v>
      </c>
      <c r="AM104" s="703"/>
      <c r="AN104" s="519"/>
      <c r="AO104" s="702" t="s">
        <v>216</v>
      </c>
      <c r="AP104" s="703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699"/>
      <c r="C108" s="699"/>
      <c r="D108" s="519"/>
      <c r="E108" s="734"/>
      <c r="F108" s="734"/>
      <c r="G108" s="519"/>
      <c r="H108" s="734"/>
      <c r="I108" s="734"/>
      <c r="J108" s="519"/>
      <c r="K108" s="734"/>
      <c r="L108" s="734"/>
      <c r="M108" s="519"/>
      <c r="N108" s="734"/>
      <c r="O108" s="734"/>
      <c r="P108" s="519"/>
      <c r="Q108" s="734"/>
      <c r="R108" s="734"/>
      <c r="S108" s="519"/>
      <c r="T108" s="734"/>
      <c r="U108" s="734"/>
      <c r="V108" s="519"/>
      <c r="W108" s="734"/>
      <c r="X108" s="734"/>
      <c r="Y108" s="519"/>
      <c r="Z108" s="699"/>
      <c r="AA108" s="699"/>
      <c r="AB108" s="519"/>
      <c r="AC108" s="699"/>
      <c r="AD108" s="699"/>
      <c r="AE108" s="700"/>
      <c r="AF108" s="700"/>
      <c r="AG108" s="700"/>
      <c r="AH108" s="700"/>
      <c r="AI108" s="710"/>
      <c r="AJ108" s="710"/>
      <c r="AL108" s="710"/>
      <c r="AM108" s="710"/>
      <c r="AO108" s="710"/>
      <c r="AP108" s="710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3" t="s">
        <v>396</v>
      </c>
      <c r="AM109" s="744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45"/>
      <c r="AM110" s="746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10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13" t="s">
        <v>31</v>
      </c>
      <c r="C111" s="711"/>
      <c r="D111" s="513">
        <v>380</v>
      </c>
      <c r="E111" s="713" t="s">
        <v>33</v>
      </c>
      <c r="F111" s="711"/>
      <c r="G111" s="513">
        <v>415</v>
      </c>
      <c r="H111" s="713" t="s">
        <v>18</v>
      </c>
      <c r="I111" s="711"/>
      <c r="J111" s="513">
        <v>400</v>
      </c>
      <c r="K111" s="713" t="s">
        <v>33</v>
      </c>
      <c r="L111" s="711"/>
      <c r="M111" s="513">
        <v>392</v>
      </c>
      <c r="N111" s="713" t="s">
        <v>31</v>
      </c>
      <c r="O111" s="711"/>
      <c r="P111" s="513">
        <v>387</v>
      </c>
      <c r="Q111" s="713" t="s">
        <v>31</v>
      </c>
      <c r="R111" s="711"/>
      <c r="S111" s="513">
        <v>346</v>
      </c>
      <c r="T111" s="716" t="s">
        <v>115</v>
      </c>
      <c r="U111" s="711"/>
      <c r="V111" s="513">
        <v>400</v>
      </c>
      <c r="W111" s="716" t="s">
        <v>16</v>
      </c>
      <c r="X111" s="711"/>
      <c r="Y111" s="519">
        <v>418</v>
      </c>
      <c r="Z111" s="698" t="s">
        <v>14</v>
      </c>
      <c r="AA111" s="699"/>
      <c r="AB111" s="534">
        <v>351</v>
      </c>
      <c r="AC111" s="698" t="s">
        <v>35</v>
      </c>
      <c r="AD111" s="698"/>
      <c r="AE111" s="519">
        <v>429</v>
      </c>
      <c r="AF111" s="698" t="s">
        <v>33</v>
      </c>
      <c r="AG111" s="699"/>
      <c r="AH111" s="513">
        <v>411</v>
      </c>
      <c r="AI111" s="713" t="s">
        <v>31</v>
      </c>
      <c r="AJ111" s="711"/>
      <c r="AK111" s="519">
        <v>381</v>
      </c>
      <c r="AL111" s="713" t="s">
        <v>16</v>
      </c>
      <c r="AM111" s="711"/>
      <c r="AN111" s="519">
        <v>459</v>
      </c>
      <c r="AO111" s="713" t="s">
        <v>16</v>
      </c>
      <c r="AP111" s="711"/>
      <c r="AQ111" s="516">
        <v>370</v>
      </c>
      <c r="AR111" s="516"/>
      <c r="AS111" s="513"/>
      <c r="AT111" s="211"/>
    </row>
    <row r="112" spans="1:53" x14ac:dyDescent="0.35">
      <c r="A112" s="5"/>
      <c r="B112" s="702" t="s">
        <v>217</v>
      </c>
      <c r="C112" s="703"/>
      <c r="D112" s="519"/>
      <c r="E112" s="702" t="s">
        <v>218</v>
      </c>
      <c r="F112" s="703"/>
      <c r="G112" s="519"/>
      <c r="H112" s="702" t="s">
        <v>219</v>
      </c>
      <c r="I112" s="703"/>
      <c r="J112" s="519"/>
      <c r="K112" s="702" t="s">
        <v>220</v>
      </c>
      <c r="L112" s="703"/>
      <c r="M112" s="519"/>
      <c r="N112" s="702" t="s">
        <v>221</v>
      </c>
      <c r="O112" s="703"/>
      <c r="P112" s="519"/>
      <c r="Q112" s="702" t="s">
        <v>222</v>
      </c>
      <c r="R112" s="703"/>
      <c r="S112" s="519"/>
      <c r="T112" s="702" t="s">
        <v>223</v>
      </c>
      <c r="U112" s="703"/>
      <c r="V112" s="519"/>
      <c r="W112" s="702" t="s">
        <v>224</v>
      </c>
      <c r="X112" s="703"/>
      <c r="Y112" s="519"/>
      <c r="Z112" s="702" t="s">
        <v>225</v>
      </c>
      <c r="AA112" s="703"/>
      <c r="AB112" s="519"/>
      <c r="AC112" s="702" t="s">
        <v>226</v>
      </c>
      <c r="AD112" s="703"/>
      <c r="AE112" s="519"/>
      <c r="AF112" s="702" t="s">
        <v>227</v>
      </c>
      <c r="AG112" s="703"/>
      <c r="AI112" s="702" t="s">
        <v>228</v>
      </c>
      <c r="AJ112" s="703"/>
      <c r="AL112" s="702" t="s">
        <v>229</v>
      </c>
      <c r="AM112" s="703"/>
      <c r="AO112" s="702" t="s">
        <v>230</v>
      </c>
      <c r="AP112" s="703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47" t="s">
        <v>407</v>
      </c>
      <c r="F114" s="747"/>
      <c r="G114" s="747"/>
      <c r="H114" s="747"/>
      <c r="I114" s="747"/>
      <c r="J114" s="747"/>
      <c r="K114" s="747"/>
      <c r="L114" s="747"/>
      <c r="M114" s="747"/>
      <c r="N114" s="747"/>
      <c r="O114" s="747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699"/>
      <c r="AG114" s="699"/>
      <c r="AH114" s="699"/>
      <c r="AI114" s="699"/>
      <c r="AJ114" s="699"/>
      <c r="AK114" s="699"/>
      <c r="AL114" s="699"/>
      <c r="AM114" s="699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699"/>
      <c r="C116" s="699"/>
      <c r="D116" s="519"/>
      <c r="E116" s="734"/>
      <c r="F116" s="734"/>
      <c r="G116" s="519"/>
      <c r="H116" s="734"/>
      <c r="I116" s="734"/>
      <c r="J116" s="519"/>
      <c r="K116" s="734"/>
      <c r="L116" s="734"/>
      <c r="M116" s="519"/>
      <c r="N116" s="734"/>
      <c r="O116" s="734"/>
      <c r="P116" s="519"/>
      <c r="Q116" s="734"/>
      <c r="R116" s="734"/>
      <c r="S116" s="519"/>
      <c r="T116" s="734"/>
      <c r="U116" s="734"/>
      <c r="V116" s="519"/>
      <c r="W116" s="734"/>
      <c r="X116" s="734"/>
      <c r="Y116" s="519"/>
      <c r="Z116" s="699"/>
      <c r="AA116" s="699"/>
      <c r="AB116" s="519"/>
      <c r="AC116" s="699"/>
      <c r="AD116" s="699"/>
      <c r="AE116" s="700"/>
      <c r="AF116" s="700"/>
      <c r="AG116" s="700"/>
      <c r="AH116" s="700"/>
      <c r="AI116" s="710"/>
      <c r="AJ116" s="710"/>
      <c r="AL116" s="710"/>
      <c r="AM116" s="710"/>
      <c r="AO116" s="710"/>
      <c r="AP116" s="710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43" t="s">
        <v>396</v>
      </c>
      <c r="F117" s="744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35" t="s">
        <v>397</v>
      </c>
      <c r="AP117" s="736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45"/>
      <c r="F118" s="746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37"/>
      <c r="AP118" s="738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13" t="s">
        <v>33</v>
      </c>
      <c r="C119" s="711"/>
      <c r="D119" s="513">
        <v>425</v>
      </c>
      <c r="E119" s="713" t="s">
        <v>182</v>
      </c>
      <c r="F119" s="711"/>
      <c r="G119" s="513">
        <v>256</v>
      </c>
      <c r="H119" s="713" t="s">
        <v>234</v>
      </c>
      <c r="I119" s="711"/>
      <c r="J119" s="513">
        <v>443</v>
      </c>
      <c r="K119" s="713" t="s">
        <v>236</v>
      </c>
      <c r="L119" s="711"/>
      <c r="M119" s="513">
        <v>451</v>
      </c>
      <c r="N119" s="713" t="s">
        <v>238</v>
      </c>
      <c r="O119" s="711"/>
      <c r="P119" s="513">
        <v>420</v>
      </c>
      <c r="Q119" s="713" t="s">
        <v>33</v>
      </c>
      <c r="R119" s="711"/>
      <c r="S119" s="513">
        <v>418</v>
      </c>
      <c r="T119" s="713" t="s">
        <v>31</v>
      </c>
      <c r="U119" s="711"/>
      <c r="V119" s="513">
        <v>349</v>
      </c>
      <c r="W119" s="716" t="s">
        <v>18</v>
      </c>
      <c r="X119" s="711"/>
      <c r="Y119" s="519">
        <v>407</v>
      </c>
      <c r="Z119" s="698" t="s">
        <v>2124</v>
      </c>
      <c r="AA119" s="699"/>
      <c r="AB119" s="534">
        <v>323</v>
      </c>
      <c r="AC119" s="698" t="s">
        <v>31</v>
      </c>
      <c r="AD119" s="698"/>
      <c r="AE119" s="519">
        <v>419</v>
      </c>
      <c r="AF119" s="698" t="s">
        <v>31</v>
      </c>
      <c r="AG119" s="699"/>
      <c r="AH119" s="510">
        <v>402</v>
      </c>
      <c r="AI119" s="748" t="s">
        <v>35</v>
      </c>
      <c r="AJ119" s="710"/>
      <c r="AK119" s="6">
        <v>402.31</v>
      </c>
      <c r="AL119" s="710" t="s">
        <v>40</v>
      </c>
      <c r="AM119" s="710"/>
      <c r="AN119" s="6">
        <v>416</v>
      </c>
      <c r="AO119" s="710" t="s">
        <v>35</v>
      </c>
      <c r="AP119" s="710"/>
      <c r="AQ119" s="10">
        <v>419</v>
      </c>
      <c r="AR119" s="10"/>
      <c r="AS119" s="510"/>
      <c r="AT119" s="212"/>
    </row>
    <row r="120" spans="1:53" x14ac:dyDescent="0.35">
      <c r="A120" s="5"/>
      <c r="B120" s="702" t="s">
        <v>231</v>
      </c>
      <c r="C120" s="703"/>
      <c r="D120" s="519"/>
      <c r="E120" s="702" t="s">
        <v>232</v>
      </c>
      <c r="F120" s="703"/>
      <c r="G120" s="519"/>
      <c r="H120" s="702" t="s">
        <v>233</v>
      </c>
      <c r="I120" s="703"/>
      <c r="J120" s="519"/>
      <c r="K120" s="702" t="s">
        <v>235</v>
      </c>
      <c r="L120" s="703"/>
      <c r="M120" s="519"/>
      <c r="N120" s="702" t="s">
        <v>237</v>
      </c>
      <c r="O120" s="703"/>
      <c r="P120" s="519"/>
      <c r="Q120" s="702" t="s">
        <v>239</v>
      </c>
      <c r="R120" s="703"/>
      <c r="S120" s="519"/>
      <c r="T120" s="702" t="s">
        <v>240</v>
      </c>
      <c r="U120" s="703"/>
      <c r="V120" s="519"/>
      <c r="W120" s="702" t="s">
        <v>241</v>
      </c>
      <c r="X120" s="703"/>
      <c r="Y120" s="519"/>
      <c r="Z120" s="702" t="s">
        <v>242</v>
      </c>
      <c r="AA120" s="703"/>
      <c r="AB120" s="519"/>
      <c r="AC120" s="702" t="s">
        <v>243</v>
      </c>
      <c r="AD120" s="703"/>
      <c r="AE120" s="519"/>
      <c r="AF120" s="702" t="s">
        <v>244</v>
      </c>
      <c r="AG120" s="703"/>
      <c r="AI120" s="702" t="s">
        <v>245</v>
      </c>
      <c r="AJ120" s="703"/>
      <c r="AL120" s="702" t="s">
        <v>246</v>
      </c>
      <c r="AM120" s="703"/>
      <c r="AO120" s="702" t="s">
        <v>247</v>
      </c>
      <c r="AP120" s="703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749"/>
      <c r="H122" s="749"/>
      <c r="I122" s="749"/>
      <c r="J122" s="749"/>
      <c r="K122" s="543"/>
      <c r="L122" s="544"/>
      <c r="M122" s="513"/>
      <c r="N122" s="750"/>
      <c r="O122" s="750"/>
      <c r="P122" s="750"/>
      <c r="Q122" s="750"/>
      <c r="R122" s="750"/>
      <c r="S122" s="750"/>
      <c r="T122" s="750"/>
      <c r="U122" s="750"/>
      <c r="V122" s="750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699"/>
      <c r="C124" s="699"/>
      <c r="D124" s="519"/>
      <c r="E124" s="734"/>
      <c r="F124" s="734"/>
      <c r="G124" s="519"/>
      <c r="H124" s="734"/>
      <c r="I124" s="734"/>
      <c r="J124" s="519"/>
      <c r="K124" s="734"/>
      <c r="L124" s="734"/>
      <c r="M124" s="519"/>
      <c r="N124" s="734"/>
      <c r="O124" s="734"/>
      <c r="P124" s="519"/>
      <c r="Q124" s="734"/>
      <c r="R124" s="734"/>
      <c r="S124" s="519"/>
      <c r="T124" s="734"/>
      <c r="U124" s="734"/>
      <c r="V124" s="519"/>
      <c r="W124" s="734"/>
      <c r="X124" s="734"/>
      <c r="Y124" s="519"/>
      <c r="Z124" s="699"/>
      <c r="AA124" s="699"/>
      <c r="AB124" s="519"/>
      <c r="AC124" s="699"/>
      <c r="AD124" s="699"/>
      <c r="AE124" s="700"/>
      <c r="AF124" s="700"/>
      <c r="AG124" s="700"/>
      <c r="AH124" s="700"/>
      <c r="AI124" s="710"/>
      <c r="AJ124" s="710"/>
      <c r="AL124" s="710"/>
      <c r="AM124" s="710"/>
      <c r="AO124" s="710"/>
      <c r="AP124" s="710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35" t="s">
        <v>397</v>
      </c>
      <c r="F125" s="736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11"/>
      <c r="X125" s="12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11"/>
      <c r="AM125" s="12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37"/>
      <c r="F126" s="738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15"/>
      <c r="X126" s="15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15"/>
      <c r="AM126" s="15"/>
      <c r="AO126" s="15"/>
      <c r="AP126" s="15"/>
      <c r="AQ126" s="542"/>
      <c r="AR126" s="542"/>
      <c r="AS126" s="510"/>
      <c r="AT126" s="212"/>
      <c r="AV126" s="2">
        <v>13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698" t="s">
        <v>115</v>
      </c>
      <c r="C127" s="699"/>
      <c r="D127" s="513">
        <v>377</v>
      </c>
      <c r="E127" s="713" t="s">
        <v>35</v>
      </c>
      <c r="F127" s="711"/>
      <c r="G127" s="513">
        <v>440</v>
      </c>
      <c r="H127" s="711" t="s">
        <v>33</v>
      </c>
      <c r="I127" s="711"/>
      <c r="J127" s="513">
        <v>400.28</v>
      </c>
      <c r="K127" s="713" t="s">
        <v>18</v>
      </c>
      <c r="L127" s="711"/>
      <c r="M127" s="513">
        <v>386</v>
      </c>
      <c r="N127" s="713" t="s">
        <v>33</v>
      </c>
      <c r="O127" s="711"/>
      <c r="P127" s="513">
        <v>420</v>
      </c>
      <c r="Q127" s="713" t="s">
        <v>23</v>
      </c>
      <c r="R127" s="711"/>
      <c r="S127" s="513">
        <v>337</v>
      </c>
      <c r="T127" s="713" t="s">
        <v>23</v>
      </c>
      <c r="U127" s="711"/>
      <c r="V127" s="513">
        <v>336.51</v>
      </c>
      <c r="W127" s="713" t="s">
        <v>182</v>
      </c>
      <c r="X127" s="711"/>
      <c r="Y127" s="519">
        <v>412</v>
      </c>
      <c r="Z127" s="698" t="s">
        <v>31</v>
      </c>
      <c r="AA127" s="699"/>
      <c r="AB127" s="534">
        <v>408</v>
      </c>
      <c r="AC127" s="698" t="s">
        <v>16</v>
      </c>
      <c r="AD127" s="698"/>
      <c r="AE127" s="519">
        <v>413</v>
      </c>
      <c r="AF127" s="698" t="s">
        <v>31</v>
      </c>
      <c r="AG127" s="699"/>
      <c r="AH127" s="510">
        <v>410</v>
      </c>
      <c r="AI127" s="748" t="s">
        <v>33</v>
      </c>
      <c r="AJ127" s="710"/>
      <c r="AK127" s="6">
        <v>406</v>
      </c>
      <c r="AL127" s="748" t="s">
        <v>33</v>
      </c>
      <c r="AM127" s="710"/>
      <c r="AN127" s="6">
        <v>411</v>
      </c>
      <c r="AO127" s="748" t="s">
        <v>33</v>
      </c>
      <c r="AP127" s="710"/>
      <c r="AQ127" s="10">
        <v>372</v>
      </c>
      <c r="AR127" s="10"/>
      <c r="AS127" s="510"/>
      <c r="AT127" s="212"/>
    </row>
    <row r="128" spans="1:53" x14ac:dyDescent="0.35">
      <c r="A128" s="5"/>
      <c r="B128" s="698" t="s">
        <v>248</v>
      </c>
      <c r="C128" s="699"/>
      <c r="D128" s="519"/>
      <c r="E128" s="698" t="s">
        <v>249</v>
      </c>
      <c r="F128" s="699"/>
      <c r="G128" s="519"/>
      <c r="H128" s="698" t="s">
        <v>250</v>
      </c>
      <c r="I128" s="699"/>
      <c r="J128" s="519"/>
      <c r="K128" s="698" t="s">
        <v>251</v>
      </c>
      <c r="L128" s="699"/>
      <c r="M128" s="519"/>
      <c r="N128" s="698" t="s">
        <v>252</v>
      </c>
      <c r="O128" s="699"/>
      <c r="P128" s="519"/>
      <c r="Q128" s="698" t="s">
        <v>253</v>
      </c>
      <c r="R128" s="699"/>
      <c r="S128" s="519"/>
      <c r="T128" s="698" t="s">
        <v>254</v>
      </c>
      <c r="U128" s="699"/>
      <c r="V128" s="519"/>
      <c r="W128" s="703" t="s">
        <v>255</v>
      </c>
      <c r="X128" s="699"/>
      <c r="Y128" s="519"/>
      <c r="Z128" s="702" t="s">
        <v>256</v>
      </c>
      <c r="AA128" s="699"/>
      <c r="AB128" s="519"/>
      <c r="AC128" s="702" t="s">
        <v>257</v>
      </c>
      <c r="AD128" s="699"/>
      <c r="AE128" s="519"/>
      <c r="AF128" s="702" t="s">
        <v>258</v>
      </c>
      <c r="AG128" s="699"/>
      <c r="AI128" s="702" t="s">
        <v>259</v>
      </c>
      <c r="AJ128" s="699"/>
      <c r="AL128" s="702" t="s">
        <v>260</v>
      </c>
      <c r="AM128" s="702"/>
      <c r="AO128" s="702" t="s">
        <v>261</v>
      </c>
      <c r="AP128" s="699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699"/>
      <c r="C132" s="699"/>
      <c r="D132" s="519"/>
      <c r="E132" s="734"/>
      <c r="F132" s="734"/>
      <c r="G132" s="519"/>
      <c r="H132" s="734"/>
      <c r="I132" s="734"/>
      <c r="J132" s="519"/>
      <c r="K132" s="734"/>
      <c r="L132" s="734"/>
      <c r="M132" s="519"/>
      <c r="N132" s="734"/>
      <c r="O132" s="734"/>
      <c r="P132" s="519"/>
      <c r="Q132" s="734"/>
      <c r="R132" s="734"/>
      <c r="S132" s="519"/>
      <c r="T132" s="734"/>
      <c r="U132" s="734"/>
      <c r="V132" s="519"/>
      <c r="W132" s="734"/>
      <c r="X132" s="734"/>
      <c r="Y132" s="519"/>
      <c r="Z132" s="699"/>
      <c r="AA132" s="699"/>
      <c r="AB132" s="519"/>
      <c r="AC132" s="699"/>
      <c r="AD132" s="699"/>
      <c r="AE132" s="700"/>
      <c r="AF132" s="700"/>
      <c r="AG132" s="700"/>
      <c r="AH132" s="700"/>
      <c r="AI132" s="710"/>
      <c r="AJ132" s="710"/>
      <c r="AL132" s="710"/>
      <c r="AM132" s="710"/>
      <c r="AO132" s="710"/>
      <c r="AP132" s="710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35" t="s">
        <v>397</v>
      </c>
      <c r="AM133" s="736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37"/>
      <c r="AM134" s="738"/>
      <c r="AO134" s="15"/>
      <c r="AP134" s="15"/>
      <c r="AQ134" s="542"/>
      <c r="AR134" s="542"/>
      <c r="AS134" s="510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698" t="s">
        <v>31</v>
      </c>
      <c r="C135" s="699"/>
      <c r="D135" s="513">
        <v>386</v>
      </c>
      <c r="E135" s="698" t="s">
        <v>31</v>
      </c>
      <c r="F135" s="699"/>
      <c r="G135" s="513">
        <v>370</v>
      </c>
      <c r="H135" s="698" t="s">
        <v>31</v>
      </c>
      <c r="I135" s="699"/>
      <c r="J135" s="513">
        <v>382</v>
      </c>
      <c r="K135" s="748" t="s">
        <v>33</v>
      </c>
      <c r="L135" s="710"/>
      <c r="M135" s="513">
        <v>384</v>
      </c>
      <c r="N135" s="713" t="s">
        <v>16</v>
      </c>
      <c r="O135" s="711"/>
      <c r="P135" s="513">
        <v>382</v>
      </c>
      <c r="Q135" s="713" t="s">
        <v>28</v>
      </c>
      <c r="R135" s="711"/>
      <c r="S135" s="513">
        <v>357</v>
      </c>
      <c r="T135" s="698" t="s">
        <v>31</v>
      </c>
      <c r="U135" s="699"/>
      <c r="V135" s="513">
        <v>351</v>
      </c>
      <c r="W135" s="716" t="s">
        <v>14</v>
      </c>
      <c r="X135" s="711"/>
      <c r="Y135" s="519">
        <v>413</v>
      </c>
      <c r="Z135" s="698" t="s">
        <v>33</v>
      </c>
      <c r="AA135" s="699"/>
      <c r="AB135" s="534">
        <v>423</v>
      </c>
      <c r="AC135" s="698" t="s">
        <v>14</v>
      </c>
      <c r="AD135" s="698"/>
      <c r="AE135" s="519">
        <v>390</v>
      </c>
      <c r="AF135" s="698" t="s">
        <v>31</v>
      </c>
      <c r="AG135" s="699"/>
      <c r="AH135" s="513">
        <v>406</v>
      </c>
      <c r="AI135" s="698" t="s">
        <v>33</v>
      </c>
      <c r="AJ135" s="699"/>
      <c r="AK135" s="519">
        <v>390</v>
      </c>
      <c r="AL135" s="699" t="s">
        <v>14</v>
      </c>
      <c r="AM135" s="699"/>
      <c r="AN135" s="519">
        <v>393</v>
      </c>
      <c r="AO135" s="699" t="s">
        <v>31</v>
      </c>
      <c r="AP135" s="699"/>
      <c r="AQ135" s="516">
        <v>426</v>
      </c>
      <c r="AR135" s="516"/>
      <c r="AS135" s="510"/>
      <c r="AT135" s="212"/>
    </row>
    <row r="136" spans="1:53" x14ac:dyDescent="0.35">
      <c r="A136" s="5"/>
      <c r="B136" s="702" t="s">
        <v>262</v>
      </c>
      <c r="C136" s="699"/>
      <c r="D136" s="519"/>
      <c r="E136" s="702" t="s">
        <v>263</v>
      </c>
      <c r="F136" s="699"/>
      <c r="G136" s="519"/>
      <c r="H136" s="702" t="s">
        <v>264</v>
      </c>
      <c r="I136" s="699"/>
      <c r="J136" s="519"/>
      <c r="K136" s="702" t="s">
        <v>265</v>
      </c>
      <c r="L136" s="699"/>
      <c r="M136" s="519"/>
      <c r="N136" s="702" t="s">
        <v>266</v>
      </c>
      <c r="O136" s="699"/>
      <c r="P136" s="519"/>
      <c r="Q136" s="702" t="s">
        <v>267</v>
      </c>
      <c r="R136" s="699"/>
      <c r="S136" s="519"/>
      <c r="T136" s="702" t="s">
        <v>268</v>
      </c>
      <c r="U136" s="699"/>
      <c r="V136" s="519"/>
      <c r="W136" s="702" t="s">
        <v>269</v>
      </c>
      <c r="X136" s="699"/>
      <c r="Y136" s="519"/>
      <c r="Z136" s="702" t="s">
        <v>270</v>
      </c>
      <c r="AA136" s="699"/>
      <c r="AB136" s="519"/>
      <c r="AC136" s="702" t="s">
        <v>271</v>
      </c>
      <c r="AD136" s="699"/>
      <c r="AE136" s="519"/>
      <c r="AF136" s="702" t="s">
        <v>272</v>
      </c>
      <c r="AG136" s="699"/>
      <c r="AI136" s="702" t="s">
        <v>273</v>
      </c>
      <c r="AJ136" s="699"/>
      <c r="AL136" s="702" t="s">
        <v>274</v>
      </c>
      <c r="AM136" s="699"/>
      <c r="AO136" s="702" t="s">
        <v>275</v>
      </c>
      <c r="AP136" s="699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47" t="s">
        <v>408</v>
      </c>
      <c r="AA138" s="747"/>
      <c r="AB138" s="747"/>
      <c r="AC138" s="747"/>
      <c r="AD138" s="747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699"/>
      <c r="C140" s="699"/>
      <c r="D140" s="519"/>
      <c r="E140" s="734"/>
      <c r="F140" s="734"/>
      <c r="G140" s="519"/>
      <c r="H140" s="734"/>
      <c r="I140" s="734"/>
      <c r="J140" s="519"/>
      <c r="K140" s="734"/>
      <c r="L140" s="734"/>
      <c r="M140" s="519"/>
      <c r="N140" s="734"/>
      <c r="O140" s="734"/>
      <c r="P140" s="519"/>
      <c r="Q140" s="734"/>
      <c r="R140" s="734"/>
      <c r="S140" s="519"/>
      <c r="T140" s="734"/>
      <c r="U140" s="734"/>
      <c r="V140" s="519"/>
      <c r="W140" s="734"/>
      <c r="X140" s="734"/>
      <c r="Y140" s="519"/>
      <c r="Z140" s="699"/>
      <c r="AA140" s="699"/>
      <c r="AB140" s="519"/>
      <c r="AC140" s="699"/>
      <c r="AD140" s="699"/>
      <c r="AE140" s="700"/>
      <c r="AF140" s="700"/>
      <c r="AG140" s="700"/>
      <c r="AH140" s="700"/>
      <c r="AI140" s="710"/>
      <c r="AJ140" s="710"/>
      <c r="AL140" s="710"/>
      <c r="AM140" s="710"/>
      <c r="AO140" s="710"/>
      <c r="AP140" s="710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11"/>
      <c r="AD141" s="12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15"/>
      <c r="AD142" s="15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698" t="s">
        <v>33</v>
      </c>
      <c r="C143" s="699"/>
      <c r="D143" s="513">
        <v>407</v>
      </c>
      <c r="E143" s="713" t="s">
        <v>28</v>
      </c>
      <c r="F143" s="711"/>
      <c r="G143" s="513">
        <v>404</v>
      </c>
      <c r="H143" s="711" t="s">
        <v>16</v>
      </c>
      <c r="I143" s="711"/>
      <c r="J143" s="513">
        <v>418</v>
      </c>
      <c r="K143" s="713" t="s">
        <v>31</v>
      </c>
      <c r="L143" s="711"/>
      <c r="M143" s="513">
        <v>413</v>
      </c>
      <c r="N143" s="713" t="s">
        <v>33</v>
      </c>
      <c r="O143" s="711"/>
      <c r="P143" s="513">
        <v>410</v>
      </c>
      <c r="Q143" s="713" t="s">
        <v>31</v>
      </c>
      <c r="R143" s="711"/>
      <c r="S143" s="513">
        <v>426</v>
      </c>
      <c r="T143" s="716" t="s">
        <v>31</v>
      </c>
      <c r="U143" s="711"/>
      <c r="V143" s="513">
        <v>397</v>
      </c>
      <c r="W143" s="716" t="s">
        <v>16</v>
      </c>
      <c r="X143" s="711"/>
      <c r="Y143" s="519">
        <v>404</v>
      </c>
      <c r="Z143" s="698" t="s">
        <v>146</v>
      </c>
      <c r="AA143" s="699"/>
      <c r="AB143" s="534">
        <v>224</v>
      </c>
      <c r="AC143" s="698" t="s">
        <v>118</v>
      </c>
      <c r="AD143" s="698"/>
      <c r="AE143" s="519">
        <v>422</v>
      </c>
      <c r="AF143" s="698" t="s">
        <v>31</v>
      </c>
      <c r="AG143" s="699"/>
      <c r="AH143" s="513">
        <v>343</v>
      </c>
      <c r="AI143" s="703" t="s">
        <v>23</v>
      </c>
      <c r="AJ143" s="699"/>
      <c r="AK143" s="519">
        <v>360</v>
      </c>
      <c r="AL143" s="703" t="s">
        <v>23</v>
      </c>
      <c r="AM143" s="699"/>
      <c r="AN143" s="6">
        <v>340</v>
      </c>
      <c r="AO143" s="710" t="s">
        <v>40</v>
      </c>
      <c r="AP143" s="710"/>
      <c r="AQ143" s="10">
        <v>409</v>
      </c>
      <c r="AR143" s="10"/>
      <c r="AS143" s="510"/>
      <c r="AT143" s="212"/>
    </row>
    <row r="144" spans="1:53" x14ac:dyDescent="0.35">
      <c r="A144" s="5"/>
      <c r="B144" s="702" t="s">
        <v>276</v>
      </c>
      <c r="C144" s="699"/>
      <c r="D144" s="519"/>
      <c r="E144" s="699" t="s">
        <v>277</v>
      </c>
      <c r="F144" s="699"/>
      <c r="G144" s="519"/>
      <c r="H144" s="699" t="s">
        <v>278</v>
      </c>
      <c r="I144" s="699"/>
      <c r="J144" s="519"/>
      <c r="K144" s="699" t="s">
        <v>279</v>
      </c>
      <c r="L144" s="699"/>
      <c r="M144" s="519"/>
      <c r="N144" s="699" t="s">
        <v>280</v>
      </c>
      <c r="O144" s="699"/>
      <c r="P144" s="519"/>
      <c r="Q144" s="699" t="s">
        <v>281</v>
      </c>
      <c r="R144" s="699"/>
      <c r="S144" s="519"/>
      <c r="T144" s="699" t="s">
        <v>282</v>
      </c>
      <c r="U144" s="699"/>
      <c r="V144" s="519"/>
      <c r="W144" s="699" t="s">
        <v>283</v>
      </c>
      <c r="X144" s="699"/>
      <c r="Y144" s="519"/>
      <c r="Z144" s="699" t="s">
        <v>284</v>
      </c>
      <c r="AA144" s="699"/>
      <c r="AB144" s="519"/>
      <c r="AC144" s="699" t="s">
        <v>285</v>
      </c>
      <c r="AD144" s="699"/>
      <c r="AE144" s="519"/>
      <c r="AF144" s="699" t="s">
        <v>286</v>
      </c>
      <c r="AG144" s="699"/>
      <c r="AI144" s="699" t="s">
        <v>287</v>
      </c>
      <c r="AJ144" s="699"/>
      <c r="AK144" s="519"/>
      <c r="AL144" s="699" t="s">
        <v>288</v>
      </c>
      <c r="AM144" s="699"/>
      <c r="AO144" s="699" t="s">
        <v>289</v>
      </c>
      <c r="AP144" s="699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47" t="s">
        <v>829</v>
      </c>
      <c r="I146" s="747"/>
      <c r="J146" s="747"/>
      <c r="K146" s="747"/>
      <c r="L146" s="747"/>
      <c r="M146" s="529"/>
      <c r="N146" s="529"/>
      <c r="O146" s="529"/>
      <c r="P146" s="529"/>
      <c r="Q146" s="747" t="s">
        <v>408</v>
      </c>
      <c r="R146" s="747"/>
      <c r="S146" s="747"/>
      <c r="T146" s="747"/>
      <c r="U146" s="747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699" t="s">
        <v>805</v>
      </c>
      <c r="AP146" s="699"/>
      <c r="AQ146" s="699"/>
      <c r="AR146" s="699"/>
      <c r="AS146" s="699"/>
      <c r="AT146" s="751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699"/>
      <c r="C148" s="699"/>
      <c r="D148" s="519"/>
      <c r="E148" s="734"/>
      <c r="F148" s="734"/>
      <c r="G148" s="519"/>
      <c r="H148" s="734"/>
      <c r="I148" s="734"/>
      <c r="J148" s="519"/>
      <c r="K148" s="734"/>
      <c r="L148" s="734"/>
      <c r="M148" s="519"/>
      <c r="N148" s="734"/>
      <c r="O148" s="734"/>
      <c r="P148" s="519"/>
      <c r="Q148" s="734"/>
      <c r="R148" s="734"/>
      <c r="S148" s="519"/>
      <c r="T148" s="734"/>
      <c r="U148" s="734"/>
      <c r="V148" s="519"/>
      <c r="W148" s="734"/>
      <c r="X148" s="734"/>
      <c r="Y148" s="519"/>
      <c r="Z148" s="699"/>
      <c r="AA148" s="699"/>
      <c r="AB148" s="519"/>
      <c r="AC148" s="699"/>
      <c r="AD148" s="699"/>
      <c r="AE148" s="700"/>
      <c r="AF148" s="700"/>
      <c r="AG148" s="700"/>
      <c r="AH148" s="700"/>
      <c r="AI148" s="710"/>
      <c r="AJ148" s="710"/>
      <c r="AL148" s="710"/>
      <c r="AM148" s="710"/>
      <c r="AO148" s="710"/>
      <c r="AP148" s="710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35" t="s">
        <v>397</v>
      </c>
      <c r="AD149" s="736"/>
      <c r="AE149" s="513"/>
      <c r="AF149" s="735" t="s">
        <v>397</v>
      </c>
      <c r="AG149" s="736"/>
      <c r="AH149" s="510"/>
      <c r="AI149" s="11"/>
      <c r="AJ149" s="12"/>
      <c r="AK149" s="510"/>
      <c r="AL149" s="735" t="s">
        <v>397</v>
      </c>
      <c r="AM149" s="736"/>
      <c r="AN149" s="510"/>
      <c r="AO149" s="735" t="s">
        <v>397</v>
      </c>
      <c r="AP149" s="736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37"/>
      <c r="AD150" s="738"/>
      <c r="AE150" s="519"/>
      <c r="AF150" s="737"/>
      <c r="AG150" s="738"/>
      <c r="AH150" s="510"/>
      <c r="AI150" s="15"/>
      <c r="AJ150" s="15"/>
      <c r="AL150" s="737"/>
      <c r="AM150" s="738"/>
      <c r="AO150" s="737"/>
      <c r="AP150" s="738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698" t="s">
        <v>35</v>
      </c>
      <c r="C151" s="699"/>
      <c r="D151" s="513">
        <v>391.06</v>
      </c>
      <c r="E151" s="698" t="s">
        <v>113</v>
      </c>
      <c r="F151" s="699"/>
      <c r="G151" s="513">
        <v>386</v>
      </c>
      <c r="H151" s="698" t="s">
        <v>803</v>
      </c>
      <c r="I151" s="699"/>
      <c r="J151" s="363">
        <v>372.887</v>
      </c>
      <c r="K151" s="698" t="s">
        <v>804</v>
      </c>
      <c r="L151" s="699"/>
      <c r="M151" s="363">
        <v>333</v>
      </c>
      <c r="N151" s="713" t="s">
        <v>33</v>
      </c>
      <c r="O151" s="711"/>
      <c r="P151" s="363">
        <v>357.142</v>
      </c>
      <c r="Q151" s="713" t="s">
        <v>146</v>
      </c>
      <c r="R151" s="711"/>
      <c r="S151" s="363">
        <v>234.17099999999999</v>
      </c>
      <c r="T151" s="716" t="s">
        <v>172</v>
      </c>
      <c r="U151" s="711"/>
      <c r="V151" s="315">
        <v>352</v>
      </c>
      <c r="W151" s="716" t="s">
        <v>16</v>
      </c>
      <c r="X151" s="711"/>
      <c r="Y151" s="315">
        <v>353</v>
      </c>
      <c r="Z151" s="698" t="s">
        <v>33</v>
      </c>
      <c r="AA151" s="699"/>
      <c r="AB151" s="315">
        <v>352.60599999999999</v>
      </c>
      <c r="AC151" s="698" t="s">
        <v>154</v>
      </c>
      <c r="AD151" s="698"/>
      <c r="AE151" s="519">
        <v>268</v>
      </c>
      <c r="AF151" s="698" t="s">
        <v>299</v>
      </c>
      <c r="AG151" s="699"/>
      <c r="AH151" s="513">
        <v>306</v>
      </c>
      <c r="AI151" s="698" t="s">
        <v>390</v>
      </c>
      <c r="AJ151" s="699"/>
      <c r="AK151" s="519">
        <v>297</v>
      </c>
      <c r="AL151" s="699" t="s">
        <v>23</v>
      </c>
      <c r="AM151" s="699"/>
      <c r="AN151" s="315">
        <v>414.40300000000002</v>
      </c>
      <c r="AO151" s="699" t="s">
        <v>61</v>
      </c>
      <c r="AP151" s="699"/>
      <c r="AQ151" s="516">
        <v>332</v>
      </c>
      <c r="AR151" s="516"/>
      <c r="AS151" s="510"/>
      <c r="AT151" s="212"/>
    </row>
    <row r="152" spans="1:53" x14ac:dyDescent="0.35">
      <c r="A152" s="5"/>
      <c r="B152" s="699" t="s">
        <v>290</v>
      </c>
      <c r="C152" s="699"/>
      <c r="D152" s="519"/>
      <c r="E152" s="699" t="s">
        <v>291</v>
      </c>
      <c r="F152" s="699"/>
      <c r="G152" s="519"/>
      <c r="H152" s="699" t="s">
        <v>292</v>
      </c>
      <c r="I152" s="699"/>
      <c r="J152" s="519"/>
      <c r="K152" s="699" t="s">
        <v>391</v>
      </c>
      <c r="L152" s="699"/>
      <c r="M152" s="519"/>
      <c r="N152" s="699" t="s">
        <v>392</v>
      </c>
      <c r="O152" s="699"/>
      <c r="P152" s="519"/>
      <c r="Q152" s="698" t="s">
        <v>293</v>
      </c>
      <c r="R152" s="699"/>
      <c r="S152" s="519"/>
      <c r="T152" s="699" t="s">
        <v>294</v>
      </c>
      <c r="U152" s="699"/>
      <c r="V152" s="519"/>
      <c r="W152" s="699" t="s">
        <v>295</v>
      </c>
      <c r="X152" s="699"/>
      <c r="Y152" s="519"/>
      <c r="Z152" s="699" t="s">
        <v>296</v>
      </c>
      <c r="AA152" s="699"/>
      <c r="AB152" s="519"/>
      <c r="AC152" s="699" t="s">
        <v>297</v>
      </c>
      <c r="AD152" s="699"/>
      <c r="AE152" s="519"/>
      <c r="AF152" s="699" t="s">
        <v>298</v>
      </c>
      <c r="AG152" s="699"/>
      <c r="AI152" s="699" t="s">
        <v>300</v>
      </c>
      <c r="AJ152" s="699"/>
      <c r="AL152" s="699" t="s">
        <v>301</v>
      </c>
      <c r="AM152" s="699"/>
      <c r="AO152" s="699" t="s">
        <v>302</v>
      </c>
      <c r="AP152" s="699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47" t="s">
        <v>805</v>
      </c>
      <c r="C154" s="747"/>
      <c r="D154" s="747"/>
      <c r="E154" s="747"/>
      <c r="F154" s="747"/>
      <c r="G154" s="747"/>
      <c r="H154" s="747"/>
      <c r="I154" s="747"/>
      <c r="J154" s="747"/>
      <c r="K154" s="747"/>
      <c r="L154" s="747"/>
      <c r="M154" s="747"/>
      <c r="N154" s="747"/>
      <c r="O154" s="747"/>
      <c r="P154" s="529"/>
      <c r="Q154" s="529"/>
      <c r="R154" s="529"/>
      <c r="S154" s="529"/>
      <c r="T154" s="529"/>
      <c r="U154" s="529"/>
      <c r="V154" s="513"/>
      <c r="W154" s="752" t="s">
        <v>409</v>
      </c>
      <c r="X154" s="752"/>
      <c r="Y154" s="752"/>
      <c r="Z154" s="752"/>
      <c r="AA154" s="752"/>
      <c r="AB154" s="529"/>
      <c r="AC154" s="224" t="s">
        <v>830</v>
      </c>
      <c r="AD154" s="224"/>
      <c r="AE154" s="224"/>
      <c r="AF154" s="753" t="s">
        <v>408</v>
      </c>
      <c r="AG154" s="754"/>
      <c r="AH154" s="754"/>
      <c r="AI154" s="754"/>
      <c r="AJ154" s="755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699"/>
      <c r="C156" s="699"/>
      <c r="D156" s="519"/>
      <c r="E156" s="734"/>
      <c r="F156" s="734"/>
      <c r="G156" s="519"/>
      <c r="H156" s="734"/>
      <c r="I156" s="734"/>
      <c r="J156" s="519"/>
      <c r="K156" s="734"/>
      <c r="L156" s="734"/>
      <c r="M156" s="519"/>
      <c r="N156" s="734"/>
      <c r="O156" s="734"/>
      <c r="P156" s="519"/>
      <c r="Q156" s="734"/>
      <c r="R156" s="734"/>
      <c r="S156" s="519"/>
      <c r="T156" s="734"/>
      <c r="U156" s="734"/>
      <c r="V156" s="519"/>
      <c r="W156" s="734"/>
      <c r="X156" s="734"/>
      <c r="Y156" s="519"/>
      <c r="Z156" s="699"/>
      <c r="AA156" s="699"/>
      <c r="AB156" s="519"/>
      <c r="AC156" s="699"/>
      <c r="AD156" s="699"/>
      <c r="AE156" s="700"/>
      <c r="AF156" s="700"/>
      <c r="AG156" s="700"/>
      <c r="AH156" s="700"/>
      <c r="AI156" s="710"/>
      <c r="AJ156" s="710"/>
      <c r="AL156" s="710"/>
      <c r="AM156" s="710"/>
      <c r="AO156" s="710"/>
      <c r="AP156" s="710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35" t="s">
        <v>397</v>
      </c>
      <c r="R157" s="736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3" t="s">
        <v>396</v>
      </c>
      <c r="AD157" s="744"/>
      <c r="AE157" s="513"/>
      <c r="AF157" s="11"/>
      <c r="AG157" s="12"/>
      <c r="AH157" s="510"/>
      <c r="AI157" s="11"/>
      <c r="AJ157" s="12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37"/>
      <c r="R158" s="738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45"/>
      <c r="AD158" s="746"/>
      <c r="AE158" s="519"/>
      <c r="AF158" s="15"/>
      <c r="AG158" s="15"/>
      <c r="AH158" s="510"/>
      <c r="AI158" s="15"/>
      <c r="AJ158" s="15"/>
      <c r="AL158" s="15"/>
      <c r="AM158" s="15"/>
      <c r="AO158" s="15"/>
      <c r="AP158" s="15"/>
      <c r="AQ158" s="542"/>
      <c r="AR158" s="542"/>
      <c r="AS158" s="510"/>
      <c r="AT158" s="212"/>
      <c r="AV158" s="2">
        <v>4</v>
      </c>
      <c r="AW158" s="2">
        <v>3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698" t="s">
        <v>238</v>
      </c>
      <c r="C159" s="699"/>
      <c r="D159" s="513">
        <v>410</v>
      </c>
      <c r="E159" s="713" t="s">
        <v>35</v>
      </c>
      <c r="F159" s="711"/>
      <c r="G159" s="315">
        <v>414</v>
      </c>
      <c r="H159" s="711" t="s">
        <v>33</v>
      </c>
      <c r="I159" s="711"/>
      <c r="J159" s="315">
        <v>407</v>
      </c>
      <c r="K159" s="713" t="s">
        <v>31</v>
      </c>
      <c r="L159" s="711"/>
      <c r="M159" s="315">
        <v>421.88400000000001</v>
      </c>
      <c r="N159" s="713" t="s">
        <v>234</v>
      </c>
      <c r="O159" s="711"/>
      <c r="P159" s="315">
        <v>532.19200000000001</v>
      </c>
      <c r="Q159" s="713" t="s">
        <v>164</v>
      </c>
      <c r="R159" s="711"/>
      <c r="S159" s="513">
        <v>415</v>
      </c>
      <c r="T159" s="716" t="s">
        <v>20</v>
      </c>
      <c r="U159" s="711"/>
      <c r="V159" s="362">
        <v>350</v>
      </c>
      <c r="W159" s="716" t="s">
        <v>2013</v>
      </c>
      <c r="X159" s="711"/>
      <c r="Y159" s="362">
        <v>249.01300000000001</v>
      </c>
      <c r="Z159" s="698" t="s">
        <v>156</v>
      </c>
      <c r="AA159" s="699"/>
      <c r="AB159" s="362">
        <v>351</v>
      </c>
      <c r="AC159" s="698" t="s">
        <v>16</v>
      </c>
      <c r="AD159" s="698"/>
      <c r="AE159" s="362">
        <v>307.26100000000002</v>
      </c>
      <c r="AF159" s="698" t="s">
        <v>314</v>
      </c>
      <c r="AG159" s="699"/>
      <c r="AH159" s="362">
        <v>250.55699999999999</v>
      </c>
      <c r="AI159" s="748" t="s">
        <v>148</v>
      </c>
      <c r="AJ159" s="710"/>
      <c r="AK159" s="362">
        <v>423</v>
      </c>
      <c r="AL159" s="710" t="s">
        <v>23</v>
      </c>
      <c r="AM159" s="710"/>
      <c r="AN159" s="362">
        <v>339</v>
      </c>
      <c r="AO159" s="710" t="s">
        <v>23</v>
      </c>
      <c r="AP159" s="710"/>
      <c r="AQ159" s="10">
        <v>340</v>
      </c>
      <c r="AR159" s="10"/>
      <c r="AS159" s="510"/>
      <c r="AT159" s="212"/>
    </row>
    <row r="160" spans="1:53" x14ac:dyDescent="0.35">
      <c r="A160" s="5"/>
      <c r="B160" s="699" t="s">
        <v>303</v>
      </c>
      <c r="C160" s="699"/>
      <c r="D160" s="519"/>
      <c r="E160" s="699" t="s">
        <v>304</v>
      </c>
      <c r="F160" s="699"/>
      <c r="G160" s="519"/>
      <c r="H160" s="699" t="s">
        <v>305</v>
      </c>
      <c r="I160" s="699"/>
      <c r="J160" s="519"/>
      <c r="K160" s="699" t="s">
        <v>306</v>
      </c>
      <c r="L160" s="699"/>
      <c r="M160" s="519"/>
      <c r="N160" s="699" t="s">
        <v>307</v>
      </c>
      <c r="O160" s="699"/>
      <c r="P160" s="519"/>
      <c r="Q160" s="699" t="s">
        <v>308</v>
      </c>
      <c r="R160" s="699"/>
      <c r="S160" s="519"/>
      <c r="T160" s="699" t="s">
        <v>309</v>
      </c>
      <c r="U160" s="699"/>
      <c r="V160" s="519"/>
      <c r="W160" s="699" t="s">
        <v>310</v>
      </c>
      <c r="X160" s="699"/>
      <c r="Y160" s="519"/>
      <c r="Z160" s="699" t="s">
        <v>311</v>
      </c>
      <c r="AA160" s="699"/>
      <c r="AB160" s="519"/>
      <c r="AC160" s="699" t="s">
        <v>312</v>
      </c>
      <c r="AD160" s="699"/>
      <c r="AE160" s="519"/>
      <c r="AF160" s="699" t="s">
        <v>313</v>
      </c>
      <c r="AG160" s="699"/>
      <c r="AI160" s="699" t="s">
        <v>315</v>
      </c>
      <c r="AJ160" s="699"/>
      <c r="AL160" s="699" t="s">
        <v>316</v>
      </c>
      <c r="AM160" s="699"/>
      <c r="AO160" s="699" t="s">
        <v>317</v>
      </c>
      <c r="AP160" s="699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2" t="s">
        <v>403</v>
      </c>
      <c r="X162" s="752"/>
      <c r="Y162" s="752"/>
      <c r="Z162" s="752"/>
      <c r="AA162" s="752"/>
      <c r="AB162" s="752"/>
      <c r="AC162" s="752"/>
      <c r="AD162" s="752"/>
      <c r="AE162" s="519"/>
      <c r="AF162" s="542"/>
      <c r="AG162" s="529"/>
      <c r="AH162" s="756"/>
      <c r="AI162" s="756"/>
      <c r="AJ162" s="756"/>
      <c r="AK162" s="756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699"/>
      <c r="C164" s="699"/>
      <c r="D164" s="519"/>
      <c r="E164" s="734"/>
      <c r="F164" s="734"/>
      <c r="G164" s="519"/>
      <c r="H164" s="734"/>
      <c r="I164" s="734"/>
      <c r="J164" s="519"/>
      <c r="K164" s="734"/>
      <c r="L164" s="734"/>
      <c r="M164" s="519"/>
      <c r="N164" s="734"/>
      <c r="O164" s="734"/>
      <c r="P164" s="519"/>
      <c r="Q164" s="734"/>
      <c r="R164" s="734"/>
      <c r="S164" s="519"/>
      <c r="T164" s="734"/>
      <c r="U164" s="734"/>
      <c r="V164" s="519"/>
      <c r="W164" s="734"/>
      <c r="X164" s="734"/>
      <c r="Y164" s="519"/>
      <c r="Z164" s="699"/>
      <c r="AA164" s="699"/>
      <c r="AB164" s="519"/>
      <c r="AC164" s="699"/>
      <c r="AD164" s="699"/>
      <c r="AE164" s="700"/>
      <c r="AF164" s="700"/>
      <c r="AG164" s="700"/>
      <c r="AH164" s="700"/>
      <c r="AI164" s="710"/>
      <c r="AJ164" s="710"/>
      <c r="AL164" s="710"/>
      <c r="AM164" s="710"/>
      <c r="AO164" s="710"/>
      <c r="AP164" s="710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39" t="s">
        <v>396</v>
      </c>
      <c r="X165" s="740"/>
      <c r="Y165" s="513"/>
      <c r="Z165" s="11"/>
      <c r="AA165" s="12"/>
      <c r="AB165" s="529"/>
      <c r="AC165" s="743" t="s">
        <v>396</v>
      </c>
      <c r="AD165" s="744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35" t="s">
        <v>397</v>
      </c>
      <c r="AP165" s="736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1"/>
      <c r="X166" s="742"/>
      <c r="Y166" s="519"/>
      <c r="Z166" s="15"/>
      <c r="AA166" s="15"/>
      <c r="AB166" s="534"/>
      <c r="AC166" s="745"/>
      <c r="AD166" s="746"/>
      <c r="AE166" s="519"/>
      <c r="AF166" s="15"/>
      <c r="AG166" s="15"/>
      <c r="AH166" s="510"/>
      <c r="AI166" s="15"/>
      <c r="AJ166" s="15"/>
      <c r="AL166" s="15"/>
      <c r="AM166" s="15"/>
      <c r="AO166" s="737"/>
      <c r="AP166" s="738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0" t="s">
        <v>23</v>
      </c>
      <c r="C167" s="710"/>
      <c r="D167" s="362">
        <v>339.06099999999998</v>
      </c>
      <c r="E167" s="713" t="s">
        <v>115</v>
      </c>
      <c r="F167" s="711"/>
      <c r="G167" s="513">
        <v>383</v>
      </c>
      <c r="H167" s="711" t="s">
        <v>16</v>
      </c>
      <c r="I167" s="711"/>
      <c r="J167" s="513">
        <v>400</v>
      </c>
      <c r="K167" s="713" t="s">
        <v>40</v>
      </c>
      <c r="L167" s="711"/>
      <c r="M167" s="513">
        <v>386</v>
      </c>
      <c r="N167" s="713" t="s">
        <v>14</v>
      </c>
      <c r="O167" s="711"/>
      <c r="P167" s="513">
        <v>393</v>
      </c>
      <c r="Q167" s="713" t="s">
        <v>31</v>
      </c>
      <c r="R167" s="711"/>
      <c r="S167" s="513">
        <v>422</v>
      </c>
      <c r="T167" s="716" t="s">
        <v>16</v>
      </c>
      <c r="U167" s="711"/>
      <c r="V167" s="513">
        <v>408</v>
      </c>
      <c r="W167" s="716" t="s">
        <v>14</v>
      </c>
      <c r="X167" s="711"/>
      <c r="Y167" s="519">
        <v>370</v>
      </c>
      <c r="Z167" s="698" t="s">
        <v>23</v>
      </c>
      <c r="AA167" s="699"/>
      <c r="AB167" s="362">
        <v>345</v>
      </c>
      <c r="AC167" s="713" t="s">
        <v>31</v>
      </c>
      <c r="AD167" s="711"/>
      <c r="AE167" s="362">
        <v>352</v>
      </c>
      <c r="AF167" s="698" t="s">
        <v>23</v>
      </c>
      <c r="AG167" s="699"/>
      <c r="AH167" s="510">
        <v>440</v>
      </c>
      <c r="AI167" s="703" t="s">
        <v>35</v>
      </c>
      <c r="AJ167" s="699"/>
      <c r="AK167" s="6">
        <v>380</v>
      </c>
      <c r="AL167" s="698" t="s">
        <v>23</v>
      </c>
      <c r="AM167" s="699"/>
      <c r="AN167" s="6">
        <v>416</v>
      </c>
      <c r="AO167" s="710" t="s">
        <v>20</v>
      </c>
      <c r="AP167" s="710"/>
      <c r="AQ167" s="516">
        <v>406</v>
      </c>
      <c r="AR167" s="10"/>
      <c r="AS167" s="510"/>
      <c r="AT167" s="212"/>
    </row>
    <row r="168" spans="1:53" x14ac:dyDescent="0.35">
      <c r="A168" s="5"/>
      <c r="B168" s="699" t="s">
        <v>318</v>
      </c>
      <c r="C168" s="699"/>
      <c r="D168" s="519"/>
      <c r="E168" s="699" t="s">
        <v>319</v>
      </c>
      <c r="F168" s="699"/>
      <c r="G168" s="519"/>
      <c r="H168" s="699" t="s">
        <v>320</v>
      </c>
      <c r="I168" s="699"/>
      <c r="J168" s="519"/>
      <c r="K168" s="699" t="s">
        <v>321</v>
      </c>
      <c r="L168" s="699"/>
      <c r="M168" s="519"/>
      <c r="N168" s="699" t="s">
        <v>322</v>
      </c>
      <c r="O168" s="699"/>
      <c r="P168" s="519"/>
      <c r="Q168" s="699" t="s">
        <v>323</v>
      </c>
      <c r="R168" s="699"/>
      <c r="S168" s="519"/>
      <c r="T168" s="699" t="s">
        <v>324</v>
      </c>
      <c r="U168" s="699"/>
      <c r="V168" s="519"/>
      <c r="W168" s="699" t="s">
        <v>325</v>
      </c>
      <c r="X168" s="699"/>
      <c r="Y168" s="519"/>
      <c r="Z168" s="699" t="s">
        <v>326</v>
      </c>
      <c r="AA168" s="699"/>
      <c r="AB168" s="519"/>
      <c r="AC168" s="699" t="s">
        <v>327</v>
      </c>
      <c r="AD168" s="699"/>
      <c r="AE168" s="519"/>
      <c r="AF168" s="699" t="s">
        <v>328</v>
      </c>
      <c r="AG168" s="699"/>
      <c r="AI168" s="699" t="s">
        <v>329</v>
      </c>
      <c r="AJ168" s="699"/>
      <c r="AL168" s="699" t="s">
        <v>330</v>
      </c>
      <c r="AM168" s="699"/>
      <c r="AO168" s="699" t="s">
        <v>331</v>
      </c>
      <c r="AP168" s="699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0"/>
      <c r="L170" s="750"/>
      <c r="M170" s="750"/>
      <c r="N170" s="750"/>
      <c r="O170" s="750"/>
      <c r="P170" s="750"/>
      <c r="Q170" s="750"/>
      <c r="R170" s="750"/>
      <c r="S170" s="513"/>
      <c r="T170" s="543"/>
      <c r="U170" s="544"/>
      <c r="V170" s="757" t="s">
        <v>403</v>
      </c>
      <c r="W170" s="757"/>
      <c r="X170" s="757"/>
      <c r="Y170" s="757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699"/>
      <c r="C172" s="699"/>
      <c r="D172" s="519"/>
      <c r="E172" s="734"/>
      <c r="F172" s="734"/>
      <c r="G172" s="519"/>
      <c r="H172" s="734"/>
      <c r="I172" s="734"/>
      <c r="J172" s="519"/>
      <c r="K172" s="734"/>
      <c r="L172" s="734"/>
      <c r="M172" s="519"/>
      <c r="N172" s="734"/>
      <c r="O172" s="734"/>
      <c r="P172" s="519"/>
      <c r="Q172" s="734"/>
      <c r="R172" s="734"/>
      <c r="S172" s="519"/>
      <c r="T172" s="734"/>
      <c r="U172" s="734"/>
      <c r="V172" s="519"/>
      <c r="W172" s="734"/>
      <c r="X172" s="734"/>
      <c r="Y172" s="519"/>
      <c r="Z172" s="699"/>
      <c r="AA172" s="699"/>
      <c r="AB172" s="519"/>
      <c r="AC172" s="699"/>
      <c r="AD172" s="699"/>
      <c r="AE172" s="700"/>
      <c r="AF172" s="700"/>
      <c r="AG172" s="700"/>
      <c r="AH172" s="700"/>
      <c r="AI172" s="710"/>
      <c r="AJ172" s="710"/>
      <c r="AL172" s="710"/>
      <c r="AM172" s="710"/>
      <c r="AO172" s="710"/>
      <c r="AP172" s="710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35" t="s">
        <v>397</v>
      </c>
      <c r="I173" s="736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35" t="s">
        <v>397</v>
      </c>
      <c r="AP173" s="736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37"/>
      <c r="I174" s="738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37"/>
      <c r="AP174" s="738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11" t="s">
        <v>16</v>
      </c>
      <c r="C175" s="711"/>
      <c r="D175" s="513">
        <v>433</v>
      </c>
      <c r="E175" s="713" t="s">
        <v>28</v>
      </c>
      <c r="F175" s="711"/>
      <c r="G175" s="362">
        <v>353.24799999999999</v>
      </c>
      <c r="H175" s="711" t="s">
        <v>16</v>
      </c>
      <c r="I175" s="711"/>
      <c r="J175" s="362">
        <v>407</v>
      </c>
      <c r="K175" s="713" t="s">
        <v>14</v>
      </c>
      <c r="L175" s="711"/>
      <c r="M175" s="362">
        <v>416</v>
      </c>
      <c r="N175" s="713" t="s">
        <v>16</v>
      </c>
      <c r="O175" s="711"/>
      <c r="P175" s="513">
        <v>373</v>
      </c>
      <c r="Q175" s="713" t="s">
        <v>23</v>
      </c>
      <c r="R175" s="711"/>
      <c r="S175" s="513">
        <v>389</v>
      </c>
      <c r="T175" s="716" t="s">
        <v>33</v>
      </c>
      <c r="U175" s="711"/>
      <c r="V175" s="513">
        <v>399</v>
      </c>
      <c r="W175" s="716" t="s">
        <v>14</v>
      </c>
      <c r="X175" s="711"/>
      <c r="Y175" s="519">
        <v>412</v>
      </c>
      <c r="Z175" s="698" t="s">
        <v>16</v>
      </c>
      <c r="AA175" s="699"/>
      <c r="AB175" s="534">
        <v>418</v>
      </c>
      <c r="AC175" s="698" t="s">
        <v>23</v>
      </c>
      <c r="AD175" s="698"/>
      <c r="AE175" s="519">
        <v>394</v>
      </c>
      <c r="AF175" s="698" t="s">
        <v>236</v>
      </c>
      <c r="AG175" s="699"/>
      <c r="AH175" s="510">
        <v>399</v>
      </c>
      <c r="AI175" s="748" t="s">
        <v>23</v>
      </c>
      <c r="AJ175" s="710"/>
      <c r="AK175" s="362">
        <v>348</v>
      </c>
      <c r="AL175" s="748" t="s">
        <v>23</v>
      </c>
      <c r="AM175" s="710"/>
      <c r="AN175" s="6">
        <v>358</v>
      </c>
      <c r="AO175" s="710" t="s">
        <v>20</v>
      </c>
      <c r="AP175" s="710"/>
      <c r="AQ175" s="10">
        <v>478</v>
      </c>
      <c r="AR175" s="10"/>
      <c r="AS175" s="510"/>
      <c r="AT175" s="212"/>
    </row>
    <row r="176" spans="1:53" x14ac:dyDescent="0.35">
      <c r="A176" s="5"/>
      <c r="B176" s="699" t="s">
        <v>332</v>
      </c>
      <c r="C176" s="699"/>
      <c r="D176" s="519"/>
      <c r="E176" s="699" t="s">
        <v>333</v>
      </c>
      <c r="F176" s="699"/>
      <c r="G176" s="519"/>
      <c r="H176" s="699" t="s">
        <v>334</v>
      </c>
      <c r="I176" s="699"/>
      <c r="J176" s="519"/>
      <c r="K176" s="699" t="s">
        <v>335</v>
      </c>
      <c r="L176" s="699"/>
      <c r="M176" s="519"/>
      <c r="N176" s="699" t="s">
        <v>336</v>
      </c>
      <c r="O176" s="699"/>
      <c r="P176" s="519"/>
      <c r="Q176" s="699" t="s">
        <v>337</v>
      </c>
      <c r="R176" s="699"/>
      <c r="S176" s="519"/>
      <c r="T176" s="699" t="s">
        <v>338</v>
      </c>
      <c r="U176" s="699"/>
      <c r="V176" s="519"/>
      <c r="W176" s="699" t="s">
        <v>339</v>
      </c>
      <c r="X176" s="699"/>
      <c r="Y176" s="519"/>
      <c r="Z176" s="699" t="s">
        <v>340</v>
      </c>
      <c r="AA176" s="699"/>
      <c r="AB176" s="519"/>
      <c r="AC176" s="699" t="s">
        <v>341</v>
      </c>
      <c r="AD176" s="699"/>
      <c r="AE176" s="519"/>
      <c r="AF176" s="699" t="s">
        <v>342</v>
      </c>
      <c r="AG176" s="699"/>
      <c r="AI176" s="699" t="s">
        <v>343</v>
      </c>
      <c r="AJ176" s="699"/>
      <c r="AL176" s="699" t="s">
        <v>344</v>
      </c>
      <c r="AM176" s="699"/>
      <c r="AO176" s="699" t="s">
        <v>345</v>
      </c>
      <c r="AP176" s="699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58" t="s">
        <v>403</v>
      </c>
      <c r="B178" s="747"/>
      <c r="C178" s="747"/>
      <c r="D178" s="747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699"/>
      <c r="C180" s="699"/>
      <c r="D180" s="519"/>
      <c r="E180" s="734"/>
      <c r="F180" s="734"/>
      <c r="G180" s="519"/>
      <c r="H180" s="734"/>
      <c r="I180" s="734"/>
      <c r="J180" s="519"/>
      <c r="K180" s="734"/>
      <c r="L180" s="734"/>
      <c r="M180" s="519"/>
      <c r="N180" s="734"/>
      <c r="O180" s="734"/>
      <c r="P180" s="519"/>
      <c r="Q180" s="734"/>
      <c r="R180" s="734"/>
      <c r="S180" s="519"/>
      <c r="T180" s="734"/>
      <c r="U180" s="734"/>
      <c r="V180" s="519"/>
      <c r="W180" s="734"/>
      <c r="X180" s="734"/>
      <c r="Y180" s="519"/>
      <c r="Z180" s="699"/>
      <c r="AA180" s="699"/>
      <c r="AB180" s="519"/>
      <c r="AC180" s="699"/>
      <c r="AD180" s="699"/>
      <c r="AE180" s="700"/>
      <c r="AF180" s="700"/>
      <c r="AG180" s="700"/>
      <c r="AH180" s="700"/>
      <c r="AI180" s="696"/>
      <c r="AJ180" s="696"/>
      <c r="AL180" s="696"/>
      <c r="AM180" s="696"/>
      <c r="AO180" s="696"/>
      <c r="AP180" s="696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698" t="s">
        <v>236</v>
      </c>
      <c r="C183" s="699"/>
      <c r="D183" s="513"/>
      <c r="E183" s="713"/>
      <c r="F183" s="711"/>
      <c r="G183" s="513"/>
      <c r="H183" s="711"/>
      <c r="I183" s="711"/>
      <c r="J183" s="513"/>
      <c r="K183" s="713"/>
      <c r="L183" s="711"/>
      <c r="M183" s="513"/>
      <c r="N183" s="713"/>
      <c r="O183" s="711"/>
      <c r="P183" s="513"/>
      <c r="Q183" s="713"/>
      <c r="R183" s="711"/>
      <c r="S183" s="513"/>
      <c r="T183" s="716"/>
      <c r="U183" s="711"/>
      <c r="V183" s="513"/>
      <c r="W183" s="716"/>
      <c r="X183" s="711"/>
      <c r="Y183" s="519"/>
      <c r="Z183" s="698"/>
      <c r="AA183" s="699"/>
      <c r="AB183" s="534"/>
      <c r="AC183" s="698"/>
      <c r="AD183" s="698"/>
      <c r="AE183" s="519"/>
      <c r="AF183" s="713"/>
      <c r="AG183" s="713"/>
      <c r="AH183" s="510"/>
      <c r="AI183" s="759"/>
      <c r="AJ183" s="759"/>
      <c r="AL183" s="760"/>
      <c r="AM183" s="760"/>
      <c r="AO183" s="710"/>
      <c r="AP183" s="710"/>
      <c r="AQ183" s="10"/>
      <c r="AR183" s="10"/>
      <c r="AS183" s="510"/>
      <c r="AT183" s="212"/>
    </row>
    <row r="184" spans="1:53" x14ac:dyDescent="0.35">
      <c r="A184" s="5"/>
      <c r="B184" s="699" t="s">
        <v>346</v>
      </c>
      <c r="C184" s="699"/>
      <c r="D184" s="519"/>
      <c r="E184" s="699"/>
      <c r="F184" s="699"/>
      <c r="G184" s="519"/>
      <c r="H184" s="699"/>
      <c r="I184" s="699"/>
      <c r="J184" s="519"/>
      <c r="K184" s="699"/>
      <c r="L184" s="699"/>
      <c r="M184" s="519"/>
      <c r="N184" s="699"/>
      <c r="O184" s="699"/>
      <c r="P184" s="519"/>
      <c r="Q184" s="699"/>
      <c r="R184" s="699"/>
      <c r="S184" s="519"/>
      <c r="T184" s="699"/>
      <c r="U184" s="699"/>
      <c r="V184" s="519"/>
      <c r="W184" s="703"/>
      <c r="X184" s="699"/>
      <c r="Y184" s="519"/>
      <c r="Z184" s="699"/>
      <c r="AA184" s="699"/>
      <c r="AB184" s="519"/>
      <c r="AC184" s="699"/>
      <c r="AD184" s="699"/>
      <c r="AE184" s="519"/>
      <c r="AF184" s="699"/>
      <c r="AG184" s="699"/>
      <c r="AI184" s="748"/>
      <c r="AJ184" s="710"/>
      <c r="AL184" s="710"/>
      <c r="AM184" s="710"/>
      <c r="AO184" s="710"/>
      <c r="AP184" s="710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1" t="s">
        <v>360</v>
      </c>
      <c r="C200" s="762"/>
      <c r="D200" s="763"/>
      <c r="E200" s="763"/>
      <c r="F200" s="763"/>
      <c r="G200" s="763"/>
      <c r="H200" s="763"/>
      <c r="I200" s="763"/>
      <c r="J200" s="763"/>
      <c r="K200" s="763"/>
      <c r="L200" s="764"/>
      <c r="M200" s="19"/>
      <c r="N200" s="765" t="s">
        <v>361</v>
      </c>
      <c r="O200" s="763"/>
      <c r="P200" s="763"/>
      <c r="Q200" s="763"/>
      <c r="R200" s="763"/>
      <c r="S200" s="763"/>
      <c r="T200" s="763"/>
      <c r="U200" s="763"/>
      <c r="V200" s="764"/>
      <c r="W200" s="766" t="s">
        <v>393</v>
      </c>
      <c r="X200" s="767"/>
      <c r="Y200" s="767"/>
      <c r="Z200" s="767"/>
      <c r="AA200" s="767"/>
      <c r="AB200" s="767"/>
      <c r="AC200" s="767"/>
      <c r="AD200" s="767"/>
      <c r="AE200" s="767"/>
      <c r="AF200" s="767"/>
      <c r="AG200" s="767"/>
      <c r="AH200" s="767"/>
      <c r="AI200" s="767"/>
      <c r="AJ200" s="767"/>
      <c r="AK200" s="767"/>
      <c r="AL200" s="767"/>
      <c r="AM200" s="768"/>
      <c r="AN200" s="772"/>
      <c r="AO200" s="772"/>
      <c r="AP200" s="772"/>
      <c r="AQ200" s="773"/>
      <c r="AR200" s="773"/>
      <c r="AS200" s="773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69"/>
      <c r="X201" s="770"/>
      <c r="Y201" s="770"/>
      <c r="Z201" s="770"/>
      <c r="AA201" s="770"/>
      <c r="AB201" s="770"/>
      <c r="AC201" s="770"/>
      <c r="AD201" s="770"/>
      <c r="AE201" s="770"/>
      <c r="AF201" s="770"/>
      <c r="AG201" s="770"/>
      <c r="AH201" s="770"/>
      <c r="AI201" s="770"/>
      <c r="AJ201" s="770"/>
      <c r="AK201" s="770"/>
      <c r="AL201" s="770"/>
      <c r="AM201" s="771"/>
      <c r="AN201" s="774"/>
      <c r="AO201" s="774"/>
      <c r="AP201" s="774"/>
      <c r="AQ201" s="775"/>
      <c r="AR201" s="775"/>
      <c r="AS201" s="775"/>
      <c r="AT201" s="217"/>
    </row>
    <row r="202" spans="1:52" x14ac:dyDescent="0.35">
      <c r="A202" s="5"/>
      <c r="B202" s="779" t="s">
        <v>3</v>
      </c>
      <c r="C202" s="780"/>
      <c r="D202" s="781"/>
      <c r="F202" s="782" t="s">
        <v>362</v>
      </c>
      <c r="G202" s="782"/>
      <c r="I202" s="783" t="s">
        <v>363</v>
      </c>
      <c r="J202" s="783"/>
      <c r="N202" s="784" t="s">
        <v>364</v>
      </c>
      <c r="O202" s="784"/>
      <c r="P202" s="730"/>
      <c r="R202" s="785" t="s">
        <v>365</v>
      </c>
      <c r="S202" s="786"/>
      <c r="T202" s="797"/>
      <c r="U202" s="798"/>
      <c r="V202" s="21"/>
      <c r="W202" s="803" t="s">
        <v>4</v>
      </c>
      <c r="X202" s="804"/>
      <c r="Y202" s="795" t="s">
        <v>366</v>
      </c>
      <c r="Z202" s="795"/>
      <c r="AA202" s="795"/>
      <c r="AB202" s="795"/>
      <c r="AC202" s="795" t="s">
        <v>367</v>
      </c>
      <c r="AD202" s="795"/>
      <c r="AE202" s="795" t="s">
        <v>368</v>
      </c>
      <c r="AF202" s="795"/>
      <c r="AG202" s="795"/>
      <c r="AH202" s="795" t="s">
        <v>369</v>
      </c>
      <c r="AI202" s="795"/>
      <c r="AJ202" s="795"/>
      <c r="AK202" s="795" t="s">
        <v>370</v>
      </c>
      <c r="AL202" s="795"/>
      <c r="AM202" s="795"/>
      <c r="AN202" s="795" t="s">
        <v>371</v>
      </c>
      <c r="AO202" s="795"/>
      <c r="AP202" s="795"/>
      <c r="AQ202" s="796"/>
      <c r="AR202" s="796"/>
      <c r="AS202" s="796"/>
      <c r="AT202" s="213"/>
    </row>
    <row r="203" spans="1:52" x14ac:dyDescent="0.35">
      <c r="A203" s="5"/>
      <c r="B203" s="5"/>
      <c r="N203" s="784"/>
      <c r="O203" s="784"/>
      <c r="P203" s="730"/>
      <c r="R203" s="787"/>
      <c r="S203" s="788"/>
      <c r="T203" s="799"/>
      <c r="U203" s="800"/>
      <c r="V203" s="21"/>
      <c r="W203" s="758">
        <v>1</v>
      </c>
      <c r="X203" s="747"/>
      <c r="Y203" s="778" t="s">
        <v>372</v>
      </c>
      <c r="Z203" s="778"/>
      <c r="AA203" s="778"/>
      <c r="AB203" s="778"/>
      <c r="AC203" s="776" t="s">
        <v>373</v>
      </c>
      <c r="AD203" s="776"/>
      <c r="AE203" s="794">
        <f>SUMMARY!D14</f>
        <v>119.178</v>
      </c>
      <c r="AF203" s="794"/>
      <c r="AG203" s="794"/>
      <c r="AH203" s="794">
        <f>SUMMARY!F14</f>
        <v>119.178</v>
      </c>
      <c r="AI203" s="794"/>
      <c r="AJ203" s="794"/>
      <c r="AK203" s="757">
        <f t="shared" ref="AK203:AK210" si="1">AE203-AH203</f>
        <v>0</v>
      </c>
      <c r="AL203" s="757"/>
      <c r="AM203" s="757"/>
      <c r="AN203" s="776"/>
      <c r="AO203" s="776"/>
      <c r="AP203" s="776"/>
      <c r="AQ203" s="777"/>
      <c r="AR203" s="777"/>
      <c r="AS203" s="777"/>
      <c r="AT203" s="213"/>
    </row>
    <row r="204" spans="1:52" x14ac:dyDescent="0.35">
      <c r="A204" s="5"/>
      <c r="B204" s="791" t="s">
        <v>2</v>
      </c>
      <c r="C204" s="792"/>
      <c r="D204" s="793"/>
      <c r="N204" s="784" t="s">
        <v>374</v>
      </c>
      <c r="O204" s="784"/>
      <c r="P204" s="730"/>
      <c r="R204" s="787"/>
      <c r="S204" s="788"/>
      <c r="T204" s="799"/>
      <c r="U204" s="800"/>
      <c r="V204" s="21"/>
      <c r="W204" s="758">
        <v>2</v>
      </c>
      <c r="X204" s="747"/>
      <c r="Y204" s="778" t="s">
        <v>375</v>
      </c>
      <c r="Z204" s="778"/>
      <c r="AA204" s="778"/>
      <c r="AB204" s="778"/>
      <c r="AC204" s="776" t="s">
        <v>373</v>
      </c>
      <c r="AD204" s="776"/>
      <c r="AE204" s="794">
        <f>SUMMARY!D15</f>
        <v>119.178</v>
      </c>
      <c r="AF204" s="794"/>
      <c r="AG204" s="794"/>
      <c r="AH204" s="794">
        <v>118.387</v>
      </c>
      <c r="AI204" s="794"/>
      <c r="AJ204" s="794"/>
      <c r="AK204" s="757">
        <f t="shared" si="1"/>
        <v>0.79099999999999682</v>
      </c>
      <c r="AL204" s="757"/>
      <c r="AM204" s="757"/>
      <c r="AN204" s="776"/>
      <c r="AO204" s="776"/>
      <c r="AP204" s="776"/>
      <c r="AQ204" s="777"/>
      <c r="AR204" s="777"/>
      <c r="AS204" s="777"/>
      <c r="AT204" s="213"/>
    </row>
    <row r="205" spans="1:52" x14ac:dyDescent="0.35">
      <c r="A205" s="5"/>
      <c r="B205" s="5"/>
      <c r="F205" s="6"/>
      <c r="G205"/>
      <c r="N205" s="784"/>
      <c r="O205" s="784"/>
      <c r="P205" s="730"/>
      <c r="R205" s="789"/>
      <c r="S205" s="790"/>
      <c r="T205" s="801"/>
      <c r="U205" s="802"/>
      <c r="V205" s="21"/>
      <c r="W205" s="758">
        <v>3</v>
      </c>
      <c r="X205" s="747"/>
      <c r="Y205" s="778" t="s">
        <v>0</v>
      </c>
      <c r="Z205" s="778"/>
      <c r="AA205" s="778"/>
      <c r="AB205" s="778"/>
      <c r="AC205" s="776" t="s">
        <v>376</v>
      </c>
      <c r="AD205" s="776"/>
      <c r="AE205" s="776">
        <v>309</v>
      </c>
      <c r="AF205" s="776"/>
      <c r="AG205" s="776"/>
      <c r="AH205" s="776">
        <f>I217</f>
        <v>273</v>
      </c>
      <c r="AI205" s="776"/>
      <c r="AJ205" s="776"/>
      <c r="AK205" s="776">
        <f>AE205-AH205</f>
        <v>36</v>
      </c>
      <c r="AL205" s="776"/>
      <c r="AM205" s="776"/>
      <c r="AN205" s="776"/>
      <c r="AO205" s="776"/>
      <c r="AP205" s="776"/>
      <c r="AQ205" s="777"/>
      <c r="AR205" s="777"/>
      <c r="AS205" s="777"/>
      <c r="AT205" s="213"/>
    </row>
    <row r="206" spans="1:52" x14ac:dyDescent="0.35">
      <c r="A206" s="5"/>
      <c r="B206" s="5"/>
      <c r="E206" s="696"/>
      <c r="F206" s="696"/>
      <c r="H206" s="697"/>
      <c r="I206" s="697"/>
      <c r="K206" s="696"/>
      <c r="L206" s="696"/>
      <c r="N206" s="784" t="s">
        <v>377</v>
      </c>
      <c r="O206" s="784"/>
      <c r="P206" s="730"/>
      <c r="R206" s="785" t="s">
        <v>378</v>
      </c>
      <c r="S206" s="786"/>
      <c r="T206" s="797"/>
      <c r="U206" s="798"/>
      <c r="V206" s="21"/>
      <c r="W206" s="758">
        <v>4</v>
      </c>
      <c r="X206" s="747"/>
      <c r="Y206" s="778" t="s">
        <v>1</v>
      </c>
      <c r="Z206" s="778"/>
      <c r="AA206" s="778"/>
      <c r="AB206" s="778"/>
      <c r="AC206" s="776" t="s">
        <v>376</v>
      </c>
      <c r="AD206" s="776"/>
      <c r="AE206" s="776">
        <v>309</v>
      </c>
      <c r="AF206" s="776"/>
      <c r="AG206" s="776"/>
      <c r="AH206" s="776">
        <f>J217</f>
        <v>249</v>
      </c>
      <c r="AI206" s="776"/>
      <c r="AJ206" s="776"/>
      <c r="AK206" s="776">
        <f t="shared" si="1"/>
        <v>60</v>
      </c>
      <c r="AL206" s="776"/>
      <c r="AM206" s="776"/>
      <c r="AN206" s="776"/>
      <c r="AO206" s="776"/>
      <c r="AP206" s="776"/>
      <c r="AQ206" s="777"/>
      <c r="AR206" s="777"/>
      <c r="AS206" s="777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84"/>
      <c r="O207" s="784"/>
      <c r="P207" s="730"/>
      <c r="R207" s="787"/>
      <c r="S207" s="788"/>
      <c r="T207" s="799"/>
      <c r="U207" s="800"/>
      <c r="V207" s="21"/>
      <c r="W207" s="758">
        <v>5</v>
      </c>
      <c r="X207" s="747"/>
      <c r="Y207" s="778" t="s">
        <v>2</v>
      </c>
      <c r="Z207" s="778"/>
      <c r="AA207" s="778"/>
      <c r="AB207" s="778"/>
      <c r="AC207" s="776" t="s">
        <v>376</v>
      </c>
      <c r="AD207" s="776"/>
      <c r="AE207" s="776">
        <v>309</v>
      </c>
      <c r="AF207" s="776"/>
      <c r="AG207" s="776"/>
      <c r="AH207" s="776">
        <f>K217</f>
        <v>217</v>
      </c>
      <c r="AI207" s="776"/>
      <c r="AJ207" s="776"/>
      <c r="AK207" s="776">
        <f t="shared" si="1"/>
        <v>92</v>
      </c>
      <c r="AL207" s="776"/>
      <c r="AM207" s="776"/>
      <c r="AN207" s="776"/>
      <c r="AO207" s="776"/>
      <c r="AP207" s="776"/>
      <c r="AQ207" s="777"/>
      <c r="AR207" s="777"/>
      <c r="AS207" s="777"/>
      <c r="AT207" s="213"/>
    </row>
    <row r="208" spans="1:52" x14ac:dyDescent="0.35">
      <c r="A208" s="5"/>
      <c r="B208" s="809" t="s">
        <v>0</v>
      </c>
      <c r="C208" s="810"/>
      <c r="D208" s="811"/>
      <c r="E208" s="11"/>
      <c r="F208" s="11"/>
      <c r="G208" s="508"/>
      <c r="H208" s="3"/>
      <c r="I208" s="3"/>
      <c r="K208" s="8"/>
      <c r="L208" s="3"/>
      <c r="M208" s="508"/>
      <c r="N208" s="784" t="s">
        <v>379</v>
      </c>
      <c r="O208" s="784"/>
      <c r="P208" s="730"/>
      <c r="R208" s="787"/>
      <c r="S208" s="788"/>
      <c r="T208" s="799"/>
      <c r="U208" s="800"/>
      <c r="V208" s="21"/>
      <c r="W208" s="758">
        <v>6</v>
      </c>
      <c r="X208" s="747"/>
      <c r="Y208" s="778" t="s">
        <v>380</v>
      </c>
      <c r="Z208" s="778"/>
      <c r="AA208" s="778"/>
      <c r="AB208" s="778"/>
      <c r="AC208" s="776" t="s">
        <v>376</v>
      </c>
      <c r="AD208" s="776"/>
      <c r="AE208" s="776">
        <v>309</v>
      </c>
      <c r="AF208" s="776"/>
      <c r="AG208" s="776"/>
      <c r="AH208" s="776">
        <f>AY3</f>
        <v>20</v>
      </c>
      <c r="AI208" s="776"/>
      <c r="AJ208" s="776"/>
      <c r="AK208" s="776">
        <f t="shared" si="1"/>
        <v>289</v>
      </c>
      <c r="AL208" s="776"/>
      <c r="AM208" s="776"/>
      <c r="AN208" s="776"/>
      <c r="AO208" s="776"/>
      <c r="AP208" s="776"/>
      <c r="AQ208" s="777"/>
      <c r="AR208" s="777"/>
      <c r="AS208" s="777"/>
      <c r="AT208" s="213"/>
    </row>
    <row r="209" spans="1:46" x14ac:dyDescent="0.35">
      <c r="A209" s="5"/>
      <c r="B209" s="22" t="s">
        <v>381</v>
      </c>
      <c r="C209" s="550"/>
      <c r="E209" s="760" t="s">
        <v>8</v>
      </c>
      <c r="F209" s="760"/>
      <c r="G209" s="526">
        <v>293</v>
      </c>
      <c r="H209" s="806" t="s">
        <v>354</v>
      </c>
      <c r="I209" s="760"/>
      <c r="J209" s="551">
        <v>391</v>
      </c>
      <c r="K209" s="807" t="s">
        <v>355</v>
      </c>
      <c r="L209" s="808"/>
      <c r="M209" s="508"/>
      <c r="N209" s="784"/>
      <c r="O209" s="784"/>
      <c r="P209" s="730"/>
      <c r="R209" s="789"/>
      <c r="S209" s="790"/>
      <c r="T209" s="801"/>
      <c r="U209" s="802"/>
      <c r="V209" s="21"/>
      <c r="W209" s="758">
        <v>7</v>
      </c>
      <c r="X209" s="747"/>
      <c r="Y209" s="778" t="s">
        <v>382</v>
      </c>
      <c r="Z209" s="778"/>
      <c r="AA209" s="778"/>
      <c r="AB209" s="778"/>
      <c r="AC209" s="776" t="s">
        <v>373</v>
      </c>
      <c r="AD209" s="776"/>
      <c r="AE209" s="757">
        <v>118.40600000000001</v>
      </c>
      <c r="AF209" s="776"/>
      <c r="AG209" s="776"/>
      <c r="AH209" s="757">
        <v>0</v>
      </c>
      <c r="AI209" s="757"/>
      <c r="AJ209" s="757"/>
      <c r="AK209" s="757">
        <f t="shared" si="1"/>
        <v>118.40600000000001</v>
      </c>
      <c r="AL209" s="757"/>
      <c r="AM209" s="757"/>
      <c r="AN209" s="778"/>
      <c r="AO209" s="778"/>
      <c r="AP209" s="778"/>
      <c r="AQ209" s="812"/>
      <c r="AR209" s="812"/>
      <c r="AS209" s="812"/>
      <c r="AT209" s="218"/>
    </row>
    <row r="210" spans="1:46" x14ac:dyDescent="0.35">
      <c r="A210" s="5"/>
      <c r="B210" s="22" t="s">
        <v>5</v>
      </c>
      <c r="C210" s="550"/>
      <c r="E210" s="710" t="s">
        <v>356</v>
      </c>
      <c r="F210" s="710"/>
      <c r="H210" s="710" t="s">
        <v>33</v>
      </c>
      <c r="I210" s="710"/>
      <c r="J210" s="551"/>
      <c r="K210" s="834" t="s">
        <v>357</v>
      </c>
      <c r="L210" s="835"/>
      <c r="M210" s="508"/>
      <c r="N210" s="784" t="s">
        <v>383</v>
      </c>
      <c r="O210" s="784"/>
      <c r="P210" s="730"/>
      <c r="R210" s="837"/>
      <c r="S210" s="837"/>
      <c r="T210" s="723"/>
      <c r="U210" s="723"/>
      <c r="V210" s="21"/>
      <c r="W210" s="758">
        <v>8</v>
      </c>
      <c r="X210" s="747"/>
      <c r="Y210" s="778" t="s">
        <v>384</v>
      </c>
      <c r="Z210" s="778"/>
      <c r="AA210" s="778"/>
      <c r="AB210" s="778"/>
      <c r="AC210" s="776" t="s">
        <v>373</v>
      </c>
      <c r="AD210" s="776"/>
      <c r="AE210" s="757">
        <v>118.40600000000001</v>
      </c>
      <c r="AF210" s="776"/>
      <c r="AG210" s="776"/>
      <c r="AH210" s="757">
        <v>0</v>
      </c>
      <c r="AI210" s="776"/>
      <c r="AJ210" s="776"/>
      <c r="AK210" s="776">
        <f t="shared" si="1"/>
        <v>118.40600000000001</v>
      </c>
      <c r="AL210" s="776"/>
      <c r="AM210" s="776"/>
      <c r="AN210" s="776"/>
      <c r="AO210" s="776"/>
      <c r="AP210" s="776"/>
      <c r="AQ210" s="777"/>
      <c r="AR210" s="777"/>
      <c r="AS210" s="777"/>
      <c r="AT210" s="213"/>
    </row>
    <row r="211" spans="1:46" ht="15" thickBot="1" x14ac:dyDescent="0.4">
      <c r="A211" s="24"/>
      <c r="B211" s="24"/>
      <c r="C211" s="25"/>
      <c r="D211" s="26"/>
      <c r="E211" s="25"/>
      <c r="F211" s="829" t="s">
        <v>1</v>
      </c>
      <c r="G211" s="829"/>
      <c r="H211" s="25"/>
      <c r="I211" s="25"/>
      <c r="J211" s="830" t="s">
        <v>385</v>
      </c>
      <c r="K211" s="830"/>
      <c r="L211" s="830"/>
      <c r="M211" s="26"/>
      <c r="N211" s="826"/>
      <c r="O211" s="826"/>
      <c r="P211" s="836"/>
      <c r="Q211" s="26"/>
      <c r="R211" s="838"/>
      <c r="S211" s="838"/>
      <c r="T211" s="805"/>
      <c r="U211" s="805"/>
      <c r="V211" s="27"/>
      <c r="W211" s="831">
        <v>9</v>
      </c>
      <c r="X211" s="832"/>
      <c r="Y211" s="833" t="s">
        <v>386</v>
      </c>
      <c r="Z211" s="833"/>
      <c r="AA211" s="833"/>
      <c r="AB211" s="833"/>
      <c r="AC211" s="823" t="s">
        <v>373</v>
      </c>
      <c r="AD211" s="823"/>
      <c r="AE211" s="822">
        <v>118.40600000000001</v>
      </c>
      <c r="AF211" s="823"/>
      <c r="AG211" s="823"/>
      <c r="AH211" s="822">
        <v>0</v>
      </c>
      <c r="AI211" s="823"/>
      <c r="AJ211" s="823"/>
      <c r="AK211" s="823">
        <v>118</v>
      </c>
      <c r="AL211" s="823"/>
      <c r="AM211" s="823"/>
      <c r="AN211" s="823"/>
      <c r="AO211" s="823"/>
      <c r="AP211" s="823"/>
      <c r="AQ211" s="824"/>
      <c r="AR211" s="824"/>
      <c r="AS211" s="824"/>
      <c r="AT211" s="552"/>
    </row>
    <row r="212" spans="1:46" x14ac:dyDescent="0.35">
      <c r="N212" s="825" t="s">
        <v>394</v>
      </c>
      <c r="O212" s="825"/>
      <c r="P212" s="827"/>
    </row>
    <row r="213" spans="1:46" ht="15" thickBot="1" x14ac:dyDescent="0.4">
      <c r="N213" s="826"/>
      <c r="O213" s="826"/>
      <c r="P213" s="730"/>
    </row>
    <row r="214" spans="1:46" x14ac:dyDescent="0.35">
      <c r="AH214" s="828"/>
      <c r="AI214" s="828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813" t="s">
        <v>2125</v>
      </c>
      <c r="AI216" s="814"/>
      <c r="AJ216" s="814"/>
      <c r="AK216" s="814"/>
      <c r="AL216" s="814"/>
      <c r="AM216" s="814"/>
      <c r="AN216" s="814"/>
      <c r="AO216" s="814"/>
      <c r="AP216" s="815"/>
      <c r="AQ216" s="298"/>
      <c r="AR216" s="298"/>
    </row>
    <row r="217" spans="1:46" x14ac:dyDescent="0.35">
      <c r="I217" s="8">
        <f>AV3</f>
        <v>273</v>
      </c>
      <c r="J217" s="8">
        <f>AW3</f>
        <v>249</v>
      </c>
      <c r="K217" s="8">
        <f>AX3</f>
        <v>217</v>
      </c>
      <c r="L217" s="8">
        <f>AY3</f>
        <v>20</v>
      </c>
      <c r="M217" s="8">
        <f t="shared" ref="M217:N217" si="2">SUM(M220:M396)</f>
        <v>0</v>
      </c>
      <c r="N217" s="8">
        <f t="shared" si="2"/>
        <v>0</v>
      </c>
      <c r="AH217" s="816"/>
      <c r="AI217" s="817"/>
      <c r="AJ217" s="817"/>
      <c r="AK217" s="817"/>
      <c r="AL217" s="817"/>
      <c r="AM217" s="817"/>
      <c r="AN217" s="817"/>
      <c r="AO217" s="817"/>
      <c r="AP217" s="818"/>
      <c r="AQ217" s="298"/>
      <c r="AR217" s="298"/>
    </row>
    <row r="218" spans="1:46" x14ac:dyDescent="0.35">
      <c r="AH218" s="816"/>
      <c r="AI218" s="817"/>
      <c r="AJ218" s="817"/>
      <c r="AK218" s="817"/>
      <c r="AL218" s="817"/>
      <c r="AM218" s="817"/>
      <c r="AN218" s="817"/>
      <c r="AO218" s="817"/>
      <c r="AP218" s="818"/>
      <c r="AQ218" s="298"/>
      <c r="AR218" s="298"/>
    </row>
    <row r="219" spans="1:46" x14ac:dyDescent="0.35">
      <c r="AH219" s="816"/>
      <c r="AI219" s="817"/>
      <c r="AJ219" s="817"/>
      <c r="AK219" s="817"/>
      <c r="AL219" s="817"/>
      <c r="AM219" s="817"/>
      <c r="AN219" s="817"/>
      <c r="AO219" s="817"/>
      <c r="AP219" s="818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16"/>
      <c r="AI220" s="817"/>
      <c r="AJ220" s="817"/>
      <c r="AK220" s="817"/>
      <c r="AL220" s="817"/>
      <c r="AM220" s="817"/>
      <c r="AN220" s="817"/>
      <c r="AO220" s="817"/>
      <c r="AP220" s="818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16"/>
      <c r="AI221" s="817"/>
      <c r="AJ221" s="817"/>
      <c r="AK221" s="817"/>
      <c r="AL221" s="817"/>
      <c r="AM221" s="817"/>
      <c r="AN221" s="817"/>
      <c r="AO221" s="817"/>
      <c r="AP221" s="818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19"/>
      <c r="AI222" s="820"/>
      <c r="AJ222" s="820"/>
      <c r="AK222" s="820"/>
      <c r="AL222" s="820"/>
      <c r="AM222" s="820"/>
      <c r="AN222" s="820"/>
      <c r="AO222" s="820"/>
      <c r="AP222" s="821"/>
      <c r="AQ222" s="298"/>
      <c r="AR222" s="298"/>
      <c r="AS222"/>
      <c r="AT222"/>
    </row>
  </sheetData>
  <mergeCells count="1143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L140:AM140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T140:U140"/>
    <mergeCell ref="W140:X140"/>
    <mergeCell ref="Z140:AA140"/>
    <mergeCell ref="AC140:AD140"/>
    <mergeCell ref="AE140:AH140"/>
    <mergeCell ref="AI140:AJ140"/>
    <mergeCell ref="B140:C140"/>
    <mergeCell ref="E140:F140"/>
    <mergeCell ref="H140:I140"/>
    <mergeCell ref="K140:L140"/>
    <mergeCell ref="N140:O140"/>
    <mergeCell ref="Q140:R140"/>
    <mergeCell ref="AC136:AD136"/>
    <mergeCell ref="AF136:AG136"/>
    <mergeCell ref="AI136:AJ136"/>
    <mergeCell ref="AL136:AM136"/>
    <mergeCell ref="AO136:AP136"/>
    <mergeCell ref="Z138:AD138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Z136:AA136"/>
    <mergeCell ref="W135:X135"/>
    <mergeCell ref="Z135:AA135"/>
    <mergeCell ref="AC135:AD135"/>
    <mergeCell ref="AF135:AG135"/>
    <mergeCell ref="AI135:AJ135"/>
    <mergeCell ref="AL135:AM135"/>
    <mergeCell ref="AL132:AM132"/>
    <mergeCell ref="AO132:AP132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T132:U132"/>
    <mergeCell ref="W132:X132"/>
    <mergeCell ref="Z132:AA132"/>
    <mergeCell ref="AC132:AD132"/>
    <mergeCell ref="AE132:AH132"/>
    <mergeCell ref="AI132:AJ132"/>
    <mergeCell ref="B132:C132"/>
    <mergeCell ref="E132:F132"/>
    <mergeCell ref="H132:I132"/>
    <mergeCell ref="K132:L132"/>
    <mergeCell ref="N132:O132"/>
    <mergeCell ref="Q132:R132"/>
    <mergeCell ref="Z128:AA128"/>
    <mergeCell ref="AC128:AD128"/>
    <mergeCell ref="AF128:AG128"/>
    <mergeCell ref="AI128:AJ128"/>
    <mergeCell ref="AL128:AM128"/>
    <mergeCell ref="AO128:AP128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W128:X128"/>
    <mergeCell ref="T127:U127"/>
    <mergeCell ref="W127:X127"/>
    <mergeCell ref="Z127:AA127"/>
    <mergeCell ref="AC127:AD127"/>
    <mergeCell ref="AF127:AG127"/>
    <mergeCell ref="AI127:AJ127"/>
    <mergeCell ref="AO124:AP124"/>
    <mergeCell ref="E125:F126"/>
    <mergeCell ref="B127:C127"/>
    <mergeCell ref="E127:F127"/>
    <mergeCell ref="H127:I127"/>
    <mergeCell ref="K127:L127"/>
    <mergeCell ref="N127:O127"/>
    <mergeCell ref="Q127:R127"/>
    <mergeCell ref="W124:X124"/>
    <mergeCell ref="Z124:AA124"/>
    <mergeCell ref="AC124:AD124"/>
    <mergeCell ref="AE124:AH124"/>
    <mergeCell ref="AI124:AJ124"/>
    <mergeCell ref="AL124:AM124"/>
    <mergeCell ref="G122:J122"/>
    <mergeCell ref="N122:R122"/>
    <mergeCell ref="S122:V122"/>
    <mergeCell ref="B124:C124"/>
    <mergeCell ref="E124:F124"/>
    <mergeCell ref="H124:I124"/>
    <mergeCell ref="K124:L124"/>
    <mergeCell ref="N124:O124"/>
    <mergeCell ref="Q124:R124"/>
    <mergeCell ref="T124:U124"/>
    <mergeCell ref="Z120:AA120"/>
    <mergeCell ref="AC120:AD120"/>
    <mergeCell ref="AF120:AG120"/>
    <mergeCell ref="AI120:AJ120"/>
    <mergeCell ref="AL120:AM120"/>
    <mergeCell ref="AO120:AP120"/>
    <mergeCell ref="AL119:AM119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T119:U119"/>
    <mergeCell ref="W119:X119"/>
    <mergeCell ref="Z119:AA119"/>
    <mergeCell ref="AC119:AD119"/>
    <mergeCell ref="AF119:AG119"/>
    <mergeCell ref="AI119:AJ119"/>
    <mergeCell ref="AL116:AM116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6:U116"/>
    <mergeCell ref="W116:X116"/>
    <mergeCell ref="Z116:AA116"/>
    <mergeCell ref="AC116:AD116"/>
    <mergeCell ref="AE116:AH116"/>
    <mergeCell ref="AI116:AJ116"/>
    <mergeCell ref="B116:C116"/>
    <mergeCell ref="E116:F116"/>
    <mergeCell ref="H116:I116"/>
    <mergeCell ref="K116:L116"/>
    <mergeCell ref="N116:O116"/>
    <mergeCell ref="Q116:R116"/>
    <mergeCell ref="AC112:AD112"/>
    <mergeCell ref="AF112:AG112"/>
    <mergeCell ref="AI112:AJ112"/>
    <mergeCell ref="AL112:AM112"/>
    <mergeCell ref="AO112:AP112"/>
    <mergeCell ref="E114:O114"/>
    <mergeCell ref="AF114:AH114"/>
    <mergeCell ref="AI114:AM114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Z112:AA112"/>
    <mergeCell ref="W111:X111"/>
    <mergeCell ref="Z111:AA111"/>
    <mergeCell ref="AC111:AD111"/>
    <mergeCell ref="AF111:AG111"/>
    <mergeCell ref="AI111:AJ111"/>
    <mergeCell ref="AL111:AM111"/>
    <mergeCell ref="AL108:AM108"/>
    <mergeCell ref="AO108:AP108"/>
    <mergeCell ref="AL109:AM110"/>
    <mergeCell ref="B111:C111"/>
    <mergeCell ref="E111:F111"/>
    <mergeCell ref="H111:I111"/>
    <mergeCell ref="K111:L111"/>
    <mergeCell ref="N111:O111"/>
    <mergeCell ref="Q111:R111"/>
    <mergeCell ref="T111:U111"/>
    <mergeCell ref="T108:U108"/>
    <mergeCell ref="W108:X108"/>
    <mergeCell ref="Z108:AA108"/>
    <mergeCell ref="AC108:AD108"/>
    <mergeCell ref="AE108:AH108"/>
    <mergeCell ref="AI108:AJ108"/>
    <mergeCell ref="B108:C108"/>
    <mergeCell ref="E108:F108"/>
    <mergeCell ref="H108:I108"/>
    <mergeCell ref="K108:L108"/>
    <mergeCell ref="N108:O108"/>
    <mergeCell ref="Q108:R108"/>
    <mergeCell ref="Z104:AA104"/>
    <mergeCell ref="AC104:AD104"/>
    <mergeCell ref="AF104:AG104"/>
    <mergeCell ref="AI104:AJ104"/>
    <mergeCell ref="AL104:AM104"/>
    <mergeCell ref="AO104:AP104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W104:X104"/>
    <mergeCell ref="T103:U103"/>
    <mergeCell ref="W103:X103"/>
    <mergeCell ref="Z103:AA103"/>
    <mergeCell ref="AC103:AD103"/>
    <mergeCell ref="AF103:AG103"/>
    <mergeCell ref="AI103:AJ103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Q103:R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4691" priority="1558" operator="containsText" text="fnd">
      <formula>NOT(ISERROR(SEARCH("fnd",B5)))</formula>
    </cfRule>
  </conditionalFormatting>
  <conditionalFormatting sqref="B5:B6 AS6:AT6 AQ6">
    <cfRule type="containsText" dxfId="4690" priority="1557" operator="containsText" text="Ear">
      <formula>NOT(ISERROR(SEARCH("Ear",B5)))</formula>
    </cfRule>
  </conditionalFormatting>
  <conditionalFormatting sqref="B5:B6 AS6:AT6">
    <cfRule type="containsText" dxfId="4689" priority="1555" operator="containsText" text="Str">
      <formula>NOT(ISERROR(SEARCH("Str",B5)))</formula>
    </cfRule>
    <cfRule type="containsText" dxfId="4688" priority="1556" operator="containsText" text="Ere">
      <formula>NOT(ISERROR(SEARCH("Ere",B5)))</formula>
    </cfRule>
  </conditionalFormatting>
  <conditionalFormatting sqref="B13:B14">
    <cfRule type="containsText" dxfId="4687" priority="1635" operator="containsText" text="Str">
      <formula>NOT(ISERROR(SEARCH("Str",B13)))</formula>
    </cfRule>
    <cfRule type="containsText" dxfId="4686" priority="1636" operator="containsText" text="Ere">
      <formula>NOT(ISERROR(SEARCH("Ere",B13)))</formula>
    </cfRule>
    <cfRule type="containsText" dxfId="4685" priority="1637" operator="containsText" text="Ear">
      <formula>NOT(ISERROR(SEARCH("Ear",B13)))</formula>
    </cfRule>
    <cfRule type="containsText" dxfId="4684" priority="163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4683" priority="1451" operator="containsText" text="Str">
      <formula>NOT(ISERROR(SEARCH("Str",B21)))</formula>
    </cfRule>
    <cfRule type="containsText" dxfId="4682" priority="1452" operator="containsText" text="Ere">
      <formula>NOT(ISERROR(SEARCH("Ere",B21)))</formula>
    </cfRule>
    <cfRule type="containsText" dxfId="4681" priority="1453" operator="containsText" text="Ear">
      <formula>NOT(ISERROR(SEARCH("Ear",B21)))</formula>
    </cfRule>
    <cfRule type="containsText" dxfId="4680" priority="1454" operator="containsText" text="fnd">
      <formula>NOT(ISERROR(SEARCH("fnd",B21)))</formula>
    </cfRule>
  </conditionalFormatting>
  <conditionalFormatting sqref="B29:B30">
    <cfRule type="containsText" dxfId="4679" priority="907" operator="containsText" text="Str">
      <formula>NOT(ISERROR(SEARCH("Str",B29)))</formula>
    </cfRule>
    <cfRule type="containsText" dxfId="4678" priority="908" operator="containsText" text="Ere">
      <formula>NOT(ISERROR(SEARCH("Ere",B29)))</formula>
    </cfRule>
    <cfRule type="containsText" dxfId="4677" priority="909" operator="containsText" text="Ear">
      <formula>NOT(ISERROR(SEARCH("Ear",B29)))</formula>
    </cfRule>
    <cfRule type="containsText" dxfId="4676" priority="910" operator="containsText" text="fnd">
      <formula>NOT(ISERROR(SEARCH("fnd",B29)))</formula>
    </cfRule>
  </conditionalFormatting>
  <conditionalFormatting sqref="B37:B38">
    <cfRule type="containsText" dxfId="4675" priority="651" operator="containsText" text="Str">
      <formula>NOT(ISERROR(SEARCH("Str",B37)))</formula>
    </cfRule>
    <cfRule type="containsText" dxfId="4674" priority="652" operator="containsText" text="Ere">
      <formula>NOT(ISERROR(SEARCH("Ere",B37)))</formula>
    </cfRule>
    <cfRule type="containsText" dxfId="4673" priority="653" operator="containsText" text="Ear">
      <formula>NOT(ISERROR(SEARCH("Ear",B37)))</formula>
    </cfRule>
    <cfRule type="containsText" dxfId="4672" priority="654" operator="containsText" text="fnd">
      <formula>NOT(ISERROR(SEARCH("fnd",B37)))</formula>
    </cfRule>
  </conditionalFormatting>
  <conditionalFormatting sqref="B45:B46">
    <cfRule type="containsText" dxfId="4671" priority="2067" operator="containsText" text="Str">
      <formula>NOT(ISERROR(SEARCH("Str",B45)))</formula>
    </cfRule>
    <cfRule type="containsText" dxfId="4670" priority="2068" operator="containsText" text="Ere">
      <formula>NOT(ISERROR(SEARCH("Ere",B45)))</formula>
    </cfRule>
    <cfRule type="containsText" dxfId="4669" priority="2069" operator="containsText" text="Ear">
      <formula>NOT(ISERROR(SEARCH("Ear",B45)))</formula>
    </cfRule>
    <cfRule type="containsText" dxfId="4668" priority="2070" operator="containsText" text="fnd">
      <formula>NOT(ISERROR(SEARCH("fnd",B45)))</formula>
    </cfRule>
  </conditionalFormatting>
  <conditionalFormatting sqref="B69">
    <cfRule type="containsText" dxfId="4667" priority="1935" operator="containsText" text="Str">
      <formula>NOT(ISERROR(SEARCH("Str",B69)))</formula>
    </cfRule>
    <cfRule type="containsText" dxfId="4666" priority="1936" operator="containsText" text="Ere">
      <formula>NOT(ISERROR(SEARCH("Ere",B69)))</formula>
    </cfRule>
    <cfRule type="containsText" dxfId="4665" priority="1937" operator="containsText" text="Ear">
      <formula>NOT(ISERROR(SEARCH("Ear",B69)))</formula>
    </cfRule>
    <cfRule type="containsText" dxfId="4664" priority="1938" operator="containsText" text="fnd">
      <formula>NOT(ISERROR(SEARCH("fnd",B69)))</formula>
    </cfRule>
  </conditionalFormatting>
  <conditionalFormatting sqref="B77">
    <cfRule type="containsText" dxfId="4663" priority="799" operator="containsText" text="Str">
      <formula>NOT(ISERROR(SEARCH("Str",B77)))</formula>
    </cfRule>
    <cfRule type="containsText" dxfId="4662" priority="800" operator="containsText" text="Ere">
      <formula>NOT(ISERROR(SEARCH("Ere",B77)))</formula>
    </cfRule>
    <cfRule type="containsText" dxfId="4661" priority="801" operator="containsText" text="Ear">
      <formula>NOT(ISERROR(SEARCH("Ear",B77)))</formula>
    </cfRule>
    <cfRule type="containsText" dxfId="4660" priority="802" operator="containsText" text="fnd">
      <formula>NOT(ISERROR(SEARCH("fnd",B77)))</formula>
    </cfRule>
  </conditionalFormatting>
  <conditionalFormatting sqref="B86">
    <cfRule type="containsText" dxfId="4659" priority="349" operator="containsText" text="Str">
      <formula>NOT(ISERROR(SEARCH("Str",B86)))</formula>
    </cfRule>
    <cfRule type="containsText" dxfId="4658" priority="350" operator="containsText" text="Ere">
      <formula>NOT(ISERROR(SEARCH("Ere",B86)))</formula>
    </cfRule>
    <cfRule type="containsText" dxfId="4657" priority="351" operator="containsText" text="Ear">
      <formula>NOT(ISERROR(SEARCH("Ear",B86)))</formula>
    </cfRule>
    <cfRule type="containsText" dxfId="4656" priority="352" operator="containsText" text="fnd">
      <formula>NOT(ISERROR(SEARCH("fnd",B86)))</formula>
    </cfRule>
  </conditionalFormatting>
  <conditionalFormatting sqref="B101">
    <cfRule type="containsText" dxfId="4655" priority="1543" operator="containsText" text="Str">
      <formula>NOT(ISERROR(SEARCH("Str",B101)))</formula>
    </cfRule>
    <cfRule type="containsText" dxfId="4654" priority="1544" operator="containsText" text="Ere">
      <formula>NOT(ISERROR(SEARCH("Ere",B101)))</formula>
    </cfRule>
    <cfRule type="containsText" dxfId="4653" priority="1545" operator="containsText" text="Ear">
      <formula>NOT(ISERROR(SEARCH("Ear",B101)))</formula>
    </cfRule>
    <cfRule type="containsText" dxfId="4652" priority="1546" operator="containsText" text="fnd">
      <formula>NOT(ISERROR(SEARCH("fnd",B101)))</formula>
    </cfRule>
  </conditionalFormatting>
  <conditionalFormatting sqref="B109">
    <cfRule type="containsText" dxfId="4651" priority="731" operator="containsText" text="Str">
      <formula>NOT(ISERROR(SEARCH("Str",B109)))</formula>
    </cfRule>
    <cfRule type="containsText" dxfId="4650" priority="732" operator="containsText" text="Ere">
      <formula>NOT(ISERROR(SEARCH("Ere",B109)))</formula>
    </cfRule>
    <cfRule type="containsText" dxfId="4649" priority="733" operator="containsText" text="Ear">
      <formula>NOT(ISERROR(SEARCH("Ear",B109)))</formula>
    </cfRule>
    <cfRule type="containsText" dxfId="4648" priority="734" operator="containsText" text="fnd">
      <formula>NOT(ISERROR(SEARCH("fnd",B109)))</formula>
    </cfRule>
  </conditionalFormatting>
  <conditionalFormatting sqref="B117">
    <cfRule type="containsText" dxfId="4647" priority="1423" operator="containsText" text="Str">
      <formula>NOT(ISERROR(SEARCH("Str",B117)))</formula>
    </cfRule>
    <cfRule type="containsText" dxfId="4646" priority="1424" operator="containsText" text="Ere">
      <formula>NOT(ISERROR(SEARCH("Ere",B117)))</formula>
    </cfRule>
    <cfRule type="containsText" dxfId="4645" priority="1425" operator="containsText" text="Ear">
      <formula>NOT(ISERROR(SEARCH("Ear",B117)))</formula>
    </cfRule>
    <cfRule type="containsText" dxfId="4644" priority="1426" operator="containsText" text="fnd">
      <formula>NOT(ISERROR(SEARCH("fnd",B117)))</formula>
    </cfRule>
  </conditionalFormatting>
  <conditionalFormatting sqref="B125">
    <cfRule type="containsText" dxfId="4643" priority="1363" operator="containsText" text="Str">
      <formula>NOT(ISERROR(SEARCH("Str",B125)))</formula>
    </cfRule>
    <cfRule type="containsText" dxfId="4642" priority="1364" operator="containsText" text="Ere">
      <formula>NOT(ISERROR(SEARCH("Ere",B125)))</formula>
    </cfRule>
    <cfRule type="containsText" dxfId="4641" priority="1365" operator="containsText" text="Ear">
      <formula>NOT(ISERROR(SEARCH("Ear",B125)))</formula>
    </cfRule>
    <cfRule type="containsText" dxfId="4640" priority="1366" operator="containsText" text="fnd">
      <formula>NOT(ISERROR(SEARCH("fnd",B125)))</formula>
    </cfRule>
  </conditionalFormatting>
  <conditionalFormatting sqref="B133">
    <cfRule type="containsText" dxfId="4639" priority="1335" operator="containsText" text="Str">
      <formula>NOT(ISERROR(SEARCH("Str",B133)))</formula>
    </cfRule>
    <cfRule type="containsText" dxfId="4638" priority="1336" operator="containsText" text="Ere">
      <formula>NOT(ISERROR(SEARCH("Ere",B133)))</formula>
    </cfRule>
    <cfRule type="containsText" dxfId="4637" priority="1337" operator="containsText" text="Ear">
      <formula>NOT(ISERROR(SEARCH("Ear",B133)))</formula>
    </cfRule>
    <cfRule type="containsText" dxfId="4636" priority="1338" operator="containsText" text="fnd">
      <formula>NOT(ISERROR(SEARCH("fnd",B133)))</formula>
    </cfRule>
  </conditionalFormatting>
  <conditionalFormatting sqref="B141">
    <cfRule type="containsText" dxfId="4635" priority="1283" operator="containsText" text="Str">
      <formula>NOT(ISERROR(SEARCH("Str",B141)))</formula>
    </cfRule>
    <cfRule type="containsText" dxfId="4634" priority="1284" operator="containsText" text="Ere">
      <formula>NOT(ISERROR(SEARCH("Ere",B141)))</formula>
    </cfRule>
    <cfRule type="containsText" dxfId="4633" priority="1285" operator="containsText" text="Ear">
      <formula>NOT(ISERROR(SEARCH("Ear",B141)))</formula>
    </cfRule>
    <cfRule type="containsText" dxfId="4632" priority="1286" operator="containsText" text="fnd">
      <formula>NOT(ISERROR(SEARCH("fnd",B141)))</formula>
    </cfRule>
  </conditionalFormatting>
  <conditionalFormatting sqref="B149">
    <cfRule type="containsText" dxfId="4631" priority="381" operator="containsText" text="Str">
      <formula>NOT(ISERROR(SEARCH("Str",B149)))</formula>
    </cfRule>
    <cfRule type="containsText" dxfId="4630" priority="382" operator="containsText" text="Ere">
      <formula>NOT(ISERROR(SEARCH("Ere",B149)))</formula>
    </cfRule>
    <cfRule type="containsText" dxfId="4629" priority="383" operator="containsText" text="Ear">
      <formula>NOT(ISERROR(SEARCH("Ear",B149)))</formula>
    </cfRule>
    <cfRule type="containsText" dxfId="4628" priority="384" operator="containsText" text="fnd">
      <formula>NOT(ISERROR(SEARCH("fnd",B149)))</formula>
    </cfRule>
  </conditionalFormatting>
  <conditionalFormatting sqref="B157">
    <cfRule type="containsText" dxfId="4627" priority="1139" operator="containsText" text="Str">
      <formula>NOT(ISERROR(SEARCH("Str",B157)))</formula>
    </cfRule>
    <cfRule type="containsText" dxfId="4626" priority="1140" operator="containsText" text="Ere">
      <formula>NOT(ISERROR(SEARCH("Ere",B157)))</formula>
    </cfRule>
    <cfRule type="containsText" dxfId="4625" priority="1141" operator="containsText" text="Ear">
      <formula>NOT(ISERROR(SEARCH("Ear",B157)))</formula>
    </cfRule>
    <cfRule type="containsText" dxfId="4624" priority="1142" operator="containsText" text="fnd">
      <formula>NOT(ISERROR(SEARCH("fnd",B157)))</formula>
    </cfRule>
  </conditionalFormatting>
  <conditionalFormatting sqref="B165">
    <cfRule type="containsText" dxfId="4623" priority="505" operator="containsText" text="Str">
      <formula>NOT(ISERROR(SEARCH("Str",B165)))</formula>
    </cfRule>
    <cfRule type="containsText" dxfId="4622" priority="506" operator="containsText" text="Ere">
      <formula>NOT(ISERROR(SEARCH("Ere",B165)))</formula>
    </cfRule>
    <cfRule type="containsText" dxfId="4621" priority="507" operator="containsText" text="Ear">
      <formula>NOT(ISERROR(SEARCH("Ear",B165)))</formula>
    </cfRule>
    <cfRule type="containsText" dxfId="4620" priority="508" operator="containsText" text="fnd">
      <formula>NOT(ISERROR(SEARCH("fnd",B165)))</formula>
    </cfRule>
  </conditionalFormatting>
  <conditionalFormatting sqref="B173">
    <cfRule type="containsText" dxfId="4619" priority="1003" operator="containsText" text="Str">
      <formula>NOT(ISERROR(SEARCH("Str",B173)))</formula>
    </cfRule>
    <cfRule type="containsText" dxfId="4618" priority="1004" operator="containsText" text="Ere">
      <formula>NOT(ISERROR(SEARCH("Ere",B173)))</formula>
    </cfRule>
    <cfRule type="containsText" dxfId="4617" priority="1005" operator="containsText" text="Ear">
      <formula>NOT(ISERROR(SEARCH("Ear",B173)))</formula>
    </cfRule>
    <cfRule type="containsText" dxfId="4616" priority="1006" operator="containsText" text="fnd">
      <formula>NOT(ISERROR(SEARCH("fnd",B173)))</formula>
    </cfRule>
  </conditionalFormatting>
  <conditionalFormatting sqref="B181">
    <cfRule type="containsText" dxfId="4615" priority="269" operator="containsText" text="Str">
      <formula>NOT(ISERROR(SEARCH("Str",B181)))</formula>
    </cfRule>
    <cfRule type="containsText" dxfId="4614" priority="270" operator="containsText" text="Ere">
      <formula>NOT(ISERROR(SEARCH("Ere",B181)))</formula>
    </cfRule>
    <cfRule type="containsText" dxfId="4613" priority="271" operator="containsText" text="Ear">
      <formula>NOT(ISERROR(SEARCH("Ear",B181)))</formula>
    </cfRule>
    <cfRule type="containsText" dxfId="4612" priority="272" operator="containsText" text="fnd">
      <formula>NOT(ISERROR(SEARCH("fnd",B181)))</formula>
    </cfRule>
  </conditionalFormatting>
  <conditionalFormatting sqref="B54:C54">
    <cfRule type="containsText" dxfId="4611" priority="2063" operator="containsText" text="Str">
      <formula>NOT(ISERROR(SEARCH("Str",B54)))</formula>
    </cfRule>
    <cfRule type="containsText" dxfId="4610" priority="2064" operator="containsText" text="Ere">
      <formula>NOT(ISERROR(SEARCH("Ere",B54)))</formula>
    </cfRule>
    <cfRule type="containsText" dxfId="4609" priority="2065" operator="containsText" text="Ear">
      <formula>NOT(ISERROR(SEARCH("Ear",B54)))</formula>
    </cfRule>
    <cfRule type="containsText" dxfId="4608" priority="2066" operator="containsText" text="fnd">
      <formula>NOT(ISERROR(SEARCH("fnd",B54)))</formula>
    </cfRule>
  </conditionalFormatting>
  <conditionalFormatting sqref="B62:C62">
    <cfRule type="containsText" dxfId="4607" priority="2059" operator="containsText" text="Str">
      <formula>NOT(ISERROR(SEARCH("Str",B62)))</formula>
    </cfRule>
    <cfRule type="containsText" dxfId="4606" priority="2060" operator="containsText" text="Ere">
      <formula>NOT(ISERROR(SEARCH("Ere",B62)))</formula>
    </cfRule>
    <cfRule type="containsText" dxfId="4605" priority="2061" operator="containsText" text="Ear">
      <formula>NOT(ISERROR(SEARCH("Ear",B62)))</formula>
    </cfRule>
    <cfRule type="containsText" dxfId="4604" priority="2062" operator="containsText" text="fnd">
      <formula>NOT(ISERROR(SEARCH("fnd",B62)))</formula>
    </cfRule>
  </conditionalFormatting>
  <conditionalFormatting sqref="B78:C78">
    <cfRule type="containsText" dxfId="4603" priority="803" operator="containsText" text="Str">
      <formula>NOT(ISERROR(SEARCH("Str",B78)))</formula>
    </cfRule>
    <cfRule type="containsText" dxfId="4602" priority="804" operator="containsText" text="Ere">
      <formula>NOT(ISERROR(SEARCH("Ere",B78)))</formula>
    </cfRule>
    <cfRule type="containsText" dxfId="4601" priority="805" operator="containsText" text="Ear">
      <formula>NOT(ISERROR(SEARCH("Ear",B78)))</formula>
    </cfRule>
    <cfRule type="containsText" dxfId="4600" priority="806" operator="containsText" text="fnd">
      <formula>NOT(ISERROR(SEARCH("fnd",B78)))</formula>
    </cfRule>
  </conditionalFormatting>
  <conditionalFormatting sqref="B94:C94">
    <cfRule type="containsText" dxfId="4599" priority="2055" operator="containsText" text="Str">
      <formula>NOT(ISERROR(SEARCH("Str",B94)))</formula>
    </cfRule>
    <cfRule type="containsText" dxfId="4598" priority="2056" operator="containsText" text="Ere">
      <formula>NOT(ISERROR(SEARCH("Ere",B94)))</formula>
    </cfRule>
    <cfRule type="containsText" dxfId="4597" priority="2057" operator="containsText" text="Ear">
      <formula>NOT(ISERROR(SEARCH("Ear",B94)))</formula>
    </cfRule>
    <cfRule type="containsText" dxfId="4596" priority="2058" operator="containsText" text="fnd">
      <formula>NOT(ISERROR(SEARCH("fnd",B94)))</formula>
    </cfRule>
  </conditionalFormatting>
  <conditionalFormatting sqref="B118:C118">
    <cfRule type="containsText" dxfId="4595" priority="1427" operator="containsText" text="Str">
      <formula>NOT(ISERROR(SEARCH("Str",B118)))</formula>
    </cfRule>
    <cfRule type="containsText" dxfId="4594" priority="1428" operator="containsText" text="Ere">
      <formula>NOT(ISERROR(SEARCH("Ere",B118)))</formula>
    </cfRule>
    <cfRule type="containsText" dxfId="4593" priority="1429" operator="containsText" text="Ear">
      <formula>NOT(ISERROR(SEARCH("Ear",B118)))</formula>
    </cfRule>
    <cfRule type="containsText" dxfId="4592" priority="1430" operator="containsText" text="fnd">
      <formula>NOT(ISERROR(SEARCH("fnd",B118)))</formula>
    </cfRule>
  </conditionalFormatting>
  <conditionalFormatting sqref="B126:C126">
    <cfRule type="containsText" dxfId="4591" priority="1367" operator="containsText" text="Str">
      <formula>NOT(ISERROR(SEARCH("Str",B126)))</formula>
    </cfRule>
    <cfRule type="containsText" dxfId="4590" priority="1368" operator="containsText" text="Ere">
      <formula>NOT(ISERROR(SEARCH("Ere",B126)))</formula>
    </cfRule>
    <cfRule type="containsText" dxfId="4589" priority="1369" operator="containsText" text="Ear">
      <formula>NOT(ISERROR(SEARCH("Ear",B126)))</formula>
    </cfRule>
    <cfRule type="containsText" dxfId="4588" priority="1370" operator="containsText" text="fnd">
      <formula>NOT(ISERROR(SEARCH("fnd",B126)))</formula>
    </cfRule>
  </conditionalFormatting>
  <conditionalFormatting sqref="B134:C134">
    <cfRule type="containsText" dxfId="4587" priority="1339" operator="containsText" text="Str">
      <formula>NOT(ISERROR(SEARCH("Str",B134)))</formula>
    </cfRule>
    <cfRule type="containsText" dxfId="4586" priority="1340" operator="containsText" text="Ere">
      <formula>NOT(ISERROR(SEARCH("Ere",B134)))</formula>
    </cfRule>
    <cfRule type="containsText" dxfId="4585" priority="1341" operator="containsText" text="Ear">
      <formula>NOT(ISERROR(SEARCH("Ear",B134)))</formula>
    </cfRule>
    <cfRule type="containsText" dxfId="4584" priority="1342" operator="containsText" text="fnd">
      <formula>NOT(ISERROR(SEARCH("fnd",B134)))</formula>
    </cfRule>
  </conditionalFormatting>
  <conditionalFormatting sqref="B142:C142">
    <cfRule type="containsText" dxfId="4583" priority="1287" operator="containsText" text="Str">
      <formula>NOT(ISERROR(SEARCH("Str",B142)))</formula>
    </cfRule>
    <cfRule type="containsText" dxfId="4582" priority="1288" operator="containsText" text="Ere">
      <formula>NOT(ISERROR(SEARCH("Ere",B142)))</formula>
    </cfRule>
    <cfRule type="containsText" dxfId="4581" priority="1289" operator="containsText" text="Ear">
      <formula>NOT(ISERROR(SEARCH("Ear",B142)))</formula>
    </cfRule>
    <cfRule type="containsText" dxfId="4580" priority="1290" operator="containsText" text="fnd">
      <formula>NOT(ISERROR(SEARCH("fnd",B142)))</formula>
    </cfRule>
  </conditionalFormatting>
  <conditionalFormatting sqref="B158:C158">
    <cfRule type="containsText" dxfId="4579" priority="1143" operator="containsText" text="Str">
      <formula>NOT(ISERROR(SEARCH("Str",B158)))</formula>
    </cfRule>
    <cfRule type="containsText" dxfId="4578" priority="1144" operator="containsText" text="Ere">
      <formula>NOT(ISERROR(SEARCH("Ere",B158)))</formula>
    </cfRule>
    <cfRule type="containsText" dxfId="4577" priority="1145" operator="containsText" text="Ear">
      <formula>NOT(ISERROR(SEARCH("Ear",B158)))</formula>
    </cfRule>
    <cfRule type="containsText" dxfId="4576" priority="1146" operator="containsText" text="fnd">
      <formula>NOT(ISERROR(SEARCH("fnd",B158)))</formula>
    </cfRule>
  </conditionalFormatting>
  <conditionalFormatting sqref="B166:C166">
    <cfRule type="containsText" dxfId="4575" priority="509" operator="containsText" text="Str">
      <formula>NOT(ISERROR(SEARCH("Str",B166)))</formula>
    </cfRule>
    <cfRule type="containsText" dxfId="4574" priority="510" operator="containsText" text="Ere">
      <formula>NOT(ISERROR(SEARCH("Ere",B166)))</formula>
    </cfRule>
    <cfRule type="containsText" dxfId="4573" priority="511" operator="containsText" text="Ear">
      <formula>NOT(ISERROR(SEARCH("Ear",B166)))</formula>
    </cfRule>
    <cfRule type="containsText" dxfId="4572" priority="512" operator="containsText" text="fnd">
      <formula>NOT(ISERROR(SEARCH("fnd",B166)))</formula>
    </cfRule>
  </conditionalFormatting>
  <conditionalFormatting sqref="B174:C174">
    <cfRule type="containsText" dxfId="4571" priority="1007" operator="containsText" text="Str">
      <formula>NOT(ISERROR(SEARCH("Str",B174)))</formula>
    </cfRule>
    <cfRule type="containsText" dxfId="4570" priority="1008" operator="containsText" text="Ere">
      <formula>NOT(ISERROR(SEARCH("Ere",B174)))</formula>
    </cfRule>
    <cfRule type="containsText" dxfId="4569" priority="1009" operator="containsText" text="Ear">
      <formula>NOT(ISERROR(SEARCH("Ear",B174)))</formula>
    </cfRule>
    <cfRule type="containsText" dxfId="4568" priority="1010" operator="containsText" text="fnd">
      <formula>NOT(ISERROR(SEARCH("fnd",B174)))</formula>
    </cfRule>
  </conditionalFormatting>
  <conditionalFormatting sqref="B182:C182">
    <cfRule type="containsText" dxfId="4567" priority="273" operator="containsText" text="Str">
      <formula>NOT(ISERROR(SEARCH("Str",B182)))</formula>
    </cfRule>
    <cfRule type="containsText" dxfId="4566" priority="274" operator="containsText" text="Ere">
      <formula>NOT(ISERROR(SEARCH("Ere",B182)))</formula>
    </cfRule>
    <cfRule type="containsText" dxfId="4565" priority="275" operator="containsText" text="Ear">
      <formula>NOT(ISERROR(SEARCH("Ear",B182)))</formula>
    </cfRule>
    <cfRule type="containsText" dxfId="4564" priority="276" operator="containsText" text="fnd">
      <formula>NOT(ISERROR(SEARCH("fnd",B182)))</formula>
    </cfRule>
  </conditionalFormatting>
  <conditionalFormatting sqref="B199:C199">
    <cfRule type="containsText" dxfId="4563" priority="1695" operator="containsText" text="Str">
      <formula>NOT(ISERROR(SEARCH("Str",B199)))</formula>
    </cfRule>
    <cfRule type="containsText" dxfId="4562" priority="1696" operator="containsText" text="Ere">
      <formula>NOT(ISERROR(SEARCH("Ere",B199)))</formula>
    </cfRule>
    <cfRule type="containsText" dxfId="4561" priority="1697" operator="containsText" text="Ear">
      <formula>NOT(ISERROR(SEARCH("Ear",B199)))</formula>
    </cfRule>
    <cfRule type="containsText" dxfId="4560" priority="1698" operator="containsText" text="fnd">
      <formula>NOT(ISERROR(SEARCH("fnd",B199)))</formula>
    </cfRule>
  </conditionalFormatting>
  <conditionalFormatting sqref="C6">
    <cfRule type="containsText" dxfId="4559" priority="1551" operator="containsText" text="Str">
      <formula>NOT(ISERROR(SEARCH("Str",C6)))</formula>
    </cfRule>
    <cfRule type="containsText" dxfId="4558" priority="1552" operator="containsText" text="Ere">
      <formula>NOT(ISERROR(SEARCH("Ere",C6)))</formula>
    </cfRule>
    <cfRule type="containsText" dxfId="4557" priority="1553" operator="containsText" text="Ear">
      <formula>NOT(ISERROR(SEARCH("Ear",C6)))</formula>
    </cfRule>
    <cfRule type="containsText" dxfId="4556" priority="1554" operator="containsText" text="fnd">
      <formula>NOT(ISERROR(SEARCH("fnd",C6)))</formula>
    </cfRule>
  </conditionalFormatting>
  <conditionalFormatting sqref="C14">
    <cfRule type="containsText" dxfId="4555" priority="1631" operator="containsText" text="Str">
      <formula>NOT(ISERROR(SEARCH("Str",C14)))</formula>
    </cfRule>
    <cfRule type="containsText" dxfId="4554" priority="1632" operator="containsText" text="Ere">
      <formula>NOT(ISERROR(SEARCH("Ere",C14)))</formula>
    </cfRule>
    <cfRule type="containsText" dxfId="4553" priority="1633" operator="containsText" text="Ear">
      <formula>NOT(ISERROR(SEARCH("Ear",C14)))</formula>
    </cfRule>
    <cfRule type="containsText" dxfId="4552" priority="1634" operator="containsText" text="fnd">
      <formula>NOT(ISERROR(SEARCH("fnd",C14)))</formula>
    </cfRule>
  </conditionalFormatting>
  <conditionalFormatting sqref="C22">
    <cfRule type="containsText" dxfId="4551" priority="1447" operator="containsText" text="Str">
      <formula>NOT(ISERROR(SEARCH("Str",C22)))</formula>
    </cfRule>
    <cfRule type="containsText" dxfId="4550" priority="1448" operator="containsText" text="Ere">
      <formula>NOT(ISERROR(SEARCH("Ere",C22)))</formula>
    </cfRule>
    <cfRule type="containsText" dxfId="4549" priority="1449" operator="containsText" text="Ear">
      <formula>NOT(ISERROR(SEARCH("Ear",C22)))</formula>
    </cfRule>
    <cfRule type="containsText" dxfId="4548" priority="1450" operator="containsText" text="fnd">
      <formula>NOT(ISERROR(SEARCH("fnd",C22)))</formula>
    </cfRule>
  </conditionalFormatting>
  <conditionalFormatting sqref="C30">
    <cfRule type="containsText" dxfId="4547" priority="903" operator="containsText" text="Str">
      <formula>NOT(ISERROR(SEARCH("Str",C30)))</formula>
    </cfRule>
    <cfRule type="containsText" dxfId="4546" priority="904" operator="containsText" text="Ere">
      <formula>NOT(ISERROR(SEARCH("Ere",C30)))</formula>
    </cfRule>
    <cfRule type="containsText" dxfId="4545" priority="905" operator="containsText" text="Ear">
      <formula>NOT(ISERROR(SEARCH("Ear",C30)))</formula>
    </cfRule>
    <cfRule type="containsText" dxfId="4544" priority="906" operator="containsText" text="fnd">
      <formula>NOT(ISERROR(SEARCH("fnd",C30)))</formula>
    </cfRule>
  </conditionalFormatting>
  <conditionalFormatting sqref="C38">
    <cfRule type="containsText" dxfId="4543" priority="647" operator="containsText" text="Str">
      <formula>NOT(ISERROR(SEARCH("Str",C38)))</formula>
    </cfRule>
    <cfRule type="containsText" dxfId="4542" priority="648" operator="containsText" text="Ere">
      <formula>NOT(ISERROR(SEARCH("Ere",C38)))</formula>
    </cfRule>
    <cfRule type="containsText" dxfId="4541" priority="649" operator="containsText" text="Ear">
      <formula>NOT(ISERROR(SEARCH("Ear",C38)))</formula>
    </cfRule>
    <cfRule type="containsText" dxfId="4540" priority="650" operator="containsText" text="fnd">
      <formula>NOT(ISERROR(SEARCH("fnd",C38)))</formula>
    </cfRule>
  </conditionalFormatting>
  <conditionalFormatting sqref="C46">
    <cfRule type="containsText" dxfId="4539" priority="2071" operator="containsText" text="Str">
      <formula>NOT(ISERROR(SEARCH("Str",C46)))</formula>
    </cfRule>
    <cfRule type="containsText" dxfId="4538" priority="2072" operator="containsText" text="Ere">
      <formula>NOT(ISERROR(SEARCH("Ere",C46)))</formula>
    </cfRule>
    <cfRule type="containsText" dxfId="4537" priority="2073" operator="containsText" text="Ear">
      <formula>NOT(ISERROR(SEARCH("Ear",C46)))</formula>
    </cfRule>
    <cfRule type="containsText" dxfId="4536" priority="2074" operator="containsText" text="fnd">
      <formula>NOT(ISERROR(SEARCH("fnd",C46)))</formula>
    </cfRule>
  </conditionalFormatting>
  <conditionalFormatting sqref="E5:E6">
    <cfRule type="containsText" dxfId="4535" priority="1607" operator="containsText" text="Str">
      <formula>NOT(ISERROR(SEARCH("Str",E5)))</formula>
    </cfRule>
    <cfRule type="containsText" dxfId="4534" priority="1608" operator="containsText" text="Ere">
      <formula>NOT(ISERROR(SEARCH("Ere",E5)))</formula>
    </cfRule>
    <cfRule type="containsText" dxfId="4533" priority="1609" operator="containsText" text="Ear">
      <formula>NOT(ISERROR(SEARCH("Ear",E5)))</formula>
    </cfRule>
    <cfRule type="containsText" dxfId="4532" priority="1610" operator="containsText" text="fnd">
      <formula>NOT(ISERROR(SEARCH("fnd",E5)))</formula>
    </cfRule>
  </conditionalFormatting>
  <conditionalFormatting sqref="E13:E14">
    <cfRule type="containsText" dxfId="4531" priority="1571" operator="containsText" text="Str">
      <formula>NOT(ISERROR(SEARCH("Str",E13)))</formula>
    </cfRule>
    <cfRule type="containsText" dxfId="4530" priority="1572" operator="containsText" text="Ere">
      <formula>NOT(ISERROR(SEARCH("Ere",E13)))</formula>
    </cfRule>
    <cfRule type="containsText" dxfId="4529" priority="1573" operator="containsText" text="Ear">
      <formula>NOT(ISERROR(SEARCH("Ear",E13)))</formula>
    </cfRule>
    <cfRule type="containsText" dxfId="4528" priority="1574" operator="containsText" text="fnd">
      <formula>NOT(ISERROR(SEARCH("fnd",E13)))</formula>
    </cfRule>
  </conditionalFormatting>
  <conditionalFormatting sqref="E21:E22">
    <cfRule type="containsText" dxfId="4527" priority="611" operator="containsText" text="Str">
      <formula>NOT(ISERROR(SEARCH("Str",E21)))</formula>
    </cfRule>
    <cfRule type="containsText" dxfId="4526" priority="612" operator="containsText" text="Ere">
      <formula>NOT(ISERROR(SEARCH("Ere",E21)))</formula>
    </cfRule>
    <cfRule type="containsText" dxfId="4525" priority="613" operator="containsText" text="Ear">
      <formula>NOT(ISERROR(SEARCH("Ear",E21)))</formula>
    </cfRule>
    <cfRule type="containsText" dxfId="4524" priority="614" operator="containsText" text="fnd">
      <formula>NOT(ISERROR(SEARCH("fnd",E21)))</formula>
    </cfRule>
  </conditionalFormatting>
  <conditionalFormatting sqref="E29">
    <cfRule type="containsText" dxfId="4523" priority="1527" operator="containsText" text="Str">
      <formula>NOT(ISERROR(SEARCH("Str",E29)))</formula>
    </cfRule>
    <cfRule type="containsText" dxfId="4522" priority="1528" operator="containsText" text="Ere">
      <formula>NOT(ISERROR(SEARCH("Ere",E29)))</formula>
    </cfRule>
    <cfRule type="containsText" dxfId="4521" priority="1529" operator="containsText" text="Ear">
      <formula>NOT(ISERROR(SEARCH("Ear",E29)))</formula>
    </cfRule>
    <cfRule type="containsText" dxfId="4520" priority="1530" operator="containsText" text="fnd">
      <formula>NOT(ISERROR(SEARCH("fnd",E29)))</formula>
    </cfRule>
  </conditionalFormatting>
  <conditionalFormatting sqref="E37:E38">
    <cfRule type="containsText" dxfId="4519" priority="859" operator="containsText" text="Str">
      <formula>NOT(ISERROR(SEARCH("Str",E37)))</formula>
    </cfRule>
    <cfRule type="containsText" dxfId="4518" priority="860" operator="containsText" text="Ere">
      <formula>NOT(ISERROR(SEARCH("Ere",E37)))</formula>
    </cfRule>
    <cfRule type="containsText" dxfId="4517" priority="861" operator="containsText" text="Ear">
      <formula>NOT(ISERROR(SEARCH("Ear",E37)))</formula>
    </cfRule>
    <cfRule type="containsText" dxfId="4516" priority="862" operator="containsText" text="fnd">
      <formula>NOT(ISERROR(SEARCH("fnd",E37)))</formula>
    </cfRule>
  </conditionalFormatting>
  <conditionalFormatting sqref="E45">
    <cfRule type="containsText" dxfId="4515" priority="2163" operator="containsText" text="Str">
      <formula>NOT(ISERROR(SEARCH("Str",E45)))</formula>
    </cfRule>
    <cfRule type="containsText" dxfId="4514" priority="2164" operator="containsText" text="Ere">
      <formula>NOT(ISERROR(SEARCH("Ere",E45)))</formula>
    </cfRule>
    <cfRule type="containsText" dxfId="4513" priority="2165" operator="containsText" text="Ear">
      <formula>NOT(ISERROR(SEARCH("Ear",E45)))</formula>
    </cfRule>
    <cfRule type="containsText" dxfId="4512" priority="2166" operator="containsText" text="fnd">
      <formula>NOT(ISERROR(SEARCH("fnd",E45)))</formula>
    </cfRule>
  </conditionalFormatting>
  <conditionalFormatting sqref="E53:E54">
    <cfRule type="containsText" dxfId="4511" priority="1927" operator="containsText" text="Str">
      <formula>NOT(ISERROR(SEARCH("Str",E53)))</formula>
    </cfRule>
    <cfRule type="containsText" dxfId="4510" priority="1928" operator="containsText" text="Ere">
      <formula>NOT(ISERROR(SEARCH("Ere",E53)))</formula>
    </cfRule>
    <cfRule type="containsText" dxfId="4509" priority="1929" operator="containsText" text="Ear">
      <formula>NOT(ISERROR(SEARCH("Ear",E53)))</formula>
    </cfRule>
    <cfRule type="containsText" dxfId="4508" priority="1930" operator="containsText" text="fnd">
      <formula>NOT(ISERROR(SEARCH("fnd",E53)))</formula>
    </cfRule>
  </conditionalFormatting>
  <conditionalFormatting sqref="E61">
    <cfRule type="containsText" dxfId="4507" priority="823" operator="containsText" text="Str">
      <formula>NOT(ISERROR(SEARCH("Str",E61)))</formula>
    </cfRule>
    <cfRule type="containsText" dxfId="4506" priority="824" operator="containsText" text="Ere">
      <formula>NOT(ISERROR(SEARCH("Ere",E61)))</formula>
    </cfRule>
    <cfRule type="containsText" dxfId="4505" priority="825" operator="containsText" text="Ear">
      <formula>NOT(ISERROR(SEARCH("Ear",E61)))</formula>
    </cfRule>
    <cfRule type="containsText" dxfId="4504" priority="826" operator="containsText" text="fnd">
      <formula>NOT(ISERROR(SEARCH("fnd",E61)))</formula>
    </cfRule>
  </conditionalFormatting>
  <conditionalFormatting sqref="E69">
    <cfRule type="containsText" dxfId="4503" priority="2023" operator="containsText" text="Str">
      <formula>NOT(ISERROR(SEARCH("Str",E69)))</formula>
    </cfRule>
    <cfRule type="containsText" dxfId="4502" priority="2024" operator="containsText" text="Ere">
      <formula>NOT(ISERROR(SEARCH("Ere",E69)))</formula>
    </cfRule>
    <cfRule type="containsText" dxfId="4501" priority="2025" operator="containsText" text="Ear">
      <formula>NOT(ISERROR(SEARCH("Ear",E69)))</formula>
    </cfRule>
    <cfRule type="containsText" dxfId="4500" priority="2026" operator="containsText" text="fnd">
      <formula>NOT(ISERROR(SEARCH("fnd",E69)))</formula>
    </cfRule>
  </conditionalFormatting>
  <conditionalFormatting sqref="E86">
    <cfRule type="containsText" dxfId="4499" priority="1955" operator="containsText" text="Str">
      <formula>NOT(ISERROR(SEARCH("Str",E86)))</formula>
    </cfRule>
    <cfRule type="containsText" dxfId="4498" priority="1956" operator="containsText" text="Ere">
      <formula>NOT(ISERROR(SEARCH("Ere",E86)))</formula>
    </cfRule>
    <cfRule type="containsText" dxfId="4497" priority="1957" operator="containsText" text="Ear">
      <formula>NOT(ISERROR(SEARCH("Ear",E86)))</formula>
    </cfRule>
    <cfRule type="containsText" dxfId="4496" priority="1958" operator="containsText" text="fnd">
      <formula>NOT(ISERROR(SEARCH("fnd",E86)))</formula>
    </cfRule>
  </conditionalFormatting>
  <conditionalFormatting sqref="E93">
    <cfRule type="containsText" dxfId="4495" priority="1963" operator="containsText" text="Str">
      <formula>NOT(ISERROR(SEARCH("Str",E93)))</formula>
    </cfRule>
    <cfRule type="containsText" dxfId="4494" priority="1964" operator="containsText" text="Ere">
      <formula>NOT(ISERROR(SEARCH("Ere",E93)))</formula>
    </cfRule>
    <cfRule type="containsText" dxfId="4493" priority="1965" operator="containsText" text="Ear">
      <formula>NOT(ISERROR(SEARCH("Ear",E93)))</formula>
    </cfRule>
    <cfRule type="containsText" dxfId="4492" priority="1966" operator="containsText" text="fnd">
      <formula>NOT(ISERROR(SEARCH("fnd",E93)))</formula>
    </cfRule>
  </conditionalFormatting>
  <conditionalFormatting sqref="E101">
    <cfRule type="containsText" dxfId="4491" priority="1847" operator="containsText" text="Str">
      <formula>NOT(ISERROR(SEARCH("Str",E101)))</formula>
    </cfRule>
    <cfRule type="containsText" dxfId="4490" priority="1848" operator="containsText" text="Ere">
      <formula>NOT(ISERROR(SEARCH("Ere",E101)))</formula>
    </cfRule>
    <cfRule type="containsText" dxfId="4489" priority="1849" operator="containsText" text="Ear">
      <formula>NOT(ISERROR(SEARCH("Ear",E101)))</formula>
    </cfRule>
    <cfRule type="containsText" dxfId="4488" priority="1850" operator="containsText" text="fnd">
      <formula>NOT(ISERROR(SEARCH("fnd",E101)))</formula>
    </cfRule>
  </conditionalFormatting>
  <conditionalFormatting sqref="E109">
    <cfRule type="containsText" dxfId="4487" priority="61" operator="containsText" text="Str">
      <formula>NOT(ISERROR(SEARCH("Str",E109)))</formula>
    </cfRule>
    <cfRule type="containsText" dxfId="4486" priority="62" operator="containsText" text="Ere">
      <formula>NOT(ISERROR(SEARCH("Ere",E109)))</formula>
    </cfRule>
    <cfRule type="containsText" dxfId="4485" priority="63" operator="containsText" text="Ear">
      <formula>NOT(ISERROR(SEARCH("Ear",E109)))</formula>
    </cfRule>
    <cfRule type="containsText" dxfId="4484" priority="64" operator="containsText" text="fnd">
      <formula>NOT(ISERROR(SEARCH("fnd",E109)))</formula>
    </cfRule>
  </conditionalFormatting>
  <conditionalFormatting sqref="E117">
    <cfRule type="containsText" dxfId="4483" priority="465" operator="containsText" text="Str">
      <formula>NOT(ISERROR(SEARCH("Str",E117)))</formula>
    </cfRule>
    <cfRule type="containsText" dxfId="4482" priority="466" operator="containsText" text="Ere">
      <formula>NOT(ISERROR(SEARCH("Ere",E117)))</formula>
    </cfRule>
    <cfRule type="containsText" dxfId="4481" priority="467" operator="containsText" text="Ear">
      <formula>NOT(ISERROR(SEARCH("Ear",E117)))</formula>
    </cfRule>
    <cfRule type="containsText" dxfId="4480" priority="468" operator="containsText" text="fnd">
      <formula>NOT(ISERROR(SEARCH("fnd",E117)))</formula>
    </cfRule>
  </conditionalFormatting>
  <conditionalFormatting sqref="E122 E130 E138 E162 E170 E178">
    <cfRule type="containsText" dxfId="4479" priority="1995" operator="containsText" text="Str">
      <formula>NOT(ISERROR(SEARCH("Str",E122)))</formula>
    </cfRule>
    <cfRule type="containsText" dxfId="4478" priority="1996" operator="containsText" text="Ere">
      <formula>NOT(ISERROR(SEARCH("Ere",E122)))</formula>
    </cfRule>
    <cfRule type="containsText" dxfId="4477" priority="1997" operator="containsText" text="Ear">
      <formula>NOT(ISERROR(SEARCH("Ear",E122)))</formula>
    </cfRule>
    <cfRule type="containsText" dxfId="4476" priority="1998" operator="containsText" text="fnd">
      <formula>NOT(ISERROR(SEARCH("fnd",E122)))</formula>
    </cfRule>
  </conditionalFormatting>
  <conditionalFormatting sqref="E125">
    <cfRule type="containsText" dxfId="4475" priority="1359" operator="containsText" text="Str">
      <formula>NOT(ISERROR(SEARCH("Str",E125)))</formula>
    </cfRule>
    <cfRule type="containsText" dxfId="4474" priority="1360" operator="containsText" text="Ere">
      <formula>NOT(ISERROR(SEARCH("Ere",E125)))</formula>
    </cfRule>
    <cfRule type="containsText" dxfId="4473" priority="1361" operator="containsText" text="Ear">
      <formula>NOT(ISERROR(SEARCH("Ear",E125)))</formula>
    </cfRule>
    <cfRule type="containsText" dxfId="4472" priority="1362" operator="containsText" text="fnd">
      <formula>NOT(ISERROR(SEARCH("fnd",E125)))</formula>
    </cfRule>
  </conditionalFormatting>
  <conditionalFormatting sqref="E133">
    <cfRule type="containsText" dxfId="4471" priority="1311" operator="containsText" text="Str">
      <formula>NOT(ISERROR(SEARCH("Str",E133)))</formula>
    </cfRule>
    <cfRule type="containsText" dxfId="4470" priority="1312" operator="containsText" text="Ere">
      <formula>NOT(ISERROR(SEARCH("Ere",E133)))</formula>
    </cfRule>
    <cfRule type="containsText" dxfId="4469" priority="1313" operator="containsText" text="Ear">
      <formula>NOT(ISERROR(SEARCH("Ear",E133)))</formula>
    </cfRule>
    <cfRule type="containsText" dxfId="4468" priority="1314" operator="containsText" text="fnd">
      <formula>NOT(ISERROR(SEARCH("fnd",E133)))</formula>
    </cfRule>
  </conditionalFormatting>
  <conditionalFormatting sqref="E141">
    <cfRule type="containsText" dxfId="4467" priority="1211" operator="containsText" text="Str">
      <formula>NOT(ISERROR(SEARCH("Str",E141)))</formula>
    </cfRule>
    <cfRule type="containsText" dxfId="4466" priority="1212" operator="containsText" text="Ere">
      <formula>NOT(ISERROR(SEARCH("Ere",E141)))</formula>
    </cfRule>
    <cfRule type="containsText" dxfId="4465" priority="1213" operator="containsText" text="Ear">
      <formula>NOT(ISERROR(SEARCH("Ear",E141)))</formula>
    </cfRule>
    <cfRule type="containsText" dxfId="4464" priority="1214" operator="containsText" text="fnd">
      <formula>NOT(ISERROR(SEARCH("fnd",E141)))</formula>
    </cfRule>
  </conditionalFormatting>
  <conditionalFormatting sqref="E149">
    <cfRule type="containsText" dxfId="4463" priority="321" operator="containsText" text="Str">
      <formula>NOT(ISERROR(SEARCH("Str",E149)))</formula>
    </cfRule>
    <cfRule type="containsText" dxfId="4462" priority="322" operator="containsText" text="Ere">
      <formula>NOT(ISERROR(SEARCH("Ere",E149)))</formula>
    </cfRule>
    <cfRule type="containsText" dxfId="4461" priority="323" operator="containsText" text="Ear">
      <formula>NOT(ISERROR(SEARCH("Ear",E149)))</formula>
    </cfRule>
    <cfRule type="containsText" dxfId="4460" priority="324" operator="containsText" text="fnd">
      <formula>NOT(ISERROR(SEARCH("fnd",E149)))</formula>
    </cfRule>
  </conditionalFormatting>
  <conditionalFormatting sqref="E157">
    <cfRule type="containsText" dxfId="4459" priority="1079" operator="containsText" text="Str">
      <formula>NOT(ISERROR(SEARCH("Str",E157)))</formula>
    </cfRule>
    <cfRule type="containsText" dxfId="4458" priority="1080" operator="containsText" text="Ere">
      <formula>NOT(ISERROR(SEARCH("Ere",E157)))</formula>
    </cfRule>
    <cfRule type="containsText" dxfId="4457" priority="1081" operator="containsText" text="Ear">
      <formula>NOT(ISERROR(SEARCH("Ear",E157)))</formula>
    </cfRule>
    <cfRule type="containsText" dxfId="4456" priority="1082" operator="containsText" text="fnd">
      <formula>NOT(ISERROR(SEARCH("fnd",E157)))</formula>
    </cfRule>
  </conditionalFormatting>
  <conditionalFormatting sqref="E165">
    <cfRule type="containsText" dxfId="4455" priority="595" operator="containsText" text="Str">
      <formula>NOT(ISERROR(SEARCH("Str",E165)))</formula>
    </cfRule>
    <cfRule type="containsText" dxfId="4454" priority="596" operator="containsText" text="Ere">
      <formula>NOT(ISERROR(SEARCH("Ere",E165)))</formula>
    </cfRule>
    <cfRule type="containsText" dxfId="4453" priority="597" operator="containsText" text="Ear">
      <formula>NOT(ISERROR(SEARCH("Ear",E165)))</formula>
    </cfRule>
    <cfRule type="containsText" dxfId="4452" priority="598" operator="containsText" text="fnd">
      <formula>NOT(ISERROR(SEARCH("fnd",E165)))</formula>
    </cfRule>
  </conditionalFormatting>
  <conditionalFormatting sqref="E173">
    <cfRule type="containsText" dxfId="4451" priority="553" operator="containsText" text="Str">
      <formula>NOT(ISERROR(SEARCH("Str",E173)))</formula>
    </cfRule>
    <cfRule type="containsText" dxfId="4450" priority="554" operator="containsText" text="Ere">
      <formula>NOT(ISERROR(SEARCH("Ere",E173)))</formula>
    </cfRule>
    <cfRule type="containsText" dxfId="4449" priority="555" operator="containsText" text="Ear">
      <formula>NOT(ISERROR(SEARCH("Ear",E173)))</formula>
    </cfRule>
    <cfRule type="containsText" dxfId="4448" priority="556" operator="containsText" text="fnd">
      <formula>NOT(ISERROR(SEARCH("fnd",E173)))</formula>
    </cfRule>
  </conditionalFormatting>
  <conditionalFormatting sqref="E181">
    <cfRule type="containsText" dxfId="4447" priority="947" operator="containsText" text="Str">
      <formula>NOT(ISERROR(SEARCH("Str",E181)))</formula>
    </cfRule>
    <cfRule type="containsText" dxfId="4446" priority="948" operator="containsText" text="Ere">
      <formula>NOT(ISERROR(SEARCH("Ere",E181)))</formula>
    </cfRule>
    <cfRule type="containsText" dxfId="4445" priority="949" operator="containsText" text="Ear">
      <formula>NOT(ISERROR(SEARCH("Ear",E181)))</formula>
    </cfRule>
    <cfRule type="containsText" dxfId="4444" priority="950" operator="containsText" text="fnd">
      <formula>NOT(ISERROR(SEARCH("fnd",E181)))</formula>
    </cfRule>
  </conditionalFormatting>
  <conditionalFormatting sqref="E207">
    <cfRule type="containsText" dxfId="4443" priority="2079" operator="containsText" text="Str">
      <formula>NOT(ISERROR(SEARCH("Str",E207)))</formula>
    </cfRule>
    <cfRule type="containsText" dxfId="4442" priority="2080" operator="containsText" text="Ere">
      <formula>NOT(ISERROR(SEARCH("Ere",E207)))</formula>
    </cfRule>
    <cfRule type="containsText" dxfId="4441" priority="2081" operator="containsText" text="Ear">
      <formula>NOT(ISERROR(SEARCH("Ear",E207)))</formula>
    </cfRule>
    <cfRule type="containsText" dxfId="4440" priority="2082" operator="containsText" text="fnd">
      <formula>NOT(ISERROR(SEARCH("fnd",E207)))</formula>
    </cfRule>
  </conditionalFormatting>
  <conditionalFormatting sqref="E30:F30">
    <cfRule type="containsText" dxfId="4439" priority="1531" operator="containsText" text="Str">
      <formula>NOT(ISERROR(SEARCH("Str",E30)))</formula>
    </cfRule>
    <cfRule type="containsText" dxfId="4438" priority="1532" operator="containsText" text="Ere">
      <formula>NOT(ISERROR(SEARCH("Ere",E30)))</formula>
    </cfRule>
    <cfRule type="containsText" dxfId="4437" priority="1533" operator="containsText" text="Ear">
      <formula>NOT(ISERROR(SEARCH("Ear",E30)))</formula>
    </cfRule>
    <cfRule type="containsText" dxfId="4436" priority="1534" operator="containsText" text="fnd">
      <formula>NOT(ISERROR(SEARCH("fnd",E30)))</formula>
    </cfRule>
  </conditionalFormatting>
  <conditionalFormatting sqref="E46:F46">
    <cfRule type="containsText" dxfId="4435" priority="2263" operator="containsText" text="Str">
      <formula>NOT(ISERROR(SEARCH("Str",E46)))</formula>
    </cfRule>
    <cfRule type="containsText" dxfId="4434" priority="2264" operator="containsText" text="Ere">
      <formula>NOT(ISERROR(SEARCH("Ere",E46)))</formula>
    </cfRule>
    <cfRule type="containsText" dxfId="4433" priority="2265" operator="containsText" text="Ear">
      <formula>NOT(ISERROR(SEARCH("Ear",E46)))</formula>
    </cfRule>
    <cfRule type="containsText" dxfId="4432" priority="2266" operator="containsText" text="fnd">
      <formula>NOT(ISERROR(SEARCH("fnd",E46)))</formula>
    </cfRule>
  </conditionalFormatting>
  <conditionalFormatting sqref="E62:F62">
    <cfRule type="containsText" dxfId="4431" priority="827" operator="containsText" text="Str">
      <formula>NOT(ISERROR(SEARCH("Str",E62)))</formula>
    </cfRule>
    <cfRule type="containsText" dxfId="4430" priority="828" operator="containsText" text="Ere">
      <formula>NOT(ISERROR(SEARCH("Ere",E62)))</formula>
    </cfRule>
    <cfRule type="containsText" dxfId="4429" priority="829" operator="containsText" text="Ear">
      <formula>NOT(ISERROR(SEARCH("Ear",E62)))</formula>
    </cfRule>
    <cfRule type="containsText" dxfId="4428" priority="830" operator="containsText" text="fnd">
      <formula>NOT(ISERROR(SEARCH("fnd",E62)))</formula>
    </cfRule>
  </conditionalFormatting>
  <conditionalFormatting sqref="E94:F94">
    <cfRule type="containsText" dxfId="4427" priority="1967" operator="containsText" text="Str">
      <formula>NOT(ISERROR(SEARCH("Str",E94)))</formula>
    </cfRule>
    <cfRule type="containsText" dxfId="4426" priority="1968" operator="containsText" text="Ere">
      <formula>NOT(ISERROR(SEARCH("Ere",E94)))</formula>
    </cfRule>
    <cfRule type="containsText" dxfId="4425" priority="1969" operator="containsText" text="Ear">
      <formula>NOT(ISERROR(SEARCH("Ear",E94)))</formula>
    </cfRule>
    <cfRule type="containsText" dxfId="4424" priority="1970" operator="containsText" text="fnd">
      <formula>NOT(ISERROR(SEARCH("fnd",E94)))</formula>
    </cfRule>
  </conditionalFormatting>
  <conditionalFormatting sqref="E102:F102">
    <cfRule type="containsText" dxfId="4423" priority="1851" operator="containsText" text="Str">
      <formula>NOT(ISERROR(SEARCH("Str",E102)))</formula>
    </cfRule>
    <cfRule type="containsText" dxfId="4422" priority="1852" operator="containsText" text="Ere">
      <formula>NOT(ISERROR(SEARCH("Ere",E102)))</formula>
    </cfRule>
    <cfRule type="containsText" dxfId="4421" priority="1853" operator="containsText" text="Ear">
      <formula>NOT(ISERROR(SEARCH("Ear",E102)))</formula>
    </cfRule>
    <cfRule type="containsText" dxfId="4420" priority="1854" operator="containsText" text="fnd">
      <formula>NOT(ISERROR(SEARCH("fnd",E102)))</formula>
    </cfRule>
  </conditionalFormatting>
  <conditionalFormatting sqref="E134:F134">
    <cfRule type="containsText" dxfId="4419" priority="1315" operator="containsText" text="Str">
      <formula>NOT(ISERROR(SEARCH("Str",E134)))</formula>
    </cfRule>
    <cfRule type="containsText" dxfId="4418" priority="1316" operator="containsText" text="Ere">
      <formula>NOT(ISERROR(SEARCH("Ere",E134)))</formula>
    </cfRule>
    <cfRule type="containsText" dxfId="4417" priority="1317" operator="containsText" text="Ear">
      <formula>NOT(ISERROR(SEARCH("Ear",E134)))</formula>
    </cfRule>
    <cfRule type="containsText" dxfId="4416" priority="1318" operator="containsText" text="fnd">
      <formula>NOT(ISERROR(SEARCH("fnd",E134)))</formula>
    </cfRule>
  </conditionalFormatting>
  <conditionalFormatting sqref="E142:F142">
    <cfRule type="containsText" dxfId="4415" priority="1215" operator="containsText" text="Str">
      <formula>NOT(ISERROR(SEARCH("Str",E142)))</formula>
    </cfRule>
    <cfRule type="containsText" dxfId="4414" priority="1216" operator="containsText" text="Ere">
      <formula>NOT(ISERROR(SEARCH("Ere",E142)))</formula>
    </cfRule>
    <cfRule type="containsText" dxfId="4413" priority="1217" operator="containsText" text="Ear">
      <formula>NOT(ISERROR(SEARCH("Ear",E142)))</formula>
    </cfRule>
    <cfRule type="containsText" dxfId="4412" priority="1218" operator="containsText" text="fnd">
      <formula>NOT(ISERROR(SEARCH("fnd",E142)))</formula>
    </cfRule>
  </conditionalFormatting>
  <conditionalFormatting sqref="E158:F158">
    <cfRule type="containsText" dxfId="4411" priority="1083" operator="containsText" text="Str">
      <formula>NOT(ISERROR(SEARCH("Str",E158)))</formula>
    </cfRule>
    <cfRule type="containsText" dxfId="4410" priority="1084" operator="containsText" text="Ere">
      <formula>NOT(ISERROR(SEARCH("Ere",E158)))</formula>
    </cfRule>
    <cfRule type="containsText" dxfId="4409" priority="1085" operator="containsText" text="Ear">
      <formula>NOT(ISERROR(SEARCH("Ear",E158)))</formula>
    </cfRule>
    <cfRule type="containsText" dxfId="4408" priority="1086" operator="containsText" text="fnd">
      <formula>NOT(ISERROR(SEARCH("fnd",E158)))</formula>
    </cfRule>
  </conditionalFormatting>
  <conditionalFormatting sqref="E166:F166">
    <cfRule type="containsText" dxfId="4407" priority="599" operator="containsText" text="Str">
      <formula>NOT(ISERROR(SEARCH("Str",E166)))</formula>
    </cfRule>
    <cfRule type="containsText" dxfId="4406" priority="600" operator="containsText" text="Ere">
      <formula>NOT(ISERROR(SEARCH("Ere",E166)))</formula>
    </cfRule>
    <cfRule type="containsText" dxfId="4405" priority="601" operator="containsText" text="Ear">
      <formula>NOT(ISERROR(SEARCH("Ear",E166)))</formula>
    </cfRule>
    <cfRule type="containsText" dxfId="4404" priority="602" operator="containsText" text="fnd">
      <formula>NOT(ISERROR(SEARCH("fnd",E166)))</formula>
    </cfRule>
  </conditionalFormatting>
  <conditionalFormatting sqref="E174:F174">
    <cfRule type="containsText" dxfId="4403" priority="557" operator="containsText" text="Str">
      <formula>NOT(ISERROR(SEARCH("Str",E174)))</formula>
    </cfRule>
    <cfRule type="containsText" dxfId="4402" priority="558" operator="containsText" text="Ere">
      <formula>NOT(ISERROR(SEARCH("Ere",E174)))</formula>
    </cfRule>
    <cfRule type="containsText" dxfId="4401" priority="559" operator="containsText" text="Ear">
      <formula>NOT(ISERROR(SEARCH("Ear",E174)))</formula>
    </cfRule>
    <cfRule type="containsText" dxfId="4400" priority="560" operator="containsText" text="fnd">
      <formula>NOT(ISERROR(SEARCH("fnd",E174)))</formula>
    </cfRule>
  </conditionalFormatting>
  <conditionalFormatting sqref="E182:F182">
    <cfRule type="containsText" dxfId="4399" priority="951" operator="containsText" text="Str">
      <formula>NOT(ISERROR(SEARCH("Str",E182)))</formula>
    </cfRule>
    <cfRule type="containsText" dxfId="4398" priority="952" operator="containsText" text="Ere">
      <formula>NOT(ISERROR(SEARCH("Ere",E182)))</formula>
    </cfRule>
    <cfRule type="containsText" dxfId="4397" priority="953" operator="containsText" text="Ear">
      <formula>NOT(ISERROR(SEARCH("Ear",E182)))</formula>
    </cfRule>
    <cfRule type="containsText" dxfId="4396" priority="954" operator="containsText" text="fnd">
      <formula>NOT(ISERROR(SEARCH("fnd",E182)))</formula>
    </cfRule>
  </conditionalFormatting>
  <conditionalFormatting sqref="E208:F208">
    <cfRule type="containsText" dxfId="4395" priority="2083" operator="containsText" text="Str">
      <formula>NOT(ISERROR(SEARCH("Str",E208)))</formula>
    </cfRule>
    <cfRule type="containsText" dxfId="4394" priority="2084" operator="containsText" text="Ere">
      <formula>NOT(ISERROR(SEARCH("Ere",E208)))</formula>
    </cfRule>
    <cfRule type="containsText" dxfId="4393" priority="2085" operator="containsText" text="Ear">
      <formula>NOT(ISERROR(SEARCH("Ear",E208)))</formula>
    </cfRule>
    <cfRule type="containsText" dxfId="4392" priority="2086" operator="containsText" text="fnd">
      <formula>NOT(ISERROR(SEARCH("fnd",E208)))</formula>
    </cfRule>
  </conditionalFormatting>
  <conditionalFormatting sqref="F6">
    <cfRule type="containsText" dxfId="4391" priority="1603" operator="containsText" text="Str">
      <formula>NOT(ISERROR(SEARCH("Str",F6)))</formula>
    </cfRule>
    <cfRule type="containsText" dxfId="4390" priority="1604" operator="containsText" text="Ere">
      <formula>NOT(ISERROR(SEARCH("Ere",F6)))</formula>
    </cfRule>
    <cfRule type="containsText" dxfId="4389" priority="1605" operator="containsText" text="Ear">
      <formula>NOT(ISERROR(SEARCH("Ear",F6)))</formula>
    </cfRule>
    <cfRule type="containsText" dxfId="4388" priority="1606" operator="containsText" text="fnd">
      <formula>NOT(ISERROR(SEARCH("fnd",F6)))</formula>
    </cfRule>
  </conditionalFormatting>
  <conditionalFormatting sqref="F14">
    <cfRule type="containsText" dxfId="4387" priority="1567" operator="containsText" text="Str">
      <formula>NOT(ISERROR(SEARCH("Str",F14)))</formula>
    </cfRule>
    <cfRule type="containsText" dxfId="4386" priority="1568" operator="containsText" text="Ere">
      <formula>NOT(ISERROR(SEARCH("Ere",F14)))</formula>
    </cfRule>
    <cfRule type="containsText" dxfId="4385" priority="1569" operator="containsText" text="Ear">
      <formula>NOT(ISERROR(SEARCH("Ear",F14)))</formula>
    </cfRule>
    <cfRule type="containsText" dxfId="4384" priority="1570" operator="containsText" text="fnd">
      <formula>NOT(ISERROR(SEARCH("fnd",F14)))</formula>
    </cfRule>
  </conditionalFormatting>
  <conditionalFormatting sqref="F22">
    <cfRule type="containsText" dxfId="4383" priority="607" operator="containsText" text="Str">
      <formula>NOT(ISERROR(SEARCH("Str",F22)))</formula>
    </cfRule>
    <cfRule type="containsText" dxfId="4382" priority="608" operator="containsText" text="Ere">
      <formula>NOT(ISERROR(SEARCH("Ere",F22)))</formula>
    </cfRule>
    <cfRule type="containsText" dxfId="4381" priority="609" operator="containsText" text="Ear">
      <formula>NOT(ISERROR(SEARCH("Ear",F22)))</formula>
    </cfRule>
    <cfRule type="containsText" dxfId="4380" priority="610" operator="containsText" text="fnd">
      <formula>NOT(ISERROR(SEARCH("fnd",F22)))</formula>
    </cfRule>
  </conditionalFormatting>
  <conditionalFormatting sqref="F38">
    <cfRule type="containsText" dxfId="4379" priority="855" operator="containsText" text="Str">
      <formula>NOT(ISERROR(SEARCH("Str",F38)))</formula>
    </cfRule>
    <cfRule type="containsText" dxfId="4378" priority="856" operator="containsText" text="Ere">
      <formula>NOT(ISERROR(SEARCH("Ere",F38)))</formula>
    </cfRule>
    <cfRule type="containsText" dxfId="4377" priority="857" operator="containsText" text="Ear">
      <formula>NOT(ISERROR(SEARCH("Ear",F38)))</formula>
    </cfRule>
    <cfRule type="containsText" dxfId="4376" priority="858" operator="containsText" text="fnd">
      <formula>NOT(ISERROR(SEARCH("fnd",F38)))</formula>
    </cfRule>
  </conditionalFormatting>
  <conditionalFormatting sqref="F54">
    <cfRule type="containsText" dxfId="4375" priority="1923" operator="containsText" text="Str">
      <formula>NOT(ISERROR(SEARCH("Str",F54)))</formula>
    </cfRule>
    <cfRule type="containsText" dxfId="4374" priority="1924" operator="containsText" text="Ere">
      <formula>NOT(ISERROR(SEARCH("Ere",F54)))</formula>
    </cfRule>
    <cfRule type="containsText" dxfId="4373" priority="1925" operator="containsText" text="Ear">
      <formula>NOT(ISERROR(SEARCH("Ear",F54)))</formula>
    </cfRule>
    <cfRule type="containsText" dxfId="4372" priority="1926" operator="containsText" text="fnd">
      <formula>NOT(ISERROR(SEARCH("fnd",F54)))</formula>
    </cfRule>
  </conditionalFormatting>
  <conditionalFormatting sqref="F78">
    <cfRule type="containsText" dxfId="4371" priority="1931" operator="containsText" text="Str">
      <formula>NOT(ISERROR(SEARCH("Str",F78)))</formula>
    </cfRule>
    <cfRule type="containsText" dxfId="4370" priority="1932" operator="containsText" text="Ere">
      <formula>NOT(ISERROR(SEARCH("Ere",F78)))</formula>
    </cfRule>
    <cfRule type="containsText" dxfId="4369" priority="1933" operator="containsText" text="Ear">
      <formula>NOT(ISERROR(SEARCH("Ear",F78)))</formula>
    </cfRule>
    <cfRule type="containsText" dxfId="4368" priority="1934" operator="containsText" text="fnd">
      <formula>NOT(ISERROR(SEARCH("fnd",F78)))</formula>
    </cfRule>
  </conditionalFormatting>
  <conditionalFormatting sqref="F199">
    <cfRule type="containsText" dxfId="4367" priority="1547" operator="containsText" text="Str">
      <formula>NOT(ISERROR(SEARCH("Str",F199)))</formula>
    </cfRule>
    <cfRule type="containsText" dxfId="4366" priority="1548" operator="containsText" text="Ere">
      <formula>NOT(ISERROR(SEARCH("Ere",F199)))</formula>
    </cfRule>
    <cfRule type="containsText" dxfId="4365" priority="1549" operator="containsText" text="Ear">
      <formula>NOT(ISERROR(SEARCH("Ear",F199)))</formula>
    </cfRule>
    <cfRule type="containsText" dxfId="4364" priority="1550" operator="containsText" text="fnd">
      <formula>NOT(ISERROR(SEARCH("fnd",F199)))</formula>
    </cfRule>
  </conditionalFormatting>
  <conditionalFormatting sqref="G122 H130 H138 H162 H170 H178">
    <cfRule type="containsText" dxfId="4363" priority="2015" operator="containsText" text="Str">
      <formula>NOT(ISERROR(SEARCH("Str",G122)))</formula>
    </cfRule>
    <cfRule type="containsText" dxfId="4362" priority="2016" operator="containsText" text="Ere">
      <formula>NOT(ISERROR(SEARCH("Ere",G122)))</formula>
    </cfRule>
    <cfRule type="containsText" dxfId="4361" priority="2017" operator="containsText" text="Ear">
      <formula>NOT(ISERROR(SEARCH("Ear",G122)))</formula>
    </cfRule>
    <cfRule type="containsText" dxfId="4360" priority="2018" operator="containsText" text="fnd">
      <formula>NOT(ISERROR(SEARCH("fnd",G122)))</formula>
    </cfRule>
  </conditionalFormatting>
  <conditionalFormatting sqref="H5:H6">
    <cfRule type="containsText" dxfId="4359" priority="233" operator="containsText" text="Str">
      <formula>NOT(ISERROR(SEARCH("Str",H5)))</formula>
    </cfRule>
    <cfRule type="containsText" dxfId="4358" priority="234" operator="containsText" text="Ere">
      <formula>NOT(ISERROR(SEARCH("Ere",H5)))</formula>
    </cfRule>
    <cfRule type="containsText" dxfId="4357" priority="235" operator="containsText" text="Ear">
      <formula>NOT(ISERROR(SEARCH("Ear",H5)))</formula>
    </cfRule>
    <cfRule type="containsText" dxfId="4356" priority="236" operator="containsText" text="fnd">
      <formula>NOT(ISERROR(SEARCH("fnd",H5)))</formula>
    </cfRule>
  </conditionalFormatting>
  <conditionalFormatting sqref="H13:H14">
    <cfRule type="containsText" dxfId="4355" priority="1619" operator="containsText" text="Str">
      <formula>NOT(ISERROR(SEARCH("Str",H13)))</formula>
    </cfRule>
    <cfRule type="containsText" dxfId="4354" priority="1620" operator="containsText" text="Ere">
      <formula>NOT(ISERROR(SEARCH("Ere",H13)))</formula>
    </cfRule>
    <cfRule type="containsText" dxfId="4353" priority="1621" operator="containsText" text="Ear">
      <formula>NOT(ISERROR(SEARCH("Ear",H13)))</formula>
    </cfRule>
    <cfRule type="containsText" dxfId="4352" priority="1622" operator="containsText" text="fnd">
      <formula>NOT(ISERROR(SEARCH("fnd",H13)))</formula>
    </cfRule>
  </conditionalFormatting>
  <conditionalFormatting sqref="H21:H22">
    <cfRule type="containsText" dxfId="4351" priority="1835" operator="containsText" text="Str">
      <formula>NOT(ISERROR(SEARCH("Str",H21)))</formula>
    </cfRule>
    <cfRule type="containsText" dxfId="4350" priority="1836" operator="containsText" text="Ere">
      <formula>NOT(ISERROR(SEARCH("Ere",H21)))</formula>
    </cfRule>
    <cfRule type="containsText" dxfId="4349" priority="1837" operator="containsText" text="Ear">
      <formula>NOT(ISERROR(SEARCH("Ear",H21)))</formula>
    </cfRule>
    <cfRule type="containsText" dxfId="4348" priority="1838" operator="containsText" text="fnd">
      <formula>NOT(ISERROR(SEARCH("fnd",H21)))</formula>
    </cfRule>
  </conditionalFormatting>
  <conditionalFormatting sqref="H29">
    <cfRule type="containsText" dxfId="4347" priority="623" operator="containsText" text="Str">
      <formula>NOT(ISERROR(SEARCH("Str",H29)))</formula>
    </cfRule>
    <cfRule type="containsText" dxfId="4346" priority="624" operator="containsText" text="Ere">
      <formula>NOT(ISERROR(SEARCH("Ere",H29)))</formula>
    </cfRule>
    <cfRule type="containsText" dxfId="4345" priority="625" operator="containsText" text="Ear">
      <formula>NOT(ISERROR(SEARCH("Ear",H29)))</formula>
    </cfRule>
    <cfRule type="containsText" dxfId="4344" priority="626" operator="containsText" text="fnd">
      <formula>NOT(ISERROR(SEARCH("fnd",H29)))</formula>
    </cfRule>
  </conditionalFormatting>
  <conditionalFormatting sqref="H37:H38">
    <cfRule type="containsText" dxfId="4343" priority="883" operator="containsText" text="Str">
      <formula>NOT(ISERROR(SEARCH("Str",H37)))</formula>
    </cfRule>
    <cfRule type="containsText" dxfId="4342" priority="884" operator="containsText" text="Ere">
      <formula>NOT(ISERROR(SEARCH("Ere",H37)))</formula>
    </cfRule>
    <cfRule type="containsText" dxfId="4341" priority="885" operator="containsText" text="Ear">
      <formula>NOT(ISERROR(SEARCH("Ear",H37)))</formula>
    </cfRule>
    <cfRule type="containsText" dxfId="4340" priority="886" operator="containsText" text="fnd">
      <formula>NOT(ISERROR(SEARCH("fnd",H37)))</formula>
    </cfRule>
  </conditionalFormatting>
  <conditionalFormatting sqref="H45">
    <cfRule type="containsText" dxfId="4339" priority="2179" operator="containsText" text="Str">
      <formula>NOT(ISERROR(SEARCH("Str",H45)))</formula>
    </cfRule>
    <cfRule type="containsText" dxfId="4338" priority="2180" operator="containsText" text="Ere">
      <formula>NOT(ISERROR(SEARCH("Ere",H45)))</formula>
    </cfRule>
    <cfRule type="containsText" dxfId="4337" priority="2181" operator="containsText" text="Ear">
      <formula>NOT(ISERROR(SEARCH("Ear",H45)))</formula>
    </cfRule>
    <cfRule type="containsText" dxfId="4336" priority="2182" operator="containsText" text="fnd">
      <formula>NOT(ISERROR(SEARCH("fnd",H45)))</formula>
    </cfRule>
  </conditionalFormatting>
  <conditionalFormatting sqref="H61">
    <cfRule type="containsText" dxfId="4335" priority="1803" operator="containsText" text="Str">
      <formula>NOT(ISERROR(SEARCH("Str",H61)))</formula>
    </cfRule>
    <cfRule type="containsText" dxfId="4334" priority="1804" operator="containsText" text="Ere">
      <formula>NOT(ISERROR(SEARCH("Ere",H61)))</formula>
    </cfRule>
    <cfRule type="containsText" dxfId="4333" priority="1805" operator="containsText" text="Ear">
      <formula>NOT(ISERROR(SEARCH("Ear",H61)))</formula>
    </cfRule>
    <cfRule type="containsText" dxfId="4332" priority="1806" operator="containsText" text="fnd">
      <formula>NOT(ISERROR(SEARCH("fnd",H61)))</formula>
    </cfRule>
  </conditionalFormatting>
  <conditionalFormatting sqref="H69">
    <cfRule type="containsText" dxfId="4331" priority="2151" operator="containsText" text="Str">
      <formula>NOT(ISERROR(SEARCH("Str",H69)))</formula>
    </cfRule>
    <cfRule type="containsText" dxfId="4330" priority="2152" operator="containsText" text="Ere">
      <formula>NOT(ISERROR(SEARCH("Ere",H69)))</formula>
    </cfRule>
    <cfRule type="containsText" dxfId="4329" priority="2153" operator="containsText" text="Ear">
      <formula>NOT(ISERROR(SEARCH("Ear",H69)))</formula>
    </cfRule>
    <cfRule type="containsText" dxfId="4328" priority="2154" operator="containsText" text="fnd">
      <formula>NOT(ISERROR(SEARCH("fnd",H69)))</formula>
    </cfRule>
  </conditionalFormatting>
  <conditionalFormatting sqref="H86 K86:L86 N86:O86">
    <cfRule type="containsText" dxfId="4327" priority="2235" operator="containsText" text="Str">
      <formula>NOT(ISERROR(SEARCH("Str",H86)))</formula>
    </cfRule>
    <cfRule type="containsText" dxfId="4326" priority="2236" operator="containsText" text="Ere">
      <formula>NOT(ISERROR(SEARCH("Ere",H86)))</formula>
    </cfRule>
    <cfRule type="containsText" dxfId="4325" priority="2237" operator="containsText" text="Ear">
      <formula>NOT(ISERROR(SEARCH("Ear",H86)))</formula>
    </cfRule>
    <cfRule type="containsText" dxfId="4324" priority="2238" operator="containsText" text="fnd">
      <formula>NOT(ISERROR(SEARCH("fnd",H86)))</formula>
    </cfRule>
  </conditionalFormatting>
  <conditionalFormatting sqref="H93">
    <cfRule type="containsText" dxfId="4323" priority="1907" operator="containsText" text="Str">
      <formula>NOT(ISERROR(SEARCH("Str",H93)))</formula>
    </cfRule>
    <cfRule type="containsText" dxfId="4322" priority="1908" operator="containsText" text="Ere">
      <formula>NOT(ISERROR(SEARCH("Ere",H93)))</formula>
    </cfRule>
    <cfRule type="containsText" dxfId="4321" priority="1909" operator="containsText" text="Ear">
      <formula>NOT(ISERROR(SEARCH("Ear",H93)))</formula>
    </cfRule>
    <cfRule type="containsText" dxfId="4320" priority="1910" operator="containsText" text="fnd">
      <formula>NOT(ISERROR(SEARCH("fnd",H93)))</formula>
    </cfRule>
  </conditionalFormatting>
  <conditionalFormatting sqref="H101">
    <cfRule type="containsText" dxfId="4319" priority="1471" operator="containsText" text="Str">
      <formula>NOT(ISERROR(SEARCH("Str",H101)))</formula>
    </cfRule>
    <cfRule type="containsText" dxfId="4318" priority="1472" operator="containsText" text="Ere">
      <formula>NOT(ISERROR(SEARCH("Ere",H101)))</formula>
    </cfRule>
    <cfRule type="containsText" dxfId="4317" priority="1473" operator="containsText" text="Ear">
      <formula>NOT(ISERROR(SEARCH("Ear",H101)))</formula>
    </cfRule>
    <cfRule type="containsText" dxfId="4316" priority="1474" operator="containsText" text="fnd">
      <formula>NOT(ISERROR(SEARCH("fnd",H101)))</formula>
    </cfRule>
  </conditionalFormatting>
  <conditionalFormatting sqref="H109">
    <cfRule type="containsText" dxfId="4315" priority="341" operator="containsText" text="Str">
      <formula>NOT(ISERROR(SEARCH("Str",H109)))</formula>
    </cfRule>
    <cfRule type="containsText" dxfId="4314" priority="342" operator="containsText" text="Ere">
      <formula>NOT(ISERROR(SEARCH("Ere",H109)))</formula>
    </cfRule>
    <cfRule type="containsText" dxfId="4313" priority="343" operator="containsText" text="Ear">
      <formula>NOT(ISERROR(SEARCH("Ear",H109)))</formula>
    </cfRule>
    <cfRule type="containsText" dxfId="4312" priority="344" operator="containsText" text="fnd">
      <formula>NOT(ISERROR(SEARCH("fnd",H109)))</formula>
    </cfRule>
  </conditionalFormatting>
  <conditionalFormatting sqref="H117">
    <cfRule type="containsText" dxfId="4311" priority="1415" operator="containsText" text="Str">
      <formula>NOT(ISERROR(SEARCH("Str",H117)))</formula>
    </cfRule>
    <cfRule type="containsText" dxfId="4310" priority="1416" operator="containsText" text="Ere">
      <formula>NOT(ISERROR(SEARCH("Ere",H117)))</formula>
    </cfRule>
    <cfRule type="containsText" dxfId="4309" priority="1417" operator="containsText" text="Ear">
      <formula>NOT(ISERROR(SEARCH("Ear",H117)))</formula>
    </cfRule>
    <cfRule type="containsText" dxfId="4308" priority="1418" operator="containsText" text="fnd">
      <formula>NOT(ISERROR(SEARCH("fnd",H117)))</formula>
    </cfRule>
  </conditionalFormatting>
  <conditionalFormatting sqref="H125">
    <cfRule type="containsText" dxfId="4307" priority="615" operator="containsText" text="Str">
      <formula>NOT(ISERROR(SEARCH("Str",H125)))</formula>
    </cfRule>
    <cfRule type="containsText" dxfId="4306" priority="616" operator="containsText" text="Ere">
      <formula>NOT(ISERROR(SEARCH("Ere",H125)))</formula>
    </cfRule>
    <cfRule type="containsText" dxfId="4305" priority="617" operator="containsText" text="Ear">
      <formula>NOT(ISERROR(SEARCH("Ear",H125)))</formula>
    </cfRule>
    <cfRule type="containsText" dxfId="4304" priority="618" operator="containsText" text="fnd">
      <formula>NOT(ISERROR(SEARCH("fnd",H125)))</formula>
    </cfRule>
  </conditionalFormatting>
  <conditionalFormatting sqref="H133">
    <cfRule type="containsText" dxfId="4303" priority="49" operator="containsText" text="Str">
      <formula>NOT(ISERROR(SEARCH("Str",H133)))</formula>
    </cfRule>
    <cfRule type="containsText" dxfId="4302" priority="50" operator="containsText" text="Ere">
      <formula>NOT(ISERROR(SEARCH("Ere",H133)))</formula>
    </cfRule>
    <cfRule type="containsText" dxfId="4301" priority="51" operator="containsText" text="Ear">
      <formula>NOT(ISERROR(SEARCH("Ear",H133)))</formula>
    </cfRule>
    <cfRule type="containsText" dxfId="4300" priority="52" operator="containsText" text="fnd">
      <formula>NOT(ISERROR(SEARCH("fnd",H133)))</formula>
    </cfRule>
  </conditionalFormatting>
  <conditionalFormatting sqref="H141">
    <cfRule type="containsText" dxfId="4299" priority="1275" operator="containsText" text="Str">
      <formula>NOT(ISERROR(SEARCH("Str",H141)))</formula>
    </cfRule>
    <cfRule type="containsText" dxfId="4298" priority="1276" operator="containsText" text="Ere">
      <formula>NOT(ISERROR(SEARCH("Ere",H141)))</formula>
    </cfRule>
    <cfRule type="containsText" dxfId="4297" priority="1277" operator="containsText" text="Ear">
      <formula>NOT(ISERROR(SEARCH("Ear",H141)))</formula>
    </cfRule>
    <cfRule type="containsText" dxfId="4296" priority="1278" operator="containsText" text="fnd">
      <formula>NOT(ISERROR(SEARCH("fnd",H141)))</formula>
    </cfRule>
  </conditionalFormatting>
  <conditionalFormatting sqref="H149">
    <cfRule type="containsText" dxfId="4295" priority="1187" operator="containsText" text="Str">
      <formula>NOT(ISERROR(SEARCH("Str",H149)))</formula>
    </cfRule>
    <cfRule type="containsText" dxfId="4294" priority="1188" operator="containsText" text="Ere">
      <formula>NOT(ISERROR(SEARCH("Ere",H149)))</formula>
    </cfRule>
    <cfRule type="containsText" dxfId="4293" priority="1189" operator="containsText" text="Ear">
      <formula>NOT(ISERROR(SEARCH("Ear",H149)))</formula>
    </cfRule>
    <cfRule type="containsText" dxfId="4292" priority="1190" operator="containsText" text="fnd">
      <formula>NOT(ISERROR(SEARCH("fnd",H149)))</formula>
    </cfRule>
  </conditionalFormatting>
  <conditionalFormatting sqref="H157">
    <cfRule type="containsText" dxfId="4291" priority="1131" operator="containsText" text="Str">
      <formula>NOT(ISERROR(SEARCH("Str",H157)))</formula>
    </cfRule>
    <cfRule type="containsText" dxfId="4290" priority="1132" operator="containsText" text="Ere">
      <formula>NOT(ISERROR(SEARCH("Ere",H157)))</formula>
    </cfRule>
    <cfRule type="containsText" dxfId="4289" priority="1133" operator="containsText" text="Ear">
      <formula>NOT(ISERROR(SEARCH("Ear",H157)))</formula>
    </cfRule>
    <cfRule type="containsText" dxfId="4288" priority="1134" operator="containsText" text="fnd">
      <formula>NOT(ISERROR(SEARCH("fnd",H157)))</formula>
    </cfRule>
  </conditionalFormatting>
  <conditionalFormatting sqref="H165">
    <cfRule type="containsText" dxfId="4287" priority="587" operator="containsText" text="Str">
      <formula>NOT(ISERROR(SEARCH("Str",H165)))</formula>
    </cfRule>
    <cfRule type="containsText" dxfId="4286" priority="588" operator="containsText" text="Ere">
      <formula>NOT(ISERROR(SEARCH("Ere",H165)))</formula>
    </cfRule>
    <cfRule type="containsText" dxfId="4285" priority="589" operator="containsText" text="Ear">
      <formula>NOT(ISERROR(SEARCH("Ear",H165)))</formula>
    </cfRule>
    <cfRule type="containsText" dxfId="4284" priority="590" operator="containsText" text="fnd">
      <formula>NOT(ISERROR(SEARCH("fnd",H165)))</formula>
    </cfRule>
  </conditionalFormatting>
  <conditionalFormatting sqref="H173">
    <cfRule type="containsText" dxfId="4283" priority="999" operator="containsText" text="Str">
      <formula>NOT(ISERROR(SEARCH("Str",H173)))</formula>
    </cfRule>
    <cfRule type="containsText" dxfId="4282" priority="1000" operator="containsText" text="Ere">
      <formula>NOT(ISERROR(SEARCH("Ere",H173)))</formula>
    </cfRule>
    <cfRule type="containsText" dxfId="4281" priority="1001" operator="containsText" text="Ear">
      <formula>NOT(ISERROR(SEARCH("Ear",H173)))</formula>
    </cfRule>
    <cfRule type="containsText" dxfId="4280" priority="1002" operator="containsText" text="fnd">
      <formula>NOT(ISERROR(SEARCH("fnd",H173)))</formula>
    </cfRule>
  </conditionalFormatting>
  <conditionalFormatting sqref="H181">
    <cfRule type="containsText" dxfId="4279" priority="145" operator="containsText" text="Str">
      <formula>NOT(ISERROR(SEARCH("Str",H181)))</formula>
    </cfRule>
    <cfRule type="containsText" dxfId="4278" priority="146" operator="containsText" text="Ere">
      <formula>NOT(ISERROR(SEARCH("Ere",H181)))</formula>
    </cfRule>
    <cfRule type="containsText" dxfId="4277" priority="147" operator="containsText" text="Ear">
      <formula>NOT(ISERROR(SEARCH("Ear",H181)))</formula>
    </cfRule>
    <cfRule type="containsText" dxfId="4276" priority="148" operator="containsText" text="fnd">
      <formula>NOT(ISERROR(SEARCH("fnd",H181)))</formula>
    </cfRule>
  </conditionalFormatting>
  <conditionalFormatting sqref="H30:I30">
    <cfRule type="containsText" dxfId="4275" priority="627" operator="containsText" text="Str">
      <formula>NOT(ISERROR(SEARCH("Str",H30)))</formula>
    </cfRule>
    <cfRule type="containsText" dxfId="4274" priority="628" operator="containsText" text="Ere">
      <formula>NOT(ISERROR(SEARCH("Ere",H30)))</formula>
    </cfRule>
    <cfRule type="containsText" dxfId="4273" priority="629" operator="containsText" text="Ear">
      <formula>NOT(ISERROR(SEARCH("Ear",H30)))</formula>
    </cfRule>
    <cfRule type="containsText" dxfId="4272" priority="630" operator="containsText" text="fnd">
      <formula>NOT(ISERROR(SEARCH("fnd",H30)))</formula>
    </cfRule>
  </conditionalFormatting>
  <conditionalFormatting sqref="H46:I46">
    <cfRule type="containsText" dxfId="4271" priority="2267" operator="containsText" text="Str">
      <formula>NOT(ISERROR(SEARCH("Str",H46)))</formula>
    </cfRule>
    <cfRule type="containsText" dxfId="4270" priority="2268" operator="containsText" text="Ere">
      <formula>NOT(ISERROR(SEARCH("Ere",H46)))</formula>
    </cfRule>
    <cfRule type="containsText" dxfId="4269" priority="2269" operator="containsText" text="Ear">
      <formula>NOT(ISERROR(SEARCH("Ear",H46)))</formula>
    </cfRule>
    <cfRule type="containsText" dxfId="4268" priority="2270" operator="containsText" text="fnd">
      <formula>NOT(ISERROR(SEARCH("fnd",H46)))</formula>
    </cfRule>
  </conditionalFormatting>
  <conditionalFormatting sqref="H62:I62">
    <cfRule type="containsText" dxfId="4267" priority="1807" operator="containsText" text="Str">
      <formula>NOT(ISERROR(SEARCH("Str",H62)))</formula>
    </cfRule>
    <cfRule type="containsText" dxfId="4266" priority="1808" operator="containsText" text="Ere">
      <formula>NOT(ISERROR(SEARCH("Ere",H62)))</formula>
    </cfRule>
    <cfRule type="containsText" dxfId="4265" priority="1809" operator="containsText" text="Ear">
      <formula>NOT(ISERROR(SEARCH("Ear",H62)))</formula>
    </cfRule>
    <cfRule type="containsText" dxfId="4264" priority="1810" operator="containsText" text="fnd">
      <formula>NOT(ISERROR(SEARCH("fnd",H62)))</formula>
    </cfRule>
  </conditionalFormatting>
  <conditionalFormatting sqref="H94:I94">
    <cfRule type="containsText" dxfId="4263" priority="1911" operator="containsText" text="Str">
      <formula>NOT(ISERROR(SEARCH("Str",H94)))</formula>
    </cfRule>
    <cfRule type="containsText" dxfId="4262" priority="1912" operator="containsText" text="Ere">
      <formula>NOT(ISERROR(SEARCH("Ere",H94)))</formula>
    </cfRule>
    <cfRule type="containsText" dxfId="4261" priority="1913" operator="containsText" text="Ear">
      <formula>NOT(ISERROR(SEARCH("Ear",H94)))</formula>
    </cfRule>
    <cfRule type="containsText" dxfId="4260" priority="1914" operator="containsText" text="fnd">
      <formula>NOT(ISERROR(SEARCH("fnd",H94)))</formula>
    </cfRule>
  </conditionalFormatting>
  <conditionalFormatting sqref="H102:I102">
    <cfRule type="containsText" dxfId="4259" priority="1475" operator="containsText" text="Str">
      <formula>NOT(ISERROR(SEARCH("Str",H102)))</formula>
    </cfRule>
    <cfRule type="containsText" dxfId="4258" priority="1476" operator="containsText" text="Ere">
      <formula>NOT(ISERROR(SEARCH("Ere",H102)))</formula>
    </cfRule>
    <cfRule type="containsText" dxfId="4257" priority="1477" operator="containsText" text="Ear">
      <formula>NOT(ISERROR(SEARCH("Ear",H102)))</formula>
    </cfRule>
    <cfRule type="containsText" dxfId="4256" priority="1478" operator="containsText" text="fnd">
      <formula>NOT(ISERROR(SEARCH("fnd",H102)))</formula>
    </cfRule>
  </conditionalFormatting>
  <conditionalFormatting sqref="H110:I110">
    <cfRule type="containsText" dxfId="4255" priority="345" operator="containsText" text="Str">
      <formula>NOT(ISERROR(SEARCH("Str",H110)))</formula>
    </cfRule>
    <cfRule type="containsText" dxfId="4254" priority="346" operator="containsText" text="Ere">
      <formula>NOT(ISERROR(SEARCH("Ere",H110)))</formula>
    </cfRule>
    <cfRule type="containsText" dxfId="4253" priority="347" operator="containsText" text="Ear">
      <formula>NOT(ISERROR(SEARCH("Ear",H110)))</formula>
    </cfRule>
    <cfRule type="containsText" dxfId="4252" priority="348" operator="containsText" text="fnd">
      <formula>NOT(ISERROR(SEARCH("fnd",H110)))</formula>
    </cfRule>
  </conditionalFormatting>
  <conditionalFormatting sqref="H118:I118">
    <cfRule type="containsText" dxfId="4251" priority="1419" operator="containsText" text="Str">
      <formula>NOT(ISERROR(SEARCH("Str",H118)))</formula>
    </cfRule>
    <cfRule type="containsText" dxfId="4250" priority="1420" operator="containsText" text="Ere">
      <formula>NOT(ISERROR(SEARCH("Ere",H118)))</formula>
    </cfRule>
    <cfRule type="containsText" dxfId="4249" priority="1421" operator="containsText" text="Ear">
      <formula>NOT(ISERROR(SEARCH("Ear",H118)))</formula>
    </cfRule>
    <cfRule type="containsText" dxfId="4248" priority="1422" operator="containsText" text="fnd">
      <formula>NOT(ISERROR(SEARCH("fnd",H118)))</formula>
    </cfRule>
  </conditionalFormatting>
  <conditionalFormatting sqref="H126:I126">
    <cfRule type="containsText" dxfId="4247" priority="619" operator="containsText" text="Str">
      <formula>NOT(ISERROR(SEARCH("Str",H126)))</formula>
    </cfRule>
    <cfRule type="containsText" dxfId="4246" priority="620" operator="containsText" text="Ere">
      <formula>NOT(ISERROR(SEARCH("Ere",H126)))</formula>
    </cfRule>
    <cfRule type="containsText" dxfId="4245" priority="621" operator="containsText" text="Ear">
      <formula>NOT(ISERROR(SEARCH("Ear",H126)))</formula>
    </cfRule>
    <cfRule type="containsText" dxfId="4244" priority="622" operator="containsText" text="fnd">
      <formula>NOT(ISERROR(SEARCH("fnd",H126)))</formula>
    </cfRule>
  </conditionalFormatting>
  <conditionalFormatting sqref="H134:I134">
    <cfRule type="containsText" dxfId="4243" priority="53" operator="containsText" text="Str">
      <formula>NOT(ISERROR(SEARCH("Str",H134)))</formula>
    </cfRule>
    <cfRule type="containsText" dxfId="4242" priority="54" operator="containsText" text="Ere">
      <formula>NOT(ISERROR(SEARCH("Ere",H134)))</formula>
    </cfRule>
    <cfRule type="containsText" dxfId="4241" priority="55" operator="containsText" text="Ear">
      <formula>NOT(ISERROR(SEARCH("Ear",H134)))</formula>
    </cfRule>
    <cfRule type="containsText" dxfId="4240" priority="56" operator="containsText" text="fnd">
      <formula>NOT(ISERROR(SEARCH("fnd",H134)))</formula>
    </cfRule>
  </conditionalFormatting>
  <conditionalFormatting sqref="H142:I142">
    <cfRule type="containsText" dxfId="4239" priority="1279" operator="containsText" text="Str">
      <formula>NOT(ISERROR(SEARCH("Str",H142)))</formula>
    </cfRule>
    <cfRule type="containsText" dxfId="4238" priority="1280" operator="containsText" text="Ere">
      <formula>NOT(ISERROR(SEARCH("Ere",H142)))</formula>
    </cfRule>
    <cfRule type="containsText" dxfId="4237" priority="1281" operator="containsText" text="Ear">
      <formula>NOT(ISERROR(SEARCH("Ear",H142)))</formula>
    </cfRule>
    <cfRule type="containsText" dxfId="4236" priority="1282" operator="containsText" text="fnd">
      <formula>NOT(ISERROR(SEARCH("fnd",H142)))</formula>
    </cfRule>
  </conditionalFormatting>
  <conditionalFormatting sqref="H150:I150">
    <cfRule type="containsText" dxfId="4235" priority="1191" operator="containsText" text="Str">
      <formula>NOT(ISERROR(SEARCH("Str",H150)))</formula>
    </cfRule>
    <cfRule type="containsText" dxfId="4234" priority="1192" operator="containsText" text="Ere">
      <formula>NOT(ISERROR(SEARCH("Ere",H150)))</formula>
    </cfRule>
    <cfRule type="containsText" dxfId="4233" priority="1193" operator="containsText" text="Ear">
      <formula>NOT(ISERROR(SEARCH("Ear",H150)))</formula>
    </cfRule>
    <cfRule type="containsText" dxfId="4232" priority="1194" operator="containsText" text="fnd">
      <formula>NOT(ISERROR(SEARCH("fnd",H150)))</formula>
    </cfRule>
  </conditionalFormatting>
  <conditionalFormatting sqref="H158:I158">
    <cfRule type="containsText" dxfId="4231" priority="1135" operator="containsText" text="Str">
      <formula>NOT(ISERROR(SEARCH("Str",H158)))</formula>
    </cfRule>
    <cfRule type="containsText" dxfId="4230" priority="1136" operator="containsText" text="Ere">
      <formula>NOT(ISERROR(SEARCH("Ere",H158)))</formula>
    </cfRule>
    <cfRule type="containsText" dxfId="4229" priority="1137" operator="containsText" text="Ear">
      <formula>NOT(ISERROR(SEARCH("Ear",H158)))</formula>
    </cfRule>
    <cfRule type="containsText" dxfId="4228" priority="1138" operator="containsText" text="fnd">
      <formula>NOT(ISERROR(SEARCH("fnd",H158)))</formula>
    </cfRule>
  </conditionalFormatting>
  <conditionalFormatting sqref="H166:I166">
    <cfRule type="containsText" dxfId="4227" priority="591" operator="containsText" text="Str">
      <formula>NOT(ISERROR(SEARCH("Str",H166)))</formula>
    </cfRule>
    <cfRule type="containsText" dxfId="4226" priority="592" operator="containsText" text="Ere">
      <formula>NOT(ISERROR(SEARCH("Ere",H166)))</formula>
    </cfRule>
    <cfRule type="containsText" dxfId="4225" priority="593" operator="containsText" text="Ear">
      <formula>NOT(ISERROR(SEARCH("Ear",H166)))</formula>
    </cfRule>
    <cfRule type="containsText" dxfId="4224" priority="594" operator="containsText" text="fnd">
      <formula>NOT(ISERROR(SEARCH("fnd",H166)))</formula>
    </cfRule>
  </conditionalFormatting>
  <conditionalFormatting sqref="H182:I182">
    <cfRule type="containsText" dxfId="4223" priority="149" operator="containsText" text="Str">
      <formula>NOT(ISERROR(SEARCH("Str",H182)))</formula>
    </cfRule>
    <cfRule type="containsText" dxfId="4222" priority="150" operator="containsText" text="Ere">
      <formula>NOT(ISERROR(SEARCH("Ere",H182)))</formula>
    </cfRule>
    <cfRule type="containsText" dxfId="4221" priority="151" operator="containsText" text="Ear">
      <formula>NOT(ISERROR(SEARCH("Ear",H182)))</formula>
    </cfRule>
    <cfRule type="containsText" dxfId="4220" priority="152" operator="containsText" text="fnd">
      <formula>NOT(ISERROR(SEARCH("fnd",H182)))</formula>
    </cfRule>
  </conditionalFormatting>
  <conditionalFormatting sqref="I6">
    <cfRule type="containsText" dxfId="4219" priority="229" operator="containsText" text="Str">
      <formula>NOT(ISERROR(SEARCH("Str",I6)))</formula>
    </cfRule>
    <cfRule type="containsText" dxfId="4218" priority="230" operator="containsText" text="Ere">
      <formula>NOT(ISERROR(SEARCH("Ere",I6)))</formula>
    </cfRule>
    <cfRule type="containsText" dxfId="4217" priority="231" operator="containsText" text="Ear">
      <formula>NOT(ISERROR(SEARCH("Ear",I6)))</formula>
    </cfRule>
    <cfRule type="containsText" dxfId="4216" priority="232" operator="containsText" text="fnd">
      <formula>NOT(ISERROR(SEARCH("fnd",I6)))</formula>
    </cfRule>
  </conditionalFormatting>
  <conditionalFormatting sqref="I14">
    <cfRule type="containsText" dxfId="4215" priority="1615" operator="containsText" text="Str">
      <formula>NOT(ISERROR(SEARCH("Str",I14)))</formula>
    </cfRule>
    <cfRule type="containsText" dxfId="4214" priority="1616" operator="containsText" text="Ere">
      <formula>NOT(ISERROR(SEARCH("Ere",I14)))</formula>
    </cfRule>
    <cfRule type="containsText" dxfId="4213" priority="1617" operator="containsText" text="Ear">
      <formula>NOT(ISERROR(SEARCH("Ear",I14)))</formula>
    </cfRule>
    <cfRule type="containsText" dxfId="4212" priority="1618" operator="containsText" text="fnd">
      <formula>NOT(ISERROR(SEARCH("fnd",I14)))</formula>
    </cfRule>
  </conditionalFormatting>
  <conditionalFormatting sqref="I22">
    <cfRule type="containsText" dxfId="4211" priority="1831" operator="containsText" text="Str">
      <formula>NOT(ISERROR(SEARCH("Str",I22)))</formula>
    </cfRule>
    <cfRule type="containsText" dxfId="4210" priority="1832" operator="containsText" text="Ere">
      <formula>NOT(ISERROR(SEARCH("Ere",I22)))</formula>
    </cfRule>
    <cfRule type="containsText" dxfId="4209" priority="1833" operator="containsText" text="Ear">
      <formula>NOT(ISERROR(SEARCH("Ear",I22)))</formula>
    </cfRule>
    <cfRule type="containsText" dxfId="4208" priority="1834" operator="containsText" text="fnd">
      <formula>NOT(ISERROR(SEARCH("fnd",I22)))</formula>
    </cfRule>
  </conditionalFormatting>
  <conditionalFormatting sqref="I38">
    <cfRule type="containsText" dxfId="4207" priority="879" operator="containsText" text="Str">
      <formula>NOT(ISERROR(SEARCH("Str",I38)))</formula>
    </cfRule>
    <cfRule type="containsText" dxfId="4206" priority="880" operator="containsText" text="Ere">
      <formula>NOT(ISERROR(SEARCH("Ere",I38)))</formula>
    </cfRule>
    <cfRule type="containsText" dxfId="4205" priority="881" operator="containsText" text="Ear">
      <formula>NOT(ISERROR(SEARCH("Ear",I38)))</formula>
    </cfRule>
    <cfRule type="containsText" dxfId="4204" priority="882" operator="containsText" text="fnd">
      <formula>NOT(ISERROR(SEARCH("fnd",I38)))</formula>
    </cfRule>
  </conditionalFormatting>
  <conditionalFormatting sqref="I54">
    <cfRule type="containsText" dxfId="4203" priority="2039" operator="containsText" text="Str">
      <formula>NOT(ISERROR(SEARCH("Str",I54)))</formula>
    </cfRule>
    <cfRule type="containsText" dxfId="4202" priority="2040" operator="containsText" text="Ere">
      <formula>NOT(ISERROR(SEARCH("Ere",I54)))</formula>
    </cfRule>
    <cfRule type="containsText" dxfId="4201" priority="2041" operator="containsText" text="Ear">
      <formula>NOT(ISERROR(SEARCH("Ear",I54)))</formula>
    </cfRule>
    <cfRule type="containsText" dxfId="4200" priority="2042" operator="containsText" text="fnd">
      <formula>NOT(ISERROR(SEARCH("fnd",I54)))</formula>
    </cfRule>
  </conditionalFormatting>
  <conditionalFormatting sqref="I78">
    <cfRule type="containsText" dxfId="4199" priority="1903" operator="containsText" text="Str">
      <formula>NOT(ISERROR(SEARCH("Str",I78)))</formula>
    </cfRule>
    <cfRule type="containsText" dxfId="4198" priority="1904" operator="containsText" text="Ere">
      <formula>NOT(ISERROR(SEARCH("Ere",I78)))</formula>
    </cfRule>
    <cfRule type="containsText" dxfId="4197" priority="1905" operator="containsText" text="Ear">
      <formula>NOT(ISERROR(SEARCH("Ear",I78)))</formula>
    </cfRule>
    <cfRule type="containsText" dxfId="4196" priority="1906" operator="containsText" text="fnd">
      <formula>NOT(ISERROR(SEARCH("fnd",I78)))</formula>
    </cfRule>
  </conditionalFormatting>
  <conditionalFormatting sqref="I216:I217">
    <cfRule type="containsText" dxfId="4195" priority="25" operator="containsText" text="Str">
      <formula>NOT(ISERROR(SEARCH("Str",I216)))</formula>
    </cfRule>
    <cfRule type="containsText" dxfId="4194" priority="26" operator="containsText" text="Ere">
      <formula>NOT(ISERROR(SEARCH("Ere",I216)))</formula>
    </cfRule>
    <cfRule type="containsText" dxfId="4193" priority="27" operator="containsText" text="Ear">
      <formula>NOT(ISERROR(SEARCH("Ear",I216)))</formula>
    </cfRule>
    <cfRule type="containsText" dxfId="4192" priority="28" operator="containsText" text="fnd">
      <formula>NOT(ISERROR(SEARCH("fnd",I216)))</formula>
    </cfRule>
  </conditionalFormatting>
  <conditionalFormatting sqref="J217:N217">
    <cfRule type="containsText" dxfId="4191" priority="21" operator="containsText" text="Str">
      <formula>NOT(ISERROR(SEARCH("Str",J217)))</formula>
    </cfRule>
    <cfRule type="containsText" dxfId="4190" priority="22" operator="containsText" text="Ere">
      <formula>NOT(ISERROR(SEARCH("Ere",J217)))</formula>
    </cfRule>
    <cfRule type="containsText" dxfId="4189" priority="23" operator="containsText" text="Ear">
      <formula>NOT(ISERROR(SEARCH("Ear",J217)))</formula>
    </cfRule>
    <cfRule type="containsText" dxfId="4188" priority="24" operator="containsText" text="fnd">
      <formula>NOT(ISERROR(SEARCH("fnd",J217)))</formula>
    </cfRule>
  </conditionalFormatting>
  <conditionalFormatting sqref="K5:K6">
    <cfRule type="containsText" dxfId="4187" priority="225" operator="containsText" text="Str">
      <formula>NOT(ISERROR(SEARCH("Str",K5)))</formula>
    </cfRule>
    <cfRule type="containsText" dxfId="4186" priority="226" operator="containsText" text="Ere">
      <formula>NOT(ISERROR(SEARCH("Ere",K5)))</formula>
    </cfRule>
    <cfRule type="containsText" dxfId="4185" priority="227" operator="containsText" text="Ear">
      <formula>NOT(ISERROR(SEARCH("Ear",K5)))</formula>
    </cfRule>
    <cfRule type="containsText" dxfId="4184" priority="228" operator="containsText" text="fnd">
      <formula>NOT(ISERROR(SEARCH("fnd",K5)))</formula>
    </cfRule>
  </conditionalFormatting>
  <conditionalFormatting sqref="K13:K14">
    <cfRule type="containsText" dxfId="4183" priority="1659" operator="containsText" text="Str">
      <formula>NOT(ISERROR(SEARCH("Str",K13)))</formula>
    </cfRule>
    <cfRule type="containsText" dxfId="4182" priority="1660" operator="containsText" text="Ere">
      <formula>NOT(ISERROR(SEARCH("Ere",K13)))</formula>
    </cfRule>
    <cfRule type="containsText" dxfId="4181" priority="1661" operator="containsText" text="Ear">
      <formula>NOT(ISERROR(SEARCH("Ear",K13)))</formula>
    </cfRule>
    <cfRule type="containsText" dxfId="4180" priority="1662" operator="containsText" text="fnd">
      <formula>NOT(ISERROR(SEARCH("fnd",K13)))</formula>
    </cfRule>
  </conditionalFormatting>
  <conditionalFormatting sqref="K21:K22">
    <cfRule type="containsText" dxfId="4179" priority="1799" operator="containsText" text="Str">
      <formula>NOT(ISERROR(SEARCH("Str",K21)))</formula>
    </cfRule>
    <cfRule type="containsText" dxfId="4178" priority="1800" operator="containsText" text="Ere">
      <formula>NOT(ISERROR(SEARCH("Ere",K21)))</formula>
    </cfRule>
    <cfRule type="containsText" dxfId="4177" priority="1801" operator="containsText" text="Ear">
      <formula>NOT(ISERROR(SEARCH("Ear",K21)))</formula>
    </cfRule>
    <cfRule type="containsText" dxfId="4176" priority="1802" operator="containsText" text="fnd">
      <formula>NOT(ISERROR(SEARCH("fnd",K21)))</formula>
    </cfRule>
  </conditionalFormatting>
  <conditionalFormatting sqref="K29">
    <cfRule type="containsText" dxfId="4175" priority="1519" operator="containsText" text="Str">
      <formula>NOT(ISERROR(SEARCH("Str",K29)))</formula>
    </cfRule>
    <cfRule type="containsText" dxfId="4174" priority="1520" operator="containsText" text="Ere">
      <formula>NOT(ISERROR(SEARCH("Ere",K29)))</formula>
    </cfRule>
    <cfRule type="containsText" dxfId="4173" priority="1521" operator="containsText" text="Ear">
      <formula>NOT(ISERROR(SEARCH("Ear",K29)))</formula>
    </cfRule>
    <cfRule type="containsText" dxfId="4172" priority="1522" operator="containsText" text="fnd">
      <formula>NOT(ISERROR(SEARCH("fnd",K29)))</formula>
    </cfRule>
  </conditionalFormatting>
  <conditionalFormatting sqref="K37:K38">
    <cfRule type="containsText" dxfId="4171" priority="875" operator="containsText" text="Str">
      <formula>NOT(ISERROR(SEARCH("Str",K37)))</formula>
    </cfRule>
    <cfRule type="containsText" dxfId="4170" priority="876" operator="containsText" text="Ere">
      <formula>NOT(ISERROR(SEARCH("Ere",K37)))</formula>
    </cfRule>
    <cfRule type="containsText" dxfId="4169" priority="877" operator="containsText" text="Ear">
      <formula>NOT(ISERROR(SEARCH("Ear",K37)))</formula>
    </cfRule>
    <cfRule type="containsText" dxfId="4168" priority="878" operator="containsText" text="fnd">
      <formula>NOT(ISERROR(SEARCH("fnd",K37)))</formula>
    </cfRule>
  </conditionalFormatting>
  <conditionalFormatting sqref="K45:K46">
    <cfRule type="containsText" dxfId="4167" priority="2043" operator="containsText" text="Str">
      <formula>NOT(ISERROR(SEARCH("Str",K45)))</formula>
    </cfRule>
    <cfRule type="containsText" dxfId="4166" priority="2044" operator="containsText" text="Ere">
      <formula>NOT(ISERROR(SEARCH("Ere",K45)))</formula>
    </cfRule>
    <cfRule type="containsText" dxfId="4165" priority="2045" operator="containsText" text="Ear">
      <formula>NOT(ISERROR(SEARCH("Ear",K45)))</formula>
    </cfRule>
    <cfRule type="containsText" dxfId="4164" priority="2046" operator="containsText" text="fnd">
      <formula>NOT(ISERROR(SEARCH("fnd",K45)))</formula>
    </cfRule>
  </conditionalFormatting>
  <conditionalFormatting sqref="K61">
    <cfRule type="containsText" dxfId="4163" priority="1755" operator="containsText" text="Str">
      <formula>NOT(ISERROR(SEARCH("Str",K61)))</formula>
    </cfRule>
    <cfRule type="containsText" dxfId="4162" priority="1756" operator="containsText" text="Ere">
      <formula>NOT(ISERROR(SEARCH("Ere",K61)))</formula>
    </cfRule>
    <cfRule type="containsText" dxfId="4161" priority="1757" operator="containsText" text="Ear">
      <formula>NOT(ISERROR(SEARCH("Ear",K61)))</formula>
    </cfRule>
    <cfRule type="containsText" dxfId="4160" priority="1758" operator="containsText" text="fnd">
      <formula>NOT(ISERROR(SEARCH("fnd",K61)))</formula>
    </cfRule>
  </conditionalFormatting>
  <conditionalFormatting sqref="K77 AF77:AF78">
    <cfRule type="containsText" dxfId="4159" priority="2239" operator="containsText" text="Str">
      <formula>NOT(ISERROR(SEARCH("Str",K77)))</formula>
    </cfRule>
    <cfRule type="containsText" dxfId="4158" priority="2240" operator="containsText" text="Ere">
      <formula>NOT(ISERROR(SEARCH("Ere",K77)))</formula>
    </cfRule>
    <cfRule type="containsText" dxfId="4157" priority="2241" operator="containsText" text="Ear">
      <formula>NOT(ISERROR(SEARCH("Ear",K77)))</formula>
    </cfRule>
    <cfRule type="containsText" dxfId="4156" priority="2242" operator="containsText" text="fnd">
      <formula>NOT(ISERROR(SEARCH("fnd",K77)))</formula>
    </cfRule>
  </conditionalFormatting>
  <conditionalFormatting sqref="K85 N85">
    <cfRule type="containsText" dxfId="4155" priority="2231" operator="containsText" text="Str">
      <formula>NOT(ISERROR(SEARCH("Str",K85)))</formula>
    </cfRule>
    <cfRule type="containsText" dxfId="4154" priority="2232" operator="containsText" text="Ere">
      <formula>NOT(ISERROR(SEARCH("Ere",K85)))</formula>
    </cfRule>
    <cfRule type="containsText" dxfId="4153" priority="2233" operator="containsText" text="Ear">
      <formula>NOT(ISERROR(SEARCH("Ear",K85)))</formula>
    </cfRule>
    <cfRule type="containsText" dxfId="4152" priority="2234" operator="containsText" text="fnd">
      <formula>NOT(ISERROR(SEARCH("fnd",K85)))</formula>
    </cfRule>
  </conditionalFormatting>
  <conditionalFormatting sqref="K93">
    <cfRule type="containsText" dxfId="4151" priority="2195" operator="containsText" text="Str">
      <formula>NOT(ISERROR(SEARCH("Str",K93)))</formula>
    </cfRule>
    <cfRule type="containsText" dxfId="4150" priority="2196" operator="containsText" text="Ere">
      <formula>NOT(ISERROR(SEARCH("Ere",K93)))</formula>
    </cfRule>
    <cfRule type="containsText" dxfId="4149" priority="2197" operator="containsText" text="Ear">
      <formula>NOT(ISERROR(SEARCH("Ear",K93)))</formula>
    </cfRule>
    <cfRule type="containsText" dxfId="4148" priority="2198" operator="containsText" text="fnd">
      <formula>NOT(ISERROR(SEARCH("fnd",K93)))</formula>
    </cfRule>
  </conditionalFormatting>
  <conditionalFormatting sqref="K101">
    <cfRule type="containsText" dxfId="4147" priority="1463" operator="containsText" text="Str">
      <formula>NOT(ISERROR(SEARCH("Str",K101)))</formula>
    </cfRule>
    <cfRule type="containsText" dxfId="4146" priority="1464" operator="containsText" text="Ere">
      <formula>NOT(ISERROR(SEARCH("Ere",K101)))</formula>
    </cfRule>
    <cfRule type="containsText" dxfId="4145" priority="1465" operator="containsText" text="Ear">
      <formula>NOT(ISERROR(SEARCH("Ear",K101)))</formula>
    </cfRule>
    <cfRule type="containsText" dxfId="4144" priority="1466" operator="containsText" text="fnd">
      <formula>NOT(ISERROR(SEARCH("fnd",K101)))</formula>
    </cfRule>
  </conditionalFormatting>
  <conditionalFormatting sqref="K109">
    <cfRule type="containsText" dxfId="4143" priority="1779" operator="containsText" text="Str">
      <formula>NOT(ISERROR(SEARCH("Str",K109)))</formula>
    </cfRule>
    <cfRule type="containsText" dxfId="4142" priority="1780" operator="containsText" text="Ere">
      <formula>NOT(ISERROR(SEARCH("Ere",K109)))</formula>
    </cfRule>
    <cfRule type="containsText" dxfId="4141" priority="1781" operator="containsText" text="Ear">
      <formula>NOT(ISERROR(SEARCH("Ear",K109)))</formula>
    </cfRule>
    <cfRule type="containsText" dxfId="4140" priority="1782" operator="containsText" text="fnd">
      <formula>NOT(ISERROR(SEARCH("fnd",K109)))</formula>
    </cfRule>
  </conditionalFormatting>
  <conditionalFormatting sqref="K117">
    <cfRule type="containsText" dxfId="4139" priority="1407" operator="containsText" text="Str">
      <formula>NOT(ISERROR(SEARCH("Str",K117)))</formula>
    </cfRule>
    <cfRule type="containsText" dxfId="4138" priority="1408" operator="containsText" text="Ere">
      <formula>NOT(ISERROR(SEARCH("Ere",K117)))</formula>
    </cfRule>
    <cfRule type="containsText" dxfId="4137" priority="1409" operator="containsText" text="Ear">
      <formula>NOT(ISERROR(SEARCH("Ear",K117)))</formula>
    </cfRule>
    <cfRule type="containsText" dxfId="4136" priority="1410" operator="containsText" text="fnd">
      <formula>NOT(ISERROR(SEARCH("fnd",K117)))</formula>
    </cfRule>
  </conditionalFormatting>
  <conditionalFormatting sqref="K122 K130 K138 K162 K170 K178">
    <cfRule type="containsText" dxfId="4135" priority="2007" operator="containsText" text="Str">
      <formula>NOT(ISERROR(SEARCH("Str",K122)))</formula>
    </cfRule>
    <cfRule type="containsText" dxfId="4134" priority="2008" operator="containsText" text="Ere">
      <formula>NOT(ISERROR(SEARCH("Ere",K122)))</formula>
    </cfRule>
    <cfRule type="containsText" dxfId="4133" priority="2009" operator="containsText" text="Ear">
      <formula>NOT(ISERROR(SEARCH("Ear",K122)))</formula>
    </cfRule>
    <cfRule type="containsText" dxfId="4132" priority="2010" operator="containsText" text="fnd">
      <formula>NOT(ISERROR(SEARCH("fnd",K122)))</formula>
    </cfRule>
  </conditionalFormatting>
  <conditionalFormatting sqref="K125">
    <cfRule type="containsText" dxfId="4131" priority="691" operator="containsText" text="Str">
      <formula>NOT(ISERROR(SEARCH("Str",K125)))</formula>
    </cfRule>
    <cfRule type="containsText" dxfId="4130" priority="692" operator="containsText" text="Ere">
      <formula>NOT(ISERROR(SEARCH("Ere",K125)))</formula>
    </cfRule>
    <cfRule type="containsText" dxfId="4129" priority="693" operator="containsText" text="Ear">
      <formula>NOT(ISERROR(SEARCH("Ear",K125)))</formula>
    </cfRule>
    <cfRule type="containsText" dxfId="4128" priority="694" operator="containsText" text="fnd">
      <formula>NOT(ISERROR(SEARCH("fnd",K125)))</formula>
    </cfRule>
  </conditionalFormatting>
  <conditionalFormatting sqref="K133">
    <cfRule type="containsText" dxfId="4127" priority="45" operator="containsText" text="Ere">
      <formula>NOT(ISERROR(SEARCH("Ere",K133)))</formula>
    </cfRule>
  </conditionalFormatting>
  <conditionalFormatting sqref="K141">
    <cfRule type="containsText" dxfId="4126" priority="1267" operator="containsText" text="Str">
      <formula>NOT(ISERROR(SEARCH("Str",K141)))</formula>
    </cfRule>
    <cfRule type="containsText" dxfId="4125" priority="1268" operator="containsText" text="Ere">
      <formula>NOT(ISERROR(SEARCH("Ere",K141)))</formula>
    </cfRule>
    <cfRule type="containsText" dxfId="4124" priority="1269" operator="containsText" text="Ear">
      <formula>NOT(ISERROR(SEARCH("Ear",K141)))</formula>
    </cfRule>
    <cfRule type="containsText" dxfId="4123" priority="1270" operator="containsText" text="fnd">
      <formula>NOT(ISERROR(SEARCH("fnd",K141)))</formula>
    </cfRule>
  </conditionalFormatting>
  <conditionalFormatting sqref="K149">
    <cfRule type="containsText" dxfId="4122" priority="1179" operator="containsText" text="Str">
      <formula>NOT(ISERROR(SEARCH("Str",K149)))</formula>
    </cfRule>
    <cfRule type="containsText" dxfId="4121" priority="1180" operator="containsText" text="Ere">
      <formula>NOT(ISERROR(SEARCH("Ere",K149)))</formula>
    </cfRule>
    <cfRule type="containsText" dxfId="4120" priority="1181" operator="containsText" text="Ear">
      <formula>NOT(ISERROR(SEARCH("Ear",K149)))</formula>
    </cfRule>
    <cfRule type="containsText" dxfId="4119" priority="1182" operator="containsText" text="fnd">
      <formula>NOT(ISERROR(SEARCH("fnd",K149)))</formula>
    </cfRule>
  </conditionalFormatting>
  <conditionalFormatting sqref="K157">
    <cfRule type="containsText" dxfId="4118" priority="1123" operator="containsText" text="Str">
      <formula>NOT(ISERROR(SEARCH("Str",K157)))</formula>
    </cfRule>
    <cfRule type="containsText" dxfId="4117" priority="1124" operator="containsText" text="Ere">
      <formula>NOT(ISERROR(SEARCH("Ere",K157)))</formula>
    </cfRule>
    <cfRule type="containsText" dxfId="4116" priority="1125" operator="containsText" text="Ear">
      <formula>NOT(ISERROR(SEARCH("Ear",K157)))</formula>
    </cfRule>
    <cfRule type="containsText" dxfId="4115" priority="1126" operator="containsText" text="fnd">
      <formula>NOT(ISERROR(SEARCH("fnd",K157)))</formula>
    </cfRule>
  </conditionalFormatting>
  <conditionalFormatting sqref="K165">
    <cfRule type="containsText" dxfId="4114" priority="365" operator="containsText" text="Str">
      <formula>NOT(ISERROR(SEARCH("Str",K165)))</formula>
    </cfRule>
    <cfRule type="containsText" dxfId="4113" priority="366" operator="containsText" text="Ere">
      <formula>NOT(ISERROR(SEARCH("Ere",K165)))</formula>
    </cfRule>
    <cfRule type="containsText" dxfId="4112" priority="367" operator="containsText" text="Ear">
      <formula>NOT(ISERROR(SEARCH("Ear",K165)))</formula>
    </cfRule>
    <cfRule type="containsText" dxfId="4111" priority="368" operator="containsText" text="fnd">
      <formula>NOT(ISERROR(SEARCH("fnd",K165)))</formula>
    </cfRule>
  </conditionalFormatting>
  <conditionalFormatting sqref="K173">
    <cfRule type="containsText" dxfId="4110" priority="529" operator="containsText" text="Str">
      <formula>NOT(ISERROR(SEARCH("Str",K173)))</formula>
    </cfRule>
    <cfRule type="containsText" dxfId="4109" priority="530" operator="containsText" text="Ere">
      <formula>NOT(ISERROR(SEARCH("Ere",K173)))</formula>
    </cfRule>
    <cfRule type="containsText" dxfId="4108" priority="531" operator="containsText" text="Ear">
      <formula>NOT(ISERROR(SEARCH("Ear",K173)))</formula>
    </cfRule>
    <cfRule type="containsText" dxfId="4107" priority="532" operator="containsText" text="fnd">
      <formula>NOT(ISERROR(SEARCH("fnd",K173)))</formula>
    </cfRule>
  </conditionalFormatting>
  <conditionalFormatting sqref="K181">
    <cfRule type="containsText" dxfId="4106" priority="137" operator="containsText" text="Str">
      <formula>NOT(ISERROR(SEARCH("Str",K181)))</formula>
    </cfRule>
    <cfRule type="containsText" dxfId="4105" priority="138" operator="containsText" text="Ere">
      <formula>NOT(ISERROR(SEARCH("Ere",K181)))</formula>
    </cfRule>
    <cfRule type="containsText" dxfId="4104" priority="139" operator="containsText" text="Ear">
      <formula>NOT(ISERROR(SEARCH("Ear",K181)))</formula>
    </cfRule>
    <cfRule type="containsText" dxfId="4103" priority="140" operator="containsText" text="fnd">
      <formula>NOT(ISERROR(SEARCH("fnd",K181)))</formula>
    </cfRule>
  </conditionalFormatting>
  <conditionalFormatting sqref="K207:K208">
    <cfRule type="containsText" dxfId="4102" priority="2087" operator="containsText" text="Str">
      <formula>NOT(ISERROR(SEARCH("Str",K207)))</formula>
    </cfRule>
    <cfRule type="containsText" dxfId="4101" priority="2088" operator="containsText" text="Ere">
      <formula>NOT(ISERROR(SEARCH("Ere",K207)))</formula>
    </cfRule>
    <cfRule type="containsText" dxfId="4100" priority="2089" operator="containsText" text="Ear">
      <formula>NOT(ISERROR(SEARCH("Ear",K207)))</formula>
    </cfRule>
    <cfRule type="containsText" dxfId="4099" priority="2090" operator="containsText" text="fnd">
      <formula>NOT(ISERROR(SEARCH("fnd",K207)))</formula>
    </cfRule>
  </conditionalFormatting>
  <conditionalFormatting sqref="K30:L30">
    <cfRule type="containsText" dxfId="4098" priority="1523" operator="containsText" text="Str">
      <formula>NOT(ISERROR(SEARCH("Str",K30)))</formula>
    </cfRule>
    <cfRule type="containsText" dxfId="4097" priority="1524" operator="containsText" text="Ere">
      <formula>NOT(ISERROR(SEARCH("Ere",K30)))</formula>
    </cfRule>
    <cfRule type="containsText" dxfId="4096" priority="1525" operator="containsText" text="Ear">
      <formula>NOT(ISERROR(SEARCH("Ear",K30)))</formula>
    </cfRule>
    <cfRule type="containsText" dxfId="4095" priority="1526" operator="containsText" text="fnd">
      <formula>NOT(ISERROR(SEARCH("fnd",K30)))</formula>
    </cfRule>
  </conditionalFormatting>
  <conditionalFormatting sqref="K54:L54">
    <cfRule type="containsText" dxfId="4094" priority="2287" operator="containsText" text="Str">
      <formula>NOT(ISERROR(SEARCH("Str",K54)))</formula>
    </cfRule>
    <cfRule type="containsText" dxfId="4093" priority="2288" operator="containsText" text="Ere">
      <formula>NOT(ISERROR(SEARCH("Ere",K54)))</formula>
    </cfRule>
    <cfRule type="containsText" dxfId="4092" priority="2289" operator="containsText" text="Ear">
      <formula>NOT(ISERROR(SEARCH("Ear",K54)))</formula>
    </cfRule>
    <cfRule type="containsText" dxfId="4091" priority="2290" operator="containsText" text="fnd">
      <formula>NOT(ISERROR(SEARCH("fnd",K54)))</formula>
    </cfRule>
  </conditionalFormatting>
  <conditionalFormatting sqref="K62:L62">
    <cfRule type="containsText" dxfId="4090" priority="1759" operator="containsText" text="Str">
      <formula>NOT(ISERROR(SEARCH("Str",K62)))</formula>
    </cfRule>
    <cfRule type="containsText" dxfId="4089" priority="1760" operator="containsText" text="Ere">
      <formula>NOT(ISERROR(SEARCH("Ere",K62)))</formula>
    </cfRule>
    <cfRule type="containsText" dxfId="4088" priority="1761" operator="containsText" text="Ear">
      <formula>NOT(ISERROR(SEARCH("Ear",K62)))</formula>
    </cfRule>
    <cfRule type="containsText" dxfId="4087" priority="1762" operator="containsText" text="fnd">
      <formula>NOT(ISERROR(SEARCH("fnd",K62)))</formula>
    </cfRule>
  </conditionalFormatting>
  <conditionalFormatting sqref="K78:L78">
    <cfRule type="containsText" dxfId="4086" priority="2247" operator="containsText" text="Str">
      <formula>NOT(ISERROR(SEARCH("Str",K78)))</formula>
    </cfRule>
    <cfRule type="containsText" dxfId="4085" priority="2248" operator="containsText" text="Ere">
      <formula>NOT(ISERROR(SEARCH("Ere",K78)))</formula>
    </cfRule>
    <cfRule type="containsText" dxfId="4084" priority="2249" operator="containsText" text="Ear">
      <formula>NOT(ISERROR(SEARCH("Ear",K78)))</formula>
    </cfRule>
    <cfRule type="containsText" dxfId="4083" priority="2250" operator="containsText" text="fnd">
      <formula>NOT(ISERROR(SEARCH("fnd",K78)))</formula>
    </cfRule>
  </conditionalFormatting>
  <conditionalFormatting sqref="K94:L94">
    <cfRule type="containsText" dxfId="4082" priority="2211" operator="containsText" text="Str">
      <formula>NOT(ISERROR(SEARCH("Str",K94)))</formula>
    </cfRule>
    <cfRule type="containsText" dxfId="4081" priority="2212" operator="containsText" text="Ere">
      <formula>NOT(ISERROR(SEARCH("Ere",K94)))</formula>
    </cfRule>
    <cfRule type="containsText" dxfId="4080" priority="2213" operator="containsText" text="Ear">
      <formula>NOT(ISERROR(SEARCH("Ear",K94)))</formula>
    </cfRule>
    <cfRule type="containsText" dxfId="4079" priority="2214" operator="containsText" text="fnd">
      <formula>NOT(ISERROR(SEARCH("fnd",K94)))</formula>
    </cfRule>
  </conditionalFormatting>
  <conditionalFormatting sqref="K102:L102">
    <cfRule type="containsText" dxfId="4078" priority="1467" operator="containsText" text="Str">
      <formula>NOT(ISERROR(SEARCH("Str",K102)))</formula>
    </cfRule>
    <cfRule type="containsText" dxfId="4077" priority="1468" operator="containsText" text="Ere">
      <formula>NOT(ISERROR(SEARCH("Ere",K102)))</formula>
    </cfRule>
    <cfRule type="containsText" dxfId="4076" priority="1469" operator="containsText" text="Ear">
      <formula>NOT(ISERROR(SEARCH("Ear",K102)))</formula>
    </cfRule>
    <cfRule type="containsText" dxfId="4075" priority="1470" operator="containsText" text="fnd">
      <formula>NOT(ISERROR(SEARCH("fnd",K102)))</formula>
    </cfRule>
  </conditionalFormatting>
  <conditionalFormatting sqref="K110:L110">
    <cfRule type="containsText" dxfId="4074" priority="1783" operator="containsText" text="Str">
      <formula>NOT(ISERROR(SEARCH("Str",K110)))</formula>
    </cfRule>
    <cfRule type="containsText" dxfId="4073" priority="1784" operator="containsText" text="Ere">
      <formula>NOT(ISERROR(SEARCH("Ere",K110)))</formula>
    </cfRule>
    <cfRule type="containsText" dxfId="4072" priority="1785" operator="containsText" text="Ear">
      <formula>NOT(ISERROR(SEARCH("Ear",K110)))</formula>
    </cfRule>
    <cfRule type="containsText" dxfId="4071" priority="1786" operator="containsText" text="fnd">
      <formula>NOT(ISERROR(SEARCH("fnd",K110)))</formula>
    </cfRule>
  </conditionalFormatting>
  <conditionalFormatting sqref="K118:L118">
    <cfRule type="containsText" dxfId="4070" priority="1411" operator="containsText" text="Str">
      <formula>NOT(ISERROR(SEARCH("Str",K118)))</formula>
    </cfRule>
    <cfRule type="containsText" dxfId="4069" priority="1412" operator="containsText" text="Ere">
      <formula>NOT(ISERROR(SEARCH("Ere",K118)))</formula>
    </cfRule>
    <cfRule type="containsText" dxfId="4068" priority="1413" operator="containsText" text="Ear">
      <formula>NOT(ISERROR(SEARCH("Ear",K118)))</formula>
    </cfRule>
    <cfRule type="containsText" dxfId="4067" priority="1414" operator="containsText" text="fnd">
      <formula>NOT(ISERROR(SEARCH("fnd",K118)))</formula>
    </cfRule>
  </conditionalFormatting>
  <conditionalFormatting sqref="K126:L126">
    <cfRule type="containsText" dxfId="4066" priority="695" operator="containsText" text="Str">
      <formula>NOT(ISERROR(SEARCH("Str",K126)))</formula>
    </cfRule>
    <cfRule type="containsText" dxfId="4065" priority="696" operator="containsText" text="Ere">
      <formula>NOT(ISERROR(SEARCH("Ere",K126)))</formula>
    </cfRule>
    <cfRule type="containsText" dxfId="4064" priority="697" operator="containsText" text="Ear">
      <formula>NOT(ISERROR(SEARCH("Ear",K126)))</formula>
    </cfRule>
    <cfRule type="containsText" dxfId="4063" priority="698" operator="containsText" text="fnd">
      <formula>NOT(ISERROR(SEARCH("fnd",K126)))</formula>
    </cfRule>
  </conditionalFormatting>
  <conditionalFormatting sqref="K134:L134">
    <cfRule type="containsText" dxfId="4062" priority="46" operator="containsText" text="Ere">
      <formula>NOT(ISERROR(SEARCH("Ere",K134)))</formula>
    </cfRule>
    <cfRule type="containsText" dxfId="4061" priority="47" operator="containsText" text="Ear">
      <formula>NOT(ISERROR(SEARCH("Ear",K134)))</formula>
    </cfRule>
    <cfRule type="containsText" dxfId="4060" priority="48" operator="containsText" text="fnd">
      <formula>NOT(ISERROR(SEARCH("fnd",K134)))</formula>
    </cfRule>
    <cfRule type="containsText" dxfId="4059" priority="2311" operator="containsText" text="Str">
      <formula>NOT(ISERROR(SEARCH("Str",K134)))</formula>
    </cfRule>
  </conditionalFormatting>
  <conditionalFormatting sqref="K142:L142">
    <cfRule type="containsText" dxfId="4058" priority="1271" operator="containsText" text="Str">
      <formula>NOT(ISERROR(SEARCH("Str",K142)))</formula>
    </cfRule>
    <cfRule type="containsText" dxfId="4057" priority="1272" operator="containsText" text="Ere">
      <formula>NOT(ISERROR(SEARCH("Ere",K142)))</formula>
    </cfRule>
    <cfRule type="containsText" dxfId="4056" priority="1273" operator="containsText" text="Ear">
      <formula>NOT(ISERROR(SEARCH("Ear",K142)))</formula>
    </cfRule>
    <cfRule type="containsText" dxfId="4055" priority="1274" operator="containsText" text="fnd">
      <formula>NOT(ISERROR(SEARCH("fnd",K142)))</formula>
    </cfRule>
  </conditionalFormatting>
  <conditionalFormatting sqref="K150:L150">
    <cfRule type="containsText" dxfId="4054" priority="1183" operator="containsText" text="Str">
      <formula>NOT(ISERROR(SEARCH("Str",K150)))</formula>
    </cfRule>
    <cfRule type="containsText" dxfId="4053" priority="1184" operator="containsText" text="Ere">
      <formula>NOT(ISERROR(SEARCH("Ere",K150)))</formula>
    </cfRule>
    <cfRule type="containsText" dxfId="4052" priority="1185" operator="containsText" text="Ear">
      <formula>NOT(ISERROR(SEARCH("Ear",K150)))</formula>
    </cfRule>
    <cfRule type="containsText" dxfId="4051" priority="1186" operator="containsText" text="fnd">
      <formula>NOT(ISERROR(SEARCH("fnd",K150)))</formula>
    </cfRule>
  </conditionalFormatting>
  <conditionalFormatting sqref="K158:L158">
    <cfRule type="containsText" dxfId="4050" priority="1127" operator="containsText" text="Str">
      <formula>NOT(ISERROR(SEARCH("Str",K158)))</formula>
    </cfRule>
    <cfRule type="containsText" dxfId="4049" priority="1128" operator="containsText" text="Ere">
      <formula>NOT(ISERROR(SEARCH("Ere",K158)))</formula>
    </cfRule>
    <cfRule type="containsText" dxfId="4048" priority="1129" operator="containsText" text="Ear">
      <formula>NOT(ISERROR(SEARCH("Ear",K158)))</formula>
    </cfRule>
    <cfRule type="containsText" dxfId="4047" priority="1130" operator="containsText" text="fnd">
      <formula>NOT(ISERROR(SEARCH("fnd",K158)))</formula>
    </cfRule>
  </conditionalFormatting>
  <conditionalFormatting sqref="K166:L166">
    <cfRule type="containsText" dxfId="4046" priority="369" operator="containsText" text="Str">
      <formula>NOT(ISERROR(SEARCH("Str",K166)))</formula>
    </cfRule>
    <cfRule type="containsText" dxfId="4045" priority="370" operator="containsText" text="Ere">
      <formula>NOT(ISERROR(SEARCH("Ere",K166)))</formula>
    </cfRule>
    <cfRule type="containsText" dxfId="4044" priority="371" operator="containsText" text="Ear">
      <formula>NOT(ISERROR(SEARCH("Ear",K166)))</formula>
    </cfRule>
    <cfRule type="containsText" dxfId="4043" priority="372" operator="containsText" text="fnd">
      <formula>NOT(ISERROR(SEARCH("fnd",K166)))</formula>
    </cfRule>
  </conditionalFormatting>
  <conditionalFormatting sqref="K174:L174">
    <cfRule type="containsText" dxfId="4042" priority="533" operator="containsText" text="Str">
      <formula>NOT(ISERROR(SEARCH("Str",K174)))</formula>
    </cfRule>
    <cfRule type="containsText" dxfId="4041" priority="534" operator="containsText" text="Ere">
      <formula>NOT(ISERROR(SEARCH("Ere",K174)))</formula>
    </cfRule>
    <cfRule type="containsText" dxfId="4040" priority="535" operator="containsText" text="Ear">
      <formula>NOT(ISERROR(SEARCH("Ear",K174)))</formula>
    </cfRule>
    <cfRule type="containsText" dxfId="4039" priority="536" operator="containsText" text="fnd">
      <formula>NOT(ISERROR(SEARCH("fnd",K174)))</formula>
    </cfRule>
  </conditionalFormatting>
  <conditionalFormatting sqref="K182:L182">
    <cfRule type="containsText" dxfId="4038" priority="141" operator="containsText" text="Str">
      <formula>NOT(ISERROR(SEARCH("Str",K182)))</formula>
    </cfRule>
    <cfRule type="containsText" dxfId="4037" priority="142" operator="containsText" text="Ere">
      <formula>NOT(ISERROR(SEARCH("Ere",K182)))</formula>
    </cfRule>
    <cfRule type="containsText" dxfId="4036" priority="143" operator="containsText" text="Ear">
      <formula>NOT(ISERROR(SEARCH("Ear",K182)))</formula>
    </cfRule>
    <cfRule type="containsText" dxfId="4035" priority="144" operator="containsText" text="fnd">
      <formula>NOT(ISERROR(SEARCH("fnd",K182)))</formula>
    </cfRule>
  </conditionalFormatting>
  <conditionalFormatting sqref="L6">
    <cfRule type="containsText" dxfId="4034" priority="221" operator="containsText" text="Str">
      <formula>NOT(ISERROR(SEARCH("Str",L6)))</formula>
    </cfRule>
    <cfRule type="containsText" dxfId="4033" priority="222" operator="containsText" text="Ere">
      <formula>NOT(ISERROR(SEARCH("Ere",L6)))</formula>
    </cfRule>
    <cfRule type="containsText" dxfId="4032" priority="223" operator="containsText" text="Ear">
      <formula>NOT(ISERROR(SEARCH("Ear",L6)))</formula>
    </cfRule>
    <cfRule type="containsText" dxfId="4031" priority="224" operator="containsText" text="fnd">
      <formula>NOT(ISERROR(SEARCH("fnd",L6)))</formula>
    </cfRule>
  </conditionalFormatting>
  <conditionalFormatting sqref="L14">
    <cfRule type="containsText" dxfId="4030" priority="1655" operator="containsText" text="Str">
      <formula>NOT(ISERROR(SEARCH("Str",L14)))</formula>
    </cfRule>
    <cfRule type="containsText" dxfId="4029" priority="1656" operator="containsText" text="Ere">
      <formula>NOT(ISERROR(SEARCH("Ere",L14)))</formula>
    </cfRule>
    <cfRule type="containsText" dxfId="4028" priority="1657" operator="containsText" text="Ear">
      <formula>NOT(ISERROR(SEARCH("Ear",L14)))</formula>
    </cfRule>
    <cfRule type="containsText" dxfId="4027" priority="1658" operator="containsText" text="fnd">
      <formula>NOT(ISERROR(SEARCH("fnd",L14)))</formula>
    </cfRule>
  </conditionalFormatting>
  <conditionalFormatting sqref="L22">
    <cfRule type="containsText" dxfId="4026" priority="1795" operator="containsText" text="Str">
      <formula>NOT(ISERROR(SEARCH("Str",L22)))</formula>
    </cfRule>
    <cfRule type="containsText" dxfId="4025" priority="1796" operator="containsText" text="Ere">
      <formula>NOT(ISERROR(SEARCH("Ere",L22)))</formula>
    </cfRule>
    <cfRule type="containsText" dxfId="4024" priority="1797" operator="containsText" text="Ear">
      <formula>NOT(ISERROR(SEARCH("Ear",L22)))</formula>
    </cfRule>
    <cfRule type="containsText" dxfId="4023" priority="1798" operator="containsText" text="fnd">
      <formula>NOT(ISERROR(SEARCH("fnd",L22)))</formula>
    </cfRule>
  </conditionalFormatting>
  <conditionalFormatting sqref="L38">
    <cfRule type="containsText" dxfId="4022" priority="871" operator="containsText" text="Str">
      <formula>NOT(ISERROR(SEARCH("Str",L38)))</formula>
    </cfRule>
    <cfRule type="containsText" dxfId="4021" priority="872" operator="containsText" text="Ere">
      <formula>NOT(ISERROR(SEARCH("Ere",L38)))</formula>
    </cfRule>
    <cfRule type="containsText" dxfId="4020" priority="873" operator="containsText" text="Ear">
      <formula>NOT(ISERROR(SEARCH("Ear",L38)))</formula>
    </cfRule>
    <cfRule type="containsText" dxfId="4019" priority="874" operator="containsText" text="fnd">
      <formula>NOT(ISERROR(SEARCH("fnd",L38)))</formula>
    </cfRule>
  </conditionalFormatting>
  <conditionalFormatting sqref="N5:N6">
    <cfRule type="containsText" dxfId="4018" priority="217" operator="containsText" text="Str">
      <formula>NOT(ISERROR(SEARCH("Str",N5)))</formula>
    </cfRule>
    <cfRule type="containsText" dxfId="4017" priority="218" operator="containsText" text="Ere">
      <formula>NOT(ISERROR(SEARCH("Ere",N5)))</formula>
    </cfRule>
    <cfRule type="containsText" dxfId="4016" priority="219" operator="containsText" text="Ear">
      <formula>NOT(ISERROR(SEARCH("Ear",N5)))</formula>
    </cfRule>
    <cfRule type="containsText" dxfId="4015" priority="220" operator="containsText" text="fnd">
      <formula>NOT(ISERROR(SEARCH("fnd",N5)))</formula>
    </cfRule>
  </conditionalFormatting>
  <conditionalFormatting sqref="N13:N14">
    <cfRule type="containsText" dxfId="4014" priority="1667" operator="containsText" text="Str">
      <formula>NOT(ISERROR(SEARCH("Str",N13)))</formula>
    </cfRule>
    <cfRule type="containsText" dxfId="4013" priority="1668" operator="containsText" text="Ere">
      <formula>NOT(ISERROR(SEARCH("Ere",N13)))</formula>
    </cfRule>
    <cfRule type="containsText" dxfId="4012" priority="1669" operator="containsText" text="Ear">
      <formula>NOT(ISERROR(SEARCH("Ear",N13)))</formula>
    </cfRule>
    <cfRule type="containsText" dxfId="4011" priority="1670" operator="containsText" text="fnd">
      <formula>NOT(ISERROR(SEARCH("fnd",N13)))</formula>
    </cfRule>
  </conditionalFormatting>
  <conditionalFormatting sqref="N21:N22">
    <cfRule type="containsText" dxfId="4010" priority="1587" operator="containsText" text="Str">
      <formula>NOT(ISERROR(SEARCH("Str",N21)))</formula>
    </cfRule>
    <cfRule type="containsText" dxfId="4009" priority="1588" operator="containsText" text="Ere">
      <formula>NOT(ISERROR(SEARCH("Ere",N21)))</formula>
    </cfRule>
    <cfRule type="containsText" dxfId="4008" priority="1589" operator="containsText" text="Ear">
      <formula>NOT(ISERROR(SEARCH("Ear",N21)))</formula>
    </cfRule>
    <cfRule type="containsText" dxfId="4007" priority="1590" operator="containsText" text="fnd">
      <formula>NOT(ISERROR(SEARCH("fnd",N21)))</formula>
    </cfRule>
  </conditionalFormatting>
  <conditionalFormatting sqref="N29">
    <cfRule type="containsText" dxfId="4006" priority="1511" operator="containsText" text="Str">
      <formula>NOT(ISERROR(SEARCH("Str",N29)))</formula>
    </cfRule>
    <cfRule type="containsText" dxfId="4005" priority="1512" operator="containsText" text="Ere">
      <formula>NOT(ISERROR(SEARCH("Ere",N29)))</formula>
    </cfRule>
    <cfRule type="containsText" dxfId="4004" priority="1513" operator="containsText" text="Ear">
      <formula>NOT(ISERROR(SEARCH("Ear",N29)))</formula>
    </cfRule>
    <cfRule type="containsText" dxfId="4003" priority="1514" operator="containsText" text="fnd">
      <formula>NOT(ISERROR(SEARCH("fnd",N29)))</formula>
    </cfRule>
  </conditionalFormatting>
  <conditionalFormatting sqref="N37:N38">
    <cfRule type="containsText" dxfId="4002" priority="867" operator="containsText" text="Str">
      <formula>NOT(ISERROR(SEARCH("Str",N37)))</formula>
    </cfRule>
    <cfRule type="containsText" dxfId="4001" priority="868" operator="containsText" text="Ere">
      <formula>NOT(ISERROR(SEARCH("Ere",N37)))</formula>
    </cfRule>
    <cfRule type="containsText" dxfId="4000" priority="869" operator="containsText" text="Ear">
      <formula>NOT(ISERROR(SEARCH("Ear",N37)))</formula>
    </cfRule>
    <cfRule type="containsText" dxfId="3999" priority="870" operator="containsText" text="fnd">
      <formula>NOT(ISERROR(SEARCH("fnd",N37)))</formula>
    </cfRule>
  </conditionalFormatting>
  <conditionalFormatting sqref="N45 T45 W45">
    <cfRule type="containsText" dxfId="3998" priority="2259" operator="containsText" text="Str">
      <formula>NOT(ISERROR(SEARCH("Str",N45)))</formula>
    </cfRule>
    <cfRule type="containsText" dxfId="3997" priority="2260" operator="containsText" text="Ere">
      <formula>NOT(ISERROR(SEARCH("Ere",N45)))</formula>
    </cfRule>
    <cfRule type="containsText" dxfId="3996" priority="2261" operator="containsText" text="Ear">
      <formula>NOT(ISERROR(SEARCH("Ear",N45)))</formula>
    </cfRule>
    <cfRule type="containsText" dxfId="3995" priority="2262" operator="containsText" text="fnd">
      <formula>NOT(ISERROR(SEARCH("fnd",N45)))</formula>
    </cfRule>
  </conditionalFormatting>
  <conditionalFormatting sqref="N53">
    <cfRule type="containsText" dxfId="3994" priority="2183" operator="containsText" text="Str">
      <formula>NOT(ISERROR(SEARCH("Str",N53)))</formula>
    </cfRule>
    <cfRule type="containsText" dxfId="3993" priority="2184" operator="containsText" text="Ere">
      <formula>NOT(ISERROR(SEARCH("Ere",N53)))</formula>
    </cfRule>
    <cfRule type="containsText" dxfId="3992" priority="2185" operator="containsText" text="Ear">
      <formula>NOT(ISERROR(SEARCH("Ear",N53)))</formula>
    </cfRule>
    <cfRule type="containsText" dxfId="3991" priority="2186" operator="containsText" text="fnd">
      <formula>NOT(ISERROR(SEARCH("fnd",N53)))</formula>
    </cfRule>
  </conditionalFormatting>
  <conditionalFormatting sqref="N61">
    <cfRule type="containsText" dxfId="3990" priority="1823" operator="containsText" text="Str">
      <formula>NOT(ISERROR(SEARCH("Str",N61)))</formula>
    </cfRule>
    <cfRule type="containsText" dxfId="3989" priority="1824" operator="containsText" text="Ere">
      <formula>NOT(ISERROR(SEARCH("Ere",N61)))</formula>
    </cfRule>
    <cfRule type="containsText" dxfId="3988" priority="1825" operator="containsText" text="Ear">
      <formula>NOT(ISERROR(SEARCH("Ear",N61)))</formula>
    </cfRule>
    <cfRule type="containsText" dxfId="3987" priority="1826" operator="containsText" text="fnd">
      <formula>NOT(ISERROR(SEARCH("fnd",N61)))</formula>
    </cfRule>
  </conditionalFormatting>
  <conditionalFormatting sqref="N93">
    <cfRule type="containsText" dxfId="3986" priority="1915" operator="containsText" text="Str">
      <formula>NOT(ISERROR(SEARCH("Str",N93)))</formula>
    </cfRule>
    <cfRule type="containsText" dxfId="3985" priority="1916" operator="containsText" text="Ere">
      <formula>NOT(ISERROR(SEARCH("Ere",N93)))</formula>
    </cfRule>
    <cfRule type="containsText" dxfId="3984" priority="1917" operator="containsText" text="Ear">
      <formula>NOT(ISERROR(SEARCH("Ear",N93)))</formula>
    </cfRule>
    <cfRule type="containsText" dxfId="3983" priority="1918" operator="containsText" text="fnd">
      <formula>NOT(ISERROR(SEARCH("fnd",N93)))</formula>
    </cfRule>
  </conditionalFormatting>
  <conditionalFormatting sqref="N101">
    <cfRule type="containsText" dxfId="3982" priority="293" operator="containsText" text="Str">
      <formula>NOT(ISERROR(SEARCH("Str",N101)))</formula>
    </cfRule>
    <cfRule type="containsText" dxfId="3981" priority="294" operator="containsText" text="Ere">
      <formula>NOT(ISERROR(SEARCH("Ere",N101)))</formula>
    </cfRule>
    <cfRule type="containsText" dxfId="3980" priority="295" operator="containsText" text="Ear">
      <formula>NOT(ISERROR(SEARCH("Ear",N101)))</formula>
    </cfRule>
    <cfRule type="containsText" dxfId="3979" priority="296" operator="containsText" text="fnd">
      <formula>NOT(ISERROR(SEARCH("fnd",N101)))</formula>
    </cfRule>
  </conditionalFormatting>
  <conditionalFormatting sqref="N109">
    <cfRule type="containsText" dxfId="3978" priority="1723" operator="containsText" text="Str">
      <formula>NOT(ISERROR(SEARCH("Str",N109)))</formula>
    </cfRule>
    <cfRule type="containsText" dxfId="3977" priority="1724" operator="containsText" text="Ere">
      <formula>NOT(ISERROR(SEARCH("Ere",N109)))</formula>
    </cfRule>
    <cfRule type="containsText" dxfId="3976" priority="1725" operator="containsText" text="Ear">
      <formula>NOT(ISERROR(SEARCH("Ear",N109)))</formula>
    </cfRule>
    <cfRule type="containsText" dxfId="3975" priority="1726" operator="containsText" text="fnd">
      <formula>NOT(ISERROR(SEARCH("fnd",N109)))</formula>
    </cfRule>
  </conditionalFormatting>
  <conditionalFormatting sqref="N117">
    <cfRule type="containsText" dxfId="3974" priority="1383" operator="containsText" text="Str">
      <formula>NOT(ISERROR(SEARCH("Str",N117)))</formula>
    </cfRule>
    <cfRule type="containsText" dxfId="3973" priority="1384" operator="containsText" text="Ere">
      <formula>NOT(ISERROR(SEARCH("Ere",N117)))</formula>
    </cfRule>
    <cfRule type="containsText" dxfId="3972" priority="1385" operator="containsText" text="Ear">
      <formula>NOT(ISERROR(SEARCH("Ear",N117)))</formula>
    </cfRule>
    <cfRule type="containsText" dxfId="3971" priority="1386" operator="containsText" text="fnd">
      <formula>NOT(ISERROR(SEARCH("fnd",N117)))</formula>
    </cfRule>
  </conditionalFormatting>
  <conditionalFormatting sqref="N122 N130 N138 N162 N178">
    <cfRule type="containsText" dxfId="3970" priority="2011" operator="containsText" text="Str">
      <formula>NOT(ISERROR(SEARCH("Str",N122)))</formula>
    </cfRule>
    <cfRule type="containsText" dxfId="3969" priority="2012" operator="containsText" text="Ere">
      <formula>NOT(ISERROR(SEARCH("Ere",N122)))</formula>
    </cfRule>
    <cfRule type="containsText" dxfId="3968" priority="2013" operator="containsText" text="Ear">
      <formula>NOT(ISERROR(SEARCH("Ear",N122)))</formula>
    </cfRule>
    <cfRule type="containsText" dxfId="3967" priority="2014" operator="containsText" text="fnd">
      <formula>NOT(ISERROR(SEARCH("fnd",N122)))</formula>
    </cfRule>
  </conditionalFormatting>
  <conditionalFormatting sqref="N125">
    <cfRule type="containsText" dxfId="3966" priority="631" operator="containsText" text="Str">
      <formula>NOT(ISERROR(SEARCH("Str",N125)))</formula>
    </cfRule>
    <cfRule type="containsText" dxfId="3965" priority="632" operator="containsText" text="Ere">
      <formula>NOT(ISERROR(SEARCH("Ere",N125)))</formula>
    </cfRule>
    <cfRule type="containsText" dxfId="3964" priority="633" operator="containsText" text="Ear">
      <formula>NOT(ISERROR(SEARCH("Ear",N125)))</formula>
    </cfRule>
    <cfRule type="containsText" dxfId="3963" priority="634" operator="containsText" text="fnd">
      <formula>NOT(ISERROR(SEARCH("fnd",N125)))</formula>
    </cfRule>
  </conditionalFormatting>
  <conditionalFormatting sqref="N133">
    <cfRule type="containsText" dxfId="3962" priority="1327" operator="containsText" text="Str">
      <formula>NOT(ISERROR(SEARCH("Str",N133)))</formula>
    </cfRule>
    <cfRule type="containsText" dxfId="3961" priority="1328" operator="containsText" text="Ere">
      <formula>NOT(ISERROR(SEARCH("Ere",N133)))</formula>
    </cfRule>
    <cfRule type="containsText" dxfId="3960" priority="1329" operator="containsText" text="Ear">
      <formula>NOT(ISERROR(SEARCH("Ear",N133)))</formula>
    </cfRule>
    <cfRule type="containsText" dxfId="3959" priority="1330" operator="containsText" text="fnd">
      <formula>NOT(ISERROR(SEARCH("fnd",N133)))</formula>
    </cfRule>
  </conditionalFormatting>
  <conditionalFormatting sqref="N141">
    <cfRule type="containsText" dxfId="3958" priority="1243" operator="containsText" text="Str">
      <formula>NOT(ISERROR(SEARCH("Str",N141)))</formula>
    </cfRule>
    <cfRule type="containsText" dxfId="3957" priority="1244" operator="containsText" text="Ere">
      <formula>NOT(ISERROR(SEARCH("Ere",N141)))</formula>
    </cfRule>
    <cfRule type="containsText" dxfId="3956" priority="1245" operator="containsText" text="Ear">
      <formula>NOT(ISERROR(SEARCH("Ear",N141)))</formula>
    </cfRule>
    <cfRule type="containsText" dxfId="3955" priority="1246" operator="containsText" text="fnd">
      <formula>NOT(ISERROR(SEARCH("fnd",N141)))</formula>
    </cfRule>
  </conditionalFormatting>
  <conditionalFormatting sqref="N149">
    <cfRule type="containsText" dxfId="3954" priority="289" operator="containsText" text="Str">
      <formula>NOT(ISERROR(SEARCH("Str",N149)))</formula>
    </cfRule>
    <cfRule type="containsText" dxfId="3953" priority="290" operator="containsText" text="Ere">
      <formula>NOT(ISERROR(SEARCH("Ere",N149)))</formula>
    </cfRule>
    <cfRule type="containsText" dxfId="3952" priority="291" operator="containsText" text="Ear">
      <formula>NOT(ISERROR(SEARCH("Ear",N149)))</formula>
    </cfRule>
    <cfRule type="containsText" dxfId="3951" priority="292" operator="containsText" text="fnd">
      <formula>NOT(ISERROR(SEARCH("fnd",N149)))</formula>
    </cfRule>
  </conditionalFormatting>
  <conditionalFormatting sqref="N157">
    <cfRule type="containsText" dxfId="3950" priority="1095" operator="containsText" text="Str">
      <formula>NOT(ISERROR(SEARCH("Str",N157)))</formula>
    </cfRule>
    <cfRule type="containsText" dxfId="3949" priority="1096" operator="containsText" text="Ere">
      <formula>NOT(ISERROR(SEARCH("Ere",N157)))</formula>
    </cfRule>
    <cfRule type="containsText" dxfId="3948" priority="1097" operator="containsText" text="Ear">
      <formula>NOT(ISERROR(SEARCH("Ear",N157)))</formula>
    </cfRule>
    <cfRule type="containsText" dxfId="3947" priority="1098" operator="containsText" text="fnd">
      <formula>NOT(ISERROR(SEARCH("fnd",N157)))</formula>
    </cfRule>
  </conditionalFormatting>
  <conditionalFormatting sqref="N165">
    <cfRule type="containsText" dxfId="3946" priority="1031" operator="containsText" text="Str">
      <formula>NOT(ISERROR(SEARCH("Str",N165)))</formula>
    </cfRule>
    <cfRule type="containsText" dxfId="3945" priority="1032" operator="containsText" text="Ere">
      <formula>NOT(ISERROR(SEARCH("Ere",N165)))</formula>
    </cfRule>
    <cfRule type="containsText" dxfId="3944" priority="1033" operator="containsText" text="Ear">
      <formula>NOT(ISERROR(SEARCH("Ear",N165)))</formula>
    </cfRule>
    <cfRule type="containsText" dxfId="3943" priority="1034" operator="containsText" text="fnd">
      <formula>NOT(ISERROR(SEARCH("fnd",N165)))</formula>
    </cfRule>
  </conditionalFormatting>
  <conditionalFormatting sqref="N173">
    <cfRule type="containsText" dxfId="3942" priority="441" operator="containsText" text="Str">
      <formula>NOT(ISERROR(SEARCH("Str",N173)))</formula>
    </cfRule>
    <cfRule type="containsText" dxfId="3941" priority="442" operator="containsText" text="Ere">
      <formula>NOT(ISERROR(SEARCH("Ere",N173)))</formula>
    </cfRule>
    <cfRule type="containsText" dxfId="3940" priority="443" operator="containsText" text="Ear">
      <formula>NOT(ISERROR(SEARCH("Ear",N173)))</formula>
    </cfRule>
    <cfRule type="containsText" dxfId="3939" priority="444" operator="containsText" text="fnd">
      <formula>NOT(ISERROR(SEARCH("fnd",N173)))</formula>
    </cfRule>
  </conditionalFormatting>
  <conditionalFormatting sqref="N181">
    <cfRule type="containsText" dxfId="3938" priority="129" operator="containsText" text="Str">
      <formula>NOT(ISERROR(SEARCH("Str",N181)))</formula>
    </cfRule>
    <cfRule type="containsText" dxfId="3937" priority="130" operator="containsText" text="Ere">
      <formula>NOT(ISERROR(SEARCH("Ere",N181)))</formula>
    </cfRule>
    <cfRule type="containsText" dxfId="3936" priority="131" operator="containsText" text="Ear">
      <formula>NOT(ISERROR(SEARCH("Ear",N181)))</formula>
    </cfRule>
    <cfRule type="containsText" dxfId="3935" priority="132" operator="containsText" text="fnd">
      <formula>NOT(ISERROR(SEARCH("fnd",N181)))</formula>
    </cfRule>
  </conditionalFormatting>
  <conditionalFormatting sqref="N30:O30">
    <cfRule type="containsText" dxfId="3934" priority="1515" operator="containsText" text="Str">
      <formula>NOT(ISERROR(SEARCH("Str",N30)))</formula>
    </cfRule>
    <cfRule type="containsText" dxfId="3933" priority="1516" operator="containsText" text="Ere">
      <formula>NOT(ISERROR(SEARCH("Ere",N30)))</formula>
    </cfRule>
    <cfRule type="containsText" dxfId="3932" priority="1517" operator="containsText" text="Ear">
      <formula>NOT(ISERROR(SEARCH("Ear",N30)))</formula>
    </cfRule>
    <cfRule type="containsText" dxfId="3931" priority="1518" operator="containsText" text="fnd">
      <formula>NOT(ISERROR(SEARCH("fnd",N30)))</formula>
    </cfRule>
  </conditionalFormatting>
  <conditionalFormatting sqref="N46:O46">
    <cfRule type="containsText" dxfId="3930" priority="2271" operator="containsText" text="Str">
      <formula>NOT(ISERROR(SEARCH("Str",N46)))</formula>
    </cfRule>
    <cfRule type="containsText" dxfId="3929" priority="2272" operator="containsText" text="Ere">
      <formula>NOT(ISERROR(SEARCH("Ere",N46)))</formula>
    </cfRule>
    <cfRule type="containsText" dxfId="3928" priority="2273" operator="containsText" text="Ear">
      <formula>NOT(ISERROR(SEARCH("Ear",N46)))</formula>
    </cfRule>
    <cfRule type="containsText" dxfId="3927" priority="2274" operator="containsText" text="fnd">
      <formula>NOT(ISERROR(SEARCH("fnd",N46)))</formula>
    </cfRule>
  </conditionalFormatting>
  <conditionalFormatting sqref="N54:O54">
    <cfRule type="containsText" dxfId="3926" priority="2283" operator="containsText" text="Str">
      <formula>NOT(ISERROR(SEARCH("Str",N54)))</formula>
    </cfRule>
    <cfRule type="containsText" dxfId="3925" priority="2284" operator="containsText" text="Ere">
      <formula>NOT(ISERROR(SEARCH("Ere",N54)))</formula>
    </cfRule>
    <cfRule type="containsText" dxfId="3924" priority="2285" operator="containsText" text="Ear">
      <formula>NOT(ISERROR(SEARCH("Ear",N54)))</formula>
    </cfRule>
    <cfRule type="containsText" dxfId="3923" priority="2286" operator="containsText" text="fnd">
      <formula>NOT(ISERROR(SEARCH("fnd",N54)))</formula>
    </cfRule>
  </conditionalFormatting>
  <conditionalFormatting sqref="N62:O62">
    <cfRule type="containsText" dxfId="3922" priority="1827" operator="containsText" text="Str">
      <formula>NOT(ISERROR(SEARCH("Str",N62)))</formula>
    </cfRule>
    <cfRule type="containsText" dxfId="3921" priority="1828" operator="containsText" text="Ere">
      <formula>NOT(ISERROR(SEARCH("Ere",N62)))</formula>
    </cfRule>
    <cfRule type="containsText" dxfId="3920" priority="1829" operator="containsText" text="Ear">
      <formula>NOT(ISERROR(SEARCH("Ear",N62)))</formula>
    </cfRule>
    <cfRule type="containsText" dxfId="3919" priority="1830" operator="containsText" text="fnd">
      <formula>NOT(ISERROR(SEARCH("fnd",N62)))</formula>
    </cfRule>
  </conditionalFormatting>
  <conditionalFormatting sqref="N94:O94">
    <cfRule type="containsText" dxfId="3918" priority="1919" operator="containsText" text="Str">
      <formula>NOT(ISERROR(SEARCH("Str",N94)))</formula>
    </cfRule>
    <cfRule type="containsText" dxfId="3917" priority="1920" operator="containsText" text="Ere">
      <formula>NOT(ISERROR(SEARCH("Ere",N94)))</formula>
    </cfRule>
    <cfRule type="containsText" dxfId="3916" priority="1921" operator="containsText" text="Ear">
      <formula>NOT(ISERROR(SEARCH("Ear",N94)))</formula>
    </cfRule>
    <cfRule type="containsText" dxfId="3915" priority="1922" operator="containsText" text="fnd">
      <formula>NOT(ISERROR(SEARCH("fnd",N94)))</formula>
    </cfRule>
  </conditionalFormatting>
  <conditionalFormatting sqref="N102:O102">
    <cfRule type="containsText" dxfId="3914" priority="297" operator="containsText" text="Str">
      <formula>NOT(ISERROR(SEARCH("Str",N102)))</formula>
    </cfRule>
    <cfRule type="containsText" dxfId="3913" priority="298" operator="containsText" text="Ere">
      <formula>NOT(ISERROR(SEARCH("Ere",N102)))</formula>
    </cfRule>
    <cfRule type="containsText" dxfId="3912" priority="299" operator="containsText" text="Ear">
      <formula>NOT(ISERROR(SEARCH("Ear",N102)))</formula>
    </cfRule>
    <cfRule type="containsText" dxfId="3911" priority="300" operator="containsText" text="fnd">
      <formula>NOT(ISERROR(SEARCH("fnd",N102)))</formula>
    </cfRule>
  </conditionalFormatting>
  <conditionalFormatting sqref="N110:O110">
    <cfRule type="containsText" dxfId="3910" priority="1727" operator="containsText" text="Str">
      <formula>NOT(ISERROR(SEARCH("Str",N110)))</formula>
    </cfRule>
    <cfRule type="containsText" dxfId="3909" priority="1728" operator="containsText" text="Ere">
      <formula>NOT(ISERROR(SEARCH("Ere",N110)))</formula>
    </cfRule>
    <cfRule type="containsText" dxfId="3908" priority="1729" operator="containsText" text="Ear">
      <formula>NOT(ISERROR(SEARCH("Ear",N110)))</formula>
    </cfRule>
    <cfRule type="containsText" dxfId="3907" priority="1730" operator="containsText" text="fnd">
      <formula>NOT(ISERROR(SEARCH("fnd",N110)))</formula>
    </cfRule>
  </conditionalFormatting>
  <conditionalFormatting sqref="N118:O118">
    <cfRule type="containsText" dxfId="3906" priority="1387" operator="containsText" text="Str">
      <formula>NOT(ISERROR(SEARCH("Str",N118)))</formula>
    </cfRule>
    <cfRule type="containsText" dxfId="3905" priority="1388" operator="containsText" text="Ere">
      <formula>NOT(ISERROR(SEARCH("Ere",N118)))</formula>
    </cfRule>
    <cfRule type="containsText" dxfId="3904" priority="1389" operator="containsText" text="Ear">
      <formula>NOT(ISERROR(SEARCH("Ear",N118)))</formula>
    </cfRule>
    <cfRule type="containsText" dxfId="3903" priority="1390" operator="containsText" text="fnd">
      <formula>NOT(ISERROR(SEARCH("fnd",N118)))</formula>
    </cfRule>
  </conditionalFormatting>
  <conditionalFormatting sqref="N126:O126">
    <cfRule type="containsText" dxfId="3902" priority="635" operator="containsText" text="Str">
      <formula>NOT(ISERROR(SEARCH("Str",N126)))</formula>
    </cfRule>
    <cfRule type="containsText" dxfId="3901" priority="636" operator="containsText" text="Ere">
      <formula>NOT(ISERROR(SEARCH("Ere",N126)))</formula>
    </cfRule>
    <cfRule type="containsText" dxfId="3900" priority="637" operator="containsText" text="Ear">
      <formula>NOT(ISERROR(SEARCH("Ear",N126)))</formula>
    </cfRule>
    <cfRule type="containsText" dxfId="3899" priority="638" operator="containsText" text="fnd">
      <formula>NOT(ISERROR(SEARCH("fnd",N126)))</formula>
    </cfRule>
  </conditionalFormatting>
  <conditionalFormatting sqref="N134:O134">
    <cfRule type="containsText" dxfId="3898" priority="1331" operator="containsText" text="Str">
      <formula>NOT(ISERROR(SEARCH("Str",N134)))</formula>
    </cfRule>
    <cfRule type="containsText" dxfId="3897" priority="1332" operator="containsText" text="Ere">
      <formula>NOT(ISERROR(SEARCH("Ere",N134)))</formula>
    </cfRule>
    <cfRule type="containsText" dxfId="3896" priority="1333" operator="containsText" text="Ear">
      <formula>NOT(ISERROR(SEARCH("Ear",N134)))</formula>
    </cfRule>
    <cfRule type="containsText" dxfId="3895" priority="1334" operator="containsText" text="fnd">
      <formula>NOT(ISERROR(SEARCH("fnd",N134)))</formula>
    </cfRule>
  </conditionalFormatting>
  <conditionalFormatting sqref="N142:O142">
    <cfRule type="containsText" dxfId="3894" priority="1247" operator="containsText" text="Str">
      <formula>NOT(ISERROR(SEARCH("Str",N142)))</formula>
    </cfRule>
    <cfRule type="containsText" dxfId="3893" priority="1248" operator="containsText" text="Ere">
      <formula>NOT(ISERROR(SEARCH("Ere",N142)))</formula>
    </cfRule>
    <cfRule type="containsText" dxfId="3892" priority="1249" operator="containsText" text="Ear">
      <formula>NOT(ISERROR(SEARCH("Ear",N142)))</formula>
    </cfRule>
    <cfRule type="containsText" dxfId="3891" priority="1250" operator="containsText" text="fnd">
      <formula>NOT(ISERROR(SEARCH("fnd",N142)))</formula>
    </cfRule>
  </conditionalFormatting>
  <conditionalFormatting sqref="N158:O158">
    <cfRule type="containsText" dxfId="3890" priority="1099" operator="containsText" text="Str">
      <formula>NOT(ISERROR(SEARCH("Str",N158)))</formula>
    </cfRule>
    <cfRule type="containsText" dxfId="3889" priority="1100" operator="containsText" text="Ere">
      <formula>NOT(ISERROR(SEARCH("Ere",N158)))</formula>
    </cfRule>
    <cfRule type="containsText" dxfId="3888" priority="1101" operator="containsText" text="Ear">
      <formula>NOT(ISERROR(SEARCH("Ear",N158)))</formula>
    </cfRule>
    <cfRule type="containsText" dxfId="3887" priority="1102" operator="containsText" text="fnd">
      <formula>NOT(ISERROR(SEARCH("fnd",N158)))</formula>
    </cfRule>
  </conditionalFormatting>
  <conditionalFormatting sqref="N166:O166">
    <cfRule type="containsText" dxfId="3886" priority="1035" operator="containsText" text="Str">
      <formula>NOT(ISERROR(SEARCH("Str",N166)))</formula>
    </cfRule>
    <cfRule type="containsText" dxfId="3885" priority="1036" operator="containsText" text="Ere">
      <formula>NOT(ISERROR(SEARCH("Ere",N166)))</formula>
    </cfRule>
    <cfRule type="containsText" dxfId="3884" priority="1037" operator="containsText" text="Ear">
      <formula>NOT(ISERROR(SEARCH("Ear",N166)))</formula>
    </cfRule>
    <cfRule type="containsText" dxfId="3883" priority="1038" operator="containsText" text="fnd">
      <formula>NOT(ISERROR(SEARCH("fnd",N166)))</formula>
    </cfRule>
  </conditionalFormatting>
  <conditionalFormatting sqref="N174:O174">
    <cfRule type="containsText" dxfId="3882" priority="445" operator="containsText" text="Str">
      <formula>NOT(ISERROR(SEARCH("Str",N174)))</formula>
    </cfRule>
    <cfRule type="containsText" dxfId="3881" priority="446" operator="containsText" text="Ere">
      <formula>NOT(ISERROR(SEARCH("Ere",N174)))</formula>
    </cfRule>
    <cfRule type="containsText" dxfId="3880" priority="447" operator="containsText" text="Ear">
      <formula>NOT(ISERROR(SEARCH("Ear",N174)))</formula>
    </cfRule>
    <cfRule type="containsText" dxfId="3879" priority="448" operator="containsText" text="fnd">
      <formula>NOT(ISERROR(SEARCH("fnd",N174)))</formula>
    </cfRule>
  </conditionalFormatting>
  <conditionalFormatting sqref="N182:O182">
    <cfRule type="containsText" dxfId="3878" priority="133" operator="containsText" text="Str">
      <formula>NOT(ISERROR(SEARCH("Str",N182)))</formula>
    </cfRule>
    <cfRule type="containsText" dxfId="3877" priority="134" operator="containsText" text="Ere">
      <formula>NOT(ISERROR(SEARCH("Ere",N182)))</formula>
    </cfRule>
    <cfRule type="containsText" dxfId="3876" priority="135" operator="containsText" text="Ear">
      <formula>NOT(ISERROR(SEARCH("Ear",N182)))</formula>
    </cfRule>
    <cfRule type="containsText" dxfId="3875" priority="136" operator="containsText" text="fnd">
      <formula>NOT(ISERROR(SEARCH("fnd",N182)))</formula>
    </cfRule>
  </conditionalFormatting>
  <conditionalFormatting sqref="O6">
    <cfRule type="containsText" dxfId="3874" priority="213" operator="containsText" text="Str">
      <formula>NOT(ISERROR(SEARCH("Str",O6)))</formula>
    </cfRule>
    <cfRule type="containsText" dxfId="3873" priority="214" operator="containsText" text="Ere">
      <formula>NOT(ISERROR(SEARCH("Ere",O6)))</formula>
    </cfRule>
    <cfRule type="containsText" dxfId="3872" priority="215" operator="containsText" text="Ear">
      <formula>NOT(ISERROR(SEARCH("Ear",O6)))</formula>
    </cfRule>
    <cfRule type="containsText" dxfId="3871" priority="216" operator="containsText" text="fnd">
      <formula>NOT(ISERROR(SEARCH("fnd",O6)))</formula>
    </cfRule>
  </conditionalFormatting>
  <conditionalFormatting sqref="O14">
    <cfRule type="containsText" dxfId="3870" priority="1663" operator="containsText" text="Str">
      <formula>NOT(ISERROR(SEARCH("Str",O14)))</formula>
    </cfRule>
    <cfRule type="containsText" dxfId="3869" priority="1664" operator="containsText" text="Ere">
      <formula>NOT(ISERROR(SEARCH("Ere",O14)))</formula>
    </cfRule>
    <cfRule type="containsText" dxfId="3868" priority="1665" operator="containsText" text="Ear">
      <formula>NOT(ISERROR(SEARCH("Ear",O14)))</formula>
    </cfRule>
    <cfRule type="containsText" dxfId="3867" priority="1666" operator="containsText" text="fnd">
      <formula>NOT(ISERROR(SEARCH("fnd",O14)))</formula>
    </cfRule>
  </conditionalFormatting>
  <conditionalFormatting sqref="O22">
    <cfRule type="containsText" dxfId="3866" priority="1583" operator="containsText" text="Str">
      <formula>NOT(ISERROR(SEARCH("Str",O22)))</formula>
    </cfRule>
    <cfRule type="containsText" dxfId="3865" priority="1584" operator="containsText" text="Ere">
      <formula>NOT(ISERROR(SEARCH("Ere",O22)))</formula>
    </cfRule>
    <cfRule type="containsText" dxfId="3864" priority="1585" operator="containsText" text="Ear">
      <formula>NOT(ISERROR(SEARCH("Ear",O22)))</formula>
    </cfRule>
    <cfRule type="containsText" dxfId="3863" priority="1586" operator="containsText" text="fnd">
      <formula>NOT(ISERROR(SEARCH("fnd",O22)))</formula>
    </cfRule>
  </conditionalFormatting>
  <conditionalFormatting sqref="O38">
    <cfRule type="containsText" dxfId="3862" priority="863" operator="containsText" text="Str">
      <formula>NOT(ISERROR(SEARCH("Str",O38)))</formula>
    </cfRule>
    <cfRule type="containsText" dxfId="3861" priority="864" operator="containsText" text="Ere">
      <formula>NOT(ISERROR(SEARCH("Ere",O38)))</formula>
    </cfRule>
    <cfRule type="containsText" dxfId="3860" priority="865" operator="containsText" text="Ear">
      <formula>NOT(ISERROR(SEARCH("Ear",O38)))</formula>
    </cfRule>
    <cfRule type="containsText" dxfId="3859" priority="866" operator="containsText" text="fnd">
      <formula>NOT(ISERROR(SEARCH("fnd",O38)))</formula>
    </cfRule>
  </conditionalFormatting>
  <conditionalFormatting sqref="O78">
    <cfRule type="containsText" dxfId="3858" priority="1899" operator="containsText" text="Str">
      <formula>NOT(ISERROR(SEARCH("Str",O78)))</formula>
    </cfRule>
    <cfRule type="containsText" dxfId="3857" priority="1900" operator="containsText" text="Ere">
      <formula>NOT(ISERROR(SEARCH("Ere",O78)))</formula>
    </cfRule>
    <cfRule type="containsText" dxfId="3856" priority="1901" operator="containsText" text="Ear">
      <formula>NOT(ISERROR(SEARCH("Ear",O78)))</formula>
    </cfRule>
    <cfRule type="containsText" dxfId="3855" priority="1902" operator="containsText" text="fnd">
      <formula>NOT(ISERROR(SEARCH("fnd",O78)))</formula>
    </cfRule>
  </conditionalFormatting>
  <conditionalFormatting sqref="O201">
    <cfRule type="containsText" dxfId="3854" priority="2075" operator="containsText" text="Str">
      <formula>NOT(ISERROR(SEARCH("Str",O201)))</formula>
    </cfRule>
    <cfRule type="containsText" dxfId="3853" priority="2076" operator="containsText" text="Ere">
      <formula>NOT(ISERROR(SEARCH("Ere",O201)))</formula>
    </cfRule>
    <cfRule type="containsText" dxfId="3852" priority="2077" operator="containsText" text="Ear">
      <formula>NOT(ISERROR(SEARCH("Ear",O201)))</formula>
    </cfRule>
    <cfRule type="containsText" dxfId="3851" priority="2078" operator="containsText" text="fnd">
      <formula>NOT(ISERROR(SEARCH("fnd",O201)))</formula>
    </cfRule>
  </conditionalFormatting>
  <conditionalFormatting sqref="Q5:Q6">
    <cfRule type="containsText" dxfId="3850" priority="209" operator="containsText" text="Str">
      <formula>NOT(ISERROR(SEARCH("Str",Q5)))</formula>
    </cfRule>
    <cfRule type="containsText" dxfId="3849" priority="210" operator="containsText" text="Ere">
      <formula>NOT(ISERROR(SEARCH("Ere",Q5)))</formula>
    </cfRule>
    <cfRule type="containsText" dxfId="3848" priority="211" operator="containsText" text="Ear">
      <formula>NOT(ISERROR(SEARCH("Ear",Q5)))</formula>
    </cfRule>
    <cfRule type="containsText" dxfId="3847" priority="212" operator="containsText" text="fnd">
      <formula>NOT(ISERROR(SEARCH("fnd",Q5)))</formula>
    </cfRule>
  </conditionalFormatting>
  <conditionalFormatting sqref="Q13:Q14">
    <cfRule type="containsText" dxfId="3846" priority="1703" operator="containsText" text="Str">
      <formula>NOT(ISERROR(SEARCH("Str",Q13)))</formula>
    </cfRule>
    <cfRule type="containsText" dxfId="3845" priority="1704" operator="containsText" text="Ere">
      <formula>NOT(ISERROR(SEARCH("Ere",Q13)))</formula>
    </cfRule>
    <cfRule type="containsText" dxfId="3844" priority="1705" operator="containsText" text="Ear">
      <formula>NOT(ISERROR(SEARCH("Ear",Q13)))</formula>
    </cfRule>
    <cfRule type="containsText" dxfId="3843" priority="1706" operator="containsText" text="fnd">
      <formula>NOT(ISERROR(SEARCH("fnd",Q13)))</formula>
    </cfRule>
  </conditionalFormatting>
  <conditionalFormatting sqref="Q21:Q22">
    <cfRule type="containsText" dxfId="3842" priority="1579" operator="containsText" text="Str">
      <formula>NOT(ISERROR(SEARCH("Str",Q21)))</formula>
    </cfRule>
    <cfRule type="containsText" dxfId="3841" priority="1580" operator="containsText" text="Ere">
      <formula>NOT(ISERROR(SEARCH("Ere",Q21)))</formula>
    </cfRule>
    <cfRule type="containsText" dxfId="3840" priority="1581" operator="containsText" text="Ear">
      <formula>NOT(ISERROR(SEARCH("Ear",Q21)))</formula>
    </cfRule>
    <cfRule type="containsText" dxfId="3839" priority="1582" operator="containsText" text="fnd">
      <formula>NOT(ISERROR(SEARCH("fnd",Q21)))</formula>
    </cfRule>
  </conditionalFormatting>
  <conditionalFormatting sqref="Q29">
    <cfRule type="containsText" dxfId="3838" priority="655" operator="containsText" text="Str">
      <formula>NOT(ISERROR(SEARCH("Str",Q29)))</formula>
    </cfRule>
    <cfRule type="containsText" dxfId="3837" priority="656" operator="containsText" text="Ere">
      <formula>NOT(ISERROR(SEARCH("Ere",Q29)))</formula>
    </cfRule>
    <cfRule type="containsText" dxfId="3836" priority="657" operator="containsText" text="Ear">
      <formula>NOT(ISERROR(SEARCH("Ear",Q29)))</formula>
    </cfRule>
    <cfRule type="containsText" dxfId="3835" priority="658" operator="containsText" text="fnd">
      <formula>NOT(ISERROR(SEARCH("fnd",Q29)))</formula>
    </cfRule>
  </conditionalFormatting>
  <conditionalFormatting sqref="Q37:Q38">
    <cfRule type="containsText" dxfId="3834" priority="2091" operator="containsText" text="Str">
      <formula>NOT(ISERROR(SEARCH("Str",Q37)))</formula>
    </cfRule>
    <cfRule type="containsText" dxfId="3833" priority="2092" operator="containsText" text="Ere">
      <formula>NOT(ISERROR(SEARCH("Ere",Q37)))</formula>
    </cfRule>
    <cfRule type="containsText" dxfId="3832" priority="2093" operator="containsText" text="Ear">
      <formula>NOT(ISERROR(SEARCH("Ear",Q37)))</formula>
    </cfRule>
    <cfRule type="containsText" dxfId="3831" priority="2094" operator="containsText" text="fnd">
      <formula>NOT(ISERROR(SEARCH("fnd",Q37)))</formula>
    </cfRule>
  </conditionalFormatting>
  <conditionalFormatting sqref="Q45">
    <cfRule type="containsText" dxfId="3830" priority="839" operator="containsText" text="Str">
      <formula>NOT(ISERROR(SEARCH("Str",Q45)))</formula>
    </cfRule>
    <cfRule type="containsText" dxfId="3829" priority="840" operator="containsText" text="Ere">
      <formula>NOT(ISERROR(SEARCH("Ere",Q45)))</formula>
    </cfRule>
    <cfRule type="containsText" dxfId="3828" priority="841" operator="containsText" text="Ear">
      <formula>NOT(ISERROR(SEARCH("Ear",Q45)))</formula>
    </cfRule>
    <cfRule type="containsText" dxfId="3827" priority="842" operator="containsText" text="fnd">
      <formula>NOT(ISERROR(SEARCH("fnd",Q45)))</formula>
    </cfRule>
  </conditionalFormatting>
  <conditionalFormatting sqref="Q53">
    <cfRule type="containsText" dxfId="3826" priority="2119" operator="containsText" text="Str">
      <formula>NOT(ISERROR(SEARCH("Str",Q53)))</formula>
    </cfRule>
    <cfRule type="containsText" dxfId="3825" priority="2120" operator="containsText" text="Ere">
      <formula>NOT(ISERROR(SEARCH("Ere",Q53)))</formula>
    </cfRule>
    <cfRule type="containsText" dxfId="3824" priority="2121" operator="containsText" text="Ear">
      <formula>NOT(ISERROR(SEARCH("Ear",Q53)))</formula>
    </cfRule>
    <cfRule type="containsText" dxfId="3823" priority="2122" operator="containsText" text="fnd">
      <formula>NOT(ISERROR(SEARCH("fnd",Q53)))</formula>
    </cfRule>
  </conditionalFormatting>
  <conditionalFormatting sqref="Q61">
    <cfRule type="containsText" dxfId="3822" priority="819" operator="containsText" text="Str">
      <formula>NOT(ISERROR(SEARCH("Str",Q61)))</formula>
    </cfRule>
    <cfRule type="containsText" dxfId="3821" priority="820" operator="containsText" text="Ere">
      <formula>NOT(ISERROR(SEARCH("Ere",Q61)))</formula>
    </cfRule>
    <cfRule type="containsText" dxfId="3820" priority="821" operator="containsText" text="Ear">
      <formula>NOT(ISERROR(SEARCH("Ear",Q61)))</formula>
    </cfRule>
    <cfRule type="containsText" dxfId="3819" priority="822" operator="containsText" text="fnd">
      <formula>NOT(ISERROR(SEARCH("fnd",Q61)))</formula>
    </cfRule>
  </conditionalFormatting>
  <conditionalFormatting sqref="Q77">
    <cfRule type="containsText" dxfId="3818" priority="791" operator="containsText" text="Str">
      <formula>NOT(ISERROR(SEARCH("Str",Q77)))</formula>
    </cfRule>
    <cfRule type="containsText" dxfId="3817" priority="792" operator="containsText" text="Ere">
      <formula>NOT(ISERROR(SEARCH("Ere",Q77)))</formula>
    </cfRule>
    <cfRule type="containsText" dxfId="3816" priority="793" operator="containsText" text="Ear">
      <formula>NOT(ISERROR(SEARCH("Ear",Q77)))</formula>
    </cfRule>
    <cfRule type="containsText" dxfId="3815" priority="794" operator="containsText" text="fnd">
      <formula>NOT(ISERROR(SEARCH("fnd",Q77)))</formula>
    </cfRule>
  </conditionalFormatting>
  <conditionalFormatting sqref="Q85">
    <cfRule type="containsText" dxfId="3814" priority="2099" operator="containsText" text="Str">
      <formula>NOT(ISERROR(SEARCH("Str",Q85)))</formula>
    </cfRule>
    <cfRule type="containsText" dxfId="3813" priority="2100" operator="containsText" text="Ere">
      <formula>NOT(ISERROR(SEARCH("Ere",Q85)))</formula>
    </cfRule>
    <cfRule type="containsText" dxfId="3812" priority="2101" operator="containsText" text="Ear">
      <formula>NOT(ISERROR(SEARCH("Ear",Q85)))</formula>
    </cfRule>
    <cfRule type="containsText" dxfId="3811" priority="2102" operator="containsText" text="fnd">
      <formula>NOT(ISERROR(SEARCH("fnd",Q85)))</formula>
    </cfRule>
  </conditionalFormatting>
  <conditionalFormatting sqref="Q93">
    <cfRule type="containsText" dxfId="3810" priority="1559" operator="containsText" text="Str">
      <formula>NOT(ISERROR(SEARCH("Str",Q93)))</formula>
    </cfRule>
    <cfRule type="containsText" dxfId="3809" priority="1560" operator="containsText" text="Ere">
      <formula>NOT(ISERROR(SEARCH("Ere",Q93)))</formula>
    </cfRule>
    <cfRule type="containsText" dxfId="3808" priority="1561" operator="containsText" text="Ear">
      <formula>NOT(ISERROR(SEARCH("Ear",Q93)))</formula>
    </cfRule>
    <cfRule type="containsText" dxfId="3807" priority="1562" operator="containsText" text="fnd">
      <formula>NOT(ISERROR(SEARCH("fnd",Q93)))</formula>
    </cfRule>
  </conditionalFormatting>
  <conditionalFormatting sqref="Q101">
    <cfRule type="containsText" dxfId="3806" priority="1535" operator="containsText" text="Str">
      <formula>NOT(ISERROR(SEARCH("Str",Q101)))</formula>
    </cfRule>
    <cfRule type="containsText" dxfId="3805" priority="1536" operator="containsText" text="Ere">
      <formula>NOT(ISERROR(SEARCH("Ere",Q101)))</formula>
    </cfRule>
    <cfRule type="containsText" dxfId="3804" priority="1537" operator="containsText" text="Ear">
      <formula>NOT(ISERROR(SEARCH("Ear",Q101)))</formula>
    </cfRule>
    <cfRule type="containsText" dxfId="3803" priority="1538" operator="containsText" text="fnd">
      <formula>NOT(ISERROR(SEARCH("fnd",Q101)))</formula>
    </cfRule>
  </conditionalFormatting>
  <conditionalFormatting sqref="Q109">
    <cfRule type="containsText" dxfId="3802" priority="1747" operator="containsText" text="Str">
      <formula>NOT(ISERROR(SEARCH("Str",Q109)))</formula>
    </cfRule>
    <cfRule type="containsText" dxfId="3801" priority="1748" operator="containsText" text="Ere">
      <formula>NOT(ISERROR(SEARCH("Ere",Q109)))</formula>
    </cfRule>
    <cfRule type="containsText" dxfId="3800" priority="1749" operator="containsText" text="Ear">
      <formula>NOT(ISERROR(SEARCH("Ear",Q109)))</formula>
    </cfRule>
    <cfRule type="containsText" dxfId="3799" priority="1750" operator="containsText" text="fnd">
      <formula>NOT(ISERROR(SEARCH("fnd",Q109)))</formula>
    </cfRule>
  </conditionalFormatting>
  <conditionalFormatting sqref="Q117">
    <cfRule type="containsText" dxfId="3798" priority="1399" operator="containsText" text="Str">
      <formula>NOT(ISERROR(SEARCH("Str",Q117)))</formula>
    </cfRule>
    <cfRule type="containsText" dxfId="3797" priority="1400" operator="containsText" text="Ere">
      <formula>NOT(ISERROR(SEARCH("Ere",Q117)))</formula>
    </cfRule>
    <cfRule type="containsText" dxfId="3796" priority="1401" operator="containsText" text="Ear">
      <formula>NOT(ISERROR(SEARCH("Ear",Q117)))</formula>
    </cfRule>
    <cfRule type="containsText" dxfId="3795" priority="1402" operator="containsText" text="fnd">
      <formula>NOT(ISERROR(SEARCH("fnd",Q117)))</formula>
    </cfRule>
  </conditionalFormatting>
  <conditionalFormatting sqref="Q125">
    <cfRule type="containsText" dxfId="3794" priority="521" operator="containsText" text="Str">
      <formula>NOT(ISERROR(SEARCH("Str",Q125)))</formula>
    </cfRule>
    <cfRule type="containsText" dxfId="3793" priority="522" operator="containsText" text="Ere">
      <formula>NOT(ISERROR(SEARCH("Ere",Q125)))</formula>
    </cfRule>
    <cfRule type="containsText" dxfId="3792" priority="523" operator="containsText" text="Ear">
      <formula>NOT(ISERROR(SEARCH("Ear",Q125)))</formula>
    </cfRule>
    <cfRule type="containsText" dxfId="3791" priority="524" operator="containsText" text="fnd">
      <formula>NOT(ISERROR(SEARCH("fnd",Q125)))</formula>
    </cfRule>
  </conditionalFormatting>
  <conditionalFormatting sqref="Q130 Q138 Q162 Q178">
    <cfRule type="containsText" dxfId="3790" priority="2019" operator="containsText" text="Str">
      <formula>NOT(ISERROR(SEARCH("Str",Q130)))</formula>
    </cfRule>
    <cfRule type="containsText" dxfId="3789" priority="2020" operator="containsText" text="Ere">
      <formula>NOT(ISERROR(SEARCH("Ere",Q130)))</formula>
    </cfRule>
    <cfRule type="containsText" dxfId="3788" priority="2021" operator="containsText" text="Ear">
      <formula>NOT(ISERROR(SEARCH("Ear",Q130)))</formula>
    </cfRule>
    <cfRule type="containsText" dxfId="3787" priority="2022" operator="containsText" text="fnd">
      <formula>NOT(ISERROR(SEARCH("fnd",Q130)))</formula>
    </cfRule>
  </conditionalFormatting>
  <conditionalFormatting sqref="Q133">
    <cfRule type="containsText" dxfId="3786" priority="29" operator="containsText" text="Str">
      <formula>NOT(ISERROR(SEARCH("Str",Q133)))</formula>
    </cfRule>
    <cfRule type="containsText" dxfId="3785" priority="30" operator="containsText" text="Ere">
      <formula>NOT(ISERROR(SEARCH("Ere",Q133)))</formula>
    </cfRule>
    <cfRule type="containsText" dxfId="3784" priority="31" operator="containsText" text="Ear">
      <formula>NOT(ISERROR(SEARCH("Ear",Q133)))</formula>
    </cfRule>
    <cfRule type="containsText" dxfId="3783" priority="32" operator="containsText" text="fnd">
      <formula>NOT(ISERROR(SEARCH("fnd",Q133)))</formula>
    </cfRule>
  </conditionalFormatting>
  <conditionalFormatting sqref="Q141">
    <cfRule type="containsText" dxfId="3782" priority="1259" operator="containsText" text="Str">
      <formula>NOT(ISERROR(SEARCH("Str",Q141)))</formula>
    </cfRule>
    <cfRule type="containsText" dxfId="3781" priority="1260" operator="containsText" text="Ere">
      <formula>NOT(ISERROR(SEARCH("Ere",Q141)))</formula>
    </cfRule>
    <cfRule type="containsText" dxfId="3780" priority="1261" operator="containsText" text="Ear">
      <formula>NOT(ISERROR(SEARCH("Ear",Q141)))</formula>
    </cfRule>
    <cfRule type="containsText" dxfId="3779" priority="1262" operator="containsText" text="fnd">
      <formula>NOT(ISERROR(SEARCH("fnd",Q141)))</formula>
    </cfRule>
  </conditionalFormatting>
  <conditionalFormatting sqref="Q149">
    <cfRule type="containsText" dxfId="3778" priority="1171" operator="containsText" text="Str">
      <formula>NOT(ISERROR(SEARCH("Str",Q149)))</formula>
    </cfRule>
    <cfRule type="containsText" dxfId="3777" priority="1172" operator="containsText" text="Ere">
      <formula>NOT(ISERROR(SEARCH("Ere",Q149)))</formula>
    </cfRule>
    <cfRule type="containsText" dxfId="3776" priority="1173" operator="containsText" text="Ear">
      <formula>NOT(ISERROR(SEARCH("Ear",Q149)))</formula>
    </cfRule>
    <cfRule type="containsText" dxfId="3775" priority="1174" operator="containsText" text="fnd">
      <formula>NOT(ISERROR(SEARCH("fnd",Q149)))</formula>
    </cfRule>
  </conditionalFormatting>
  <conditionalFormatting sqref="Q157">
    <cfRule type="containsText" dxfId="3774" priority="1111" operator="containsText" text="Str">
      <formula>NOT(ISERROR(SEARCH("Str",Q157)))</formula>
    </cfRule>
    <cfRule type="containsText" dxfId="3773" priority="1112" operator="containsText" text="Ere">
      <formula>NOT(ISERROR(SEARCH("Ere",Q157)))</formula>
    </cfRule>
    <cfRule type="containsText" dxfId="3772" priority="1113" operator="containsText" text="Ear">
      <formula>NOT(ISERROR(SEARCH("Ear",Q157)))</formula>
    </cfRule>
    <cfRule type="containsText" dxfId="3771" priority="1114" operator="containsText" text="fnd">
      <formula>NOT(ISERROR(SEARCH("fnd",Q157)))</formula>
    </cfRule>
  </conditionalFormatting>
  <conditionalFormatting sqref="Q165">
    <cfRule type="containsText" dxfId="3770" priority="1047" operator="containsText" text="Str">
      <formula>NOT(ISERROR(SEARCH("Str",Q165)))</formula>
    </cfRule>
    <cfRule type="containsText" dxfId="3769" priority="1048" operator="containsText" text="Ere">
      <formula>NOT(ISERROR(SEARCH("Ere",Q165)))</formula>
    </cfRule>
    <cfRule type="containsText" dxfId="3768" priority="1049" operator="containsText" text="Ear">
      <formula>NOT(ISERROR(SEARCH("Ear",Q165)))</formula>
    </cfRule>
    <cfRule type="containsText" dxfId="3767" priority="1050" operator="containsText" text="fnd">
      <formula>NOT(ISERROR(SEARCH("fnd",Q165)))</formula>
    </cfRule>
  </conditionalFormatting>
  <conditionalFormatting sqref="Q173">
    <cfRule type="containsText" dxfId="3766" priority="393" operator="containsText" text="Str">
      <formula>NOT(ISERROR(SEARCH("Str",Q173)))</formula>
    </cfRule>
    <cfRule type="containsText" dxfId="3765" priority="394" operator="containsText" text="Ere">
      <formula>NOT(ISERROR(SEARCH("Ere",Q173)))</formula>
    </cfRule>
    <cfRule type="containsText" dxfId="3764" priority="395" operator="containsText" text="Ear">
      <formula>NOT(ISERROR(SEARCH("Ear",Q173)))</formula>
    </cfRule>
    <cfRule type="containsText" dxfId="3763" priority="396" operator="containsText" text="fnd">
      <formula>NOT(ISERROR(SEARCH("fnd",Q173)))</formula>
    </cfRule>
  </conditionalFormatting>
  <conditionalFormatting sqref="Q181">
    <cfRule type="containsText" dxfId="3762" priority="121" operator="containsText" text="Str">
      <formula>NOT(ISERROR(SEARCH("Str",Q181)))</formula>
    </cfRule>
    <cfRule type="containsText" dxfId="3761" priority="122" operator="containsText" text="Ere">
      <formula>NOT(ISERROR(SEARCH("Ere",Q181)))</formula>
    </cfRule>
    <cfRule type="containsText" dxfId="3760" priority="123" operator="containsText" text="Ear">
      <formula>NOT(ISERROR(SEARCH("Ear",Q181)))</formula>
    </cfRule>
    <cfRule type="containsText" dxfId="3759" priority="124" operator="containsText" text="fnd">
      <formula>NOT(ISERROR(SEARCH("fnd",Q181)))</formula>
    </cfRule>
  </conditionalFormatting>
  <conditionalFormatting sqref="Q30:R30">
    <cfRule type="containsText" dxfId="3758" priority="659" operator="containsText" text="Str">
      <formula>NOT(ISERROR(SEARCH("Str",Q30)))</formula>
    </cfRule>
    <cfRule type="containsText" dxfId="3757" priority="660" operator="containsText" text="Ere">
      <formula>NOT(ISERROR(SEARCH("Ere",Q30)))</formula>
    </cfRule>
    <cfRule type="containsText" dxfId="3756" priority="661" operator="containsText" text="Ear">
      <formula>NOT(ISERROR(SEARCH("Ear",Q30)))</formula>
    </cfRule>
    <cfRule type="containsText" dxfId="3755" priority="662" operator="containsText" text="fnd">
      <formula>NOT(ISERROR(SEARCH("fnd",Q30)))</formula>
    </cfRule>
  </conditionalFormatting>
  <conditionalFormatting sqref="Q54:R54">
    <cfRule type="containsText" dxfId="3754" priority="2279" operator="containsText" text="Str">
      <formula>NOT(ISERROR(SEARCH("Str",Q54)))</formula>
    </cfRule>
    <cfRule type="containsText" dxfId="3753" priority="2280" operator="containsText" text="Ere">
      <formula>NOT(ISERROR(SEARCH("Ere",Q54)))</formula>
    </cfRule>
    <cfRule type="containsText" dxfId="3752" priority="2281" operator="containsText" text="Ear">
      <formula>NOT(ISERROR(SEARCH("Ear",Q54)))</formula>
    </cfRule>
    <cfRule type="containsText" dxfId="3751" priority="2282" operator="containsText" text="fnd">
      <formula>NOT(ISERROR(SEARCH("fnd",Q54)))</formula>
    </cfRule>
  </conditionalFormatting>
  <conditionalFormatting sqref="Q78:R78">
    <cfRule type="containsText" dxfId="3750" priority="795" operator="containsText" text="Str">
      <formula>NOT(ISERROR(SEARCH("Str",Q78)))</formula>
    </cfRule>
    <cfRule type="containsText" dxfId="3749" priority="796" operator="containsText" text="Ere">
      <formula>NOT(ISERROR(SEARCH("Ere",Q78)))</formula>
    </cfRule>
    <cfRule type="containsText" dxfId="3748" priority="797" operator="containsText" text="Ear">
      <formula>NOT(ISERROR(SEARCH("Ear",Q78)))</formula>
    </cfRule>
    <cfRule type="containsText" dxfId="3747" priority="798" operator="containsText" text="fnd">
      <formula>NOT(ISERROR(SEARCH("fnd",Q78)))</formula>
    </cfRule>
  </conditionalFormatting>
  <conditionalFormatting sqref="Q86:R86">
    <cfRule type="containsText" dxfId="3746" priority="2147" operator="containsText" text="Str">
      <formula>NOT(ISERROR(SEARCH("Str",Q86)))</formula>
    </cfRule>
    <cfRule type="containsText" dxfId="3745" priority="2148" operator="containsText" text="Ere">
      <formula>NOT(ISERROR(SEARCH("Ere",Q86)))</formula>
    </cfRule>
    <cfRule type="containsText" dxfId="3744" priority="2149" operator="containsText" text="Ear">
      <formula>NOT(ISERROR(SEARCH("Ear",Q86)))</formula>
    </cfRule>
    <cfRule type="containsText" dxfId="3743" priority="2150" operator="containsText" text="fnd">
      <formula>NOT(ISERROR(SEARCH("fnd",Q86)))</formula>
    </cfRule>
  </conditionalFormatting>
  <conditionalFormatting sqref="Q94:R94">
    <cfRule type="containsText" dxfId="3742" priority="1563" operator="containsText" text="Str">
      <formula>NOT(ISERROR(SEARCH("Str",Q94)))</formula>
    </cfRule>
    <cfRule type="containsText" dxfId="3741" priority="1564" operator="containsText" text="Ere">
      <formula>NOT(ISERROR(SEARCH("Ere",Q94)))</formula>
    </cfRule>
    <cfRule type="containsText" dxfId="3740" priority="1565" operator="containsText" text="Ear">
      <formula>NOT(ISERROR(SEARCH("Ear",Q94)))</formula>
    </cfRule>
    <cfRule type="containsText" dxfId="3739" priority="1566" operator="containsText" text="fnd">
      <formula>NOT(ISERROR(SEARCH("fnd",Q94)))</formula>
    </cfRule>
  </conditionalFormatting>
  <conditionalFormatting sqref="Q102:R102">
    <cfRule type="containsText" dxfId="3738" priority="1539" operator="containsText" text="Str">
      <formula>NOT(ISERROR(SEARCH("Str",Q102)))</formula>
    </cfRule>
    <cfRule type="containsText" dxfId="3737" priority="1540" operator="containsText" text="Ere">
      <formula>NOT(ISERROR(SEARCH("Ere",Q102)))</formula>
    </cfRule>
    <cfRule type="containsText" dxfId="3736" priority="1541" operator="containsText" text="Ear">
      <formula>NOT(ISERROR(SEARCH("Ear",Q102)))</formula>
    </cfRule>
    <cfRule type="containsText" dxfId="3735" priority="1542" operator="containsText" text="fnd">
      <formula>NOT(ISERROR(SEARCH("fnd",Q102)))</formula>
    </cfRule>
  </conditionalFormatting>
  <conditionalFormatting sqref="Q110:R110">
    <cfRule type="containsText" dxfId="3734" priority="1751" operator="containsText" text="Str">
      <formula>NOT(ISERROR(SEARCH("Str",Q110)))</formula>
    </cfRule>
    <cfRule type="containsText" dxfId="3733" priority="1752" operator="containsText" text="Ere">
      <formula>NOT(ISERROR(SEARCH("Ere",Q110)))</formula>
    </cfRule>
    <cfRule type="containsText" dxfId="3732" priority="1753" operator="containsText" text="Ear">
      <formula>NOT(ISERROR(SEARCH("Ear",Q110)))</formula>
    </cfRule>
    <cfRule type="containsText" dxfId="3731" priority="1754" operator="containsText" text="fnd">
      <formula>NOT(ISERROR(SEARCH("fnd",Q110)))</formula>
    </cfRule>
  </conditionalFormatting>
  <conditionalFormatting sqref="Q118:R118">
    <cfRule type="containsText" dxfId="3730" priority="1403" operator="containsText" text="Str">
      <formula>NOT(ISERROR(SEARCH("Str",Q118)))</formula>
    </cfRule>
    <cfRule type="containsText" dxfId="3729" priority="1404" operator="containsText" text="Ere">
      <formula>NOT(ISERROR(SEARCH("Ere",Q118)))</formula>
    </cfRule>
    <cfRule type="containsText" dxfId="3728" priority="1405" operator="containsText" text="Ear">
      <formula>NOT(ISERROR(SEARCH("Ear",Q118)))</formula>
    </cfRule>
    <cfRule type="containsText" dxfId="3727" priority="1406" operator="containsText" text="fnd">
      <formula>NOT(ISERROR(SEARCH("fnd",Q118)))</formula>
    </cfRule>
  </conditionalFormatting>
  <conditionalFormatting sqref="Q126:R126">
    <cfRule type="containsText" dxfId="3726" priority="525" operator="containsText" text="Str">
      <formula>NOT(ISERROR(SEARCH("Str",Q126)))</formula>
    </cfRule>
    <cfRule type="containsText" dxfId="3725" priority="526" operator="containsText" text="Ere">
      <formula>NOT(ISERROR(SEARCH("Ere",Q126)))</formula>
    </cfRule>
    <cfRule type="containsText" dxfId="3724" priority="527" operator="containsText" text="Ear">
      <formula>NOT(ISERROR(SEARCH("Ear",Q126)))</formula>
    </cfRule>
    <cfRule type="containsText" dxfId="3723" priority="528" operator="containsText" text="fnd">
      <formula>NOT(ISERROR(SEARCH("fnd",Q126)))</formula>
    </cfRule>
  </conditionalFormatting>
  <conditionalFormatting sqref="Q134:R134">
    <cfRule type="containsText" dxfId="3722" priority="33" operator="containsText" text="Str">
      <formula>NOT(ISERROR(SEARCH("Str",Q134)))</formula>
    </cfRule>
    <cfRule type="containsText" dxfId="3721" priority="34" operator="containsText" text="Ere">
      <formula>NOT(ISERROR(SEARCH("Ere",Q134)))</formula>
    </cfRule>
    <cfRule type="containsText" dxfId="3720" priority="35" operator="containsText" text="Ear">
      <formula>NOT(ISERROR(SEARCH("Ear",Q134)))</formula>
    </cfRule>
    <cfRule type="containsText" dxfId="3719" priority="36" operator="containsText" text="fnd">
      <formula>NOT(ISERROR(SEARCH("fnd",Q134)))</formula>
    </cfRule>
  </conditionalFormatting>
  <conditionalFormatting sqref="Q142:R142">
    <cfRule type="containsText" dxfId="3718" priority="1263" operator="containsText" text="Str">
      <formula>NOT(ISERROR(SEARCH("Str",Q142)))</formula>
    </cfRule>
    <cfRule type="containsText" dxfId="3717" priority="1264" operator="containsText" text="Ere">
      <formula>NOT(ISERROR(SEARCH("Ere",Q142)))</formula>
    </cfRule>
    <cfRule type="containsText" dxfId="3716" priority="1265" operator="containsText" text="Ear">
      <formula>NOT(ISERROR(SEARCH("Ear",Q142)))</formula>
    </cfRule>
    <cfRule type="containsText" dxfId="3715" priority="1266" operator="containsText" text="fnd">
      <formula>NOT(ISERROR(SEARCH("fnd",Q142)))</formula>
    </cfRule>
  </conditionalFormatting>
  <conditionalFormatting sqref="Q150:R150">
    <cfRule type="containsText" dxfId="3714" priority="1175" operator="containsText" text="Str">
      <formula>NOT(ISERROR(SEARCH("Str",Q150)))</formula>
    </cfRule>
    <cfRule type="containsText" dxfId="3713" priority="1176" operator="containsText" text="Ere">
      <formula>NOT(ISERROR(SEARCH("Ere",Q150)))</formula>
    </cfRule>
    <cfRule type="containsText" dxfId="3712" priority="1177" operator="containsText" text="Ear">
      <formula>NOT(ISERROR(SEARCH("Ear",Q150)))</formula>
    </cfRule>
    <cfRule type="containsText" dxfId="3711" priority="1178" operator="containsText" text="fnd">
      <formula>NOT(ISERROR(SEARCH("fnd",Q150)))</formula>
    </cfRule>
  </conditionalFormatting>
  <conditionalFormatting sqref="Q166:R166">
    <cfRule type="containsText" dxfId="3710" priority="1051" operator="containsText" text="Str">
      <formula>NOT(ISERROR(SEARCH("Str",Q166)))</formula>
    </cfRule>
    <cfRule type="containsText" dxfId="3709" priority="1052" operator="containsText" text="Ere">
      <formula>NOT(ISERROR(SEARCH("Ere",Q166)))</formula>
    </cfRule>
    <cfRule type="containsText" dxfId="3708" priority="1053" operator="containsText" text="Ear">
      <formula>NOT(ISERROR(SEARCH("Ear",Q166)))</formula>
    </cfRule>
    <cfRule type="containsText" dxfId="3707" priority="1054" operator="containsText" text="fnd">
      <formula>NOT(ISERROR(SEARCH("fnd",Q166)))</formula>
    </cfRule>
  </conditionalFormatting>
  <conditionalFormatting sqref="Q174:R174">
    <cfRule type="containsText" dxfId="3706" priority="397" operator="containsText" text="Str">
      <formula>NOT(ISERROR(SEARCH("Str",Q174)))</formula>
    </cfRule>
    <cfRule type="containsText" dxfId="3705" priority="398" operator="containsText" text="Ere">
      <formula>NOT(ISERROR(SEARCH("Ere",Q174)))</formula>
    </cfRule>
    <cfRule type="containsText" dxfId="3704" priority="399" operator="containsText" text="Ear">
      <formula>NOT(ISERROR(SEARCH("Ear",Q174)))</formula>
    </cfRule>
    <cfRule type="containsText" dxfId="3703" priority="400" operator="containsText" text="fnd">
      <formula>NOT(ISERROR(SEARCH("fnd",Q174)))</formula>
    </cfRule>
  </conditionalFormatting>
  <conditionalFormatting sqref="Q182:R182">
    <cfRule type="containsText" dxfId="3702" priority="125" operator="containsText" text="Str">
      <formula>NOT(ISERROR(SEARCH("Str",Q182)))</formula>
    </cfRule>
    <cfRule type="containsText" dxfId="3701" priority="126" operator="containsText" text="Ere">
      <formula>NOT(ISERROR(SEARCH("Ere",Q182)))</formula>
    </cfRule>
    <cfRule type="containsText" dxfId="3700" priority="127" operator="containsText" text="Ear">
      <formula>NOT(ISERROR(SEARCH("Ear",Q182)))</formula>
    </cfRule>
    <cfRule type="containsText" dxfId="3699" priority="128" operator="containsText" text="fnd">
      <formula>NOT(ISERROR(SEARCH("fnd",Q182)))</formula>
    </cfRule>
  </conditionalFormatting>
  <conditionalFormatting sqref="R6">
    <cfRule type="containsText" dxfId="3698" priority="205" operator="containsText" text="Str">
      <formula>NOT(ISERROR(SEARCH("Str",R6)))</formula>
    </cfRule>
    <cfRule type="containsText" dxfId="3697" priority="206" operator="containsText" text="Ere">
      <formula>NOT(ISERROR(SEARCH("Ere",R6)))</formula>
    </cfRule>
    <cfRule type="containsText" dxfId="3696" priority="207" operator="containsText" text="Ear">
      <formula>NOT(ISERROR(SEARCH("Ear",R6)))</formula>
    </cfRule>
    <cfRule type="containsText" dxfId="3695" priority="208" operator="containsText" text="fnd">
      <formula>NOT(ISERROR(SEARCH("fnd",R6)))</formula>
    </cfRule>
  </conditionalFormatting>
  <conditionalFormatting sqref="R14">
    <cfRule type="containsText" dxfId="3694" priority="1699" operator="containsText" text="Str">
      <formula>NOT(ISERROR(SEARCH("Str",R14)))</formula>
    </cfRule>
    <cfRule type="containsText" dxfId="3693" priority="1700" operator="containsText" text="Ere">
      <formula>NOT(ISERROR(SEARCH("Ere",R14)))</formula>
    </cfRule>
    <cfRule type="containsText" dxfId="3692" priority="1701" operator="containsText" text="Ear">
      <formula>NOT(ISERROR(SEARCH("Ear",R14)))</formula>
    </cfRule>
    <cfRule type="containsText" dxfId="3691" priority="1702" operator="containsText" text="fnd">
      <formula>NOT(ISERROR(SEARCH("fnd",R14)))</formula>
    </cfRule>
  </conditionalFormatting>
  <conditionalFormatting sqref="R22">
    <cfRule type="containsText" dxfId="3690" priority="1575" operator="containsText" text="Str">
      <formula>NOT(ISERROR(SEARCH("Str",R22)))</formula>
    </cfRule>
    <cfRule type="containsText" dxfId="3689" priority="1576" operator="containsText" text="Ere">
      <formula>NOT(ISERROR(SEARCH("Ere",R22)))</formula>
    </cfRule>
    <cfRule type="containsText" dxfId="3688" priority="1577" operator="containsText" text="Ear">
      <formula>NOT(ISERROR(SEARCH("Ear",R22)))</formula>
    </cfRule>
    <cfRule type="containsText" dxfId="3687" priority="1578" operator="containsText" text="fnd">
      <formula>NOT(ISERROR(SEARCH("fnd",R22)))</formula>
    </cfRule>
  </conditionalFormatting>
  <conditionalFormatting sqref="R38">
    <cfRule type="containsText" dxfId="3686" priority="2051" operator="containsText" text="Str">
      <formula>NOT(ISERROR(SEARCH("Str",R38)))</formula>
    </cfRule>
    <cfRule type="containsText" dxfId="3685" priority="2052" operator="containsText" text="Ere">
      <formula>NOT(ISERROR(SEARCH("Ere",R38)))</formula>
    </cfRule>
    <cfRule type="containsText" dxfId="3684" priority="2053" operator="containsText" text="Ear">
      <formula>NOT(ISERROR(SEARCH("Ear",R38)))</formula>
    </cfRule>
    <cfRule type="containsText" dxfId="3683" priority="2054" operator="containsText" text="fnd">
      <formula>NOT(ISERROR(SEARCH("fnd",R38)))</formula>
    </cfRule>
  </conditionalFormatting>
  <conditionalFormatting sqref="S122 T130 T138 T162 T170 T178">
    <cfRule type="containsText" dxfId="3682" priority="2003" operator="containsText" text="Str">
      <formula>NOT(ISERROR(SEARCH("Str",S122)))</formula>
    </cfRule>
    <cfRule type="containsText" dxfId="3681" priority="2004" operator="containsText" text="Ere">
      <formula>NOT(ISERROR(SEARCH("Ere",S122)))</formula>
    </cfRule>
    <cfRule type="containsText" dxfId="3680" priority="2005" operator="containsText" text="Ear">
      <formula>NOT(ISERROR(SEARCH("Ear",S122)))</formula>
    </cfRule>
    <cfRule type="containsText" dxfId="3679" priority="2006" operator="containsText" text="fnd">
      <formula>NOT(ISERROR(SEARCH("fnd",S122)))</formula>
    </cfRule>
  </conditionalFormatting>
  <conditionalFormatting sqref="T5">
    <cfRule type="containsText" dxfId="3678" priority="201" operator="containsText" text="Str">
      <formula>NOT(ISERROR(SEARCH("Str",T5)))</formula>
    </cfRule>
    <cfRule type="containsText" dxfId="3677" priority="202" operator="containsText" text="Ere">
      <formula>NOT(ISERROR(SEARCH("Ere",T5)))</formula>
    </cfRule>
    <cfRule type="containsText" dxfId="3676" priority="203" operator="containsText" text="Ear">
      <formula>NOT(ISERROR(SEARCH("Ear",T5)))</formula>
    </cfRule>
    <cfRule type="containsText" dxfId="3675" priority="204" operator="containsText" text="fnd">
      <formula>NOT(ISERROR(SEARCH("fnd",T5)))</formula>
    </cfRule>
  </conditionalFormatting>
  <conditionalFormatting sqref="T13:T14">
    <cfRule type="containsText" dxfId="3674" priority="421" operator="containsText" text="Str">
      <formula>NOT(ISERROR(SEARCH("Str",T13)))</formula>
    </cfRule>
    <cfRule type="containsText" dxfId="3673" priority="422" operator="containsText" text="Ere">
      <formula>NOT(ISERROR(SEARCH("Ere",T13)))</formula>
    </cfRule>
    <cfRule type="containsText" dxfId="3672" priority="423" operator="containsText" text="Ear">
      <formula>NOT(ISERROR(SEARCH("Ear",T13)))</formula>
    </cfRule>
    <cfRule type="containsText" dxfId="3671" priority="424" operator="containsText" text="fnd">
      <formula>NOT(ISERROR(SEARCH("fnd",T13)))</formula>
    </cfRule>
  </conditionalFormatting>
  <conditionalFormatting sqref="T21:T22">
    <cfRule type="containsText" dxfId="3670" priority="1507" operator="containsText" text="Str">
      <formula>NOT(ISERROR(SEARCH("Str",T21)))</formula>
    </cfRule>
    <cfRule type="containsText" dxfId="3669" priority="1508" operator="containsText" text="Ere">
      <formula>NOT(ISERROR(SEARCH("Ere",T21)))</formula>
    </cfRule>
    <cfRule type="containsText" dxfId="3668" priority="1509" operator="containsText" text="Ear">
      <formula>NOT(ISERROR(SEARCH("Ear",T21)))</formula>
    </cfRule>
    <cfRule type="containsText" dxfId="3667" priority="1510" operator="containsText" text="fnd">
      <formula>NOT(ISERROR(SEARCH("fnd",T21)))</formula>
    </cfRule>
  </conditionalFormatting>
  <conditionalFormatting sqref="T29">
    <cfRule type="containsText" dxfId="3666" priority="325" operator="containsText" text="Str">
      <formula>NOT(ISERROR(SEARCH("Str",T29)))</formula>
    </cfRule>
    <cfRule type="containsText" dxfId="3665" priority="326" operator="containsText" text="Ere">
      <formula>NOT(ISERROR(SEARCH("Ere",T29)))</formula>
    </cfRule>
    <cfRule type="containsText" dxfId="3664" priority="327" operator="containsText" text="Ear">
      <formula>NOT(ISERROR(SEARCH("Ear",T29)))</formula>
    </cfRule>
    <cfRule type="containsText" dxfId="3663" priority="328" operator="containsText" text="fnd">
      <formula>NOT(ISERROR(SEARCH("fnd",T29)))</formula>
    </cfRule>
  </conditionalFormatting>
  <conditionalFormatting sqref="T37">
    <cfRule type="containsText" dxfId="3662" priority="1647" operator="containsText" text="Str">
      <formula>NOT(ISERROR(SEARCH("Str",T37)))</formula>
    </cfRule>
    <cfRule type="containsText" dxfId="3661" priority="1648" operator="containsText" text="Ere">
      <formula>NOT(ISERROR(SEARCH("Ere",T37)))</formula>
    </cfRule>
    <cfRule type="containsText" dxfId="3660" priority="1649" operator="containsText" text="Ear">
      <formula>NOT(ISERROR(SEARCH("Ear",T37)))</formula>
    </cfRule>
    <cfRule type="containsText" dxfId="3659" priority="1650" operator="containsText" text="fnd">
      <formula>NOT(ISERROR(SEARCH("fnd",T37)))</formula>
    </cfRule>
  </conditionalFormatting>
  <conditionalFormatting sqref="T53">
    <cfRule type="containsText" dxfId="3658" priority="2103" operator="containsText" text="Str">
      <formula>NOT(ISERROR(SEARCH("Str",T53)))</formula>
    </cfRule>
    <cfRule type="containsText" dxfId="3657" priority="2104" operator="containsText" text="Ere">
      <formula>NOT(ISERROR(SEARCH("Ere",T53)))</formula>
    </cfRule>
    <cfRule type="containsText" dxfId="3656" priority="2105" operator="containsText" text="Ear">
      <formula>NOT(ISERROR(SEARCH("Ear",T53)))</formula>
    </cfRule>
    <cfRule type="containsText" dxfId="3655" priority="2106" operator="containsText" text="fnd">
      <formula>NOT(ISERROR(SEARCH("fnd",T53)))</formula>
    </cfRule>
  </conditionalFormatting>
  <conditionalFormatting sqref="T61">
    <cfRule type="containsText" dxfId="3654" priority="2031" operator="containsText" text="Str">
      <formula>NOT(ISERROR(SEARCH("Str",T61)))</formula>
    </cfRule>
    <cfRule type="containsText" dxfId="3653" priority="2032" operator="containsText" text="Ere">
      <formula>NOT(ISERROR(SEARCH("Ere",T61)))</formula>
    </cfRule>
    <cfRule type="containsText" dxfId="3652" priority="2033" operator="containsText" text="Ear">
      <formula>NOT(ISERROR(SEARCH("Ear",T61)))</formula>
    </cfRule>
    <cfRule type="containsText" dxfId="3651" priority="2034" operator="containsText" text="fnd">
      <formula>NOT(ISERROR(SEARCH("fnd",T61)))</formula>
    </cfRule>
  </conditionalFormatting>
  <conditionalFormatting sqref="T85">
    <cfRule type="containsText" dxfId="3650" priority="2095" operator="containsText" text="Str">
      <formula>NOT(ISERROR(SEARCH("Str",T85)))</formula>
    </cfRule>
    <cfRule type="containsText" dxfId="3649" priority="2096" operator="containsText" text="Ere">
      <formula>NOT(ISERROR(SEARCH("Ere",T85)))</formula>
    </cfRule>
    <cfRule type="containsText" dxfId="3648" priority="2097" operator="containsText" text="Ear">
      <formula>NOT(ISERROR(SEARCH("Ear",T85)))</formula>
    </cfRule>
    <cfRule type="containsText" dxfId="3647" priority="2098" operator="containsText" text="fnd">
      <formula>NOT(ISERROR(SEARCH("fnd",T85)))</formula>
    </cfRule>
  </conditionalFormatting>
  <conditionalFormatting sqref="T93">
    <cfRule type="containsText" dxfId="3646" priority="2191" operator="containsText" text="Str">
      <formula>NOT(ISERROR(SEARCH("Str",T93)))</formula>
    </cfRule>
    <cfRule type="containsText" dxfId="3645" priority="2192" operator="containsText" text="Ere">
      <formula>NOT(ISERROR(SEARCH("Ere",T93)))</formula>
    </cfRule>
    <cfRule type="containsText" dxfId="3644" priority="2193" operator="containsText" text="Ear">
      <formula>NOT(ISERROR(SEARCH("Ear",T93)))</formula>
    </cfRule>
    <cfRule type="containsText" dxfId="3643" priority="2194" operator="containsText" text="fnd">
      <formula>NOT(ISERROR(SEARCH("fnd",T93)))</formula>
    </cfRule>
  </conditionalFormatting>
  <conditionalFormatting sqref="T101">
    <cfRule type="containsText" dxfId="3642" priority="2167" operator="containsText" text="Str">
      <formula>NOT(ISERROR(SEARCH("Str",T101)))</formula>
    </cfRule>
    <cfRule type="containsText" dxfId="3641" priority="2168" operator="containsText" text="Ere">
      <formula>NOT(ISERROR(SEARCH("Ere",T101)))</formula>
    </cfRule>
    <cfRule type="containsText" dxfId="3640" priority="2169" operator="containsText" text="Ear">
      <formula>NOT(ISERROR(SEARCH("Ear",T101)))</formula>
    </cfRule>
    <cfRule type="containsText" dxfId="3639" priority="2170" operator="containsText" text="fnd">
      <formula>NOT(ISERROR(SEARCH("fnd",T101)))</formula>
    </cfRule>
  </conditionalFormatting>
  <conditionalFormatting sqref="T109">
    <cfRule type="containsText" dxfId="3638" priority="1731" operator="containsText" text="Str">
      <formula>NOT(ISERROR(SEARCH("Str",T109)))</formula>
    </cfRule>
    <cfRule type="containsText" dxfId="3637" priority="1732" operator="containsText" text="Ere">
      <formula>NOT(ISERROR(SEARCH("Ere",T109)))</formula>
    </cfRule>
    <cfRule type="containsText" dxfId="3636" priority="1733" operator="containsText" text="Ear">
      <formula>NOT(ISERROR(SEARCH("Ear",T109)))</formula>
    </cfRule>
    <cfRule type="containsText" dxfId="3635" priority="1734" operator="containsText" text="fnd">
      <formula>NOT(ISERROR(SEARCH("fnd",T109)))</formula>
    </cfRule>
  </conditionalFormatting>
  <conditionalFormatting sqref="T117">
    <cfRule type="containsText" dxfId="3634" priority="1391" operator="containsText" text="Str">
      <formula>NOT(ISERROR(SEARCH("Str",T117)))</formula>
    </cfRule>
    <cfRule type="containsText" dxfId="3633" priority="1392" operator="containsText" text="Ere">
      <formula>NOT(ISERROR(SEARCH("Ere",T117)))</formula>
    </cfRule>
    <cfRule type="containsText" dxfId="3632" priority="1393" operator="containsText" text="Ear">
      <formula>NOT(ISERROR(SEARCH("Ear",T117)))</formula>
    </cfRule>
    <cfRule type="containsText" dxfId="3631" priority="1394" operator="containsText" text="fnd">
      <formula>NOT(ISERROR(SEARCH("fnd",T117)))</formula>
    </cfRule>
  </conditionalFormatting>
  <conditionalFormatting sqref="T125">
    <cfRule type="containsText" dxfId="3630" priority="571" operator="containsText" text="Str">
      <formula>NOT(ISERROR(SEARCH("Str",T125)))</formula>
    </cfRule>
    <cfRule type="containsText" dxfId="3629" priority="572" operator="containsText" text="Ere">
      <formula>NOT(ISERROR(SEARCH("Ere",T125)))</formula>
    </cfRule>
    <cfRule type="containsText" dxfId="3628" priority="573" operator="containsText" text="Ear">
      <formula>NOT(ISERROR(SEARCH("Ear",T125)))</formula>
    </cfRule>
    <cfRule type="containsText" dxfId="3627" priority="574" operator="containsText" text="fnd">
      <formula>NOT(ISERROR(SEARCH("fnd",T125)))</formula>
    </cfRule>
  </conditionalFormatting>
  <conditionalFormatting sqref="T133">
    <cfRule type="containsText" dxfId="3626" priority="361" operator="containsText" text="Str">
      <formula>NOT(ISERROR(SEARCH("Str",T133)))</formula>
    </cfRule>
    <cfRule type="containsText" dxfId="3625" priority="362" operator="containsText" text="Ere">
      <formula>NOT(ISERROR(SEARCH("Ere",T133)))</formula>
    </cfRule>
    <cfRule type="containsText" dxfId="3624" priority="363" operator="containsText" text="Ear">
      <formula>NOT(ISERROR(SEARCH("Ear",T133)))</formula>
    </cfRule>
    <cfRule type="containsText" dxfId="3623" priority="364" operator="containsText" text="fnd">
      <formula>NOT(ISERROR(SEARCH("fnd",T133)))</formula>
    </cfRule>
  </conditionalFormatting>
  <conditionalFormatting sqref="T141">
    <cfRule type="containsText" dxfId="3622" priority="1251" operator="containsText" text="Str">
      <formula>NOT(ISERROR(SEARCH("Str",T141)))</formula>
    </cfRule>
    <cfRule type="containsText" dxfId="3621" priority="1252" operator="containsText" text="Ere">
      <formula>NOT(ISERROR(SEARCH("Ere",T141)))</formula>
    </cfRule>
    <cfRule type="containsText" dxfId="3620" priority="1253" operator="containsText" text="Ear">
      <formula>NOT(ISERROR(SEARCH("Ear",T141)))</formula>
    </cfRule>
    <cfRule type="containsText" dxfId="3619" priority="1254" operator="containsText" text="fnd">
      <formula>NOT(ISERROR(SEARCH("fnd",T141)))</formula>
    </cfRule>
  </conditionalFormatting>
  <conditionalFormatting sqref="T149">
    <cfRule type="containsText" dxfId="3618" priority="1163" operator="containsText" text="Str">
      <formula>NOT(ISERROR(SEARCH("Str",T149)))</formula>
    </cfRule>
    <cfRule type="containsText" dxfId="3617" priority="1164" operator="containsText" text="Ere">
      <formula>NOT(ISERROR(SEARCH("Ere",T149)))</formula>
    </cfRule>
    <cfRule type="containsText" dxfId="3616" priority="1165" operator="containsText" text="Ear">
      <formula>NOT(ISERROR(SEARCH("Ear",T149)))</formula>
    </cfRule>
    <cfRule type="containsText" dxfId="3615" priority="1166" operator="containsText" text="fnd">
      <formula>NOT(ISERROR(SEARCH("fnd",T149)))</formula>
    </cfRule>
  </conditionalFormatting>
  <conditionalFormatting sqref="T157">
    <cfRule type="containsText" dxfId="3614" priority="1103" operator="containsText" text="Str">
      <formula>NOT(ISERROR(SEARCH("Str",T157)))</formula>
    </cfRule>
    <cfRule type="containsText" dxfId="3613" priority="1104" operator="containsText" text="Ere">
      <formula>NOT(ISERROR(SEARCH("Ere",T157)))</formula>
    </cfRule>
    <cfRule type="containsText" dxfId="3612" priority="1105" operator="containsText" text="Ear">
      <formula>NOT(ISERROR(SEARCH("Ear",T157)))</formula>
    </cfRule>
    <cfRule type="containsText" dxfId="3611" priority="1106" operator="containsText" text="fnd">
      <formula>NOT(ISERROR(SEARCH("fnd",T157)))</formula>
    </cfRule>
  </conditionalFormatting>
  <conditionalFormatting sqref="T165">
    <cfRule type="containsText" dxfId="3610" priority="1039" operator="containsText" text="Str">
      <formula>NOT(ISERROR(SEARCH("Str",T165)))</formula>
    </cfRule>
    <cfRule type="containsText" dxfId="3609" priority="1040" operator="containsText" text="Ere">
      <formula>NOT(ISERROR(SEARCH("Ere",T165)))</formula>
    </cfRule>
    <cfRule type="containsText" dxfId="3608" priority="1041" operator="containsText" text="Ear">
      <formula>NOT(ISERROR(SEARCH("Ear",T165)))</formula>
    </cfRule>
    <cfRule type="containsText" dxfId="3607" priority="1042" operator="containsText" text="fnd">
      <formula>NOT(ISERROR(SEARCH("fnd",T165)))</formula>
    </cfRule>
  </conditionalFormatting>
  <conditionalFormatting sqref="T173">
    <cfRule type="containsText" dxfId="3606" priority="983" operator="containsText" text="Str">
      <formula>NOT(ISERROR(SEARCH("Str",T173)))</formula>
    </cfRule>
    <cfRule type="containsText" dxfId="3605" priority="984" operator="containsText" text="Ere">
      <formula>NOT(ISERROR(SEARCH("Ere",T173)))</formula>
    </cfRule>
    <cfRule type="containsText" dxfId="3604" priority="985" operator="containsText" text="Ear">
      <formula>NOT(ISERROR(SEARCH("Ear",T173)))</formula>
    </cfRule>
    <cfRule type="containsText" dxfId="3603" priority="986" operator="containsText" text="fnd">
      <formula>NOT(ISERROR(SEARCH("fnd",T173)))</formula>
    </cfRule>
  </conditionalFormatting>
  <conditionalFormatting sqref="T181">
    <cfRule type="containsText" dxfId="3602" priority="113" operator="containsText" text="Str">
      <formula>NOT(ISERROR(SEARCH("Str",T181)))</formula>
    </cfRule>
    <cfRule type="containsText" dxfId="3601" priority="114" operator="containsText" text="Ere">
      <formula>NOT(ISERROR(SEARCH("Ere",T181)))</formula>
    </cfRule>
    <cfRule type="containsText" dxfId="3600" priority="115" operator="containsText" text="Ear">
      <formula>NOT(ISERROR(SEARCH("Ear",T181)))</formula>
    </cfRule>
    <cfRule type="containsText" dxfId="3599" priority="116" operator="containsText" text="fnd">
      <formula>NOT(ISERROR(SEARCH("fnd",T181)))</formula>
    </cfRule>
  </conditionalFormatting>
  <conditionalFormatting sqref="T30:U30">
    <cfRule type="containsText" dxfId="3598" priority="329" operator="containsText" text="Str">
      <formula>NOT(ISERROR(SEARCH("Str",T30)))</formula>
    </cfRule>
    <cfRule type="containsText" dxfId="3597" priority="330" operator="containsText" text="Ere">
      <formula>NOT(ISERROR(SEARCH("Ere",T30)))</formula>
    </cfRule>
    <cfRule type="containsText" dxfId="3596" priority="331" operator="containsText" text="Ear">
      <formula>NOT(ISERROR(SEARCH("Ear",T30)))</formula>
    </cfRule>
    <cfRule type="containsText" dxfId="3595" priority="332" operator="containsText" text="fnd">
      <formula>NOT(ISERROR(SEARCH("fnd",T30)))</formula>
    </cfRule>
  </conditionalFormatting>
  <conditionalFormatting sqref="T38:U38">
    <cfRule type="containsText" dxfId="3594" priority="1651" operator="containsText" text="Str">
      <formula>NOT(ISERROR(SEARCH("Str",T38)))</formula>
    </cfRule>
    <cfRule type="containsText" dxfId="3593" priority="1652" operator="containsText" text="Ere">
      <formula>NOT(ISERROR(SEARCH("Ere",T38)))</formula>
    </cfRule>
    <cfRule type="containsText" dxfId="3592" priority="1653" operator="containsText" text="Ear">
      <formula>NOT(ISERROR(SEARCH("Ear",T38)))</formula>
    </cfRule>
    <cfRule type="containsText" dxfId="3591" priority="1654" operator="containsText" text="fnd">
      <formula>NOT(ISERROR(SEARCH("fnd",T38)))</formula>
    </cfRule>
  </conditionalFormatting>
  <conditionalFormatting sqref="T46:U46">
    <cfRule type="containsText" dxfId="3590" priority="1443" operator="containsText" text="Str">
      <formula>NOT(ISERROR(SEARCH("Str",T46)))</formula>
    </cfRule>
    <cfRule type="containsText" dxfId="3589" priority="1444" operator="containsText" text="Ere">
      <formula>NOT(ISERROR(SEARCH("Ere",T46)))</formula>
    </cfRule>
    <cfRule type="containsText" dxfId="3588" priority="1445" operator="containsText" text="Ear">
      <formula>NOT(ISERROR(SEARCH("Ear",T46)))</formula>
    </cfRule>
    <cfRule type="containsText" dxfId="3587" priority="1446" operator="containsText" text="fnd">
      <formula>NOT(ISERROR(SEARCH("fnd",T46)))</formula>
    </cfRule>
  </conditionalFormatting>
  <conditionalFormatting sqref="T54:U54">
    <cfRule type="containsText" dxfId="3586" priority="2275" operator="containsText" text="Str">
      <formula>NOT(ISERROR(SEARCH("Str",T54)))</formula>
    </cfRule>
    <cfRule type="containsText" dxfId="3585" priority="2276" operator="containsText" text="Ere">
      <formula>NOT(ISERROR(SEARCH("Ere",T54)))</formula>
    </cfRule>
    <cfRule type="containsText" dxfId="3584" priority="2277" operator="containsText" text="Ear">
      <formula>NOT(ISERROR(SEARCH("Ear",T54)))</formula>
    </cfRule>
    <cfRule type="containsText" dxfId="3583" priority="2278" operator="containsText" text="fnd">
      <formula>NOT(ISERROR(SEARCH("fnd",T54)))</formula>
    </cfRule>
  </conditionalFormatting>
  <conditionalFormatting sqref="T62:U62">
    <cfRule type="containsText" dxfId="3582" priority="2035" operator="containsText" text="Str">
      <formula>NOT(ISERROR(SEARCH("Str",T62)))</formula>
    </cfRule>
    <cfRule type="containsText" dxfId="3581" priority="2036" operator="containsText" text="Ere">
      <formula>NOT(ISERROR(SEARCH("Ere",T62)))</formula>
    </cfRule>
    <cfRule type="containsText" dxfId="3580" priority="2037" operator="containsText" text="Ear">
      <formula>NOT(ISERROR(SEARCH("Ear",T62)))</formula>
    </cfRule>
    <cfRule type="containsText" dxfId="3579" priority="2038" operator="containsText" text="fnd">
      <formula>NOT(ISERROR(SEARCH("fnd",T62)))</formula>
    </cfRule>
  </conditionalFormatting>
  <conditionalFormatting sqref="T70:U70">
    <cfRule type="containsText" dxfId="3578" priority="2135" operator="containsText" text="Str">
      <formula>NOT(ISERROR(SEARCH("Str",T70)))</formula>
    </cfRule>
    <cfRule type="containsText" dxfId="3577" priority="2136" operator="containsText" text="Ere">
      <formula>NOT(ISERROR(SEARCH("Ere",T70)))</formula>
    </cfRule>
    <cfRule type="containsText" dxfId="3576" priority="2137" operator="containsText" text="Ear">
      <formula>NOT(ISERROR(SEARCH("Ear",T70)))</formula>
    </cfRule>
    <cfRule type="containsText" dxfId="3575" priority="2138" operator="containsText" text="fnd">
      <formula>NOT(ISERROR(SEARCH("fnd",T70)))</formula>
    </cfRule>
  </conditionalFormatting>
  <conditionalFormatting sqref="T86:U86">
    <cfRule type="containsText" dxfId="3574" priority="2143" operator="containsText" text="Str">
      <formula>NOT(ISERROR(SEARCH("Str",T86)))</formula>
    </cfRule>
    <cfRule type="containsText" dxfId="3573" priority="2144" operator="containsText" text="Ere">
      <formula>NOT(ISERROR(SEARCH("Ere",T86)))</formula>
    </cfRule>
    <cfRule type="containsText" dxfId="3572" priority="2145" operator="containsText" text="Ear">
      <formula>NOT(ISERROR(SEARCH("Ear",T86)))</formula>
    </cfRule>
    <cfRule type="containsText" dxfId="3571" priority="2146" operator="containsText" text="fnd">
      <formula>NOT(ISERROR(SEARCH("fnd",T86)))</formula>
    </cfRule>
  </conditionalFormatting>
  <conditionalFormatting sqref="T94:U94">
    <cfRule type="containsText" dxfId="3570" priority="2207" operator="containsText" text="Str">
      <formula>NOT(ISERROR(SEARCH("Str",T94)))</formula>
    </cfRule>
    <cfRule type="containsText" dxfId="3569" priority="2208" operator="containsText" text="Ere">
      <formula>NOT(ISERROR(SEARCH("Ere",T94)))</formula>
    </cfRule>
    <cfRule type="containsText" dxfId="3568" priority="2209" operator="containsText" text="Ear">
      <formula>NOT(ISERROR(SEARCH("Ear",T94)))</formula>
    </cfRule>
    <cfRule type="containsText" dxfId="3567" priority="2210" operator="containsText" text="fnd">
      <formula>NOT(ISERROR(SEARCH("fnd",T94)))</formula>
    </cfRule>
  </conditionalFormatting>
  <conditionalFormatting sqref="T102:U102 W102:X102">
    <cfRule type="containsText" dxfId="3566" priority="2215" operator="containsText" text="Str">
      <formula>NOT(ISERROR(SEARCH("Str",T102)))</formula>
    </cfRule>
    <cfRule type="containsText" dxfId="3565" priority="2216" operator="containsText" text="Ere">
      <formula>NOT(ISERROR(SEARCH("Ere",T102)))</formula>
    </cfRule>
    <cfRule type="containsText" dxfId="3564" priority="2217" operator="containsText" text="Ear">
      <formula>NOT(ISERROR(SEARCH("Ear",T102)))</formula>
    </cfRule>
    <cfRule type="containsText" dxfId="3563" priority="2218" operator="containsText" text="fnd">
      <formula>NOT(ISERROR(SEARCH("fnd",T102)))</formula>
    </cfRule>
  </conditionalFormatting>
  <conditionalFormatting sqref="T110:U110">
    <cfRule type="containsText" dxfId="3562" priority="1735" operator="containsText" text="Str">
      <formula>NOT(ISERROR(SEARCH("Str",T110)))</formula>
    </cfRule>
    <cfRule type="containsText" dxfId="3561" priority="1736" operator="containsText" text="Ere">
      <formula>NOT(ISERROR(SEARCH("Ere",T110)))</formula>
    </cfRule>
    <cfRule type="containsText" dxfId="3560" priority="1737" operator="containsText" text="Ear">
      <formula>NOT(ISERROR(SEARCH("Ear",T110)))</formula>
    </cfRule>
    <cfRule type="containsText" dxfId="3559" priority="1738" operator="containsText" text="fnd">
      <formula>NOT(ISERROR(SEARCH("fnd",T110)))</formula>
    </cfRule>
  </conditionalFormatting>
  <conditionalFormatting sqref="T118:U118">
    <cfRule type="containsText" dxfId="3558" priority="1395" operator="containsText" text="Str">
      <formula>NOT(ISERROR(SEARCH("Str",T118)))</formula>
    </cfRule>
    <cfRule type="containsText" dxfId="3557" priority="1396" operator="containsText" text="Ere">
      <formula>NOT(ISERROR(SEARCH("Ere",T118)))</formula>
    </cfRule>
    <cfRule type="containsText" dxfId="3556" priority="1397" operator="containsText" text="Ear">
      <formula>NOT(ISERROR(SEARCH("Ear",T118)))</formula>
    </cfRule>
    <cfRule type="containsText" dxfId="3555" priority="1398" operator="containsText" text="fnd">
      <formula>NOT(ISERROR(SEARCH("fnd",T118)))</formula>
    </cfRule>
  </conditionalFormatting>
  <conditionalFormatting sqref="T126:U126">
    <cfRule type="containsText" dxfId="3554" priority="575" operator="containsText" text="Str">
      <formula>NOT(ISERROR(SEARCH("Str",T126)))</formula>
    </cfRule>
    <cfRule type="containsText" dxfId="3553" priority="576" operator="containsText" text="Ere">
      <formula>NOT(ISERROR(SEARCH("Ere",T126)))</formula>
    </cfRule>
    <cfRule type="containsText" dxfId="3552" priority="577" operator="containsText" text="Ear">
      <formula>NOT(ISERROR(SEARCH("Ear",T126)))</formula>
    </cfRule>
    <cfRule type="containsText" dxfId="3551" priority="578" operator="containsText" text="fnd">
      <formula>NOT(ISERROR(SEARCH("fnd",T126)))</formula>
    </cfRule>
  </conditionalFormatting>
  <conditionalFormatting sqref="T142:U142">
    <cfRule type="containsText" dxfId="3550" priority="1255" operator="containsText" text="Str">
      <formula>NOT(ISERROR(SEARCH("Str",T142)))</formula>
    </cfRule>
    <cfRule type="containsText" dxfId="3549" priority="1256" operator="containsText" text="Ere">
      <formula>NOT(ISERROR(SEARCH("Ere",T142)))</formula>
    </cfRule>
    <cfRule type="containsText" dxfId="3548" priority="1257" operator="containsText" text="Ear">
      <formula>NOT(ISERROR(SEARCH("Ear",T142)))</formula>
    </cfRule>
    <cfRule type="containsText" dxfId="3547" priority="1258" operator="containsText" text="fnd">
      <formula>NOT(ISERROR(SEARCH("fnd",T142)))</formula>
    </cfRule>
  </conditionalFormatting>
  <conditionalFormatting sqref="T150:U150">
    <cfRule type="containsText" dxfId="3546" priority="1167" operator="containsText" text="Str">
      <formula>NOT(ISERROR(SEARCH("Str",T150)))</formula>
    </cfRule>
    <cfRule type="containsText" dxfId="3545" priority="1168" operator="containsText" text="Ere">
      <formula>NOT(ISERROR(SEARCH("Ere",T150)))</formula>
    </cfRule>
    <cfRule type="containsText" dxfId="3544" priority="1169" operator="containsText" text="Ear">
      <formula>NOT(ISERROR(SEARCH("Ear",T150)))</formula>
    </cfRule>
    <cfRule type="containsText" dxfId="3543" priority="1170" operator="containsText" text="fnd">
      <formula>NOT(ISERROR(SEARCH("fnd",T150)))</formula>
    </cfRule>
  </conditionalFormatting>
  <conditionalFormatting sqref="T158:U158">
    <cfRule type="containsText" dxfId="3542" priority="1107" operator="containsText" text="Str">
      <formula>NOT(ISERROR(SEARCH("Str",T158)))</formula>
    </cfRule>
    <cfRule type="containsText" dxfId="3541" priority="1108" operator="containsText" text="Ere">
      <formula>NOT(ISERROR(SEARCH("Ere",T158)))</formula>
    </cfRule>
    <cfRule type="containsText" dxfId="3540" priority="1109" operator="containsText" text="Ear">
      <formula>NOT(ISERROR(SEARCH("Ear",T158)))</formula>
    </cfRule>
    <cfRule type="containsText" dxfId="3539" priority="1110" operator="containsText" text="fnd">
      <formula>NOT(ISERROR(SEARCH("fnd",T158)))</formula>
    </cfRule>
  </conditionalFormatting>
  <conditionalFormatting sqref="T166:U166">
    <cfRule type="containsText" dxfId="3538" priority="1043" operator="containsText" text="Str">
      <formula>NOT(ISERROR(SEARCH("Str",T166)))</formula>
    </cfRule>
    <cfRule type="containsText" dxfId="3537" priority="1044" operator="containsText" text="Ere">
      <formula>NOT(ISERROR(SEARCH("Ere",T166)))</formula>
    </cfRule>
    <cfRule type="containsText" dxfId="3536" priority="1045" operator="containsText" text="Ear">
      <formula>NOT(ISERROR(SEARCH("Ear",T166)))</formula>
    </cfRule>
    <cfRule type="containsText" dxfId="3535" priority="1046" operator="containsText" text="fnd">
      <formula>NOT(ISERROR(SEARCH("fnd",T166)))</formula>
    </cfRule>
  </conditionalFormatting>
  <conditionalFormatting sqref="T174:U174">
    <cfRule type="containsText" dxfId="3534" priority="987" operator="containsText" text="Str">
      <formula>NOT(ISERROR(SEARCH("Str",T174)))</formula>
    </cfRule>
    <cfRule type="containsText" dxfId="3533" priority="988" operator="containsText" text="Ere">
      <formula>NOT(ISERROR(SEARCH("Ere",T174)))</formula>
    </cfRule>
    <cfRule type="containsText" dxfId="3532" priority="989" operator="containsText" text="Ear">
      <formula>NOT(ISERROR(SEARCH("Ear",T174)))</formula>
    </cfRule>
    <cfRule type="containsText" dxfId="3531" priority="990" operator="containsText" text="fnd">
      <formula>NOT(ISERROR(SEARCH("fnd",T174)))</formula>
    </cfRule>
  </conditionalFormatting>
  <conditionalFormatting sqref="T182:U182">
    <cfRule type="containsText" dxfId="3530" priority="117" operator="containsText" text="Str">
      <formula>NOT(ISERROR(SEARCH("Str",T182)))</formula>
    </cfRule>
    <cfRule type="containsText" dxfId="3529" priority="118" operator="containsText" text="Ere">
      <formula>NOT(ISERROR(SEARCH("Ere",T182)))</formula>
    </cfRule>
    <cfRule type="containsText" dxfId="3528" priority="119" operator="containsText" text="Ear">
      <formula>NOT(ISERROR(SEARCH("Ear",T182)))</formula>
    </cfRule>
    <cfRule type="containsText" dxfId="3527" priority="120" operator="containsText" text="fnd">
      <formula>NOT(ISERROR(SEARCH("fnd",T182)))</formula>
    </cfRule>
  </conditionalFormatting>
  <conditionalFormatting sqref="U14">
    <cfRule type="containsText" dxfId="3526" priority="417" operator="containsText" text="Str">
      <formula>NOT(ISERROR(SEARCH("Str",U14)))</formula>
    </cfRule>
    <cfRule type="containsText" dxfId="3525" priority="418" operator="containsText" text="Ere">
      <formula>NOT(ISERROR(SEARCH("Ere",U14)))</formula>
    </cfRule>
    <cfRule type="containsText" dxfId="3524" priority="419" operator="containsText" text="Ear">
      <formula>NOT(ISERROR(SEARCH("Ear",U14)))</formula>
    </cfRule>
    <cfRule type="containsText" dxfId="3523" priority="420" operator="containsText" text="fnd">
      <formula>NOT(ISERROR(SEARCH("fnd",U14)))</formula>
    </cfRule>
  </conditionalFormatting>
  <conditionalFormatting sqref="U22">
    <cfRule type="containsText" dxfId="3522" priority="1503" operator="containsText" text="Str">
      <formula>NOT(ISERROR(SEARCH("Str",U22)))</formula>
    </cfRule>
    <cfRule type="containsText" dxfId="3521" priority="1504" operator="containsText" text="Ere">
      <formula>NOT(ISERROR(SEARCH("Ere",U22)))</formula>
    </cfRule>
    <cfRule type="containsText" dxfId="3520" priority="1505" operator="containsText" text="Ear">
      <formula>NOT(ISERROR(SEARCH("Ear",U22)))</formula>
    </cfRule>
    <cfRule type="containsText" dxfId="3519" priority="1506" operator="containsText" text="fnd">
      <formula>NOT(ISERROR(SEARCH("fnd",U22)))</formula>
    </cfRule>
  </conditionalFormatting>
  <conditionalFormatting sqref="U78">
    <cfRule type="containsText" dxfId="3518" priority="317" operator="containsText" text="Str">
      <formula>NOT(ISERROR(SEARCH("Str",U78)))</formula>
    </cfRule>
    <cfRule type="containsText" dxfId="3517" priority="318" operator="containsText" text="Ere">
      <formula>NOT(ISERROR(SEARCH("Ere",U78)))</formula>
    </cfRule>
    <cfRule type="containsText" dxfId="3516" priority="319" operator="containsText" text="Ear">
      <formula>NOT(ISERROR(SEARCH("Ear",U78)))</formula>
    </cfRule>
    <cfRule type="containsText" dxfId="3515" priority="320" operator="containsText" text="fnd">
      <formula>NOT(ISERROR(SEARCH("fnd",U78)))</formula>
    </cfRule>
  </conditionalFormatting>
  <conditionalFormatting sqref="W5">
    <cfRule type="containsText" dxfId="3514" priority="157" operator="containsText" text="Str">
      <formula>NOT(ISERROR(SEARCH("Str",W5)))</formula>
    </cfRule>
    <cfRule type="containsText" dxfId="3513" priority="158" operator="containsText" text="Ere">
      <formula>NOT(ISERROR(SEARCH("Ere",W5)))</formula>
    </cfRule>
    <cfRule type="containsText" dxfId="3512" priority="159" operator="containsText" text="Ear">
      <formula>NOT(ISERROR(SEARCH("Ear",W5)))</formula>
    </cfRule>
    <cfRule type="containsText" dxfId="3511" priority="160" operator="containsText" text="fnd">
      <formula>NOT(ISERROR(SEARCH("fnd",W5)))</formula>
    </cfRule>
  </conditionalFormatting>
  <conditionalFormatting sqref="W13:W14">
    <cfRule type="containsText" dxfId="3510" priority="1675" operator="containsText" text="Str">
      <formula>NOT(ISERROR(SEARCH("Str",W13)))</formula>
    </cfRule>
    <cfRule type="containsText" dxfId="3509" priority="1676" operator="containsText" text="Ere">
      <formula>NOT(ISERROR(SEARCH("Ere",W13)))</formula>
    </cfRule>
    <cfRule type="containsText" dxfId="3508" priority="1677" operator="containsText" text="Ear">
      <formula>NOT(ISERROR(SEARCH("Ear",W13)))</formula>
    </cfRule>
    <cfRule type="containsText" dxfId="3507" priority="1678" operator="containsText" text="fnd">
      <formula>NOT(ISERROR(SEARCH("fnd",W13)))</formula>
    </cfRule>
  </conditionalFormatting>
  <conditionalFormatting sqref="W21:W22">
    <cfRule type="containsText" dxfId="3506" priority="1743" operator="containsText" text="Str">
      <formula>NOT(ISERROR(SEARCH("Str",W21)))</formula>
    </cfRule>
    <cfRule type="containsText" dxfId="3505" priority="1744" operator="containsText" text="Ere">
      <formula>NOT(ISERROR(SEARCH("Ere",W21)))</formula>
    </cfRule>
    <cfRule type="containsText" dxfId="3504" priority="1745" operator="containsText" text="Ear">
      <formula>NOT(ISERROR(SEARCH("Ear",W21)))</formula>
    </cfRule>
    <cfRule type="containsText" dxfId="3503" priority="1746" operator="containsText" text="fnd">
      <formula>NOT(ISERROR(SEARCH("fnd",W21)))</formula>
    </cfRule>
  </conditionalFormatting>
  <conditionalFormatting sqref="W29">
    <cfRule type="containsText" dxfId="3502" priority="851" operator="containsText" text="Str">
      <formula>NOT(ISERROR(SEARCH("Str",W29)))</formula>
    </cfRule>
    <cfRule type="containsText" dxfId="3501" priority="852" operator="containsText" text="Ere">
      <formula>NOT(ISERROR(SEARCH("Ere",W29)))</formula>
    </cfRule>
    <cfRule type="containsText" dxfId="3500" priority="853" operator="containsText" text="Ear">
      <formula>NOT(ISERROR(SEARCH("Ear",W29)))</formula>
    </cfRule>
    <cfRule type="containsText" dxfId="3499" priority="854" operator="containsText" text="fnd">
      <formula>NOT(ISERROR(SEARCH("fnd",W29)))</formula>
    </cfRule>
  </conditionalFormatting>
  <conditionalFormatting sqref="W37">
    <cfRule type="containsText" dxfId="3498" priority="373" operator="containsText" text="Str">
      <formula>NOT(ISERROR(SEARCH("Str",W37)))</formula>
    </cfRule>
    <cfRule type="containsText" dxfId="3497" priority="374" operator="containsText" text="Ere">
      <formula>NOT(ISERROR(SEARCH("Ere",W37)))</formula>
    </cfRule>
    <cfRule type="containsText" dxfId="3496" priority="375" operator="containsText" text="Ear">
      <formula>NOT(ISERROR(SEARCH("Ear",W37)))</formula>
    </cfRule>
    <cfRule type="containsText" dxfId="3495" priority="376" operator="containsText" text="fnd">
      <formula>NOT(ISERROR(SEARCH("fnd",W37)))</formula>
    </cfRule>
  </conditionalFormatting>
  <conditionalFormatting sqref="W53">
    <cfRule type="containsText" dxfId="3494" priority="561" operator="containsText" text="Str">
      <formula>NOT(ISERROR(SEARCH("Str",W53)))</formula>
    </cfRule>
    <cfRule type="containsText" dxfId="3493" priority="562" operator="containsText" text="Ere">
      <formula>NOT(ISERROR(SEARCH("Ere",W53)))</formula>
    </cfRule>
    <cfRule type="containsText" dxfId="3492" priority="563" operator="containsText" text="Ear">
      <formula>NOT(ISERROR(SEARCH("Ear",W53)))</formula>
    </cfRule>
    <cfRule type="containsText" dxfId="3491" priority="564" operator="containsText" text="fnd">
      <formula>NOT(ISERROR(SEARCH("fnd",W53)))</formula>
    </cfRule>
  </conditionalFormatting>
  <conditionalFormatting sqref="W61">
    <cfRule type="containsText" dxfId="3490" priority="771" operator="containsText" text="Str">
      <formula>NOT(ISERROR(SEARCH("Str",W61)))</formula>
    </cfRule>
    <cfRule type="containsText" dxfId="3489" priority="772" operator="containsText" text="Ere">
      <formula>NOT(ISERROR(SEARCH("Ere",W61)))</formula>
    </cfRule>
    <cfRule type="containsText" dxfId="3488" priority="773" operator="containsText" text="Ear">
      <formula>NOT(ISERROR(SEARCH("Ear",W61)))</formula>
    </cfRule>
    <cfRule type="containsText" dxfId="3487" priority="774" operator="containsText" text="fnd">
      <formula>NOT(ISERROR(SEARCH("fnd",W61)))</formula>
    </cfRule>
  </conditionalFormatting>
  <conditionalFormatting sqref="W85">
    <cfRule type="containsText" dxfId="3486" priority="667" operator="containsText" text="Str">
      <formula>NOT(ISERROR(SEARCH("Str",W85)))</formula>
    </cfRule>
    <cfRule type="containsText" dxfId="3485" priority="668" operator="containsText" text="Ere">
      <formula>NOT(ISERROR(SEARCH("Ere",W85)))</formula>
    </cfRule>
    <cfRule type="containsText" dxfId="3484" priority="669" operator="containsText" text="Ear">
      <formula>NOT(ISERROR(SEARCH("Ear",W85)))</formula>
    </cfRule>
    <cfRule type="containsText" dxfId="3483" priority="670" operator="containsText" text="fnd">
      <formula>NOT(ISERROR(SEARCH("fnd",W85)))</formula>
    </cfRule>
  </conditionalFormatting>
  <conditionalFormatting sqref="W93">
    <cfRule type="containsText" dxfId="3482" priority="1495" operator="containsText" text="Str">
      <formula>NOT(ISERROR(SEARCH("Str",W93)))</formula>
    </cfRule>
    <cfRule type="containsText" dxfId="3481" priority="1496" operator="containsText" text="Ere">
      <formula>NOT(ISERROR(SEARCH("Ere",W93)))</formula>
    </cfRule>
    <cfRule type="containsText" dxfId="3480" priority="1497" operator="containsText" text="Ear">
      <formula>NOT(ISERROR(SEARCH("Ear",W93)))</formula>
    </cfRule>
    <cfRule type="containsText" dxfId="3479" priority="1498" operator="containsText" text="fnd">
      <formula>NOT(ISERROR(SEARCH("fnd",W93)))</formula>
    </cfRule>
  </conditionalFormatting>
  <conditionalFormatting sqref="W101">
    <cfRule type="containsText" dxfId="3478" priority="2171" operator="containsText" text="Str">
      <formula>NOT(ISERROR(SEARCH("Str",W101)))</formula>
    </cfRule>
    <cfRule type="containsText" dxfId="3477" priority="2172" operator="containsText" text="Ere">
      <formula>NOT(ISERROR(SEARCH("Ere",W101)))</formula>
    </cfRule>
    <cfRule type="containsText" dxfId="3476" priority="2173" operator="containsText" text="Ear">
      <formula>NOT(ISERROR(SEARCH("Ear",W101)))</formula>
    </cfRule>
    <cfRule type="containsText" dxfId="3475" priority="2174" operator="containsText" text="fnd">
      <formula>NOT(ISERROR(SEARCH("fnd",W101)))</formula>
    </cfRule>
  </conditionalFormatting>
  <conditionalFormatting sqref="W109">
    <cfRule type="containsText" dxfId="3474" priority="1707" operator="containsText" text="Str">
      <formula>NOT(ISERROR(SEARCH("Str",W109)))</formula>
    </cfRule>
    <cfRule type="containsText" dxfId="3473" priority="1708" operator="containsText" text="Ere">
      <formula>NOT(ISERROR(SEARCH("Ere",W109)))</formula>
    </cfRule>
    <cfRule type="containsText" dxfId="3472" priority="1709" operator="containsText" text="Ear">
      <formula>NOT(ISERROR(SEARCH("Ear",W109)))</formula>
    </cfRule>
    <cfRule type="containsText" dxfId="3471" priority="1710" operator="containsText" text="fnd">
      <formula>NOT(ISERROR(SEARCH("fnd",W109)))</formula>
    </cfRule>
  </conditionalFormatting>
  <conditionalFormatting sqref="W117">
    <cfRule type="containsText" dxfId="3470" priority="409" operator="containsText" text="Str">
      <formula>NOT(ISERROR(SEARCH("Str",W117)))</formula>
    </cfRule>
    <cfRule type="containsText" dxfId="3469" priority="410" operator="containsText" text="Ere">
      <formula>NOT(ISERROR(SEARCH("Ere",W117)))</formula>
    </cfRule>
    <cfRule type="containsText" dxfId="3468" priority="411" operator="containsText" text="Ear">
      <formula>NOT(ISERROR(SEARCH("Ear",W117)))</formula>
    </cfRule>
    <cfRule type="containsText" dxfId="3467" priority="412" operator="containsText" text="fnd">
      <formula>NOT(ISERROR(SEARCH("fnd",W117)))</formula>
    </cfRule>
  </conditionalFormatting>
  <conditionalFormatting sqref="W122 W130 W138 W154 W162 W178">
    <cfRule type="containsText" dxfId="3466" priority="1999" operator="containsText" text="Str">
      <formula>NOT(ISERROR(SEARCH("Str",W122)))</formula>
    </cfRule>
    <cfRule type="containsText" dxfId="3465" priority="2000" operator="containsText" text="Ere">
      <formula>NOT(ISERROR(SEARCH("Ere",W122)))</formula>
    </cfRule>
    <cfRule type="containsText" dxfId="3464" priority="2001" operator="containsText" text="Ear">
      <formula>NOT(ISERROR(SEARCH("Ear",W122)))</formula>
    </cfRule>
    <cfRule type="containsText" dxfId="3463" priority="2002" operator="containsText" text="fnd">
      <formula>NOT(ISERROR(SEARCH("fnd",W122)))</formula>
    </cfRule>
  </conditionalFormatting>
  <conditionalFormatting sqref="W133">
    <cfRule type="containsText" dxfId="3462" priority="1319" operator="containsText" text="Str">
      <formula>NOT(ISERROR(SEARCH("Str",W133)))</formula>
    </cfRule>
    <cfRule type="containsText" dxfId="3461" priority="1320" operator="containsText" text="Ere">
      <formula>NOT(ISERROR(SEARCH("Ere",W133)))</formula>
    </cfRule>
    <cfRule type="containsText" dxfId="3460" priority="1321" operator="containsText" text="Ear">
      <formula>NOT(ISERROR(SEARCH("Ear",W133)))</formula>
    </cfRule>
    <cfRule type="containsText" dxfId="3459" priority="1322" operator="containsText" text="fnd">
      <formula>NOT(ISERROR(SEARCH("fnd",W133)))</formula>
    </cfRule>
  </conditionalFormatting>
  <conditionalFormatting sqref="W141">
    <cfRule type="containsText" dxfId="3458" priority="1227" operator="containsText" text="Str">
      <formula>NOT(ISERROR(SEARCH("Str",W141)))</formula>
    </cfRule>
    <cfRule type="containsText" dxfId="3457" priority="1228" operator="containsText" text="Ere">
      <formula>NOT(ISERROR(SEARCH("Ere",W141)))</formula>
    </cfRule>
    <cfRule type="containsText" dxfId="3456" priority="1229" operator="containsText" text="Ear">
      <formula>NOT(ISERROR(SEARCH("Ear",W141)))</formula>
    </cfRule>
    <cfRule type="containsText" dxfId="3455" priority="1230" operator="containsText" text="fnd">
      <formula>NOT(ISERROR(SEARCH("fnd",W141)))</formula>
    </cfRule>
  </conditionalFormatting>
  <conditionalFormatting sqref="W149">
    <cfRule type="containsText" dxfId="3454" priority="309" operator="containsText" text="Str">
      <formula>NOT(ISERROR(SEARCH("Str",W149)))</formula>
    </cfRule>
    <cfRule type="containsText" dxfId="3453" priority="310" operator="containsText" text="Ere">
      <formula>NOT(ISERROR(SEARCH("Ere",W149)))</formula>
    </cfRule>
    <cfRule type="containsText" dxfId="3452" priority="311" operator="containsText" text="Ear">
      <formula>NOT(ISERROR(SEARCH("Ear",W149)))</formula>
    </cfRule>
    <cfRule type="containsText" dxfId="3451" priority="312" operator="containsText" text="fnd">
      <formula>NOT(ISERROR(SEARCH("fnd",W149)))</formula>
    </cfRule>
  </conditionalFormatting>
  <conditionalFormatting sqref="W157">
    <cfRule type="containsText" dxfId="3450" priority="743" operator="containsText" text="Str">
      <formula>NOT(ISERROR(SEARCH("Str",W157)))</formula>
    </cfRule>
    <cfRule type="containsText" dxfId="3449" priority="744" operator="containsText" text="Ere">
      <formula>NOT(ISERROR(SEARCH("Ere",W157)))</formula>
    </cfRule>
    <cfRule type="containsText" dxfId="3448" priority="745" operator="containsText" text="Ear">
      <formula>NOT(ISERROR(SEARCH("Ear",W157)))</formula>
    </cfRule>
    <cfRule type="containsText" dxfId="3447" priority="746" operator="containsText" text="fnd">
      <formula>NOT(ISERROR(SEARCH("fnd",W157)))</formula>
    </cfRule>
  </conditionalFormatting>
  <conditionalFormatting sqref="W165">
    <cfRule type="containsText" dxfId="3446" priority="453" operator="containsText" text="Str">
      <formula>NOT(ISERROR(SEARCH("Str",W165)))</formula>
    </cfRule>
    <cfRule type="containsText" dxfId="3445" priority="454" operator="containsText" text="Ere">
      <formula>NOT(ISERROR(SEARCH("Ere",W165)))</formula>
    </cfRule>
    <cfRule type="containsText" dxfId="3444" priority="455" operator="containsText" text="Ear">
      <formula>NOT(ISERROR(SEARCH("Ear",W165)))</formula>
    </cfRule>
    <cfRule type="containsText" dxfId="3443" priority="456" operator="containsText" text="fnd">
      <formula>NOT(ISERROR(SEARCH("fnd",W165)))</formula>
    </cfRule>
  </conditionalFormatting>
  <conditionalFormatting sqref="W173">
    <cfRule type="containsText" dxfId="3442" priority="425" operator="containsText" text="Str">
      <formula>NOT(ISERROR(SEARCH("Str",W173)))</formula>
    </cfRule>
    <cfRule type="containsText" dxfId="3441" priority="426" operator="containsText" text="Ere">
      <formula>NOT(ISERROR(SEARCH("Ere",W173)))</formula>
    </cfRule>
    <cfRule type="containsText" dxfId="3440" priority="427" operator="containsText" text="Ear">
      <formula>NOT(ISERROR(SEARCH("Ear",W173)))</formula>
    </cfRule>
    <cfRule type="containsText" dxfId="3439" priority="428" operator="containsText" text="fnd">
      <formula>NOT(ISERROR(SEARCH("fnd",W173)))</formula>
    </cfRule>
  </conditionalFormatting>
  <conditionalFormatting sqref="W181">
    <cfRule type="containsText" dxfId="3438" priority="105" operator="containsText" text="Str">
      <formula>NOT(ISERROR(SEARCH("Str",W181)))</formula>
    </cfRule>
    <cfRule type="containsText" dxfId="3437" priority="106" operator="containsText" text="Ere">
      <formula>NOT(ISERROR(SEARCH("Ere",W181)))</formula>
    </cfRule>
    <cfRule type="containsText" dxfId="3436" priority="107" operator="containsText" text="Ear">
      <formula>NOT(ISERROR(SEARCH("Ear",W181)))</formula>
    </cfRule>
    <cfRule type="containsText" dxfId="3435" priority="108" operator="containsText" text="fnd">
      <formula>NOT(ISERROR(SEARCH("fnd",W181)))</formula>
    </cfRule>
  </conditionalFormatting>
  <conditionalFormatting sqref="W38:X38">
    <cfRule type="containsText" dxfId="3434" priority="377" operator="containsText" text="Str">
      <formula>NOT(ISERROR(SEARCH("Str",W38)))</formula>
    </cfRule>
    <cfRule type="containsText" dxfId="3433" priority="378" operator="containsText" text="Ere">
      <formula>NOT(ISERROR(SEARCH("Ere",W38)))</formula>
    </cfRule>
    <cfRule type="containsText" dxfId="3432" priority="379" operator="containsText" text="Ear">
      <formula>NOT(ISERROR(SEARCH("Ear",W38)))</formula>
    </cfRule>
    <cfRule type="containsText" dxfId="3431" priority="380" operator="containsText" text="fnd">
      <formula>NOT(ISERROR(SEARCH("fnd",W38)))</formula>
    </cfRule>
  </conditionalFormatting>
  <conditionalFormatting sqref="W46:X46">
    <cfRule type="containsText" dxfId="3430" priority="1439" operator="containsText" text="Str">
      <formula>NOT(ISERROR(SEARCH("Str",W46)))</formula>
    </cfRule>
    <cfRule type="containsText" dxfId="3429" priority="1440" operator="containsText" text="Ere">
      <formula>NOT(ISERROR(SEARCH("Ere",W46)))</formula>
    </cfRule>
    <cfRule type="containsText" dxfId="3428" priority="1441" operator="containsText" text="Ear">
      <formula>NOT(ISERROR(SEARCH("Ear",W46)))</formula>
    </cfRule>
    <cfRule type="containsText" dxfId="3427" priority="1442" operator="containsText" text="fnd">
      <formula>NOT(ISERROR(SEARCH("fnd",W46)))</formula>
    </cfRule>
  </conditionalFormatting>
  <conditionalFormatting sqref="W54:X54">
    <cfRule type="containsText" dxfId="3426" priority="565" operator="containsText" text="Str">
      <formula>NOT(ISERROR(SEARCH("Str",W54)))</formula>
    </cfRule>
    <cfRule type="containsText" dxfId="3425" priority="566" operator="containsText" text="Ere">
      <formula>NOT(ISERROR(SEARCH("Ere",W54)))</formula>
    </cfRule>
    <cfRule type="containsText" dxfId="3424" priority="567" operator="containsText" text="Ear">
      <formula>NOT(ISERROR(SEARCH("Ear",W54)))</formula>
    </cfRule>
    <cfRule type="containsText" dxfId="3423" priority="568" operator="containsText" text="fnd">
      <formula>NOT(ISERROR(SEARCH("fnd",W54)))</formula>
    </cfRule>
  </conditionalFormatting>
  <conditionalFormatting sqref="W70:X70">
    <cfRule type="containsText" dxfId="3422" priority="285" operator="containsText" text="Str">
      <formula>NOT(ISERROR(SEARCH("Str",W70)))</formula>
    </cfRule>
    <cfRule type="containsText" dxfId="3421" priority="286" operator="containsText" text="Ere">
      <formula>NOT(ISERROR(SEARCH("Ere",W70)))</formula>
    </cfRule>
    <cfRule type="containsText" dxfId="3420" priority="287" operator="containsText" text="Ear">
      <formula>NOT(ISERROR(SEARCH("Ear",W70)))</formula>
    </cfRule>
    <cfRule type="containsText" dxfId="3419" priority="288" operator="containsText" text="fnd">
      <formula>NOT(ISERROR(SEARCH("fnd",W70)))</formula>
    </cfRule>
  </conditionalFormatting>
  <conditionalFormatting sqref="W77:X78">
    <cfRule type="containsText" dxfId="3418" priority="2111" operator="containsText" text="Str">
      <formula>NOT(ISERROR(SEARCH("Str",W77)))</formula>
    </cfRule>
    <cfRule type="containsText" dxfId="3417" priority="2112" operator="containsText" text="Ere">
      <formula>NOT(ISERROR(SEARCH("Ere",W77)))</formula>
    </cfRule>
    <cfRule type="containsText" dxfId="3416" priority="2113" operator="containsText" text="Ear">
      <formula>NOT(ISERROR(SEARCH("Ear",W77)))</formula>
    </cfRule>
    <cfRule type="containsText" dxfId="3415" priority="2114" operator="containsText" text="fnd">
      <formula>NOT(ISERROR(SEARCH("fnd",W77)))</formula>
    </cfRule>
  </conditionalFormatting>
  <conditionalFormatting sqref="W86:X86">
    <cfRule type="containsText" dxfId="3414" priority="671" operator="containsText" text="Str">
      <formula>NOT(ISERROR(SEARCH("Str",W86)))</formula>
    </cfRule>
    <cfRule type="containsText" dxfId="3413" priority="672" operator="containsText" text="Ere">
      <formula>NOT(ISERROR(SEARCH("Ere",W86)))</formula>
    </cfRule>
    <cfRule type="containsText" dxfId="3412" priority="673" operator="containsText" text="Ear">
      <formula>NOT(ISERROR(SEARCH("Ear",W86)))</formula>
    </cfRule>
    <cfRule type="containsText" dxfId="3411" priority="674" operator="containsText" text="fnd">
      <formula>NOT(ISERROR(SEARCH("fnd",W86)))</formula>
    </cfRule>
  </conditionalFormatting>
  <conditionalFormatting sqref="W94:X94">
    <cfRule type="containsText" dxfId="3410" priority="1499" operator="containsText" text="Str">
      <formula>NOT(ISERROR(SEARCH("Str",W94)))</formula>
    </cfRule>
    <cfRule type="containsText" dxfId="3409" priority="1500" operator="containsText" text="Ere">
      <formula>NOT(ISERROR(SEARCH("Ere",W94)))</formula>
    </cfRule>
    <cfRule type="containsText" dxfId="3408" priority="1501" operator="containsText" text="Ear">
      <formula>NOT(ISERROR(SEARCH("Ear",W94)))</formula>
    </cfRule>
    <cfRule type="containsText" dxfId="3407" priority="1502" operator="containsText" text="fnd">
      <formula>NOT(ISERROR(SEARCH("fnd",W94)))</formula>
    </cfRule>
  </conditionalFormatting>
  <conditionalFormatting sqref="W110:X110">
    <cfRule type="containsText" dxfId="3406" priority="1711" operator="containsText" text="Str">
      <formula>NOT(ISERROR(SEARCH("Str",W110)))</formula>
    </cfRule>
    <cfRule type="containsText" dxfId="3405" priority="1712" operator="containsText" text="Ere">
      <formula>NOT(ISERROR(SEARCH("Ere",W110)))</formula>
    </cfRule>
    <cfRule type="containsText" dxfId="3404" priority="1713" operator="containsText" text="Ear">
      <formula>NOT(ISERROR(SEARCH("Ear",W110)))</formula>
    </cfRule>
    <cfRule type="containsText" dxfId="3403" priority="1714" operator="containsText" text="fnd">
      <formula>NOT(ISERROR(SEARCH("fnd",W110)))</formula>
    </cfRule>
  </conditionalFormatting>
  <conditionalFormatting sqref="W118:X118">
    <cfRule type="containsText" dxfId="3402" priority="413" operator="containsText" text="Str">
      <formula>NOT(ISERROR(SEARCH("Str",W118)))</formula>
    </cfRule>
    <cfRule type="containsText" dxfId="3401" priority="414" operator="containsText" text="Ere">
      <formula>NOT(ISERROR(SEARCH("Ere",W118)))</formula>
    </cfRule>
    <cfRule type="containsText" dxfId="3400" priority="415" operator="containsText" text="Ear">
      <formula>NOT(ISERROR(SEARCH("Ear",W118)))</formula>
    </cfRule>
    <cfRule type="containsText" dxfId="3399" priority="416" operator="containsText" text="fnd">
      <formula>NOT(ISERROR(SEARCH("fnd",W118)))</formula>
    </cfRule>
  </conditionalFormatting>
  <conditionalFormatting sqref="W134:X134">
    <cfRule type="containsText" dxfId="3398" priority="1323" operator="containsText" text="Str">
      <formula>NOT(ISERROR(SEARCH("Str",W134)))</formula>
    </cfRule>
    <cfRule type="containsText" dxfId="3397" priority="1324" operator="containsText" text="Ere">
      <formula>NOT(ISERROR(SEARCH("Ere",W134)))</formula>
    </cfRule>
    <cfRule type="containsText" dxfId="3396" priority="1325" operator="containsText" text="Ear">
      <formula>NOT(ISERROR(SEARCH("Ear",W134)))</formula>
    </cfRule>
    <cfRule type="containsText" dxfId="3395" priority="1326" operator="containsText" text="fnd">
      <formula>NOT(ISERROR(SEARCH("fnd",W134)))</formula>
    </cfRule>
  </conditionalFormatting>
  <conditionalFormatting sqref="W142:X142">
    <cfRule type="containsText" dxfId="3394" priority="1231" operator="containsText" text="Str">
      <formula>NOT(ISERROR(SEARCH("Str",W142)))</formula>
    </cfRule>
    <cfRule type="containsText" dxfId="3393" priority="1232" operator="containsText" text="Ere">
      <formula>NOT(ISERROR(SEARCH("Ere",W142)))</formula>
    </cfRule>
    <cfRule type="containsText" dxfId="3392" priority="1233" operator="containsText" text="Ear">
      <formula>NOT(ISERROR(SEARCH("Ear",W142)))</formula>
    </cfRule>
    <cfRule type="containsText" dxfId="3391" priority="1234" operator="containsText" text="fnd">
      <formula>NOT(ISERROR(SEARCH("fnd",W142)))</formula>
    </cfRule>
  </conditionalFormatting>
  <conditionalFormatting sqref="W150:X150">
    <cfRule type="containsText" dxfId="3390" priority="313" operator="containsText" text="Str">
      <formula>NOT(ISERROR(SEARCH("Str",W150)))</formula>
    </cfRule>
    <cfRule type="containsText" dxfId="3389" priority="314" operator="containsText" text="Ere">
      <formula>NOT(ISERROR(SEARCH("Ere",W150)))</formula>
    </cfRule>
    <cfRule type="containsText" dxfId="3388" priority="315" operator="containsText" text="Ear">
      <formula>NOT(ISERROR(SEARCH("Ear",W150)))</formula>
    </cfRule>
    <cfRule type="containsText" dxfId="3387" priority="316" operator="containsText" text="fnd">
      <formula>NOT(ISERROR(SEARCH("fnd",W150)))</formula>
    </cfRule>
  </conditionalFormatting>
  <conditionalFormatting sqref="W174:X174">
    <cfRule type="containsText" dxfId="3386" priority="429" operator="containsText" text="Str">
      <formula>NOT(ISERROR(SEARCH("Str",W174)))</formula>
    </cfRule>
    <cfRule type="containsText" dxfId="3385" priority="430" operator="containsText" text="Ere">
      <formula>NOT(ISERROR(SEARCH("Ere",W174)))</formula>
    </cfRule>
    <cfRule type="containsText" dxfId="3384" priority="431" operator="containsText" text="Ear">
      <formula>NOT(ISERROR(SEARCH("Ear",W174)))</formula>
    </cfRule>
    <cfRule type="containsText" dxfId="3383" priority="432" operator="containsText" text="fnd">
      <formula>NOT(ISERROR(SEARCH("fnd",W174)))</formula>
    </cfRule>
  </conditionalFormatting>
  <conditionalFormatting sqref="W182:X182">
    <cfRule type="containsText" dxfId="3382" priority="109" operator="containsText" text="Str">
      <formula>NOT(ISERROR(SEARCH("Str",W182)))</formula>
    </cfRule>
    <cfRule type="containsText" dxfId="3381" priority="110" operator="containsText" text="Ere">
      <formula>NOT(ISERROR(SEARCH("Ere",W182)))</formula>
    </cfRule>
    <cfRule type="containsText" dxfId="3380" priority="111" operator="containsText" text="Ear">
      <formula>NOT(ISERROR(SEARCH("Ear",W182)))</formula>
    </cfRule>
    <cfRule type="containsText" dxfId="3379" priority="112" operator="containsText" text="fnd">
      <formula>NOT(ISERROR(SEARCH("fnd",W182)))</formula>
    </cfRule>
  </conditionalFormatting>
  <conditionalFormatting sqref="X14">
    <cfRule type="containsText" dxfId="3378" priority="1671" operator="containsText" text="Str">
      <formula>NOT(ISERROR(SEARCH("Str",X14)))</formula>
    </cfRule>
    <cfRule type="containsText" dxfId="3377" priority="1672" operator="containsText" text="Ere">
      <formula>NOT(ISERROR(SEARCH("Ere",X14)))</formula>
    </cfRule>
    <cfRule type="containsText" dxfId="3376" priority="1673" operator="containsText" text="Ear">
      <formula>NOT(ISERROR(SEARCH("Ear",X14)))</formula>
    </cfRule>
    <cfRule type="containsText" dxfId="3375" priority="1674" operator="containsText" text="fnd">
      <formula>NOT(ISERROR(SEARCH("fnd",X14)))</formula>
    </cfRule>
  </conditionalFormatting>
  <conditionalFormatting sqref="X22">
    <cfRule type="containsText" dxfId="3374" priority="1739" operator="containsText" text="Str">
      <formula>NOT(ISERROR(SEARCH("Str",X22)))</formula>
    </cfRule>
    <cfRule type="containsText" dxfId="3373" priority="1740" operator="containsText" text="Ere">
      <formula>NOT(ISERROR(SEARCH("Ere",X22)))</formula>
    </cfRule>
    <cfRule type="containsText" dxfId="3372" priority="1741" operator="containsText" text="Ear">
      <formula>NOT(ISERROR(SEARCH("Ear",X22)))</formula>
    </cfRule>
    <cfRule type="containsText" dxfId="3371" priority="1742" operator="containsText" text="fnd">
      <formula>NOT(ISERROR(SEARCH("fnd",X22)))</formula>
    </cfRule>
  </conditionalFormatting>
  <conditionalFormatting sqref="Z5:Z6">
    <cfRule type="containsText" dxfId="3370" priority="197" operator="containsText" text="Str">
      <formula>NOT(ISERROR(SEARCH("Str",Z5)))</formula>
    </cfRule>
    <cfRule type="containsText" dxfId="3369" priority="198" operator="containsText" text="Ere">
      <formula>NOT(ISERROR(SEARCH("Ere",Z5)))</formula>
    </cfRule>
    <cfRule type="containsText" dxfId="3368" priority="199" operator="containsText" text="Ear">
      <formula>NOT(ISERROR(SEARCH("Ear",Z5)))</formula>
    </cfRule>
    <cfRule type="containsText" dxfId="3367" priority="200" operator="containsText" text="fnd">
      <formula>NOT(ISERROR(SEARCH("fnd",Z5)))</formula>
    </cfRule>
  </conditionalFormatting>
  <conditionalFormatting sqref="Z13:Z14">
    <cfRule type="containsText" dxfId="3366" priority="389" operator="containsText" text="Str">
      <formula>NOT(ISERROR(SEARCH("Str",Z13)))</formula>
    </cfRule>
    <cfRule type="containsText" dxfId="3365" priority="390" operator="containsText" text="Ere">
      <formula>NOT(ISERROR(SEARCH("Ere",Z13)))</formula>
    </cfRule>
    <cfRule type="containsText" dxfId="3364" priority="391" operator="containsText" text="Ear">
      <formula>NOT(ISERROR(SEARCH("Ear",Z13)))</formula>
    </cfRule>
    <cfRule type="containsText" dxfId="3363" priority="392" operator="containsText" text="fnd">
      <formula>NOT(ISERROR(SEARCH("fnd",Z13)))</formula>
    </cfRule>
  </conditionalFormatting>
  <conditionalFormatting sqref="Z21:Z22">
    <cfRule type="containsText" dxfId="3362" priority="1891" operator="containsText" text="Str">
      <formula>NOT(ISERROR(SEARCH("Str",Z21)))</formula>
    </cfRule>
    <cfRule type="containsText" dxfId="3361" priority="1892" operator="containsText" text="Ere">
      <formula>NOT(ISERROR(SEARCH("Ere",Z21)))</formula>
    </cfRule>
    <cfRule type="containsText" dxfId="3360" priority="1893" operator="containsText" text="Ear">
      <formula>NOT(ISERROR(SEARCH("Ear",Z21)))</formula>
    </cfRule>
    <cfRule type="containsText" dxfId="3359" priority="1894" operator="containsText" text="fnd">
      <formula>NOT(ISERROR(SEARCH("fnd",Z21)))</formula>
    </cfRule>
  </conditionalFormatting>
  <conditionalFormatting sqref="Z29">
    <cfRule type="containsText" dxfId="3358" priority="1839" operator="containsText" text="Str">
      <formula>NOT(ISERROR(SEARCH("Str",Z29)))</formula>
    </cfRule>
    <cfRule type="containsText" dxfId="3357" priority="1840" operator="containsText" text="Ere">
      <formula>NOT(ISERROR(SEARCH("Ere",Z29)))</formula>
    </cfRule>
    <cfRule type="containsText" dxfId="3356" priority="1841" operator="containsText" text="Ear">
      <formula>NOT(ISERROR(SEARCH("Ear",Z29)))</formula>
    </cfRule>
    <cfRule type="containsText" dxfId="3355" priority="1842" operator="containsText" text="fnd">
      <formula>NOT(ISERROR(SEARCH("fnd",Z29)))</formula>
    </cfRule>
  </conditionalFormatting>
  <conditionalFormatting sqref="Z37">
    <cfRule type="containsText" dxfId="3354" priority="1487" operator="containsText" text="Str">
      <formula>NOT(ISERROR(SEARCH("Str",Z37)))</formula>
    </cfRule>
    <cfRule type="containsText" dxfId="3353" priority="1488" operator="containsText" text="Ere">
      <formula>NOT(ISERROR(SEARCH("Ere",Z37)))</formula>
    </cfRule>
    <cfRule type="containsText" dxfId="3352" priority="1489" operator="containsText" text="Ear">
      <formula>NOT(ISERROR(SEARCH("Ear",Z37)))</formula>
    </cfRule>
    <cfRule type="containsText" dxfId="3351" priority="1490" operator="containsText" text="fnd">
      <formula>NOT(ISERROR(SEARCH("fnd",Z37)))</formula>
    </cfRule>
  </conditionalFormatting>
  <conditionalFormatting sqref="Z45">
    <cfRule type="containsText" dxfId="3350" priority="2047" operator="containsText" text="Str">
      <formula>NOT(ISERROR(SEARCH("Str",Z45)))</formula>
    </cfRule>
    <cfRule type="containsText" dxfId="3349" priority="2048" operator="containsText" text="Ere">
      <formula>NOT(ISERROR(SEARCH("Ere",Z45)))</formula>
    </cfRule>
    <cfRule type="containsText" dxfId="3348" priority="2049" operator="containsText" text="Ear">
      <formula>NOT(ISERROR(SEARCH("Ear",Z45)))</formula>
    </cfRule>
    <cfRule type="containsText" dxfId="3347" priority="2050" operator="containsText" text="fnd">
      <formula>NOT(ISERROR(SEARCH("fnd",Z45)))</formula>
    </cfRule>
  </conditionalFormatting>
  <conditionalFormatting sqref="Z53">
    <cfRule type="containsText" dxfId="3346" priority="473" operator="containsText" text="Str">
      <formula>NOT(ISERROR(SEARCH("Str",Z53)))</formula>
    </cfRule>
    <cfRule type="containsText" dxfId="3345" priority="474" operator="containsText" text="Ere">
      <formula>NOT(ISERROR(SEARCH("Ere",Z53)))</formula>
    </cfRule>
    <cfRule type="containsText" dxfId="3344" priority="475" operator="containsText" text="Ear">
      <formula>NOT(ISERROR(SEARCH("Ear",Z53)))</formula>
    </cfRule>
    <cfRule type="containsText" dxfId="3343" priority="476" operator="containsText" text="fnd">
      <formula>NOT(ISERROR(SEARCH("fnd",Z53)))</formula>
    </cfRule>
  </conditionalFormatting>
  <conditionalFormatting sqref="Z61">
    <cfRule type="containsText" dxfId="3342" priority="2027" operator="containsText" text="Str">
      <formula>NOT(ISERROR(SEARCH("Str",Z61)))</formula>
    </cfRule>
    <cfRule type="containsText" dxfId="3341" priority="2028" operator="containsText" text="Ere">
      <formula>NOT(ISERROR(SEARCH("Ere",Z61)))</formula>
    </cfRule>
    <cfRule type="containsText" dxfId="3340" priority="2029" operator="containsText" text="Ear">
      <formula>NOT(ISERROR(SEARCH("Ear",Z61)))</formula>
    </cfRule>
    <cfRule type="containsText" dxfId="3339" priority="2030" operator="containsText" text="fnd">
      <formula>NOT(ISERROR(SEARCH("fnd",Z61)))</formula>
    </cfRule>
  </conditionalFormatting>
  <conditionalFormatting sqref="Z69">
    <cfRule type="containsText" dxfId="3338" priority="767" operator="containsText" text="Str">
      <formula>NOT(ISERROR(SEARCH("Str",Z69)))</formula>
    </cfRule>
    <cfRule type="containsText" dxfId="3337" priority="768" operator="containsText" text="Ere">
      <formula>NOT(ISERROR(SEARCH("Ere",Z69)))</formula>
    </cfRule>
    <cfRule type="containsText" dxfId="3336" priority="769" operator="containsText" text="Ear">
      <formula>NOT(ISERROR(SEARCH("Ear",Z69)))</formula>
    </cfRule>
    <cfRule type="containsText" dxfId="3335" priority="770" operator="containsText" text="fnd">
      <formula>NOT(ISERROR(SEARCH("fnd",Z69)))</formula>
    </cfRule>
  </conditionalFormatting>
  <conditionalFormatting sqref="Z85">
    <cfRule type="containsText" dxfId="3334" priority="683" operator="containsText" text="Str">
      <formula>NOT(ISERROR(SEARCH("Str",Z85)))</formula>
    </cfRule>
    <cfRule type="containsText" dxfId="3333" priority="684" operator="containsText" text="Ere">
      <formula>NOT(ISERROR(SEARCH("Ere",Z85)))</formula>
    </cfRule>
    <cfRule type="containsText" dxfId="3332" priority="685" operator="containsText" text="Ear">
      <formula>NOT(ISERROR(SEARCH("Ear",Z85)))</formula>
    </cfRule>
    <cfRule type="containsText" dxfId="3331" priority="686" operator="containsText" text="fnd">
      <formula>NOT(ISERROR(SEARCH("fnd",Z85)))</formula>
    </cfRule>
  </conditionalFormatting>
  <conditionalFormatting sqref="Z93">
    <cfRule type="containsText" dxfId="3330" priority="1855" operator="containsText" text="Str">
      <formula>NOT(ISERROR(SEARCH("Str",Z93)))</formula>
    </cfRule>
    <cfRule type="containsText" dxfId="3329" priority="1856" operator="containsText" text="Ere">
      <formula>NOT(ISERROR(SEARCH("Ere",Z93)))</formula>
    </cfRule>
    <cfRule type="containsText" dxfId="3328" priority="1857" operator="containsText" text="Ear">
      <formula>NOT(ISERROR(SEARCH("Ear",Z93)))</formula>
    </cfRule>
    <cfRule type="containsText" dxfId="3327" priority="1858" operator="containsText" text="fnd">
      <formula>NOT(ISERROR(SEARCH("fnd",Z93)))</formula>
    </cfRule>
  </conditionalFormatting>
  <conditionalFormatting sqref="Z101">
    <cfRule type="containsText" dxfId="3326" priority="2159" operator="containsText" text="Str">
      <formula>NOT(ISERROR(SEARCH("Str",Z101)))</formula>
    </cfRule>
    <cfRule type="containsText" dxfId="3325" priority="2160" operator="containsText" text="Ere">
      <formula>NOT(ISERROR(SEARCH("Ere",Z101)))</formula>
    </cfRule>
    <cfRule type="containsText" dxfId="3324" priority="2161" operator="containsText" text="Ear">
      <formula>NOT(ISERROR(SEARCH("Ear",Z101)))</formula>
    </cfRule>
    <cfRule type="containsText" dxfId="3323" priority="2162" operator="containsText" text="fnd">
      <formula>NOT(ISERROR(SEARCH("fnd",Z101)))</formula>
    </cfRule>
  </conditionalFormatting>
  <conditionalFormatting sqref="Z109">
    <cfRule type="containsText" dxfId="3322" priority="1763" operator="containsText" text="Str">
      <formula>NOT(ISERROR(SEARCH("Str",Z109)))</formula>
    </cfRule>
    <cfRule type="containsText" dxfId="3321" priority="1764" operator="containsText" text="Ere">
      <formula>NOT(ISERROR(SEARCH("Ere",Z109)))</formula>
    </cfRule>
    <cfRule type="containsText" dxfId="3320" priority="1765" operator="containsText" text="Ear">
      <formula>NOT(ISERROR(SEARCH("Ear",Z109)))</formula>
    </cfRule>
    <cfRule type="containsText" dxfId="3319" priority="1766" operator="containsText" text="fnd">
      <formula>NOT(ISERROR(SEARCH("fnd",Z109)))</formula>
    </cfRule>
  </conditionalFormatting>
  <conditionalFormatting sqref="Z117">
    <cfRule type="containsText" dxfId="3318" priority="711" operator="containsText" text="Str">
      <formula>NOT(ISERROR(SEARCH("Str",Z117)))</formula>
    </cfRule>
    <cfRule type="containsText" dxfId="3317" priority="712" operator="containsText" text="Ere">
      <formula>NOT(ISERROR(SEARCH("Ere",Z117)))</formula>
    </cfRule>
    <cfRule type="containsText" dxfId="3316" priority="713" operator="containsText" text="Ear">
      <formula>NOT(ISERROR(SEARCH("Ear",Z117)))</formula>
    </cfRule>
    <cfRule type="containsText" dxfId="3315" priority="714" operator="containsText" text="fnd">
      <formula>NOT(ISERROR(SEARCH("fnd",Z117)))</formula>
    </cfRule>
  </conditionalFormatting>
  <conditionalFormatting sqref="Z122 Z130 Z170 Z178">
    <cfRule type="containsText" dxfId="3314" priority="1991" operator="containsText" text="Str">
      <formula>NOT(ISERROR(SEARCH("Str",Z122)))</formula>
    </cfRule>
    <cfRule type="containsText" dxfId="3313" priority="1992" operator="containsText" text="Ere">
      <formula>NOT(ISERROR(SEARCH("Ere",Z122)))</formula>
    </cfRule>
    <cfRule type="containsText" dxfId="3312" priority="1993" operator="containsText" text="Ear">
      <formula>NOT(ISERROR(SEARCH("Ear",Z122)))</formula>
    </cfRule>
    <cfRule type="containsText" dxfId="3311" priority="1994" operator="containsText" text="fnd">
      <formula>NOT(ISERROR(SEARCH("fnd",Z122)))</formula>
    </cfRule>
  </conditionalFormatting>
  <conditionalFormatting sqref="Z125">
    <cfRule type="containsText" dxfId="3310" priority="497" operator="containsText" text="Str">
      <formula>NOT(ISERROR(SEARCH("Str",Z125)))</formula>
    </cfRule>
    <cfRule type="containsText" dxfId="3309" priority="498" operator="containsText" text="Ere">
      <formula>NOT(ISERROR(SEARCH("Ere",Z125)))</formula>
    </cfRule>
    <cfRule type="containsText" dxfId="3308" priority="499" operator="containsText" text="Ear">
      <formula>NOT(ISERROR(SEARCH("Ear",Z125)))</formula>
    </cfRule>
    <cfRule type="containsText" dxfId="3307" priority="500" operator="containsText" text="fnd">
      <formula>NOT(ISERROR(SEARCH("fnd",Z125)))</formula>
    </cfRule>
  </conditionalFormatting>
  <conditionalFormatting sqref="Z133">
    <cfRule type="containsText" dxfId="3306" priority="277" operator="containsText" text="Str">
      <formula>NOT(ISERROR(SEARCH("Str",Z133)))</formula>
    </cfRule>
    <cfRule type="containsText" dxfId="3305" priority="278" operator="containsText" text="Ere">
      <formula>NOT(ISERROR(SEARCH("Ere",Z133)))</formula>
    </cfRule>
    <cfRule type="containsText" dxfId="3304" priority="279" operator="containsText" text="Ear">
      <formula>NOT(ISERROR(SEARCH("Ear",Z133)))</formula>
    </cfRule>
    <cfRule type="containsText" dxfId="3303" priority="280" operator="containsText" text="fnd">
      <formula>NOT(ISERROR(SEARCH("fnd",Z133)))</formula>
    </cfRule>
  </conditionalFormatting>
  <conditionalFormatting sqref="Z141">
    <cfRule type="containsText" dxfId="3302" priority="747" operator="containsText" text="Str">
      <formula>NOT(ISERROR(SEARCH("Str",Z141)))</formula>
    </cfRule>
    <cfRule type="containsText" dxfId="3301" priority="748" operator="containsText" text="Ere">
      <formula>NOT(ISERROR(SEARCH("Ere",Z141)))</formula>
    </cfRule>
    <cfRule type="containsText" dxfId="3300" priority="749" operator="containsText" text="Ear">
      <formula>NOT(ISERROR(SEARCH("Ear",Z141)))</formula>
    </cfRule>
    <cfRule type="containsText" dxfId="3299" priority="750" operator="containsText" text="fnd">
      <formula>NOT(ISERROR(SEARCH("fnd",Z141)))</formula>
    </cfRule>
  </conditionalFormatting>
  <conditionalFormatting sqref="Z149">
    <cfRule type="containsText" dxfId="3298" priority="401" operator="containsText" text="Str">
      <formula>NOT(ISERROR(SEARCH("Str",Z149)))</formula>
    </cfRule>
    <cfRule type="containsText" dxfId="3297" priority="402" operator="containsText" text="Ere">
      <formula>NOT(ISERROR(SEARCH("Ere",Z149)))</formula>
    </cfRule>
    <cfRule type="containsText" dxfId="3296" priority="403" operator="containsText" text="Ear">
      <formula>NOT(ISERROR(SEARCH("Ear",Z149)))</formula>
    </cfRule>
    <cfRule type="containsText" dxfId="3295" priority="404" operator="containsText" text="fnd">
      <formula>NOT(ISERROR(SEARCH("fnd",Z149)))</formula>
    </cfRule>
  </conditionalFormatting>
  <conditionalFormatting sqref="Z157">
    <cfRule type="containsText" dxfId="3294" priority="1115" operator="containsText" text="Str">
      <formula>NOT(ISERROR(SEARCH("Str",Z157)))</formula>
    </cfRule>
    <cfRule type="containsText" dxfId="3293" priority="1116" operator="containsText" text="Ere">
      <formula>NOT(ISERROR(SEARCH("Ere",Z157)))</formula>
    </cfRule>
    <cfRule type="containsText" dxfId="3292" priority="1117" operator="containsText" text="Ear">
      <formula>NOT(ISERROR(SEARCH("Ear",Z157)))</formula>
    </cfRule>
    <cfRule type="containsText" dxfId="3291" priority="1118" operator="containsText" text="fnd">
      <formula>NOT(ISERROR(SEARCH("fnd",Z157)))</formula>
    </cfRule>
  </conditionalFormatting>
  <conditionalFormatting sqref="Z165">
    <cfRule type="containsText" dxfId="3290" priority="433" operator="containsText" text="Str">
      <formula>NOT(ISERROR(SEARCH("Str",Z165)))</formula>
    </cfRule>
    <cfRule type="containsText" dxfId="3289" priority="434" operator="containsText" text="Ere">
      <formula>NOT(ISERROR(SEARCH("Ere",Z165)))</formula>
    </cfRule>
    <cfRule type="containsText" dxfId="3288" priority="435" operator="containsText" text="Ear">
      <formula>NOT(ISERROR(SEARCH("Ear",Z165)))</formula>
    </cfRule>
    <cfRule type="containsText" dxfId="3287" priority="436" operator="containsText" text="fnd">
      <formula>NOT(ISERROR(SEARCH("fnd",Z165)))</formula>
    </cfRule>
  </conditionalFormatting>
  <conditionalFormatting sqref="Z173">
    <cfRule type="containsText" dxfId="3286" priority="991" operator="containsText" text="Str">
      <formula>NOT(ISERROR(SEARCH("Str",Z173)))</formula>
    </cfRule>
    <cfRule type="containsText" dxfId="3285" priority="992" operator="containsText" text="Ere">
      <formula>NOT(ISERROR(SEARCH("Ere",Z173)))</formula>
    </cfRule>
    <cfRule type="containsText" dxfId="3284" priority="993" operator="containsText" text="Ear">
      <formula>NOT(ISERROR(SEARCH("Ear",Z173)))</formula>
    </cfRule>
    <cfRule type="containsText" dxfId="3283" priority="994" operator="containsText" text="fnd">
      <formula>NOT(ISERROR(SEARCH("fnd",Z173)))</formula>
    </cfRule>
  </conditionalFormatting>
  <conditionalFormatting sqref="Z181">
    <cfRule type="containsText" dxfId="3282" priority="97" operator="containsText" text="Str">
      <formula>NOT(ISERROR(SEARCH("Str",Z181)))</formula>
    </cfRule>
    <cfRule type="containsText" dxfId="3281" priority="98" operator="containsText" text="Ere">
      <formula>NOT(ISERROR(SEARCH("Ere",Z181)))</formula>
    </cfRule>
    <cfRule type="containsText" dxfId="3280" priority="99" operator="containsText" text="Ear">
      <formula>NOT(ISERROR(SEARCH("Ear",Z181)))</formula>
    </cfRule>
    <cfRule type="containsText" dxfId="3279" priority="100" operator="containsText" text="fnd">
      <formula>NOT(ISERROR(SEARCH("fnd",Z181)))</formula>
    </cfRule>
  </conditionalFormatting>
  <conditionalFormatting sqref="Z30:AA30">
    <cfRule type="containsText" dxfId="3278" priority="1843" operator="containsText" text="Str">
      <formula>NOT(ISERROR(SEARCH("Str",Z30)))</formula>
    </cfRule>
    <cfRule type="containsText" dxfId="3277" priority="1844" operator="containsText" text="Ere">
      <formula>NOT(ISERROR(SEARCH("Ere",Z30)))</formula>
    </cfRule>
    <cfRule type="containsText" dxfId="3276" priority="1845" operator="containsText" text="Ear">
      <formula>NOT(ISERROR(SEARCH("Ear",Z30)))</formula>
    </cfRule>
    <cfRule type="containsText" dxfId="3275" priority="1846" operator="containsText" text="fnd">
      <formula>NOT(ISERROR(SEARCH("fnd",Z30)))</formula>
    </cfRule>
  </conditionalFormatting>
  <conditionalFormatting sqref="Z38:AA38">
    <cfRule type="containsText" dxfId="3274" priority="1491" operator="containsText" text="Str">
      <formula>NOT(ISERROR(SEARCH("Str",Z38)))</formula>
    </cfRule>
    <cfRule type="containsText" dxfId="3273" priority="1492" operator="containsText" text="Ere">
      <formula>NOT(ISERROR(SEARCH("Ere",Z38)))</formula>
    </cfRule>
    <cfRule type="containsText" dxfId="3272" priority="1493" operator="containsText" text="Ear">
      <formula>NOT(ISERROR(SEARCH("Ear",Z38)))</formula>
    </cfRule>
    <cfRule type="containsText" dxfId="3271" priority="1494" operator="containsText" text="fnd">
      <formula>NOT(ISERROR(SEARCH("fnd",Z38)))</formula>
    </cfRule>
  </conditionalFormatting>
  <conditionalFormatting sqref="Z46:AA46">
    <cfRule type="containsText" dxfId="3270" priority="2295" operator="containsText" text="Str">
      <formula>NOT(ISERROR(SEARCH("Str",Z46)))</formula>
    </cfRule>
    <cfRule type="containsText" dxfId="3269" priority="2296" operator="containsText" text="Ere">
      <formula>NOT(ISERROR(SEARCH("Ere",Z46)))</formula>
    </cfRule>
    <cfRule type="containsText" dxfId="3268" priority="2297" operator="containsText" text="Ear">
      <formula>NOT(ISERROR(SEARCH("Ear",Z46)))</formula>
    </cfRule>
    <cfRule type="containsText" dxfId="3267" priority="2298" operator="containsText" text="fnd">
      <formula>NOT(ISERROR(SEARCH("fnd",Z46)))</formula>
    </cfRule>
  </conditionalFormatting>
  <conditionalFormatting sqref="Z54:AA54">
    <cfRule type="containsText" dxfId="3266" priority="477" operator="containsText" text="Str">
      <formula>NOT(ISERROR(SEARCH("Str",Z54)))</formula>
    </cfRule>
    <cfRule type="containsText" dxfId="3265" priority="478" operator="containsText" text="Ere">
      <formula>NOT(ISERROR(SEARCH("Ere",Z54)))</formula>
    </cfRule>
    <cfRule type="containsText" dxfId="3264" priority="479" operator="containsText" text="Ear">
      <formula>NOT(ISERROR(SEARCH("Ear",Z54)))</formula>
    </cfRule>
    <cfRule type="containsText" dxfId="3263" priority="480" operator="containsText" text="fnd">
      <formula>NOT(ISERROR(SEARCH("fnd",Z54)))</formula>
    </cfRule>
  </conditionalFormatting>
  <conditionalFormatting sqref="Z62:AA62 AM62">
    <cfRule type="containsText" dxfId="3262" priority="2251" operator="containsText" text="Str">
      <formula>NOT(ISERROR(SEARCH("Str",Z62)))</formula>
    </cfRule>
    <cfRule type="containsText" dxfId="3261" priority="2252" operator="containsText" text="Ere">
      <formula>NOT(ISERROR(SEARCH("Ere",Z62)))</formula>
    </cfRule>
    <cfRule type="containsText" dxfId="3260" priority="2253" operator="containsText" text="Ear">
      <formula>NOT(ISERROR(SEARCH("Ear",Z62)))</formula>
    </cfRule>
    <cfRule type="containsText" dxfId="3259" priority="2254" operator="containsText" text="fnd">
      <formula>NOT(ISERROR(SEARCH("fnd",Z62)))</formula>
    </cfRule>
  </conditionalFormatting>
  <conditionalFormatting sqref="Z77:AA78">
    <cfRule type="containsText" dxfId="3258" priority="1895" operator="containsText" text="Str">
      <formula>NOT(ISERROR(SEARCH("Str",Z77)))</formula>
    </cfRule>
    <cfRule type="containsText" dxfId="3257" priority="1896" operator="containsText" text="Ere">
      <formula>NOT(ISERROR(SEARCH("Ere",Z77)))</formula>
    </cfRule>
    <cfRule type="containsText" dxfId="3256" priority="1897" operator="containsText" text="Ear">
      <formula>NOT(ISERROR(SEARCH("Ear",Z77)))</formula>
    </cfRule>
    <cfRule type="containsText" dxfId="3255" priority="1898" operator="containsText" text="fnd">
      <formula>NOT(ISERROR(SEARCH("fnd",Z77)))</formula>
    </cfRule>
  </conditionalFormatting>
  <conditionalFormatting sqref="Z86:AA86">
    <cfRule type="containsText" dxfId="3254" priority="687" operator="containsText" text="Str">
      <formula>NOT(ISERROR(SEARCH("Str",Z86)))</formula>
    </cfRule>
    <cfRule type="containsText" dxfId="3253" priority="688" operator="containsText" text="Ere">
      <formula>NOT(ISERROR(SEARCH("Ere",Z86)))</formula>
    </cfRule>
    <cfRule type="containsText" dxfId="3252" priority="689" operator="containsText" text="Ear">
      <formula>NOT(ISERROR(SEARCH("Ear",Z86)))</formula>
    </cfRule>
    <cfRule type="containsText" dxfId="3251" priority="690" operator="containsText" text="fnd">
      <formula>NOT(ISERROR(SEARCH("fnd",Z86)))</formula>
    </cfRule>
  </conditionalFormatting>
  <conditionalFormatting sqref="Z94:AA94">
    <cfRule type="containsText" dxfId="3250" priority="1859" operator="containsText" text="Str">
      <formula>NOT(ISERROR(SEARCH("Str",Z94)))</formula>
    </cfRule>
    <cfRule type="containsText" dxfId="3249" priority="1860" operator="containsText" text="Ere">
      <formula>NOT(ISERROR(SEARCH("Ere",Z94)))</formula>
    </cfRule>
    <cfRule type="containsText" dxfId="3248" priority="1861" operator="containsText" text="Ear">
      <formula>NOT(ISERROR(SEARCH("Ear",Z94)))</formula>
    </cfRule>
    <cfRule type="containsText" dxfId="3247" priority="1862" operator="containsText" text="fnd">
      <formula>NOT(ISERROR(SEARCH("fnd",Z94)))</formula>
    </cfRule>
  </conditionalFormatting>
  <conditionalFormatting sqref="Z102:AA102">
    <cfRule type="containsText" dxfId="3246" priority="2203" operator="containsText" text="Str">
      <formula>NOT(ISERROR(SEARCH("Str",Z102)))</formula>
    </cfRule>
    <cfRule type="containsText" dxfId="3245" priority="2204" operator="containsText" text="Ere">
      <formula>NOT(ISERROR(SEARCH("Ere",Z102)))</formula>
    </cfRule>
    <cfRule type="containsText" dxfId="3244" priority="2205" operator="containsText" text="Ear">
      <formula>NOT(ISERROR(SEARCH("Ear",Z102)))</formula>
    </cfRule>
    <cfRule type="containsText" dxfId="3243" priority="2206" operator="containsText" text="fnd">
      <formula>NOT(ISERROR(SEARCH("fnd",Z102)))</formula>
    </cfRule>
  </conditionalFormatting>
  <conditionalFormatting sqref="Z110:AA110">
    <cfRule type="containsText" dxfId="3242" priority="1767" operator="containsText" text="Str">
      <formula>NOT(ISERROR(SEARCH("Str",Z110)))</formula>
    </cfRule>
    <cfRule type="containsText" dxfId="3241" priority="1768" operator="containsText" text="Ere">
      <formula>NOT(ISERROR(SEARCH("Ere",Z110)))</formula>
    </cfRule>
    <cfRule type="containsText" dxfId="3240" priority="1769" operator="containsText" text="Ear">
      <formula>NOT(ISERROR(SEARCH("Ear",Z110)))</formula>
    </cfRule>
    <cfRule type="containsText" dxfId="3239" priority="1770" operator="containsText" text="fnd">
      <formula>NOT(ISERROR(SEARCH("fnd",Z110)))</formula>
    </cfRule>
  </conditionalFormatting>
  <conditionalFormatting sqref="Z118:AA118">
    <cfRule type="containsText" dxfId="3238" priority="715" operator="containsText" text="Str">
      <formula>NOT(ISERROR(SEARCH("Str",Z118)))</formula>
    </cfRule>
    <cfRule type="containsText" dxfId="3237" priority="716" operator="containsText" text="Ere">
      <formula>NOT(ISERROR(SEARCH("Ere",Z118)))</formula>
    </cfRule>
    <cfRule type="containsText" dxfId="3236" priority="717" operator="containsText" text="Ear">
      <formula>NOT(ISERROR(SEARCH("Ear",Z118)))</formula>
    </cfRule>
    <cfRule type="containsText" dxfId="3235" priority="718" operator="containsText" text="fnd">
      <formula>NOT(ISERROR(SEARCH("fnd",Z118)))</formula>
    </cfRule>
  </conditionalFormatting>
  <conditionalFormatting sqref="Z126:AA126">
    <cfRule type="containsText" dxfId="3234" priority="501" operator="containsText" text="Str">
      <formula>NOT(ISERROR(SEARCH("Str",Z126)))</formula>
    </cfRule>
    <cfRule type="containsText" dxfId="3233" priority="502" operator="containsText" text="Ere">
      <formula>NOT(ISERROR(SEARCH("Ere",Z126)))</formula>
    </cfRule>
    <cfRule type="containsText" dxfId="3232" priority="503" operator="containsText" text="Ear">
      <formula>NOT(ISERROR(SEARCH("Ear",Z126)))</formula>
    </cfRule>
    <cfRule type="containsText" dxfId="3231" priority="504" operator="containsText" text="fnd">
      <formula>NOT(ISERROR(SEARCH("fnd",Z126)))</formula>
    </cfRule>
  </conditionalFormatting>
  <conditionalFormatting sqref="Z134:AA134">
    <cfRule type="containsText" dxfId="3230" priority="281" operator="containsText" text="Str">
      <formula>NOT(ISERROR(SEARCH("Str",Z134)))</formula>
    </cfRule>
    <cfRule type="containsText" dxfId="3229" priority="282" operator="containsText" text="Ere">
      <formula>NOT(ISERROR(SEARCH("Ere",Z134)))</formula>
    </cfRule>
    <cfRule type="containsText" dxfId="3228" priority="283" operator="containsText" text="Ear">
      <formula>NOT(ISERROR(SEARCH("Ear",Z134)))</formula>
    </cfRule>
    <cfRule type="containsText" dxfId="3227" priority="284" operator="containsText" text="fnd">
      <formula>NOT(ISERROR(SEARCH("fnd",Z134)))</formula>
    </cfRule>
  </conditionalFormatting>
  <conditionalFormatting sqref="Z150:AA150">
    <cfRule type="containsText" dxfId="3226" priority="405" operator="containsText" text="Str">
      <formula>NOT(ISERROR(SEARCH("Str",Z150)))</formula>
    </cfRule>
    <cfRule type="containsText" dxfId="3225" priority="406" operator="containsText" text="Ere">
      <formula>NOT(ISERROR(SEARCH("Ere",Z150)))</formula>
    </cfRule>
    <cfRule type="containsText" dxfId="3224" priority="407" operator="containsText" text="Ear">
      <formula>NOT(ISERROR(SEARCH("Ear",Z150)))</formula>
    </cfRule>
    <cfRule type="containsText" dxfId="3223" priority="408" operator="containsText" text="fnd">
      <formula>NOT(ISERROR(SEARCH("fnd",Z150)))</formula>
    </cfRule>
  </conditionalFormatting>
  <conditionalFormatting sqref="Z158:AA158">
    <cfRule type="containsText" dxfId="3222" priority="1119" operator="containsText" text="Str">
      <formula>NOT(ISERROR(SEARCH("Str",Z158)))</formula>
    </cfRule>
    <cfRule type="containsText" dxfId="3221" priority="1120" operator="containsText" text="Ere">
      <formula>NOT(ISERROR(SEARCH("Ere",Z158)))</formula>
    </cfRule>
    <cfRule type="containsText" dxfId="3220" priority="1121" operator="containsText" text="Ear">
      <formula>NOT(ISERROR(SEARCH("Ear",Z158)))</formula>
    </cfRule>
    <cfRule type="containsText" dxfId="3219" priority="1122" operator="containsText" text="fnd">
      <formula>NOT(ISERROR(SEARCH("fnd",Z158)))</formula>
    </cfRule>
  </conditionalFormatting>
  <conditionalFormatting sqref="Z166:AA166">
    <cfRule type="containsText" dxfId="3218" priority="437" operator="containsText" text="Str">
      <formula>NOT(ISERROR(SEARCH("Str",Z166)))</formula>
    </cfRule>
    <cfRule type="containsText" dxfId="3217" priority="438" operator="containsText" text="Ere">
      <formula>NOT(ISERROR(SEARCH("Ere",Z166)))</formula>
    </cfRule>
    <cfRule type="containsText" dxfId="3216" priority="439" operator="containsText" text="Ear">
      <formula>NOT(ISERROR(SEARCH("Ear",Z166)))</formula>
    </cfRule>
    <cfRule type="containsText" dxfId="3215" priority="440" operator="containsText" text="fnd">
      <formula>NOT(ISERROR(SEARCH("fnd",Z166)))</formula>
    </cfRule>
  </conditionalFormatting>
  <conditionalFormatting sqref="Z174:AA174">
    <cfRule type="containsText" dxfId="3214" priority="995" operator="containsText" text="Str">
      <formula>NOT(ISERROR(SEARCH("Str",Z174)))</formula>
    </cfRule>
    <cfRule type="containsText" dxfId="3213" priority="996" operator="containsText" text="Ere">
      <formula>NOT(ISERROR(SEARCH("Ere",Z174)))</formula>
    </cfRule>
    <cfRule type="containsText" dxfId="3212" priority="997" operator="containsText" text="Ear">
      <formula>NOT(ISERROR(SEARCH("Ear",Z174)))</formula>
    </cfRule>
    <cfRule type="containsText" dxfId="3211" priority="998" operator="containsText" text="fnd">
      <formula>NOT(ISERROR(SEARCH("fnd",Z174)))</formula>
    </cfRule>
  </conditionalFormatting>
  <conditionalFormatting sqref="Z182:AA182">
    <cfRule type="containsText" dxfId="3210" priority="101" operator="containsText" text="Str">
      <formula>NOT(ISERROR(SEARCH("Str",Z182)))</formula>
    </cfRule>
    <cfRule type="containsText" dxfId="3209" priority="102" operator="containsText" text="Ere">
      <formula>NOT(ISERROR(SEARCH("Ere",Z182)))</formula>
    </cfRule>
    <cfRule type="containsText" dxfId="3208" priority="103" operator="containsText" text="Ear">
      <formula>NOT(ISERROR(SEARCH("Ear",Z182)))</formula>
    </cfRule>
    <cfRule type="containsText" dxfId="3207" priority="104" operator="containsText" text="fnd">
      <formula>NOT(ISERROR(SEARCH("fnd",Z182)))</formula>
    </cfRule>
  </conditionalFormatting>
  <conditionalFormatting sqref="AA6">
    <cfRule type="containsText" dxfId="3206" priority="193" operator="containsText" text="Str">
      <formula>NOT(ISERROR(SEARCH("Str",AA6)))</formula>
    </cfRule>
    <cfRule type="containsText" dxfId="3205" priority="194" operator="containsText" text="Ere">
      <formula>NOT(ISERROR(SEARCH("Ere",AA6)))</formula>
    </cfRule>
    <cfRule type="containsText" dxfId="3204" priority="195" operator="containsText" text="Ear">
      <formula>NOT(ISERROR(SEARCH("Ear",AA6)))</formula>
    </cfRule>
    <cfRule type="containsText" dxfId="3203" priority="196" operator="containsText" text="fnd">
      <formula>NOT(ISERROR(SEARCH("fnd",AA6)))</formula>
    </cfRule>
  </conditionalFormatting>
  <conditionalFormatting sqref="AA14">
    <cfRule type="containsText" dxfId="3202" priority="385" operator="containsText" text="Str">
      <formula>NOT(ISERROR(SEARCH("Str",AA14)))</formula>
    </cfRule>
    <cfRule type="containsText" dxfId="3201" priority="386" operator="containsText" text="Ere">
      <formula>NOT(ISERROR(SEARCH("Ere",AA14)))</formula>
    </cfRule>
    <cfRule type="containsText" dxfId="3200" priority="387" operator="containsText" text="Ear">
      <formula>NOT(ISERROR(SEARCH("Ear",AA14)))</formula>
    </cfRule>
    <cfRule type="containsText" dxfId="3199" priority="388" operator="containsText" text="fnd">
      <formula>NOT(ISERROR(SEARCH("fnd",AA14)))</formula>
    </cfRule>
  </conditionalFormatting>
  <conditionalFormatting sqref="AA22">
    <cfRule type="containsText" dxfId="3198" priority="1883" operator="containsText" text="Str">
      <formula>NOT(ISERROR(SEARCH("Str",AA22)))</formula>
    </cfRule>
    <cfRule type="containsText" dxfId="3197" priority="1884" operator="containsText" text="Ere">
      <formula>NOT(ISERROR(SEARCH("Ere",AA22)))</formula>
    </cfRule>
    <cfRule type="containsText" dxfId="3196" priority="1885" operator="containsText" text="Ear">
      <formula>NOT(ISERROR(SEARCH("Ear",AA22)))</formula>
    </cfRule>
    <cfRule type="containsText" dxfId="3195" priority="1886" operator="containsText" text="fnd">
      <formula>NOT(ISERROR(SEARCH("fnd",AA22)))</formula>
    </cfRule>
  </conditionalFormatting>
  <conditionalFormatting sqref="AC5:AC6">
    <cfRule type="containsText" dxfId="3194" priority="189" operator="containsText" text="Str">
      <formula>NOT(ISERROR(SEARCH("Str",AC5)))</formula>
    </cfRule>
    <cfRule type="containsText" dxfId="3193" priority="190" operator="containsText" text="Ere">
      <formula>NOT(ISERROR(SEARCH("Ere",AC5)))</formula>
    </cfRule>
    <cfRule type="containsText" dxfId="3192" priority="191" operator="containsText" text="Ear">
      <formula>NOT(ISERROR(SEARCH("Ear",AC5)))</formula>
    </cfRule>
    <cfRule type="containsText" dxfId="3191" priority="192" operator="containsText" text="fnd">
      <formula>NOT(ISERROR(SEARCH("fnd",AC5)))</formula>
    </cfRule>
  </conditionalFormatting>
  <conditionalFormatting sqref="AC13:AC14">
    <cfRule type="containsText" dxfId="3190" priority="931" operator="containsText" text="Str">
      <formula>NOT(ISERROR(SEARCH("Str",AC13)))</formula>
    </cfRule>
    <cfRule type="containsText" dxfId="3189" priority="932" operator="containsText" text="Ere">
      <formula>NOT(ISERROR(SEARCH("Ere",AC13)))</formula>
    </cfRule>
    <cfRule type="containsText" dxfId="3188" priority="933" operator="containsText" text="Ear">
      <formula>NOT(ISERROR(SEARCH("Ear",AC13)))</formula>
    </cfRule>
    <cfRule type="containsText" dxfId="3187" priority="934" operator="containsText" text="fnd">
      <formula>NOT(ISERROR(SEARCH("fnd",AC13)))</formula>
    </cfRule>
  </conditionalFormatting>
  <conditionalFormatting sqref="AC21:AC22">
    <cfRule type="containsText" dxfId="3186" priority="1887" operator="containsText" text="Str">
      <formula>NOT(ISERROR(SEARCH("Str",AC21)))</formula>
    </cfRule>
    <cfRule type="containsText" dxfId="3185" priority="1888" operator="containsText" text="Ere">
      <formula>NOT(ISERROR(SEARCH("Ere",AC21)))</formula>
    </cfRule>
    <cfRule type="containsText" dxfId="3184" priority="1889" operator="containsText" text="Ear">
      <formula>NOT(ISERROR(SEARCH("Ear",AC21)))</formula>
    </cfRule>
    <cfRule type="containsText" dxfId="3183" priority="1890" operator="containsText" text="fnd">
      <formula>NOT(ISERROR(SEARCH("fnd",AC21)))</formula>
    </cfRule>
  </conditionalFormatting>
  <conditionalFormatting sqref="AC29">
    <cfRule type="containsText" dxfId="3182" priority="1787" operator="containsText" text="Str">
      <formula>NOT(ISERROR(SEARCH("Str",AC29)))</formula>
    </cfRule>
    <cfRule type="containsText" dxfId="3181" priority="1788" operator="containsText" text="Ere">
      <formula>NOT(ISERROR(SEARCH("Ere",AC29)))</formula>
    </cfRule>
    <cfRule type="containsText" dxfId="3180" priority="1789" operator="containsText" text="Ear">
      <formula>NOT(ISERROR(SEARCH("Ear",AC29)))</formula>
    </cfRule>
    <cfRule type="containsText" dxfId="3179" priority="1790" operator="containsText" text="fnd">
      <formula>NOT(ISERROR(SEARCH("fnd",AC29)))</formula>
    </cfRule>
  </conditionalFormatting>
  <conditionalFormatting sqref="AC37">
    <cfRule type="containsText" dxfId="3178" priority="1479" operator="containsText" text="Str">
      <formula>NOT(ISERROR(SEARCH("Str",AC37)))</formula>
    </cfRule>
    <cfRule type="containsText" dxfId="3177" priority="1480" operator="containsText" text="Ere">
      <formula>NOT(ISERROR(SEARCH("Ere",AC37)))</formula>
    </cfRule>
    <cfRule type="containsText" dxfId="3176" priority="1481" operator="containsText" text="Ear">
      <formula>NOT(ISERROR(SEARCH("Ear",AC37)))</formula>
    </cfRule>
    <cfRule type="containsText" dxfId="3175" priority="1482" operator="containsText" text="fnd">
      <formula>NOT(ISERROR(SEARCH("fnd",AC37)))</formula>
    </cfRule>
  </conditionalFormatting>
  <conditionalFormatting sqref="AC45">
    <cfRule type="containsText" dxfId="3174" priority="603" operator="containsText" text="Str">
      <formula>NOT(ISERROR(SEARCH("Str",AC45)))</formula>
    </cfRule>
    <cfRule type="containsText" dxfId="3173" priority="604" operator="containsText" text="Ere">
      <formula>NOT(ISERROR(SEARCH("Ere",AC45)))</formula>
    </cfRule>
    <cfRule type="containsText" dxfId="3172" priority="605" operator="containsText" text="Ear">
      <formula>NOT(ISERROR(SEARCH("Ear",AC45)))</formula>
    </cfRule>
    <cfRule type="containsText" dxfId="3171" priority="606" operator="containsText" text="fnd">
      <formula>NOT(ISERROR(SEARCH("fnd",AC45)))</formula>
    </cfRule>
  </conditionalFormatting>
  <conditionalFormatting sqref="AC53">
    <cfRule type="containsText" dxfId="3170" priority="541" operator="containsText" text="Str">
      <formula>NOT(ISERROR(SEARCH("Str",AC53)))</formula>
    </cfRule>
    <cfRule type="containsText" dxfId="3169" priority="542" operator="containsText" text="Ere">
      <formula>NOT(ISERROR(SEARCH("Ere",AC53)))</formula>
    </cfRule>
    <cfRule type="containsText" dxfId="3168" priority="543" operator="containsText" text="Ear">
      <formula>NOT(ISERROR(SEARCH("Ear",AC53)))</formula>
    </cfRule>
    <cfRule type="containsText" dxfId="3167" priority="544" operator="containsText" text="fnd">
      <formula>NOT(ISERROR(SEARCH("fnd",AC53)))</formula>
    </cfRule>
  </conditionalFormatting>
  <conditionalFormatting sqref="AC61">
    <cfRule type="containsText" dxfId="3166" priority="815" operator="containsText" text="Str">
      <formula>NOT(ISERROR(SEARCH("Str",AC61)))</formula>
    </cfRule>
    <cfRule type="containsText" dxfId="3165" priority="816" operator="containsText" text="Ere">
      <formula>NOT(ISERROR(SEARCH("Ere",AC61)))</formula>
    </cfRule>
    <cfRule type="containsText" dxfId="3164" priority="817" operator="containsText" text="Ear">
      <formula>NOT(ISERROR(SEARCH("Ear",AC61)))</formula>
    </cfRule>
    <cfRule type="containsText" dxfId="3163" priority="818" operator="containsText" text="fnd">
      <formula>NOT(ISERROR(SEARCH("fnd",AC61)))</formula>
    </cfRule>
  </conditionalFormatting>
  <conditionalFormatting sqref="AC70">
    <cfRule type="containsText" dxfId="3162" priority="2123" operator="containsText" text="Str">
      <formula>NOT(ISERROR(SEARCH("Str",AC70)))</formula>
    </cfRule>
    <cfRule type="containsText" dxfId="3161" priority="2124" operator="containsText" text="Ere">
      <formula>NOT(ISERROR(SEARCH("Ere",AC70)))</formula>
    </cfRule>
    <cfRule type="containsText" dxfId="3160" priority="2125" operator="containsText" text="Ear">
      <formula>NOT(ISERROR(SEARCH("Ear",AC70)))</formula>
    </cfRule>
    <cfRule type="containsText" dxfId="3159" priority="2126" operator="containsText" text="fnd">
      <formula>NOT(ISERROR(SEARCH("fnd",AC70)))</formula>
    </cfRule>
  </conditionalFormatting>
  <conditionalFormatting sqref="AC77">
    <cfRule type="containsText" dxfId="3158" priority="755" operator="containsText" text="Str">
      <formula>NOT(ISERROR(SEARCH("Str",AC77)))</formula>
    </cfRule>
    <cfRule type="containsText" dxfId="3157" priority="756" operator="containsText" text="Ere">
      <formula>NOT(ISERROR(SEARCH("Ere",AC77)))</formula>
    </cfRule>
    <cfRule type="containsText" dxfId="3156" priority="757" operator="containsText" text="Ear">
      <formula>NOT(ISERROR(SEARCH("Ear",AC77)))</formula>
    </cfRule>
    <cfRule type="containsText" dxfId="3155" priority="758" operator="containsText" text="fnd">
      <formula>NOT(ISERROR(SEARCH("fnd",AC77)))</formula>
    </cfRule>
  </conditionalFormatting>
  <conditionalFormatting sqref="AC85:AC86">
    <cfRule type="containsText" dxfId="3154" priority="2115" operator="containsText" text="Str">
      <formula>NOT(ISERROR(SEARCH("Str",AC85)))</formula>
    </cfRule>
    <cfRule type="containsText" dxfId="3153" priority="2116" operator="containsText" text="Ere">
      <formula>NOT(ISERROR(SEARCH("Ere",AC85)))</formula>
    </cfRule>
    <cfRule type="containsText" dxfId="3152" priority="2117" operator="containsText" text="Ear">
      <formula>NOT(ISERROR(SEARCH("Ear",AC85)))</formula>
    </cfRule>
    <cfRule type="containsText" dxfId="3151" priority="2118" operator="containsText" text="fnd">
      <formula>NOT(ISERROR(SEARCH("fnd",AC85)))</formula>
    </cfRule>
  </conditionalFormatting>
  <conditionalFormatting sqref="AC93">
    <cfRule type="containsText" dxfId="3150" priority="253" operator="containsText" text="Str">
      <formula>NOT(ISERROR(SEARCH("Str",AC93)))</formula>
    </cfRule>
    <cfRule type="containsText" dxfId="3149" priority="254" operator="containsText" text="Ere">
      <formula>NOT(ISERROR(SEARCH("Ere",AC93)))</formula>
    </cfRule>
    <cfRule type="containsText" dxfId="3148" priority="255" operator="containsText" text="Ear">
      <formula>NOT(ISERROR(SEARCH("Ear",AC93)))</formula>
    </cfRule>
    <cfRule type="containsText" dxfId="3147" priority="256" operator="containsText" text="fnd">
      <formula>NOT(ISERROR(SEARCH("fnd",AC93)))</formula>
    </cfRule>
  </conditionalFormatting>
  <conditionalFormatting sqref="AC101">
    <cfRule type="containsText" dxfId="3146" priority="1431" operator="containsText" text="Str">
      <formula>NOT(ISERROR(SEARCH("Str",AC101)))</formula>
    </cfRule>
    <cfRule type="containsText" dxfId="3145" priority="1432" operator="containsText" text="Ere">
      <formula>NOT(ISERROR(SEARCH("Ere",AC101)))</formula>
    </cfRule>
    <cfRule type="containsText" dxfId="3144" priority="1433" operator="containsText" text="Ear">
      <formula>NOT(ISERROR(SEARCH("Ear",AC101)))</formula>
    </cfRule>
    <cfRule type="containsText" dxfId="3143" priority="1434" operator="containsText" text="fnd">
      <formula>NOT(ISERROR(SEARCH("fnd",AC101)))</formula>
    </cfRule>
  </conditionalFormatting>
  <conditionalFormatting sqref="AC109">
    <cfRule type="containsText" dxfId="3142" priority="727" operator="containsText" text="Str">
      <formula>NOT(ISERROR(SEARCH("Str",AC109)))</formula>
    </cfRule>
    <cfRule type="containsText" dxfId="3141" priority="728" operator="containsText" text="Ere">
      <formula>NOT(ISERROR(SEARCH("Ere",AC109)))</formula>
    </cfRule>
    <cfRule type="containsText" dxfId="3140" priority="729" operator="containsText" text="Ear">
      <formula>NOT(ISERROR(SEARCH("Ear",AC109)))</formula>
    </cfRule>
    <cfRule type="containsText" dxfId="3139" priority="730" operator="containsText" text="fnd">
      <formula>NOT(ISERROR(SEARCH("fnd",AC109)))</formula>
    </cfRule>
  </conditionalFormatting>
  <conditionalFormatting sqref="AC117">
    <cfRule type="containsText" dxfId="3138" priority="1375" operator="containsText" text="Str">
      <formula>NOT(ISERROR(SEARCH("Str",AC117)))</formula>
    </cfRule>
    <cfRule type="containsText" dxfId="3137" priority="1376" operator="containsText" text="Ere">
      <formula>NOT(ISERROR(SEARCH("Ere",AC117)))</formula>
    </cfRule>
    <cfRule type="containsText" dxfId="3136" priority="1377" operator="containsText" text="Ear">
      <formula>NOT(ISERROR(SEARCH("Ear",AC117)))</formula>
    </cfRule>
    <cfRule type="containsText" dxfId="3135" priority="1378" operator="containsText" text="fnd">
      <formula>NOT(ISERROR(SEARCH("fnd",AC117)))</formula>
    </cfRule>
  </conditionalFormatting>
  <conditionalFormatting sqref="AC122 AC130 AC154 AC170 AC178">
    <cfRule type="containsText" dxfId="3134" priority="1987" operator="containsText" text="Str">
      <formula>NOT(ISERROR(SEARCH("Str",AC122)))</formula>
    </cfRule>
    <cfRule type="containsText" dxfId="3133" priority="1988" operator="containsText" text="Ere">
      <formula>NOT(ISERROR(SEARCH("Ere",AC122)))</formula>
    </cfRule>
    <cfRule type="containsText" dxfId="3132" priority="1989" operator="containsText" text="Ear">
      <formula>NOT(ISERROR(SEARCH("Ear",AC122)))</formula>
    </cfRule>
    <cfRule type="containsText" dxfId="3131" priority="1990" operator="containsText" text="fnd">
      <formula>NOT(ISERROR(SEARCH("fnd",AC122)))</formula>
    </cfRule>
  </conditionalFormatting>
  <conditionalFormatting sqref="AC125">
    <cfRule type="containsText" dxfId="3130" priority="545" operator="containsText" text="Str">
      <formula>NOT(ISERROR(SEARCH("Str",AC125)))</formula>
    </cfRule>
    <cfRule type="containsText" dxfId="3129" priority="546" operator="containsText" text="Ere">
      <formula>NOT(ISERROR(SEARCH("Ere",AC125)))</formula>
    </cfRule>
    <cfRule type="containsText" dxfId="3128" priority="547" operator="containsText" text="Ear">
      <formula>NOT(ISERROR(SEARCH("Ear",AC125)))</formula>
    </cfRule>
    <cfRule type="containsText" dxfId="3127" priority="548" operator="containsText" text="fnd">
      <formula>NOT(ISERROR(SEARCH("fnd",AC125)))</formula>
    </cfRule>
  </conditionalFormatting>
  <conditionalFormatting sqref="AC133">
    <cfRule type="containsText" dxfId="3126" priority="333" operator="containsText" text="Str">
      <formula>NOT(ISERROR(SEARCH("Str",AC133)))</formula>
    </cfRule>
    <cfRule type="containsText" dxfId="3125" priority="334" operator="containsText" text="Ere">
      <formula>NOT(ISERROR(SEARCH("Ere",AC133)))</formula>
    </cfRule>
    <cfRule type="containsText" dxfId="3124" priority="335" operator="containsText" text="Ear">
      <formula>NOT(ISERROR(SEARCH("Ear",AC133)))</formula>
    </cfRule>
    <cfRule type="containsText" dxfId="3123" priority="336" operator="containsText" text="fnd">
      <formula>NOT(ISERROR(SEARCH("fnd",AC133)))</formula>
    </cfRule>
  </conditionalFormatting>
  <conditionalFormatting sqref="AC141">
    <cfRule type="containsText" dxfId="3122" priority="1235" operator="containsText" text="Str">
      <formula>NOT(ISERROR(SEARCH("Str",AC141)))</formula>
    </cfRule>
    <cfRule type="containsText" dxfId="3121" priority="1236" operator="containsText" text="Ere">
      <formula>NOT(ISERROR(SEARCH("Ere",AC141)))</formula>
    </cfRule>
    <cfRule type="containsText" dxfId="3120" priority="1237" operator="containsText" text="Ear">
      <formula>NOT(ISERROR(SEARCH("Ear",AC141)))</formula>
    </cfRule>
    <cfRule type="containsText" dxfId="3119" priority="1238" operator="containsText" text="fnd">
      <formula>NOT(ISERROR(SEARCH("fnd",AC141)))</formula>
    </cfRule>
  </conditionalFormatting>
  <conditionalFormatting sqref="AC149">
    <cfRule type="containsText" dxfId="3118" priority="1159" operator="containsText" text="Str">
      <formula>NOT(ISERROR(SEARCH("Str",AC149)))</formula>
    </cfRule>
    <cfRule type="containsText" dxfId="3117" priority="1160" operator="containsText" text="Ere">
      <formula>NOT(ISERROR(SEARCH("Ere",AC149)))</formula>
    </cfRule>
    <cfRule type="containsText" dxfId="3116" priority="1161" operator="containsText" text="Ear">
      <formula>NOT(ISERROR(SEARCH("Ear",AC149)))</formula>
    </cfRule>
    <cfRule type="containsText" dxfId="3115" priority="1162" operator="containsText" text="fnd">
      <formula>NOT(ISERROR(SEARCH("fnd",AC149)))</formula>
    </cfRule>
  </conditionalFormatting>
  <conditionalFormatting sqref="AC157">
    <cfRule type="containsText" dxfId="3114" priority="457" operator="containsText" text="Str">
      <formula>NOT(ISERROR(SEARCH("Str",AC157)))</formula>
    </cfRule>
    <cfRule type="containsText" dxfId="3113" priority="458" operator="containsText" text="Ere">
      <formula>NOT(ISERROR(SEARCH("Ere",AC157)))</formula>
    </cfRule>
    <cfRule type="containsText" dxfId="3112" priority="459" operator="containsText" text="Ear">
      <formula>NOT(ISERROR(SEARCH("Ear",AC157)))</formula>
    </cfRule>
    <cfRule type="containsText" dxfId="3111" priority="460" operator="containsText" text="fnd">
      <formula>NOT(ISERROR(SEARCH("fnd",AC157)))</formula>
    </cfRule>
  </conditionalFormatting>
  <conditionalFormatting sqref="AC165">
    <cfRule type="containsText" dxfId="3110" priority="449" operator="containsText" text="Str">
      <formula>NOT(ISERROR(SEARCH("Str",AC165)))</formula>
    </cfRule>
    <cfRule type="containsText" dxfId="3109" priority="450" operator="containsText" text="Ere">
      <formula>NOT(ISERROR(SEARCH("Ere",AC165)))</formula>
    </cfRule>
    <cfRule type="containsText" dxfId="3108" priority="451" operator="containsText" text="Ear">
      <formula>NOT(ISERROR(SEARCH("Ear",AC165)))</formula>
    </cfRule>
    <cfRule type="containsText" dxfId="3107" priority="452" operator="containsText" text="fnd">
      <formula>NOT(ISERROR(SEARCH("fnd",AC165)))</formula>
    </cfRule>
  </conditionalFormatting>
  <conditionalFormatting sqref="AC173">
    <cfRule type="containsText" dxfId="3106" priority="975" operator="containsText" text="Str">
      <formula>NOT(ISERROR(SEARCH("Str",AC173)))</formula>
    </cfRule>
    <cfRule type="containsText" dxfId="3105" priority="976" operator="containsText" text="Ere">
      <formula>NOT(ISERROR(SEARCH("Ere",AC173)))</formula>
    </cfRule>
    <cfRule type="containsText" dxfId="3104" priority="977" operator="containsText" text="Ear">
      <formula>NOT(ISERROR(SEARCH("Ear",AC173)))</formula>
    </cfRule>
    <cfRule type="containsText" dxfId="3103" priority="978" operator="containsText" text="fnd">
      <formula>NOT(ISERROR(SEARCH("fnd",AC173)))</formula>
    </cfRule>
  </conditionalFormatting>
  <conditionalFormatting sqref="AC181">
    <cfRule type="containsText" dxfId="3102" priority="89" operator="containsText" text="Str">
      <formula>NOT(ISERROR(SEARCH("Str",AC181)))</formula>
    </cfRule>
    <cfRule type="containsText" dxfId="3101" priority="90" operator="containsText" text="Ere">
      <formula>NOT(ISERROR(SEARCH("Ere",AC181)))</formula>
    </cfRule>
    <cfRule type="containsText" dxfId="3100" priority="91" operator="containsText" text="Ear">
      <formula>NOT(ISERROR(SEARCH("Ear",AC181)))</formula>
    </cfRule>
    <cfRule type="containsText" dxfId="3099" priority="92" operator="containsText" text="fnd">
      <formula>NOT(ISERROR(SEARCH("fnd",AC181)))</formula>
    </cfRule>
  </conditionalFormatting>
  <conditionalFormatting sqref="AC30:AD30">
    <cfRule type="containsText" dxfId="3098" priority="1791" operator="containsText" text="Str">
      <formula>NOT(ISERROR(SEARCH("Str",AC30)))</formula>
    </cfRule>
    <cfRule type="containsText" dxfId="3097" priority="1792" operator="containsText" text="Ere">
      <formula>NOT(ISERROR(SEARCH("Ere",AC30)))</formula>
    </cfRule>
    <cfRule type="containsText" dxfId="3096" priority="1793" operator="containsText" text="Ear">
      <formula>NOT(ISERROR(SEARCH("Ear",AC30)))</formula>
    </cfRule>
    <cfRule type="containsText" dxfId="3095" priority="1794" operator="containsText" text="fnd">
      <formula>NOT(ISERROR(SEARCH("fnd",AC30)))</formula>
    </cfRule>
  </conditionalFormatting>
  <conditionalFormatting sqref="AC38:AD38">
    <cfRule type="containsText" dxfId="3094" priority="1483" operator="containsText" text="Str">
      <formula>NOT(ISERROR(SEARCH("Str",AC38)))</formula>
    </cfRule>
    <cfRule type="containsText" dxfId="3093" priority="1484" operator="containsText" text="Ere">
      <formula>NOT(ISERROR(SEARCH("Ere",AC38)))</formula>
    </cfRule>
    <cfRule type="containsText" dxfId="3092" priority="1485" operator="containsText" text="Ear">
      <formula>NOT(ISERROR(SEARCH("Ear",AC38)))</formula>
    </cfRule>
    <cfRule type="containsText" dxfId="3091" priority="1486" operator="containsText" text="fnd">
      <formula>NOT(ISERROR(SEARCH("fnd",AC38)))</formula>
    </cfRule>
  </conditionalFormatting>
  <conditionalFormatting sqref="AC54:AD54">
    <cfRule type="containsText" dxfId="3090" priority="537" operator="containsText" text="Str">
      <formula>NOT(ISERROR(SEARCH("Str",AC54)))</formula>
    </cfRule>
    <cfRule type="containsText" dxfId="3089" priority="538" operator="containsText" text="Ere">
      <formula>NOT(ISERROR(SEARCH("Ere",AC54)))</formula>
    </cfRule>
    <cfRule type="containsText" dxfId="3088" priority="539" operator="containsText" text="Ear">
      <formula>NOT(ISERROR(SEARCH("Ear",AC54)))</formula>
    </cfRule>
    <cfRule type="containsText" dxfId="3087" priority="540" operator="containsText" text="fnd">
      <formula>NOT(ISERROR(SEARCH("fnd",AC54)))</formula>
    </cfRule>
  </conditionalFormatting>
  <conditionalFormatting sqref="AC94:AD94">
    <cfRule type="containsText" dxfId="3086" priority="257" operator="containsText" text="Str">
      <formula>NOT(ISERROR(SEARCH("Str",AC94)))</formula>
    </cfRule>
    <cfRule type="containsText" dxfId="3085" priority="258" operator="containsText" text="Ere">
      <formula>NOT(ISERROR(SEARCH("Ere",AC94)))</formula>
    </cfRule>
    <cfRule type="containsText" dxfId="3084" priority="259" operator="containsText" text="Ear">
      <formula>NOT(ISERROR(SEARCH("Ear",AC94)))</formula>
    </cfRule>
    <cfRule type="containsText" dxfId="3083" priority="260" operator="containsText" text="fnd">
      <formula>NOT(ISERROR(SEARCH("fnd",AC94)))</formula>
    </cfRule>
  </conditionalFormatting>
  <conditionalFormatting sqref="AC102:AD102">
    <cfRule type="containsText" dxfId="3082" priority="1435" operator="containsText" text="Str">
      <formula>NOT(ISERROR(SEARCH("Str",AC102)))</formula>
    </cfRule>
    <cfRule type="containsText" dxfId="3081" priority="1436" operator="containsText" text="Ere">
      <formula>NOT(ISERROR(SEARCH("Ere",AC102)))</formula>
    </cfRule>
    <cfRule type="containsText" dxfId="3080" priority="1437" operator="containsText" text="Ear">
      <formula>NOT(ISERROR(SEARCH("Ear",AC102)))</formula>
    </cfRule>
    <cfRule type="containsText" dxfId="3079" priority="1438" operator="containsText" text="fnd">
      <formula>NOT(ISERROR(SEARCH("fnd",AC102)))</formula>
    </cfRule>
  </conditionalFormatting>
  <conditionalFormatting sqref="AC118:AD118">
    <cfRule type="containsText" dxfId="3078" priority="1379" operator="containsText" text="Str">
      <formula>NOT(ISERROR(SEARCH("Str",AC118)))</formula>
    </cfRule>
    <cfRule type="containsText" dxfId="3077" priority="1380" operator="containsText" text="Ere">
      <formula>NOT(ISERROR(SEARCH("Ere",AC118)))</formula>
    </cfRule>
    <cfRule type="containsText" dxfId="3076" priority="1381" operator="containsText" text="Ear">
      <formula>NOT(ISERROR(SEARCH("Ear",AC118)))</formula>
    </cfRule>
    <cfRule type="containsText" dxfId="3075" priority="1382" operator="containsText" text="fnd">
      <formula>NOT(ISERROR(SEARCH("fnd",AC118)))</formula>
    </cfRule>
  </conditionalFormatting>
  <conditionalFormatting sqref="AC126:AD126">
    <cfRule type="containsText" dxfId="3074" priority="549" operator="containsText" text="Str">
      <formula>NOT(ISERROR(SEARCH("Str",AC126)))</formula>
    </cfRule>
    <cfRule type="containsText" dxfId="3073" priority="550" operator="containsText" text="Ere">
      <formula>NOT(ISERROR(SEARCH("Ere",AC126)))</formula>
    </cfRule>
    <cfRule type="containsText" dxfId="3072" priority="551" operator="containsText" text="Ear">
      <formula>NOT(ISERROR(SEARCH("Ear",AC126)))</formula>
    </cfRule>
    <cfRule type="containsText" dxfId="3071" priority="552" operator="containsText" text="fnd">
      <formula>NOT(ISERROR(SEARCH("fnd",AC126)))</formula>
    </cfRule>
  </conditionalFormatting>
  <conditionalFormatting sqref="AC134:AD134">
    <cfRule type="containsText" dxfId="3070" priority="337" operator="containsText" text="Str">
      <formula>NOT(ISERROR(SEARCH("Str",AC134)))</formula>
    </cfRule>
    <cfRule type="containsText" dxfId="3069" priority="338" operator="containsText" text="Ere">
      <formula>NOT(ISERROR(SEARCH("Ere",AC134)))</formula>
    </cfRule>
    <cfRule type="containsText" dxfId="3068" priority="339" operator="containsText" text="Ear">
      <formula>NOT(ISERROR(SEARCH("Ear",AC134)))</formula>
    </cfRule>
    <cfRule type="containsText" dxfId="3067" priority="340" operator="containsText" text="fnd">
      <formula>NOT(ISERROR(SEARCH("fnd",AC134)))</formula>
    </cfRule>
  </conditionalFormatting>
  <conditionalFormatting sqref="AC142:AD142">
    <cfRule type="containsText" dxfId="3066" priority="1239" operator="containsText" text="Str">
      <formula>NOT(ISERROR(SEARCH("Str",AC142)))</formula>
    </cfRule>
    <cfRule type="containsText" dxfId="3065" priority="1240" operator="containsText" text="Ere">
      <formula>NOT(ISERROR(SEARCH("Ere",AC142)))</formula>
    </cfRule>
    <cfRule type="containsText" dxfId="3064" priority="1241" operator="containsText" text="Ear">
      <formula>NOT(ISERROR(SEARCH("Ear",AC142)))</formula>
    </cfRule>
    <cfRule type="containsText" dxfId="3063" priority="1242" operator="containsText" text="fnd">
      <formula>NOT(ISERROR(SEARCH("fnd",AC142)))</formula>
    </cfRule>
  </conditionalFormatting>
  <conditionalFormatting sqref="AC174:AD174">
    <cfRule type="containsText" dxfId="3062" priority="979" operator="containsText" text="Str">
      <formula>NOT(ISERROR(SEARCH("Str",AC174)))</formula>
    </cfRule>
    <cfRule type="containsText" dxfId="3061" priority="980" operator="containsText" text="Ere">
      <formula>NOT(ISERROR(SEARCH("Ere",AC174)))</formula>
    </cfRule>
    <cfRule type="containsText" dxfId="3060" priority="981" operator="containsText" text="Ear">
      <formula>NOT(ISERROR(SEARCH("Ear",AC174)))</formula>
    </cfRule>
    <cfRule type="containsText" dxfId="3059" priority="982" operator="containsText" text="fnd">
      <formula>NOT(ISERROR(SEARCH("fnd",AC174)))</formula>
    </cfRule>
  </conditionalFormatting>
  <conditionalFormatting sqref="AC182:AD182">
    <cfRule type="containsText" dxfId="3058" priority="93" operator="containsText" text="Str">
      <formula>NOT(ISERROR(SEARCH("Str",AC182)))</formula>
    </cfRule>
    <cfRule type="containsText" dxfId="3057" priority="94" operator="containsText" text="Ere">
      <formula>NOT(ISERROR(SEARCH("Ere",AC182)))</formula>
    </cfRule>
    <cfRule type="containsText" dxfId="3056" priority="95" operator="containsText" text="Ear">
      <formula>NOT(ISERROR(SEARCH("Ear",AC182)))</formula>
    </cfRule>
    <cfRule type="containsText" dxfId="3055" priority="96" operator="containsText" text="fnd">
      <formula>NOT(ISERROR(SEARCH("fnd",AC182)))</formula>
    </cfRule>
  </conditionalFormatting>
  <conditionalFormatting sqref="AD6">
    <cfRule type="containsText" dxfId="3054" priority="185" operator="containsText" text="Str">
      <formula>NOT(ISERROR(SEARCH("Str",AD6)))</formula>
    </cfRule>
    <cfRule type="containsText" dxfId="3053" priority="186" operator="containsText" text="Ere">
      <formula>NOT(ISERROR(SEARCH("Ere",AD6)))</formula>
    </cfRule>
    <cfRule type="containsText" dxfId="3052" priority="187" operator="containsText" text="Ear">
      <formula>NOT(ISERROR(SEARCH("Ear",AD6)))</formula>
    </cfRule>
    <cfRule type="containsText" dxfId="3051" priority="188" operator="containsText" text="fnd">
      <formula>NOT(ISERROR(SEARCH("fnd",AD6)))</formula>
    </cfRule>
  </conditionalFormatting>
  <conditionalFormatting sqref="AD14">
    <cfRule type="containsText" dxfId="3050" priority="927" operator="containsText" text="Str">
      <formula>NOT(ISERROR(SEARCH("Str",AD14)))</formula>
    </cfRule>
    <cfRule type="containsText" dxfId="3049" priority="928" operator="containsText" text="Ere">
      <formula>NOT(ISERROR(SEARCH("Ere",AD14)))</formula>
    </cfRule>
    <cfRule type="containsText" dxfId="3048" priority="929" operator="containsText" text="Ear">
      <formula>NOT(ISERROR(SEARCH("Ear",AD14)))</formula>
    </cfRule>
    <cfRule type="containsText" dxfId="3047" priority="930" operator="containsText" text="fnd">
      <formula>NOT(ISERROR(SEARCH("fnd",AD14)))</formula>
    </cfRule>
  </conditionalFormatting>
  <conditionalFormatting sqref="AD22">
    <cfRule type="containsText" dxfId="3046" priority="1879" operator="containsText" text="Str">
      <formula>NOT(ISERROR(SEARCH("Str",AD22)))</formula>
    </cfRule>
    <cfRule type="containsText" dxfId="3045" priority="1880" operator="containsText" text="Ere">
      <formula>NOT(ISERROR(SEARCH("Ere",AD22)))</formula>
    </cfRule>
    <cfRule type="containsText" dxfId="3044" priority="1881" operator="containsText" text="Ear">
      <formula>NOT(ISERROR(SEARCH("Ear",AD22)))</formula>
    </cfRule>
    <cfRule type="containsText" dxfId="3043" priority="1882" operator="containsText" text="fnd">
      <formula>NOT(ISERROR(SEARCH("fnd",AD22)))</formula>
    </cfRule>
  </conditionalFormatting>
  <conditionalFormatting sqref="AF5:AF6">
    <cfRule type="containsText" dxfId="3042" priority="181" operator="containsText" text="Str">
      <formula>NOT(ISERROR(SEARCH("Str",AF5)))</formula>
    </cfRule>
    <cfRule type="containsText" dxfId="3041" priority="182" operator="containsText" text="Ere">
      <formula>NOT(ISERROR(SEARCH("Ere",AF5)))</formula>
    </cfRule>
    <cfRule type="containsText" dxfId="3040" priority="183" operator="containsText" text="Ear">
      <formula>NOT(ISERROR(SEARCH("Ear",AF5)))</formula>
    </cfRule>
    <cfRule type="containsText" dxfId="3039" priority="184" operator="containsText" text="fnd">
      <formula>NOT(ISERROR(SEARCH("fnd",AF5)))</formula>
    </cfRule>
  </conditionalFormatting>
  <conditionalFormatting sqref="AF13:AF14">
    <cfRule type="containsText" dxfId="3038" priority="739" operator="containsText" text="Str">
      <formula>NOT(ISERROR(SEARCH("Str",AF13)))</formula>
    </cfRule>
    <cfRule type="containsText" dxfId="3037" priority="740" operator="containsText" text="Ere">
      <formula>NOT(ISERROR(SEARCH("Ere",AF13)))</formula>
    </cfRule>
    <cfRule type="containsText" dxfId="3036" priority="741" operator="containsText" text="Ear">
      <formula>NOT(ISERROR(SEARCH("Ear",AF13)))</formula>
    </cfRule>
    <cfRule type="containsText" dxfId="3035" priority="742" operator="containsText" text="fnd">
      <formula>NOT(ISERROR(SEARCH("fnd",AF13)))</formula>
    </cfRule>
  </conditionalFormatting>
  <conditionalFormatting sqref="AF21:AF22">
    <cfRule type="containsText" dxfId="3034" priority="1775" operator="containsText" text="Str">
      <formula>NOT(ISERROR(SEARCH("Str",AF21)))</formula>
    </cfRule>
    <cfRule type="containsText" dxfId="3033" priority="1776" operator="containsText" text="Ere">
      <formula>NOT(ISERROR(SEARCH("Ere",AF21)))</formula>
    </cfRule>
    <cfRule type="containsText" dxfId="3032" priority="1777" operator="containsText" text="Ear">
      <formula>NOT(ISERROR(SEARCH("Ear",AF21)))</formula>
    </cfRule>
    <cfRule type="containsText" dxfId="3031" priority="1778" operator="containsText" text="fnd">
      <formula>NOT(ISERROR(SEARCH("fnd",AF21)))</formula>
    </cfRule>
  </conditionalFormatting>
  <conditionalFormatting sqref="AF29">
    <cfRule type="containsText" dxfId="3030" priority="1455" operator="containsText" text="Str">
      <formula>NOT(ISERROR(SEARCH("Str",AF29)))</formula>
    </cfRule>
    <cfRule type="containsText" dxfId="3029" priority="1456" operator="containsText" text="Ere">
      <formula>NOT(ISERROR(SEARCH("Ere",AF29)))</formula>
    </cfRule>
    <cfRule type="containsText" dxfId="3028" priority="1457" operator="containsText" text="Ear">
      <formula>NOT(ISERROR(SEARCH("Ear",AF29)))</formula>
    </cfRule>
    <cfRule type="containsText" dxfId="3027" priority="1458" operator="containsText" text="fnd">
      <formula>NOT(ISERROR(SEARCH("fnd",AF29)))</formula>
    </cfRule>
  </conditionalFormatting>
  <conditionalFormatting sqref="AF37">
    <cfRule type="containsText" dxfId="3026" priority="2187" operator="containsText" text="Str">
      <formula>NOT(ISERROR(SEARCH("Str",AF37)))</formula>
    </cfRule>
    <cfRule type="containsText" dxfId="3025" priority="2188" operator="containsText" text="Ere">
      <formula>NOT(ISERROR(SEARCH("Ere",AF37)))</formula>
    </cfRule>
    <cfRule type="containsText" dxfId="3024" priority="2189" operator="containsText" text="Ear">
      <formula>NOT(ISERROR(SEARCH("Ear",AF37)))</formula>
    </cfRule>
    <cfRule type="containsText" dxfId="3023" priority="2190" operator="containsText" text="fnd">
      <formula>NOT(ISERROR(SEARCH("fnd",AF37)))</formula>
    </cfRule>
  </conditionalFormatting>
  <conditionalFormatting sqref="AF53">
    <cfRule type="containsText" dxfId="3022" priority="759" operator="containsText" text="Str">
      <formula>NOT(ISERROR(SEARCH("Str",AF53)))</formula>
    </cfRule>
    <cfRule type="containsText" dxfId="3021" priority="760" operator="containsText" text="Ere">
      <formula>NOT(ISERROR(SEARCH("Ere",AF53)))</formula>
    </cfRule>
    <cfRule type="containsText" dxfId="3020" priority="761" operator="containsText" text="Ear">
      <formula>NOT(ISERROR(SEARCH("Ear",AF53)))</formula>
    </cfRule>
    <cfRule type="containsText" dxfId="3019" priority="762" operator="containsText" text="fnd">
      <formula>NOT(ISERROR(SEARCH("fnd",AF53)))</formula>
    </cfRule>
  </conditionalFormatting>
  <conditionalFormatting sqref="AF61">
    <cfRule type="containsText" dxfId="3018" priority="1863" operator="containsText" text="Str">
      <formula>NOT(ISERROR(SEARCH("Str",AF61)))</formula>
    </cfRule>
    <cfRule type="containsText" dxfId="3017" priority="1864" operator="containsText" text="Ere">
      <formula>NOT(ISERROR(SEARCH("Ere",AF61)))</formula>
    </cfRule>
    <cfRule type="containsText" dxfId="3016" priority="1865" operator="containsText" text="Ear">
      <formula>NOT(ISERROR(SEARCH("Ear",AF61)))</formula>
    </cfRule>
    <cfRule type="containsText" dxfId="3015" priority="1866" operator="containsText" text="fnd">
      <formula>NOT(ISERROR(SEARCH("fnd",AF61)))</formula>
    </cfRule>
  </conditionalFormatting>
  <conditionalFormatting sqref="AF69">
    <cfRule type="containsText" dxfId="3014" priority="2107" operator="containsText" text="Str">
      <formula>NOT(ISERROR(SEARCH("Str",AF69)))</formula>
    </cfRule>
    <cfRule type="containsText" dxfId="3013" priority="2108" operator="containsText" text="Ere">
      <formula>NOT(ISERROR(SEARCH("Ere",AF69)))</formula>
    </cfRule>
    <cfRule type="containsText" dxfId="3012" priority="2109" operator="containsText" text="Ear">
      <formula>NOT(ISERROR(SEARCH("Ear",AF69)))</formula>
    </cfRule>
    <cfRule type="containsText" dxfId="3011" priority="2110" operator="containsText" text="fnd">
      <formula>NOT(ISERROR(SEARCH("fnd",AF69)))</formula>
    </cfRule>
  </conditionalFormatting>
  <conditionalFormatting sqref="AF85 AI85">
    <cfRule type="containsText" dxfId="3010" priority="2199" operator="containsText" text="Str">
      <formula>NOT(ISERROR(SEARCH("Str",AF85)))</formula>
    </cfRule>
    <cfRule type="containsText" dxfId="3009" priority="2200" operator="containsText" text="Ere">
      <formula>NOT(ISERROR(SEARCH("Ere",AF85)))</formula>
    </cfRule>
    <cfRule type="containsText" dxfId="3008" priority="2201" operator="containsText" text="Ear">
      <formula>NOT(ISERROR(SEARCH("Ear",AF85)))</formula>
    </cfRule>
    <cfRule type="containsText" dxfId="3007" priority="2202" operator="containsText" text="fnd">
      <formula>NOT(ISERROR(SEARCH("fnd",AF85)))</formula>
    </cfRule>
  </conditionalFormatting>
  <conditionalFormatting sqref="AF93:AF94">
    <cfRule type="containsText" dxfId="3006" priority="2175" operator="containsText" text="Str">
      <formula>NOT(ISERROR(SEARCH("Str",AF93)))</formula>
    </cfRule>
    <cfRule type="containsText" dxfId="3005" priority="2176" operator="containsText" text="Ere">
      <formula>NOT(ISERROR(SEARCH("Ere",AF93)))</formula>
    </cfRule>
    <cfRule type="containsText" dxfId="3004" priority="2177" operator="containsText" text="Ear">
      <formula>NOT(ISERROR(SEARCH("Ear",AF93)))</formula>
    </cfRule>
    <cfRule type="containsText" dxfId="3003" priority="2178" operator="containsText" text="fnd">
      <formula>NOT(ISERROR(SEARCH("fnd",AF93)))</formula>
    </cfRule>
  </conditionalFormatting>
  <conditionalFormatting sqref="AF101">
    <cfRule type="containsText" dxfId="3002" priority="469" operator="containsText" text="Str">
      <formula>NOT(ISERROR(SEARCH("Str",AF101)))</formula>
    </cfRule>
    <cfRule type="containsText" dxfId="3001" priority="470" operator="containsText" text="Ere">
      <formula>NOT(ISERROR(SEARCH("Ere",AF101)))</formula>
    </cfRule>
    <cfRule type="containsText" dxfId="3000" priority="471" operator="containsText" text="Ear">
      <formula>NOT(ISERROR(SEARCH("Ear",AF101)))</formula>
    </cfRule>
    <cfRule type="containsText" dxfId="2999" priority="472" operator="containsText" text="fnd">
      <formula>NOT(ISERROR(SEARCH("fnd",AF101)))</formula>
    </cfRule>
  </conditionalFormatting>
  <conditionalFormatting sqref="AF109">
    <cfRule type="containsText" dxfId="2998" priority="1679" operator="containsText" text="Str">
      <formula>NOT(ISERROR(SEARCH("Str",AF109)))</formula>
    </cfRule>
    <cfRule type="containsText" dxfId="2997" priority="1680" operator="containsText" text="Ere">
      <formula>NOT(ISERROR(SEARCH("Ere",AF109)))</formula>
    </cfRule>
    <cfRule type="containsText" dxfId="2996" priority="1681" operator="containsText" text="Ear">
      <formula>NOT(ISERROR(SEARCH("Ear",AF109)))</formula>
    </cfRule>
    <cfRule type="containsText" dxfId="2995" priority="1682" operator="containsText" text="fnd">
      <formula>NOT(ISERROR(SEARCH("fnd",AF109)))</formula>
    </cfRule>
  </conditionalFormatting>
  <conditionalFormatting sqref="AF117">
    <cfRule type="containsText" dxfId="2994" priority="675" operator="containsText" text="Str">
      <formula>NOT(ISERROR(SEARCH("Str",AF117)))</formula>
    </cfRule>
    <cfRule type="containsText" dxfId="2993" priority="676" operator="containsText" text="Ere">
      <formula>NOT(ISERROR(SEARCH("Ere",AF117)))</formula>
    </cfRule>
    <cfRule type="containsText" dxfId="2992" priority="677" operator="containsText" text="Ear">
      <formula>NOT(ISERROR(SEARCH("Ear",AF117)))</formula>
    </cfRule>
    <cfRule type="containsText" dxfId="2991" priority="678" operator="containsText" text="fnd">
      <formula>NOT(ISERROR(SEARCH("fnd",AF117)))</formula>
    </cfRule>
  </conditionalFormatting>
  <conditionalFormatting sqref="AF122 AF130 AF138 AF162 AF170 AF178">
    <cfRule type="containsText" dxfId="2990" priority="1983" operator="containsText" text="Str">
      <formula>NOT(ISERROR(SEARCH("Str",AF122)))</formula>
    </cfRule>
    <cfRule type="containsText" dxfId="2989" priority="1984" operator="containsText" text="Ere">
      <formula>NOT(ISERROR(SEARCH("Ere",AF122)))</formula>
    </cfRule>
    <cfRule type="containsText" dxfId="2988" priority="1985" operator="containsText" text="Ear">
      <formula>NOT(ISERROR(SEARCH("Ear",AF122)))</formula>
    </cfRule>
    <cfRule type="containsText" dxfId="2987" priority="1986" operator="containsText" text="fnd">
      <formula>NOT(ISERROR(SEARCH("fnd",AF122)))</formula>
    </cfRule>
  </conditionalFormatting>
  <conditionalFormatting sqref="AF125">
    <cfRule type="containsText" dxfId="2986" priority="481" operator="containsText" text="Str">
      <formula>NOT(ISERROR(SEARCH("Str",AF125)))</formula>
    </cfRule>
    <cfRule type="containsText" dxfId="2985" priority="482" operator="containsText" text="Ere">
      <formula>NOT(ISERROR(SEARCH("Ere",AF125)))</formula>
    </cfRule>
    <cfRule type="containsText" dxfId="2984" priority="483" operator="containsText" text="Ear">
      <formula>NOT(ISERROR(SEARCH("Ear",AF125)))</formula>
    </cfRule>
    <cfRule type="containsText" dxfId="2983" priority="484" operator="containsText" text="fnd">
      <formula>NOT(ISERROR(SEARCH("fnd",AF125)))</formula>
    </cfRule>
  </conditionalFormatting>
  <conditionalFormatting sqref="AF133">
    <cfRule type="containsText" dxfId="2982" priority="237" operator="containsText" text="Str">
      <formula>NOT(ISERROR(SEARCH("Str",AF133)))</formula>
    </cfRule>
    <cfRule type="containsText" dxfId="2981" priority="238" operator="containsText" text="Ere">
      <formula>NOT(ISERROR(SEARCH("Ere",AF133)))</formula>
    </cfRule>
    <cfRule type="containsText" dxfId="2980" priority="239" operator="containsText" text="Ear">
      <formula>NOT(ISERROR(SEARCH("Ear",AF133)))</formula>
    </cfRule>
    <cfRule type="containsText" dxfId="2979" priority="240" operator="containsText" text="fnd">
      <formula>NOT(ISERROR(SEARCH("fnd",AF133)))</formula>
    </cfRule>
  </conditionalFormatting>
  <conditionalFormatting sqref="AF141">
    <cfRule type="containsText" dxfId="2978" priority="1219" operator="containsText" text="Str">
      <formula>NOT(ISERROR(SEARCH("Str",AF141)))</formula>
    </cfRule>
    <cfRule type="containsText" dxfId="2977" priority="1220" operator="containsText" text="Ere">
      <formula>NOT(ISERROR(SEARCH("Ere",AF141)))</formula>
    </cfRule>
    <cfRule type="containsText" dxfId="2976" priority="1221" operator="containsText" text="Ear">
      <formula>NOT(ISERROR(SEARCH("Ear",AF141)))</formula>
    </cfRule>
    <cfRule type="containsText" dxfId="2975" priority="1222" operator="containsText" text="fnd">
      <formula>NOT(ISERROR(SEARCH("fnd",AF141)))</formula>
    </cfRule>
  </conditionalFormatting>
  <conditionalFormatting sqref="AF149">
    <cfRule type="containsText" dxfId="2974" priority="1155" operator="containsText" text="Str">
      <formula>NOT(ISERROR(SEARCH("Str",AF149)))</formula>
    </cfRule>
    <cfRule type="containsText" dxfId="2973" priority="1156" operator="containsText" text="Ere">
      <formula>NOT(ISERROR(SEARCH("Ere",AF149)))</formula>
    </cfRule>
    <cfRule type="containsText" dxfId="2972" priority="1157" operator="containsText" text="Ear">
      <formula>NOT(ISERROR(SEARCH("Ear",AF149)))</formula>
    </cfRule>
    <cfRule type="containsText" dxfId="2971" priority="1158" operator="containsText" text="fnd">
      <formula>NOT(ISERROR(SEARCH("fnd",AF149)))</formula>
    </cfRule>
  </conditionalFormatting>
  <conditionalFormatting sqref="AF157">
    <cfRule type="containsText" dxfId="2970" priority="1087" operator="containsText" text="Str">
      <formula>NOT(ISERROR(SEARCH("Str",AF157)))</formula>
    </cfRule>
    <cfRule type="containsText" dxfId="2969" priority="1088" operator="containsText" text="Ere">
      <formula>NOT(ISERROR(SEARCH("Ere",AF157)))</formula>
    </cfRule>
    <cfRule type="containsText" dxfId="2968" priority="1089" operator="containsText" text="Ear">
      <formula>NOT(ISERROR(SEARCH("Ear",AF157)))</formula>
    </cfRule>
    <cfRule type="containsText" dxfId="2967" priority="1090" operator="containsText" text="fnd">
      <formula>NOT(ISERROR(SEARCH("fnd",AF157)))</formula>
    </cfRule>
  </conditionalFormatting>
  <conditionalFormatting sqref="AF165">
    <cfRule type="containsText" dxfId="2966" priority="1023" operator="containsText" text="Str">
      <formula>NOT(ISERROR(SEARCH("Str",AF165)))</formula>
    </cfRule>
    <cfRule type="containsText" dxfId="2965" priority="1024" operator="containsText" text="Ere">
      <formula>NOT(ISERROR(SEARCH("Ere",AF165)))</formula>
    </cfRule>
    <cfRule type="containsText" dxfId="2964" priority="1025" operator="containsText" text="Ear">
      <formula>NOT(ISERROR(SEARCH("Ear",AF165)))</formula>
    </cfRule>
    <cfRule type="containsText" dxfId="2963" priority="1026" operator="containsText" text="fnd">
      <formula>NOT(ISERROR(SEARCH("fnd",AF165)))</formula>
    </cfRule>
  </conditionalFormatting>
  <conditionalFormatting sqref="AF173">
    <cfRule type="containsText" dxfId="2962" priority="353" operator="containsText" text="Str">
      <formula>NOT(ISERROR(SEARCH("Str",AF173)))</formula>
    </cfRule>
    <cfRule type="containsText" dxfId="2961" priority="354" operator="containsText" text="Ere">
      <formula>NOT(ISERROR(SEARCH("Ere",AF173)))</formula>
    </cfRule>
    <cfRule type="containsText" dxfId="2960" priority="355" operator="containsText" text="Ear">
      <formula>NOT(ISERROR(SEARCH("Ear",AF173)))</formula>
    </cfRule>
    <cfRule type="containsText" dxfId="2959" priority="356" operator="containsText" text="fnd">
      <formula>NOT(ISERROR(SEARCH("fnd",AF173)))</formula>
    </cfRule>
  </conditionalFormatting>
  <conditionalFormatting sqref="AF181">
    <cfRule type="containsText" dxfId="2958" priority="81" operator="containsText" text="Str">
      <formula>NOT(ISERROR(SEARCH("Str",AF181)))</formula>
    </cfRule>
    <cfRule type="containsText" dxfId="2957" priority="82" operator="containsText" text="Ere">
      <formula>NOT(ISERROR(SEARCH("Ere",AF181)))</formula>
    </cfRule>
    <cfRule type="containsText" dxfId="2956" priority="83" operator="containsText" text="Ear">
      <formula>NOT(ISERROR(SEARCH("Ear",AF181)))</formula>
    </cfRule>
    <cfRule type="containsText" dxfId="2955" priority="84" operator="containsText" text="fnd">
      <formula>NOT(ISERROR(SEARCH("fnd",AF181)))</formula>
    </cfRule>
  </conditionalFormatting>
  <conditionalFormatting sqref="AF30:AG30">
    <cfRule type="containsText" dxfId="2954" priority="1459" operator="containsText" text="Str">
      <formula>NOT(ISERROR(SEARCH("Str",AF30)))</formula>
    </cfRule>
    <cfRule type="containsText" dxfId="2953" priority="1460" operator="containsText" text="Ere">
      <formula>NOT(ISERROR(SEARCH("Ere",AF30)))</formula>
    </cfRule>
    <cfRule type="containsText" dxfId="2952" priority="1461" operator="containsText" text="Ear">
      <formula>NOT(ISERROR(SEARCH("Ear",AF30)))</formula>
    </cfRule>
    <cfRule type="containsText" dxfId="2951" priority="1462" operator="containsText" text="fnd">
      <formula>NOT(ISERROR(SEARCH("fnd",AF30)))</formula>
    </cfRule>
  </conditionalFormatting>
  <conditionalFormatting sqref="AF38:AG38">
    <cfRule type="containsText" dxfId="2950" priority="2299" operator="containsText" text="Str">
      <formula>NOT(ISERROR(SEARCH("Str",AF38)))</formula>
    </cfRule>
    <cfRule type="containsText" dxfId="2949" priority="2300" operator="containsText" text="Ere">
      <formula>NOT(ISERROR(SEARCH("Ere",AF38)))</formula>
    </cfRule>
    <cfRule type="containsText" dxfId="2948" priority="2301" operator="containsText" text="Ear">
      <formula>NOT(ISERROR(SEARCH("Ear",AF38)))</formula>
    </cfRule>
    <cfRule type="containsText" dxfId="2947" priority="2302" operator="containsText" text="fnd">
      <formula>NOT(ISERROR(SEARCH("fnd",AF38)))</formula>
    </cfRule>
  </conditionalFormatting>
  <conditionalFormatting sqref="AF45:AG46 K53 H53:H54">
    <cfRule type="containsText" dxfId="2946" priority="2255" operator="containsText" text="Str">
      <formula>NOT(ISERROR(SEARCH("Str",H45)))</formula>
    </cfRule>
    <cfRule type="containsText" dxfId="2945" priority="2256" operator="containsText" text="Ere">
      <formula>NOT(ISERROR(SEARCH("Ere",H45)))</formula>
    </cfRule>
    <cfRule type="containsText" dxfId="2944" priority="2257" operator="containsText" text="Ear">
      <formula>NOT(ISERROR(SEARCH("Ear",H45)))</formula>
    </cfRule>
    <cfRule type="containsText" dxfId="2943" priority="2258" operator="containsText" text="fnd">
      <formula>NOT(ISERROR(SEARCH("fnd",H45)))</formula>
    </cfRule>
  </conditionalFormatting>
  <conditionalFormatting sqref="AF62:AG62">
    <cfRule type="containsText" dxfId="2942" priority="1867" operator="containsText" text="Str">
      <formula>NOT(ISERROR(SEARCH("Str",AF62)))</formula>
    </cfRule>
    <cfRule type="containsText" dxfId="2941" priority="1868" operator="containsText" text="Ere">
      <formula>NOT(ISERROR(SEARCH("Ere",AF62)))</formula>
    </cfRule>
    <cfRule type="containsText" dxfId="2940" priority="1869" operator="containsText" text="Ear">
      <formula>NOT(ISERROR(SEARCH("Ear",AF62)))</formula>
    </cfRule>
    <cfRule type="containsText" dxfId="2939" priority="1870" operator="containsText" text="fnd">
      <formula>NOT(ISERROR(SEARCH("fnd",AF62)))</formula>
    </cfRule>
  </conditionalFormatting>
  <conditionalFormatting sqref="AF70:AG70">
    <cfRule type="containsText" dxfId="2938" priority="2131" operator="containsText" text="Str">
      <formula>NOT(ISERROR(SEARCH("Str",AF70)))</formula>
    </cfRule>
    <cfRule type="containsText" dxfId="2937" priority="2132" operator="containsText" text="Ere">
      <formula>NOT(ISERROR(SEARCH("Ere",AF70)))</formula>
    </cfRule>
    <cfRule type="containsText" dxfId="2936" priority="2133" operator="containsText" text="Ear">
      <formula>NOT(ISERROR(SEARCH("Ear",AF70)))</formula>
    </cfRule>
    <cfRule type="containsText" dxfId="2935" priority="2134" operator="containsText" text="fnd">
      <formula>NOT(ISERROR(SEARCH("fnd",AF70)))</formula>
    </cfRule>
  </conditionalFormatting>
  <conditionalFormatting sqref="AF86:AG86">
    <cfRule type="containsText" dxfId="2934" priority="2227" operator="containsText" text="Str">
      <formula>NOT(ISERROR(SEARCH("Str",AF86)))</formula>
    </cfRule>
    <cfRule type="containsText" dxfId="2933" priority="2228" operator="containsText" text="Ere">
      <formula>NOT(ISERROR(SEARCH("Ere",AF86)))</formula>
    </cfRule>
    <cfRule type="containsText" dxfId="2932" priority="2229" operator="containsText" text="Ear">
      <formula>NOT(ISERROR(SEARCH("Ear",AF86)))</formula>
    </cfRule>
    <cfRule type="containsText" dxfId="2931" priority="2230" operator="containsText" text="fnd">
      <formula>NOT(ISERROR(SEARCH("fnd",AF86)))</formula>
    </cfRule>
  </conditionalFormatting>
  <conditionalFormatting sqref="AF110:AG110">
    <cfRule type="containsText" dxfId="2930" priority="1683" operator="containsText" text="Str">
      <formula>NOT(ISERROR(SEARCH("Str",AF110)))</formula>
    </cfRule>
    <cfRule type="containsText" dxfId="2929" priority="1684" operator="containsText" text="Ere">
      <formula>NOT(ISERROR(SEARCH("Ere",AF110)))</formula>
    </cfRule>
    <cfRule type="containsText" dxfId="2928" priority="1685" operator="containsText" text="Ear">
      <formula>NOT(ISERROR(SEARCH("Ear",AF110)))</formula>
    </cfRule>
    <cfRule type="containsText" dxfId="2927" priority="1686" operator="containsText" text="fnd">
      <formula>NOT(ISERROR(SEARCH("fnd",AF110)))</formula>
    </cfRule>
  </conditionalFormatting>
  <conditionalFormatting sqref="AF118:AG118">
    <cfRule type="containsText" dxfId="2926" priority="679" operator="containsText" text="Str">
      <formula>NOT(ISERROR(SEARCH("Str",AF118)))</formula>
    </cfRule>
    <cfRule type="containsText" dxfId="2925" priority="680" operator="containsText" text="Ere">
      <formula>NOT(ISERROR(SEARCH("Ere",AF118)))</formula>
    </cfRule>
    <cfRule type="containsText" dxfId="2924" priority="681" operator="containsText" text="Ear">
      <formula>NOT(ISERROR(SEARCH("Ear",AF118)))</formula>
    </cfRule>
    <cfRule type="containsText" dxfId="2923" priority="682" operator="containsText" text="fnd">
      <formula>NOT(ISERROR(SEARCH("fnd",AF118)))</formula>
    </cfRule>
  </conditionalFormatting>
  <conditionalFormatting sqref="AF126:AG126">
    <cfRule type="containsText" dxfId="2922" priority="485" operator="containsText" text="Str">
      <formula>NOT(ISERROR(SEARCH("Str",AF126)))</formula>
    </cfRule>
    <cfRule type="containsText" dxfId="2921" priority="486" operator="containsText" text="Ere">
      <formula>NOT(ISERROR(SEARCH("Ere",AF126)))</formula>
    </cfRule>
    <cfRule type="containsText" dxfId="2920" priority="487" operator="containsText" text="Ear">
      <formula>NOT(ISERROR(SEARCH("Ear",AF126)))</formula>
    </cfRule>
    <cfRule type="containsText" dxfId="2919" priority="488" operator="containsText" text="fnd">
      <formula>NOT(ISERROR(SEARCH("fnd",AF126)))</formula>
    </cfRule>
  </conditionalFormatting>
  <conditionalFormatting sqref="AF134:AG134">
    <cfRule type="containsText" dxfId="2918" priority="241" operator="containsText" text="Str">
      <formula>NOT(ISERROR(SEARCH("Str",AF134)))</formula>
    </cfRule>
    <cfRule type="containsText" dxfId="2917" priority="242" operator="containsText" text="Ere">
      <formula>NOT(ISERROR(SEARCH("Ere",AF134)))</formula>
    </cfRule>
    <cfRule type="containsText" dxfId="2916" priority="243" operator="containsText" text="Ear">
      <formula>NOT(ISERROR(SEARCH("Ear",AF134)))</formula>
    </cfRule>
    <cfRule type="containsText" dxfId="2915" priority="244" operator="containsText" text="fnd">
      <formula>NOT(ISERROR(SEARCH("fnd",AF134)))</formula>
    </cfRule>
  </conditionalFormatting>
  <conditionalFormatting sqref="AF142:AG142">
    <cfRule type="containsText" dxfId="2914" priority="1223" operator="containsText" text="Str">
      <formula>NOT(ISERROR(SEARCH("Str",AF142)))</formula>
    </cfRule>
    <cfRule type="containsText" dxfId="2913" priority="1224" operator="containsText" text="Ere">
      <formula>NOT(ISERROR(SEARCH("Ere",AF142)))</formula>
    </cfRule>
    <cfRule type="containsText" dxfId="2912" priority="1225" operator="containsText" text="Ear">
      <formula>NOT(ISERROR(SEARCH("Ear",AF142)))</formula>
    </cfRule>
    <cfRule type="containsText" dxfId="2911" priority="1226" operator="containsText" text="fnd">
      <formula>NOT(ISERROR(SEARCH("fnd",AF142)))</formula>
    </cfRule>
  </conditionalFormatting>
  <conditionalFormatting sqref="AF158:AG158">
    <cfRule type="containsText" dxfId="2910" priority="1091" operator="containsText" text="Str">
      <formula>NOT(ISERROR(SEARCH("Str",AF158)))</formula>
    </cfRule>
    <cfRule type="containsText" dxfId="2909" priority="1092" operator="containsText" text="Ere">
      <formula>NOT(ISERROR(SEARCH("Ere",AF158)))</formula>
    </cfRule>
    <cfRule type="containsText" dxfId="2908" priority="1093" operator="containsText" text="Ear">
      <formula>NOT(ISERROR(SEARCH("Ear",AF158)))</formula>
    </cfRule>
    <cfRule type="containsText" dxfId="2907" priority="1094" operator="containsText" text="fnd">
      <formula>NOT(ISERROR(SEARCH("fnd",AF158)))</formula>
    </cfRule>
  </conditionalFormatting>
  <conditionalFormatting sqref="AF166:AG166">
    <cfRule type="containsText" dxfId="2906" priority="1027" operator="containsText" text="Str">
      <formula>NOT(ISERROR(SEARCH("Str",AF166)))</formula>
    </cfRule>
    <cfRule type="containsText" dxfId="2905" priority="1028" operator="containsText" text="Ere">
      <formula>NOT(ISERROR(SEARCH("Ere",AF166)))</formula>
    </cfRule>
    <cfRule type="containsText" dxfId="2904" priority="1029" operator="containsText" text="Ear">
      <formula>NOT(ISERROR(SEARCH("Ear",AF166)))</formula>
    </cfRule>
    <cfRule type="containsText" dxfId="2903" priority="1030" operator="containsText" text="fnd">
      <formula>NOT(ISERROR(SEARCH("fnd",AF166)))</formula>
    </cfRule>
  </conditionalFormatting>
  <conditionalFormatting sqref="AF174:AG174">
    <cfRule type="containsText" dxfId="2902" priority="357" operator="containsText" text="Str">
      <formula>NOT(ISERROR(SEARCH("Str",AF174)))</formula>
    </cfRule>
    <cfRule type="containsText" dxfId="2901" priority="358" operator="containsText" text="Ere">
      <formula>NOT(ISERROR(SEARCH("Ere",AF174)))</formula>
    </cfRule>
    <cfRule type="containsText" dxfId="2900" priority="359" operator="containsText" text="Ear">
      <formula>NOT(ISERROR(SEARCH("Ear",AF174)))</formula>
    </cfRule>
    <cfRule type="containsText" dxfId="2899" priority="360" operator="containsText" text="fnd">
      <formula>NOT(ISERROR(SEARCH("fnd",AF174)))</formula>
    </cfRule>
  </conditionalFormatting>
  <conditionalFormatting sqref="AF182:AG182">
    <cfRule type="containsText" dxfId="2898" priority="85" operator="containsText" text="Str">
      <formula>NOT(ISERROR(SEARCH("Str",AF182)))</formula>
    </cfRule>
    <cfRule type="containsText" dxfId="2897" priority="86" operator="containsText" text="Ere">
      <formula>NOT(ISERROR(SEARCH("Ere",AF182)))</formula>
    </cfRule>
    <cfRule type="containsText" dxfId="2896" priority="87" operator="containsText" text="Ear">
      <formula>NOT(ISERROR(SEARCH("Ear",AF182)))</formula>
    </cfRule>
    <cfRule type="containsText" dxfId="2895" priority="88" operator="containsText" text="fnd">
      <formula>NOT(ISERROR(SEARCH("fnd",AF182)))</formula>
    </cfRule>
  </conditionalFormatting>
  <conditionalFormatting sqref="AG6">
    <cfRule type="containsText" dxfId="2894" priority="177" operator="containsText" text="Str">
      <formula>NOT(ISERROR(SEARCH("Str",AG6)))</formula>
    </cfRule>
    <cfRule type="containsText" dxfId="2893" priority="178" operator="containsText" text="Ere">
      <formula>NOT(ISERROR(SEARCH("Ere",AG6)))</formula>
    </cfRule>
    <cfRule type="containsText" dxfId="2892" priority="179" operator="containsText" text="Ear">
      <formula>NOT(ISERROR(SEARCH("Ear",AG6)))</formula>
    </cfRule>
    <cfRule type="containsText" dxfId="2891" priority="180" operator="containsText" text="fnd">
      <formula>NOT(ISERROR(SEARCH("fnd",AG6)))</formula>
    </cfRule>
  </conditionalFormatting>
  <conditionalFormatting sqref="AG14">
    <cfRule type="containsText" dxfId="2890" priority="735" operator="containsText" text="Str">
      <formula>NOT(ISERROR(SEARCH("Str",AG14)))</formula>
    </cfRule>
    <cfRule type="containsText" dxfId="2889" priority="736" operator="containsText" text="Ere">
      <formula>NOT(ISERROR(SEARCH("Ere",AG14)))</formula>
    </cfRule>
    <cfRule type="containsText" dxfId="2888" priority="737" operator="containsText" text="Ear">
      <formula>NOT(ISERROR(SEARCH("Ear",AG14)))</formula>
    </cfRule>
    <cfRule type="containsText" dxfId="2887" priority="738" operator="containsText" text="fnd">
      <formula>NOT(ISERROR(SEARCH("fnd",AG14)))</formula>
    </cfRule>
  </conditionalFormatting>
  <conditionalFormatting sqref="AG22">
    <cfRule type="containsText" dxfId="2886" priority="1771" operator="containsText" text="Str">
      <formula>NOT(ISERROR(SEARCH("Str",AG22)))</formula>
    </cfRule>
    <cfRule type="containsText" dxfId="2885" priority="1772" operator="containsText" text="Ere">
      <formula>NOT(ISERROR(SEARCH("Ere",AG22)))</formula>
    </cfRule>
    <cfRule type="containsText" dxfId="2884" priority="1773" operator="containsText" text="Ear">
      <formula>NOT(ISERROR(SEARCH("Ear",AG22)))</formula>
    </cfRule>
    <cfRule type="containsText" dxfId="2883" priority="1774" operator="containsText" text="fnd">
      <formula>NOT(ISERROR(SEARCH("fnd",AG22)))</formula>
    </cfRule>
  </conditionalFormatting>
  <conditionalFormatting sqref="AG78">
    <cfRule type="containsText" dxfId="2882" priority="2243" operator="containsText" text="Str">
      <formula>NOT(ISERROR(SEARCH("Str",AG78)))</formula>
    </cfRule>
    <cfRule type="containsText" dxfId="2881" priority="2244" operator="containsText" text="Ere">
      <formula>NOT(ISERROR(SEARCH("Ere",AG78)))</formula>
    </cfRule>
    <cfRule type="containsText" dxfId="2880" priority="2245" operator="containsText" text="Ear">
      <formula>NOT(ISERROR(SEARCH("Ear",AG78)))</formula>
    </cfRule>
    <cfRule type="containsText" dxfId="2879" priority="2246" operator="containsText" text="fnd">
      <formula>NOT(ISERROR(SEARCH("fnd",AG78)))</formula>
    </cfRule>
  </conditionalFormatting>
  <conditionalFormatting sqref="AI5:AI6">
    <cfRule type="containsText" dxfId="2878" priority="173" operator="containsText" text="Str">
      <formula>NOT(ISERROR(SEARCH("Str",AI5)))</formula>
    </cfRule>
    <cfRule type="containsText" dxfId="2877" priority="174" operator="containsText" text="Ere">
      <formula>NOT(ISERROR(SEARCH("Ere",AI5)))</formula>
    </cfRule>
    <cfRule type="containsText" dxfId="2876" priority="175" operator="containsText" text="Ear">
      <formula>NOT(ISERROR(SEARCH("Ear",AI5)))</formula>
    </cfRule>
    <cfRule type="containsText" dxfId="2875" priority="176" operator="containsText" text="fnd">
      <formula>NOT(ISERROR(SEARCH("fnd",AI5)))</formula>
    </cfRule>
  </conditionalFormatting>
  <conditionalFormatting sqref="AI13:AI14">
    <cfRule type="containsText" dxfId="2874" priority="1627" operator="containsText" text="Str">
      <formula>NOT(ISERROR(SEARCH("Str",AI13)))</formula>
    </cfRule>
    <cfRule type="containsText" dxfId="2873" priority="1628" operator="containsText" text="Ere">
      <formula>NOT(ISERROR(SEARCH("Ere",AI13)))</formula>
    </cfRule>
    <cfRule type="containsText" dxfId="2872" priority="1629" operator="containsText" text="Ear">
      <formula>NOT(ISERROR(SEARCH("Ear",AI13)))</formula>
    </cfRule>
    <cfRule type="containsText" dxfId="2871" priority="1630" operator="containsText" text="fnd">
      <formula>NOT(ISERROR(SEARCH("fnd",AI13)))</formula>
    </cfRule>
  </conditionalFormatting>
  <conditionalFormatting sqref="AI21:AI22">
    <cfRule type="containsText" dxfId="2870" priority="923" operator="containsText" text="Str">
      <formula>NOT(ISERROR(SEARCH("Str",AI21)))</formula>
    </cfRule>
    <cfRule type="containsText" dxfId="2869" priority="924" operator="containsText" text="Ere">
      <formula>NOT(ISERROR(SEARCH("Ere",AI21)))</formula>
    </cfRule>
    <cfRule type="containsText" dxfId="2868" priority="925" operator="containsText" text="Ear">
      <formula>NOT(ISERROR(SEARCH("Ear",AI21)))</formula>
    </cfRule>
    <cfRule type="containsText" dxfId="2867" priority="926" operator="containsText" text="fnd">
      <formula>NOT(ISERROR(SEARCH("fnd",AI21)))</formula>
    </cfRule>
  </conditionalFormatting>
  <conditionalFormatting sqref="AI29">
    <cfRule type="containsText" dxfId="2866" priority="1687" operator="containsText" text="Str">
      <formula>NOT(ISERROR(SEARCH("Str",AI29)))</formula>
    </cfRule>
    <cfRule type="containsText" dxfId="2865" priority="1688" operator="containsText" text="Ere">
      <formula>NOT(ISERROR(SEARCH("Ere",AI29)))</formula>
    </cfRule>
    <cfRule type="containsText" dxfId="2864" priority="1689" operator="containsText" text="Ear">
      <formula>NOT(ISERROR(SEARCH("Ear",AI29)))</formula>
    </cfRule>
    <cfRule type="containsText" dxfId="2863" priority="1690" operator="containsText" text="fnd">
      <formula>NOT(ISERROR(SEARCH("fnd",AI29)))</formula>
    </cfRule>
  </conditionalFormatting>
  <conditionalFormatting sqref="AI37">
    <cfRule type="containsText" dxfId="2862" priority="843" operator="containsText" text="Str">
      <formula>NOT(ISERROR(SEARCH("Str",AI37)))</formula>
    </cfRule>
    <cfRule type="containsText" dxfId="2861" priority="844" operator="containsText" text="Ere">
      <formula>NOT(ISERROR(SEARCH("Ere",AI37)))</formula>
    </cfRule>
    <cfRule type="containsText" dxfId="2860" priority="845" operator="containsText" text="Ear">
      <formula>NOT(ISERROR(SEARCH("Ear",AI37)))</formula>
    </cfRule>
    <cfRule type="containsText" dxfId="2859" priority="846" operator="containsText" text="fnd">
      <formula>NOT(ISERROR(SEARCH("fnd",AI37)))</formula>
    </cfRule>
  </conditionalFormatting>
  <conditionalFormatting sqref="AI53">
    <cfRule type="containsText" dxfId="2858" priority="763" operator="containsText" text="Str">
      <formula>NOT(ISERROR(SEARCH("Str",AI53)))</formula>
    </cfRule>
    <cfRule type="containsText" dxfId="2857" priority="764" operator="containsText" text="Ere">
      <formula>NOT(ISERROR(SEARCH("Ere",AI53)))</formula>
    </cfRule>
    <cfRule type="containsText" dxfId="2856" priority="765" operator="containsText" text="Ear">
      <formula>NOT(ISERROR(SEARCH("Ear",AI53)))</formula>
    </cfRule>
    <cfRule type="containsText" dxfId="2855" priority="766" operator="containsText" text="fnd">
      <formula>NOT(ISERROR(SEARCH("fnd",AI53)))</formula>
    </cfRule>
  </conditionalFormatting>
  <conditionalFormatting sqref="AI61">
    <cfRule type="containsText" dxfId="2854" priority="1947" operator="containsText" text="Str">
      <formula>NOT(ISERROR(SEARCH("Str",AI61)))</formula>
    </cfRule>
    <cfRule type="containsText" dxfId="2853" priority="1948" operator="containsText" text="Ere">
      <formula>NOT(ISERROR(SEARCH("Ere",AI61)))</formula>
    </cfRule>
    <cfRule type="containsText" dxfId="2852" priority="1949" operator="containsText" text="Ear">
      <formula>NOT(ISERROR(SEARCH("Ear",AI61)))</formula>
    </cfRule>
    <cfRule type="containsText" dxfId="2851" priority="1950" operator="containsText" text="fnd">
      <formula>NOT(ISERROR(SEARCH("fnd",AI61)))</formula>
    </cfRule>
  </conditionalFormatting>
  <conditionalFormatting sqref="AI69">
    <cfRule type="containsText" dxfId="2850" priority="1871" operator="containsText" text="Str">
      <formula>NOT(ISERROR(SEARCH("Str",AI69)))</formula>
    </cfRule>
    <cfRule type="containsText" dxfId="2849" priority="1872" operator="containsText" text="Ere">
      <formula>NOT(ISERROR(SEARCH("Ere",AI69)))</formula>
    </cfRule>
    <cfRule type="containsText" dxfId="2848" priority="1873" operator="containsText" text="Ear">
      <formula>NOT(ISERROR(SEARCH("Ear",AI69)))</formula>
    </cfRule>
    <cfRule type="containsText" dxfId="2847" priority="1874" operator="containsText" text="fnd">
      <formula>NOT(ISERROR(SEARCH("fnd",AI69)))</formula>
    </cfRule>
  </conditionalFormatting>
  <conditionalFormatting sqref="AI77:AI78">
    <cfRule type="containsText" dxfId="2846" priority="261" operator="containsText" text="Str">
      <formula>NOT(ISERROR(SEARCH("Str",AI77)))</formula>
    </cfRule>
    <cfRule type="containsText" dxfId="2845" priority="262" operator="containsText" text="Ere">
      <formula>NOT(ISERROR(SEARCH("Ere",AI77)))</formula>
    </cfRule>
    <cfRule type="containsText" dxfId="2844" priority="263" operator="containsText" text="Ear">
      <formula>NOT(ISERROR(SEARCH("Ear",AI77)))</formula>
    </cfRule>
    <cfRule type="containsText" dxfId="2843" priority="264" operator="containsText" text="fnd">
      <formula>NOT(ISERROR(SEARCH("fnd",AI77)))</formula>
    </cfRule>
  </conditionalFormatting>
  <conditionalFormatting sqref="AI93:AI94">
    <cfRule type="containsText" dxfId="2842" priority="1611" operator="containsText" text="Str">
      <formula>NOT(ISERROR(SEARCH("Str",AI93)))</formula>
    </cfRule>
    <cfRule type="containsText" dxfId="2841" priority="1612" operator="containsText" text="Ere">
      <formula>NOT(ISERROR(SEARCH("Ere",AI93)))</formula>
    </cfRule>
    <cfRule type="containsText" dxfId="2840" priority="1613" operator="containsText" text="Ear">
      <formula>NOT(ISERROR(SEARCH("Ear",AI93)))</formula>
    </cfRule>
    <cfRule type="containsText" dxfId="2839" priority="1614" operator="containsText" text="fnd">
      <formula>NOT(ISERROR(SEARCH("fnd",AI93)))</formula>
    </cfRule>
  </conditionalFormatting>
  <conditionalFormatting sqref="AI101">
    <cfRule type="containsText" dxfId="2838" priority="2155" operator="containsText" text="Str">
      <formula>NOT(ISERROR(SEARCH("Str",AI101)))</formula>
    </cfRule>
    <cfRule type="containsText" dxfId="2837" priority="2156" operator="containsText" text="Ere">
      <formula>NOT(ISERROR(SEARCH("Ere",AI101)))</formula>
    </cfRule>
    <cfRule type="containsText" dxfId="2836" priority="2157" operator="containsText" text="Ear">
      <formula>NOT(ISERROR(SEARCH("Ear",AI101)))</formula>
    </cfRule>
    <cfRule type="containsText" dxfId="2835" priority="2158" operator="containsText" text="fnd">
      <formula>NOT(ISERROR(SEARCH("fnd",AI101)))</formula>
    </cfRule>
  </conditionalFormatting>
  <conditionalFormatting sqref="AI109">
    <cfRule type="containsText" dxfId="2834" priority="1639" operator="containsText" text="Str">
      <formula>NOT(ISERROR(SEARCH("Str",AI109)))</formula>
    </cfRule>
    <cfRule type="containsText" dxfId="2833" priority="1640" operator="containsText" text="Ere">
      <formula>NOT(ISERROR(SEARCH("Ere",AI109)))</formula>
    </cfRule>
    <cfRule type="containsText" dxfId="2832" priority="1641" operator="containsText" text="Ear">
      <formula>NOT(ISERROR(SEARCH("Ear",AI109)))</formula>
    </cfRule>
    <cfRule type="containsText" dxfId="2831" priority="1642" operator="containsText" text="fnd">
      <formula>NOT(ISERROR(SEARCH("fnd",AI109)))</formula>
    </cfRule>
  </conditionalFormatting>
  <conditionalFormatting sqref="AI117">
    <cfRule type="containsText" dxfId="2830" priority="579" operator="containsText" text="Str">
      <formula>NOT(ISERROR(SEARCH("Str",AI117)))</formula>
    </cfRule>
    <cfRule type="containsText" dxfId="2829" priority="580" operator="containsText" text="Ere">
      <formula>NOT(ISERROR(SEARCH("Ere",AI117)))</formula>
    </cfRule>
    <cfRule type="containsText" dxfId="2828" priority="581" operator="containsText" text="Ear">
      <formula>NOT(ISERROR(SEARCH("Ear",AI117)))</formula>
    </cfRule>
    <cfRule type="containsText" dxfId="2827" priority="582" operator="containsText" text="fnd">
      <formula>NOT(ISERROR(SEARCH("fnd",AI117)))</formula>
    </cfRule>
  </conditionalFormatting>
  <conditionalFormatting sqref="AI122 AI130 AI138 AI170 AI178">
    <cfRule type="containsText" dxfId="2826" priority="1979" operator="containsText" text="Str">
      <formula>NOT(ISERROR(SEARCH("Str",AI122)))</formula>
    </cfRule>
    <cfRule type="containsText" dxfId="2825" priority="1980" operator="containsText" text="Ere">
      <formula>NOT(ISERROR(SEARCH("Ere",AI122)))</formula>
    </cfRule>
    <cfRule type="containsText" dxfId="2824" priority="1981" operator="containsText" text="Ear">
      <formula>NOT(ISERROR(SEARCH("Ear",AI122)))</formula>
    </cfRule>
    <cfRule type="containsText" dxfId="2823" priority="1982" operator="containsText" text="fnd">
      <formula>NOT(ISERROR(SEARCH("fnd",AI122)))</formula>
    </cfRule>
  </conditionalFormatting>
  <conditionalFormatting sqref="AI125">
    <cfRule type="containsText" dxfId="2822" priority="1351" operator="containsText" text="Str">
      <formula>NOT(ISERROR(SEARCH("Str",AI125)))</formula>
    </cfRule>
    <cfRule type="containsText" dxfId="2821" priority="1352" operator="containsText" text="Ere">
      <formula>NOT(ISERROR(SEARCH("Ere",AI125)))</formula>
    </cfRule>
    <cfRule type="containsText" dxfId="2820" priority="1353" operator="containsText" text="Ear">
      <formula>NOT(ISERROR(SEARCH("Ear",AI125)))</formula>
    </cfRule>
    <cfRule type="containsText" dxfId="2819" priority="1354" operator="containsText" text="fnd">
      <formula>NOT(ISERROR(SEARCH("fnd",AI125)))</formula>
    </cfRule>
  </conditionalFormatting>
  <conditionalFormatting sqref="AI133">
    <cfRule type="containsText" dxfId="2818" priority="1299" operator="containsText" text="Str">
      <formula>NOT(ISERROR(SEARCH("Str",AI133)))</formula>
    </cfRule>
    <cfRule type="containsText" dxfId="2817" priority="1300" operator="containsText" text="Ere">
      <formula>NOT(ISERROR(SEARCH("Ere",AI133)))</formula>
    </cfRule>
    <cfRule type="containsText" dxfId="2816" priority="1301" operator="containsText" text="Ear">
      <formula>NOT(ISERROR(SEARCH("Ear",AI133)))</formula>
    </cfRule>
    <cfRule type="containsText" dxfId="2815" priority="1302" operator="containsText" text="fnd">
      <formula>NOT(ISERROR(SEARCH("fnd",AI133)))</formula>
    </cfRule>
  </conditionalFormatting>
  <conditionalFormatting sqref="AI141">
    <cfRule type="containsText" dxfId="2814" priority="1195" operator="containsText" text="Str">
      <formula>NOT(ISERROR(SEARCH("Str",AI141)))</formula>
    </cfRule>
    <cfRule type="containsText" dxfId="2813" priority="1196" operator="containsText" text="Ere">
      <formula>NOT(ISERROR(SEARCH("Ere",AI141)))</formula>
    </cfRule>
    <cfRule type="containsText" dxfId="2812" priority="1197" operator="containsText" text="Ear">
      <formula>NOT(ISERROR(SEARCH("Ear",AI141)))</formula>
    </cfRule>
    <cfRule type="containsText" dxfId="2811" priority="1198" operator="containsText" text="fnd">
      <formula>NOT(ISERROR(SEARCH("fnd",AI141)))</formula>
    </cfRule>
  </conditionalFormatting>
  <conditionalFormatting sqref="AI149">
    <cfRule type="containsText" dxfId="2810" priority="301" operator="containsText" text="Str">
      <formula>NOT(ISERROR(SEARCH("Str",AI149)))</formula>
    </cfRule>
    <cfRule type="containsText" dxfId="2809" priority="302" operator="containsText" text="Ere">
      <formula>NOT(ISERROR(SEARCH("Ere",AI149)))</formula>
    </cfRule>
    <cfRule type="containsText" dxfId="2808" priority="303" operator="containsText" text="Ear">
      <formula>NOT(ISERROR(SEARCH("Ear",AI149)))</formula>
    </cfRule>
    <cfRule type="containsText" dxfId="2807" priority="304" operator="containsText" text="fnd">
      <formula>NOT(ISERROR(SEARCH("fnd",AI149)))</formula>
    </cfRule>
  </conditionalFormatting>
  <conditionalFormatting sqref="AI157">
    <cfRule type="containsText" dxfId="2806" priority="1063" operator="containsText" text="Str">
      <formula>NOT(ISERROR(SEARCH("Str",AI157)))</formula>
    </cfRule>
    <cfRule type="containsText" dxfId="2805" priority="1064" operator="containsText" text="Ere">
      <formula>NOT(ISERROR(SEARCH("Ere",AI157)))</formula>
    </cfRule>
    <cfRule type="containsText" dxfId="2804" priority="1065" operator="containsText" text="Ear">
      <formula>NOT(ISERROR(SEARCH("Ear",AI157)))</formula>
    </cfRule>
    <cfRule type="containsText" dxfId="2803" priority="1066" operator="containsText" text="fnd">
      <formula>NOT(ISERROR(SEARCH("fnd",AI157)))</formula>
    </cfRule>
  </conditionalFormatting>
  <conditionalFormatting sqref="AI165">
    <cfRule type="containsText" dxfId="2802" priority="489" operator="containsText" text="Str">
      <formula>NOT(ISERROR(SEARCH("Str",AI165)))</formula>
    </cfRule>
    <cfRule type="containsText" dxfId="2801" priority="490" operator="containsText" text="Ere">
      <formula>NOT(ISERROR(SEARCH("Ere",AI165)))</formula>
    </cfRule>
    <cfRule type="containsText" dxfId="2800" priority="491" operator="containsText" text="Ear">
      <formula>NOT(ISERROR(SEARCH("Ear",AI165)))</formula>
    </cfRule>
    <cfRule type="containsText" dxfId="2799" priority="492" operator="containsText" text="fnd">
      <formula>NOT(ISERROR(SEARCH("fnd",AI165)))</formula>
    </cfRule>
  </conditionalFormatting>
  <conditionalFormatting sqref="AI173">
    <cfRule type="containsText" dxfId="2798" priority="959" operator="containsText" text="Str">
      <formula>NOT(ISERROR(SEARCH("Str",AI173)))</formula>
    </cfRule>
    <cfRule type="containsText" dxfId="2797" priority="960" operator="containsText" text="Ere">
      <formula>NOT(ISERROR(SEARCH("Ere",AI173)))</formula>
    </cfRule>
    <cfRule type="containsText" dxfId="2796" priority="961" operator="containsText" text="Ear">
      <formula>NOT(ISERROR(SEARCH("Ear",AI173)))</formula>
    </cfRule>
    <cfRule type="containsText" dxfId="2795" priority="962" operator="containsText" text="fnd">
      <formula>NOT(ISERROR(SEARCH("fnd",AI173)))</formula>
    </cfRule>
  </conditionalFormatting>
  <conditionalFormatting sqref="AI181">
    <cfRule type="containsText" dxfId="2794" priority="73" operator="containsText" text="Str">
      <formula>NOT(ISERROR(SEARCH("Str",AI181)))</formula>
    </cfRule>
    <cfRule type="containsText" dxfId="2793" priority="74" operator="containsText" text="Ere">
      <formula>NOT(ISERROR(SEARCH("Ere",AI181)))</formula>
    </cfRule>
    <cfRule type="containsText" dxfId="2792" priority="75" operator="containsText" text="Ear">
      <formula>NOT(ISERROR(SEARCH("Ear",AI181)))</formula>
    </cfRule>
    <cfRule type="containsText" dxfId="2791" priority="76" operator="containsText" text="fnd">
      <formula>NOT(ISERROR(SEARCH("fnd",AI181)))</formula>
    </cfRule>
  </conditionalFormatting>
  <conditionalFormatting sqref="AI30:AJ30">
    <cfRule type="containsText" dxfId="2790" priority="1691" operator="containsText" text="Str">
      <formula>NOT(ISERROR(SEARCH("Str",AI30)))</formula>
    </cfRule>
    <cfRule type="containsText" dxfId="2789" priority="1692" operator="containsText" text="Ere">
      <formula>NOT(ISERROR(SEARCH("Ere",AI30)))</formula>
    </cfRule>
    <cfRule type="containsText" dxfId="2788" priority="1693" operator="containsText" text="Ear">
      <formula>NOT(ISERROR(SEARCH("Ear",AI30)))</formula>
    </cfRule>
    <cfRule type="containsText" dxfId="2787" priority="1694" operator="containsText" text="fnd">
      <formula>NOT(ISERROR(SEARCH("fnd",AI30)))</formula>
    </cfRule>
  </conditionalFormatting>
  <conditionalFormatting sqref="AI38:AJ38">
    <cfRule type="containsText" dxfId="2786" priority="847" operator="containsText" text="Str">
      <formula>NOT(ISERROR(SEARCH("Str",AI38)))</formula>
    </cfRule>
    <cfRule type="containsText" dxfId="2785" priority="848" operator="containsText" text="Ere">
      <formula>NOT(ISERROR(SEARCH("Ere",AI38)))</formula>
    </cfRule>
    <cfRule type="containsText" dxfId="2784" priority="849" operator="containsText" text="Ear">
      <formula>NOT(ISERROR(SEARCH("Ear",AI38)))</formula>
    </cfRule>
    <cfRule type="containsText" dxfId="2783" priority="850" operator="containsText" text="fnd">
      <formula>NOT(ISERROR(SEARCH("fnd",AI38)))</formula>
    </cfRule>
  </conditionalFormatting>
  <conditionalFormatting sqref="AI46:AJ46">
    <cfRule type="containsText" dxfId="2782" priority="2291" operator="containsText" text="Str">
      <formula>NOT(ISERROR(SEARCH("Str",AI46)))</formula>
    </cfRule>
    <cfRule type="containsText" dxfId="2781" priority="2292" operator="containsText" text="Ere">
      <formula>NOT(ISERROR(SEARCH("Ere",AI46)))</formula>
    </cfRule>
    <cfRule type="containsText" dxfId="2780" priority="2293" operator="containsText" text="Ear">
      <formula>NOT(ISERROR(SEARCH("Ear",AI46)))</formula>
    </cfRule>
    <cfRule type="containsText" dxfId="2779" priority="2294" operator="containsText" text="fnd">
      <formula>NOT(ISERROR(SEARCH("fnd",AI46)))</formula>
    </cfRule>
  </conditionalFormatting>
  <conditionalFormatting sqref="AI62:AJ62">
    <cfRule type="containsText" dxfId="2778" priority="1951" operator="containsText" text="Str">
      <formula>NOT(ISERROR(SEARCH("Str",AI62)))</formula>
    </cfRule>
    <cfRule type="containsText" dxfId="2777" priority="1952" operator="containsText" text="Ere">
      <formula>NOT(ISERROR(SEARCH("Ere",AI62)))</formula>
    </cfRule>
    <cfRule type="containsText" dxfId="2776" priority="1953" operator="containsText" text="Ear">
      <formula>NOT(ISERROR(SEARCH("Ear",AI62)))</formula>
    </cfRule>
    <cfRule type="containsText" dxfId="2775" priority="1954" operator="containsText" text="fnd">
      <formula>NOT(ISERROR(SEARCH("fnd",AI62)))</formula>
    </cfRule>
  </conditionalFormatting>
  <conditionalFormatting sqref="AI70:AJ70">
    <cfRule type="containsText" dxfId="2774" priority="1875" operator="containsText" text="Str">
      <formula>NOT(ISERROR(SEARCH("Str",AI70)))</formula>
    </cfRule>
    <cfRule type="containsText" dxfId="2773" priority="1876" operator="containsText" text="Ere">
      <formula>NOT(ISERROR(SEARCH("Ere",AI70)))</formula>
    </cfRule>
    <cfRule type="containsText" dxfId="2772" priority="1877" operator="containsText" text="Ear">
      <formula>NOT(ISERROR(SEARCH("Ear",AI70)))</formula>
    </cfRule>
    <cfRule type="containsText" dxfId="2771" priority="1878" operator="containsText" text="fnd">
      <formula>NOT(ISERROR(SEARCH("fnd",AI70)))</formula>
    </cfRule>
  </conditionalFormatting>
  <conditionalFormatting sqref="AI86:AJ86">
    <cfRule type="containsText" dxfId="2770" priority="2223" operator="containsText" text="Str">
      <formula>NOT(ISERROR(SEARCH("Str",AI86)))</formula>
    </cfRule>
    <cfRule type="containsText" dxfId="2769" priority="2224" operator="containsText" text="Ere">
      <formula>NOT(ISERROR(SEARCH("Ere",AI86)))</formula>
    </cfRule>
    <cfRule type="containsText" dxfId="2768" priority="2225" operator="containsText" text="Ear">
      <formula>NOT(ISERROR(SEARCH("Ear",AI86)))</formula>
    </cfRule>
    <cfRule type="containsText" dxfId="2767" priority="2226" operator="containsText" text="fnd">
      <formula>NOT(ISERROR(SEARCH("fnd",AI86)))</formula>
    </cfRule>
  </conditionalFormatting>
  <conditionalFormatting sqref="AI102:AJ102">
    <cfRule type="containsText" dxfId="2766" priority="2219" operator="containsText" text="Str">
      <formula>NOT(ISERROR(SEARCH("Str",AI102)))</formula>
    </cfRule>
    <cfRule type="containsText" dxfId="2765" priority="2220" operator="containsText" text="Ere">
      <formula>NOT(ISERROR(SEARCH("Ere",AI102)))</formula>
    </cfRule>
    <cfRule type="containsText" dxfId="2764" priority="2221" operator="containsText" text="Ear">
      <formula>NOT(ISERROR(SEARCH("Ear",AI102)))</formula>
    </cfRule>
    <cfRule type="containsText" dxfId="2763" priority="2222" operator="containsText" text="fnd">
      <formula>NOT(ISERROR(SEARCH("fnd",AI102)))</formula>
    </cfRule>
  </conditionalFormatting>
  <conditionalFormatting sqref="AI110:AJ110">
    <cfRule type="containsText" dxfId="2762" priority="1643" operator="containsText" text="Str">
      <formula>NOT(ISERROR(SEARCH("Str",AI110)))</formula>
    </cfRule>
    <cfRule type="containsText" dxfId="2761" priority="1644" operator="containsText" text="Ere">
      <formula>NOT(ISERROR(SEARCH("Ere",AI110)))</formula>
    </cfRule>
    <cfRule type="containsText" dxfId="2760" priority="1645" operator="containsText" text="Ear">
      <formula>NOT(ISERROR(SEARCH("Ear",AI110)))</formula>
    </cfRule>
    <cfRule type="containsText" dxfId="2759" priority="1646" operator="containsText" text="fnd">
      <formula>NOT(ISERROR(SEARCH("fnd",AI110)))</formula>
    </cfRule>
  </conditionalFormatting>
  <conditionalFormatting sqref="AI118:AJ118">
    <cfRule type="containsText" dxfId="2758" priority="583" operator="containsText" text="Str">
      <formula>NOT(ISERROR(SEARCH("Str",AI118)))</formula>
    </cfRule>
    <cfRule type="containsText" dxfId="2757" priority="584" operator="containsText" text="Ere">
      <formula>NOT(ISERROR(SEARCH("Ere",AI118)))</formula>
    </cfRule>
    <cfRule type="containsText" dxfId="2756" priority="585" operator="containsText" text="Ear">
      <formula>NOT(ISERROR(SEARCH("Ear",AI118)))</formula>
    </cfRule>
    <cfRule type="containsText" dxfId="2755" priority="586" operator="containsText" text="fnd">
      <formula>NOT(ISERROR(SEARCH("fnd",AI118)))</formula>
    </cfRule>
  </conditionalFormatting>
  <conditionalFormatting sqref="AI126:AJ126">
    <cfRule type="containsText" dxfId="2754" priority="1355" operator="containsText" text="Str">
      <formula>NOT(ISERROR(SEARCH("Str",AI126)))</formula>
    </cfRule>
    <cfRule type="containsText" dxfId="2753" priority="1356" operator="containsText" text="Ere">
      <formula>NOT(ISERROR(SEARCH("Ere",AI126)))</formula>
    </cfRule>
    <cfRule type="containsText" dxfId="2752" priority="1357" operator="containsText" text="Ear">
      <formula>NOT(ISERROR(SEARCH("Ear",AI126)))</formula>
    </cfRule>
    <cfRule type="containsText" dxfId="2751" priority="1358" operator="containsText" text="fnd">
      <formula>NOT(ISERROR(SEARCH("fnd",AI126)))</formula>
    </cfRule>
  </conditionalFormatting>
  <conditionalFormatting sqref="AI134:AJ134">
    <cfRule type="containsText" dxfId="2750" priority="1303" operator="containsText" text="Str">
      <formula>NOT(ISERROR(SEARCH("Str",AI134)))</formula>
    </cfRule>
    <cfRule type="containsText" dxfId="2749" priority="1304" operator="containsText" text="Ere">
      <formula>NOT(ISERROR(SEARCH("Ere",AI134)))</formula>
    </cfRule>
    <cfRule type="containsText" dxfId="2748" priority="1305" operator="containsText" text="Ear">
      <formula>NOT(ISERROR(SEARCH("Ear",AI134)))</formula>
    </cfRule>
    <cfRule type="containsText" dxfId="2747" priority="1306" operator="containsText" text="fnd">
      <formula>NOT(ISERROR(SEARCH("fnd",AI134)))</formula>
    </cfRule>
  </conditionalFormatting>
  <conditionalFormatting sqref="AI142:AJ142">
    <cfRule type="containsText" dxfId="2746" priority="1199" operator="containsText" text="Str">
      <formula>NOT(ISERROR(SEARCH("Str",AI142)))</formula>
    </cfRule>
    <cfRule type="containsText" dxfId="2745" priority="1200" operator="containsText" text="Ere">
      <formula>NOT(ISERROR(SEARCH("Ere",AI142)))</formula>
    </cfRule>
    <cfRule type="containsText" dxfId="2744" priority="1201" operator="containsText" text="Ear">
      <formula>NOT(ISERROR(SEARCH("Ear",AI142)))</formula>
    </cfRule>
    <cfRule type="containsText" dxfId="2743" priority="1202" operator="containsText" text="fnd">
      <formula>NOT(ISERROR(SEARCH("fnd",AI142)))</formula>
    </cfRule>
  </conditionalFormatting>
  <conditionalFormatting sqref="AI150:AJ150">
    <cfRule type="containsText" dxfId="2742" priority="305" operator="containsText" text="Str">
      <formula>NOT(ISERROR(SEARCH("Str",AI150)))</formula>
    </cfRule>
    <cfRule type="containsText" dxfId="2741" priority="306" operator="containsText" text="Ere">
      <formula>NOT(ISERROR(SEARCH("Ere",AI150)))</formula>
    </cfRule>
    <cfRule type="containsText" dxfId="2740" priority="307" operator="containsText" text="Ear">
      <formula>NOT(ISERROR(SEARCH("Ear",AI150)))</formula>
    </cfRule>
    <cfRule type="containsText" dxfId="2739" priority="308" operator="containsText" text="fnd">
      <formula>NOT(ISERROR(SEARCH("fnd",AI150)))</formula>
    </cfRule>
  </conditionalFormatting>
  <conditionalFormatting sqref="AI158:AJ158">
    <cfRule type="containsText" dxfId="2738" priority="1067" operator="containsText" text="Str">
      <formula>NOT(ISERROR(SEARCH("Str",AI158)))</formula>
    </cfRule>
    <cfRule type="containsText" dxfId="2737" priority="1068" operator="containsText" text="Ere">
      <formula>NOT(ISERROR(SEARCH("Ere",AI158)))</formula>
    </cfRule>
    <cfRule type="containsText" dxfId="2736" priority="1069" operator="containsText" text="Ear">
      <formula>NOT(ISERROR(SEARCH("Ear",AI158)))</formula>
    </cfRule>
    <cfRule type="containsText" dxfId="2735" priority="1070" operator="containsText" text="fnd">
      <formula>NOT(ISERROR(SEARCH("fnd",AI158)))</formula>
    </cfRule>
  </conditionalFormatting>
  <conditionalFormatting sqref="AI166:AJ166">
    <cfRule type="containsText" dxfId="2734" priority="493" operator="containsText" text="Str">
      <formula>NOT(ISERROR(SEARCH("Str",AI166)))</formula>
    </cfRule>
    <cfRule type="containsText" dxfId="2733" priority="494" operator="containsText" text="Ere">
      <formula>NOT(ISERROR(SEARCH("Ere",AI166)))</formula>
    </cfRule>
    <cfRule type="containsText" dxfId="2732" priority="495" operator="containsText" text="Ear">
      <formula>NOT(ISERROR(SEARCH("Ear",AI166)))</formula>
    </cfRule>
    <cfRule type="containsText" dxfId="2731" priority="496" operator="containsText" text="fnd">
      <formula>NOT(ISERROR(SEARCH("fnd",AI166)))</formula>
    </cfRule>
  </conditionalFormatting>
  <conditionalFormatting sqref="AI174:AJ174">
    <cfRule type="containsText" dxfId="2730" priority="963" operator="containsText" text="Str">
      <formula>NOT(ISERROR(SEARCH("Str",AI174)))</formula>
    </cfRule>
    <cfRule type="containsText" dxfId="2729" priority="964" operator="containsText" text="Ere">
      <formula>NOT(ISERROR(SEARCH("Ere",AI174)))</formula>
    </cfRule>
    <cfRule type="containsText" dxfId="2728" priority="965" operator="containsText" text="Ear">
      <formula>NOT(ISERROR(SEARCH("Ear",AI174)))</formula>
    </cfRule>
    <cfRule type="containsText" dxfId="2727" priority="966" operator="containsText" text="fnd">
      <formula>NOT(ISERROR(SEARCH("fnd",AI174)))</formula>
    </cfRule>
  </conditionalFormatting>
  <conditionalFormatting sqref="AI182:AJ182">
    <cfRule type="containsText" dxfId="2726" priority="77" operator="containsText" text="Str">
      <formula>NOT(ISERROR(SEARCH("Str",AI182)))</formula>
    </cfRule>
    <cfRule type="containsText" dxfId="2725" priority="78" operator="containsText" text="Ere">
      <formula>NOT(ISERROR(SEARCH("Ere",AI182)))</formula>
    </cfRule>
    <cfRule type="containsText" dxfId="2724" priority="79" operator="containsText" text="Ear">
      <formula>NOT(ISERROR(SEARCH("Ear",AI182)))</formula>
    </cfRule>
    <cfRule type="containsText" dxfId="2723" priority="80" operator="containsText" text="fnd">
      <formula>NOT(ISERROR(SEARCH("fnd",AI182)))</formula>
    </cfRule>
  </conditionalFormatting>
  <conditionalFormatting sqref="AJ6">
    <cfRule type="containsText" dxfId="2722" priority="169" operator="containsText" text="Str">
      <formula>NOT(ISERROR(SEARCH("Str",AJ6)))</formula>
    </cfRule>
    <cfRule type="containsText" dxfId="2721" priority="170" operator="containsText" text="Ere">
      <formula>NOT(ISERROR(SEARCH("Ere",AJ6)))</formula>
    </cfRule>
    <cfRule type="containsText" dxfId="2720" priority="171" operator="containsText" text="Ear">
      <formula>NOT(ISERROR(SEARCH("Ear",AJ6)))</formula>
    </cfRule>
    <cfRule type="containsText" dxfId="2719" priority="172" operator="containsText" text="fnd">
      <formula>NOT(ISERROR(SEARCH("fnd",AJ6)))</formula>
    </cfRule>
  </conditionalFormatting>
  <conditionalFormatting sqref="AJ14">
    <cfRule type="containsText" dxfId="2718" priority="1623" operator="containsText" text="Str">
      <formula>NOT(ISERROR(SEARCH("Str",AJ14)))</formula>
    </cfRule>
    <cfRule type="containsText" dxfId="2717" priority="1624" operator="containsText" text="Ere">
      <formula>NOT(ISERROR(SEARCH("Ere",AJ14)))</formula>
    </cfRule>
    <cfRule type="containsText" dxfId="2716" priority="1625" operator="containsText" text="Ear">
      <formula>NOT(ISERROR(SEARCH("Ear",AJ14)))</formula>
    </cfRule>
    <cfRule type="containsText" dxfId="2715" priority="1626" operator="containsText" text="fnd">
      <formula>NOT(ISERROR(SEARCH("fnd",AJ14)))</formula>
    </cfRule>
  </conditionalFormatting>
  <conditionalFormatting sqref="AJ22">
    <cfRule type="containsText" dxfId="2714" priority="919" operator="containsText" text="Str">
      <formula>NOT(ISERROR(SEARCH("Str",AJ22)))</formula>
    </cfRule>
    <cfRule type="containsText" dxfId="2713" priority="920" operator="containsText" text="Ere">
      <formula>NOT(ISERROR(SEARCH("Ere",AJ22)))</formula>
    </cfRule>
    <cfRule type="containsText" dxfId="2712" priority="921" operator="containsText" text="Ear">
      <formula>NOT(ISERROR(SEARCH("Ear",AJ22)))</formula>
    </cfRule>
    <cfRule type="containsText" dxfId="2711" priority="922" operator="containsText" text="fnd">
      <formula>NOT(ISERROR(SEARCH("fnd",AJ22)))</formula>
    </cfRule>
  </conditionalFormatting>
  <conditionalFormatting sqref="AJ78">
    <cfRule type="containsText" dxfId="2710" priority="265" operator="containsText" text="Str">
      <formula>NOT(ISERROR(SEARCH("Str",AJ78)))</formula>
    </cfRule>
    <cfRule type="containsText" dxfId="2709" priority="266" operator="containsText" text="Ere">
      <formula>NOT(ISERROR(SEARCH("Ere",AJ78)))</formula>
    </cfRule>
    <cfRule type="containsText" dxfId="2708" priority="267" operator="containsText" text="Ear">
      <formula>NOT(ISERROR(SEARCH("Ear",AJ78)))</formula>
    </cfRule>
    <cfRule type="containsText" dxfId="2707" priority="268" operator="containsText" text="fnd">
      <formula>NOT(ISERROR(SEARCH("fnd",AJ78)))</formula>
    </cfRule>
  </conditionalFormatting>
  <conditionalFormatting sqref="AL5:AL6">
    <cfRule type="containsText" dxfId="2706" priority="165" operator="containsText" text="Str">
      <formula>NOT(ISERROR(SEARCH("Str",AL5)))</formula>
    </cfRule>
    <cfRule type="containsText" dxfId="2705" priority="166" operator="containsText" text="Ere">
      <formula>NOT(ISERROR(SEARCH("Ere",AL5)))</formula>
    </cfRule>
    <cfRule type="containsText" dxfId="2704" priority="167" operator="containsText" text="Ear">
      <formula>NOT(ISERROR(SEARCH("Ear",AL5)))</formula>
    </cfRule>
    <cfRule type="containsText" dxfId="2703" priority="168" operator="containsText" text="fnd">
      <formula>NOT(ISERROR(SEARCH("fnd",AL5)))</formula>
    </cfRule>
  </conditionalFormatting>
  <conditionalFormatting sqref="AL13:AL14">
    <cfRule type="containsText" dxfId="2702" priority="1599" operator="containsText" text="Str">
      <formula>NOT(ISERROR(SEARCH("Str",AL13)))</formula>
    </cfRule>
    <cfRule type="containsText" dxfId="2701" priority="1600" operator="containsText" text="Ere">
      <formula>NOT(ISERROR(SEARCH("Ere",AL13)))</formula>
    </cfRule>
    <cfRule type="containsText" dxfId="2700" priority="1601" operator="containsText" text="Ear">
      <formula>NOT(ISERROR(SEARCH("Ear",AL13)))</formula>
    </cfRule>
    <cfRule type="containsText" dxfId="2699" priority="1602" operator="containsText" text="fnd">
      <formula>NOT(ISERROR(SEARCH("fnd",AL13)))</formula>
    </cfRule>
  </conditionalFormatting>
  <conditionalFormatting sqref="AL21">
    <cfRule type="containsText" dxfId="2698" priority="2303" operator="containsText" text="Str">
      <formula>NOT(ISERROR(SEARCH("Str",AL21)))</formula>
    </cfRule>
    <cfRule type="containsText" dxfId="2697" priority="2304" operator="containsText" text="Ere">
      <formula>NOT(ISERROR(SEARCH("Ere",AL21)))</formula>
    </cfRule>
    <cfRule type="containsText" dxfId="2696" priority="2305" operator="containsText" text="Ear">
      <formula>NOT(ISERROR(SEARCH("Ear",AL21)))</formula>
    </cfRule>
    <cfRule type="containsText" dxfId="2695" priority="2306" operator="containsText" text="fnd">
      <formula>NOT(ISERROR(SEARCH("fnd",AL21)))</formula>
    </cfRule>
  </conditionalFormatting>
  <conditionalFormatting sqref="AL29">
    <cfRule type="containsText" dxfId="2694" priority="895" operator="containsText" text="Str">
      <formula>NOT(ISERROR(SEARCH("Str",AL29)))</formula>
    </cfRule>
    <cfRule type="containsText" dxfId="2693" priority="896" operator="containsText" text="Ere">
      <formula>NOT(ISERROR(SEARCH("Ere",AL29)))</formula>
    </cfRule>
    <cfRule type="containsText" dxfId="2692" priority="897" operator="containsText" text="Ear">
      <formula>NOT(ISERROR(SEARCH("Ear",AL29)))</formula>
    </cfRule>
    <cfRule type="containsText" dxfId="2691" priority="898" operator="containsText" text="fnd">
      <formula>NOT(ISERROR(SEARCH("fnd",AL29)))</formula>
    </cfRule>
  </conditionalFormatting>
  <conditionalFormatting sqref="AL37">
    <cfRule type="containsText" dxfId="2690" priority="639" operator="containsText" text="Str">
      <formula>NOT(ISERROR(SEARCH("Str",AL37)))</formula>
    </cfRule>
    <cfRule type="containsText" dxfId="2689" priority="640" operator="containsText" text="Ere">
      <formula>NOT(ISERROR(SEARCH("Ere",AL37)))</formula>
    </cfRule>
    <cfRule type="containsText" dxfId="2688" priority="641" operator="containsText" text="Ear">
      <formula>NOT(ISERROR(SEARCH("Ear",AL37)))</formula>
    </cfRule>
    <cfRule type="containsText" dxfId="2687" priority="642" operator="containsText" text="fnd">
      <formula>NOT(ISERROR(SEARCH("fnd",AL37)))</formula>
    </cfRule>
  </conditionalFormatting>
  <conditionalFormatting sqref="AL61:AL62">
    <cfRule type="containsText" dxfId="2686" priority="1959" operator="containsText" text="Str">
      <formula>NOT(ISERROR(SEARCH("Str",AL61)))</formula>
    </cfRule>
    <cfRule type="containsText" dxfId="2685" priority="1960" operator="containsText" text="Ere">
      <formula>NOT(ISERROR(SEARCH("Ere",AL61)))</formula>
    </cfRule>
    <cfRule type="containsText" dxfId="2684" priority="1961" operator="containsText" text="Ear">
      <formula>NOT(ISERROR(SEARCH("Ear",AL61)))</formula>
    </cfRule>
    <cfRule type="containsText" dxfId="2683" priority="1962" operator="containsText" text="fnd">
      <formula>NOT(ISERROR(SEARCH("fnd",AL61)))</formula>
    </cfRule>
  </conditionalFormatting>
  <conditionalFormatting sqref="AL69">
    <cfRule type="containsText" dxfId="2682" priority="2127" operator="containsText" text="Str">
      <formula>NOT(ISERROR(SEARCH("Str",AL69)))</formula>
    </cfRule>
    <cfRule type="containsText" dxfId="2681" priority="2128" operator="containsText" text="Ere">
      <formula>NOT(ISERROR(SEARCH("Ere",AL69)))</formula>
    </cfRule>
    <cfRule type="containsText" dxfId="2680" priority="2129" operator="containsText" text="Ear">
      <formula>NOT(ISERROR(SEARCH("Ear",AL69)))</formula>
    </cfRule>
    <cfRule type="containsText" dxfId="2679" priority="2130" operator="containsText" text="fnd">
      <formula>NOT(ISERROR(SEARCH("fnd",AL69)))</formula>
    </cfRule>
  </conditionalFormatting>
  <conditionalFormatting sqref="AL77">
    <cfRule type="containsText" dxfId="2678" priority="783" operator="containsText" text="Str">
      <formula>NOT(ISERROR(SEARCH("Str",AL77)))</formula>
    </cfRule>
    <cfRule type="containsText" dxfId="2677" priority="784" operator="containsText" text="Ere">
      <formula>NOT(ISERROR(SEARCH("Ere",AL77)))</formula>
    </cfRule>
    <cfRule type="containsText" dxfId="2676" priority="785" operator="containsText" text="Ear">
      <formula>NOT(ISERROR(SEARCH("Ear",AL77)))</formula>
    </cfRule>
    <cfRule type="containsText" dxfId="2675" priority="786" operator="containsText" text="fnd">
      <formula>NOT(ISERROR(SEARCH("fnd",AL77)))</formula>
    </cfRule>
  </conditionalFormatting>
  <conditionalFormatting sqref="AL85">
    <cfRule type="containsText" dxfId="2674" priority="751" operator="containsText" text="Str">
      <formula>NOT(ISERROR(SEARCH("Str",AL85)))</formula>
    </cfRule>
    <cfRule type="containsText" dxfId="2673" priority="752" operator="containsText" text="Ere">
      <formula>NOT(ISERROR(SEARCH("Ere",AL85)))</formula>
    </cfRule>
    <cfRule type="containsText" dxfId="2672" priority="753" operator="containsText" text="Ear">
      <formula>NOT(ISERROR(SEARCH("Ear",AL85)))</formula>
    </cfRule>
    <cfRule type="containsText" dxfId="2671" priority="754" operator="containsText" text="fnd">
      <formula>NOT(ISERROR(SEARCH("fnd",AL85)))</formula>
    </cfRule>
  </conditionalFormatting>
  <conditionalFormatting sqref="AL93:AL94">
    <cfRule type="containsText" dxfId="2670" priority="1591" operator="containsText" text="Str">
      <formula>NOT(ISERROR(SEARCH("Str",AL93)))</formula>
    </cfRule>
    <cfRule type="containsText" dxfId="2669" priority="1592" operator="containsText" text="Ere">
      <formula>NOT(ISERROR(SEARCH("Ere",AL93)))</formula>
    </cfRule>
    <cfRule type="containsText" dxfId="2668" priority="1593" operator="containsText" text="Ear">
      <formula>NOT(ISERROR(SEARCH("Ear",AL93)))</formula>
    </cfRule>
    <cfRule type="containsText" dxfId="2667" priority="1594" operator="containsText" text="fnd">
      <formula>NOT(ISERROR(SEARCH("fnd",AL93)))</formula>
    </cfRule>
  </conditionalFormatting>
  <conditionalFormatting sqref="AL101">
    <cfRule type="containsText" dxfId="2666" priority="1811" operator="containsText" text="Str">
      <formula>NOT(ISERROR(SEARCH("Str",AL101)))</formula>
    </cfRule>
    <cfRule type="containsText" dxfId="2665" priority="1812" operator="containsText" text="Ere">
      <formula>NOT(ISERROR(SEARCH("Ere",AL101)))</formula>
    </cfRule>
    <cfRule type="containsText" dxfId="2664" priority="1813" operator="containsText" text="Ear">
      <formula>NOT(ISERROR(SEARCH("Ear",AL101)))</formula>
    </cfRule>
    <cfRule type="containsText" dxfId="2663" priority="1814" operator="containsText" text="fnd">
      <formula>NOT(ISERROR(SEARCH("fnd",AL101)))</formula>
    </cfRule>
  </conditionalFormatting>
  <conditionalFormatting sqref="AL109">
    <cfRule type="containsText" dxfId="2662" priority="723" operator="containsText" text="Str">
      <formula>NOT(ISERROR(SEARCH("Str",AL109)))</formula>
    </cfRule>
    <cfRule type="containsText" dxfId="2661" priority="724" operator="containsText" text="Ere">
      <formula>NOT(ISERROR(SEARCH("Ere",AL109)))</formula>
    </cfRule>
    <cfRule type="containsText" dxfId="2660" priority="725" operator="containsText" text="Ear">
      <formula>NOT(ISERROR(SEARCH("Ear",AL109)))</formula>
    </cfRule>
    <cfRule type="containsText" dxfId="2659" priority="726" operator="containsText" text="fnd">
      <formula>NOT(ISERROR(SEARCH("fnd",AL109)))</formula>
    </cfRule>
  </conditionalFormatting>
  <conditionalFormatting sqref="AL117">
    <cfRule type="containsText" dxfId="2658" priority="513" operator="containsText" text="Str">
      <formula>NOT(ISERROR(SEARCH("Str",AL117)))</formula>
    </cfRule>
    <cfRule type="containsText" dxfId="2657" priority="514" operator="containsText" text="Ere">
      <formula>NOT(ISERROR(SEARCH("Ere",AL117)))</formula>
    </cfRule>
    <cfRule type="containsText" dxfId="2656" priority="515" operator="containsText" text="Ear">
      <formula>NOT(ISERROR(SEARCH("Ear",AL117)))</formula>
    </cfRule>
    <cfRule type="containsText" dxfId="2655" priority="516" operator="containsText" text="fnd">
      <formula>NOT(ISERROR(SEARCH("fnd",AL117)))</formula>
    </cfRule>
  </conditionalFormatting>
  <conditionalFormatting sqref="AL122 AL130 AL138 AL154 AL162 AL170 AL178">
    <cfRule type="containsText" dxfId="2654" priority="1975" operator="containsText" text="Str">
      <formula>NOT(ISERROR(SEARCH("Str",AL122)))</formula>
    </cfRule>
    <cfRule type="containsText" dxfId="2653" priority="1976" operator="containsText" text="Ere">
      <formula>NOT(ISERROR(SEARCH("Ere",AL122)))</formula>
    </cfRule>
    <cfRule type="containsText" dxfId="2652" priority="1977" operator="containsText" text="Ear">
      <formula>NOT(ISERROR(SEARCH("Ear",AL122)))</formula>
    </cfRule>
    <cfRule type="containsText" dxfId="2651" priority="1978" operator="containsText" text="fnd">
      <formula>NOT(ISERROR(SEARCH("fnd",AL122)))</formula>
    </cfRule>
  </conditionalFormatting>
  <conditionalFormatting sqref="AL133">
    <cfRule type="containsText" dxfId="2650" priority="1307" operator="containsText" text="Str">
      <formula>NOT(ISERROR(SEARCH("Str",AL133)))</formula>
    </cfRule>
    <cfRule type="containsText" dxfId="2649" priority="1308" operator="containsText" text="Ere">
      <formula>NOT(ISERROR(SEARCH("Ere",AL133)))</formula>
    </cfRule>
    <cfRule type="containsText" dxfId="2648" priority="1309" operator="containsText" text="Ear">
      <formula>NOT(ISERROR(SEARCH("Ear",AL133)))</formula>
    </cfRule>
    <cfRule type="containsText" dxfId="2647" priority="1310" operator="containsText" text="fnd">
      <formula>NOT(ISERROR(SEARCH("fnd",AL133)))</formula>
    </cfRule>
  </conditionalFormatting>
  <conditionalFormatting sqref="AL141">
    <cfRule type="containsText" dxfId="2646" priority="1203" operator="containsText" text="Str">
      <formula>NOT(ISERROR(SEARCH("Str",AL141)))</formula>
    </cfRule>
    <cfRule type="containsText" dxfId="2645" priority="1204" operator="containsText" text="Ere">
      <formula>NOT(ISERROR(SEARCH("Ere",AL141)))</formula>
    </cfRule>
    <cfRule type="containsText" dxfId="2644" priority="1205" operator="containsText" text="Ear">
      <formula>NOT(ISERROR(SEARCH("Ear",AL141)))</formula>
    </cfRule>
    <cfRule type="containsText" dxfId="2643" priority="1206" operator="containsText" text="fnd">
      <formula>NOT(ISERROR(SEARCH("fnd",AL141)))</formula>
    </cfRule>
  </conditionalFormatting>
  <conditionalFormatting sqref="AL149">
    <cfRule type="containsText" dxfId="2642" priority="1151" operator="containsText" text="Str">
      <formula>NOT(ISERROR(SEARCH("Str",AL149)))</formula>
    </cfRule>
    <cfRule type="containsText" dxfId="2641" priority="1152" operator="containsText" text="Ere">
      <formula>NOT(ISERROR(SEARCH("Ere",AL149)))</formula>
    </cfRule>
    <cfRule type="containsText" dxfId="2640" priority="1153" operator="containsText" text="Ear">
      <formula>NOT(ISERROR(SEARCH("Ear",AL149)))</formula>
    </cfRule>
    <cfRule type="containsText" dxfId="2639" priority="1154" operator="containsText" text="fnd">
      <formula>NOT(ISERROR(SEARCH("fnd",AL149)))</formula>
    </cfRule>
  </conditionalFormatting>
  <conditionalFormatting sqref="AL157">
    <cfRule type="containsText" dxfId="2638" priority="1071" operator="containsText" text="Str">
      <formula>NOT(ISERROR(SEARCH("Str",AL157)))</formula>
    </cfRule>
    <cfRule type="containsText" dxfId="2637" priority="1072" operator="containsText" text="Ere">
      <formula>NOT(ISERROR(SEARCH("Ere",AL157)))</formula>
    </cfRule>
    <cfRule type="containsText" dxfId="2636" priority="1073" operator="containsText" text="Ear">
      <formula>NOT(ISERROR(SEARCH("Ear",AL157)))</formula>
    </cfRule>
    <cfRule type="containsText" dxfId="2635" priority="1074" operator="containsText" text="fnd">
      <formula>NOT(ISERROR(SEARCH("fnd",AL157)))</formula>
    </cfRule>
  </conditionalFormatting>
  <conditionalFormatting sqref="AL165">
    <cfRule type="containsText" dxfId="2634" priority="1015" operator="containsText" text="Str">
      <formula>NOT(ISERROR(SEARCH("Str",AL165)))</formula>
    </cfRule>
    <cfRule type="containsText" dxfId="2633" priority="1016" operator="containsText" text="Ere">
      <formula>NOT(ISERROR(SEARCH("Ere",AL165)))</formula>
    </cfRule>
    <cfRule type="containsText" dxfId="2632" priority="1017" operator="containsText" text="Ear">
      <formula>NOT(ISERROR(SEARCH("Ear",AL165)))</formula>
    </cfRule>
    <cfRule type="containsText" dxfId="2631" priority="1018" operator="containsText" text="fnd">
      <formula>NOT(ISERROR(SEARCH("fnd",AL165)))</formula>
    </cfRule>
  </conditionalFormatting>
  <conditionalFormatting sqref="AL173">
    <cfRule type="containsText" dxfId="2630" priority="967" operator="containsText" text="Str">
      <formula>NOT(ISERROR(SEARCH("Str",AL173)))</formula>
    </cfRule>
    <cfRule type="containsText" dxfId="2629" priority="968" operator="containsText" text="Ere">
      <formula>NOT(ISERROR(SEARCH("Ere",AL173)))</formula>
    </cfRule>
    <cfRule type="containsText" dxfId="2628" priority="969" operator="containsText" text="Ear">
      <formula>NOT(ISERROR(SEARCH("Ear",AL173)))</formula>
    </cfRule>
    <cfRule type="containsText" dxfId="2627" priority="970" operator="containsText" text="fnd">
      <formula>NOT(ISERROR(SEARCH("fnd",AL173)))</formula>
    </cfRule>
  </conditionalFormatting>
  <conditionalFormatting sqref="AL181">
    <cfRule type="containsText" dxfId="2626" priority="65" operator="containsText" text="Str">
      <formula>NOT(ISERROR(SEARCH("Str",AL181)))</formula>
    </cfRule>
    <cfRule type="containsText" dxfId="2625" priority="66" operator="containsText" text="Ere">
      <formula>NOT(ISERROR(SEARCH("Ere",AL181)))</formula>
    </cfRule>
    <cfRule type="containsText" dxfId="2624" priority="67" operator="containsText" text="Ear">
      <formula>NOT(ISERROR(SEARCH("Ear",AL181)))</formula>
    </cfRule>
    <cfRule type="containsText" dxfId="2623" priority="68" operator="containsText" text="fnd">
      <formula>NOT(ISERROR(SEARCH("fnd",AL181)))</formula>
    </cfRule>
  </conditionalFormatting>
  <conditionalFormatting sqref="AL30:AM30">
    <cfRule type="containsText" dxfId="2622" priority="899" operator="containsText" text="Str">
      <formula>NOT(ISERROR(SEARCH("Str",AL30)))</formula>
    </cfRule>
    <cfRule type="containsText" dxfId="2621" priority="900" operator="containsText" text="Ere">
      <formula>NOT(ISERROR(SEARCH("Ere",AL30)))</formula>
    </cfRule>
    <cfRule type="containsText" dxfId="2620" priority="901" operator="containsText" text="Ear">
      <formula>NOT(ISERROR(SEARCH("Ear",AL30)))</formula>
    </cfRule>
    <cfRule type="containsText" dxfId="2619" priority="902" operator="containsText" text="fnd">
      <formula>NOT(ISERROR(SEARCH("fnd",AL30)))</formula>
    </cfRule>
  </conditionalFormatting>
  <conditionalFormatting sqref="AL38:AM38">
    <cfRule type="containsText" dxfId="2618" priority="643" operator="containsText" text="Str">
      <formula>NOT(ISERROR(SEARCH("Str",AL38)))</formula>
    </cfRule>
    <cfRule type="containsText" dxfId="2617" priority="644" operator="containsText" text="Ere">
      <formula>NOT(ISERROR(SEARCH("Ere",AL38)))</formula>
    </cfRule>
    <cfRule type="containsText" dxfId="2616" priority="645" operator="containsText" text="Ear">
      <formula>NOT(ISERROR(SEARCH("Ear",AL38)))</formula>
    </cfRule>
    <cfRule type="containsText" dxfId="2615" priority="646" operator="containsText" text="fnd">
      <formula>NOT(ISERROR(SEARCH("fnd",AL38)))</formula>
    </cfRule>
  </conditionalFormatting>
  <conditionalFormatting sqref="AL53:AM54">
    <cfRule type="containsText" dxfId="2614" priority="835" operator="containsText" text="Str">
      <formula>NOT(ISERROR(SEARCH("Str",AL53)))</formula>
    </cfRule>
    <cfRule type="containsText" dxfId="2613" priority="836" operator="containsText" text="Ere">
      <formula>NOT(ISERROR(SEARCH("Ere",AL53)))</formula>
    </cfRule>
    <cfRule type="containsText" dxfId="2612" priority="837" operator="containsText" text="Ear">
      <formula>NOT(ISERROR(SEARCH("Ear",AL53)))</formula>
    </cfRule>
    <cfRule type="containsText" dxfId="2611" priority="838" operator="containsText" text="fnd">
      <formula>NOT(ISERROR(SEARCH("fnd",AL53)))</formula>
    </cfRule>
  </conditionalFormatting>
  <conditionalFormatting sqref="AL70:AM70">
    <cfRule type="containsText" dxfId="2610" priority="2139" operator="containsText" text="Str">
      <formula>NOT(ISERROR(SEARCH("Str",AL70)))</formula>
    </cfRule>
    <cfRule type="containsText" dxfId="2609" priority="2140" operator="containsText" text="Ere">
      <formula>NOT(ISERROR(SEARCH("Ere",AL70)))</formula>
    </cfRule>
    <cfRule type="containsText" dxfId="2608" priority="2141" operator="containsText" text="Ear">
      <formula>NOT(ISERROR(SEARCH("Ear",AL70)))</formula>
    </cfRule>
    <cfRule type="containsText" dxfId="2607" priority="2142" operator="containsText" text="fnd">
      <formula>NOT(ISERROR(SEARCH("fnd",AL70)))</formula>
    </cfRule>
  </conditionalFormatting>
  <conditionalFormatting sqref="AL78:AM78">
    <cfRule type="containsText" dxfId="2606" priority="787" operator="containsText" text="Str">
      <formula>NOT(ISERROR(SEARCH("Str",AL78)))</formula>
    </cfRule>
    <cfRule type="containsText" dxfId="2605" priority="788" operator="containsText" text="Ere">
      <formula>NOT(ISERROR(SEARCH("Ere",AL78)))</formula>
    </cfRule>
    <cfRule type="containsText" dxfId="2604" priority="789" operator="containsText" text="Ear">
      <formula>NOT(ISERROR(SEARCH("Ear",AL78)))</formula>
    </cfRule>
    <cfRule type="containsText" dxfId="2603" priority="790" operator="containsText" text="fnd">
      <formula>NOT(ISERROR(SEARCH("fnd",AL78)))</formula>
    </cfRule>
  </conditionalFormatting>
  <conditionalFormatting sqref="AL102:AM102">
    <cfRule type="containsText" dxfId="2602" priority="1815" operator="containsText" text="Str">
      <formula>NOT(ISERROR(SEARCH("Str",AL102)))</formula>
    </cfRule>
    <cfRule type="containsText" dxfId="2601" priority="1816" operator="containsText" text="Ere">
      <formula>NOT(ISERROR(SEARCH("Ere",AL102)))</formula>
    </cfRule>
    <cfRule type="containsText" dxfId="2600" priority="1817" operator="containsText" text="Ear">
      <formula>NOT(ISERROR(SEARCH("Ear",AL102)))</formula>
    </cfRule>
    <cfRule type="containsText" dxfId="2599" priority="1818" operator="containsText" text="fnd">
      <formula>NOT(ISERROR(SEARCH("fnd",AL102)))</formula>
    </cfRule>
  </conditionalFormatting>
  <conditionalFormatting sqref="AL118:AM118">
    <cfRule type="containsText" dxfId="2598" priority="517" operator="containsText" text="Str">
      <formula>NOT(ISERROR(SEARCH("Str",AL118)))</formula>
    </cfRule>
    <cfRule type="containsText" dxfId="2597" priority="518" operator="containsText" text="Ere">
      <formula>NOT(ISERROR(SEARCH("Ere",AL118)))</formula>
    </cfRule>
    <cfRule type="containsText" dxfId="2596" priority="519" operator="containsText" text="Ear">
      <formula>NOT(ISERROR(SEARCH("Ear",AL118)))</formula>
    </cfRule>
    <cfRule type="containsText" dxfId="2595" priority="520" operator="containsText" text="fnd">
      <formula>NOT(ISERROR(SEARCH("fnd",AL118)))</formula>
    </cfRule>
  </conditionalFormatting>
  <conditionalFormatting sqref="AL142:AM142">
    <cfRule type="containsText" dxfId="2594" priority="1207" operator="containsText" text="Str">
      <formula>NOT(ISERROR(SEARCH("Str",AL142)))</formula>
    </cfRule>
    <cfRule type="containsText" dxfId="2593" priority="1208" operator="containsText" text="Ere">
      <formula>NOT(ISERROR(SEARCH("Ere",AL142)))</formula>
    </cfRule>
    <cfRule type="containsText" dxfId="2592" priority="1209" operator="containsText" text="Ear">
      <formula>NOT(ISERROR(SEARCH("Ear",AL142)))</formula>
    </cfRule>
    <cfRule type="containsText" dxfId="2591" priority="1210" operator="containsText" text="fnd">
      <formula>NOT(ISERROR(SEARCH("fnd",AL142)))</formula>
    </cfRule>
  </conditionalFormatting>
  <conditionalFormatting sqref="AL158:AM158">
    <cfRule type="containsText" dxfId="2590" priority="1075" operator="containsText" text="Str">
      <formula>NOT(ISERROR(SEARCH("Str",AL158)))</formula>
    </cfRule>
    <cfRule type="containsText" dxfId="2589" priority="1076" operator="containsText" text="Ere">
      <formula>NOT(ISERROR(SEARCH("Ere",AL158)))</formula>
    </cfRule>
    <cfRule type="containsText" dxfId="2588" priority="1077" operator="containsText" text="Ear">
      <formula>NOT(ISERROR(SEARCH("Ear",AL158)))</formula>
    </cfRule>
    <cfRule type="containsText" dxfId="2587" priority="1078" operator="containsText" text="fnd">
      <formula>NOT(ISERROR(SEARCH("fnd",AL158)))</formula>
    </cfRule>
  </conditionalFormatting>
  <conditionalFormatting sqref="AL166:AM166">
    <cfRule type="containsText" dxfId="2586" priority="1019" operator="containsText" text="Str">
      <formula>NOT(ISERROR(SEARCH("Str",AL166)))</formula>
    </cfRule>
    <cfRule type="containsText" dxfId="2585" priority="1020" operator="containsText" text="Ere">
      <formula>NOT(ISERROR(SEARCH("Ere",AL166)))</formula>
    </cfRule>
    <cfRule type="containsText" dxfId="2584" priority="1021" operator="containsText" text="Ear">
      <formula>NOT(ISERROR(SEARCH("Ear",AL166)))</formula>
    </cfRule>
    <cfRule type="containsText" dxfId="2583" priority="1022" operator="containsText" text="fnd">
      <formula>NOT(ISERROR(SEARCH("fnd",AL166)))</formula>
    </cfRule>
  </conditionalFormatting>
  <conditionalFormatting sqref="AL174:AM174">
    <cfRule type="containsText" dxfId="2582" priority="971" operator="containsText" text="Str">
      <formula>NOT(ISERROR(SEARCH("Str",AL174)))</formula>
    </cfRule>
    <cfRule type="containsText" dxfId="2581" priority="972" operator="containsText" text="Ere">
      <formula>NOT(ISERROR(SEARCH("Ere",AL174)))</formula>
    </cfRule>
    <cfRule type="containsText" dxfId="2580" priority="973" operator="containsText" text="Ear">
      <formula>NOT(ISERROR(SEARCH("Ear",AL174)))</formula>
    </cfRule>
    <cfRule type="containsText" dxfId="2579" priority="974" operator="containsText" text="fnd">
      <formula>NOT(ISERROR(SEARCH("fnd",AL174)))</formula>
    </cfRule>
  </conditionalFormatting>
  <conditionalFormatting sqref="AL182:AM182">
    <cfRule type="containsText" dxfId="2578" priority="69" operator="containsText" text="Str">
      <formula>NOT(ISERROR(SEARCH("Str",AL182)))</formula>
    </cfRule>
    <cfRule type="containsText" dxfId="2577" priority="70" operator="containsText" text="Ere">
      <formula>NOT(ISERROR(SEARCH("Ere",AL182)))</formula>
    </cfRule>
    <cfRule type="containsText" dxfId="2576" priority="71" operator="containsText" text="Ear">
      <formula>NOT(ISERROR(SEARCH("Ear",AL182)))</formula>
    </cfRule>
    <cfRule type="containsText" dxfId="2575" priority="72" operator="containsText" text="fnd">
      <formula>NOT(ISERROR(SEARCH("fnd",AL182)))</formula>
    </cfRule>
  </conditionalFormatting>
  <conditionalFormatting sqref="AM6">
    <cfRule type="containsText" dxfId="2574" priority="161" operator="containsText" text="Str">
      <formula>NOT(ISERROR(SEARCH("Str",AM6)))</formula>
    </cfRule>
    <cfRule type="containsText" dxfId="2573" priority="162" operator="containsText" text="Ere">
      <formula>NOT(ISERROR(SEARCH("Ere",AM6)))</formula>
    </cfRule>
    <cfRule type="containsText" dxfId="2572" priority="163" operator="containsText" text="Ear">
      <formula>NOT(ISERROR(SEARCH("Ear",AM6)))</formula>
    </cfRule>
    <cfRule type="containsText" dxfId="2571" priority="164" operator="containsText" text="fnd">
      <formula>NOT(ISERROR(SEARCH("fnd",AM6)))</formula>
    </cfRule>
  </conditionalFormatting>
  <conditionalFormatting sqref="AM14">
    <cfRule type="containsText" dxfId="2570" priority="1595" operator="containsText" text="Str">
      <formula>NOT(ISERROR(SEARCH("Str",AM14)))</formula>
    </cfRule>
    <cfRule type="containsText" dxfId="2569" priority="1596" operator="containsText" text="Ere">
      <formula>NOT(ISERROR(SEARCH("Ere",AM14)))</formula>
    </cfRule>
    <cfRule type="containsText" dxfId="2568" priority="1597" operator="containsText" text="Ear">
      <formula>NOT(ISERROR(SEARCH("Ear",AM14)))</formula>
    </cfRule>
    <cfRule type="containsText" dxfId="2567" priority="1598" operator="containsText" text="fnd">
      <formula>NOT(ISERROR(SEARCH("fnd",AM14)))</formula>
    </cfRule>
  </conditionalFormatting>
  <conditionalFormatting sqref="AO5:AO6">
    <cfRule type="containsText" dxfId="2566" priority="153" operator="containsText" text="Str">
      <formula>NOT(ISERROR(SEARCH("Str",AO5)))</formula>
    </cfRule>
    <cfRule type="containsText" dxfId="2565" priority="154" operator="containsText" text="Ere">
      <formula>NOT(ISERROR(SEARCH("Ere",AO5)))</formula>
    </cfRule>
    <cfRule type="containsText" dxfId="2564" priority="155" operator="containsText" text="Ear">
      <formula>NOT(ISERROR(SEARCH("Ear",AO5)))</formula>
    </cfRule>
    <cfRule type="containsText" dxfId="2563" priority="156" operator="containsText" text="fnd">
      <formula>NOT(ISERROR(SEARCH("fnd",AO5)))</formula>
    </cfRule>
  </conditionalFormatting>
  <conditionalFormatting sqref="AO13:AO14">
    <cfRule type="containsText" dxfId="2562" priority="1719" operator="containsText" text="Str">
      <formula>NOT(ISERROR(SEARCH("Str",AO13)))</formula>
    </cfRule>
    <cfRule type="containsText" dxfId="2561" priority="1720" operator="containsText" text="Ere">
      <formula>NOT(ISERROR(SEARCH("Ere",AO13)))</formula>
    </cfRule>
    <cfRule type="containsText" dxfId="2560" priority="1721" operator="containsText" text="Ear">
      <formula>NOT(ISERROR(SEARCH("Ear",AO13)))</formula>
    </cfRule>
    <cfRule type="containsText" dxfId="2559" priority="1722" operator="containsText" text="fnd">
      <formula>NOT(ISERROR(SEARCH("fnd",AO13)))</formula>
    </cfRule>
  </conditionalFormatting>
  <conditionalFormatting sqref="AO21:AO22">
    <cfRule type="containsText" dxfId="2558" priority="915" operator="containsText" text="Str">
      <formula>NOT(ISERROR(SEARCH("Str",AO21)))</formula>
    </cfRule>
    <cfRule type="containsText" dxfId="2557" priority="916" operator="containsText" text="Ere">
      <formula>NOT(ISERROR(SEARCH("Ere",AO21)))</formula>
    </cfRule>
    <cfRule type="containsText" dxfId="2556" priority="917" operator="containsText" text="Ear">
      <formula>NOT(ISERROR(SEARCH("Ear",AO21)))</formula>
    </cfRule>
    <cfRule type="containsText" dxfId="2555" priority="918" operator="containsText" text="fnd">
      <formula>NOT(ISERROR(SEARCH("fnd",AO21)))</formula>
    </cfRule>
  </conditionalFormatting>
  <conditionalFormatting sqref="AO29">
    <cfRule type="containsText" dxfId="2554" priority="887" operator="containsText" text="Str">
      <formula>NOT(ISERROR(SEARCH("Str",AO29)))</formula>
    </cfRule>
    <cfRule type="containsText" dxfId="2553" priority="888" operator="containsText" text="Ere">
      <formula>NOT(ISERROR(SEARCH("Ere",AO29)))</formula>
    </cfRule>
    <cfRule type="containsText" dxfId="2552" priority="889" operator="containsText" text="Ear">
      <formula>NOT(ISERROR(SEARCH("Ear",AO29)))</formula>
    </cfRule>
    <cfRule type="containsText" dxfId="2551" priority="890" operator="containsText" text="fnd">
      <formula>NOT(ISERROR(SEARCH("fnd",AO29)))</formula>
    </cfRule>
  </conditionalFormatting>
  <conditionalFormatting sqref="AO37">
    <cfRule type="containsText" dxfId="2550" priority="699" operator="containsText" text="Str">
      <formula>NOT(ISERROR(SEARCH("Str",AO37)))</formula>
    </cfRule>
    <cfRule type="containsText" dxfId="2549" priority="700" operator="containsText" text="Ere">
      <formula>NOT(ISERROR(SEARCH("Ere",AO37)))</formula>
    </cfRule>
    <cfRule type="containsText" dxfId="2548" priority="701" operator="containsText" text="Ear">
      <formula>NOT(ISERROR(SEARCH("Ear",AO37)))</formula>
    </cfRule>
    <cfRule type="containsText" dxfId="2547" priority="702" operator="containsText" text="fnd">
      <formula>NOT(ISERROR(SEARCH("fnd",AO37)))</formula>
    </cfRule>
  </conditionalFormatting>
  <conditionalFormatting sqref="AO61:AO62">
    <cfRule type="containsText" dxfId="2546" priority="1939" operator="containsText" text="Str">
      <formula>NOT(ISERROR(SEARCH("Str",AO61)))</formula>
    </cfRule>
    <cfRule type="containsText" dxfId="2545" priority="1940" operator="containsText" text="Ere">
      <formula>NOT(ISERROR(SEARCH("Ere",AO61)))</formula>
    </cfRule>
    <cfRule type="containsText" dxfId="2544" priority="1941" operator="containsText" text="Ear">
      <formula>NOT(ISERROR(SEARCH("Ear",AO61)))</formula>
    </cfRule>
    <cfRule type="containsText" dxfId="2543" priority="1942" operator="containsText" text="fnd">
      <formula>NOT(ISERROR(SEARCH("fnd",AO61)))</formula>
    </cfRule>
  </conditionalFormatting>
  <conditionalFormatting sqref="AO69">
    <cfRule type="containsText" dxfId="2542" priority="807" operator="containsText" text="Str">
      <formula>NOT(ISERROR(SEARCH("Str",AO69)))</formula>
    </cfRule>
    <cfRule type="containsText" dxfId="2541" priority="808" operator="containsText" text="Ere">
      <formula>NOT(ISERROR(SEARCH("Ere",AO69)))</formula>
    </cfRule>
    <cfRule type="containsText" dxfId="2540" priority="809" operator="containsText" text="Ear">
      <formula>NOT(ISERROR(SEARCH("Ear",AO69)))</formula>
    </cfRule>
    <cfRule type="containsText" dxfId="2539" priority="810" operator="containsText" text="fnd">
      <formula>NOT(ISERROR(SEARCH("fnd",AO69)))</formula>
    </cfRule>
  </conditionalFormatting>
  <conditionalFormatting sqref="AO77">
    <cfRule type="containsText" dxfId="2538" priority="663" operator="containsText" text="Str">
      <formula>NOT(ISERROR(SEARCH("Str",AO77)))</formula>
    </cfRule>
    <cfRule type="containsText" dxfId="2537" priority="664" operator="containsText" text="Ere">
      <formula>NOT(ISERROR(SEARCH("Ere",AO77)))</formula>
    </cfRule>
    <cfRule type="containsText" dxfId="2536" priority="665" operator="containsText" text="Ear">
      <formula>NOT(ISERROR(SEARCH("Ear",AO77)))</formula>
    </cfRule>
    <cfRule type="containsText" dxfId="2535" priority="666" operator="containsText" text="fnd">
      <formula>NOT(ISERROR(SEARCH("fnd",AO77)))</formula>
    </cfRule>
  </conditionalFormatting>
  <conditionalFormatting sqref="AO85">
    <cfRule type="containsText" dxfId="2534" priority="775" operator="containsText" text="Str">
      <formula>NOT(ISERROR(SEARCH("Str",AO85)))</formula>
    </cfRule>
    <cfRule type="containsText" dxfId="2533" priority="776" operator="containsText" text="Ere">
      <formula>NOT(ISERROR(SEARCH("Ere",AO85)))</formula>
    </cfRule>
    <cfRule type="containsText" dxfId="2532" priority="777" operator="containsText" text="Ear">
      <formula>NOT(ISERROR(SEARCH("Ear",AO85)))</formula>
    </cfRule>
    <cfRule type="containsText" dxfId="2531" priority="778" operator="containsText" text="fnd">
      <formula>NOT(ISERROR(SEARCH("fnd",AO85)))</formula>
    </cfRule>
  </conditionalFormatting>
  <conditionalFormatting sqref="AO93:AO94">
    <cfRule type="containsText" dxfId="2530" priority="1819" operator="containsText" text="Str">
      <formula>NOT(ISERROR(SEARCH("Str",AO93)))</formula>
    </cfRule>
    <cfRule type="containsText" dxfId="2529" priority="1820" operator="containsText" text="Ere">
      <formula>NOT(ISERROR(SEARCH("Ere",AO93)))</formula>
    </cfRule>
    <cfRule type="containsText" dxfId="2528" priority="1821" operator="containsText" text="Ear">
      <formula>NOT(ISERROR(SEARCH("Ear",AO93)))</formula>
    </cfRule>
    <cfRule type="containsText" dxfId="2527" priority="1822" operator="containsText" text="fnd">
      <formula>NOT(ISERROR(SEARCH("fnd",AO93)))</formula>
    </cfRule>
  </conditionalFormatting>
  <conditionalFormatting sqref="AO101:AO102">
    <cfRule type="containsText" dxfId="2526" priority="41" operator="containsText" text="Str">
      <formula>NOT(ISERROR(SEARCH("Str",AO101)))</formula>
    </cfRule>
    <cfRule type="containsText" dxfId="2525" priority="42" operator="containsText" text="Ere">
      <formula>NOT(ISERROR(SEARCH("Ere",AO101)))</formula>
    </cfRule>
    <cfRule type="containsText" dxfId="2524" priority="43" operator="containsText" text="Ear">
      <formula>NOT(ISERROR(SEARCH("Ear",AO101)))</formula>
    </cfRule>
    <cfRule type="containsText" dxfId="2523" priority="44" operator="containsText" text="fnd">
      <formula>NOT(ISERROR(SEARCH("fnd",AO101)))</formula>
    </cfRule>
  </conditionalFormatting>
  <conditionalFormatting sqref="AO109">
    <cfRule type="containsText" dxfId="2522" priority="719" operator="containsText" text="Str">
      <formula>NOT(ISERROR(SEARCH("Str",AO109)))</formula>
    </cfRule>
    <cfRule type="containsText" dxfId="2521" priority="720" operator="containsText" text="Ere">
      <formula>NOT(ISERROR(SEARCH("Ere",AO109)))</formula>
    </cfRule>
    <cfRule type="containsText" dxfId="2520" priority="721" operator="containsText" text="Ear">
      <formula>NOT(ISERROR(SEARCH("Ear",AO109)))</formula>
    </cfRule>
    <cfRule type="containsText" dxfId="2519" priority="722" operator="containsText" text="fnd">
      <formula>NOT(ISERROR(SEARCH("fnd",AO109)))</formula>
    </cfRule>
  </conditionalFormatting>
  <conditionalFormatting sqref="AO117">
    <cfRule type="containsText" dxfId="2518" priority="1371" operator="containsText" text="Str">
      <formula>NOT(ISERROR(SEARCH("Str",AO117)))</formula>
    </cfRule>
    <cfRule type="containsText" dxfId="2517" priority="1372" operator="containsText" text="Ere">
      <formula>NOT(ISERROR(SEARCH("Ere",AO117)))</formula>
    </cfRule>
    <cfRule type="containsText" dxfId="2516" priority="1373" operator="containsText" text="Ear">
      <formula>NOT(ISERROR(SEARCH("Ear",AO117)))</formula>
    </cfRule>
    <cfRule type="containsText" dxfId="2515" priority="1374" operator="containsText" text="fnd">
      <formula>NOT(ISERROR(SEARCH("fnd",AO117)))</formula>
    </cfRule>
  </conditionalFormatting>
  <conditionalFormatting sqref="AO122 AO130 AO138 AO154 AO162 AO170 AO178">
    <cfRule type="containsText" dxfId="2514" priority="1971" operator="containsText" text="Str">
      <formula>NOT(ISERROR(SEARCH("Str",AO122)))</formula>
    </cfRule>
    <cfRule type="containsText" dxfId="2513" priority="1972" operator="containsText" text="Ere">
      <formula>NOT(ISERROR(SEARCH("Ere",AO122)))</formula>
    </cfRule>
    <cfRule type="containsText" dxfId="2512" priority="1973" operator="containsText" text="Ear">
      <formula>NOT(ISERROR(SEARCH("Ear",AO122)))</formula>
    </cfRule>
    <cfRule type="containsText" dxfId="2511" priority="1974" operator="containsText" text="fnd">
      <formula>NOT(ISERROR(SEARCH("fnd",AO122)))</formula>
    </cfRule>
  </conditionalFormatting>
  <conditionalFormatting sqref="AO125">
    <cfRule type="containsText" dxfId="2510" priority="1343" operator="containsText" text="Str">
      <formula>NOT(ISERROR(SEARCH("Str",AO125)))</formula>
    </cfRule>
    <cfRule type="containsText" dxfId="2509" priority="1344" operator="containsText" text="Ere">
      <formula>NOT(ISERROR(SEARCH("Ere",AO125)))</formula>
    </cfRule>
    <cfRule type="containsText" dxfId="2508" priority="1345" operator="containsText" text="Ear">
      <formula>NOT(ISERROR(SEARCH("Ear",AO125)))</formula>
    </cfRule>
    <cfRule type="containsText" dxfId="2507" priority="1346" operator="containsText" text="fnd">
      <formula>NOT(ISERROR(SEARCH("fnd",AO125)))</formula>
    </cfRule>
  </conditionalFormatting>
  <conditionalFormatting sqref="AO133">
    <cfRule type="containsText" dxfId="2506" priority="1291" operator="containsText" text="Str">
      <formula>NOT(ISERROR(SEARCH("Str",AO133)))</formula>
    </cfRule>
    <cfRule type="containsText" dxfId="2505" priority="1292" operator="containsText" text="Ere">
      <formula>NOT(ISERROR(SEARCH("Ere",AO133)))</formula>
    </cfRule>
    <cfRule type="containsText" dxfId="2504" priority="1293" operator="containsText" text="Ear">
      <formula>NOT(ISERROR(SEARCH("Ear",AO133)))</formula>
    </cfRule>
    <cfRule type="containsText" dxfId="2503" priority="1294" operator="containsText" text="fnd">
      <formula>NOT(ISERROR(SEARCH("fnd",AO133)))</formula>
    </cfRule>
  </conditionalFormatting>
  <conditionalFormatting sqref="AO141">
    <cfRule type="containsText" dxfId="2502" priority="245" operator="containsText" text="Str">
      <formula>NOT(ISERROR(SEARCH("Str",AO141)))</formula>
    </cfRule>
    <cfRule type="containsText" dxfId="2501" priority="246" operator="containsText" text="Ere">
      <formula>NOT(ISERROR(SEARCH("Ere",AO141)))</formula>
    </cfRule>
    <cfRule type="containsText" dxfId="2500" priority="247" operator="containsText" text="Ear">
      <formula>NOT(ISERROR(SEARCH("Ear",AO141)))</formula>
    </cfRule>
    <cfRule type="containsText" dxfId="2499" priority="248" operator="containsText" text="fnd">
      <formula>NOT(ISERROR(SEARCH("fnd",AO141)))</formula>
    </cfRule>
  </conditionalFormatting>
  <conditionalFormatting sqref="AO149">
    <cfRule type="containsText" dxfId="2498" priority="1147" operator="containsText" text="Str">
      <formula>NOT(ISERROR(SEARCH("Str",AO149)))</formula>
    </cfRule>
    <cfRule type="containsText" dxfId="2497" priority="1148" operator="containsText" text="Ere">
      <formula>NOT(ISERROR(SEARCH("Ere",AO149)))</formula>
    </cfRule>
    <cfRule type="containsText" dxfId="2496" priority="1149" operator="containsText" text="Ear">
      <formula>NOT(ISERROR(SEARCH("Ear",AO149)))</formula>
    </cfRule>
    <cfRule type="containsText" dxfId="2495" priority="1150" operator="containsText" text="fnd">
      <formula>NOT(ISERROR(SEARCH("fnd",AO149)))</formula>
    </cfRule>
  </conditionalFormatting>
  <conditionalFormatting sqref="AO157">
    <cfRule type="containsText" dxfId="2494" priority="1055" operator="containsText" text="Str">
      <formula>NOT(ISERROR(SEARCH("Str",AO157)))</formula>
    </cfRule>
    <cfRule type="containsText" dxfId="2493" priority="1056" operator="containsText" text="Ere">
      <formula>NOT(ISERROR(SEARCH("Ere",AO157)))</formula>
    </cfRule>
    <cfRule type="containsText" dxfId="2492" priority="1057" operator="containsText" text="Ear">
      <formula>NOT(ISERROR(SEARCH("Ear",AO157)))</formula>
    </cfRule>
    <cfRule type="containsText" dxfId="2491" priority="1058" operator="containsText" text="fnd">
      <formula>NOT(ISERROR(SEARCH("fnd",AO157)))</formula>
    </cfRule>
  </conditionalFormatting>
  <conditionalFormatting sqref="AO165">
    <cfRule type="containsText" dxfId="2490" priority="1011" operator="containsText" text="Str">
      <formula>NOT(ISERROR(SEARCH("Str",AO165)))</formula>
    </cfRule>
    <cfRule type="containsText" dxfId="2489" priority="1012" operator="containsText" text="Ere">
      <formula>NOT(ISERROR(SEARCH("Ere",AO165)))</formula>
    </cfRule>
    <cfRule type="containsText" dxfId="2488" priority="1013" operator="containsText" text="Ear">
      <formula>NOT(ISERROR(SEARCH("Ear",AO165)))</formula>
    </cfRule>
    <cfRule type="containsText" dxfId="2487" priority="1014" operator="containsText" text="fnd">
      <formula>NOT(ISERROR(SEARCH("fnd",AO165)))</formula>
    </cfRule>
  </conditionalFormatting>
  <conditionalFormatting sqref="AO173">
    <cfRule type="containsText" dxfId="2486" priority="955" operator="containsText" text="Str">
      <formula>NOT(ISERROR(SEARCH("Str",AO173)))</formula>
    </cfRule>
    <cfRule type="containsText" dxfId="2485" priority="956" operator="containsText" text="Ere">
      <formula>NOT(ISERROR(SEARCH("Ere",AO173)))</formula>
    </cfRule>
    <cfRule type="containsText" dxfId="2484" priority="957" operator="containsText" text="Ear">
      <formula>NOT(ISERROR(SEARCH("Ear",AO173)))</formula>
    </cfRule>
    <cfRule type="containsText" dxfId="2483" priority="958" operator="containsText" text="fnd">
      <formula>NOT(ISERROR(SEARCH("fnd",AO173)))</formula>
    </cfRule>
  </conditionalFormatting>
  <conditionalFormatting sqref="AO181">
    <cfRule type="containsText" dxfId="2482" priority="939" operator="containsText" text="Str">
      <formula>NOT(ISERROR(SEARCH("Str",AO181)))</formula>
    </cfRule>
    <cfRule type="containsText" dxfId="2481" priority="940" operator="containsText" text="Ere">
      <formula>NOT(ISERROR(SEARCH("Ere",AO181)))</formula>
    </cfRule>
    <cfRule type="containsText" dxfId="2480" priority="941" operator="containsText" text="Ear">
      <formula>NOT(ISERROR(SEARCH("Ear",AO181)))</formula>
    </cfRule>
    <cfRule type="containsText" dxfId="2479" priority="942" operator="containsText" text="fnd">
      <formula>NOT(ISERROR(SEARCH("fnd",AO181)))</formula>
    </cfRule>
  </conditionalFormatting>
  <conditionalFormatting sqref="AO30:AR30">
    <cfRule type="containsText" dxfId="2478" priority="891" operator="containsText" text="Str">
      <formula>NOT(ISERROR(SEARCH("Str",AO30)))</formula>
    </cfRule>
    <cfRule type="containsText" dxfId="2477" priority="892" operator="containsText" text="Ere">
      <formula>NOT(ISERROR(SEARCH("Ere",AO30)))</formula>
    </cfRule>
    <cfRule type="containsText" dxfId="2476" priority="893" operator="containsText" text="Ear">
      <formula>NOT(ISERROR(SEARCH("Ear",AO30)))</formula>
    </cfRule>
    <cfRule type="containsText" dxfId="2475" priority="894" operator="containsText" text="fnd">
      <formula>NOT(ISERROR(SEARCH("fnd",AO30)))</formula>
    </cfRule>
  </conditionalFormatting>
  <conditionalFormatting sqref="AO38:AR38">
    <cfRule type="containsText" dxfId="2474" priority="703" operator="containsText" text="Str">
      <formula>NOT(ISERROR(SEARCH("Str",AO38)))</formula>
    </cfRule>
    <cfRule type="containsText" dxfId="2473" priority="704" operator="containsText" text="Ere">
      <formula>NOT(ISERROR(SEARCH("Ere",AO38)))</formula>
    </cfRule>
    <cfRule type="containsText" dxfId="2472" priority="705" operator="containsText" text="Ear">
      <formula>NOT(ISERROR(SEARCH("Ear",AO38)))</formula>
    </cfRule>
    <cfRule type="containsText" dxfId="2471" priority="706" operator="containsText" text="fnd">
      <formula>NOT(ISERROR(SEARCH("fnd",AO38)))</formula>
    </cfRule>
  </conditionalFormatting>
  <conditionalFormatting sqref="AO53:AR54">
    <cfRule type="containsText" dxfId="2470" priority="831" operator="containsText" text="Str">
      <formula>NOT(ISERROR(SEARCH("Str",AO53)))</formula>
    </cfRule>
    <cfRule type="containsText" dxfId="2469" priority="832" operator="containsText" text="Ere">
      <formula>NOT(ISERROR(SEARCH("Ere",AO53)))</formula>
    </cfRule>
    <cfRule type="containsText" dxfId="2468" priority="833" operator="containsText" text="Ear">
      <formula>NOT(ISERROR(SEARCH("Ear",AO53)))</formula>
    </cfRule>
    <cfRule type="containsText" dxfId="2467" priority="834" operator="containsText" text="fnd">
      <formula>NOT(ISERROR(SEARCH("fnd",AO53)))</formula>
    </cfRule>
  </conditionalFormatting>
  <conditionalFormatting sqref="AO70:AR70">
    <cfRule type="containsText" dxfId="2466" priority="811" operator="containsText" text="Str">
      <formula>NOT(ISERROR(SEARCH("Str",AO70)))</formula>
    </cfRule>
    <cfRule type="containsText" dxfId="2465" priority="812" operator="containsText" text="Ere">
      <formula>NOT(ISERROR(SEARCH("Ere",AO70)))</formula>
    </cfRule>
    <cfRule type="containsText" dxfId="2464" priority="813" operator="containsText" text="Ear">
      <formula>NOT(ISERROR(SEARCH("Ear",AO70)))</formula>
    </cfRule>
    <cfRule type="containsText" dxfId="2463" priority="814" operator="containsText" text="fnd">
      <formula>NOT(ISERROR(SEARCH("fnd",AO70)))</formula>
    </cfRule>
  </conditionalFormatting>
  <conditionalFormatting sqref="AO86:AR86">
    <cfRule type="containsText" dxfId="2462" priority="779" operator="containsText" text="Str">
      <formula>NOT(ISERROR(SEARCH("Str",AO86)))</formula>
    </cfRule>
    <cfRule type="containsText" dxfId="2461" priority="780" operator="containsText" text="Ere">
      <formula>NOT(ISERROR(SEARCH("Ere",AO86)))</formula>
    </cfRule>
    <cfRule type="containsText" dxfId="2460" priority="781" operator="containsText" text="Ear">
      <formula>NOT(ISERROR(SEARCH("Ear",AO86)))</formula>
    </cfRule>
    <cfRule type="containsText" dxfId="2459" priority="782" operator="containsText" text="fnd">
      <formula>NOT(ISERROR(SEARCH("fnd",AO86)))</formula>
    </cfRule>
  </conditionalFormatting>
  <conditionalFormatting sqref="AO126:AR126">
    <cfRule type="containsText" dxfId="2458" priority="1347" operator="containsText" text="Str">
      <formula>NOT(ISERROR(SEARCH("Str",AO126)))</formula>
    </cfRule>
    <cfRule type="containsText" dxfId="2457" priority="1348" operator="containsText" text="Ere">
      <formula>NOT(ISERROR(SEARCH("Ere",AO126)))</formula>
    </cfRule>
    <cfRule type="containsText" dxfId="2456" priority="1349" operator="containsText" text="Ear">
      <formula>NOT(ISERROR(SEARCH("Ear",AO126)))</formula>
    </cfRule>
    <cfRule type="containsText" dxfId="2455" priority="1350" operator="containsText" text="fnd">
      <formula>NOT(ISERROR(SEARCH("fnd",AO126)))</formula>
    </cfRule>
  </conditionalFormatting>
  <conditionalFormatting sqref="AO134:AR134">
    <cfRule type="containsText" dxfId="2454" priority="1295" operator="containsText" text="Str">
      <formula>NOT(ISERROR(SEARCH("Str",AO134)))</formula>
    </cfRule>
    <cfRule type="containsText" dxfId="2453" priority="1296" operator="containsText" text="Ere">
      <formula>NOT(ISERROR(SEARCH("Ere",AO134)))</formula>
    </cfRule>
    <cfRule type="containsText" dxfId="2452" priority="1297" operator="containsText" text="Ear">
      <formula>NOT(ISERROR(SEARCH("Ear",AO134)))</formula>
    </cfRule>
    <cfRule type="containsText" dxfId="2451" priority="1298" operator="containsText" text="fnd">
      <formula>NOT(ISERROR(SEARCH("fnd",AO134)))</formula>
    </cfRule>
  </conditionalFormatting>
  <conditionalFormatting sqref="AO142:AR142">
    <cfRule type="containsText" dxfId="2450" priority="249" operator="containsText" text="Str">
      <formula>NOT(ISERROR(SEARCH("Str",AO142)))</formula>
    </cfRule>
    <cfRule type="containsText" dxfId="2449" priority="250" operator="containsText" text="Ere">
      <formula>NOT(ISERROR(SEARCH("Ere",AO142)))</formula>
    </cfRule>
    <cfRule type="containsText" dxfId="2448" priority="251" operator="containsText" text="Ear">
      <formula>NOT(ISERROR(SEARCH("Ear",AO142)))</formula>
    </cfRule>
    <cfRule type="containsText" dxfId="2447" priority="252" operator="containsText" text="fnd">
      <formula>NOT(ISERROR(SEARCH("fnd",AO142)))</formula>
    </cfRule>
  </conditionalFormatting>
  <conditionalFormatting sqref="AO158:AR158">
    <cfRule type="containsText" dxfId="2446" priority="1059" operator="containsText" text="Str">
      <formula>NOT(ISERROR(SEARCH("Str",AO158)))</formula>
    </cfRule>
    <cfRule type="containsText" dxfId="2445" priority="1060" operator="containsText" text="Ere">
      <formula>NOT(ISERROR(SEARCH("Ere",AO158)))</formula>
    </cfRule>
    <cfRule type="containsText" dxfId="2444" priority="1061" operator="containsText" text="Ear">
      <formula>NOT(ISERROR(SEARCH("Ear",AO158)))</formula>
    </cfRule>
    <cfRule type="containsText" dxfId="2443" priority="1062" operator="containsText" text="fnd">
      <formula>NOT(ISERROR(SEARCH("fnd",AO158)))</formula>
    </cfRule>
  </conditionalFormatting>
  <conditionalFormatting sqref="AO182:AR182">
    <cfRule type="containsText" dxfId="2442" priority="943" operator="containsText" text="Str">
      <formula>NOT(ISERROR(SEARCH("Str",AO182)))</formula>
    </cfRule>
    <cfRule type="containsText" dxfId="2441" priority="944" operator="containsText" text="Ere">
      <formula>NOT(ISERROR(SEARCH("Ere",AO182)))</formula>
    </cfRule>
    <cfRule type="containsText" dxfId="2440" priority="945" operator="containsText" text="Ear">
      <formula>NOT(ISERROR(SEARCH("Ear",AO182)))</formula>
    </cfRule>
    <cfRule type="containsText" dxfId="2439" priority="946" operator="containsText" text="fnd">
      <formula>NOT(ISERROR(SEARCH("fnd",AO182)))</formula>
    </cfRule>
  </conditionalFormatting>
  <conditionalFormatting sqref="AP102">
    <cfRule type="containsText" dxfId="2438" priority="37" operator="containsText" text="Str">
      <formula>NOT(ISERROR(SEARCH("Str",AP102)))</formula>
    </cfRule>
    <cfRule type="containsText" dxfId="2437" priority="38" operator="containsText" text="Ere">
      <formula>NOT(ISERROR(SEARCH("Ere",AP102)))</formula>
    </cfRule>
    <cfRule type="containsText" dxfId="2436" priority="39" operator="containsText" text="Ear">
      <formula>NOT(ISERROR(SEARCH("Ear",AP102)))</formula>
    </cfRule>
    <cfRule type="containsText" dxfId="2435" priority="40" operator="containsText" text="fnd">
      <formula>NOT(ISERROR(SEARCH("fnd",AP102)))</formula>
    </cfRule>
  </conditionalFormatting>
  <conditionalFormatting sqref="AP14:AR14">
    <cfRule type="containsText" dxfId="2434" priority="1715" operator="containsText" text="Str">
      <formula>NOT(ISERROR(SEARCH("Str",AP14)))</formula>
    </cfRule>
    <cfRule type="containsText" dxfId="2433" priority="1716" operator="containsText" text="Ere">
      <formula>NOT(ISERROR(SEARCH("Ere",AP14)))</formula>
    </cfRule>
    <cfRule type="containsText" dxfId="2432" priority="1717" operator="containsText" text="Ear">
      <formula>NOT(ISERROR(SEARCH("Ear",AP14)))</formula>
    </cfRule>
    <cfRule type="containsText" dxfId="2431" priority="1718" operator="containsText" text="fnd">
      <formula>NOT(ISERROR(SEARCH("fnd",AP14)))</formula>
    </cfRule>
  </conditionalFormatting>
  <conditionalFormatting sqref="AP22:AR22">
    <cfRule type="containsText" dxfId="2430" priority="911" operator="containsText" text="Str">
      <formula>NOT(ISERROR(SEARCH("Str",AP22)))</formula>
    </cfRule>
    <cfRule type="containsText" dxfId="2429" priority="912" operator="containsText" text="Ere">
      <formula>NOT(ISERROR(SEARCH("Ere",AP22)))</formula>
    </cfRule>
    <cfRule type="containsText" dxfId="2428" priority="913" operator="containsText" text="Ear">
      <formula>NOT(ISERROR(SEARCH("Ear",AP22)))</formula>
    </cfRule>
    <cfRule type="containsText" dxfId="2427" priority="914" operator="containsText" text="fnd">
      <formula>NOT(ISERROR(SEARCH("fnd",AP22)))</formula>
    </cfRule>
  </conditionalFormatting>
  <conditionalFormatting sqref="AP62:AR62">
    <cfRule type="containsText" dxfId="2426" priority="1943" operator="containsText" text="Str">
      <formula>NOT(ISERROR(SEARCH("Str",AP62)))</formula>
    </cfRule>
    <cfRule type="containsText" dxfId="2425" priority="1944" operator="containsText" text="Ere">
      <formula>NOT(ISERROR(SEARCH("Ere",AP62)))</formula>
    </cfRule>
    <cfRule type="containsText" dxfId="2424" priority="1945" operator="containsText" text="Ear">
      <formula>NOT(ISERROR(SEARCH("Ear",AP62)))</formula>
    </cfRule>
    <cfRule type="containsText" dxfId="2423" priority="1946" operator="containsText" text="fnd">
      <formula>NOT(ISERROR(SEARCH("fnd",AP62)))</formula>
    </cfRule>
  </conditionalFormatting>
  <conditionalFormatting sqref="AQ6">
    <cfRule type="containsText" dxfId="2422" priority="569" operator="containsText" text="Str">
      <formula>NOT(ISERROR(SEARCH("Str",AQ6)))</formula>
    </cfRule>
    <cfRule type="containsText" dxfId="2421" priority="570" operator="containsText" text="Ere">
      <formula>NOT(ISERROR(SEARCH("Ere",AQ6)))</formula>
    </cfRule>
  </conditionalFormatting>
  <conditionalFormatting sqref="AR5:AR6">
    <cfRule type="containsText" dxfId="2420" priority="935" operator="containsText" text="Str">
      <formula>NOT(ISERROR(SEARCH("Str",AR5)))</formula>
    </cfRule>
    <cfRule type="containsText" dxfId="2419" priority="936" operator="containsText" text="Ere">
      <formula>NOT(ISERROR(SEARCH("Ere",AR5)))</formula>
    </cfRule>
    <cfRule type="containsText" dxfId="2418" priority="937" operator="containsText" text="Ear">
      <formula>NOT(ISERROR(SEARCH("Ear",AR5)))</formula>
    </cfRule>
    <cfRule type="containsText" dxfId="2417" priority="938" operator="containsText" text="fnd">
      <formula>NOT(ISERROR(SEARCH("fnd",AR5)))</formula>
    </cfRule>
  </conditionalFormatting>
  <conditionalFormatting sqref="AV2 BA2">
    <cfRule type="containsText" dxfId="2416" priority="17" operator="containsText" text="Str">
      <formula>NOT(ISERROR(SEARCH("Str",AV2)))</formula>
    </cfRule>
    <cfRule type="containsText" dxfId="2415" priority="18" operator="containsText" text="Ere">
      <formula>NOT(ISERROR(SEARCH("Ere",AV2)))</formula>
    </cfRule>
    <cfRule type="containsText" dxfId="2414" priority="19" operator="containsText" text="Ear">
      <formula>NOT(ISERROR(SEARCH("Ear",AV2)))</formula>
    </cfRule>
    <cfRule type="containsText" dxfId="2413" priority="20" operator="containsText" text="fnd">
      <formula>NOT(ISERROR(SEARCH("fnd",AV2)))</formula>
    </cfRule>
  </conditionalFormatting>
  <conditionalFormatting sqref="AV3:BA3">
    <cfRule type="containsText" dxfId="2412" priority="57" operator="containsText" text="Str">
      <formula>NOT(ISERROR(SEARCH("Str",AV3)))</formula>
    </cfRule>
    <cfRule type="containsText" dxfId="2411" priority="58" operator="containsText" text="Ere">
      <formula>NOT(ISERROR(SEARCH("Ere",AV3)))</formula>
    </cfRule>
    <cfRule type="containsText" dxfId="2410" priority="59" operator="containsText" text="Ear">
      <formula>NOT(ISERROR(SEARCH("Ear",AV3)))</formula>
    </cfRule>
    <cfRule type="containsText" dxfId="2409" priority="60" operator="containsText" text="fnd">
      <formula>NOT(ISERROR(SEARCH("fnd",AV3)))</formula>
    </cfRule>
  </conditionalFormatting>
  <conditionalFormatting sqref="AW27:AZ27">
    <cfRule type="containsText" dxfId="2408" priority="2307" operator="containsText" text="Str">
      <formula>NOT(ISERROR(SEARCH("Str",AW27)))</formula>
    </cfRule>
    <cfRule type="containsText" dxfId="2407" priority="2308" operator="containsText" text="Ere">
      <formula>NOT(ISERROR(SEARCH("Ere",AW27)))</formula>
    </cfRule>
    <cfRule type="containsText" dxfId="2406" priority="2309" operator="containsText" text="Ear">
      <formula>NOT(ISERROR(SEARCH("Ear",AW27)))</formula>
    </cfRule>
    <cfRule type="containsText" dxfId="2405" priority="2310" operator="containsText" text="fnd">
      <formula>NOT(ISERROR(SEARCH("fnd",AW27)))</formula>
    </cfRule>
  </conditionalFormatting>
  <conditionalFormatting sqref="W125">
    <cfRule type="containsText" dxfId="2404" priority="9" operator="containsText" text="Str">
      <formula>NOT(ISERROR(SEARCH("Str",W125)))</formula>
    </cfRule>
    <cfRule type="containsText" dxfId="2403" priority="10" operator="containsText" text="Ere">
      <formula>NOT(ISERROR(SEARCH("Ere",W125)))</formula>
    </cfRule>
    <cfRule type="containsText" dxfId="2402" priority="11" operator="containsText" text="Ear">
      <formula>NOT(ISERROR(SEARCH("Ear",W125)))</formula>
    </cfRule>
    <cfRule type="containsText" dxfId="2401" priority="12" operator="containsText" text="fnd">
      <formula>NOT(ISERROR(SEARCH("fnd",W125)))</formula>
    </cfRule>
  </conditionalFormatting>
  <conditionalFormatting sqref="W126:X126">
    <cfRule type="containsText" dxfId="2400" priority="13" operator="containsText" text="Str">
      <formula>NOT(ISERROR(SEARCH("Str",W126)))</formula>
    </cfRule>
    <cfRule type="containsText" dxfId="2399" priority="14" operator="containsText" text="Ere">
      <formula>NOT(ISERROR(SEARCH("Ere",W126)))</formula>
    </cfRule>
    <cfRule type="containsText" dxfId="2398" priority="15" operator="containsText" text="Ear">
      <formula>NOT(ISERROR(SEARCH("Ear",W126)))</formula>
    </cfRule>
    <cfRule type="containsText" dxfId="2397" priority="16" operator="containsText" text="fnd">
      <formula>NOT(ISERROR(SEARCH("fnd",W126)))</formula>
    </cfRule>
  </conditionalFormatting>
  <conditionalFormatting sqref="AL125">
    <cfRule type="containsText" dxfId="2396" priority="1" operator="containsText" text="Str">
      <formula>NOT(ISERROR(SEARCH("Str",AL125)))</formula>
    </cfRule>
    <cfRule type="containsText" dxfId="2395" priority="2" operator="containsText" text="Ere">
      <formula>NOT(ISERROR(SEARCH("Ere",AL125)))</formula>
    </cfRule>
    <cfRule type="containsText" dxfId="2394" priority="3" operator="containsText" text="Ear">
      <formula>NOT(ISERROR(SEARCH("Ear",AL125)))</formula>
    </cfRule>
    <cfRule type="containsText" dxfId="2393" priority="4" operator="containsText" text="fnd">
      <formula>NOT(ISERROR(SEARCH("fnd",AL125)))</formula>
    </cfRule>
  </conditionalFormatting>
  <conditionalFormatting sqref="AL126:AM126">
    <cfRule type="containsText" dxfId="2392" priority="5" operator="containsText" text="Str">
      <formula>NOT(ISERROR(SEARCH("Str",AL126)))</formula>
    </cfRule>
    <cfRule type="containsText" dxfId="2391" priority="6" operator="containsText" text="Ere">
      <formula>NOT(ISERROR(SEARCH("Ere",AL126)))</formula>
    </cfRule>
    <cfRule type="containsText" dxfId="2390" priority="7" operator="containsText" text="Ear">
      <formula>NOT(ISERROR(SEARCH("Ear",AL126)))</formula>
    </cfRule>
    <cfRule type="containsText" dxfId="2389" priority="8" operator="containsText" text="fnd">
      <formula>NOT(ISERROR(SEARCH("fnd",AL126)))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AQ10" sqref="AQ1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88" t="str">
        <f>[2]TS!A1</f>
        <v>Name of Line:- 765 KV D/C Mandsaur - Kurawar (Part-1)Transmission Line(WZ-4)</v>
      </c>
      <c r="B1" s="689"/>
      <c r="C1" s="689"/>
      <c r="D1" s="689"/>
      <c r="E1" s="689"/>
      <c r="F1" s="689"/>
      <c r="G1" s="690"/>
      <c r="H1" s="690"/>
      <c r="I1" s="690"/>
      <c r="J1" s="690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689"/>
      <c r="AH1" s="689"/>
      <c r="AI1" s="689"/>
      <c r="AJ1" s="689"/>
      <c r="AK1" s="689"/>
      <c r="AL1" s="689"/>
      <c r="AM1" s="689"/>
      <c r="AN1" s="689"/>
      <c r="AO1" s="689"/>
      <c r="AP1" s="689"/>
      <c r="AQ1" s="689"/>
      <c r="AR1" s="689"/>
      <c r="AS1" s="689"/>
      <c r="AT1" s="219"/>
      <c r="AV1" s="691"/>
      <c r="AW1" s="692"/>
      <c r="AX1" s="692"/>
      <c r="AY1" s="692"/>
      <c r="AZ1" s="692"/>
      <c r="BA1" s="692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3" t="s">
        <v>387</v>
      </c>
      <c r="U2" s="693"/>
      <c r="V2" s="693"/>
      <c r="W2" s="693"/>
      <c r="X2" s="693"/>
      <c r="Y2" s="693"/>
      <c r="Z2" s="693"/>
      <c r="AA2" s="693"/>
      <c r="AB2" s="693"/>
      <c r="AC2" s="693"/>
      <c r="AD2" s="693"/>
      <c r="AE2" s="19"/>
      <c r="AF2" s="506"/>
      <c r="AG2" s="506"/>
      <c r="AH2" s="19"/>
      <c r="AI2" s="506"/>
      <c r="AJ2" s="506"/>
      <c r="AK2" s="694" t="s">
        <v>351</v>
      </c>
      <c r="AL2" s="694"/>
      <c r="AM2" s="694"/>
      <c r="AN2" s="695">
        <v>46170</v>
      </c>
      <c r="AO2" s="695"/>
      <c r="AP2" s="695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267</v>
      </c>
      <c r="AW3" s="8">
        <f>SUM(AW6:AW182)</f>
        <v>235</v>
      </c>
      <c r="AX3" s="8">
        <f>SUM(AX6:AX182)</f>
        <v>208</v>
      </c>
      <c r="AY3" s="8">
        <f t="shared" ref="AY3:BA3" si="0">SUM(AY6:AY182)</f>
        <v>4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96"/>
      <c r="C4" s="696"/>
      <c r="E4" s="696"/>
      <c r="F4" s="696"/>
      <c r="H4" s="697"/>
      <c r="I4" s="697"/>
      <c r="K4" s="696"/>
      <c r="L4" s="696"/>
      <c r="N4" s="696"/>
      <c r="O4" s="696"/>
      <c r="Q4" s="697"/>
      <c r="R4" s="697"/>
      <c r="T4" s="697"/>
      <c r="U4" s="697"/>
      <c r="W4" s="710"/>
      <c r="X4" s="710"/>
      <c r="Z4" s="710"/>
      <c r="AA4" s="710"/>
      <c r="AC4" s="697"/>
      <c r="AD4" s="696"/>
      <c r="AF4" s="697"/>
      <c r="AG4" s="696"/>
      <c r="AI4" s="697"/>
      <c r="AJ4" s="696"/>
      <c r="AL4" s="697"/>
      <c r="AM4" s="696"/>
      <c r="AO4" s="697"/>
      <c r="AP4" s="696"/>
      <c r="AQ4" s="10"/>
      <c r="AR4" s="10"/>
      <c r="AT4" s="7"/>
      <c r="AV4" s="10"/>
    </row>
    <row r="5" spans="1:53" x14ac:dyDescent="0.35">
      <c r="A5" s="5"/>
      <c r="B5" s="8"/>
      <c r="C5" s="13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04" t="s">
        <v>397</v>
      </c>
      <c r="U5" s="705"/>
      <c r="V5" s="510"/>
      <c r="W5" s="704" t="s">
        <v>397</v>
      </c>
      <c r="X5" s="705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404"/>
      <c r="C6" s="404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06"/>
      <c r="U6" s="707"/>
      <c r="V6" s="513"/>
      <c r="W6" s="706"/>
      <c r="X6" s="707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11</v>
      </c>
      <c r="AW6" s="2">
        <v>7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699" t="s">
        <v>9</v>
      </c>
      <c r="C7" s="699"/>
      <c r="D7" s="517">
        <v>148.47800000000001</v>
      </c>
      <c r="E7" s="699" t="s">
        <v>9</v>
      </c>
      <c r="F7" s="699"/>
      <c r="G7" s="517">
        <v>408.83199999999999</v>
      </c>
      <c r="H7" s="701" t="s">
        <v>12</v>
      </c>
      <c r="I7" s="699"/>
      <c r="J7" s="513">
        <v>380</v>
      </c>
      <c r="K7" s="701" t="s">
        <v>14</v>
      </c>
      <c r="L7" s="699"/>
      <c r="M7" s="513">
        <v>422</v>
      </c>
      <c r="N7" s="708" t="s">
        <v>16</v>
      </c>
      <c r="O7" s="709"/>
      <c r="P7" s="517">
        <v>408.35199999999998</v>
      </c>
      <c r="Q7" s="702" t="s">
        <v>18</v>
      </c>
      <c r="R7" s="699"/>
      <c r="S7" s="517">
        <v>419.45299999999997</v>
      </c>
      <c r="T7" s="702" t="s">
        <v>20</v>
      </c>
      <c r="U7" s="699"/>
      <c r="V7" s="513">
        <v>381</v>
      </c>
      <c r="W7" s="702" t="s">
        <v>20</v>
      </c>
      <c r="X7" s="699"/>
      <c r="Y7" s="513">
        <v>417</v>
      </c>
      <c r="Z7" s="698" t="s">
        <v>23</v>
      </c>
      <c r="AA7" s="699"/>
      <c r="AB7" s="6">
        <v>417</v>
      </c>
      <c r="AC7" s="698" t="s">
        <v>16</v>
      </c>
      <c r="AD7" s="699"/>
      <c r="AE7" s="513">
        <v>417</v>
      </c>
      <c r="AF7" s="699" t="s">
        <v>23</v>
      </c>
      <c r="AG7" s="699"/>
      <c r="AH7" s="517">
        <v>388.00299999999999</v>
      </c>
      <c r="AI7" s="698" t="s">
        <v>16</v>
      </c>
      <c r="AJ7" s="699"/>
      <c r="AK7" s="517">
        <v>452.34300000000002</v>
      </c>
      <c r="AL7" s="698" t="s">
        <v>28</v>
      </c>
      <c r="AM7" s="699"/>
      <c r="AN7" s="337">
        <v>401</v>
      </c>
      <c r="AO7" s="700" t="s">
        <v>23</v>
      </c>
      <c r="AP7" s="700"/>
      <c r="AQ7" s="513">
        <v>330</v>
      </c>
      <c r="AT7" s="7"/>
      <c r="AX7" s="10"/>
    </row>
    <row r="8" spans="1:53" x14ac:dyDescent="0.35">
      <c r="A8" s="5"/>
      <c r="B8" s="699" t="s">
        <v>8</v>
      </c>
      <c r="C8" s="699"/>
      <c r="D8" s="519"/>
      <c r="E8" s="699" t="s">
        <v>10</v>
      </c>
      <c r="F8" s="699"/>
      <c r="G8" s="519"/>
      <c r="H8" s="701" t="s">
        <v>11</v>
      </c>
      <c r="I8" s="699"/>
      <c r="J8" s="519"/>
      <c r="K8" s="701" t="s">
        <v>13</v>
      </c>
      <c r="L8" s="699"/>
      <c r="M8" s="519"/>
      <c r="N8" s="702" t="s">
        <v>15</v>
      </c>
      <c r="O8" s="703"/>
      <c r="P8" s="519"/>
      <c r="Q8" s="702" t="s">
        <v>17</v>
      </c>
      <c r="R8" s="703"/>
      <c r="S8" s="519"/>
      <c r="T8" s="702" t="s">
        <v>19</v>
      </c>
      <c r="U8" s="703"/>
      <c r="V8" s="519"/>
      <c r="W8" s="702" t="s">
        <v>21</v>
      </c>
      <c r="X8" s="703"/>
      <c r="Y8" s="519"/>
      <c r="Z8" s="702" t="s">
        <v>22</v>
      </c>
      <c r="AA8" s="703"/>
      <c r="AB8" s="513"/>
      <c r="AC8" s="702" t="s">
        <v>24</v>
      </c>
      <c r="AD8" s="703"/>
      <c r="AE8" s="519"/>
      <c r="AF8" s="702" t="s">
        <v>25</v>
      </c>
      <c r="AG8" s="703"/>
      <c r="AH8" s="519"/>
      <c r="AI8" s="702" t="s">
        <v>26</v>
      </c>
      <c r="AJ8" s="703"/>
      <c r="AK8" s="519"/>
      <c r="AL8" s="698" t="s">
        <v>27</v>
      </c>
      <c r="AM8" s="699"/>
      <c r="AN8" s="516"/>
      <c r="AO8" s="698" t="s">
        <v>29</v>
      </c>
      <c r="AP8" s="699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717"/>
      <c r="T10" s="717"/>
      <c r="U10" s="717"/>
      <c r="V10" s="717"/>
      <c r="Y10" s="718"/>
      <c r="Z10" s="718"/>
      <c r="AA10" s="718"/>
      <c r="AB10" s="718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0"/>
      <c r="C12" s="710"/>
      <c r="E12" s="697"/>
      <c r="F12" s="696"/>
      <c r="H12" s="697"/>
      <c r="I12" s="696"/>
      <c r="K12" s="696"/>
      <c r="L12" s="696"/>
      <c r="N12" s="697"/>
      <c r="O12" s="696"/>
      <c r="Q12" s="697"/>
      <c r="R12" s="696"/>
      <c r="T12" s="697"/>
      <c r="U12" s="696"/>
      <c r="W12" s="697"/>
      <c r="X12" s="696"/>
      <c r="Z12" s="697"/>
      <c r="AA12" s="696"/>
      <c r="AC12" s="696"/>
      <c r="AD12" s="696"/>
      <c r="AF12" s="697"/>
      <c r="AG12" s="696"/>
      <c r="AI12" s="696"/>
      <c r="AJ12" s="696"/>
      <c r="AL12" s="696"/>
      <c r="AM12" s="696"/>
      <c r="AO12" s="697"/>
      <c r="AP12" s="696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11</v>
      </c>
      <c r="AX14" s="2">
        <v>14</v>
      </c>
      <c r="AY14" s="2">
        <v>4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699" t="s">
        <v>31</v>
      </c>
      <c r="C15" s="699"/>
      <c r="D15" s="513">
        <v>413</v>
      </c>
      <c r="E15" s="711" t="s">
        <v>33</v>
      </c>
      <c r="F15" s="711"/>
      <c r="G15" s="527">
        <v>422</v>
      </c>
      <c r="H15" s="712" t="s">
        <v>35</v>
      </c>
      <c r="I15" s="711"/>
      <c r="J15" s="519">
        <v>396</v>
      </c>
      <c r="K15" s="713" t="s">
        <v>31</v>
      </c>
      <c r="L15" s="711"/>
      <c r="M15" s="513">
        <v>385</v>
      </c>
      <c r="N15" s="713" t="s">
        <v>31</v>
      </c>
      <c r="O15" s="711"/>
      <c r="P15" s="513">
        <v>338</v>
      </c>
      <c r="Q15" s="714" t="s">
        <v>23</v>
      </c>
      <c r="R15" s="715"/>
      <c r="S15" s="513">
        <v>324</v>
      </c>
      <c r="T15" s="716" t="s">
        <v>40</v>
      </c>
      <c r="U15" s="711"/>
      <c r="V15" s="513">
        <v>380</v>
      </c>
      <c r="W15" s="698" t="s">
        <v>14</v>
      </c>
      <c r="X15" s="699"/>
      <c r="Y15" s="513">
        <v>374</v>
      </c>
      <c r="Z15" s="716" t="s">
        <v>35</v>
      </c>
      <c r="AA15" s="711"/>
      <c r="AB15" s="528">
        <v>415</v>
      </c>
      <c r="AC15" s="711" t="s">
        <v>35</v>
      </c>
      <c r="AD15" s="711"/>
      <c r="AE15" s="529">
        <v>386</v>
      </c>
      <c r="AF15" s="713" t="s">
        <v>40</v>
      </c>
      <c r="AG15" s="711"/>
      <c r="AH15" s="513">
        <v>352</v>
      </c>
      <c r="AI15" s="713" t="s">
        <v>31</v>
      </c>
      <c r="AJ15" s="711"/>
      <c r="AK15" s="513">
        <v>392</v>
      </c>
      <c r="AL15" s="713" t="s">
        <v>31</v>
      </c>
      <c r="AM15" s="711"/>
      <c r="AN15" s="513">
        <v>381</v>
      </c>
      <c r="AO15" s="713" t="s">
        <v>31</v>
      </c>
      <c r="AP15" s="711"/>
      <c r="AQ15" s="516">
        <v>390</v>
      </c>
      <c r="AR15" s="516"/>
      <c r="AS15" s="519"/>
      <c r="AT15" s="213"/>
    </row>
    <row r="16" spans="1:53" x14ac:dyDescent="0.35">
      <c r="A16" s="5"/>
      <c r="B16" s="698" t="s">
        <v>30</v>
      </c>
      <c r="C16" s="699"/>
      <c r="D16" s="519"/>
      <c r="E16" s="698" t="s">
        <v>32</v>
      </c>
      <c r="F16" s="699"/>
      <c r="G16" s="519"/>
      <c r="H16" s="698" t="s">
        <v>34</v>
      </c>
      <c r="I16" s="699"/>
      <c r="J16" s="519"/>
      <c r="K16" s="698" t="s">
        <v>36</v>
      </c>
      <c r="L16" s="699"/>
      <c r="M16" s="519"/>
      <c r="N16" s="698" t="s">
        <v>37</v>
      </c>
      <c r="O16" s="699"/>
      <c r="P16" s="519"/>
      <c r="Q16" s="698" t="s">
        <v>38</v>
      </c>
      <c r="R16" s="699"/>
      <c r="S16" s="519"/>
      <c r="T16" s="702" t="s">
        <v>39</v>
      </c>
      <c r="U16" s="703"/>
      <c r="V16" s="519"/>
      <c r="W16" s="702" t="s">
        <v>41</v>
      </c>
      <c r="X16" s="703"/>
      <c r="Y16" s="519"/>
      <c r="Z16" s="702" t="s">
        <v>42</v>
      </c>
      <c r="AA16" s="703"/>
      <c r="AB16" s="528"/>
      <c r="AC16" s="702" t="s">
        <v>43</v>
      </c>
      <c r="AD16" s="703"/>
      <c r="AE16" s="529"/>
      <c r="AF16" s="702" t="s">
        <v>44</v>
      </c>
      <c r="AG16" s="703"/>
      <c r="AH16" s="519"/>
      <c r="AI16" s="702" t="s">
        <v>45</v>
      </c>
      <c r="AJ16" s="703"/>
      <c r="AK16" s="519"/>
      <c r="AL16" s="702" t="s">
        <v>46</v>
      </c>
      <c r="AM16" s="703"/>
      <c r="AN16" s="519"/>
      <c r="AO16" s="702" t="s">
        <v>47</v>
      </c>
      <c r="AP16" s="703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718"/>
      <c r="E18" s="718"/>
      <c r="F18" s="718"/>
      <c r="G18" s="718"/>
      <c r="AT18" s="7"/>
    </row>
    <row r="19" spans="1:53" x14ac:dyDescent="0.35">
      <c r="A19" s="5"/>
      <c r="AT19" s="7"/>
    </row>
    <row r="20" spans="1:53" x14ac:dyDescent="0.35">
      <c r="A20" s="5"/>
      <c r="B20" s="719"/>
      <c r="C20" s="710"/>
      <c r="E20" s="696"/>
      <c r="F20" s="696"/>
      <c r="H20" s="697"/>
      <c r="I20" s="696"/>
      <c r="K20" s="696"/>
      <c r="L20" s="696"/>
      <c r="N20" s="696"/>
      <c r="O20" s="696"/>
      <c r="Q20" s="697"/>
      <c r="R20" s="696"/>
      <c r="T20" s="697"/>
      <c r="U20" s="696"/>
      <c r="W20" s="697"/>
      <c r="X20" s="696"/>
      <c r="Z20" s="697"/>
      <c r="AA20" s="696"/>
      <c r="AC20" s="697"/>
      <c r="AD20" s="696"/>
      <c r="AF20" s="697"/>
      <c r="AG20" s="696"/>
      <c r="AI20" s="697"/>
      <c r="AJ20" s="696"/>
      <c r="AL20" s="697"/>
      <c r="AM20" s="696"/>
      <c r="AO20" s="697"/>
      <c r="AP20" s="696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702" t="s">
        <v>31</v>
      </c>
      <c r="C23" s="703"/>
      <c r="D23" s="519">
        <v>391</v>
      </c>
      <c r="E23" s="713" t="s">
        <v>28</v>
      </c>
      <c r="F23" s="711"/>
      <c r="G23" s="519">
        <v>331</v>
      </c>
      <c r="H23" s="712" t="s">
        <v>31</v>
      </c>
      <c r="I23" s="711"/>
      <c r="J23" s="513">
        <v>404</v>
      </c>
      <c r="K23" s="713" t="s">
        <v>33</v>
      </c>
      <c r="L23" s="711"/>
      <c r="M23" s="513">
        <v>410</v>
      </c>
      <c r="N23" s="713" t="s">
        <v>33</v>
      </c>
      <c r="O23" s="711"/>
      <c r="P23" s="513">
        <v>398</v>
      </c>
      <c r="Q23" s="714" t="s">
        <v>33</v>
      </c>
      <c r="R23" s="715"/>
      <c r="S23" s="513">
        <v>432</v>
      </c>
      <c r="T23" s="712" t="s">
        <v>31</v>
      </c>
      <c r="U23" s="711"/>
      <c r="V23" s="513">
        <v>356</v>
      </c>
      <c r="W23" s="712" t="s">
        <v>31</v>
      </c>
      <c r="X23" s="711"/>
      <c r="Y23" s="513">
        <v>408</v>
      </c>
      <c r="Z23" s="712" t="s">
        <v>31</v>
      </c>
      <c r="AA23" s="711"/>
      <c r="AB23" s="513">
        <v>415</v>
      </c>
      <c r="AC23" s="714" t="s">
        <v>33</v>
      </c>
      <c r="AD23" s="715"/>
      <c r="AE23" s="513">
        <v>371</v>
      </c>
      <c r="AF23" s="720" t="s">
        <v>23</v>
      </c>
      <c r="AG23" s="720"/>
      <c r="AH23" s="519">
        <v>364</v>
      </c>
      <c r="AI23" s="712" t="s">
        <v>31</v>
      </c>
      <c r="AJ23" s="711"/>
      <c r="AK23" s="530">
        <v>415</v>
      </c>
      <c r="AL23" s="720" t="s">
        <v>61</v>
      </c>
      <c r="AM23" s="720"/>
      <c r="AN23" s="519">
        <v>389</v>
      </c>
      <c r="AO23" s="714" t="s">
        <v>33</v>
      </c>
      <c r="AP23" s="715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702" t="s">
        <v>48</v>
      </c>
      <c r="C24" s="703"/>
      <c r="D24" s="519"/>
      <c r="E24" s="698" t="s">
        <v>49</v>
      </c>
      <c r="F24" s="699"/>
      <c r="G24" s="519"/>
      <c r="H24" s="698" t="s">
        <v>50</v>
      </c>
      <c r="I24" s="699"/>
      <c r="J24" s="519"/>
      <c r="K24" s="698" t="s">
        <v>51</v>
      </c>
      <c r="L24" s="699"/>
      <c r="M24" s="519"/>
      <c r="N24" s="698" t="s">
        <v>52</v>
      </c>
      <c r="O24" s="699"/>
      <c r="P24" s="519"/>
      <c r="Q24" s="698" t="s">
        <v>53</v>
      </c>
      <c r="R24" s="699"/>
      <c r="S24" s="519"/>
      <c r="T24" s="698" t="s">
        <v>54</v>
      </c>
      <c r="U24" s="699"/>
      <c r="V24" s="519"/>
      <c r="W24" s="698" t="s">
        <v>55</v>
      </c>
      <c r="X24" s="699"/>
      <c r="Y24" s="519"/>
      <c r="Z24" s="698" t="s">
        <v>56</v>
      </c>
      <c r="AA24" s="699"/>
      <c r="AB24" s="519"/>
      <c r="AC24" s="698" t="s">
        <v>57</v>
      </c>
      <c r="AD24" s="699"/>
      <c r="AE24" s="531"/>
      <c r="AF24" s="698" t="s">
        <v>58</v>
      </c>
      <c r="AG24" s="699"/>
      <c r="AH24" s="531"/>
      <c r="AI24" s="698" t="s">
        <v>59</v>
      </c>
      <c r="AJ24" s="699"/>
      <c r="AK24" s="531"/>
      <c r="AL24" s="721" t="s">
        <v>60</v>
      </c>
      <c r="AM24" s="721"/>
      <c r="AN24" s="531"/>
      <c r="AO24" s="721" t="s">
        <v>62</v>
      </c>
      <c r="AP24" s="721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722"/>
      <c r="H26" s="722"/>
      <c r="I26" s="722"/>
      <c r="J26" s="722"/>
      <c r="T26" s="723" t="s">
        <v>404</v>
      </c>
      <c r="U26" s="723"/>
      <c r="V26" s="723"/>
      <c r="W26" s="723"/>
      <c r="X26" s="723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719"/>
      <c r="C28" s="710"/>
      <c r="E28" s="696"/>
      <c r="F28" s="696"/>
      <c r="H28" s="696"/>
      <c r="I28" s="696"/>
      <c r="K28" s="696"/>
      <c r="L28" s="696"/>
      <c r="N28" s="696"/>
      <c r="O28" s="696"/>
      <c r="Q28" s="696"/>
      <c r="R28" s="696"/>
      <c r="T28" s="696"/>
      <c r="U28" s="696"/>
      <c r="W28" s="696"/>
      <c r="X28" s="696"/>
      <c r="Z28" s="696"/>
      <c r="AA28" s="696"/>
      <c r="AC28" s="696"/>
      <c r="AD28" s="696"/>
      <c r="AF28" s="696"/>
      <c r="AG28" s="696"/>
      <c r="AI28" s="696"/>
      <c r="AJ28" s="696"/>
      <c r="AL28" s="696"/>
      <c r="AM28" s="696"/>
      <c r="AO28" s="696"/>
      <c r="AP28" s="696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04" t="s">
        <v>897</v>
      </c>
      <c r="X29" s="705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06"/>
      <c r="X30" s="707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712" t="s">
        <v>31</v>
      </c>
      <c r="C31" s="711"/>
      <c r="D31" s="513">
        <v>439</v>
      </c>
      <c r="E31" s="712" t="s">
        <v>16</v>
      </c>
      <c r="F31" s="711"/>
      <c r="G31" s="513">
        <v>381</v>
      </c>
      <c r="H31" s="713" t="s">
        <v>28</v>
      </c>
      <c r="I31" s="711"/>
      <c r="J31" s="513">
        <v>386</v>
      </c>
      <c r="K31" s="713" t="s">
        <v>31</v>
      </c>
      <c r="L31" s="711"/>
      <c r="M31" s="513">
        <v>356</v>
      </c>
      <c r="N31" s="713" t="s">
        <v>23</v>
      </c>
      <c r="O31" s="711"/>
      <c r="P31" s="513">
        <v>365</v>
      </c>
      <c r="Q31" s="713" t="s">
        <v>33</v>
      </c>
      <c r="R31" s="711"/>
      <c r="S31" s="513">
        <v>475</v>
      </c>
      <c r="T31" s="713" t="s">
        <v>70</v>
      </c>
      <c r="U31" s="711"/>
      <c r="V31" s="513">
        <v>196</v>
      </c>
      <c r="W31" s="713" t="s">
        <v>70</v>
      </c>
      <c r="X31" s="711"/>
      <c r="Y31" s="519">
        <v>477</v>
      </c>
      <c r="Z31" s="713" t="s">
        <v>33</v>
      </c>
      <c r="AA31" s="711"/>
      <c r="AB31" s="513">
        <v>363</v>
      </c>
      <c r="AC31" s="713" t="s">
        <v>23</v>
      </c>
      <c r="AD31" s="711"/>
      <c r="AE31" s="513">
        <v>328</v>
      </c>
      <c r="AF31" s="713" t="s">
        <v>23</v>
      </c>
      <c r="AG31" s="711"/>
      <c r="AH31" s="519">
        <v>376</v>
      </c>
      <c r="AI31" s="713" t="s">
        <v>31</v>
      </c>
      <c r="AJ31" s="711"/>
      <c r="AK31" s="513">
        <v>393</v>
      </c>
      <c r="AL31" s="713" t="s">
        <v>35</v>
      </c>
      <c r="AM31" s="711"/>
      <c r="AN31" s="519">
        <v>397</v>
      </c>
      <c r="AO31" s="713" t="s">
        <v>31</v>
      </c>
      <c r="AP31" s="711"/>
      <c r="AQ31" s="516">
        <v>394</v>
      </c>
      <c r="AR31" s="516"/>
      <c r="AS31" s="513"/>
      <c r="AT31" s="211"/>
    </row>
    <row r="32" spans="1:53" x14ac:dyDescent="0.35">
      <c r="A32" s="5"/>
      <c r="B32" s="721" t="s">
        <v>63</v>
      </c>
      <c r="C32" s="721"/>
      <c r="D32" s="519"/>
      <c r="E32" s="721" t="s">
        <v>64</v>
      </c>
      <c r="F32" s="721"/>
      <c r="G32" s="519"/>
      <c r="H32" s="721" t="s">
        <v>65</v>
      </c>
      <c r="I32" s="721"/>
      <c r="J32" s="519"/>
      <c r="K32" s="721" t="s">
        <v>66</v>
      </c>
      <c r="L32" s="721"/>
      <c r="M32" s="519"/>
      <c r="N32" s="721" t="s">
        <v>67</v>
      </c>
      <c r="O32" s="721"/>
      <c r="P32" s="519"/>
      <c r="Q32" s="721" t="s">
        <v>68</v>
      </c>
      <c r="R32" s="721"/>
      <c r="S32" s="519"/>
      <c r="T32" s="698" t="s">
        <v>69</v>
      </c>
      <c r="U32" s="699"/>
      <c r="V32" s="519"/>
      <c r="W32" s="698" t="s">
        <v>388</v>
      </c>
      <c r="X32" s="699"/>
      <c r="Y32" s="519"/>
      <c r="Z32" s="698" t="s">
        <v>71</v>
      </c>
      <c r="AA32" s="699"/>
      <c r="AB32" s="519"/>
      <c r="AC32" s="698" t="s">
        <v>72</v>
      </c>
      <c r="AD32" s="699"/>
      <c r="AE32" s="519"/>
      <c r="AF32" s="698" t="s">
        <v>73</v>
      </c>
      <c r="AG32" s="699"/>
      <c r="AH32" s="519"/>
      <c r="AI32" s="698" t="s">
        <v>74</v>
      </c>
      <c r="AJ32" s="699"/>
      <c r="AK32" s="519"/>
      <c r="AL32" s="698" t="s">
        <v>75</v>
      </c>
      <c r="AM32" s="699"/>
      <c r="AN32" s="519"/>
      <c r="AO32" s="698" t="s">
        <v>76</v>
      </c>
      <c r="AP32" s="699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0"/>
      <c r="C34" s="710"/>
      <c r="D34" s="710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0"/>
      <c r="C36" s="710"/>
      <c r="E36" s="696"/>
      <c r="F36" s="696"/>
      <c r="H36" s="696"/>
      <c r="I36" s="696"/>
      <c r="K36" s="696"/>
      <c r="L36" s="696"/>
      <c r="N36" s="696"/>
      <c r="O36" s="696"/>
      <c r="Q36" s="696"/>
      <c r="R36" s="696"/>
      <c r="T36" s="696"/>
      <c r="U36" s="696"/>
      <c r="W36" s="696"/>
      <c r="X36" s="696"/>
      <c r="Z36" s="696"/>
      <c r="AA36" s="696"/>
      <c r="AC36" s="696"/>
      <c r="AD36" s="696"/>
      <c r="AF36" s="696"/>
      <c r="AG36" s="696"/>
      <c r="AI36" s="696"/>
      <c r="AJ36" s="696"/>
      <c r="AL36" s="696"/>
      <c r="AM36" s="696"/>
      <c r="AO36" s="696"/>
      <c r="AP36" s="696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698" t="s">
        <v>31</v>
      </c>
      <c r="C39" s="699"/>
      <c r="D39" s="519">
        <v>373</v>
      </c>
      <c r="E39" s="713" t="s">
        <v>61</v>
      </c>
      <c r="F39" s="711"/>
      <c r="G39" s="519">
        <v>357</v>
      </c>
      <c r="H39" s="713" t="s">
        <v>14</v>
      </c>
      <c r="I39" s="711"/>
      <c r="J39" s="519">
        <v>374</v>
      </c>
      <c r="K39" s="713" t="s">
        <v>31</v>
      </c>
      <c r="L39" s="711"/>
      <c r="M39" s="519">
        <v>380</v>
      </c>
      <c r="N39" s="713" t="s">
        <v>31</v>
      </c>
      <c r="O39" s="711"/>
      <c r="P39" s="519">
        <v>344</v>
      </c>
      <c r="Q39" s="713" t="s">
        <v>23</v>
      </c>
      <c r="R39" s="711"/>
      <c r="S39" s="519">
        <v>330</v>
      </c>
      <c r="T39" s="713" t="s">
        <v>31</v>
      </c>
      <c r="U39" s="711"/>
      <c r="V39" s="519">
        <v>367</v>
      </c>
      <c r="W39" s="713" t="s">
        <v>18</v>
      </c>
      <c r="X39" s="711"/>
      <c r="Y39" s="519">
        <v>385</v>
      </c>
      <c r="Z39" s="713" t="s">
        <v>31</v>
      </c>
      <c r="AA39" s="711"/>
      <c r="AB39" s="519">
        <v>355</v>
      </c>
      <c r="AC39" s="713" t="s">
        <v>31</v>
      </c>
      <c r="AD39" s="711"/>
      <c r="AE39" s="519">
        <v>357</v>
      </c>
      <c r="AF39" s="713" t="s">
        <v>23</v>
      </c>
      <c r="AG39" s="711"/>
      <c r="AH39" s="519">
        <v>393</v>
      </c>
      <c r="AI39" s="713" t="s">
        <v>33</v>
      </c>
      <c r="AJ39" s="711"/>
      <c r="AK39" s="530">
        <v>383</v>
      </c>
      <c r="AL39" s="713" t="s">
        <v>31</v>
      </c>
      <c r="AM39" s="711"/>
      <c r="AN39" s="519">
        <v>388</v>
      </c>
      <c r="AO39" s="713" t="s">
        <v>61</v>
      </c>
      <c r="AP39" s="711"/>
      <c r="AQ39" s="516">
        <v>368</v>
      </c>
      <c r="AR39" s="516"/>
      <c r="AT39" s="7"/>
    </row>
    <row r="40" spans="1:53" x14ac:dyDescent="0.35">
      <c r="A40" s="5"/>
      <c r="B40" s="698" t="s">
        <v>77</v>
      </c>
      <c r="C40" s="699"/>
      <c r="D40" s="519"/>
      <c r="E40" s="698" t="s">
        <v>78</v>
      </c>
      <c r="F40" s="699"/>
      <c r="G40" s="519"/>
      <c r="H40" s="698" t="s">
        <v>79</v>
      </c>
      <c r="I40" s="699"/>
      <c r="J40" s="519"/>
      <c r="K40" s="698" t="s">
        <v>80</v>
      </c>
      <c r="L40" s="699"/>
      <c r="M40" s="519"/>
      <c r="N40" s="698" t="s">
        <v>81</v>
      </c>
      <c r="O40" s="699"/>
      <c r="P40" s="519"/>
      <c r="Q40" s="698" t="s">
        <v>82</v>
      </c>
      <c r="R40" s="699"/>
      <c r="S40" s="519"/>
      <c r="T40" s="698" t="s">
        <v>83</v>
      </c>
      <c r="U40" s="699"/>
      <c r="V40" s="519"/>
      <c r="W40" s="698" t="s">
        <v>84</v>
      </c>
      <c r="X40" s="699"/>
      <c r="Y40" s="519"/>
      <c r="Z40" s="698" t="s">
        <v>85</v>
      </c>
      <c r="AA40" s="699"/>
      <c r="AB40" s="519"/>
      <c r="AC40" s="698" t="s">
        <v>86</v>
      </c>
      <c r="AD40" s="699"/>
      <c r="AE40" s="519"/>
      <c r="AF40" s="698" t="s">
        <v>87</v>
      </c>
      <c r="AG40" s="699"/>
      <c r="AH40" s="519"/>
      <c r="AI40" s="698" t="s">
        <v>88</v>
      </c>
      <c r="AJ40" s="699"/>
      <c r="AK40" s="519"/>
      <c r="AL40" s="698" t="s">
        <v>89</v>
      </c>
      <c r="AM40" s="699"/>
      <c r="AN40" s="519"/>
      <c r="AO40" s="698" t="s">
        <v>90</v>
      </c>
      <c r="AP40" s="699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0"/>
      <c r="C44" s="710"/>
      <c r="E44" s="696"/>
      <c r="F44" s="696"/>
      <c r="H44" s="696"/>
      <c r="I44" s="696"/>
      <c r="K44" s="696"/>
      <c r="L44" s="696"/>
      <c r="N44" s="696"/>
      <c r="O44" s="696"/>
      <c r="Q44" s="696"/>
      <c r="R44" s="696"/>
      <c r="T44" s="696"/>
      <c r="U44" s="696"/>
      <c r="W44" s="696"/>
      <c r="X44" s="696"/>
      <c r="Z44" s="696"/>
      <c r="AA44" s="696"/>
      <c r="AC44" s="696"/>
      <c r="AD44" s="696"/>
      <c r="AF44" s="696"/>
      <c r="AG44" s="696"/>
      <c r="AI44" s="696"/>
      <c r="AJ44" s="696"/>
      <c r="AL44" s="696"/>
      <c r="AM44" s="696"/>
      <c r="AO44" s="696"/>
      <c r="AP44" s="696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04" t="s">
        <v>397</v>
      </c>
      <c r="R45" s="705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06"/>
      <c r="R46" s="707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13" t="s">
        <v>31</v>
      </c>
      <c r="C47" s="711"/>
      <c r="D47" s="519">
        <v>412</v>
      </c>
      <c r="E47" s="713" t="s">
        <v>33</v>
      </c>
      <c r="F47" s="711"/>
      <c r="G47" s="519">
        <v>416</v>
      </c>
      <c r="H47" s="713" t="s">
        <v>31</v>
      </c>
      <c r="I47" s="711"/>
      <c r="J47" s="513">
        <v>407</v>
      </c>
      <c r="K47" s="713" t="s">
        <v>16</v>
      </c>
      <c r="L47" s="711"/>
      <c r="M47" s="534">
        <v>425</v>
      </c>
      <c r="N47" s="713" t="s">
        <v>23</v>
      </c>
      <c r="O47" s="711"/>
      <c r="P47" s="519">
        <v>386</v>
      </c>
      <c r="Q47" s="713" t="s">
        <v>31</v>
      </c>
      <c r="R47" s="711"/>
      <c r="S47" s="519">
        <v>359</v>
      </c>
      <c r="T47" s="713" t="s">
        <v>31</v>
      </c>
      <c r="U47" s="711"/>
      <c r="V47" s="519">
        <v>368</v>
      </c>
      <c r="W47" s="713" t="s">
        <v>31</v>
      </c>
      <c r="X47" s="711"/>
      <c r="Y47" s="519">
        <v>390</v>
      </c>
      <c r="Z47" s="713" t="s">
        <v>33</v>
      </c>
      <c r="AA47" s="711"/>
      <c r="AB47" s="519">
        <v>410</v>
      </c>
      <c r="AC47" s="713" t="s">
        <v>28</v>
      </c>
      <c r="AD47" s="711"/>
      <c r="AE47" s="519">
        <v>380</v>
      </c>
      <c r="AF47" s="713" t="s">
        <v>31</v>
      </c>
      <c r="AG47" s="711"/>
      <c r="AH47" s="530">
        <v>367</v>
      </c>
      <c r="AI47" s="713" t="s">
        <v>31</v>
      </c>
      <c r="AJ47" s="711"/>
      <c r="AK47" s="530">
        <v>433</v>
      </c>
      <c r="AL47" s="713" t="s">
        <v>20</v>
      </c>
      <c r="AM47" s="711"/>
      <c r="AN47" s="519">
        <v>400</v>
      </c>
      <c r="AO47" s="713" t="s">
        <v>31</v>
      </c>
      <c r="AP47" s="711"/>
      <c r="AQ47" s="516">
        <v>396</v>
      </c>
      <c r="AR47" s="516"/>
      <c r="AT47" s="7"/>
    </row>
    <row r="48" spans="1:53" x14ac:dyDescent="0.35">
      <c r="A48" s="5"/>
      <c r="B48" s="698" t="s">
        <v>91</v>
      </c>
      <c r="C48" s="699"/>
      <c r="D48" s="519"/>
      <c r="E48" s="698" t="s">
        <v>92</v>
      </c>
      <c r="F48" s="699"/>
      <c r="G48" s="519"/>
      <c r="H48" s="698" t="s">
        <v>93</v>
      </c>
      <c r="I48" s="698"/>
      <c r="J48" s="519"/>
      <c r="K48" s="698" t="s">
        <v>94</v>
      </c>
      <c r="L48" s="698"/>
      <c r="M48" s="519"/>
      <c r="N48" s="698" t="s">
        <v>95</v>
      </c>
      <c r="O48" s="698"/>
      <c r="P48" s="519"/>
      <c r="Q48" s="698" t="s">
        <v>96</v>
      </c>
      <c r="R48" s="698"/>
      <c r="S48" s="519"/>
      <c r="T48" s="698" t="s">
        <v>97</v>
      </c>
      <c r="U48" s="698"/>
      <c r="V48" s="519"/>
      <c r="W48" s="698" t="s">
        <v>98</v>
      </c>
      <c r="X48" s="699"/>
      <c r="Y48" s="519"/>
      <c r="Z48" s="698" t="s">
        <v>99</v>
      </c>
      <c r="AA48" s="699"/>
      <c r="AB48" s="519"/>
      <c r="AC48" s="698" t="s">
        <v>100</v>
      </c>
      <c r="AD48" s="699"/>
      <c r="AE48" s="519"/>
      <c r="AF48" s="698" t="s">
        <v>101</v>
      </c>
      <c r="AG48" s="699"/>
      <c r="AH48" s="519"/>
      <c r="AI48" s="698" t="s">
        <v>102</v>
      </c>
      <c r="AJ48" s="699"/>
      <c r="AK48" s="519"/>
      <c r="AL48" s="698" t="s">
        <v>103</v>
      </c>
      <c r="AM48" s="699"/>
      <c r="AN48" s="519"/>
      <c r="AO48" s="698" t="s">
        <v>104</v>
      </c>
      <c r="AP48" s="699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23" t="s">
        <v>406</v>
      </c>
      <c r="X50" s="723"/>
      <c r="Y50" s="723"/>
      <c r="Z50" s="723"/>
      <c r="AA50" s="723"/>
      <c r="AB50" s="723"/>
      <c r="AC50" s="723"/>
      <c r="AD50" s="723"/>
      <c r="AT50" s="7"/>
    </row>
    <row r="51" spans="1:53" x14ac:dyDescent="0.35">
      <c r="A51" s="5"/>
      <c r="AT51" s="7"/>
    </row>
    <row r="52" spans="1:53" x14ac:dyDescent="0.35">
      <c r="A52" s="5"/>
      <c r="B52" s="710"/>
      <c r="C52" s="710"/>
      <c r="E52" s="696"/>
      <c r="F52" s="696"/>
      <c r="H52" s="696"/>
      <c r="I52" s="696"/>
      <c r="K52" s="696"/>
      <c r="L52" s="696"/>
      <c r="N52" s="696"/>
      <c r="O52" s="696"/>
      <c r="Q52" s="696"/>
      <c r="R52" s="696"/>
      <c r="T52" s="696"/>
      <c r="U52" s="696"/>
      <c r="W52" s="696"/>
      <c r="X52" s="696"/>
      <c r="Z52" s="696"/>
      <c r="AA52" s="696"/>
      <c r="AC52" s="696"/>
      <c r="AD52" s="696"/>
      <c r="AF52" s="696"/>
      <c r="AG52" s="696"/>
      <c r="AI52" s="696"/>
      <c r="AJ52" s="696"/>
      <c r="AL52" s="696"/>
      <c r="AM52" s="696"/>
      <c r="AO52" s="696"/>
      <c r="AP52" s="696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04" t="s">
        <v>397</v>
      </c>
      <c r="AG53" s="705"/>
      <c r="AH53" s="510"/>
      <c r="AI53" s="724" t="s">
        <v>397</v>
      </c>
      <c r="AJ53" s="725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06"/>
      <c r="AG54" s="707"/>
      <c r="AH54" s="513"/>
      <c r="AI54" s="726"/>
      <c r="AJ54" s="727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13" t="s">
        <v>16</v>
      </c>
      <c r="C55" s="711"/>
      <c r="D55" s="513">
        <v>420</v>
      </c>
      <c r="E55" s="713" t="s">
        <v>23</v>
      </c>
      <c r="F55" s="711"/>
      <c r="G55" s="513">
        <v>354</v>
      </c>
      <c r="H55" s="713" t="s">
        <v>31</v>
      </c>
      <c r="I55" s="711"/>
      <c r="J55" s="513">
        <v>348</v>
      </c>
      <c r="K55" s="713" t="s">
        <v>23</v>
      </c>
      <c r="L55" s="711"/>
      <c r="M55" s="513">
        <v>319</v>
      </c>
      <c r="N55" s="713" t="s">
        <v>31</v>
      </c>
      <c r="O55" s="711"/>
      <c r="P55" s="513">
        <v>379</v>
      </c>
      <c r="Q55" s="713" t="s">
        <v>16</v>
      </c>
      <c r="R55" s="711"/>
      <c r="S55" s="513">
        <v>428</v>
      </c>
      <c r="T55" s="713" t="s">
        <v>31</v>
      </c>
      <c r="U55" s="711"/>
      <c r="V55" s="513">
        <v>397</v>
      </c>
      <c r="W55" s="711" t="s">
        <v>113</v>
      </c>
      <c r="X55" s="711"/>
      <c r="Y55" s="513">
        <v>247</v>
      </c>
      <c r="Z55" s="713" t="s">
        <v>115</v>
      </c>
      <c r="AA55" s="711"/>
      <c r="AB55" s="513">
        <v>423</v>
      </c>
      <c r="AC55" s="711" t="s">
        <v>16</v>
      </c>
      <c r="AD55" s="711"/>
      <c r="AE55" s="513">
        <v>395</v>
      </c>
      <c r="AF55" s="713" t="s">
        <v>118</v>
      </c>
      <c r="AG55" s="711"/>
      <c r="AH55" s="513">
        <v>499</v>
      </c>
      <c r="AI55" s="716" t="s">
        <v>120</v>
      </c>
      <c r="AJ55" s="711"/>
      <c r="AK55" s="519">
        <v>377</v>
      </c>
      <c r="AL55" s="716" t="s">
        <v>23</v>
      </c>
      <c r="AM55" s="711"/>
      <c r="AN55" s="513">
        <v>443</v>
      </c>
      <c r="AO55" s="716" t="s">
        <v>23</v>
      </c>
      <c r="AP55" s="711"/>
      <c r="AQ55" s="516">
        <v>344</v>
      </c>
      <c r="AR55" s="516"/>
      <c r="AS55" s="513"/>
      <c r="AT55" s="211"/>
    </row>
    <row r="56" spans="1:53" x14ac:dyDescent="0.35">
      <c r="A56" s="5"/>
      <c r="B56" s="698" t="s">
        <v>105</v>
      </c>
      <c r="C56" s="699"/>
      <c r="D56" s="519"/>
      <c r="E56" s="698" t="s">
        <v>106</v>
      </c>
      <c r="F56" s="699"/>
      <c r="G56" s="519"/>
      <c r="H56" s="698" t="s">
        <v>107</v>
      </c>
      <c r="I56" s="699"/>
      <c r="J56" s="519"/>
      <c r="K56" s="698" t="s">
        <v>108</v>
      </c>
      <c r="L56" s="699"/>
      <c r="M56" s="519"/>
      <c r="N56" s="698" t="s">
        <v>109</v>
      </c>
      <c r="O56" s="699"/>
      <c r="P56" s="519"/>
      <c r="Q56" s="698" t="s">
        <v>110</v>
      </c>
      <c r="R56" s="699"/>
      <c r="S56" s="519"/>
      <c r="T56" s="698" t="s">
        <v>111</v>
      </c>
      <c r="U56" s="699"/>
      <c r="V56" s="519"/>
      <c r="W56" s="698" t="s">
        <v>112</v>
      </c>
      <c r="X56" s="699"/>
      <c r="Y56" s="519"/>
      <c r="Z56" s="698" t="s">
        <v>114</v>
      </c>
      <c r="AA56" s="699"/>
      <c r="AB56" s="519"/>
      <c r="AC56" s="698" t="s">
        <v>116</v>
      </c>
      <c r="AD56" s="699"/>
      <c r="AE56" s="519"/>
      <c r="AF56" s="698" t="s">
        <v>117</v>
      </c>
      <c r="AG56" s="699"/>
      <c r="AH56" s="519"/>
      <c r="AI56" s="702" t="s">
        <v>119</v>
      </c>
      <c r="AJ56" s="699"/>
      <c r="AK56" s="519"/>
      <c r="AL56" s="702" t="s">
        <v>121</v>
      </c>
      <c r="AM56" s="699"/>
      <c r="AN56" s="519"/>
      <c r="AO56" s="702" t="s">
        <v>122</v>
      </c>
      <c r="AP56" s="699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0"/>
      <c r="C60" s="710"/>
      <c r="E60" s="696"/>
      <c r="F60" s="696"/>
      <c r="H60" s="696"/>
      <c r="I60" s="696"/>
      <c r="K60" s="696"/>
      <c r="L60" s="696"/>
      <c r="N60" s="696"/>
      <c r="O60" s="696"/>
      <c r="Q60" s="696"/>
      <c r="R60" s="696"/>
      <c r="T60" s="696"/>
      <c r="U60" s="696"/>
      <c r="W60" s="696"/>
      <c r="X60" s="696"/>
      <c r="Z60" s="696"/>
      <c r="AA60" s="696"/>
      <c r="AC60" s="696"/>
      <c r="AD60" s="696"/>
      <c r="AF60" s="696"/>
      <c r="AG60" s="696"/>
      <c r="AI60" s="696"/>
      <c r="AJ60" s="696"/>
      <c r="AL60" s="696"/>
      <c r="AM60" s="696"/>
      <c r="AO60" s="696"/>
      <c r="AP60" s="696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04" t="s">
        <v>397</v>
      </c>
      <c r="R61" s="705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04" t="s">
        <v>397</v>
      </c>
      <c r="AD61" s="705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06"/>
      <c r="R62" s="707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06"/>
      <c r="AD62" s="707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8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702" t="s">
        <v>40</v>
      </c>
      <c r="C63" s="699"/>
      <c r="D63" s="513">
        <v>390</v>
      </c>
      <c r="E63" s="702" t="s">
        <v>23</v>
      </c>
      <c r="F63" s="699"/>
      <c r="G63" s="513">
        <v>352</v>
      </c>
      <c r="H63" s="713" t="s">
        <v>31</v>
      </c>
      <c r="I63" s="711"/>
      <c r="J63" s="513">
        <v>426</v>
      </c>
      <c r="K63" s="713" t="s">
        <v>31</v>
      </c>
      <c r="L63" s="711"/>
      <c r="M63" s="513">
        <v>394</v>
      </c>
      <c r="N63" s="713" t="s">
        <v>33</v>
      </c>
      <c r="O63" s="711"/>
      <c r="P63" s="513">
        <v>408</v>
      </c>
      <c r="Q63" s="711" t="s">
        <v>115</v>
      </c>
      <c r="R63" s="711"/>
      <c r="S63" s="513">
        <v>373</v>
      </c>
      <c r="T63" s="713" t="s">
        <v>16</v>
      </c>
      <c r="U63" s="711"/>
      <c r="V63" s="513">
        <v>408</v>
      </c>
      <c r="W63" s="716" t="s">
        <v>12</v>
      </c>
      <c r="X63" s="728"/>
      <c r="Y63" s="519">
        <v>379</v>
      </c>
      <c r="Z63" s="713" t="s">
        <v>33</v>
      </c>
      <c r="AA63" s="711"/>
      <c r="AB63" s="519">
        <v>406</v>
      </c>
      <c r="AC63" s="713" t="s">
        <v>133</v>
      </c>
      <c r="AD63" s="711"/>
      <c r="AE63" s="513">
        <v>385</v>
      </c>
      <c r="AF63" s="713" t="s">
        <v>31</v>
      </c>
      <c r="AG63" s="711"/>
      <c r="AH63" s="513">
        <v>400</v>
      </c>
      <c r="AI63" s="713" t="s">
        <v>31</v>
      </c>
      <c r="AJ63" s="711"/>
      <c r="AK63" s="513">
        <v>439</v>
      </c>
      <c r="AL63" s="713" t="s">
        <v>16</v>
      </c>
      <c r="AM63" s="711"/>
      <c r="AN63" s="6">
        <v>400</v>
      </c>
      <c r="AO63" s="716" t="s">
        <v>23</v>
      </c>
      <c r="AP63" s="711"/>
      <c r="AQ63" s="516">
        <v>291</v>
      </c>
      <c r="AR63" s="516"/>
      <c r="AT63" s="7"/>
    </row>
    <row r="64" spans="1:53" x14ac:dyDescent="0.35">
      <c r="A64" s="5"/>
      <c r="B64" s="702" t="s">
        <v>123</v>
      </c>
      <c r="C64" s="699"/>
      <c r="D64" s="519"/>
      <c r="E64" s="702" t="s">
        <v>124</v>
      </c>
      <c r="F64" s="699"/>
      <c r="G64" s="519"/>
      <c r="H64" s="702" t="s">
        <v>125</v>
      </c>
      <c r="I64" s="699"/>
      <c r="J64" s="519"/>
      <c r="K64" s="702" t="s">
        <v>126</v>
      </c>
      <c r="L64" s="699"/>
      <c r="M64" s="519"/>
      <c r="N64" s="702" t="s">
        <v>127</v>
      </c>
      <c r="O64" s="699"/>
      <c r="P64" s="519"/>
      <c r="Q64" s="698" t="s">
        <v>128</v>
      </c>
      <c r="R64" s="699"/>
      <c r="S64" s="519"/>
      <c r="T64" s="698" t="s">
        <v>129</v>
      </c>
      <c r="U64" s="699"/>
      <c r="V64" s="519"/>
      <c r="W64" s="702" t="s">
        <v>130</v>
      </c>
      <c r="X64" s="703"/>
      <c r="Y64" s="519"/>
      <c r="Z64" s="702" t="s">
        <v>131</v>
      </c>
      <c r="AA64" s="703"/>
      <c r="AB64" s="519"/>
      <c r="AC64" s="698" t="s">
        <v>132</v>
      </c>
      <c r="AD64" s="699"/>
      <c r="AE64" s="513"/>
      <c r="AF64" s="698" t="s">
        <v>134</v>
      </c>
      <c r="AG64" s="699"/>
      <c r="AH64" s="513"/>
      <c r="AI64" s="698" t="s">
        <v>135</v>
      </c>
      <c r="AJ64" s="699"/>
      <c r="AL64" s="698" t="s">
        <v>136</v>
      </c>
      <c r="AM64" s="699"/>
      <c r="AN64" s="519"/>
      <c r="AO64" s="698" t="s">
        <v>137</v>
      </c>
      <c r="AP64" s="699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23" t="s">
        <v>404</v>
      </c>
      <c r="X66" s="723"/>
      <c r="Y66" s="723"/>
      <c r="Z66" s="723"/>
      <c r="AA66" s="723"/>
      <c r="AO66" s="710"/>
      <c r="AP66" s="710"/>
      <c r="AQ66" s="710"/>
      <c r="AR66" s="710"/>
      <c r="AS66" s="710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0"/>
      <c r="C68" s="710"/>
      <c r="E68" s="696"/>
      <c r="F68" s="696"/>
      <c r="H68" s="696"/>
      <c r="I68" s="696"/>
      <c r="K68" s="696"/>
      <c r="L68" s="696"/>
      <c r="N68" s="696"/>
      <c r="O68" s="696"/>
      <c r="Q68" s="696"/>
      <c r="R68" s="696"/>
      <c r="T68" s="696"/>
      <c r="U68" s="696"/>
      <c r="W68" s="696"/>
      <c r="X68" s="696"/>
      <c r="Z68" s="696"/>
      <c r="AA68" s="696"/>
      <c r="AC68" s="696"/>
      <c r="AD68" s="696"/>
      <c r="AF68" s="696"/>
      <c r="AG68" s="696"/>
      <c r="AI68" s="696"/>
      <c r="AJ68" s="696"/>
      <c r="AL68" s="696"/>
      <c r="AM68" s="696"/>
      <c r="AO68" s="696"/>
      <c r="AP68" s="696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16" t="s">
        <v>23</v>
      </c>
      <c r="C71" s="711"/>
      <c r="D71" s="513">
        <v>390</v>
      </c>
      <c r="E71" s="713" t="s">
        <v>33</v>
      </c>
      <c r="F71" s="711"/>
      <c r="G71" s="513">
        <v>403</v>
      </c>
      <c r="H71" s="713" t="s">
        <v>31</v>
      </c>
      <c r="I71" s="711"/>
      <c r="J71" s="519">
        <v>422</v>
      </c>
      <c r="K71" s="713" t="s">
        <v>16</v>
      </c>
      <c r="L71" s="711"/>
      <c r="M71" s="519">
        <v>389</v>
      </c>
      <c r="N71" s="713" t="s">
        <v>14</v>
      </c>
      <c r="O71" s="711"/>
      <c r="P71" s="513">
        <v>436</v>
      </c>
      <c r="Q71" s="711" t="s">
        <v>35</v>
      </c>
      <c r="R71" s="711"/>
      <c r="S71" s="513">
        <v>380</v>
      </c>
      <c r="T71" s="713" t="s">
        <v>31</v>
      </c>
      <c r="U71" s="711"/>
      <c r="V71" s="513">
        <v>445</v>
      </c>
      <c r="W71" s="713" t="s">
        <v>146</v>
      </c>
      <c r="X71" s="711"/>
      <c r="Y71" s="519">
        <v>220</v>
      </c>
      <c r="Z71" s="713" t="s">
        <v>148</v>
      </c>
      <c r="AA71" s="711"/>
      <c r="AB71" s="519">
        <v>435</v>
      </c>
      <c r="AC71" s="711" t="s">
        <v>35</v>
      </c>
      <c r="AD71" s="711"/>
      <c r="AE71" s="513">
        <v>405</v>
      </c>
      <c r="AF71" s="713" t="s">
        <v>16</v>
      </c>
      <c r="AG71" s="711"/>
      <c r="AH71" s="519">
        <v>434</v>
      </c>
      <c r="AI71" s="713" t="s">
        <v>16</v>
      </c>
      <c r="AJ71" s="711"/>
      <c r="AK71" s="513">
        <v>380</v>
      </c>
      <c r="AL71" s="713" t="s">
        <v>23</v>
      </c>
      <c r="AM71" s="711"/>
      <c r="AN71" s="513">
        <v>379</v>
      </c>
      <c r="AO71" s="713" t="s">
        <v>154</v>
      </c>
      <c r="AP71" s="711"/>
      <c r="AQ71" s="516">
        <v>479</v>
      </c>
      <c r="AR71" s="516"/>
      <c r="AS71" s="513"/>
      <c r="AT71" s="211"/>
    </row>
    <row r="72" spans="1:53" x14ac:dyDescent="0.35">
      <c r="A72" s="5"/>
      <c r="B72" s="698" t="s">
        <v>138</v>
      </c>
      <c r="C72" s="699"/>
      <c r="E72" s="698" t="s">
        <v>139</v>
      </c>
      <c r="F72" s="699"/>
      <c r="G72" s="519"/>
      <c r="H72" s="698" t="s">
        <v>140</v>
      </c>
      <c r="I72" s="699"/>
      <c r="J72" s="519"/>
      <c r="K72" s="698" t="s">
        <v>141</v>
      </c>
      <c r="L72" s="699"/>
      <c r="M72" s="519"/>
      <c r="N72" s="698" t="s">
        <v>142</v>
      </c>
      <c r="O72" s="699"/>
      <c r="P72" s="519"/>
      <c r="Q72" s="698" t="s">
        <v>143</v>
      </c>
      <c r="R72" s="699"/>
      <c r="S72" s="519"/>
      <c r="T72" s="698" t="s">
        <v>144</v>
      </c>
      <c r="U72" s="699"/>
      <c r="V72" s="519"/>
      <c r="W72" s="698" t="s">
        <v>145</v>
      </c>
      <c r="X72" s="699"/>
      <c r="Y72" s="519"/>
      <c r="Z72" s="698" t="s">
        <v>147</v>
      </c>
      <c r="AA72" s="699"/>
      <c r="AB72" s="519"/>
      <c r="AC72" s="698" t="s">
        <v>149</v>
      </c>
      <c r="AD72" s="699"/>
      <c r="AE72" s="519"/>
      <c r="AF72" s="698" t="s">
        <v>150</v>
      </c>
      <c r="AG72" s="699"/>
      <c r="AH72" s="519"/>
      <c r="AI72" s="698" t="s">
        <v>151</v>
      </c>
      <c r="AJ72" s="699"/>
      <c r="AK72" s="519"/>
      <c r="AL72" s="698" t="s">
        <v>152</v>
      </c>
      <c r="AM72" s="699"/>
      <c r="AN72" s="519"/>
      <c r="AO72" s="698" t="s">
        <v>153</v>
      </c>
      <c r="AP72" s="699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729" t="s">
        <v>403</v>
      </c>
      <c r="B74" s="730"/>
      <c r="C74" s="730"/>
      <c r="Q74" s="723"/>
      <c r="R74" s="723"/>
      <c r="S74" s="723"/>
      <c r="AI74" s="723" t="s">
        <v>405</v>
      </c>
      <c r="AJ74" s="723"/>
      <c r="AK74" s="723"/>
      <c r="AL74" s="723"/>
      <c r="AM74" s="723"/>
      <c r="AN74" s="723"/>
      <c r="AO74" s="723"/>
      <c r="AP74" s="723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0"/>
      <c r="C76" s="710"/>
      <c r="E76" s="696"/>
      <c r="F76" s="696"/>
      <c r="H76" s="696"/>
      <c r="I76" s="696"/>
      <c r="K76" s="731"/>
      <c r="L76" s="696"/>
      <c r="N76" s="731"/>
      <c r="O76" s="696"/>
      <c r="Q76" s="731"/>
      <c r="R76" s="696"/>
      <c r="T76" s="731"/>
      <c r="U76" s="696"/>
      <c r="W76" s="696"/>
      <c r="X76" s="696"/>
      <c r="Z76" s="696"/>
      <c r="AA76" s="696"/>
      <c r="AC76" s="696"/>
      <c r="AD76" s="696"/>
      <c r="AF76" s="696"/>
      <c r="AG76" s="696"/>
      <c r="AI76" s="696"/>
      <c r="AJ76" s="696"/>
      <c r="AL76" s="696"/>
      <c r="AM76" s="696"/>
      <c r="AO76" s="696"/>
      <c r="AP76" s="696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698" t="s">
        <v>156</v>
      </c>
      <c r="C79" s="699"/>
      <c r="D79" s="513">
        <v>464</v>
      </c>
      <c r="E79" s="713" t="s">
        <v>31</v>
      </c>
      <c r="F79" s="711"/>
      <c r="G79" s="513">
        <v>376</v>
      </c>
      <c r="H79" s="711" t="s">
        <v>35</v>
      </c>
      <c r="I79" s="711"/>
      <c r="J79" s="519">
        <v>380</v>
      </c>
      <c r="K79" s="713" t="s">
        <v>23</v>
      </c>
      <c r="L79" s="711"/>
      <c r="M79" s="519">
        <v>352</v>
      </c>
      <c r="N79" s="713" t="s">
        <v>14</v>
      </c>
      <c r="O79" s="711"/>
      <c r="P79" s="513">
        <v>361</v>
      </c>
      <c r="Q79" s="713" t="s">
        <v>162</v>
      </c>
      <c r="R79" s="711"/>
      <c r="S79" s="519">
        <v>252</v>
      </c>
      <c r="T79" s="713" t="s">
        <v>164</v>
      </c>
      <c r="U79" s="711"/>
      <c r="V79" s="513">
        <v>394</v>
      </c>
      <c r="W79" s="711" t="s">
        <v>35</v>
      </c>
      <c r="X79" s="711"/>
      <c r="Y79" s="513">
        <v>389</v>
      </c>
      <c r="Z79" s="713" t="s">
        <v>35</v>
      </c>
      <c r="AA79" s="711"/>
      <c r="AB79" s="513">
        <v>399</v>
      </c>
      <c r="AC79" s="713" t="s">
        <v>18</v>
      </c>
      <c r="AD79" s="711"/>
      <c r="AE79" s="513">
        <v>392</v>
      </c>
      <c r="AF79" s="713" t="s">
        <v>35</v>
      </c>
      <c r="AG79" s="711"/>
      <c r="AH79" s="513">
        <v>363</v>
      </c>
      <c r="AI79" s="713" t="s">
        <v>31</v>
      </c>
      <c r="AJ79" s="711"/>
      <c r="AK79" s="513">
        <v>379</v>
      </c>
      <c r="AL79" s="713" t="s">
        <v>9</v>
      </c>
      <c r="AM79" s="711"/>
      <c r="AN79" s="519">
        <v>226</v>
      </c>
      <c r="AO79" s="711" t="s">
        <v>172</v>
      </c>
      <c r="AP79" s="711"/>
      <c r="AQ79" s="516">
        <v>499</v>
      </c>
      <c r="AR79" s="516"/>
      <c r="AS79" s="513"/>
      <c r="AT79" s="211"/>
    </row>
    <row r="80" spans="1:53" x14ac:dyDescent="0.35">
      <c r="A80" s="5"/>
      <c r="B80" s="698" t="s">
        <v>155</v>
      </c>
      <c r="C80" s="699"/>
      <c r="D80" s="519"/>
      <c r="E80" s="698" t="s">
        <v>157</v>
      </c>
      <c r="F80" s="699"/>
      <c r="G80" s="513"/>
      <c r="H80" s="698" t="s">
        <v>158</v>
      </c>
      <c r="I80" s="699"/>
      <c r="J80" s="519"/>
      <c r="K80" s="698" t="s">
        <v>159</v>
      </c>
      <c r="L80" s="699"/>
      <c r="M80" s="519"/>
      <c r="N80" s="698" t="s">
        <v>160</v>
      </c>
      <c r="O80" s="699"/>
      <c r="P80" s="535"/>
      <c r="Q80" s="698" t="s">
        <v>161</v>
      </c>
      <c r="R80" s="699"/>
      <c r="S80" s="519"/>
      <c r="T80" s="698" t="s">
        <v>163</v>
      </c>
      <c r="U80" s="699"/>
      <c r="V80" s="519"/>
      <c r="W80" s="698" t="s">
        <v>165</v>
      </c>
      <c r="X80" s="699"/>
      <c r="Y80" s="519"/>
      <c r="Z80" s="698" t="s">
        <v>166</v>
      </c>
      <c r="AA80" s="699"/>
      <c r="AB80" s="519"/>
      <c r="AC80" s="698" t="s">
        <v>167</v>
      </c>
      <c r="AD80" s="699"/>
      <c r="AE80" s="513"/>
      <c r="AF80" s="698" t="s">
        <v>168</v>
      </c>
      <c r="AG80" s="699"/>
      <c r="AH80" s="519"/>
      <c r="AI80" s="698" t="s">
        <v>169</v>
      </c>
      <c r="AJ80" s="699"/>
      <c r="AK80" s="519"/>
      <c r="AL80" s="698" t="s">
        <v>170</v>
      </c>
      <c r="AM80" s="699"/>
      <c r="AN80" s="519"/>
      <c r="AO80" s="698" t="s">
        <v>171</v>
      </c>
      <c r="AP80" s="699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732" t="s">
        <v>405</v>
      </c>
      <c r="B82" s="723"/>
      <c r="C82" s="723"/>
      <c r="D82" s="723"/>
      <c r="W82" s="710"/>
      <c r="X82" s="710"/>
      <c r="Y82" s="710"/>
      <c r="Z82" s="710"/>
      <c r="AA82" s="710"/>
      <c r="AL82" s="723" t="s">
        <v>406</v>
      </c>
      <c r="AM82" s="723"/>
      <c r="AN82" s="723"/>
      <c r="AO82" s="723"/>
      <c r="AP82" s="723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0"/>
      <c r="C84" s="710"/>
      <c r="E84" s="696"/>
      <c r="F84" s="696"/>
      <c r="H84" s="696"/>
      <c r="I84" s="696"/>
      <c r="K84" s="696"/>
      <c r="L84" s="696"/>
      <c r="N84" s="696"/>
      <c r="O84" s="696"/>
      <c r="Q84" s="733"/>
      <c r="R84" s="696"/>
      <c r="T84" s="696"/>
      <c r="U84" s="696"/>
      <c r="W84" s="696"/>
      <c r="X84" s="696"/>
      <c r="Z84" s="696"/>
      <c r="AA84" s="696"/>
      <c r="AC84" s="696"/>
      <c r="AD84" s="696"/>
      <c r="AF84" s="696"/>
      <c r="AG84" s="696"/>
      <c r="AI84" s="696"/>
      <c r="AJ84" s="696"/>
      <c r="AL84" s="696"/>
      <c r="AM84" s="696"/>
      <c r="AO84" s="696"/>
      <c r="AP84" s="696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698" t="s">
        <v>156</v>
      </c>
      <c r="C87" s="699"/>
      <c r="D87" s="513">
        <v>446</v>
      </c>
      <c r="E87" s="713" t="s">
        <v>35</v>
      </c>
      <c r="F87" s="711"/>
      <c r="G87" s="513">
        <v>394</v>
      </c>
      <c r="H87" s="713" t="s">
        <v>35</v>
      </c>
      <c r="I87" s="711"/>
      <c r="J87" s="513">
        <v>391</v>
      </c>
      <c r="K87" s="713" t="s">
        <v>31</v>
      </c>
      <c r="L87" s="711"/>
      <c r="M87" s="513">
        <v>409</v>
      </c>
      <c r="N87" s="713" t="s">
        <v>35</v>
      </c>
      <c r="O87" s="711"/>
      <c r="P87" s="513">
        <v>379</v>
      </c>
      <c r="Q87" s="713" t="s">
        <v>31</v>
      </c>
      <c r="R87" s="711"/>
      <c r="S87" s="513">
        <v>364</v>
      </c>
      <c r="T87" s="713" t="s">
        <v>14</v>
      </c>
      <c r="U87" s="711"/>
      <c r="V87" s="513">
        <v>447</v>
      </c>
      <c r="W87" s="713" t="s">
        <v>118</v>
      </c>
      <c r="X87" s="711"/>
      <c r="Y87" s="513">
        <v>257</v>
      </c>
      <c r="Z87" s="711" t="s">
        <v>182</v>
      </c>
      <c r="AA87" s="711"/>
      <c r="AB87" s="513">
        <v>232</v>
      </c>
      <c r="AC87" s="713" t="s">
        <v>33</v>
      </c>
      <c r="AD87" s="711"/>
      <c r="AE87" s="513">
        <v>365</v>
      </c>
      <c r="AF87" s="713" t="s">
        <v>23</v>
      </c>
      <c r="AG87" s="711"/>
      <c r="AH87" s="513">
        <v>379</v>
      </c>
      <c r="AI87" s="713" t="s">
        <v>16</v>
      </c>
      <c r="AJ87" s="711"/>
      <c r="AK87" s="513">
        <v>440</v>
      </c>
      <c r="AL87" s="713" t="s">
        <v>113</v>
      </c>
      <c r="AM87" s="711"/>
      <c r="AN87" s="513">
        <v>221</v>
      </c>
      <c r="AO87" s="713" t="s">
        <v>40</v>
      </c>
      <c r="AP87" s="711"/>
      <c r="AQ87" s="516">
        <v>395</v>
      </c>
      <c r="AR87" s="516"/>
      <c r="AS87" s="513"/>
      <c r="AT87" s="211"/>
    </row>
    <row r="88" spans="1:53" x14ac:dyDescent="0.35">
      <c r="A88" s="5"/>
      <c r="B88" s="698" t="s">
        <v>173</v>
      </c>
      <c r="C88" s="699"/>
      <c r="D88" s="519"/>
      <c r="E88" s="698" t="s">
        <v>174</v>
      </c>
      <c r="F88" s="699"/>
      <c r="G88" s="519"/>
      <c r="H88" s="698" t="s">
        <v>175</v>
      </c>
      <c r="I88" s="699"/>
      <c r="J88" s="519"/>
      <c r="K88" s="698" t="s">
        <v>176</v>
      </c>
      <c r="L88" s="699"/>
      <c r="M88" s="513"/>
      <c r="N88" s="698" t="s">
        <v>177</v>
      </c>
      <c r="O88" s="699"/>
      <c r="P88" s="519"/>
      <c r="Q88" s="698" t="s">
        <v>178</v>
      </c>
      <c r="R88" s="699"/>
      <c r="S88" s="519"/>
      <c r="T88" s="698" t="s">
        <v>179</v>
      </c>
      <c r="U88" s="699"/>
      <c r="V88" s="519"/>
      <c r="W88" s="698" t="s">
        <v>180</v>
      </c>
      <c r="X88" s="699"/>
      <c r="Y88" s="519"/>
      <c r="Z88" s="698" t="s">
        <v>181</v>
      </c>
      <c r="AA88" s="699"/>
      <c r="AB88" s="519"/>
      <c r="AC88" s="698" t="s">
        <v>183</v>
      </c>
      <c r="AD88" s="699"/>
      <c r="AE88" s="519"/>
      <c r="AF88" s="698" t="s">
        <v>184</v>
      </c>
      <c r="AG88" s="699"/>
      <c r="AH88" s="519"/>
      <c r="AI88" s="698" t="s">
        <v>185</v>
      </c>
      <c r="AJ88" s="699"/>
      <c r="AK88" s="519"/>
      <c r="AL88" s="698" t="s">
        <v>186</v>
      </c>
      <c r="AM88" s="699"/>
      <c r="AN88" s="519"/>
      <c r="AO88" s="698" t="s">
        <v>187</v>
      </c>
      <c r="AP88" s="699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23"/>
      <c r="AA90" s="723"/>
      <c r="AB90" s="723"/>
      <c r="AC90" s="723"/>
      <c r="AD90" s="723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96"/>
      <c r="C92" s="696"/>
      <c r="E92" s="696"/>
      <c r="F92" s="696"/>
      <c r="H92" s="696"/>
      <c r="I92" s="696"/>
      <c r="K92" s="696"/>
      <c r="L92" s="696"/>
      <c r="N92" s="696"/>
      <c r="O92" s="696"/>
      <c r="Q92" s="696"/>
      <c r="R92" s="696"/>
      <c r="T92" s="696"/>
      <c r="U92" s="696"/>
      <c r="W92" s="696"/>
      <c r="X92" s="696"/>
      <c r="Z92" s="696"/>
      <c r="AA92" s="696"/>
      <c r="AC92" s="696"/>
      <c r="AD92" s="696"/>
      <c r="AF92" s="696"/>
      <c r="AG92" s="696"/>
      <c r="AI92" s="696"/>
      <c r="AJ92" s="696"/>
      <c r="AL92" s="696"/>
      <c r="AM92" s="696"/>
      <c r="AN92" s="510"/>
      <c r="AO92" s="696"/>
      <c r="AP92" s="696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13" t="s">
        <v>31</v>
      </c>
      <c r="C95" s="711"/>
      <c r="D95" s="513">
        <v>356</v>
      </c>
      <c r="E95" s="713" t="s">
        <v>31</v>
      </c>
      <c r="F95" s="711"/>
      <c r="G95" s="519">
        <v>404</v>
      </c>
      <c r="H95" s="713" t="s">
        <v>31</v>
      </c>
      <c r="I95" s="711"/>
      <c r="J95" s="513">
        <v>380</v>
      </c>
      <c r="K95" s="713" t="s">
        <v>33</v>
      </c>
      <c r="L95" s="711"/>
      <c r="M95" s="513">
        <v>460</v>
      </c>
      <c r="N95" s="713" t="s">
        <v>16</v>
      </c>
      <c r="O95" s="711"/>
      <c r="P95" s="513">
        <v>380</v>
      </c>
      <c r="Q95" s="713" t="s">
        <v>14</v>
      </c>
      <c r="R95" s="711"/>
      <c r="S95" s="519">
        <v>413</v>
      </c>
      <c r="T95" s="713" t="s">
        <v>33</v>
      </c>
      <c r="U95" s="711"/>
      <c r="V95" s="513">
        <v>413</v>
      </c>
      <c r="W95" s="713" t="s">
        <v>31</v>
      </c>
      <c r="X95" s="711"/>
      <c r="Y95" s="513">
        <v>427</v>
      </c>
      <c r="Z95" s="711" t="s">
        <v>197</v>
      </c>
      <c r="AA95" s="711"/>
      <c r="AB95" s="513">
        <v>220</v>
      </c>
      <c r="AC95" s="713" t="s">
        <v>118</v>
      </c>
      <c r="AD95" s="711"/>
      <c r="AE95" s="513">
        <v>430</v>
      </c>
      <c r="AF95" s="713" t="s">
        <v>23</v>
      </c>
      <c r="AG95" s="711"/>
      <c r="AH95" s="513">
        <v>344</v>
      </c>
      <c r="AI95" s="713" t="s">
        <v>31</v>
      </c>
      <c r="AJ95" s="711"/>
      <c r="AK95" s="513">
        <v>373</v>
      </c>
      <c r="AL95" s="713" t="s">
        <v>23</v>
      </c>
      <c r="AM95" s="711"/>
      <c r="AN95" s="513">
        <v>389</v>
      </c>
      <c r="AO95" s="713" t="s">
        <v>33</v>
      </c>
      <c r="AP95" s="711"/>
      <c r="AQ95" s="516">
        <v>444</v>
      </c>
      <c r="AR95" s="516"/>
      <c r="AS95" s="513"/>
      <c r="AT95" s="211"/>
    </row>
    <row r="96" spans="1:53" x14ac:dyDescent="0.35">
      <c r="A96" s="5"/>
      <c r="B96" s="698" t="s">
        <v>188</v>
      </c>
      <c r="C96" s="699"/>
      <c r="D96" s="519"/>
      <c r="E96" s="698" t="s">
        <v>189</v>
      </c>
      <c r="F96" s="699"/>
      <c r="G96" s="519"/>
      <c r="H96" s="698" t="s">
        <v>190</v>
      </c>
      <c r="I96" s="699"/>
      <c r="J96" s="519"/>
      <c r="K96" s="698" t="s">
        <v>191</v>
      </c>
      <c r="L96" s="699"/>
      <c r="M96" s="519"/>
      <c r="N96" s="698" t="s">
        <v>192</v>
      </c>
      <c r="O96" s="699"/>
      <c r="P96" s="519"/>
      <c r="Q96" s="698" t="s">
        <v>193</v>
      </c>
      <c r="R96" s="699"/>
      <c r="S96" s="519"/>
      <c r="T96" s="698" t="s">
        <v>194</v>
      </c>
      <c r="U96" s="699"/>
      <c r="V96" s="519"/>
      <c r="W96" s="698" t="s">
        <v>195</v>
      </c>
      <c r="X96" s="699"/>
      <c r="Y96" s="519"/>
      <c r="Z96" s="698" t="s">
        <v>196</v>
      </c>
      <c r="AA96" s="699"/>
      <c r="AB96" s="519"/>
      <c r="AC96" s="698" t="s">
        <v>198</v>
      </c>
      <c r="AD96" s="699"/>
      <c r="AE96" s="519"/>
      <c r="AF96" s="698" t="s">
        <v>199</v>
      </c>
      <c r="AG96" s="699"/>
      <c r="AH96" s="519"/>
      <c r="AI96" s="698" t="s">
        <v>200</v>
      </c>
      <c r="AJ96" s="699"/>
      <c r="AK96" s="519"/>
      <c r="AL96" s="698" t="s">
        <v>201</v>
      </c>
      <c r="AM96" s="699"/>
      <c r="AN96" s="519"/>
      <c r="AO96" s="698" t="s">
        <v>202</v>
      </c>
      <c r="AP96" s="699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699"/>
      <c r="AG98" s="699"/>
      <c r="AH98" s="699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34"/>
      <c r="C100" s="734"/>
      <c r="D100" s="519"/>
      <c r="E100" s="734"/>
      <c r="F100" s="734"/>
      <c r="G100" s="519"/>
      <c r="H100" s="734"/>
      <c r="I100" s="734"/>
      <c r="J100" s="519"/>
      <c r="K100" s="734"/>
      <c r="L100" s="734"/>
      <c r="M100" s="519"/>
      <c r="N100" s="734"/>
      <c r="O100" s="734"/>
      <c r="P100" s="519"/>
      <c r="Q100" s="734"/>
      <c r="R100" s="734"/>
      <c r="S100" s="519"/>
      <c r="T100" s="734"/>
      <c r="U100" s="734"/>
      <c r="V100" s="519"/>
      <c r="W100" s="734"/>
      <c r="X100" s="734"/>
      <c r="Y100" s="519"/>
      <c r="Z100" s="734"/>
      <c r="AA100" s="734"/>
      <c r="AB100" s="519"/>
      <c r="AC100" s="734"/>
      <c r="AD100" s="734"/>
      <c r="AE100" s="519"/>
      <c r="AF100" s="734"/>
      <c r="AG100" s="734"/>
      <c r="AH100" s="519"/>
      <c r="AI100" s="734"/>
      <c r="AJ100" s="734"/>
      <c r="AK100" s="519"/>
      <c r="AL100" s="734"/>
      <c r="AM100" s="734"/>
      <c r="AN100" s="519"/>
      <c r="AO100" s="734"/>
      <c r="AP100" s="734"/>
      <c r="AQ100" s="516"/>
      <c r="AR100" s="516"/>
      <c r="AS100" s="519"/>
      <c r="AT100" s="213"/>
    </row>
    <row r="101" spans="1:53" x14ac:dyDescent="0.35">
      <c r="A101" s="5"/>
      <c r="B101" s="735" t="s">
        <v>397</v>
      </c>
      <c r="C101" s="736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15"/>
      <c r="AG101" s="1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37"/>
      <c r="C102" s="738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15"/>
      <c r="AG102" s="15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13" t="s">
        <v>16</v>
      </c>
      <c r="C103" s="711"/>
      <c r="D103" s="513">
        <v>308</v>
      </c>
      <c r="E103" s="713" t="s">
        <v>23</v>
      </c>
      <c r="F103" s="711"/>
      <c r="G103" s="513">
        <v>345</v>
      </c>
      <c r="H103" s="713" t="s">
        <v>31</v>
      </c>
      <c r="I103" s="711"/>
      <c r="J103" s="513">
        <v>425</v>
      </c>
      <c r="K103" s="713" t="s">
        <v>16</v>
      </c>
      <c r="L103" s="711"/>
      <c r="M103" s="513">
        <v>412</v>
      </c>
      <c r="N103" s="728" t="s">
        <v>18</v>
      </c>
      <c r="O103" s="728"/>
      <c r="P103" s="513">
        <v>399</v>
      </c>
      <c r="Q103" s="713" t="s">
        <v>33</v>
      </c>
      <c r="R103" s="711"/>
      <c r="S103" s="513">
        <v>420</v>
      </c>
      <c r="T103" s="713" t="s">
        <v>31</v>
      </c>
      <c r="U103" s="711"/>
      <c r="V103" s="513">
        <v>367</v>
      </c>
      <c r="W103" s="713" t="s">
        <v>31</v>
      </c>
      <c r="X103" s="711"/>
      <c r="Y103" s="519">
        <v>354</v>
      </c>
      <c r="Z103" s="713" t="s">
        <v>31</v>
      </c>
      <c r="AA103" s="711"/>
      <c r="AB103" s="519">
        <v>399</v>
      </c>
      <c r="AC103" s="713" t="s">
        <v>31</v>
      </c>
      <c r="AD103" s="711"/>
      <c r="AE103" s="513">
        <v>375</v>
      </c>
      <c r="AF103" s="713" t="s">
        <v>40</v>
      </c>
      <c r="AG103" s="711"/>
      <c r="AH103" s="519">
        <v>380</v>
      </c>
      <c r="AI103" s="713" t="s">
        <v>31</v>
      </c>
      <c r="AJ103" s="711"/>
      <c r="AK103" s="519">
        <v>405</v>
      </c>
      <c r="AL103" s="713" t="s">
        <v>33</v>
      </c>
      <c r="AM103" s="711"/>
      <c r="AN103" s="519">
        <v>420</v>
      </c>
      <c r="AO103" s="713" t="s">
        <v>33</v>
      </c>
      <c r="AP103" s="711"/>
      <c r="AQ103" s="516">
        <v>399</v>
      </c>
      <c r="AR103" s="516"/>
      <c r="AS103" s="519"/>
      <c r="AT103" s="213"/>
    </row>
    <row r="104" spans="1:53" x14ac:dyDescent="0.35">
      <c r="A104" s="5"/>
      <c r="B104" s="698" t="s">
        <v>203</v>
      </c>
      <c r="C104" s="699"/>
      <c r="D104" s="519"/>
      <c r="E104" s="698" t="s">
        <v>204</v>
      </c>
      <c r="F104" s="699"/>
      <c r="G104" s="519"/>
      <c r="H104" s="698" t="s">
        <v>205</v>
      </c>
      <c r="I104" s="699"/>
      <c r="J104" s="519"/>
      <c r="K104" s="698" t="s">
        <v>206</v>
      </c>
      <c r="L104" s="699"/>
      <c r="M104" s="519"/>
      <c r="N104" s="702" t="s">
        <v>207</v>
      </c>
      <c r="O104" s="703"/>
      <c r="P104" s="519"/>
      <c r="Q104" s="702" t="s">
        <v>208</v>
      </c>
      <c r="R104" s="703"/>
      <c r="S104" s="519"/>
      <c r="T104" s="702" t="s">
        <v>209</v>
      </c>
      <c r="U104" s="703"/>
      <c r="V104" s="519"/>
      <c r="W104" s="702" t="s">
        <v>210</v>
      </c>
      <c r="X104" s="703"/>
      <c r="Y104" s="519"/>
      <c r="Z104" s="702" t="s">
        <v>211</v>
      </c>
      <c r="AA104" s="703"/>
      <c r="AB104" s="519"/>
      <c r="AC104" s="702" t="s">
        <v>212</v>
      </c>
      <c r="AD104" s="703"/>
      <c r="AE104" s="519"/>
      <c r="AF104" s="702" t="s">
        <v>213</v>
      </c>
      <c r="AG104" s="703"/>
      <c r="AH104" s="519"/>
      <c r="AI104" s="702" t="s">
        <v>214</v>
      </c>
      <c r="AJ104" s="703"/>
      <c r="AK104" s="519"/>
      <c r="AL104" s="702" t="s">
        <v>215</v>
      </c>
      <c r="AM104" s="703"/>
      <c r="AN104" s="519"/>
      <c r="AO104" s="702" t="s">
        <v>216</v>
      </c>
      <c r="AP104" s="703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699"/>
      <c r="C108" s="699"/>
      <c r="D108" s="519"/>
      <c r="E108" s="734"/>
      <c r="F108" s="734"/>
      <c r="G108" s="519"/>
      <c r="H108" s="734"/>
      <c r="I108" s="734"/>
      <c r="J108" s="519"/>
      <c r="K108" s="734"/>
      <c r="L108" s="734"/>
      <c r="M108" s="519"/>
      <c r="N108" s="734"/>
      <c r="O108" s="734"/>
      <c r="P108" s="519"/>
      <c r="Q108" s="734"/>
      <c r="R108" s="734"/>
      <c r="S108" s="519"/>
      <c r="T108" s="734"/>
      <c r="U108" s="734"/>
      <c r="V108" s="519"/>
      <c r="W108" s="734"/>
      <c r="X108" s="734"/>
      <c r="Y108" s="519"/>
      <c r="Z108" s="699"/>
      <c r="AA108" s="699"/>
      <c r="AB108" s="519"/>
      <c r="AC108" s="699"/>
      <c r="AD108" s="699"/>
      <c r="AE108" s="700"/>
      <c r="AF108" s="700"/>
      <c r="AG108" s="700"/>
      <c r="AH108" s="700"/>
      <c r="AI108" s="710"/>
      <c r="AJ108" s="710"/>
      <c r="AL108" s="710"/>
      <c r="AM108" s="710"/>
      <c r="AO108" s="710"/>
      <c r="AP108" s="710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3" t="s">
        <v>396</v>
      </c>
      <c r="AM109" s="744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45"/>
      <c r="AM110" s="746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13" t="s">
        <v>31</v>
      </c>
      <c r="C111" s="711"/>
      <c r="D111" s="513">
        <v>380</v>
      </c>
      <c r="E111" s="713" t="s">
        <v>33</v>
      </c>
      <c r="F111" s="711"/>
      <c r="G111" s="513">
        <v>415</v>
      </c>
      <c r="H111" s="713" t="s">
        <v>18</v>
      </c>
      <c r="I111" s="711"/>
      <c r="J111" s="513">
        <v>400</v>
      </c>
      <c r="K111" s="713" t="s">
        <v>33</v>
      </c>
      <c r="L111" s="711"/>
      <c r="M111" s="513">
        <v>392</v>
      </c>
      <c r="N111" s="713" t="s">
        <v>31</v>
      </c>
      <c r="O111" s="711"/>
      <c r="P111" s="513">
        <v>387</v>
      </c>
      <c r="Q111" s="713" t="s">
        <v>31</v>
      </c>
      <c r="R111" s="711"/>
      <c r="S111" s="513">
        <v>346</v>
      </c>
      <c r="T111" s="716" t="s">
        <v>115</v>
      </c>
      <c r="U111" s="711"/>
      <c r="V111" s="513">
        <v>400</v>
      </c>
      <c r="W111" s="716" t="s">
        <v>16</v>
      </c>
      <c r="X111" s="711"/>
      <c r="Y111" s="519">
        <v>418</v>
      </c>
      <c r="Z111" s="698" t="s">
        <v>14</v>
      </c>
      <c r="AA111" s="699"/>
      <c r="AB111" s="534">
        <v>351</v>
      </c>
      <c r="AC111" s="698" t="s">
        <v>35</v>
      </c>
      <c r="AD111" s="698"/>
      <c r="AE111" s="519">
        <v>429</v>
      </c>
      <c r="AF111" s="698" t="s">
        <v>33</v>
      </c>
      <c r="AG111" s="699"/>
      <c r="AH111" s="513">
        <v>411</v>
      </c>
      <c r="AI111" s="713" t="s">
        <v>31</v>
      </c>
      <c r="AJ111" s="711"/>
      <c r="AK111" s="519">
        <v>381</v>
      </c>
      <c r="AL111" s="713" t="s">
        <v>16</v>
      </c>
      <c r="AM111" s="711"/>
      <c r="AN111" s="519">
        <v>459</v>
      </c>
      <c r="AO111" s="713" t="s">
        <v>16</v>
      </c>
      <c r="AP111" s="711"/>
      <c r="AQ111" s="516">
        <v>370</v>
      </c>
      <c r="AR111" s="516"/>
      <c r="AS111" s="513"/>
      <c r="AT111" s="211"/>
    </row>
    <row r="112" spans="1:53" x14ac:dyDescent="0.35">
      <c r="A112" s="5"/>
      <c r="B112" s="702" t="s">
        <v>217</v>
      </c>
      <c r="C112" s="703"/>
      <c r="D112" s="519"/>
      <c r="E112" s="702" t="s">
        <v>218</v>
      </c>
      <c r="F112" s="703"/>
      <c r="G112" s="519"/>
      <c r="H112" s="702" t="s">
        <v>219</v>
      </c>
      <c r="I112" s="703"/>
      <c r="J112" s="519"/>
      <c r="K112" s="702" t="s">
        <v>220</v>
      </c>
      <c r="L112" s="703"/>
      <c r="M112" s="519"/>
      <c r="N112" s="702" t="s">
        <v>221</v>
      </c>
      <c r="O112" s="703"/>
      <c r="P112" s="519"/>
      <c r="Q112" s="702" t="s">
        <v>222</v>
      </c>
      <c r="R112" s="703"/>
      <c r="S112" s="519"/>
      <c r="T112" s="702" t="s">
        <v>223</v>
      </c>
      <c r="U112" s="703"/>
      <c r="V112" s="519"/>
      <c r="W112" s="702" t="s">
        <v>224</v>
      </c>
      <c r="X112" s="703"/>
      <c r="Y112" s="519"/>
      <c r="Z112" s="702" t="s">
        <v>225</v>
      </c>
      <c r="AA112" s="703"/>
      <c r="AB112" s="519"/>
      <c r="AC112" s="702" t="s">
        <v>226</v>
      </c>
      <c r="AD112" s="703"/>
      <c r="AE112" s="519"/>
      <c r="AF112" s="702" t="s">
        <v>227</v>
      </c>
      <c r="AG112" s="703"/>
      <c r="AI112" s="702" t="s">
        <v>228</v>
      </c>
      <c r="AJ112" s="703"/>
      <c r="AL112" s="702" t="s">
        <v>229</v>
      </c>
      <c r="AM112" s="703"/>
      <c r="AO112" s="702" t="s">
        <v>230</v>
      </c>
      <c r="AP112" s="703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47" t="s">
        <v>407</v>
      </c>
      <c r="F114" s="747"/>
      <c r="G114" s="747"/>
      <c r="H114" s="747"/>
      <c r="I114" s="747"/>
      <c r="J114" s="747"/>
      <c r="K114" s="747"/>
      <c r="L114" s="747"/>
      <c r="M114" s="747"/>
      <c r="N114" s="747"/>
      <c r="O114" s="747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699"/>
      <c r="AG114" s="699"/>
      <c r="AH114" s="699"/>
      <c r="AI114" s="699"/>
      <c r="AJ114" s="699"/>
      <c r="AK114" s="699"/>
      <c r="AL114" s="699"/>
      <c r="AM114" s="699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699"/>
      <c r="C116" s="699"/>
      <c r="D116" s="519"/>
      <c r="E116" s="734"/>
      <c r="F116" s="734"/>
      <c r="G116" s="519"/>
      <c r="H116" s="734"/>
      <c r="I116" s="734"/>
      <c r="J116" s="519"/>
      <c r="K116" s="734"/>
      <c r="L116" s="734"/>
      <c r="M116" s="519"/>
      <c r="N116" s="734"/>
      <c r="O116" s="734"/>
      <c r="P116" s="519"/>
      <c r="Q116" s="734"/>
      <c r="R116" s="734"/>
      <c r="S116" s="519"/>
      <c r="T116" s="734"/>
      <c r="U116" s="734"/>
      <c r="V116" s="519"/>
      <c r="W116" s="734"/>
      <c r="X116" s="734"/>
      <c r="Y116" s="519"/>
      <c r="Z116" s="699"/>
      <c r="AA116" s="699"/>
      <c r="AB116" s="519"/>
      <c r="AC116" s="699"/>
      <c r="AD116" s="699"/>
      <c r="AE116" s="700"/>
      <c r="AF116" s="700"/>
      <c r="AG116" s="700"/>
      <c r="AH116" s="700"/>
      <c r="AI116" s="710"/>
      <c r="AJ116" s="710"/>
      <c r="AL116" s="710"/>
      <c r="AM116" s="710"/>
      <c r="AO116" s="710"/>
      <c r="AP116" s="710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43" t="s">
        <v>396</v>
      </c>
      <c r="F117" s="744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35" t="s">
        <v>397</v>
      </c>
      <c r="AP117" s="736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45"/>
      <c r="F118" s="746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37"/>
      <c r="AP118" s="738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13" t="s">
        <v>33</v>
      </c>
      <c r="C119" s="711"/>
      <c r="D119" s="513">
        <v>425</v>
      </c>
      <c r="E119" s="713" t="s">
        <v>182</v>
      </c>
      <c r="F119" s="711"/>
      <c r="G119" s="513">
        <v>256</v>
      </c>
      <c r="H119" s="713" t="s">
        <v>234</v>
      </c>
      <c r="I119" s="711"/>
      <c r="J119" s="513">
        <v>443</v>
      </c>
      <c r="K119" s="713" t="s">
        <v>236</v>
      </c>
      <c r="L119" s="711"/>
      <c r="M119" s="513">
        <v>451</v>
      </c>
      <c r="N119" s="713" t="s">
        <v>238</v>
      </c>
      <c r="O119" s="711"/>
      <c r="P119" s="513">
        <v>420</v>
      </c>
      <c r="Q119" s="713" t="s">
        <v>33</v>
      </c>
      <c r="R119" s="711"/>
      <c r="S119" s="513">
        <v>418</v>
      </c>
      <c r="T119" s="713" t="s">
        <v>31</v>
      </c>
      <c r="U119" s="711"/>
      <c r="V119" s="513">
        <v>349</v>
      </c>
      <c r="W119" s="716" t="s">
        <v>18</v>
      </c>
      <c r="X119" s="711"/>
      <c r="Y119" s="519">
        <v>407</v>
      </c>
      <c r="Z119" s="698" t="s">
        <v>2124</v>
      </c>
      <c r="AA119" s="699"/>
      <c r="AB119" s="534">
        <v>323</v>
      </c>
      <c r="AC119" s="698" t="s">
        <v>31</v>
      </c>
      <c r="AD119" s="698"/>
      <c r="AE119" s="519">
        <v>419</v>
      </c>
      <c r="AF119" s="698" t="s">
        <v>31</v>
      </c>
      <c r="AG119" s="699"/>
      <c r="AH119" s="510">
        <v>402</v>
      </c>
      <c r="AI119" s="748" t="s">
        <v>35</v>
      </c>
      <c r="AJ119" s="710"/>
      <c r="AK119" s="6">
        <v>402.31</v>
      </c>
      <c r="AL119" s="710" t="s">
        <v>40</v>
      </c>
      <c r="AM119" s="710"/>
      <c r="AN119" s="6">
        <v>416</v>
      </c>
      <c r="AO119" s="710" t="s">
        <v>35</v>
      </c>
      <c r="AP119" s="710"/>
      <c r="AQ119" s="10">
        <v>419</v>
      </c>
      <c r="AR119" s="10"/>
      <c r="AS119" s="510"/>
      <c r="AT119" s="212"/>
    </row>
    <row r="120" spans="1:53" x14ac:dyDescent="0.35">
      <c r="A120" s="5"/>
      <c r="B120" s="702" t="s">
        <v>231</v>
      </c>
      <c r="C120" s="703"/>
      <c r="D120" s="519"/>
      <c r="E120" s="702" t="s">
        <v>232</v>
      </c>
      <c r="F120" s="703"/>
      <c r="G120" s="519"/>
      <c r="H120" s="702" t="s">
        <v>233</v>
      </c>
      <c r="I120" s="703"/>
      <c r="J120" s="519"/>
      <c r="K120" s="702" t="s">
        <v>235</v>
      </c>
      <c r="L120" s="703"/>
      <c r="M120" s="519"/>
      <c r="N120" s="702" t="s">
        <v>237</v>
      </c>
      <c r="O120" s="703"/>
      <c r="P120" s="519"/>
      <c r="Q120" s="702" t="s">
        <v>239</v>
      </c>
      <c r="R120" s="703"/>
      <c r="S120" s="519"/>
      <c r="T120" s="702" t="s">
        <v>240</v>
      </c>
      <c r="U120" s="703"/>
      <c r="V120" s="519"/>
      <c r="W120" s="702" t="s">
        <v>241</v>
      </c>
      <c r="X120" s="703"/>
      <c r="Y120" s="519"/>
      <c r="Z120" s="702" t="s">
        <v>242</v>
      </c>
      <c r="AA120" s="703"/>
      <c r="AB120" s="519"/>
      <c r="AC120" s="702" t="s">
        <v>243</v>
      </c>
      <c r="AD120" s="703"/>
      <c r="AE120" s="519"/>
      <c r="AF120" s="702" t="s">
        <v>244</v>
      </c>
      <c r="AG120" s="703"/>
      <c r="AI120" s="702" t="s">
        <v>245</v>
      </c>
      <c r="AJ120" s="703"/>
      <c r="AL120" s="702" t="s">
        <v>246</v>
      </c>
      <c r="AM120" s="703"/>
      <c r="AO120" s="702" t="s">
        <v>247</v>
      </c>
      <c r="AP120" s="703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749"/>
      <c r="H122" s="749"/>
      <c r="I122" s="749"/>
      <c r="J122" s="749"/>
      <c r="K122" s="543"/>
      <c r="L122" s="544"/>
      <c r="M122" s="513"/>
      <c r="N122" s="750"/>
      <c r="O122" s="750"/>
      <c r="P122" s="750"/>
      <c r="Q122" s="750"/>
      <c r="R122" s="750"/>
      <c r="S122" s="750"/>
      <c r="T122" s="750"/>
      <c r="U122" s="750"/>
      <c r="V122" s="750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699"/>
      <c r="C124" s="699"/>
      <c r="D124" s="519"/>
      <c r="E124" s="734"/>
      <c r="F124" s="734"/>
      <c r="G124" s="519"/>
      <c r="H124" s="734"/>
      <c r="I124" s="734"/>
      <c r="J124" s="519"/>
      <c r="K124" s="734"/>
      <c r="L124" s="734"/>
      <c r="M124" s="519"/>
      <c r="N124" s="734"/>
      <c r="O124" s="734"/>
      <c r="P124" s="519"/>
      <c r="Q124" s="734"/>
      <c r="R124" s="734"/>
      <c r="S124" s="519"/>
      <c r="T124" s="734"/>
      <c r="U124" s="734"/>
      <c r="V124" s="519"/>
      <c r="W124" s="734"/>
      <c r="X124" s="734"/>
      <c r="Y124" s="519"/>
      <c r="Z124" s="699"/>
      <c r="AA124" s="699"/>
      <c r="AB124" s="519"/>
      <c r="AC124" s="699"/>
      <c r="AD124" s="699"/>
      <c r="AE124" s="700"/>
      <c r="AF124" s="700"/>
      <c r="AG124" s="700"/>
      <c r="AH124" s="700"/>
      <c r="AI124" s="710"/>
      <c r="AJ124" s="710"/>
      <c r="AL124" s="710"/>
      <c r="AM124" s="710"/>
      <c r="AO124" s="710"/>
      <c r="AP124" s="710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35" t="s">
        <v>397</v>
      </c>
      <c r="F125" s="736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265"/>
      <c r="X125" s="9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265"/>
      <c r="AM125" s="9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37"/>
      <c r="F126" s="738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266"/>
      <c r="X126" s="266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266"/>
      <c r="AM126" s="266"/>
      <c r="AO126" s="15"/>
      <c r="AP126" s="15"/>
      <c r="AQ126" s="542"/>
      <c r="AR126" s="542"/>
      <c r="AS126" s="510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698" t="s">
        <v>115</v>
      </c>
      <c r="C127" s="699"/>
      <c r="D127" s="513">
        <v>377</v>
      </c>
      <c r="E127" s="713" t="s">
        <v>35</v>
      </c>
      <c r="F127" s="711"/>
      <c r="G127" s="513">
        <v>440</v>
      </c>
      <c r="H127" s="711" t="s">
        <v>33</v>
      </c>
      <c r="I127" s="711"/>
      <c r="J127" s="513">
        <v>400.28</v>
      </c>
      <c r="K127" s="713" t="s">
        <v>18</v>
      </c>
      <c r="L127" s="711"/>
      <c r="M127" s="513">
        <v>386</v>
      </c>
      <c r="N127" s="713" t="s">
        <v>33</v>
      </c>
      <c r="O127" s="711"/>
      <c r="P127" s="513">
        <v>420</v>
      </c>
      <c r="Q127" s="713" t="s">
        <v>23</v>
      </c>
      <c r="R127" s="711"/>
      <c r="S127" s="513">
        <v>337</v>
      </c>
      <c r="T127" s="713" t="s">
        <v>23</v>
      </c>
      <c r="U127" s="711"/>
      <c r="V127" s="513">
        <v>336.51</v>
      </c>
      <c r="W127" s="713" t="s">
        <v>182</v>
      </c>
      <c r="X127" s="711"/>
      <c r="Y127" s="519">
        <v>412</v>
      </c>
      <c r="Z127" s="698" t="s">
        <v>31</v>
      </c>
      <c r="AA127" s="699"/>
      <c r="AB127" s="534">
        <v>408</v>
      </c>
      <c r="AC127" s="698" t="s">
        <v>16</v>
      </c>
      <c r="AD127" s="698"/>
      <c r="AE127" s="519">
        <v>413</v>
      </c>
      <c r="AF127" s="698" t="s">
        <v>31</v>
      </c>
      <c r="AG127" s="699"/>
      <c r="AH127" s="510">
        <v>410</v>
      </c>
      <c r="AI127" s="748" t="s">
        <v>33</v>
      </c>
      <c r="AJ127" s="710"/>
      <c r="AK127" s="6">
        <v>406</v>
      </c>
      <c r="AL127" s="748" t="s">
        <v>33</v>
      </c>
      <c r="AM127" s="710"/>
      <c r="AN127" s="6">
        <v>411</v>
      </c>
      <c r="AO127" s="748" t="s">
        <v>33</v>
      </c>
      <c r="AP127" s="710"/>
      <c r="AQ127" s="10">
        <v>372</v>
      </c>
      <c r="AR127" s="10"/>
      <c r="AS127" s="510"/>
      <c r="AT127" s="212"/>
    </row>
    <row r="128" spans="1:53" x14ac:dyDescent="0.35">
      <c r="A128" s="5"/>
      <c r="B128" s="698" t="s">
        <v>248</v>
      </c>
      <c r="C128" s="699"/>
      <c r="D128" s="519"/>
      <c r="E128" s="698" t="s">
        <v>249</v>
      </c>
      <c r="F128" s="699"/>
      <c r="G128" s="519"/>
      <c r="H128" s="698" t="s">
        <v>250</v>
      </c>
      <c r="I128" s="699"/>
      <c r="J128" s="519"/>
      <c r="K128" s="698" t="s">
        <v>251</v>
      </c>
      <c r="L128" s="699"/>
      <c r="M128" s="519"/>
      <c r="N128" s="698" t="s">
        <v>252</v>
      </c>
      <c r="O128" s="699"/>
      <c r="P128" s="519"/>
      <c r="Q128" s="698" t="s">
        <v>253</v>
      </c>
      <c r="R128" s="699"/>
      <c r="S128" s="519"/>
      <c r="T128" s="698" t="s">
        <v>254</v>
      </c>
      <c r="U128" s="699"/>
      <c r="V128" s="519"/>
      <c r="W128" s="703" t="s">
        <v>255</v>
      </c>
      <c r="X128" s="699"/>
      <c r="Y128" s="519"/>
      <c r="Z128" s="702" t="s">
        <v>256</v>
      </c>
      <c r="AA128" s="699"/>
      <c r="AB128" s="519"/>
      <c r="AC128" s="702" t="s">
        <v>257</v>
      </c>
      <c r="AD128" s="699"/>
      <c r="AE128" s="519"/>
      <c r="AF128" s="702" t="s">
        <v>258</v>
      </c>
      <c r="AG128" s="699"/>
      <c r="AI128" s="702" t="s">
        <v>259</v>
      </c>
      <c r="AJ128" s="699"/>
      <c r="AL128" s="702" t="s">
        <v>260</v>
      </c>
      <c r="AM128" s="702"/>
      <c r="AO128" s="702" t="s">
        <v>261</v>
      </c>
      <c r="AP128" s="699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699"/>
      <c r="C132" s="699"/>
      <c r="D132" s="519"/>
      <c r="E132" s="734"/>
      <c r="F132" s="734"/>
      <c r="G132" s="519"/>
      <c r="H132" s="734"/>
      <c r="I132" s="734"/>
      <c r="J132" s="519"/>
      <c r="K132" s="734"/>
      <c r="L132" s="734"/>
      <c r="M132" s="519"/>
      <c r="N132" s="734"/>
      <c r="O132" s="734"/>
      <c r="P132" s="519"/>
      <c r="Q132" s="734"/>
      <c r="R132" s="734"/>
      <c r="S132" s="519"/>
      <c r="T132" s="734"/>
      <c r="U132" s="734"/>
      <c r="V132" s="519"/>
      <c r="W132" s="734"/>
      <c r="X132" s="734"/>
      <c r="Y132" s="519"/>
      <c r="Z132" s="699"/>
      <c r="AA132" s="699"/>
      <c r="AB132" s="519"/>
      <c r="AC132" s="699"/>
      <c r="AD132" s="699"/>
      <c r="AE132" s="700"/>
      <c r="AF132" s="700"/>
      <c r="AG132" s="700"/>
      <c r="AH132" s="700"/>
      <c r="AI132" s="710"/>
      <c r="AJ132" s="710"/>
      <c r="AL132" s="710"/>
      <c r="AM132" s="710"/>
      <c r="AO132" s="710"/>
      <c r="AP132" s="710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35" t="s">
        <v>397</v>
      </c>
      <c r="AM133" s="736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37"/>
      <c r="AM134" s="738"/>
      <c r="AO134" s="15"/>
      <c r="AP134" s="15"/>
      <c r="AQ134" s="542"/>
      <c r="AR134" s="542"/>
      <c r="AS134" s="510"/>
      <c r="AT134" s="212"/>
      <c r="AV134" s="2">
        <v>13</v>
      </c>
      <c r="AW134" s="2">
        <v>13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698" t="s">
        <v>31</v>
      </c>
      <c r="C135" s="699"/>
      <c r="D135" s="513">
        <v>386</v>
      </c>
      <c r="E135" s="698" t="s">
        <v>31</v>
      </c>
      <c r="F135" s="699"/>
      <c r="G135" s="513">
        <v>370</v>
      </c>
      <c r="H135" s="698" t="s">
        <v>31</v>
      </c>
      <c r="I135" s="699"/>
      <c r="J135" s="513">
        <v>382</v>
      </c>
      <c r="K135" s="748" t="s">
        <v>33</v>
      </c>
      <c r="L135" s="710"/>
      <c r="M135" s="513">
        <v>384</v>
      </c>
      <c r="N135" s="713" t="s">
        <v>16</v>
      </c>
      <c r="O135" s="711"/>
      <c r="P135" s="513">
        <v>382</v>
      </c>
      <c r="Q135" s="713" t="s">
        <v>28</v>
      </c>
      <c r="R135" s="711"/>
      <c r="S135" s="513">
        <v>357</v>
      </c>
      <c r="T135" s="698" t="s">
        <v>31</v>
      </c>
      <c r="U135" s="699"/>
      <c r="V135" s="513">
        <v>351</v>
      </c>
      <c r="W135" s="716" t="s">
        <v>14</v>
      </c>
      <c r="X135" s="711"/>
      <c r="Y135" s="519">
        <v>413</v>
      </c>
      <c r="Z135" s="698" t="s">
        <v>33</v>
      </c>
      <c r="AA135" s="699"/>
      <c r="AB135" s="534">
        <v>423</v>
      </c>
      <c r="AC135" s="698" t="s">
        <v>14</v>
      </c>
      <c r="AD135" s="698"/>
      <c r="AE135" s="519">
        <v>390</v>
      </c>
      <c r="AF135" s="698" t="s">
        <v>31</v>
      </c>
      <c r="AG135" s="699"/>
      <c r="AH135" s="513">
        <v>406</v>
      </c>
      <c r="AI135" s="698" t="s">
        <v>33</v>
      </c>
      <c r="AJ135" s="699"/>
      <c r="AK135" s="519">
        <v>390</v>
      </c>
      <c r="AL135" s="699" t="s">
        <v>14</v>
      </c>
      <c r="AM135" s="699"/>
      <c r="AN135" s="519">
        <v>393</v>
      </c>
      <c r="AO135" s="699" t="s">
        <v>31</v>
      </c>
      <c r="AP135" s="699"/>
      <c r="AQ135" s="516">
        <v>426</v>
      </c>
      <c r="AR135" s="516"/>
      <c r="AS135" s="510"/>
      <c r="AT135" s="212"/>
    </row>
    <row r="136" spans="1:53" x14ac:dyDescent="0.35">
      <c r="A136" s="5"/>
      <c r="B136" s="702" t="s">
        <v>262</v>
      </c>
      <c r="C136" s="699"/>
      <c r="D136" s="519"/>
      <c r="E136" s="702" t="s">
        <v>263</v>
      </c>
      <c r="F136" s="699"/>
      <c r="G136" s="519"/>
      <c r="H136" s="702" t="s">
        <v>264</v>
      </c>
      <c r="I136" s="699"/>
      <c r="J136" s="519"/>
      <c r="K136" s="702" t="s">
        <v>265</v>
      </c>
      <c r="L136" s="699"/>
      <c r="M136" s="519"/>
      <c r="N136" s="702" t="s">
        <v>266</v>
      </c>
      <c r="O136" s="699"/>
      <c r="P136" s="519"/>
      <c r="Q136" s="702" t="s">
        <v>267</v>
      </c>
      <c r="R136" s="699"/>
      <c r="S136" s="519"/>
      <c r="T136" s="702" t="s">
        <v>268</v>
      </c>
      <c r="U136" s="699"/>
      <c r="V136" s="519"/>
      <c r="W136" s="702" t="s">
        <v>269</v>
      </c>
      <c r="X136" s="699"/>
      <c r="Y136" s="519"/>
      <c r="Z136" s="702" t="s">
        <v>270</v>
      </c>
      <c r="AA136" s="699"/>
      <c r="AB136" s="519"/>
      <c r="AC136" s="702" t="s">
        <v>271</v>
      </c>
      <c r="AD136" s="699"/>
      <c r="AE136" s="519"/>
      <c r="AF136" s="702" t="s">
        <v>272</v>
      </c>
      <c r="AG136" s="699"/>
      <c r="AI136" s="702" t="s">
        <v>273</v>
      </c>
      <c r="AJ136" s="699"/>
      <c r="AL136" s="702" t="s">
        <v>274</v>
      </c>
      <c r="AM136" s="699"/>
      <c r="AO136" s="702" t="s">
        <v>275</v>
      </c>
      <c r="AP136" s="699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47" t="s">
        <v>408</v>
      </c>
      <c r="AA138" s="747"/>
      <c r="AB138" s="747"/>
      <c r="AC138" s="747"/>
      <c r="AD138" s="747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699"/>
      <c r="C140" s="699"/>
      <c r="D140" s="519"/>
      <c r="E140" s="734"/>
      <c r="F140" s="734"/>
      <c r="G140" s="519"/>
      <c r="H140" s="734"/>
      <c r="I140" s="734"/>
      <c r="J140" s="519"/>
      <c r="K140" s="734"/>
      <c r="L140" s="734"/>
      <c r="M140" s="519"/>
      <c r="N140" s="734"/>
      <c r="O140" s="734"/>
      <c r="P140" s="519"/>
      <c r="Q140" s="734"/>
      <c r="R140" s="734"/>
      <c r="S140" s="519"/>
      <c r="T140" s="734"/>
      <c r="U140" s="734"/>
      <c r="V140" s="519"/>
      <c r="W140" s="734"/>
      <c r="X140" s="734"/>
      <c r="Y140" s="519"/>
      <c r="Z140" s="699"/>
      <c r="AA140" s="699"/>
      <c r="AB140" s="519"/>
      <c r="AC140" s="699"/>
      <c r="AD140" s="699"/>
      <c r="AE140" s="700"/>
      <c r="AF140" s="700"/>
      <c r="AG140" s="700"/>
      <c r="AH140" s="700"/>
      <c r="AI140" s="710"/>
      <c r="AJ140" s="710"/>
      <c r="AL140" s="710"/>
      <c r="AM140" s="710"/>
      <c r="AO140" s="710"/>
      <c r="AP140" s="710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265"/>
      <c r="AD141" s="9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266"/>
      <c r="AD142" s="266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13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698" t="s">
        <v>33</v>
      </c>
      <c r="C143" s="699"/>
      <c r="D143" s="513">
        <v>407</v>
      </c>
      <c r="E143" s="713" t="s">
        <v>28</v>
      </c>
      <c r="F143" s="711"/>
      <c r="G143" s="513">
        <v>404</v>
      </c>
      <c r="H143" s="711" t="s">
        <v>16</v>
      </c>
      <c r="I143" s="711"/>
      <c r="J143" s="513">
        <v>418</v>
      </c>
      <c r="K143" s="713" t="s">
        <v>31</v>
      </c>
      <c r="L143" s="711"/>
      <c r="M143" s="513">
        <v>413</v>
      </c>
      <c r="N143" s="713" t="s">
        <v>33</v>
      </c>
      <c r="O143" s="711"/>
      <c r="P143" s="513">
        <v>410</v>
      </c>
      <c r="Q143" s="713" t="s">
        <v>31</v>
      </c>
      <c r="R143" s="711"/>
      <c r="S143" s="513">
        <v>426</v>
      </c>
      <c r="T143" s="716" t="s">
        <v>31</v>
      </c>
      <c r="U143" s="711"/>
      <c r="V143" s="513">
        <v>397</v>
      </c>
      <c r="W143" s="716" t="s">
        <v>16</v>
      </c>
      <c r="X143" s="711"/>
      <c r="Y143" s="519">
        <v>404</v>
      </c>
      <c r="Z143" s="698" t="s">
        <v>146</v>
      </c>
      <c r="AA143" s="699"/>
      <c r="AB143" s="534">
        <v>224</v>
      </c>
      <c r="AC143" s="698" t="s">
        <v>118</v>
      </c>
      <c r="AD143" s="698"/>
      <c r="AE143" s="519">
        <v>422</v>
      </c>
      <c r="AF143" s="698" t="s">
        <v>31</v>
      </c>
      <c r="AG143" s="699"/>
      <c r="AH143" s="513">
        <v>343</v>
      </c>
      <c r="AI143" s="703" t="s">
        <v>23</v>
      </c>
      <c r="AJ143" s="699"/>
      <c r="AK143" s="519">
        <v>360</v>
      </c>
      <c r="AL143" s="703" t="s">
        <v>23</v>
      </c>
      <c r="AM143" s="699"/>
      <c r="AN143" s="6">
        <v>340</v>
      </c>
      <c r="AO143" s="710" t="s">
        <v>40</v>
      </c>
      <c r="AP143" s="710"/>
      <c r="AQ143" s="10">
        <v>409</v>
      </c>
      <c r="AR143" s="10"/>
      <c r="AS143" s="510"/>
      <c r="AT143" s="212"/>
    </row>
    <row r="144" spans="1:53" x14ac:dyDescent="0.35">
      <c r="A144" s="5"/>
      <c r="B144" s="702" t="s">
        <v>276</v>
      </c>
      <c r="C144" s="699"/>
      <c r="D144" s="519"/>
      <c r="E144" s="699" t="s">
        <v>277</v>
      </c>
      <c r="F144" s="699"/>
      <c r="G144" s="519"/>
      <c r="H144" s="699" t="s">
        <v>278</v>
      </c>
      <c r="I144" s="699"/>
      <c r="J144" s="519"/>
      <c r="K144" s="699" t="s">
        <v>279</v>
      </c>
      <c r="L144" s="699"/>
      <c r="M144" s="519"/>
      <c r="N144" s="699" t="s">
        <v>280</v>
      </c>
      <c r="O144" s="699"/>
      <c r="P144" s="519"/>
      <c r="Q144" s="699" t="s">
        <v>281</v>
      </c>
      <c r="R144" s="699"/>
      <c r="S144" s="519"/>
      <c r="T144" s="699" t="s">
        <v>282</v>
      </c>
      <c r="U144" s="699"/>
      <c r="V144" s="519"/>
      <c r="W144" s="699" t="s">
        <v>283</v>
      </c>
      <c r="X144" s="699"/>
      <c r="Y144" s="519"/>
      <c r="Z144" s="699" t="s">
        <v>284</v>
      </c>
      <c r="AA144" s="699"/>
      <c r="AB144" s="519"/>
      <c r="AC144" s="699" t="s">
        <v>285</v>
      </c>
      <c r="AD144" s="699"/>
      <c r="AE144" s="519"/>
      <c r="AF144" s="699" t="s">
        <v>286</v>
      </c>
      <c r="AG144" s="699"/>
      <c r="AI144" s="699" t="s">
        <v>287</v>
      </c>
      <c r="AJ144" s="699"/>
      <c r="AK144" s="519"/>
      <c r="AL144" s="699" t="s">
        <v>288</v>
      </c>
      <c r="AM144" s="699"/>
      <c r="AO144" s="699" t="s">
        <v>289</v>
      </c>
      <c r="AP144" s="699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47" t="s">
        <v>829</v>
      </c>
      <c r="I146" s="747"/>
      <c r="J146" s="747"/>
      <c r="K146" s="747"/>
      <c r="L146" s="747"/>
      <c r="M146" s="529"/>
      <c r="N146" s="529"/>
      <c r="O146" s="529"/>
      <c r="P146" s="529"/>
      <c r="Q146" s="747" t="s">
        <v>408</v>
      </c>
      <c r="R146" s="747"/>
      <c r="S146" s="747"/>
      <c r="T146" s="747"/>
      <c r="U146" s="747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699" t="s">
        <v>805</v>
      </c>
      <c r="AP146" s="699"/>
      <c r="AQ146" s="699"/>
      <c r="AR146" s="699"/>
      <c r="AS146" s="699"/>
      <c r="AT146" s="751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699"/>
      <c r="C148" s="699"/>
      <c r="D148" s="519"/>
      <c r="E148" s="734"/>
      <c r="F148" s="734"/>
      <c r="G148" s="519"/>
      <c r="H148" s="734"/>
      <c r="I148" s="734"/>
      <c r="J148" s="519"/>
      <c r="K148" s="734"/>
      <c r="L148" s="734"/>
      <c r="M148" s="519"/>
      <c r="N148" s="734"/>
      <c r="O148" s="734"/>
      <c r="P148" s="519"/>
      <c r="Q148" s="734"/>
      <c r="R148" s="734"/>
      <c r="S148" s="519"/>
      <c r="T148" s="734"/>
      <c r="U148" s="734"/>
      <c r="V148" s="519"/>
      <c r="W148" s="734"/>
      <c r="X148" s="734"/>
      <c r="Y148" s="519"/>
      <c r="Z148" s="699"/>
      <c r="AA148" s="699"/>
      <c r="AB148" s="519"/>
      <c r="AC148" s="699"/>
      <c r="AD148" s="699"/>
      <c r="AE148" s="700"/>
      <c r="AF148" s="700"/>
      <c r="AG148" s="700"/>
      <c r="AH148" s="700"/>
      <c r="AI148" s="710"/>
      <c r="AJ148" s="710"/>
      <c r="AL148" s="710"/>
      <c r="AM148" s="710"/>
      <c r="AO148" s="710"/>
      <c r="AP148" s="710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35" t="s">
        <v>397</v>
      </c>
      <c r="AD149" s="736"/>
      <c r="AE149" s="513"/>
      <c r="AF149" s="735" t="s">
        <v>397</v>
      </c>
      <c r="AG149" s="736"/>
      <c r="AH149" s="510"/>
      <c r="AI149" s="11"/>
      <c r="AJ149" s="12"/>
      <c r="AK149" s="510"/>
      <c r="AL149" s="735" t="s">
        <v>397</v>
      </c>
      <c r="AM149" s="736"/>
      <c r="AN149" s="510"/>
      <c r="AO149" s="735" t="s">
        <v>397</v>
      </c>
      <c r="AP149" s="736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37"/>
      <c r="AD150" s="738"/>
      <c r="AE150" s="519"/>
      <c r="AF150" s="737"/>
      <c r="AG150" s="738"/>
      <c r="AH150" s="510"/>
      <c r="AI150" s="15"/>
      <c r="AJ150" s="15"/>
      <c r="AL150" s="737"/>
      <c r="AM150" s="738"/>
      <c r="AO150" s="737"/>
      <c r="AP150" s="738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698" t="s">
        <v>35</v>
      </c>
      <c r="C151" s="699"/>
      <c r="D151" s="513">
        <v>391.06</v>
      </c>
      <c r="E151" s="698" t="s">
        <v>113</v>
      </c>
      <c r="F151" s="699"/>
      <c r="G151" s="513">
        <v>386</v>
      </c>
      <c r="H151" s="698" t="s">
        <v>803</v>
      </c>
      <c r="I151" s="699"/>
      <c r="J151" s="363">
        <v>372.887</v>
      </c>
      <c r="K151" s="698" t="s">
        <v>804</v>
      </c>
      <c r="L151" s="699"/>
      <c r="M151" s="363">
        <v>333</v>
      </c>
      <c r="N151" s="713" t="s">
        <v>33</v>
      </c>
      <c r="O151" s="711"/>
      <c r="P151" s="363">
        <v>357.142</v>
      </c>
      <c r="Q151" s="713" t="s">
        <v>146</v>
      </c>
      <c r="R151" s="711"/>
      <c r="S151" s="363">
        <v>234.17099999999999</v>
      </c>
      <c r="T151" s="716" t="s">
        <v>172</v>
      </c>
      <c r="U151" s="711"/>
      <c r="V151" s="315">
        <v>352</v>
      </c>
      <c r="W151" s="716" t="s">
        <v>16</v>
      </c>
      <c r="X151" s="711"/>
      <c r="Y151" s="315">
        <v>353</v>
      </c>
      <c r="Z151" s="698" t="s">
        <v>33</v>
      </c>
      <c r="AA151" s="699"/>
      <c r="AB151" s="315">
        <v>352.60599999999999</v>
      </c>
      <c r="AC151" s="698" t="s">
        <v>154</v>
      </c>
      <c r="AD151" s="698"/>
      <c r="AE151" s="519">
        <v>268</v>
      </c>
      <c r="AF151" s="698" t="s">
        <v>299</v>
      </c>
      <c r="AG151" s="699"/>
      <c r="AH151" s="513">
        <v>306</v>
      </c>
      <c r="AI151" s="698" t="s">
        <v>390</v>
      </c>
      <c r="AJ151" s="699"/>
      <c r="AK151" s="519">
        <v>297</v>
      </c>
      <c r="AL151" s="699" t="s">
        <v>23</v>
      </c>
      <c r="AM151" s="699"/>
      <c r="AN151" s="315">
        <v>414.40300000000002</v>
      </c>
      <c r="AO151" s="699" t="s">
        <v>61</v>
      </c>
      <c r="AP151" s="699"/>
      <c r="AQ151" s="516">
        <v>332</v>
      </c>
      <c r="AR151" s="516"/>
      <c r="AS151" s="510"/>
      <c r="AT151" s="212"/>
    </row>
    <row r="152" spans="1:53" x14ac:dyDescent="0.35">
      <c r="A152" s="5"/>
      <c r="B152" s="699" t="s">
        <v>290</v>
      </c>
      <c r="C152" s="699"/>
      <c r="D152" s="519"/>
      <c r="E152" s="699" t="s">
        <v>291</v>
      </c>
      <c r="F152" s="699"/>
      <c r="G152" s="519"/>
      <c r="H152" s="699" t="s">
        <v>292</v>
      </c>
      <c r="I152" s="699"/>
      <c r="J152" s="519"/>
      <c r="K152" s="699" t="s">
        <v>391</v>
      </c>
      <c r="L152" s="699"/>
      <c r="M152" s="519"/>
      <c r="N152" s="699" t="s">
        <v>392</v>
      </c>
      <c r="O152" s="699"/>
      <c r="P152" s="519"/>
      <c r="Q152" s="698" t="s">
        <v>293</v>
      </c>
      <c r="R152" s="699"/>
      <c r="S152" s="519"/>
      <c r="T152" s="699" t="s">
        <v>294</v>
      </c>
      <c r="U152" s="699"/>
      <c r="V152" s="519"/>
      <c r="W152" s="699" t="s">
        <v>295</v>
      </c>
      <c r="X152" s="699"/>
      <c r="Y152" s="519"/>
      <c r="Z152" s="699" t="s">
        <v>296</v>
      </c>
      <c r="AA152" s="699"/>
      <c r="AB152" s="519"/>
      <c r="AC152" s="699" t="s">
        <v>297</v>
      </c>
      <c r="AD152" s="699"/>
      <c r="AE152" s="519"/>
      <c r="AF152" s="699" t="s">
        <v>298</v>
      </c>
      <c r="AG152" s="699"/>
      <c r="AI152" s="699" t="s">
        <v>300</v>
      </c>
      <c r="AJ152" s="699"/>
      <c r="AL152" s="699" t="s">
        <v>301</v>
      </c>
      <c r="AM152" s="699"/>
      <c r="AO152" s="699" t="s">
        <v>302</v>
      </c>
      <c r="AP152" s="699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47" t="s">
        <v>805</v>
      </c>
      <c r="C154" s="747"/>
      <c r="D154" s="747"/>
      <c r="E154" s="747"/>
      <c r="F154" s="747"/>
      <c r="G154" s="747"/>
      <c r="H154" s="747"/>
      <c r="I154" s="747"/>
      <c r="J154" s="747"/>
      <c r="K154" s="747"/>
      <c r="L154" s="747"/>
      <c r="M154" s="747"/>
      <c r="N154" s="747"/>
      <c r="O154" s="747"/>
      <c r="P154" s="529"/>
      <c r="Q154" s="529"/>
      <c r="R154" s="529"/>
      <c r="S154" s="529"/>
      <c r="T154" s="529"/>
      <c r="U154" s="529"/>
      <c r="V154" s="513"/>
      <c r="W154" s="752" t="s">
        <v>409</v>
      </c>
      <c r="X154" s="752"/>
      <c r="Y154" s="752"/>
      <c r="Z154" s="752"/>
      <c r="AA154" s="752"/>
      <c r="AB154" s="529"/>
      <c r="AC154" s="224" t="s">
        <v>830</v>
      </c>
      <c r="AD154" s="224"/>
      <c r="AE154" s="224"/>
      <c r="AF154" s="753" t="s">
        <v>408</v>
      </c>
      <c r="AG154" s="754"/>
      <c r="AH154" s="754"/>
      <c r="AI154" s="754"/>
      <c r="AJ154" s="755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699"/>
      <c r="C156" s="699"/>
      <c r="D156" s="519"/>
      <c r="E156" s="734"/>
      <c r="F156" s="734"/>
      <c r="G156" s="519"/>
      <c r="H156" s="734"/>
      <c r="I156" s="734"/>
      <c r="J156" s="519"/>
      <c r="K156" s="734"/>
      <c r="L156" s="734"/>
      <c r="M156" s="519"/>
      <c r="N156" s="734"/>
      <c r="O156" s="734"/>
      <c r="P156" s="519"/>
      <c r="Q156" s="734"/>
      <c r="R156" s="734"/>
      <c r="S156" s="519"/>
      <c r="T156" s="734"/>
      <c r="U156" s="734"/>
      <c r="V156" s="519"/>
      <c r="W156" s="734"/>
      <c r="X156" s="734"/>
      <c r="Y156" s="519"/>
      <c r="Z156" s="699"/>
      <c r="AA156" s="699"/>
      <c r="AB156" s="519"/>
      <c r="AC156" s="699"/>
      <c r="AD156" s="699"/>
      <c r="AE156" s="700"/>
      <c r="AF156" s="700"/>
      <c r="AG156" s="700"/>
      <c r="AH156" s="700"/>
      <c r="AI156" s="710"/>
      <c r="AJ156" s="710"/>
      <c r="AL156" s="710"/>
      <c r="AM156" s="710"/>
      <c r="AO156" s="710"/>
      <c r="AP156" s="710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35" t="s">
        <v>397</v>
      </c>
      <c r="R157" s="736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3" t="s">
        <v>396</v>
      </c>
      <c r="AD157" s="744"/>
      <c r="AE157" s="513"/>
      <c r="AF157" s="30"/>
      <c r="AG157" s="31"/>
      <c r="AH157" s="510"/>
      <c r="AI157" s="265"/>
      <c r="AJ157" s="9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37"/>
      <c r="R158" s="738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45"/>
      <c r="AD158" s="746"/>
      <c r="AE158" s="519"/>
      <c r="AF158" s="32"/>
      <c r="AG158" s="32"/>
      <c r="AH158" s="510"/>
      <c r="AI158" s="266"/>
      <c r="AJ158" s="266"/>
      <c r="AL158" s="15"/>
      <c r="AM158" s="15"/>
      <c r="AO158" s="15"/>
      <c r="AP158" s="15"/>
      <c r="AQ158" s="542"/>
      <c r="AR158" s="542"/>
      <c r="AS158" s="510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698" t="s">
        <v>238</v>
      </c>
      <c r="C159" s="699"/>
      <c r="D159" s="513">
        <v>410</v>
      </c>
      <c r="E159" s="713" t="s">
        <v>35</v>
      </c>
      <c r="F159" s="711"/>
      <c r="G159" s="315">
        <v>414</v>
      </c>
      <c r="H159" s="711" t="s">
        <v>33</v>
      </c>
      <c r="I159" s="711"/>
      <c r="J159" s="315">
        <v>407</v>
      </c>
      <c r="K159" s="713" t="s">
        <v>31</v>
      </c>
      <c r="L159" s="711"/>
      <c r="M159" s="315">
        <v>421.88400000000001</v>
      </c>
      <c r="N159" s="713" t="s">
        <v>234</v>
      </c>
      <c r="O159" s="711"/>
      <c r="P159" s="315">
        <v>532.19200000000001</v>
      </c>
      <c r="Q159" s="713" t="s">
        <v>164</v>
      </c>
      <c r="R159" s="711"/>
      <c r="S159" s="513">
        <v>415</v>
      </c>
      <c r="T159" s="716" t="s">
        <v>20</v>
      </c>
      <c r="U159" s="711"/>
      <c r="V159" s="362">
        <v>350</v>
      </c>
      <c r="W159" s="716" t="s">
        <v>2013</v>
      </c>
      <c r="X159" s="711"/>
      <c r="Y159" s="362">
        <v>249.01300000000001</v>
      </c>
      <c r="Z159" s="698" t="s">
        <v>156</v>
      </c>
      <c r="AA159" s="699"/>
      <c r="AB159" s="362">
        <v>351</v>
      </c>
      <c r="AC159" s="698" t="s">
        <v>16</v>
      </c>
      <c r="AD159" s="698"/>
      <c r="AE159" s="362">
        <v>307.26100000000002</v>
      </c>
      <c r="AF159" s="698" t="s">
        <v>314</v>
      </c>
      <c r="AG159" s="699"/>
      <c r="AH159" s="362">
        <v>250.55699999999999</v>
      </c>
      <c r="AI159" s="748" t="s">
        <v>148</v>
      </c>
      <c r="AJ159" s="710"/>
      <c r="AK159" s="362">
        <v>423</v>
      </c>
      <c r="AL159" s="710" t="s">
        <v>23</v>
      </c>
      <c r="AM159" s="710"/>
      <c r="AN159" s="362">
        <v>339</v>
      </c>
      <c r="AO159" s="710" t="s">
        <v>23</v>
      </c>
      <c r="AP159" s="710"/>
      <c r="AQ159" s="10">
        <v>340</v>
      </c>
      <c r="AR159" s="10"/>
      <c r="AS159" s="510"/>
      <c r="AT159" s="212"/>
    </row>
    <row r="160" spans="1:53" x14ac:dyDescent="0.35">
      <c r="A160" s="5"/>
      <c r="B160" s="699" t="s">
        <v>303</v>
      </c>
      <c r="C160" s="699"/>
      <c r="D160" s="519"/>
      <c r="E160" s="699" t="s">
        <v>304</v>
      </c>
      <c r="F160" s="699"/>
      <c r="G160" s="519"/>
      <c r="H160" s="699" t="s">
        <v>305</v>
      </c>
      <c r="I160" s="699"/>
      <c r="J160" s="519"/>
      <c r="K160" s="699" t="s">
        <v>306</v>
      </c>
      <c r="L160" s="699"/>
      <c r="M160" s="519"/>
      <c r="N160" s="699" t="s">
        <v>307</v>
      </c>
      <c r="O160" s="699"/>
      <c r="P160" s="519"/>
      <c r="Q160" s="699" t="s">
        <v>308</v>
      </c>
      <c r="R160" s="699"/>
      <c r="S160" s="519"/>
      <c r="T160" s="699" t="s">
        <v>309</v>
      </c>
      <c r="U160" s="699"/>
      <c r="V160" s="519"/>
      <c r="W160" s="699" t="s">
        <v>310</v>
      </c>
      <c r="X160" s="699"/>
      <c r="Y160" s="519"/>
      <c r="Z160" s="699" t="s">
        <v>311</v>
      </c>
      <c r="AA160" s="699"/>
      <c r="AB160" s="519"/>
      <c r="AC160" s="699" t="s">
        <v>312</v>
      </c>
      <c r="AD160" s="699"/>
      <c r="AE160" s="519"/>
      <c r="AF160" s="699" t="s">
        <v>313</v>
      </c>
      <c r="AG160" s="699"/>
      <c r="AI160" s="699" t="s">
        <v>315</v>
      </c>
      <c r="AJ160" s="699"/>
      <c r="AL160" s="699" t="s">
        <v>316</v>
      </c>
      <c r="AM160" s="699"/>
      <c r="AO160" s="699" t="s">
        <v>317</v>
      </c>
      <c r="AP160" s="699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2" t="s">
        <v>403</v>
      </c>
      <c r="X162" s="752"/>
      <c r="Y162" s="752"/>
      <c r="Z162" s="752"/>
      <c r="AA162" s="752"/>
      <c r="AB162" s="752"/>
      <c r="AC162" s="752"/>
      <c r="AD162" s="752"/>
      <c r="AE162" s="519"/>
      <c r="AF162" s="542"/>
      <c r="AG162" s="529"/>
      <c r="AH162" s="756"/>
      <c r="AI162" s="756"/>
      <c r="AJ162" s="756"/>
      <c r="AK162" s="756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699"/>
      <c r="C164" s="699"/>
      <c r="D164" s="519"/>
      <c r="E164" s="734"/>
      <c r="F164" s="734"/>
      <c r="G164" s="519"/>
      <c r="H164" s="734"/>
      <c r="I164" s="734"/>
      <c r="J164" s="519"/>
      <c r="K164" s="734"/>
      <c r="L164" s="734"/>
      <c r="M164" s="519"/>
      <c r="N164" s="734"/>
      <c r="O164" s="734"/>
      <c r="P164" s="519"/>
      <c r="Q164" s="734"/>
      <c r="R164" s="734"/>
      <c r="S164" s="519"/>
      <c r="T164" s="734"/>
      <c r="U164" s="734"/>
      <c r="V164" s="519"/>
      <c r="W164" s="734"/>
      <c r="X164" s="734"/>
      <c r="Y164" s="519"/>
      <c r="Z164" s="699"/>
      <c r="AA164" s="699"/>
      <c r="AB164" s="519"/>
      <c r="AC164" s="699"/>
      <c r="AD164" s="699"/>
      <c r="AE164" s="700"/>
      <c r="AF164" s="700"/>
      <c r="AG164" s="700"/>
      <c r="AH164" s="700"/>
      <c r="AI164" s="710"/>
      <c r="AJ164" s="710"/>
      <c r="AL164" s="710"/>
      <c r="AM164" s="710"/>
      <c r="AO164" s="710"/>
      <c r="AP164" s="710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39" t="s">
        <v>396</v>
      </c>
      <c r="X165" s="740"/>
      <c r="Y165" s="513"/>
      <c r="Z165" s="11"/>
      <c r="AA165" s="12"/>
      <c r="AB165" s="529"/>
      <c r="AC165" s="743" t="s">
        <v>396</v>
      </c>
      <c r="AD165" s="744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35" t="s">
        <v>397</v>
      </c>
      <c r="AP165" s="736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1"/>
      <c r="X166" s="742"/>
      <c r="Y166" s="519"/>
      <c r="Z166" s="15"/>
      <c r="AA166" s="15"/>
      <c r="AB166" s="534"/>
      <c r="AC166" s="745"/>
      <c r="AD166" s="746"/>
      <c r="AE166" s="519"/>
      <c r="AF166" s="15"/>
      <c r="AG166" s="15"/>
      <c r="AH166" s="510"/>
      <c r="AI166" s="15"/>
      <c r="AJ166" s="15"/>
      <c r="AL166" s="15"/>
      <c r="AM166" s="15"/>
      <c r="AO166" s="737"/>
      <c r="AP166" s="738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0" t="s">
        <v>23</v>
      </c>
      <c r="C167" s="710"/>
      <c r="D167" s="362">
        <v>339.06099999999998</v>
      </c>
      <c r="E167" s="713" t="s">
        <v>115</v>
      </c>
      <c r="F167" s="711"/>
      <c r="G167" s="513">
        <v>383</v>
      </c>
      <c r="H167" s="711" t="s">
        <v>16</v>
      </c>
      <c r="I167" s="711"/>
      <c r="J167" s="513">
        <v>400</v>
      </c>
      <c r="K167" s="713" t="s">
        <v>40</v>
      </c>
      <c r="L167" s="711"/>
      <c r="M167" s="513">
        <v>386</v>
      </c>
      <c r="N167" s="713" t="s">
        <v>14</v>
      </c>
      <c r="O167" s="711"/>
      <c r="P167" s="513">
        <v>393</v>
      </c>
      <c r="Q167" s="713" t="s">
        <v>31</v>
      </c>
      <c r="R167" s="711"/>
      <c r="S167" s="513">
        <v>422</v>
      </c>
      <c r="T167" s="716" t="s">
        <v>16</v>
      </c>
      <c r="U167" s="711"/>
      <c r="V167" s="513">
        <v>408</v>
      </c>
      <c r="W167" s="716" t="s">
        <v>14</v>
      </c>
      <c r="X167" s="711"/>
      <c r="Y167" s="519">
        <v>370</v>
      </c>
      <c r="Z167" s="698" t="s">
        <v>23</v>
      </c>
      <c r="AA167" s="699"/>
      <c r="AB167" s="362">
        <v>345</v>
      </c>
      <c r="AC167" s="713" t="s">
        <v>31</v>
      </c>
      <c r="AD167" s="711"/>
      <c r="AE167" s="362">
        <v>352</v>
      </c>
      <c r="AF167" s="698" t="s">
        <v>23</v>
      </c>
      <c r="AG167" s="699"/>
      <c r="AH167" s="510">
        <v>440</v>
      </c>
      <c r="AI167" s="703" t="s">
        <v>35</v>
      </c>
      <c r="AJ167" s="699"/>
      <c r="AK167" s="6">
        <v>380</v>
      </c>
      <c r="AL167" s="698" t="s">
        <v>23</v>
      </c>
      <c r="AM167" s="699"/>
      <c r="AN167" s="6">
        <v>416</v>
      </c>
      <c r="AO167" s="710" t="s">
        <v>20</v>
      </c>
      <c r="AP167" s="710"/>
      <c r="AQ167" s="516">
        <v>406</v>
      </c>
      <c r="AR167" s="10"/>
      <c r="AS167" s="510"/>
      <c r="AT167" s="212"/>
    </row>
    <row r="168" spans="1:53" x14ac:dyDescent="0.35">
      <c r="A168" s="5"/>
      <c r="B168" s="699" t="s">
        <v>318</v>
      </c>
      <c r="C168" s="699"/>
      <c r="D168" s="519"/>
      <c r="E168" s="699" t="s">
        <v>319</v>
      </c>
      <c r="F168" s="699"/>
      <c r="G168" s="519"/>
      <c r="H168" s="699" t="s">
        <v>320</v>
      </c>
      <c r="I168" s="699"/>
      <c r="J168" s="519"/>
      <c r="K168" s="699" t="s">
        <v>321</v>
      </c>
      <c r="L168" s="699"/>
      <c r="M168" s="519"/>
      <c r="N168" s="699" t="s">
        <v>322</v>
      </c>
      <c r="O168" s="699"/>
      <c r="P168" s="519"/>
      <c r="Q168" s="699" t="s">
        <v>323</v>
      </c>
      <c r="R168" s="699"/>
      <c r="S168" s="519"/>
      <c r="T168" s="699" t="s">
        <v>324</v>
      </c>
      <c r="U168" s="699"/>
      <c r="V168" s="519"/>
      <c r="W168" s="699" t="s">
        <v>325</v>
      </c>
      <c r="X168" s="699"/>
      <c r="Y168" s="519"/>
      <c r="Z168" s="699" t="s">
        <v>326</v>
      </c>
      <c r="AA168" s="699"/>
      <c r="AB168" s="519"/>
      <c r="AC168" s="699" t="s">
        <v>327</v>
      </c>
      <c r="AD168" s="699"/>
      <c r="AE168" s="519"/>
      <c r="AF168" s="699" t="s">
        <v>328</v>
      </c>
      <c r="AG168" s="699"/>
      <c r="AI168" s="699" t="s">
        <v>329</v>
      </c>
      <c r="AJ168" s="699"/>
      <c r="AL168" s="699" t="s">
        <v>330</v>
      </c>
      <c r="AM168" s="699"/>
      <c r="AO168" s="699" t="s">
        <v>331</v>
      </c>
      <c r="AP168" s="699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0"/>
      <c r="L170" s="750"/>
      <c r="M170" s="750"/>
      <c r="N170" s="750"/>
      <c r="O170" s="750"/>
      <c r="P170" s="750"/>
      <c r="Q170" s="750"/>
      <c r="R170" s="750"/>
      <c r="S170" s="513"/>
      <c r="T170" s="543"/>
      <c r="U170" s="544"/>
      <c r="V170" s="757" t="s">
        <v>403</v>
      </c>
      <c r="W170" s="757"/>
      <c r="X170" s="757"/>
      <c r="Y170" s="757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699"/>
      <c r="C172" s="699"/>
      <c r="D172" s="519"/>
      <c r="E172" s="734"/>
      <c r="F172" s="734"/>
      <c r="G172" s="519"/>
      <c r="H172" s="734"/>
      <c r="I172" s="734"/>
      <c r="J172" s="519"/>
      <c r="K172" s="734"/>
      <c r="L172" s="734"/>
      <c r="M172" s="519"/>
      <c r="N172" s="734"/>
      <c r="O172" s="734"/>
      <c r="P172" s="519"/>
      <c r="Q172" s="734"/>
      <c r="R172" s="734"/>
      <c r="S172" s="519"/>
      <c r="T172" s="734"/>
      <c r="U172" s="734"/>
      <c r="V172" s="519"/>
      <c r="W172" s="734"/>
      <c r="X172" s="734"/>
      <c r="Y172" s="519"/>
      <c r="Z172" s="699"/>
      <c r="AA172" s="699"/>
      <c r="AB172" s="519"/>
      <c r="AC172" s="699"/>
      <c r="AD172" s="699"/>
      <c r="AE172" s="700"/>
      <c r="AF172" s="700"/>
      <c r="AG172" s="700"/>
      <c r="AH172" s="700"/>
      <c r="AI172" s="710"/>
      <c r="AJ172" s="710"/>
      <c r="AL172" s="710"/>
      <c r="AM172" s="710"/>
      <c r="AO172" s="710"/>
      <c r="AP172" s="710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35" t="s">
        <v>397</v>
      </c>
      <c r="I173" s="736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35" t="s">
        <v>397</v>
      </c>
      <c r="AP173" s="736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37"/>
      <c r="I174" s="738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37"/>
      <c r="AP174" s="738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11" t="s">
        <v>16</v>
      </c>
      <c r="C175" s="711"/>
      <c r="D175" s="513">
        <v>433</v>
      </c>
      <c r="E175" s="713" t="s">
        <v>28</v>
      </c>
      <c r="F175" s="711"/>
      <c r="G175" s="362">
        <v>353.24799999999999</v>
      </c>
      <c r="H175" s="711" t="s">
        <v>16</v>
      </c>
      <c r="I175" s="711"/>
      <c r="J175" s="362">
        <v>407</v>
      </c>
      <c r="K175" s="713" t="s">
        <v>14</v>
      </c>
      <c r="L175" s="711"/>
      <c r="M175" s="362">
        <v>416</v>
      </c>
      <c r="N175" s="713" t="s">
        <v>16</v>
      </c>
      <c r="O175" s="711"/>
      <c r="P175" s="513">
        <v>373</v>
      </c>
      <c r="Q175" s="713" t="s">
        <v>23</v>
      </c>
      <c r="R175" s="711"/>
      <c r="S175" s="513">
        <v>389</v>
      </c>
      <c r="T175" s="716" t="s">
        <v>33</v>
      </c>
      <c r="U175" s="711"/>
      <c r="V175" s="513">
        <v>399</v>
      </c>
      <c r="W175" s="716" t="s">
        <v>14</v>
      </c>
      <c r="X175" s="711"/>
      <c r="Y175" s="519">
        <v>412</v>
      </c>
      <c r="Z175" s="698" t="s">
        <v>16</v>
      </c>
      <c r="AA175" s="699"/>
      <c r="AB175" s="534">
        <v>418</v>
      </c>
      <c r="AC175" s="698" t="s">
        <v>23</v>
      </c>
      <c r="AD175" s="698"/>
      <c r="AE175" s="519">
        <v>394</v>
      </c>
      <c r="AF175" s="698" t="s">
        <v>236</v>
      </c>
      <c r="AG175" s="699"/>
      <c r="AH175" s="510">
        <v>399</v>
      </c>
      <c r="AI175" s="748" t="s">
        <v>23</v>
      </c>
      <c r="AJ175" s="710"/>
      <c r="AK175" s="362">
        <v>348</v>
      </c>
      <c r="AL175" s="748" t="s">
        <v>23</v>
      </c>
      <c r="AM175" s="710"/>
      <c r="AN175" s="6">
        <v>358</v>
      </c>
      <c r="AO175" s="710" t="s">
        <v>20</v>
      </c>
      <c r="AP175" s="710"/>
      <c r="AQ175" s="10">
        <v>478</v>
      </c>
      <c r="AR175" s="10"/>
      <c r="AS175" s="510"/>
      <c r="AT175" s="212"/>
    </row>
    <row r="176" spans="1:53" x14ac:dyDescent="0.35">
      <c r="A176" s="5"/>
      <c r="B176" s="699" t="s">
        <v>332</v>
      </c>
      <c r="C176" s="699"/>
      <c r="D176" s="519"/>
      <c r="E176" s="699" t="s">
        <v>333</v>
      </c>
      <c r="F176" s="699"/>
      <c r="G176" s="519"/>
      <c r="H176" s="699" t="s">
        <v>334</v>
      </c>
      <c r="I176" s="699"/>
      <c r="J176" s="519"/>
      <c r="K176" s="699" t="s">
        <v>335</v>
      </c>
      <c r="L176" s="699"/>
      <c r="M176" s="519"/>
      <c r="N176" s="699" t="s">
        <v>336</v>
      </c>
      <c r="O176" s="699"/>
      <c r="P176" s="519"/>
      <c r="Q176" s="699" t="s">
        <v>337</v>
      </c>
      <c r="R176" s="699"/>
      <c r="S176" s="519"/>
      <c r="T176" s="699" t="s">
        <v>338</v>
      </c>
      <c r="U176" s="699"/>
      <c r="V176" s="519"/>
      <c r="W176" s="699" t="s">
        <v>339</v>
      </c>
      <c r="X176" s="699"/>
      <c r="Y176" s="519"/>
      <c r="Z176" s="699" t="s">
        <v>340</v>
      </c>
      <c r="AA176" s="699"/>
      <c r="AB176" s="519"/>
      <c r="AC176" s="699" t="s">
        <v>341</v>
      </c>
      <c r="AD176" s="699"/>
      <c r="AE176" s="519"/>
      <c r="AF176" s="699" t="s">
        <v>342</v>
      </c>
      <c r="AG176" s="699"/>
      <c r="AI176" s="699" t="s">
        <v>343</v>
      </c>
      <c r="AJ176" s="699"/>
      <c r="AL176" s="699" t="s">
        <v>344</v>
      </c>
      <c r="AM176" s="699"/>
      <c r="AO176" s="699" t="s">
        <v>345</v>
      </c>
      <c r="AP176" s="699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58" t="s">
        <v>403</v>
      </c>
      <c r="B178" s="747"/>
      <c r="C178" s="747"/>
      <c r="D178" s="747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699"/>
      <c r="C180" s="699"/>
      <c r="D180" s="519"/>
      <c r="E180" s="734"/>
      <c r="F180" s="734"/>
      <c r="G180" s="519"/>
      <c r="H180" s="734"/>
      <c r="I180" s="734"/>
      <c r="J180" s="519"/>
      <c r="K180" s="734"/>
      <c r="L180" s="734"/>
      <c r="M180" s="519"/>
      <c r="N180" s="734"/>
      <c r="O180" s="734"/>
      <c r="P180" s="519"/>
      <c r="Q180" s="734"/>
      <c r="R180" s="734"/>
      <c r="S180" s="519"/>
      <c r="T180" s="734"/>
      <c r="U180" s="734"/>
      <c r="V180" s="519"/>
      <c r="W180" s="734"/>
      <c r="X180" s="734"/>
      <c r="Y180" s="519"/>
      <c r="Z180" s="699"/>
      <c r="AA180" s="699"/>
      <c r="AB180" s="519"/>
      <c r="AC180" s="699"/>
      <c r="AD180" s="699"/>
      <c r="AE180" s="700"/>
      <c r="AF180" s="700"/>
      <c r="AG180" s="700"/>
      <c r="AH180" s="700"/>
      <c r="AI180" s="696"/>
      <c r="AJ180" s="696"/>
      <c r="AL180" s="696"/>
      <c r="AM180" s="696"/>
      <c r="AO180" s="696"/>
      <c r="AP180" s="696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698" t="s">
        <v>236</v>
      </c>
      <c r="C183" s="699"/>
      <c r="D183" s="513"/>
      <c r="E183" s="713"/>
      <c r="F183" s="711"/>
      <c r="G183" s="513"/>
      <c r="H183" s="711"/>
      <c r="I183" s="711"/>
      <c r="J183" s="513"/>
      <c r="K183" s="713"/>
      <c r="L183" s="711"/>
      <c r="M183" s="513"/>
      <c r="N183" s="713"/>
      <c r="O183" s="711"/>
      <c r="P183" s="513"/>
      <c r="Q183" s="713"/>
      <c r="R183" s="711"/>
      <c r="S183" s="513"/>
      <c r="T183" s="716"/>
      <c r="U183" s="711"/>
      <c r="V183" s="513"/>
      <c r="W183" s="716"/>
      <c r="X183" s="711"/>
      <c r="Y183" s="519"/>
      <c r="Z183" s="698"/>
      <c r="AA183" s="699"/>
      <c r="AB183" s="534"/>
      <c r="AC183" s="698"/>
      <c r="AD183" s="698"/>
      <c r="AE183" s="519"/>
      <c r="AF183" s="713"/>
      <c r="AG183" s="713"/>
      <c r="AH183" s="510"/>
      <c r="AI183" s="759"/>
      <c r="AJ183" s="759"/>
      <c r="AL183" s="760"/>
      <c r="AM183" s="760"/>
      <c r="AO183" s="710"/>
      <c r="AP183" s="710"/>
      <c r="AQ183" s="10"/>
      <c r="AR183" s="10"/>
      <c r="AS183" s="510"/>
      <c r="AT183" s="212"/>
    </row>
    <row r="184" spans="1:53" x14ac:dyDescent="0.35">
      <c r="A184" s="5"/>
      <c r="B184" s="699" t="s">
        <v>346</v>
      </c>
      <c r="C184" s="699"/>
      <c r="D184" s="519"/>
      <c r="E184" s="699"/>
      <c r="F184" s="699"/>
      <c r="G184" s="519"/>
      <c r="H184" s="699"/>
      <c r="I184" s="699"/>
      <c r="J184" s="519"/>
      <c r="K184" s="699"/>
      <c r="L184" s="699"/>
      <c r="M184" s="519"/>
      <c r="N184" s="699"/>
      <c r="O184" s="699"/>
      <c r="P184" s="519"/>
      <c r="Q184" s="699"/>
      <c r="R184" s="699"/>
      <c r="S184" s="519"/>
      <c r="T184" s="699"/>
      <c r="U184" s="699"/>
      <c r="V184" s="519"/>
      <c r="W184" s="703"/>
      <c r="X184" s="699"/>
      <c r="Y184" s="519"/>
      <c r="Z184" s="699"/>
      <c r="AA184" s="699"/>
      <c r="AB184" s="519"/>
      <c r="AC184" s="699"/>
      <c r="AD184" s="699"/>
      <c r="AE184" s="519"/>
      <c r="AF184" s="699"/>
      <c r="AG184" s="699"/>
      <c r="AI184" s="748"/>
      <c r="AJ184" s="710"/>
      <c r="AL184" s="710"/>
      <c r="AM184" s="710"/>
      <c r="AO184" s="710"/>
      <c r="AP184" s="710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1" t="s">
        <v>360</v>
      </c>
      <c r="C200" s="762"/>
      <c r="D200" s="763"/>
      <c r="E200" s="763"/>
      <c r="F200" s="763"/>
      <c r="G200" s="763"/>
      <c r="H200" s="763"/>
      <c r="I200" s="763"/>
      <c r="J200" s="763"/>
      <c r="K200" s="763"/>
      <c r="L200" s="764"/>
      <c r="M200" s="19"/>
      <c r="N200" s="765" t="s">
        <v>361</v>
      </c>
      <c r="O200" s="763"/>
      <c r="P200" s="763"/>
      <c r="Q200" s="763"/>
      <c r="R200" s="763"/>
      <c r="S200" s="763"/>
      <c r="T200" s="763"/>
      <c r="U200" s="763"/>
      <c r="V200" s="764"/>
      <c r="W200" s="766" t="s">
        <v>393</v>
      </c>
      <c r="X200" s="767"/>
      <c r="Y200" s="767"/>
      <c r="Z200" s="767"/>
      <c r="AA200" s="767"/>
      <c r="AB200" s="767"/>
      <c r="AC200" s="767"/>
      <c r="AD200" s="767"/>
      <c r="AE200" s="767"/>
      <c r="AF200" s="767"/>
      <c r="AG200" s="767"/>
      <c r="AH200" s="767"/>
      <c r="AI200" s="767"/>
      <c r="AJ200" s="767"/>
      <c r="AK200" s="767"/>
      <c r="AL200" s="767"/>
      <c r="AM200" s="768"/>
      <c r="AN200" s="772"/>
      <c r="AO200" s="772"/>
      <c r="AP200" s="772"/>
      <c r="AQ200" s="773"/>
      <c r="AR200" s="773"/>
      <c r="AS200" s="773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69"/>
      <c r="X201" s="770"/>
      <c r="Y201" s="770"/>
      <c r="Z201" s="770"/>
      <c r="AA201" s="770"/>
      <c r="AB201" s="770"/>
      <c r="AC201" s="770"/>
      <c r="AD201" s="770"/>
      <c r="AE201" s="770"/>
      <c r="AF201" s="770"/>
      <c r="AG201" s="770"/>
      <c r="AH201" s="770"/>
      <c r="AI201" s="770"/>
      <c r="AJ201" s="770"/>
      <c r="AK201" s="770"/>
      <c r="AL201" s="770"/>
      <c r="AM201" s="771"/>
      <c r="AN201" s="774"/>
      <c r="AO201" s="774"/>
      <c r="AP201" s="774"/>
      <c r="AQ201" s="775"/>
      <c r="AR201" s="775"/>
      <c r="AS201" s="775"/>
      <c r="AT201" s="217"/>
    </row>
    <row r="202" spans="1:52" x14ac:dyDescent="0.35">
      <c r="A202" s="5"/>
      <c r="B202" s="779" t="s">
        <v>3</v>
      </c>
      <c r="C202" s="780"/>
      <c r="D202" s="781"/>
      <c r="F202" s="782" t="s">
        <v>362</v>
      </c>
      <c r="G202" s="782"/>
      <c r="I202" s="783" t="s">
        <v>363</v>
      </c>
      <c r="J202" s="783"/>
      <c r="N202" s="784" t="s">
        <v>364</v>
      </c>
      <c r="O202" s="784"/>
      <c r="P202" s="730"/>
      <c r="R202" s="785" t="s">
        <v>365</v>
      </c>
      <c r="S202" s="786"/>
      <c r="T202" s="797"/>
      <c r="U202" s="798"/>
      <c r="V202" s="21"/>
      <c r="W202" s="803" t="s">
        <v>4</v>
      </c>
      <c r="X202" s="804"/>
      <c r="Y202" s="795" t="s">
        <v>366</v>
      </c>
      <c r="Z202" s="795"/>
      <c r="AA202" s="795"/>
      <c r="AB202" s="795"/>
      <c r="AC202" s="795" t="s">
        <v>367</v>
      </c>
      <c r="AD202" s="795"/>
      <c r="AE202" s="795" t="s">
        <v>368</v>
      </c>
      <c r="AF202" s="795"/>
      <c r="AG202" s="795"/>
      <c r="AH202" s="795" t="s">
        <v>369</v>
      </c>
      <c r="AI202" s="795"/>
      <c r="AJ202" s="795"/>
      <c r="AK202" s="795" t="s">
        <v>370</v>
      </c>
      <c r="AL202" s="795"/>
      <c r="AM202" s="795"/>
      <c r="AN202" s="795" t="s">
        <v>371</v>
      </c>
      <c r="AO202" s="795"/>
      <c r="AP202" s="795"/>
      <c r="AQ202" s="796"/>
      <c r="AR202" s="796"/>
      <c r="AS202" s="796"/>
      <c r="AT202" s="213"/>
    </row>
    <row r="203" spans="1:52" x14ac:dyDescent="0.35">
      <c r="A203" s="5"/>
      <c r="B203" s="5"/>
      <c r="N203" s="784"/>
      <c r="O203" s="784"/>
      <c r="P203" s="730"/>
      <c r="R203" s="787"/>
      <c r="S203" s="788"/>
      <c r="T203" s="799"/>
      <c r="U203" s="800"/>
      <c r="V203" s="21"/>
      <c r="W203" s="758">
        <v>1</v>
      </c>
      <c r="X203" s="747"/>
      <c r="Y203" s="778" t="s">
        <v>372</v>
      </c>
      <c r="Z203" s="778"/>
      <c r="AA203" s="778"/>
      <c r="AB203" s="778"/>
      <c r="AC203" s="776" t="s">
        <v>373</v>
      </c>
      <c r="AD203" s="776"/>
      <c r="AE203" s="757">
        <v>118.40600000000001</v>
      </c>
      <c r="AF203" s="776"/>
      <c r="AG203" s="776"/>
      <c r="AH203" s="757">
        <v>118.387</v>
      </c>
      <c r="AI203" s="776"/>
      <c r="AJ203" s="776"/>
      <c r="AK203" s="757">
        <f t="shared" ref="AK203:AK210" si="1">AE203-AH203</f>
        <v>1.9000000000005457E-2</v>
      </c>
      <c r="AL203" s="757"/>
      <c r="AM203" s="757"/>
      <c r="AN203" s="776"/>
      <c r="AO203" s="776"/>
      <c r="AP203" s="776"/>
      <c r="AQ203" s="777"/>
      <c r="AR203" s="777"/>
      <c r="AS203" s="777"/>
      <c r="AT203" s="213"/>
    </row>
    <row r="204" spans="1:52" x14ac:dyDescent="0.35">
      <c r="A204" s="5"/>
      <c r="B204" s="791" t="s">
        <v>2</v>
      </c>
      <c r="C204" s="792"/>
      <c r="D204" s="793"/>
      <c r="N204" s="784" t="s">
        <v>374</v>
      </c>
      <c r="O204" s="784"/>
      <c r="P204" s="730"/>
      <c r="R204" s="787"/>
      <c r="S204" s="788"/>
      <c r="T204" s="799"/>
      <c r="U204" s="800"/>
      <c r="V204" s="21"/>
      <c r="W204" s="758">
        <v>2</v>
      </c>
      <c r="X204" s="747"/>
      <c r="Y204" s="778" t="s">
        <v>375</v>
      </c>
      <c r="Z204" s="778"/>
      <c r="AA204" s="778"/>
      <c r="AB204" s="778"/>
      <c r="AC204" s="776" t="s">
        <v>373</v>
      </c>
      <c r="AD204" s="776"/>
      <c r="AE204" s="757">
        <v>118.40600000000001</v>
      </c>
      <c r="AF204" s="776"/>
      <c r="AG204" s="776"/>
      <c r="AH204" s="757">
        <v>118.387</v>
      </c>
      <c r="AI204" s="776"/>
      <c r="AJ204" s="776"/>
      <c r="AK204" s="757">
        <f t="shared" si="1"/>
        <v>1.9000000000005457E-2</v>
      </c>
      <c r="AL204" s="757"/>
      <c r="AM204" s="757"/>
      <c r="AN204" s="776"/>
      <c r="AO204" s="776"/>
      <c r="AP204" s="776"/>
      <c r="AQ204" s="777"/>
      <c r="AR204" s="777"/>
      <c r="AS204" s="777"/>
      <c r="AT204" s="213"/>
    </row>
    <row r="205" spans="1:52" x14ac:dyDescent="0.35">
      <c r="A205" s="5"/>
      <c r="B205" s="5"/>
      <c r="F205" s="6"/>
      <c r="G205"/>
      <c r="N205" s="784"/>
      <c r="O205" s="784"/>
      <c r="P205" s="730"/>
      <c r="R205" s="789"/>
      <c r="S205" s="790"/>
      <c r="T205" s="801"/>
      <c r="U205" s="802"/>
      <c r="V205" s="21"/>
      <c r="W205" s="758">
        <v>3</v>
      </c>
      <c r="X205" s="747"/>
      <c r="Y205" s="778" t="s">
        <v>0</v>
      </c>
      <c r="Z205" s="778"/>
      <c r="AA205" s="778"/>
      <c r="AB205" s="778"/>
      <c r="AC205" s="776" t="s">
        <v>376</v>
      </c>
      <c r="AD205" s="776"/>
      <c r="AE205" s="776">
        <v>309</v>
      </c>
      <c r="AF205" s="776"/>
      <c r="AG205" s="776"/>
      <c r="AH205" s="776">
        <f>I217</f>
        <v>267</v>
      </c>
      <c r="AI205" s="776"/>
      <c r="AJ205" s="776"/>
      <c r="AK205" s="776">
        <f>AE205-AH205</f>
        <v>42</v>
      </c>
      <c r="AL205" s="776"/>
      <c r="AM205" s="776"/>
      <c r="AN205" s="776"/>
      <c r="AO205" s="776"/>
      <c r="AP205" s="776"/>
      <c r="AQ205" s="777"/>
      <c r="AR205" s="777"/>
      <c r="AS205" s="777"/>
      <c r="AT205" s="213"/>
    </row>
    <row r="206" spans="1:52" x14ac:dyDescent="0.35">
      <c r="A206" s="5"/>
      <c r="B206" s="5"/>
      <c r="E206" s="696"/>
      <c r="F206" s="696"/>
      <c r="H206" s="697"/>
      <c r="I206" s="697"/>
      <c r="K206" s="696"/>
      <c r="L206" s="696"/>
      <c r="N206" s="784" t="s">
        <v>377</v>
      </c>
      <c r="O206" s="784"/>
      <c r="P206" s="730"/>
      <c r="R206" s="785" t="s">
        <v>378</v>
      </c>
      <c r="S206" s="786"/>
      <c r="T206" s="797"/>
      <c r="U206" s="798"/>
      <c r="V206" s="21"/>
      <c r="W206" s="758">
        <v>4</v>
      </c>
      <c r="X206" s="747"/>
      <c r="Y206" s="778" t="s">
        <v>1</v>
      </c>
      <c r="Z206" s="778"/>
      <c r="AA206" s="778"/>
      <c r="AB206" s="778"/>
      <c r="AC206" s="776" t="s">
        <v>376</v>
      </c>
      <c r="AD206" s="776"/>
      <c r="AE206" s="776">
        <v>309</v>
      </c>
      <c r="AF206" s="776"/>
      <c r="AG206" s="776"/>
      <c r="AH206" s="776">
        <f>J217</f>
        <v>235</v>
      </c>
      <c r="AI206" s="776"/>
      <c r="AJ206" s="776"/>
      <c r="AK206" s="776">
        <f t="shared" si="1"/>
        <v>74</v>
      </c>
      <c r="AL206" s="776"/>
      <c r="AM206" s="776"/>
      <c r="AN206" s="776"/>
      <c r="AO206" s="776"/>
      <c r="AP206" s="776"/>
      <c r="AQ206" s="777"/>
      <c r="AR206" s="777"/>
      <c r="AS206" s="777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84"/>
      <c r="O207" s="784"/>
      <c r="P207" s="730"/>
      <c r="R207" s="787"/>
      <c r="S207" s="788"/>
      <c r="T207" s="799"/>
      <c r="U207" s="800"/>
      <c r="V207" s="21"/>
      <c r="W207" s="758">
        <v>5</v>
      </c>
      <c r="X207" s="747"/>
      <c r="Y207" s="778" t="s">
        <v>2</v>
      </c>
      <c r="Z207" s="778"/>
      <c r="AA207" s="778"/>
      <c r="AB207" s="778"/>
      <c r="AC207" s="776" t="s">
        <v>376</v>
      </c>
      <c r="AD207" s="776"/>
      <c r="AE207" s="776">
        <v>309</v>
      </c>
      <c r="AF207" s="776"/>
      <c r="AG207" s="776"/>
      <c r="AH207" s="776">
        <f>K217</f>
        <v>208</v>
      </c>
      <c r="AI207" s="776"/>
      <c r="AJ207" s="776"/>
      <c r="AK207" s="776">
        <f t="shared" si="1"/>
        <v>101</v>
      </c>
      <c r="AL207" s="776"/>
      <c r="AM207" s="776"/>
      <c r="AN207" s="776"/>
      <c r="AO207" s="776"/>
      <c r="AP207" s="776"/>
      <c r="AQ207" s="777"/>
      <c r="AR207" s="777"/>
      <c r="AS207" s="777"/>
      <c r="AT207" s="213"/>
    </row>
    <row r="208" spans="1:52" x14ac:dyDescent="0.35">
      <c r="A208" s="5"/>
      <c r="B208" s="809" t="s">
        <v>0</v>
      </c>
      <c r="C208" s="810"/>
      <c r="D208" s="811"/>
      <c r="E208" s="11"/>
      <c r="F208" s="11"/>
      <c r="G208" s="508"/>
      <c r="H208" s="3"/>
      <c r="I208" s="3"/>
      <c r="K208" s="8"/>
      <c r="L208" s="3"/>
      <c r="M208" s="508"/>
      <c r="N208" s="784" t="s">
        <v>379</v>
      </c>
      <c r="O208" s="784"/>
      <c r="P208" s="730"/>
      <c r="R208" s="787"/>
      <c r="S208" s="788"/>
      <c r="T208" s="799"/>
      <c r="U208" s="800"/>
      <c r="V208" s="21"/>
      <c r="W208" s="758">
        <v>6</v>
      </c>
      <c r="X208" s="747"/>
      <c r="Y208" s="778" t="s">
        <v>380</v>
      </c>
      <c r="Z208" s="778"/>
      <c r="AA208" s="778"/>
      <c r="AB208" s="778"/>
      <c r="AC208" s="776" t="s">
        <v>376</v>
      </c>
      <c r="AD208" s="776"/>
      <c r="AE208" s="776">
        <v>309</v>
      </c>
      <c r="AF208" s="776"/>
      <c r="AG208" s="776"/>
      <c r="AH208" s="776">
        <f>L217</f>
        <v>4</v>
      </c>
      <c r="AI208" s="776"/>
      <c r="AJ208" s="776"/>
      <c r="AK208" s="776">
        <f t="shared" si="1"/>
        <v>305</v>
      </c>
      <c r="AL208" s="776"/>
      <c r="AM208" s="776"/>
      <c r="AN208" s="776"/>
      <c r="AO208" s="776"/>
      <c r="AP208" s="776"/>
      <c r="AQ208" s="777"/>
      <c r="AR208" s="777"/>
      <c r="AS208" s="777"/>
      <c r="AT208" s="213"/>
    </row>
    <row r="209" spans="1:46" x14ac:dyDescent="0.35">
      <c r="A209" s="5"/>
      <c r="B209" s="22" t="s">
        <v>381</v>
      </c>
      <c r="C209" s="550"/>
      <c r="E209" s="760" t="s">
        <v>8</v>
      </c>
      <c r="F209" s="760"/>
      <c r="G209" s="526">
        <v>293</v>
      </c>
      <c r="H209" s="806" t="s">
        <v>354</v>
      </c>
      <c r="I209" s="760"/>
      <c r="J209" s="551">
        <v>391</v>
      </c>
      <c r="K209" s="807" t="s">
        <v>355</v>
      </c>
      <c r="L209" s="808"/>
      <c r="M209" s="508"/>
      <c r="N209" s="784"/>
      <c r="O209" s="784"/>
      <c r="P209" s="730"/>
      <c r="R209" s="789"/>
      <c r="S209" s="790"/>
      <c r="T209" s="801"/>
      <c r="U209" s="802"/>
      <c r="V209" s="21"/>
      <c r="W209" s="758">
        <v>7</v>
      </c>
      <c r="X209" s="747"/>
      <c r="Y209" s="778" t="s">
        <v>382</v>
      </c>
      <c r="Z209" s="778"/>
      <c r="AA209" s="778"/>
      <c r="AB209" s="778"/>
      <c r="AC209" s="776" t="s">
        <v>373</v>
      </c>
      <c r="AD209" s="776"/>
      <c r="AE209" s="757">
        <v>118.40600000000001</v>
      </c>
      <c r="AF209" s="776"/>
      <c r="AG209" s="776"/>
      <c r="AH209" s="757">
        <v>0</v>
      </c>
      <c r="AI209" s="757"/>
      <c r="AJ209" s="757"/>
      <c r="AK209" s="757">
        <f t="shared" si="1"/>
        <v>118.40600000000001</v>
      </c>
      <c r="AL209" s="757"/>
      <c r="AM209" s="757"/>
      <c r="AN209" s="778"/>
      <c r="AO209" s="778"/>
      <c r="AP209" s="778"/>
      <c r="AQ209" s="812"/>
      <c r="AR209" s="812"/>
      <c r="AS209" s="812"/>
      <c r="AT209" s="218"/>
    </row>
    <row r="210" spans="1:46" x14ac:dyDescent="0.35">
      <c r="A210" s="5"/>
      <c r="B210" s="22" t="s">
        <v>5</v>
      </c>
      <c r="C210" s="550"/>
      <c r="E210" s="710" t="s">
        <v>356</v>
      </c>
      <c r="F210" s="710"/>
      <c r="H210" s="710" t="s">
        <v>33</v>
      </c>
      <c r="I210" s="710"/>
      <c r="J210" s="551"/>
      <c r="K210" s="834" t="s">
        <v>357</v>
      </c>
      <c r="L210" s="835"/>
      <c r="M210" s="508"/>
      <c r="N210" s="784" t="s">
        <v>383</v>
      </c>
      <c r="O210" s="784"/>
      <c r="P210" s="730"/>
      <c r="R210" s="837"/>
      <c r="S210" s="837"/>
      <c r="T210" s="723"/>
      <c r="U210" s="723"/>
      <c r="V210" s="21"/>
      <c r="W210" s="758">
        <v>8</v>
      </c>
      <c r="X210" s="747"/>
      <c r="Y210" s="778" t="s">
        <v>384</v>
      </c>
      <c r="Z210" s="778"/>
      <c r="AA210" s="778"/>
      <c r="AB210" s="778"/>
      <c r="AC210" s="776" t="s">
        <v>373</v>
      </c>
      <c r="AD210" s="776"/>
      <c r="AE210" s="757">
        <v>118.40600000000001</v>
      </c>
      <c r="AF210" s="776"/>
      <c r="AG210" s="776"/>
      <c r="AH210" s="757">
        <v>0</v>
      </c>
      <c r="AI210" s="776"/>
      <c r="AJ210" s="776"/>
      <c r="AK210" s="757">
        <f t="shared" si="1"/>
        <v>118.40600000000001</v>
      </c>
      <c r="AL210" s="757"/>
      <c r="AM210" s="757"/>
      <c r="AN210" s="776"/>
      <c r="AO210" s="776"/>
      <c r="AP210" s="776"/>
      <c r="AQ210" s="777"/>
      <c r="AR210" s="777"/>
      <c r="AS210" s="777"/>
      <c r="AT210" s="213"/>
    </row>
    <row r="211" spans="1:46" ht="15" thickBot="1" x14ac:dyDescent="0.4">
      <c r="A211" s="24"/>
      <c r="B211" s="24"/>
      <c r="C211" s="25"/>
      <c r="D211" s="26"/>
      <c r="E211" s="25"/>
      <c r="F211" s="829" t="s">
        <v>1</v>
      </c>
      <c r="G211" s="829"/>
      <c r="H211" s="25"/>
      <c r="I211" s="25"/>
      <c r="J211" s="830" t="s">
        <v>385</v>
      </c>
      <c r="K211" s="830"/>
      <c r="L211" s="830"/>
      <c r="M211" s="26"/>
      <c r="N211" s="826"/>
      <c r="O211" s="826"/>
      <c r="P211" s="836"/>
      <c r="Q211" s="26"/>
      <c r="R211" s="838"/>
      <c r="S211" s="838"/>
      <c r="T211" s="805"/>
      <c r="U211" s="805"/>
      <c r="V211" s="27"/>
      <c r="W211" s="831">
        <v>9</v>
      </c>
      <c r="X211" s="832"/>
      <c r="Y211" s="833" t="s">
        <v>386</v>
      </c>
      <c r="Z211" s="833"/>
      <c r="AA211" s="833"/>
      <c r="AB211" s="833"/>
      <c r="AC211" s="823" t="s">
        <v>373</v>
      </c>
      <c r="AD211" s="823"/>
      <c r="AE211" s="822">
        <v>118.40600000000001</v>
      </c>
      <c r="AF211" s="823"/>
      <c r="AG211" s="823"/>
      <c r="AH211" s="822">
        <v>0</v>
      </c>
      <c r="AI211" s="823"/>
      <c r="AJ211" s="823"/>
      <c r="AK211" s="823">
        <v>118</v>
      </c>
      <c r="AL211" s="823"/>
      <c r="AM211" s="823"/>
      <c r="AN211" s="823"/>
      <c r="AO211" s="823"/>
      <c r="AP211" s="823"/>
      <c r="AQ211" s="824"/>
      <c r="AR211" s="824"/>
      <c r="AS211" s="824"/>
      <c r="AT211" s="552"/>
    </row>
    <row r="212" spans="1:46" x14ac:dyDescent="0.35">
      <c r="N212" s="825" t="s">
        <v>394</v>
      </c>
      <c r="O212" s="825"/>
      <c r="P212" s="827"/>
    </row>
    <row r="213" spans="1:46" ht="15" thickBot="1" x14ac:dyDescent="0.4">
      <c r="N213" s="826"/>
      <c r="O213" s="826"/>
      <c r="P213" s="730"/>
    </row>
    <row r="214" spans="1:46" x14ac:dyDescent="0.35">
      <c r="AH214" s="828"/>
      <c r="AI214" s="828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813" t="s">
        <v>2125</v>
      </c>
      <c r="AI216" s="814"/>
      <c r="AJ216" s="814"/>
      <c r="AK216" s="814"/>
      <c r="AL216" s="814"/>
      <c r="AM216" s="814"/>
      <c r="AN216" s="814"/>
      <c r="AO216" s="814"/>
      <c r="AP216" s="815"/>
      <c r="AQ216" s="298"/>
      <c r="AR216" s="298"/>
    </row>
    <row r="217" spans="1:46" x14ac:dyDescent="0.35">
      <c r="I217" s="8">
        <f>AV3</f>
        <v>267</v>
      </c>
      <c r="J217" s="8">
        <f>AW3</f>
        <v>235</v>
      </c>
      <c r="K217" s="8">
        <f>AX3</f>
        <v>208</v>
      </c>
      <c r="L217" s="8">
        <f>AY3</f>
        <v>4</v>
      </c>
      <c r="M217" s="8">
        <f t="shared" ref="M217:N217" si="2">SUM(M220:M396)</f>
        <v>0</v>
      </c>
      <c r="N217" s="8">
        <f t="shared" si="2"/>
        <v>0</v>
      </c>
      <c r="AH217" s="816"/>
      <c r="AI217" s="817"/>
      <c r="AJ217" s="817"/>
      <c r="AK217" s="817"/>
      <c r="AL217" s="817"/>
      <c r="AM217" s="817"/>
      <c r="AN217" s="817"/>
      <c r="AO217" s="817"/>
      <c r="AP217" s="818"/>
      <c r="AQ217" s="298"/>
      <c r="AR217" s="298"/>
    </row>
    <row r="218" spans="1:46" x14ac:dyDescent="0.35">
      <c r="AH218" s="816"/>
      <c r="AI218" s="817"/>
      <c r="AJ218" s="817"/>
      <c r="AK218" s="817"/>
      <c r="AL218" s="817"/>
      <c r="AM218" s="817"/>
      <c r="AN218" s="817"/>
      <c r="AO218" s="817"/>
      <c r="AP218" s="818"/>
      <c r="AQ218" s="298"/>
      <c r="AR218" s="298"/>
    </row>
    <row r="219" spans="1:46" x14ac:dyDescent="0.35">
      <c r="AH219" s="816"/>
      <c r="AI219" s="817"/>
      <c r="AJ219" s="817"/>
      <c r="AK219" s="817"/>
      <c r="AL219" s="817"/>
      <c r="AM219" s="817"/>
      <c r="AN219" s="817"/>
      <c r="AO219" s="817"/>
      <c r="AP219" s="818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16"/>
      <c r="AI220" s="817"/>
      <c r="AJ220" s="817"/>
      <c r="AK220" s="817"/>
      <c r="AL220" s="817"/>
      <c r="AM220" s="817"/>
      <c r="AN220" s="817"/>
      <c r="AO220" s="817"/>
      <c r="AP220" s="818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16"/>
      <c r="AI221" s="817"/>
      <c r="AJ221" s="817"/>
      <c r="AK221" s="817"/>
      <c r="AL221" s="817"/>
      <c r="AM221" s="817"/>
      <c r="AN221" s="817"/>
      <c r="AO221" s="817"/>
      <c r="AP221" s="818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19"/>
      <c r="AI222" s="820"/>
      <c r="AJ222" s="820"/>
      <c r="AK222" s="820"/>
      <c r="AL222" s="820"/>
      <c r="AM222" s="820"/>
      <c r="AN222" s="820"/>
      <c r="AO222" s="820"/>
      <c r="AP222" s="821"/>
      <c r="AQ222" s="298"/>
      <c r="AR222" s="298"/>
      <c r="AS222"/>
      <c r="AT222"/>
    </row>
  </sheetData>
  <mergeCells count="1142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2388" priority="1610" operator="containsText" text="fnd">
      <formula>NOT(ISERROR(SEARCH("fnd",B5)))</formula>
    </cfRule>
  </conditionalFormatting>
  <conditionalFormatting sqref="B5:B6 AS6:AT6 AQ6">
    <cfRule type="containsText" dxfId="2387" priority="1609" operator="containsText" text="Ear">
      <formula>NOT(ISERROR(SEARCH("Ear",B5)))</formula>
    </cfRule>
  </conditionalFormatting>
  <conditionalFormatting sqref="B5:B6 AS6:AT6">
    <cfRule type="containsText" dxfId="2386" priority="1607" operator="containsText" text="Str">
      <formula>NOT(ISERROR(SEARCH("Str",B5)))</formula>
    </cfRule>
    <cfRule type="containsText" dxfId="2385" priority="1608" operator="containsText" text="Ere">
      <formula>NOT(ISERROR(SEARCH("Ere",B5)))</formula>
    </cfRule>
  </conditionalFormatting>
  <conditionalFormatting sqref="B13:B14">
    <cfRule type="containsText" dxfId="2384" priority="1695" operator="containsText" text="Str">
      <formula>NOT(ISERROR(SEARCH("Str",B13)))</formula>
    </cfRule>
    <cfRule type="containsText" dxfId="2383" priority="1696" operator="containsText" text="Ere">
      <formula>NOT(ISERROR(SEARCH("Ere",B13)))</formula>
    </cfRule>
    <cfRule type="containsText" dxfId="2382" priority="1697" operator="containsText" text="Ear">
      <formula>NOT(ISERROR(SEARCH("Ear",B13)))</formula>
    </cfRule>
    <cfRule type="containsText" dxfId="2381" priority="169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380" priority="1487" operator="containsText" text="Str">
      <formula>NOT(ISERROR(SEARCH("Str",B21)))</formula>
    </cfRule>
    <cfRule type="containsText" dxfId="2379" priority="1488" operator="containsText" text="Ere">
      <formula>NOT(ISERROR(SEARCH("Ere",B21)))</formula>
    </cfRule>
    <cfRule type="containsText" dxfId="2378" priority="1489" operator="containsText" text="Ear">
      <formula>NOT(ISERROR(SEARCH("Ear",B21)))</formula>
    </cfRule>
    <cfRule type="containsText" dxfId="2377" priority="1490" operator="containsText" text="fnd">
      <formula>NOT(ISERROR(SEARCH("fnd",B21)))</formula>
    </cfRule>
  </conditionalFormatting>
  <conditionalFormatting sqref="B29:B30">
    <cfRule type="containsText" dxfId="2376" priority="943" operator="containsText" text="Str">
      <formula>NOT(ISERROR(SEARCH("Str",B29)))</formula>
    </cfRule>
    <cfRule type="containsText" dxfId="2375" priority="944" operator="containsText" text="Ere">
      <formula>NOT(ISERROR(SEARCH("Ere",B29)))</formula>
    </cfRule>
    <cfRule type="containsText" dxfId="2374" priority="945" operator="containsText" text="Ear">
      <formula>NOT(ISERROR(SEARCH("Ear",B29)))</formula>
    </cfRule>
    <cfRule type="containsText" dxfId="2373" priority="946" operator="containsText" text="fnd">
      <formula>NOT(ISERROR(SEARCH("fnd",B29)))</formula>
    </cfRule>
  </conditionalFormatting>
  <conditionalFormatting sqref="B37:B38">
    <cfRule type="containsText" dxfId="2372" priority="683" operator="containsText" text="Str">
      <formula>NOT(ISERROR(SEARCH("Str",B37)))</formula>
    </cfRule>
    <cfRule type="containsText" dxfId="2371" priority="684" operator="containsText" text="Ere">
      <formula>NOT(ISERROR(SEARCH("Ere",B37)))</formula>
    </cfRule>
    <cfRule type="containsText" dxfId="2370" priority="685" operator="containsText" text="Ear">
      <formula>NOT(ISERROR(SEARCH("Ear",B37)))</formula>
    </cfRule>
    <cfRule type="containsText" dxfId="2369" priority="686" operator="containsText" text="fnd">
      <formula>NOT(ISERROR(SEARCH("fnd",B37)))</formula>
    </cfRule>
  </conditionalFormatting>
  <conditionalFormatting sqref="B45:B46">
    <cfRule type="containsText" dxfId="2368" priority="2131" operator="containsText" text="Str">
      <formula>NOT(ISERROR(SEARCH("Str",B45)))</formula>
    </cfRule>
    <cfRule type="containsText" dxfId="2367" priority="2132" operator="containsText" text="Ere">
      <formula>NOT(ISERROR(SEARCH("Ere",B45)))</formula>
    </cfRule>
    <cfRule type="containsText" dxfId="2366" priority="2133" operator="containsText" text="Ear">
      <formula>NOT(ISERROR(SEARCH("Ear",B45)))</formula>
    </cfRule>
    <cfRule type="containsText" dxfId="2365" priority="2134" operator="containsText" text="fnd">
      <formula>NOT(ISERROR(SEARCH("fnd",B45)))</formula>
    </cfRule>
  </conditionalFormatting>
  <conditionalFormatting sqref="B69">
    <cfRule type="containsText" dxfId="2364" priority="1999" operator="containsText" text="Str">
      <formula>NOT(ISERROR(SEARCH("Str",B69)))</formula>
    </cfRule>
    <cfRule type="containsText" dxfId="2363" priority="2000" operator="containsText" text="Ere">
      <formula>NOT(ISERROR(SEARCH("Ere",B69)))</formula>
    </cfRule>
    <cfRule type="containsText" dxfId="2362" priority="2001" operator="containsText" text="Ear">
      <formula>NOT(ISERROR(SEARCH("Ear",B69)))</formula>
    </cfRule>
    <cfRule type="containsText" dxfId="2361" priority="2002" operator="containsText" text="fnd">
      <formula>NOT(ISERROR(SEARCH("fnd",B69)))</formula>
    </cfRule>
  </conditionalFormatting>
  <conditionalFormatting sqref="B77">
    <cfRule type="containsText" dxfId="2360" priority="835" operator="containsText" text="Str">
      <formula>NOT(ISERROR(SEARCH("Str",B77)))</formula>
    </cfRule>
    <cfRule type="containsText" dxfId="2359" priority="836" operator="containsText" text="Ere">
      <formula>NOT(ISERROR(SEARCH("Ere",B77)))</formula>
    </cfRule>
    <cfRule type="containsText" dxfId="2358" priority="837" operator="containsText" text="Ear">
      <formula>NOT(ISERROR(SEARCH("Ear",B77)))</formula>
    </cfRule>
    <cfRule type="containsText" dxfId="2357" priority="838" operator="containsText" text="fnd">
      <formula>NOT(ISERROR(SEARCH("fnd",B77)))</formula>
    </cfRule>
  </conditionalFormatting>
  <conditionalFormatting sqref="B86">
    <cfRule type="containsText" dxfId="2356" priority="365" operator="containsText" text="Str">
      <formula>NOT(ISERROR(SEARCH("Str",B86)))</formula>
    </cfRule>
    <cfRule type="containsText" dxfId="2355" priority="366" operator="containsText" text="Ere">
      <formula>NOT(ISERROR(SEARCH("Ere",B86)))</formula>
    </cfRule>
    <cfRule type="containsText" dxfId="2354" priority="367" operator="containsText" text="Ear">
      <formula>NOT(ISERROR(SEARCH("Ear",B86)))</formula>
    </cfRule>
    <cfRule type="containsText" dxfId="2353" priority="368" operator="containsText" text="fnd">
      <formula>NOT(ISERROR(SEARCH("fnd",B86)))</formula>
    </cfRule>
  </conditionalFormatting>
  <conditionalFormatting sqref="B101">
    <cfRule type="containsText" dxfId="2352" priority="1587" operator="containsText" text="Str">
      <formula>NOT(ISERROR(SEARCH("Str",B101)))</formula>
    </cfRule>
    <cfRule type="containsText" dxfId="2351" priority="1588" operator="containsText" text="Ere">
      <formula>NOT(ISERROR(SEARCH("Ere",B101)))</formula>
    </cfRule>
    <cfRule type="containsText" dxfId="2350" priority="1589" operator="containsText" text="Ear">
      <formula>NOT(ISERROR(SEARCH("Ear",B101)))</formula>
    </cfRule>
    <cfRule type="containsText" dxfId="2349" priority="1590" operator="containsText" text="fnd">
      <formula>NOT(ISERROR(SEARCH("fnd",B101)))</formula>
    </cfRule>
  </conditionalFormatting>
  <conditionalFormatting sqref="B109">
    <cfRule type="containsText" dxfId="2348" priority="767" operator="containsText" text="Str">
      <formula>NOT(ISERROR(SEARCH("Str",B109)))</formula>
    </cfRule>
    <cfRule type="containsText" dxfId="2347" priority="768" operator="containsText" text="Ere">
      <formula>NOT(ISERROR(SEARCH("Ere",B109)))</formula>
    </cfRule>
    <cfRule type="containsText" dxfId="2346" priority="769" operator="containsText" text="Ear">
      <formula>NOT(ISERROR(SEARCH("Ear",B109)))</formula>
    </cfRule>
    <cfRule type="containsText" dxfId="2345" priority="770" operator="containsText" text="fnd">
      <formula>NOT(ISERROR(SEARCH("fnd",B109)))</formula>
    </cfRule>
  </conditionalFormatting>
  <conditionalFormatting sqref="B117">
    <cfRule type="containsText" dxfId="2344" priority="1459" operator="containsText" text="Str">
      <formula>NOT(ISERROR(SEARCH("Str",B117)))</formula>
    </cfRule>
    <cfRule type="containsText" dxfId="2343" priority="1460" operator="containsText" text="Ere">
      <formula>NOT(ISERROR(SEARCH("Ere",B117)))</formula>
    </cfRule>
    <cfRule type="containsText" dxfId="2342" priority="1461" operator="containsText" text="Ear">
      <formula>NOT(ISERROR(SEARCH("Ear",B117)))</formula>
    </cfRule>
    <cfRule type="containsText" dxfId="2341" priority="1462" operator="containsText" text="fnd">
      <formula>NOT(ISERROR(SEARCH("fnd",B117)))</formula>
    </cfRule>
  </conditionalFormatting>
  <conditionalFormatting sqref="B125">
    <cfRule type="containsText" dxfId="2340" priority="1399" operator="containsText" text="Str">
      <formula>NOT(ISERROR(SEARCH("Str",B125)))</formula>
    </cfRule>
    <cfRule type="containsText" dxfId="2339" priority="1400" operator="containsText" text="Ere">
      <formula>NOT(ISERROR(SEARCH("Ere",B125)))</formula>
    </cfRule>
    <cfRule type="containsText" dxfId="2338" priority="1401" operator="containsText" text="Ear">
      <formula>NOT(ISERROR(SEARCH("Ear",B125)))</formula>
    </cfRule>
    <cfRule type="containsText" dxfId="2337" priority="1402" operator="containsText" text="fnd">
      <formula>NOT(ISERROR(SEARCH("fnd",B125)))</formula>
    </cfRule>
  </conditionalFormatting>
  <conditionalFormatting sqref="B133">
    <cfRule type="containsText" dxfId="2336" priority="1371" operator="containsText" text="Str">
      <formula>NOT(ISERROR(SEARCH("Str",B133)))</formula>
    </cfRule>
    <cfRule type="containsText" dxfId="2335" priority="1372" operator="containsText" text="Ere">
      <formula>NOT(ISERROR(SEARCH("Ere",B133)))</formula>
    </cfRule>
    <cfRule type="containsText" dxfId="2334" priority="1373" operator="containsText" text="Ear">
      <formula>NOT(ISERROR(SEARCH("Ear",B133)))</formula>
    </cfRule>
    <cfRule type="containsText" dxfId="2333" priority="1374" operator="containsText" text="fnd">
      <formula>NOT(ISERROR(SEARCH("fnd",B133)))</formula>
    </cfRule>
  </conditionalFormatting>
  <conditionalFormatting sqref="B141">
    <cfRule type="containsText" dxfId="2332" priority="1319" operator="containsText" text="Str">
      <formula>NOT(ISERROR(SEARCH("Str",B141)))</formula>
    </cfRule>
    <cfRule type="containsText" dxfId="2331" priority="1320" operator="containsText" text="Ere">
      <formula>NOT(ISERROR(SEARCH("Ere",B141)))</formula>
    </cfRule>
    <cfRule type="containsText" dxfId="2330" priority="1321" operator="containsText" text="Ear">
      <formula>NOT(ISERROR(SEARCH("Ear",B141)))</formula>
    </cfRule>
    <cfRule type="containsText" dxfId="2329" priority="1322" operator="containsText" text="fnd">
      <formula>NOT(ISERROR(SEARCH("fnd",B141)))</formula>
    </cfRule>
  </conditionalFormatting>
  <conditionalFormatting sqref="B149">
    <cfRule type="containsText" dxfId="2328" priority="401" operator="containsText" text="Str">
      <formula>NOT(ISERROR(SEARCH("Str",B149)))</formula>
    </cfRule>
    <cfRule type="containsText" dxfId="2327" priority="402" operator="containsText" text="Ere">
      <formula>NOT(ISERROR(SEARCH("Ere",B149)))</formula>
    </cfRule>
    <cfRule type="containsText" dxfId="2326" priority="403" operator="containsText" text="Ear">
      <formula>NOT(ISERROR(SEARCH("Ear",B149)))</formula>
    </cfRule>
    <cfRule type="containsText" dxfId="2325" priority="404" operator="containsText" text="fnd">
      <formula>NOT(ISERROR(SEARCH("fnd",B149)))</formula>
    </cfRule>
  </conditionalFormatting>
  <conditionalFormatting sqref="B157">
    <cfRule type="containsText" dxfId="2324" priority="1175" operator="containsText" text="Str">
      <formula>NOT(ISERROR(SEARCH("Str",B157)))</formula>
    </cfRule>
    <cfRule type="containsText" dxfId="2323" priority="1176" operator="containsText" text="Ere">
      <formula>NOT(ISERROR(SEARCH("Ere",B157)))</formula>
    </cfRule>
    <cfRule type="containsText" dxfId="2322" priority="1177" operator="containsText" text="Ear">
      <formula>NOT(ISERROR(SEARCH("Ear",B157)))</formula>
    </cfRule>
    <cfRule type="containsText" dxfId="2321" priority="1178" operator="containsText" text="fnd">
      <formula>NOT(ISERROR(SEARCH("fnd",B157)))</formula>
    </cfRule>
  </conditionalFormatting>
  <conditionalFormatting sqref="B165">
    <cfRule type="containsText" dxfId="2320" priority="533" operator="containsText" text="Str">
      <formula>NOT(ISERROR(SEARCH("Str",B165)))</formula>
    </cfRule>
    <cfRule type="containsText" dxfId="2319" priority="534" operator="containsText" text="Ere">
      <formula>NOT(ISERROR(SEARCH("Ere",B165)))</formula>
    </cfRule>
    <cfRule type="containsText" dxfId="2318" priority="535" operator="containsText" text="Ear">
      <formula>NOT(ISERROR(SEARCH("Ear",B165)))</formula>
    </cfRule>
    <cfRule type="containsText" dxfId="2317" priority="536" operator="containsText" text="fnd">
      <formula>NOT(ISERROR(SEARCH("fnd",B165)))</formula>
    </cfRule>
  </conditionalFormatting>
  <conditionalFormatting sqref="B173">
    <cfRule type="containsText" dxfId="2316" priority="1039" operator="containsText" text="Str">
      <formula>NOT(ISERROR(SEARCH("Str",B173)))</formula>
    </cfRule>
    <cfRule type="containsText" dxfId="2315" priority="1040" operator="containsText" text="Ere">
      <formula>NOT(ISERROR(SEARCH("Ere",B173)))</formula>
    </cfRule>
    <cfRule type="containsText" dxfId="2314" priority="1041" operator="containsText" text="Ear">
      <formula>NOT(ISERROR(SEARCH("Ear",B173)))</formula>
    </cfRule>
    <cfRule type="containsText" dxfId="2313" priority="1042" operator="containsText" text="fnd">
      <formula>NOT(ISERROR(SEARCH("fnd",B173)))</formula>
    </cfRule>
  </conditionalFormatting>
  <conditionalFormatting sqref="B181">
    <cfRule type="containsText" dxfId="2312" priority="285" operator="containsText" text="Str">
      <formula>NOT(ISERROR(SEARCH("Str",B181)))</formula>
    </cfRule>
    <cfRule type="containsText" dxfId="2311" priority="286" operator="containsText" text="Ere">
      <formula>NOT(ISERROR(SEARCH("Ere",B181)))</formula>
    </cfRule>
    <cfRule type="containsText" dxfId="2310" priority="287" operator="containsText" text="Ear">
      <formula>NOT(ISERROR(SEARCH("Ear",B181)))</formula>
    </cfRule>
    <cfRule type="containsText" dxfId="2309" priority="288" operator="containsText" text="fnd">
      <formula>NOT(ISERROR(SEARCH("fnd",B181)))</formula>
    </cfRule>
  </conditionalFormatting>
  <conditionalFormatting sqref="B54:C54">
    <cfRule type="containsText" dxfId="2308" priority="2127" operator="containsText" text="Str">
      <formula>NOT(ISERROR(SEARCH("Str",B54)))</formula>
    </cfRule>
    <cfRule type="containsText" dxfId="2307" priority="2128" operator="containsText" text="Ere">
      <formula>NOT(ISERROR(SEARCH("Ere",B54)))</formula>
    </cfRule>
    <cfRule type="containsText" dxfId="2306" priority="2129" operator="containsText" text="Ear">
      <formula>NOT(ISERROR(SEARCH("Ear",B54)))</formula>
    </cfRule>
    <cfRule type="containsText" dxfId="2305" priority="2130" operator="containsText" text="fnd">
      <formula>NOT(ISERROR(SEARCH("fnd",B54)))</formula>
    </cfRule>
  </conditionalFormatting>
  <conditionalFormatting sqref="B62:C62">
    <cfRule type="containsText" dxfId="2304" priority="2123" operator="containsText" text="Str">
      <formula>NOT(ISERROR(SEARCH("Str",B62)))</formula>
    </cfRule>
    <cfRule type="containsText" dxfId="2303" priority="2124" operator="containsText" text="Ere">
      <formula>NOT(ISERROR(SEARCH("Ere",B62)))</formula>
    </cfRule>
    <cfRule type="containsText" dxfId="2302" priority="2125" operator="containsText" text="Ear">
      <formula>NOT(ISERROR(SEARCH("Ear",B62)))</formula>
    </cfRule>
    <cfRule type="containsText" dxfId="2301" priority="2126" operator="containsText" text="fnd">
      <formula>NOT(ISERROR(SEARCH("fnd",B62)))</formula>
    </cfRule>
  </conditionalFormatting>
  <conditionalFormatting sqref="B78:C78">
    <cfRule type="containsText" dxfId="2300" priority="839" operator="containsText" text="Str">
      <formula>NOT(ISERROR(SEARCH("Str",B78)))</formula>
    </cfRule>
    <cfRule type="containsText" dxfId="2299" priority="840" operator="containsText" text="Ere">
      <formula>NOT(ISERROR(SEARCH("Ere",B78)))</formula>
    </cfRule>
    <cfRule type="containsText" dxfId="2298" priority="841" operator="containsText" text="Ear">
      <formula>NOT(ISERROR(SEARCH("Ear",B78)))</formula>
    </cfRule>
    <cfRule type="containsText" dxfId="2297" priority="842" operator="containsText" text="fnd">
      <formula>NOT(ISERROR(SEARCH("fnd",B78)))</formula>
    </cfRule>
  </conditionalFormatting>
  <conditionalFormatting sqref="B94:C94">
    <cfRule type="containsText" dxfId="2296" priority="2119" operator="containsText" text="Str">
      <formula>NOT(ISERROR(SEARCH("Str",B94)))</formula>
    </cfRule>
    <cfRule type="containsText" dxfId="2295" priority="2120" operator="containsText" text="Ere">
      <formula>NOT(ISERROR(SEARCH("Ere",B94)))</formula>
    </cfRule>
    <cfRule type="containsText" dxfId="2294" priority="2121" operator="containsText" text="Ear">
      <formula>NOT(ISERROR(SEARCH("Ear",B94)))</formula>
    </cfRule>
    <cfRule type="containsText" dxfId="2293" priority="2122" operator="containsText" text="fnd">
      <formula>NOT(ISERROR(SEARCH("fnd",B94)))</formula>
    </cfRule>
  </conditionalFormatting>
  <conditionalFormatting sqref="B118:C118">
    <cfRule type="containsText" dxfId="2292" priority="1463" operator="containsText" text="Str">
      <formula>NOT(ISERROR(SEARCH("Str",B118)))</formula>
    </cfRule>
    <cfRule type="containsText" dxfId="2291" priority="1464" operator="containsText" text="Ere">
      <formula>NOT(ISERROR(SEARCH("Ere",B118)))</formula>
    </cfRule>
    <cfRule type="containsText" dxfId="2290" priority="1465" operator="containsText" text="Ear">
      <formula>NOT(ISERROR(SEARCH("Ear",B118)))</formula>
    </cfRule>
    <cfRule type="containsText" dxfId="2289" priority="1466" operator="containsText" text="fnd">
      <formula>NOT(ISERROR(SEARCH("fnd",B118)))</formula>
    </cfRule>
  </conditionalFormatting>
  <conditionalFormatting sqref="B126:C126">
    <cfRule type="containsText" dxfId="2288" priority="1403" operator="containsText" text="Str">
      <formula>NOT(ISERROR(SEARCH("Str",B126)))</formula>
    </cfRule>
    <cfRule type="containsText" dxfId="2287" priority="1404" operator="containsText" text="Ere">
      <formula>NOT(ISERROR(SEARCH("Ere",B126)))</formula>
    </cfRule>
    <cfRule type="containsText" dxfId="2286" priority="1405" operator="containsText" text="Ear">
      <formula>NOT(ISERROR(SEARCH("Ear",B126)))</formula>
    </cfRule>
    <cfRule type="containsText" dxfId="2285" priority="1406" operator="containsText" text="fnd">
      <formula>NOT(ISERROR(SEARCH("fnd",B126)))</formula>
    </cfRule>
  </conditionalFormatting>
  <conditionalFormatting sqref="B134:C134">
    <cfRule type="containsText" dxfId="2284" priority="1375" operator="containsText" text="Str">
      <formula>NOT(ISERROR(SEARCH("Str",B134)))</formula>
    </cfRule>
    <cfRule type="containsText" dxfId="2283" priority="1376" operator="containsText" text="Ere">
      <formula>NOT(ISERROR(SEARCH("Ere",B134)))</formula>
    </cfRule>
    <cfRule type="containsText" dxfId="2282" priority="1377" operator="containsText" text="Ear">
      <formula>NOT(ISERROR(SEARCH("Ear",B134)))</formula>
    </cfRule>
    <cfRule type="containsText" dxfId="2281" priority="1378" operator="containsText" text="fnd">
      <formula>NOT(ISERROR(SEARCH("fnd",B134)))</formula>
    </cfRule>
  </conditionalFormatting>
  <conditionalFormatting sqref="B142:C142">
    <cfRule type="containsText" dxfId="2280" priority="1323" operator="containsText" text="Str">
      <formula>NOT(ISERROR(SEARCH("Str",B142)))</formula>
    </cfRule>
    <cfRule type="containsText" dxfId="2279" priority="1324" operator="containsText" text="Ere">
      <formula>NOT(ISERROR(SEARCH("Ere",B142)))</formula>
    </cfRule>
    <cfRule type="containsText" dxfId="2278" priority="1325" operator="containsText" text="Ear">
      <formula>NOT(ISERROR(SEARCH("Ear",B142)))</formula>
    </cfRule>
    <cfRule type="containsText" dxfId="2277" priority="1326" operator="containsText" text="fnd">
      <formula>NOT(ISERROR(SEARCH("fnd",B142)))</formula>
    </cfRule>
  </conditionalFormatting>
  <conditionalFormatting sqref="B158:C158">
    <cfRule type="containsText" dxfId="2276" priority="1179" operator="containsText" text="Str">
      <formula>NOT(ISERROR(SEARCH("Str",B158)))</formula>
    </cfRule>
    <cfRule type="containsText" dxfId="2275" priority="1180" operator="containsText" text="Ere">
      <formula>NOT(ISERROR(SEARCH("Ere",B158)))</formula>
    </cfRule>
    <cfRule type="containsText" dxfId="2274" priority="1181" operator="containsText" text="Ear">
      <formula>NOT(ISERROR(SEARCH("Ear",B158)))</formula>
    </cfRule>
    <cfRule type="containsText" dxfId="2273" priority="1182" operator="containsText" text="fnd">
      <formula>NOT(ISERROR(SEARCH("fnd",B158)))</formula>
    </cfRule>
  </conditionalFormatting>
  <conditionalFormatting sqref="B166:C166">
    <cfRule type="containsText" dxfId="2272" priority="537" operator="containsText" text="Str">
      <formula>NOT(ISERROR(SEARCH("Str",B166)))</formula>
    </cfRule>
    <cfRule type="containsText" dxfId="2271" priority="538" operator="containsText" text="Ere">
      <formula>NOT(ISERROR(SEARCH("Ere",B166)))</formula>
    </cfRule>
    <cfRule type="containsText" dxfId="2270" priority="539" operator="containsText" text="Ear">
      <formula>NOT(ISERROR(SEARCH("Ear",B166)))</formula>
    </cfRule>
    <cfRule type="containsText" dxfId="2269" priority="540" operator="containsText" text="fnd">
      <formula>NOT(ISERROR(SEARCH("fnd",B166)))</formula>
    </cfRule>
  </conditionalFormatting>
  <conditionalFormatting sqref="B174:C174">
    <cfRule type="containsText" dxfId="2268" priority="1043" operator="containsText" text="Str">
      <formula>NOT(ISERROR(SEARCH("Str",B174)))</formula>
    </cfRule>
    <cfRule type="containsText" dxfId="2267" priority="1044" operator="containsText" text="Ere">
      <formula>NOT(ISERROR(SEARCH("Ere",B174)))</formula>
    </cfRule>
    <cfRule type="containsText" dxfId="2266" priority="1045" operator="containsText" text="Ear">
      <formula>NOT(ISERROR(SEARCH("Ear",B174)))</formula>
    </cfRule>
    <cfRule type="containsText" dxfId="2265" priority="1046" operator="containsText" text="fnd">
      <formula>NOT(ISERROR(SEARCH("fnd",B174)))</formula>
    </cfRule>
  </conditionalFormatting>
  <conditionalFormatting sqref="B182:C182">
    <cfRule type="containsText" dxfId="2264" priority="289" operator="containsText" text="Str">
      <formula>NOT(ISERROR(SEARCH("Str",B182)))</formula>
    </cfRule>
    <cfRule type="containsText" dxfId="2263" priority="290" operator="containsText" text="Ere">
      <formula>NOT(ISERROR(SEARCH("Ere",B182)))</formula>
    </cfRule>
    <cfRule type="containsText" dxfId="2262" priority="291" operator="containsText" text="Ear">
      <formula>NOT(ISERROR(SEARCH("Ear",B182)))</formula>
    </cfRule>
    <cfRule type="containsText" dxfId="2261" priority="292" operator="containsText" text="fnd">
      <formula>NOT(ISERROR(SEARCH("fnd",B182)))</formula>
    </cfRule>
  </conditionalFormatting>
  <conditionalFormatting sqref="B199:C199">
    <cfRule type="containsText" dxfId="2260" priority="1759" operator="containsText" text="Str">
      <formula>NOT(ISERROR(SEARCH("Str",B199)))</formula>
    </cfRule>
    <cfRule type="containsText" dxfId="2259" priority="1760" operator="containsText" text="Ere">
      <formula>NOT(ISERROR(SEARCH("Ere",B199)))</formula>
    </cfRule>
    <cfRule type="containsText" dxfId="2258" priority="1761" operator="containsText" text="Ear">
      <formula>NOT(ISERROR(SEARCH("Ear",B199)))</formula>
    </cfRule>
    <cfRule type="containsText" dxfId="2257" priority="1762" operator="containsText" text="fnd">
      <formula>NOT(ISERROR(SEARCH("fnd",B199)))</formula>
    </cfRule>
  </conditionalFormatting>
  <conditionalFormatting sqref="C6">
    <cfRule type="containsText" dxfId="2256" priority="1603" operator="containsText" text="Str">
      <formula>NOT(ISERROR(SEARCH("Str",C6)))</formula>
    </cfRule>
    <cfRule type="containsText" dxfId="2255" priority="1604" operator="containsText" text="Ere">
      <formula>NOT(ISERROR(SEARCH("Ere",C6)))</formula>
    </cfRule>
    <cfRule type="containsText" dxfId="2254" priority="1605" operator="containsText" text="Ear">
      <formula>NOT(ISERROR(SEARCH("Ear",C6)))</formula>
    </cfRule>
    <cfRule type="containsText" dxfId="2253" priority="1606" operator="containsText" text="fnd">
      <formula>NOT(ISERROR(SEARCH("fnd",C6)))</formula>
    </cfRule>
  </conditionalFormatting>
  <conditionalFormatting sqref="C14">
    <cfRule type="containsText" dxfId="2252" priority="1691" operator="containsText" text="Str">
      <formula>NOT(ISERROR(SEARCH("Str",C14)))</formula>
    </cfRule>
    <cfRule type="containsText" dxfId="2251" priority="1692" operator="containsText" text="Ere">
      <formula>NOT(ISERROR(SEARCH("Ere",C14)))</formula>
    </cfRule>
    <cfRule type="containsText" dxfId="2250" priority="1693" operator="containsText" text="Ear">
      <formula>NOT(ISERROR(SEARCH("Ear",C14)))</formula>
    </cfRule>
    <cfRule type="containsText" dxfId="2249" priority="1694" operator="containsText" text="fnd">
      <formula>NOT(ISERROR(SEARCH("fnd",C14)))</formula>
    </cfRule>
  </conditionalFormatting>
  <conditionalFormatting sqref="C22">
    <cfRule type="containsText" dxfId="2248" priority="1483" operator="containsText" text="Str">
      <formula>NOT(ISERROR(SEARCH("Str",C22)))</formula>
    </cfRule>
    <cfRule type="containsText" dxfId="2247" priority="1484" operator="containsText" text="Ere">
      <formula>NOT(ISERROR(SEARCH("Ere",C22)))</formula>
    </cfRule>
    <cfRule type="containsText" dxfId="2246" priority="1485" operator="containsText" text="Ear">
      <formula>NOT(ISERROR(SEARCH("Ear",C22)))</formula>
    </cfRule>
    <cfRule type="containsText" dxfId="2245" priority="1486" operator="containsText" text="fnd">
      <formula>NOT(ISERROR(SEARCH("fnd",C22)))</formula>
    </cfRule>
  </conditionalFormatting>
  <conditionalFormatting sqref="C30">
    <cfRule type="containsText" dxfId="2244" priority="939" operator="containsText" text="Str">
      <formula>NOT(ISERROR(SEARCH("Str",C30)))</formula>
    </cfRule>
    <cfRule type="containsText" dxfId="2243" priority="940" operator="containsText" text="Ere">
      <formula>NOT(ISERROR(SEARCH("Ere",C30)))</formula>
    </cfRule>
    <cfRule type="containsText" dxfId="2242" priority="941" operator="containsText" text="Ear">
      <formula>NOT(ISERROR(SEARCH("Ear",C30)))</formula>
    </cfRule>
    <cfRule type="containsText" dxfId="2241" priority="942" operator="containsText" text="fnd">
      <formula>NOT(ISERROR(SEARCH("fnd",C30)))</formula>
    </cfRule>
  </conditionalFormatting>
  <conditionalFormatting sqref="C38">
    <cfRule type="containsText" dxfId="2240" priority="679" operator="containsText" text="Str">
      <formula>NOT(ISERROR(SEARCH("Str",C38)))</formula>
    </cfRule>
    <cfRule type="containsText" dxfId="2239" priority="680" operator="containsText" text="Ere">
      <formula>NOT(ISERROR(SEARCH("Ere",C38)))</formula>
    </cfRule>
    <cfRule type="containsText" dxfId="2238" priority="681" operator="containsText" text="Ear">
      <formula>NOT(ISERROR(SEARCH("Ear",C38)))</formula>
    </cfRule>
    <cfRule type="containsText" dxfId="2237" priority="682" operator="containsText" text="fnd">
      <formula>NOT(ISERROR(SEARCH("fnd",C38)))</formula>
    </cfRule>
  </conditionalFormatting>
  <conditionalFormatting sqref="C46">
    <cfRule type="containsText" dxfId="2236" priority="2135" operator="containsText" text="Str">
      <formula>NOT(ISERROR(SEARCH("Str",C46)))</formula>
    </cfRule>
    <cfRule type="containsText" dxfId="2235" priority="2136" operator="containsText" text="Ere">
      <formula>NOT(ISERROR(SEARCH("Ere",C46)))</formula>
    </cfRule>
    <cfRule type="containsText" dxfId="2234" priority="2137" operator="containsText" text="Ear">
      <formula>NOT(ISERROR(SEARCH("Ear",C46)))</formula>
    </cfRule>
    <cfRule type="containsText" dxfId="2233" priority="2138" operator="containsText" text="fnd">
      <formula>NOT(ISERROR(SEARCH("fnd",C46)))</formula>
    </cfRule>
  </conditionalFormatting>
  <conditionalFormatting sqref="E5:E6">
    <cfRule type="containsText" dxfId="2232" priority="1663" operator="containsText" text="Str">
      <formula>NOT(ISERROR(SEARCH("Str",E5)))</formula>
    </cfRule>
    <cfRule type="containsText" dxfId="2231" priority="1664" operator="containsText" text="Ere">
      <formula>NOT(ISERROR(SEARCH("Ere",E5)))</formula>
    </cfRule>
    <cfRule type="containsText" dxfId="2230" priority="1665" operator="containsText" text="Ear">
      <formula>NOT(ISERROR(SEARCH("Ear",E5)))</formula>
    </cfRule>
    <cfRule type="containsText" dxfId="2229" priority="1666" operator="containsText" text="fnd">
      <formula>NOT(ISERROR(SEARCH("fnd",E5)))</formula>
    </cfRule>
  </conditionalFormatting>
  <conditionalFormatting sqref="E13:E14">
    <cfRule type="containsText" dxfId="2228" priority="1623" operator="containsText" text="Str">
      <formula>NOT(ISERROR(SEARCH("Str",E13)))</formula>
    </cfRule>
    <cfRule type="containsText" dxfId="2227" priority="1624" operator="containsText" text="Ere">
      <formula>NOT(ISERROR(SEARCH("Ere",E13)))</formula>
    </cfRule>
    <cfRule type="containsText" dxfId="2226" priority="1625" operator="containsText" text="Ear">
      <formula>NOT(ISERROR(SEARCH("Ear",E13)))</formula>
    </cfRule>
    <cfRule type="containsText" dxfId="2225" priority="1626" operator="containsText" text="fnd">
      <formula>NOT(ISERROR(SEARCH("fnd",E13)))</formula>
    </cfRule>
  </conditionalFormatting>
  <conditionalFormatting sqref="E21:E22">
    <cfRule type="containsText" dxfId="2224" priority="643" operator="containsText" text="Str">
      <formula>NOT(ISERROR(SEARCH("Str",E21)))</formula>
    </cfRule>
    <cfRule type="containsText" dxfId="2223" priority="644" operator="containsText" text="Ere">
      <formula>NOT(ISERROR(SEARCH("Ere",E21)))</formula>
    </cfRule>
    <cfRule type="containsText" dxfId="2222" priority="645" operator="containsText" text="Ear">
      <formula>NOT(ISERROR(SEARCH("Ear",E21)))</formula>
    </cfRule>
    <cfRule type="containsText" dxfId="2221" priority="646" operator="containsText" text="fnd">
      <formula>NOT(ISERROR(SEARCH("fnd",E21)))</formula>
    </cfRule>
  </conditionalFormatting>
  <conditionalFormatting sqref="E29">
    <cfRule type="containsText" dxfId="2220" priority="1567" operator="containsText" text="Str">
      <formula>NOT(ISERROR(SEARCH("Str",E29)))</formula>
    </cfRule>
    <cfRule type="containsText" dxfId="2219" priority="1568" operator="containsText" text="Ere">
      <formula>NOT(ISERROR(SEARCH("Ere",E29)))</formula>
    </cfRule>
    <cfRule type="containsText" dxfId="2218" priority="1569" operator="containsText" text="Ear">
      <formula>NOT(ISERROR(SEARCH("Ear",E29)))</formula>
    </cfRule>
    <cfRule type="containsText" dxfId="2217" priority="1570" operator="containsText" text="fnd">
      <formula>NOT(ISERROR(SEARCH("fnd",E29)))</formula>
    </cfRule>
  </conditionalFormatting>
  <conditionalFormatting sqref="E37:E38">
    <cfRule type="containsText" dxfId="2216" priority="895" operator="containsText" text="Str">
      <formula>NOT(ISERROR(SEARCH("Str",E37)))</formula>
    </cfRule>
    <cfRule type="containsText" dxfId="2215" priority="896" operator="containsText" text="Ere">
      <formula>NOT(ISERROR(SEARCH("Ere",E37)))</formula>
    </cfRule>
    <cfRule type="containsText" dxfId="2214" priority="897" operator="containsText" text="Ear">
      <formula>NOT(ISERROR(SEARCH("Ear",E37)))</formula>
    </cfRule>
    <cfRule type="containsText" dxfId="2213" priority="898" operator="containsText" text="fnd">
      <formula>NOT(ISERROR(SEARCH("fnd",E37)))</formula>
    </cfRule>
  </conditionalFormatting>
  <conditionalFormatting sqref="E45">
    <cfRule type="containsText" dxfId="2212" priority="2231" operator="containsText" text="Str">
      <formula>NOT(ISERROR(SEARCH("Str",E45)))</formula>
    </cfRule>
    <cfRule type="containsText" dxfId="2211" priority="2232" operator="containsText" text="Ere">
      <formula>NOT(ISERROR(SEARCH("Ere",E45)))</formula>
    </cfRule>
    <cfRule type="containsText" dxfId="2210" priority="2233" operator="containsText" text="Ear">
      <formula>NOT(ISERROR(SEARCH("Ear",E45)))</formula>
    </cfRule>
    <cfRule type="containsText" dxfId="2209" priority="2234" operator="containsText" text="fnd">
      <formula>NOT(ISERROR(SEARCH("fnd",E45)))</formula>
    </cfRule>
  </conditionalFormatting>
  <conditionalFormatting sqref="E53:E54">
    <cfRule type="containsText" dxfId="2208" priority="1991" operator="containsText" text="Str">
      <formula>NOT(ISERROR(SEARCH("Str",E53)))</formula>
    </cfRule>
    <cfRule type="containsText" dxfId="2207" priority="1992" operator="containsText" text="Ere">
      <formula>NOT(ISERROR(SEARCH("Ere",E53)))</formula>
    </cfRule>
    <cfRule type="containsText" dxfId="2206" priority="1993" operator="containsText" text="Ear">
      <formula>NOT(ISERROR(SEARCH("Ear",E53)))</formula>
    </cfRule>
    <cfRule type="containsText" dxfId="2205" priority="1994" operator="containsText" text="fnd">
      <formula>NOT(ISERROR(SEARCH("fnd",E53)))</formula>
    </cfRule>
  </conditionalFormatting>
  <conditionalFormatting sqref="E61">
    <cfRule type="containsText" dxfId="2204" priority="859" operator="containsText" text="Str">
      <formula>NOT(ISERROR(SEARCH("Str",E61)))</formula>
    </cfRule>
    <cfRule type="containsText" dxfId="2203" priority="860" operator="containsText" text="Ere">
      <formula>NOT(ISERROR(SEARCH("Ere",E61)))</formula>
    </cfRule>
    <cfRule type="containsText" dxfId="2202" priority="861" operator="containsText" text="Ear">
      <formula>NOT(ISERROR(SEARCH("Ear",E61)))</formula>
    </cfRule>
    <cfRule type="containsText" dxfId="2201" priority="862" operator="containsText" text="fnd">
      <formula>NOT(ISERROR(SEARCH("fnd",E61)))</formula>
    </cfRule>
  </conditionalFormatting>
  <conditionalFormatting sqref="E69">
    <cfRule type="containsText" dxfId="2200" priority="2087" operator="containsText" text="Str">
      <formula>NOT(ISERROR(SEARCH("Str",E69)))</formula>
    </cfRule>
    <cfRule type="containsText" dxfId="2199" priority="2088" operator="containsText" text="Ere">
      <formula>NOT(ISERROR(SEARCH("Ere",E69)))</formula>
    </cfRule>
    <cfRule type="containsText" dxfId="2198" priority="2089" operator="containsText" text="Ear">
      <formula>NOT(ISERROR(SEARCH("Ear",E69)))</formula>
    </cfRule>
    <cfRule type="containsText" dxfId="2197" priority="2090" operator="containsText" text="fnd">
      <formula>NOT(ISERROR(SEARCH("fnd",E69)))</formula>
    </cfRule>
  </conditionalFormatting>
  <conditionalFormatting sqref="E86">
    <cfRule type="containsText" dxfId="2196" priority="2019" operator="containsText" text="Str">
      <formula>NOT(ISERROR(SEARCH("Str",E86)))</formula>
    </cfRule>
    <cfRule type="containsText" dxfId="2195" priority="2020" operator="containsText" text="Ere">
      <formula>NOT(ISERROR(SEARCH("Ere",E86)))</formula>
    </cfRule>
    <cfRule type="containsText" dxfId="2194" priority="2021" operator="containsText" text="Ear">
      <formula>NOT(ISERROR(SEARCH("Ear",E86)))</formula>
    </cfRule>
    <cfRule type="containsText" dxfId="2193" priority="2022" operator="containsText" text="fnd">
      <formula>NOT(ISERROR(SEARCH("fnd",E86)))</formula>
    </cfRule>
  </conditionalFormatting>
  <conditionalFormatting sqref="E93">
    <cfRule type="containsText" dxfId="2192" priority="2027" operator="containsText" text="Str">
      <formula>NOT(ISERROR(SEARCH("Str",E93)))</formula>
    </cfRule>
    <cfRule type="containsText" dxfId="2191" priority="2028" operator="containsText" text="Ere">
      <formula>NOT(ISERROR(SEARCH("Ere",E93)))</formula>
    </cfRule>
    <cfRule type="containsText" dxfId="2190" priority="2029" operator="containsText" text="Ear">
      <formula>NOT(ISERROR(SEARCH("Ear",E93)))</formula>
    </cfRule>
    <cfRule type="containsText" dxfId="2189" priority="2030" operator="containsText" text="fnd">
      <formula>NOT(ISERROR(SEARCH("fnd",E93)))</formula>
    </cfRule>
  </conditionalFormatting>
  <conditionalFormatting sqref="E101">
    <cfRule type="containsText" dxfId="2188" priority="1911" operator="containsText" text="Str">
      <formula>NOT(ISERROR(SEARCH("Str",E101)))</formula>
    </cfRule>
    <cfRule type="containsText" dxfId="2187" priority="1912" operator="containsText" text="Ere">
      <formula>NOT(ISERROR(SEARCH("Ere",E101)))</formula>
    </cfRule>
    <cfRule type="containsText" dxfId="2186" priority="1913" operator="containsText" text="Ear">
      <formula>NOT(ISERROR(SEARCH("Ear",E101)))</formula>
    </cfRule>
    <cfRule type="containsText" dxfId="2185" priority="1914" operator="containsText" text="fnd">
      <formula>NOT(ISERROR(SEARCH("fnd",E101)))</formula>
    </cfRule>
  </conditionalFormatting>
  <conditionalFormatting sqref="E109">
    <cfRule type="containsText" dxfId="2184" priority="77" operator="containsText" text="Str">
      <formula>NOT(ISERROR(SEARCH("Str",E109)))</formula>
    </cfRule>
    <cfRule type="containsText" dxfId="2183" priority="78" operator="containsText" text="Ere">
      <formula>NOT(ISERROR(SEARCH("Ere",E109)))</formula>
    </cfRule>
    <cfRule type="containsText" dxfId="2182" priority="79" operator="containsText" text="Ear">
      <formula>NOT(ISERROR(SEARCH("Ear",E109)))</formula>
    </cfRule>
    <cfRule type="containsText" dxfId="2181" priority="80" operator="containsText" text="fnd">
      <formula>NOT(ISERROR(SEARCH("fnd",E109)))</formula>
    </cfRule>
  </conditionalFormatting>
  <conditionalFormatting sqref="E117">
    <cfRule type="containsText" dxfId="2180" priority="489" operator="containsText" text="Str">
      <formula>NOT(ISERROR(SEARCH("Str",E117)))</formula>
    </cfRule>
    <cfRule type="containsText" dxfId="2179" priority="490" operator="containsText" text="Ere">
      <formula>NOT(ISERROR(SEARCH("Ere",E117)))</formula>
    </cfRule>
    <cfRule type="containsText" dxfId="2178" priority="491" operator="containsText" text="Ear">
      <formula>NOT(ISERROR(SEARCH("Ear",E117)))</formula>
    </cfRule>
    <cfRule type="containsText" dxfId="2177" priority="492" operator="containsText" text="fnd">
      <formula>NOT(ISERROR(SEARCH("fnd",E117)))</formula>
    </cfRule>
  </conditionalFormatting>
  <conditionalFormatting sqref="E122 E130 E138 E162 E170 E178">
    <cfRule type="containsText" dxfId="2176" priority="2059" operator="containsText" text="Str">
      <formula>NOT(ISERROR(SEARCH("Str",E122)))</formula>
    </cfRule>
    <cfRule type="containsText" dxfId="2175" priority="2060" operator="containsText" text="Ere">
      <formula>NOT(ISERROR(SEARCH("Ere",E122)))</formula>
    </cfRule>
    <cfRule type="containsText" dxfId="2174" priority="2061" operator="containsText" text="Ear">
      <formula>NOT(ISERROR(SEARCH("Ear",E122)))</formula>
    </cfRule>
    <cfRule type="containsText" dxfId="2173" priority="2062" operator="containsText" text="fnd">
      <formula>NOT(ISERROR(SEARCH("fnd",E122)))</formula>
    </cfRule>
  </conditionalFormatting>
  <conditionalFormatting sqref="E125">
    <cfRule type="containsText" dxfId="2172" priority="1395" operator="containsText" text="Str">
      <formula>NOT(ISERROR(SEARCH("Str",E125)))</formula>
    </cfRule>
    <cfRule type="containsText" dxfId="2171" priority="1396" operator="containsText" text="Ere">
      <formula>NOT(ISERROR(SEARCH("Ere",E125)))</formula>
    </cfRule>
    <cfRule type="containsText" dxfId="2170" priority="1397" operator="containsText" text="Ear">
      <formula>NOT(ISERROR(SEARCH("Ear",E125)))</formula>
    </cfRule>
    <cfRule type="containsText" dxfId="2169" priority="1398" operator="containsText" text="fnd">
      <formula>NOT(ISERROR(SEARCH("fnd",E125)))</formula>
    </cfRule>
  </conditionalFormatting>
  <conditionalFormatting sqref="E133">
    <cfRule type="containsText" dxfId="2168" priority="1347" operator="containsText" text="Str">
      <formula>NOT(ISERROR(SEARCH("Str",E133)))</formula>
    </cfRule>
    <cfRule type="containsText" dxfId="2167" priority="1348" operator="containsText" text="Ere">
      <formula>NOT(ISERROR(SEARCH("Ere",E133)))</formula>
    </cfRule>
    <cfRule type="containsText" dxfId="2166" priority="1349" operator="containsText" text="Ear">
      <formula>NOT(ISERROR(SEARCH("Ear",E133)))</formula>
    </cfRule>
    <cfRule type="containsText" dxfId="2165" priority="1350" operator="containsText" text="fnd">
      <formula>NOT(ISERROR(SEARCH("fnd",E133)))</formula>
    </cfRule>
  </conditionalFormatting>
  <conditionalFormatting sqref="E141">
    <cfRule type="containsText" dxfId="2164" priority="1247" operator="containsText" text="Str">
      <formula>NOT(ISERROR(SEARCH("Str",E141)))</formula>
    </cfRule>
    <cfRule type="containsText" dxfId="2163" priority="1248" operator="containsText" text="Ere">
      <formula>NOT(ISERROR(SEARCH("Ere",E141)))</formula>
    </cfRule>
    <cfRule type="containsText" dxfId="2162" priority="1249" operator="containsText" text="Ear">
      <formula>NOT(ISERROR(SEARCH("Ear",E141)))</formula>
    </cfRule>
    <cfRule type="containsText" dxfId="2161" priority="1250" operator="containsText" text="fnd">
      <formula>NOT(ISERROR(SEARCH("fnd",E141)))</formula>
    </cfRule>
  </conditionalFormatting>
  <conditionalFormatting sqref="E149">
    <cfRule type="containsText" dxfId="2160" priority="337" operator="containsText" text="Str">
      <formula>NOT(ISERROR(SEARCH("Str",E149)))</formula>
    </cfRule>
    <cfRule type="containsText" dxfId="2159" priority="338" operator="containsText" text="Ere">
      <formula>NOT(ISERROR(SEARCH("Ere",E149)))</formula>
    </cfRule>
    <cfRule type="containsText" dxfId="2158" priority="339" operator="containsText" text="Ear">
      <formula>NOT(ISERROR(SEARCH("Ear",E149)))</formula>
    </cfRule>
    <cfRule type="containsText" dxfId="2157" priority="340" operator="containsText" text="fnd">
      <formula>NOT(ISERROR(SEARCH("fnd",E149)))</formula>
    </cfRule>
  </conditionalFormatting>
  <conditionalFormatting sqref="E157">
    <cfRule type="containsText" dxfId="2156" priority="1115" operator="containsText" text="Str">
      <formula>NOT(ISERROR(SEARCH("Str",E157)))</formula>
    </cfRule>
    <cfRule type="containsText" dxfId="2155" priority="1116" operator="containsText" text="Ere">
      <formula>NOT(ISERROR(SEARCH("Ere",E157)))</formula>
    </cfRule>
    <cfRule type="containsText" dxfId="2154" priority="1117" operator="containsText" text="Ear">
      <formula>NOT(ISERROR(SEARCH("Ear",E157)))</formula>
    </cfRule>
    <cfRule type="containsText" dxfId="2153" priority="1118" operator="containsText" text="fnd">
      <formula>NOT(ISERROR(SEARCH("fnd",E157)))</formula>
    </cfRule>
  </conditionalFormatting>
  <conditionalFormatting sqref="E165">
    <cfRule type="containsText" dxfId="2152" priority="627" operator="containsText" text="Str">
      <formula>NOT(ISERROR(SEARCH("Str",E165)))</formula>
    </cfRule>
    <cfRule type="containsText" dxfId="2151" priority="628" operator="containsText" text="Ere">
      <formula>NOT(ISERROR(SEARCH("Ere",E165)))</formula>
    </cfRule>
    <cfRule type="containsText" dxfId="2150" priority="629" operator="containsText" text="Ear">
      <formula>NOT(ISERROR(SEARCH("Ear",E165)))</formula>
    </cfRule>
    <cfRule type="containsText" dxfId="2149" priority="630" operator="containsText" text="fnd">
      <formula>NOT(ISERROR(SEARCH("fnd",E165)))</formula>
    </cfRule>
  </conditionalFormatting>
  <conditionalFormatting sqref="E173">
    <cfRule type="containsText" dxfId="2148" priority="581" operator="containsText" text="Str">
      <formula>NOT(ISERROR(SEARCH("Str",E173)))</formula>
    </cfRule>
    <cfRule type="containsText" dxfId="2147" priority="582" operator="containsText" text="Ere">
      <formula>NOT(ISERROR(SEARCH("Ere",E173)))</formula>
    </cfRule>
    <cfRule type="containsText" dxfId="2146" priority="583" operator="containsText" text="Ear">
      <formula>NOT(ISERROR(SEARCH("Ear",E173)))</formula>
    </cfRule>
    <cfRule type="containsText" dxfId="2145" priority="584" operator="containsText" text="fnd">
      <formula>NOT(ISERROR(SEARCH("fnd",E173)))</formula>
    </cfRule>
  </conditionalFormatting>
  <conditionalFormatting sqref="E181">
    <cfRule type="containsText" dxfId="2144" priority="983" operator="containsText" text="Str">
      <formula>NOT(ISERROR(SEARCH("Str",E181)))</formula>
    </cfRule>
    <cfRule type="containsText" dxfId="2143" priority="984" operator="containsText" text="Ere">
      <formula>NOT(ISERROR(SEARCH("Ere",E181)))</formula>
    </cfRule>
    <cfRule type="containsText" dxfId="2142" priority="985" operator="containsText" text="Ear">
      <formula>NOT(ISERROR(SEARCH("Ear",E181)))</formula>
    </cfRule>
    <cfRule type="containsText" dxfId="2141" priority="986" operator="containsText" text="fnd">
      <formula>NOT(ISERROR(SEARCH("fnd",E181)))</formula>
    </cfRule>
  </conditionalFormatting>
  <conditionalFormatting sqref="E207">
    <cfRule type="containsText" dxfId="2140" priority="2143" operator="containsText" text="Str">
      <formula>NOT(ISERROR(SEARCH("Str",E207)))</formula>
    </cfRule>
    <cfRule type="containsText" dxfId="2139" priority="2144" operator="containsText" text="Ere">
      <formula>NOT(ISERROR(SEARCH("Ere",E207)))</formula>
    </cfRule>
    <cfRule type="containsText" dxfId="2138" priority="2145" operator="containsText" text="Ear">
      <formula>NOT(ISERROR(SEARCH("Ear",E207)))</formula>
    </cfRule>
    <cfRule type="containsText" dxfId="2137" priority="2146" operator="containsText" text="fnd">
      <formula>NOT(ISERROR(SEARCH("fnd",E207)))</formula>
    </cfRule>
  </conditionalFormatting>
  <conditionalFormatting sqref="E30:F30">
    <cfRule type="containsText" dxfId="2136" priority="1571" operator="containsText" text="Str">
      <formula>NOT(ISERROR(SEARCH("Str",E30)))</formula>
    </cfRule>
    <cfRule type="containsText" dxfId="2135" priority="1572" operator="containsText" text="Ere">
      <formula>NOT(ISERROR(SEARCH("Ere",E30)))</formula>
    </cfRule>
    <cfRule type="containsText" dxfId="2134" priority="1573" operator="containsText" text="Ear">
      <formula>NOT(ISERROR(SEARCH("Ear",E30)))</formula>
    </cfRule>
    <cfRule type="containsText" dxfId="2133" priority="1574" operator="containsText" text="fnd">
      <formula>NOT(ISERROR(SEARCH("fnd",E30)))</formula>
    </cfRule>
  </conditionalFormatting>
  <conditionalFormatting sqref="E46:F46">
    <cfRule type="containsText" dxfId="2132" priority="2331" operator="containsText" text="Str">
      <formula>NOT(ISERROR(SEARCH("Str",E46)))</formula>
    </cfRule>
    <cfRule type="containsText" dxfId="2131" priority="2332" operator="containsText" text="Ere">
      <formula>NOT(ISERROR(SEARCH("Ere",E46)))</formula>
    </cfRule>
    <cfRule type="containsText" dxfId="2130" priority="2333" operator="containsText" text="Ear">
      <formula>NOT(ISERROR(SEARCH("Ear",E46)))</formula>
    </cfRule>
    <cfRule type="containsText" dxfId="2129" priority="2334" operator="containsText" text="fnd">
      <formula>NOT(ISERROR(SEARCH("fnd",E46)))</formula>
    </cfRule>
  </conditionalFormatting>
  <conditionalFormatting sqref="E62:F62">
    <cfRule type="containsText" dxfId="2128" priority="863" operator="containsText" text="Str">
      <formula>NOT(ISERROR(SEARCH("Str",E62)))</formula>
    </cfRule>
    <cfRule type="containsText" dxfId="2127" priority="864" operator="containsText" text="Ere">
      <formula>NOT(ISERROR(SEARCH("Ere",E62)))</formula>
    </cfRule>
    <cfRule type="containsText" dxfId="2126" priority="865" operator="containsText" text="Ear">
      <formula>NOT(ISERROR(SEARCH("Ear",E62)))</formula>
    </cfRule>
    <cfRule type="containsText" dxfId="2125" priority="866" operator="containsText" text="fnd">
      <formula>NOT(ISERROR(SEARCH("fnd",E62)))</formula>
    </cfRule>
  </conditionalFormatting>
  <conditionalFormatting sqref="E94:F94">
    <cfRule type="containsText" dxfId="2124" priority="2031" operator="containsText" text="Str">
      <formula>NOT(ISERROR(SEARCH("Str",E94)))</formula>
    </cfRule>
    <cfRule type="containsText" dxfId="2123" priority="2032" operator="containsText" text="Ere">
      <formula>NOT(ISERROR(SEARCH("Ere",E94)))</formula>
    </cfRule>
    <cfRule type="containsText" dxfId="2122" priority="2033" operator="containsText" text="Ear">
      <formula>NOT(ISERROR(SEARCH("Ear",E94)))</formula>
    </cfRule>
    <cfRule type="containsText" dxfId="2121" priority="2034" operator="containsText" text="fnd">
      <formula>NOT(ISERROR(SEARCH("fnd",E94)))</formula>
    </cfRule>
  </conditionalFormatting>
  <conditionalFormatting sqref="E102:F102">
    <cfRule type="containsText" dxfId="2120" priority="1915" operator="containsText" text="Str">
      <formula>NOT(ISERROR(SEARCH("Str",E102)))</formula>
    </cfRule>
    <cfRule type="containsText" dxfId="2119" priority="1916" operator="containsText" text="Ere">
      <formula>NOT(ISERROR(SEARCH("Ere",E102)))</formula>
    </cfRule>
    <cfRule type="containsText" dxfId="2118" priority="1917" operator="containsText" text="Ear">
      <formula>NOT(ISERROR(SEARCH("Ear",E102)))</formula>
    </cfRule>
    <cfRule type="containsText" dxfId="2117" priority="1918" operator="containsText" text="fnd">
      <formula>NOT(ISERROR(SEARCH("fnd",E102)))</formula>
    </cfRule>
  </conditionalFormatting>
  <conditionalFormatting sqref="E134:F134">
    <cfRule type="containsText" dxfId="2116" priority="1351" operator="containsText" text="Str">
      <formula>NOT(ISERROR(SEARCH("Str",E134)))</formula>
    </cfRule>
    <cfRule type="containsText" dxfId="2115" priority="1352" operator="containsText" text="Ere">
      <formula>NOT(ISERROR(SEARCH("Ere",E134)))</formula>
    </cfRule>
    <cfRule type="containsText" dxfId="2114" priority="1353" operator="containsText" text="Ear">
      <formula>NOT(ISERROR(SEARCH("Ear",E134)))</formula>
    </cfRule>
    <cfRule type="containsText" dxfId="2113" priority="1354" operator="containsText" text="fnd">
      <formula>NOT(ISERROR(SEARCH("fnd",E134)))</formula>
    </cfRule>
  </conditionalFormatting>
  <conditionalFormatting sqref="E142:F142">
    <cfRule type="containsText" dxfId="2112" priority="1251" operator="containsText" text="Str">
      <formula>NOT(ISERROR(SEARCH("Str",E142)))</formula>
    </cfRule>
    <cfRule type="containsText" dxfId="2111" priority="1252" operator="containsText" text="Ere">
      <formula>NOT(ISERROR(SEARCH("Ere",E142)))</formula>
    </cfRule>
    <cfRule type="containsText" dxfId="2110" priority="1253" operator="containsText" text="Ear">
      <formula>NOT(ISERROR(SEARCH("Ear",E142)))</formula>
    </cfRule>
    <cfRule type="containsText" dxfId="2109" priority="1254" operator="containsText" text="fnd">
      <formula>NOT(ISERROR(SEARCH("fnd",E142)))</formula>
    </cfRule>
  </conditionalFormatting>
  <conditionalFormatting sqref="E158:F158">
    <cfRule type="containsText" dxfId="2108" priority="1119" operator="containsText" text="Str">
      <formula>NOT(ISERROR(SEARCH("Str",E158)))</formula>
    </cfRule>
    <cfRule type="containsText" dxfId="2107" priority="1120" operator="containsText" text="Ere">
      <formula>NOT(ISERROR(SEARCH("Ere",E158)))</formula>
    </cfRule>
    <cfRule type="containsText" dxfId="2106" priority="1121" operator="containsText" text="Ear">
      <formula>NOT(ISERROR(SEARCH("Ear",E158)))</formula>
    </cfRule>
    <cfRule type="containsText" dxfId="2105" priority="1122" operator="containsText" text="fnd">
      <formula>NOT(ISERROR(SEARCH("fnd",E158)))</formula>
    </cfRule>
  </conditionalFormatting>
  <conditionalFormatting sqref="E166:F166">
    <cfRule type="containsText" dxfId="2104" priority="631" operator="containsText" text="Str">
      <formula>NOT(ISERROR(SEARCH("Str",E166)))</formula>
    </cfRule>
    <cfRule type="containsText" dxfId="2103" priority="632" operator="containsText" text="Ere">
      <formula>NOT(ISERROR(SEARCH("Ere",E166)))</formula>
    </cfRule>
    <cfRule type="containsText" dxfId="2102" priority="633" operator="containsText" text="Ear">
      <formula>NOT(ISERROR(SEARCH("Ear",E166)))</formula>
    </cfRule>
    <cfRule type="containsText" dxfId="2101" priority="634" operator="containsText" text="fnd">
      <formula>NOT(ISERROR(SEARCH("fnd",E166)))</formula>
    </cfRule>
  </conditionalFormatting>
  <conditionalFormatting sqref="E174:F174">
    <cfRule type="containsText" dxfId="2100" priority="585" operator="containsText" text="Str">
      <formula>NOT(ISERROR(SEARCH("Str",E174)))</formula>
    </cfRule>
    <cfRule type="containsText" dxfId="2099" priority="586" operator="containsText" text="Ere">
      <formula>NOT(ISERROR(SEARCH("Ere",E174)))</formula>
    </cfRule>
    <cfRule type="containsText" dxfId="2098" priority="587" operator="containsText" text="Ear">
      <formula>NOT(ISERROR(SEARCH("Ear",E174)))</formula>
    </cfRule>
    <cfRule type="containsText" dxfId="2097" priority="588" operator="containsText" text="fnd">
      <formula>NOT(ISERROR(SEARCH("fnd",E174)))</formula>
    </cfRule>
  </conditionalFormatting>
  <conditionalFormatting sqref="E182:F182">
    <cfRule type="containsText" dxfId="2096" priority="987" operator="containsText" text="Str">
      <formula>NOT(ISERROR(SEARCH("Str",E182)))</formula>
    </cfRule>
    <cfRule type="containsText" dxfId="2095" priority="988" operator="containsText" text="Ere">
      <formula>NOT(ISERROR(SEARCH("Ere",E182)))</formula>
    </cfRule>
    <cfRule type="containsText" dxfId="2094" priority="989" operator="containsText" text="Ear">
      <formula>NOT(ISERROR(SEARCH("Ear",E182)))</formula>
    </cfRule>
    <cfRule type="containsText" dxfId="2093" priority="990" operator="containsText" text="fnd">
      <formula>NOT(ISERROR(SEARCH("fnd",E182)))</formula>
    </cfRule>
  </conditionalFormatting>
  <conditionalFormatting sqref="E208:F208">
    <cfRule type="containsText" dxfId="2092" priority="2147" operator="containsText" text="Str">
      <formula>NOT(ISERROR(SEARCH("Str",E208)))</formula>
    </cfRule>
    <cfRule type="containsText" dxfId="2091" priority="2148" operator="containsText" text="Ere">
      <formula>NOT(ISERROR(SEARCH("Ere",E208)))</formula>
    </cfRule>
    <cfRule type="containsText" dxfId="2090" priority="2149" operator="containsText" text="Ear">
      <formula>NOT(ISERROR(SEARCH("Ear",E208)))</formula>
    </cfRule>
    <cfRule type="containsText" dxfId="2089" priority="2150" operator="containsText" text="fnd">
      <formula>NOT(ISERROR(SEARCH("fnd",E208)))</formula>
    </cfRule>
  </conditionalFormatting>
  <conditionalFormatting sqref="F6">
    <cfRule type="containsText" dxfId="2088" priority="1659" operator="containsText" text="Str">
      <formula>NOT(ISERROR(SEARCH("Str",F6)))</formula>
    </cfRule>
    <cfRule type="containsText" dxfId="2087" priority="1660" operator="containsText" text="Ere">
      <formula>NOT(ISERROR(SEARCH("Ere",F6)))</formula>
    </cfRule>
    <cfRule type="containsText" dxfId="2086" priority="1661" operator="containsText" text="Ear">
      <formula>NOT(ISERROR(SEARCH("Ear",F6)))</formula>
    </cfRule>
    <cfRule type="containsText" dxfId="2085" priority="1662" operator="containsText" text="fnd">
      <formula>NOT(ISERROR(SEARCH("fnd",F6)))</formula>
    </cfRule>
  </conditionalFormatting>
  <conditionalFormatting sqref="F14">
    <cfRule type="containsText" dxfId="2084" priority="1619" operator="containsText" text="Str">
      <formula>NOT(ISERROR(SEARCH("Str",F14)))</formula>
    </cfRule>
    <cfRule type="containsText" dxfId="2083" priority="1620" operator="containsText" text="Ere">
      <formula>NOT(ISERROR(SEARCH("Ere",F14)))</formula>
    </cfRule>
    <cfRule type="containsText" dxfId="2082" priority="1621" operator="containsText" text="Ear">
      <formula>NOT(ISERROR(SEARCH("Ear",F14)))</formula>
    </cfRule>
    <cfRule type="containsText" dxfId="2081" priority="1622" operator="containsText" text="fnd">
      <formula>NOT(ISERROR(SEARCH("fnd",F14)))</formula>
    </cfRule>
  </conditionalFormatting>
  <conditionalFormatting sqref="F22">
    <cfRule type="containsText" dxfId="2080" priority="639" operator="containsText" text="Str">
      <formula>NOT(ISERROR(SEARCH("Str",F22)))</formula>
    </cfRule>
    <cfRule type="containsText" dxfId="2079" priority="640" operator="containsText" text="Ere">
      <formula>NOT(ISERROR(SEARCH("Ere",F22)))</formula>
    </cfRule>
    <cfRule type="containsText" dxfId="2078" priority="641" operator="containsText" text="Ear">
      <formula>NOT(ISERROR(SEARCH("Ear",F22)))</formula>
    </cfRule>
    <cfRule type="containsText" dxfId="2077" priority="642" operator="containsText" text="fnd">
      <formula>NOT(ISERROR(SEARCH("fnd",F22)))</formula>
    </cfRule>
  </conditionalFormatting>
  <conditionalFormatting sqref="F38">
    <cfRule type="containsText" dxfId="2076" priority="891" operator="containsText" text="Str">
      <formula>NOT(ISERROR(SEARCH("Str",F38)))</formula>
    </cfRule>
    <cfRule type="containsText" dxfId="2075" priority="892" operator="containsText" text="Ere">
      <formula>NOT(ISERROR(SEARCH("Ere",F38)))</formula>
    </cfRule>
    <cfRule type="containsText" dxfId="2074" priority="893" operator="containsText" text="Ear">
      <formula>NOT(ISERROR(SEARCH("Ear",F38)))</formula>
    </cfRule>
    <cfRule type="containsText" dxfId="2073" priority="894" operator="containsText" text="fnd">
      <formula>NOT(ISERROR(SEARCH("fnd",F38)))</formula>
    </cfRule>
  </conditionalFormatting>
  <conditionalFormatting sqref="F54">
    <cfRule type="containsText" dxfId="2072" priority="1987" operator="containsText" text="Str">
      <formula>NOT(ISERROR(SEARCH("Str",F54)))</formula>
    </cfRule>
    <cfRule type="containsText" dxfId="2071" priority="1988" operator="containsText" text="Ere">
      <formula>NOT(ISERROR(SEARCH("Ere",F54)))</formula>
    </cfRule>
    <cfRule type="containsText" dxfId="2070" priority="1989" operator="containsText" text="Ear">
      <formula>NOT(ISERROR(SEARCH("Ear",F54)))</formula>
    </cfRule>
    <cfRule type="containsText" dxfId="2069" priority="1990" operator="containsText" text="fnd">
      <formula>NOT(ISERROR(SEARCH("fnd",F54)))</formula>
    </cfRule>
  </conditionalFormatting>
  <conditionalFormatting sqref="F78">
    <cfRule type="containsText" dxfId="2068" priority="1995" operator="containsText" text="Str">
      <formula>NOT(ISERROR(SEARCH("Str",F78)))</formula>
    </cfRule>
    <cfRule type="containsText" dxfId="2067" priority="1996" operator="containsText" text="Ere">
      <formula>NOT(ISERROR(SEARCH("Ere",F78)))</formula>
    </cfRule>
    <cfRule type="containsText" dxfId="2066" priority="1997" operator="containsText" text="Ear">
      <formula>NOT(ISERROR(SEARCH("Ear",F78)))</formula>
    </cfRule>
    <cfRule type="containsText" dxfId="2065" priority="1998" operator="containsText" text="fnd">
      <formula>NOT(ISERROR(SEARCH("fnd",F78)))</formula>
    </cfRule>
  </conditionalFormatting>
  <conditionalFormatting sqref="F199">
    <cfRule type="containsText" dxfId="2064" priority="1599" operator="containsText" text="Str">
      <formula>NOT(ISERROR(SEARCH("Str",F199)))</formula>
    </cfRule>
    <cfRule type="containsText" dxfId="2063" priority="1600" operator="containsText" text="Ere">
      <formula>NOT(ISERROR(SEARCH("Ere",F199)))</formula>
    </cfRule>
    <cfRule type="containsText" dxfId="2062" priority="1601" operator="containsText" text="Ear">
      <formula>NOT(ISERROR(SEARCH("Ear",F199)))</formula>
    </cfRule>
    <cfRule type="containsText" dxfId="2061" priority="1602" operator="containsText" text="fnd">
      <formula>NOT(ISERROR(SEARCH("fnd",F199)))</formula>
    </cfRule>
  </conditionalFormatting>
  <conditionalFormatting sqref="G122 H130 H138 H162 H170 H178">
    <cfRule type="containsText" dxfId="2060" priority="2079" operator="containsText" text="Str">
      <formula>NOT(ISERROR(SEARCH("Str",G122)))</formula>
    </cfRule>
    <cfRule type="containsText" dxfId="2059" priority="2080" operator="containsText" text="Ere">
      <formula>NOT(ISERROR(SEARCH("Ere",G122)))</formula>
    </cfRule>
    <cfRule type="containsText" dxfId="2058" priority="2081" operator="containsText" text="Ear">
      <formula>NOT(ISERROR(SEARCH("Ear",G122)))</formula>
    </cfRule>
    <cfRule type="containsText" dxfId="2057" priority="2082" operator="containsText" text="fnd">
      <formula>NOT(ISERROR(SEARCH("fnd",G122)))</formula>
    </cfRule>
  </conditionalFormatting>
  <conditionalFormatting sqref="H5:H6">
    <cfRule type="containsText" dxfId="2056" priority="249" operator="containsText" text="Str">
      <formula>NOT(ISERROR(SEARCH("Str",H5)))</formula>
    </cfRule>
    <cfRule type="containsText" dxfId="2055" priority="250" operator="containsText" text="Ere">
      <formula>NOT(ISERROR(SEARCH("Ere",H5)))</formula>
    </cfRule>
    <cfRule type="containsText" dxfId="2054" priority="251" operator="containsText" text="Ear">
      <formula>NOT(ISERROR(SEARCH("Ear",H5)))</formula>
    </cfRule>
    <cfRule type="containsText" dxfId="2053" priority="252" operator="containsText" text="fnd">
      <formula>NOT(ISERROR(SEARCH("fnd",H5)))</formula>
    </cfRule>
  </conditionalFormatting>
  <conditionalFormatting sqref="H13:H14">
    <cfRule type="containsText" dxfId="2052" priority="1679" operator="containsText" text="Str">
      <formula>NOT(ISERROR(SEARCH("Str",H13)))</formula>
    </cfRule>
    <cfRule type="containsText" dxfId="2051" priority="1680" operator="containsText" text="Ere">
      <formula>NOT(ISERROR(SEARCH("Ere",H13)))</formula>
    </cfRule>
    <cfRule type="containsText" dxfId="2050" priority="1681" operator="containsText" text="Ear">
      <formula>NOT(ISERROR(SEARCH("Ear",H13)))</formula>
    </cfRule>
    <cfRule type="containsText" dxfId="2049" priority="1682" operator="containsText" text="fnd">
      <formula>NOT(ISERROR(SEARCH("fnd",H13)))</formula>
    </cfRule>
  </conditionalFormatting>
  <conditionalFormatting sqref="H21:H22">
    <cfRule type="containsText" dxfId="2048" priority="1899" operator="containsText" text="Str">
      <formula>NOT(ISERROR(SEARCH("Str",H21)))</formula>
    </cfRule>
    <cfRule type="containsText" dxfId="2047" priority="1900" operator="containsText" text="Ere">
      <formula>NOT(ISERROR(SEARCH("Ere",H21)))</formula>
    </cfRule>
    <cfRule type="containsText" dxfId="2046" priority="1901" operator="containsText" text="Ear">
      <formula>NOT(ISERROR(SEARCH("Ear",H21)))</formula>
    </cfRule>
    <cfRule type="containsText" dxfId="2045" priority="1902" operator="containsText" text="fnd">
      <formula>NOT(ISERROR(SEARCH("fnd",H21)))</formula>
    </cfRule>
  </conditionalFormatting>
  <conditionalFormatting sqref="H29">
    <cfRule type="containsText" dxfId="2044" priority="655" operator="containsText" text="Str">
      <formula>NOT(ISERROR(SEARCH("Str",H29)))</formula>
    </cfRule>
    <cfRule type="containsText" dxfId="2043" priority="656" operator="containsText" text="Ere">
      <formula>NOT(ISERROR(SEARCH("Ere",H29)))</formula>
    </cfRule>
    <cfRule type="containsText" dxfId="2042" priority="657" operator="containsText" text="Ear">
      <formula>NOT(ISERROR(SEARCH("Ear",H29)))</formula>
    </cfRule>
    <cfRule type="containsText" dxfId="2041" priority="658" operator="containsText" text="fnd">
      <formula>NOT(ISERROR(SEARCH("fnd",H29)))</formula>
    </cfRule>
  </conditionalFormatting>
  <conditionalFormatting sqref="H37:H38">
    <cfRule type="containsText" dxfId="2040" priority="919" operator="containsText" text="Str">
      <formula>NOT(ISERROR(SEARCH("Str",H37)))</formula>
    </cfRule>
    <cfRule type="containsText" dxfId="2039" priority="920" operator="containsText" text="Ere">
      <formula>NOT(ISERROR(SEARCH("Ere",H37)))</formula>
    </cfRule>
    <cfRule type="containsText" dxfId="2038" priority="921" operator="containsText" text="Ear">
      <formula>NOT(ISERROR(SEARCH("Ear",H37)))</formula>
    </cfRule>
    <cfRule type="containsText" dxfId="2037" priority="922" operator="containsText" text="fnd">
      <formula>NOT(ISERROR(SEARCH("fnd",H37)))</formula>
    </cfRule>
  </conditionalFormatting>
  <conditionalFormatting sqref="H45">
    <cfRule type="containsText" dxfId="2036" priority="2247" operator="containsText" text="Str">
      <formula>NOT(ISERROR(SEARCH("Str",H45)))</formula>
    </cfRule>
    <cfRule type="containsText" dxfId="2035" priority="2248" operator="containsText" text="Ere">
      <formula>NOT(ISERROR(SEARCH("Ere",H45)))</formula>
    </cfRule>
    <cfRule type="containsText" dxfId="2034" priority="2249" operator="containsText" text="Ear">
      <formula>NOT(ISERROR(SEARCH("Ear",H45)))</formula>
    </cfRule>
    <cfRule type="containsText" dxfId="2033" priority="2250" operator="containsText" text="fnd">
      <formula>NOT(ISERROR(SEARCH("fnd",H45)))</formula>
    </cfRule>
  </conditionalFormatting>
  <conditionalFormatting sqref="H61">
    <cfRule type="containsText" dxfId="2032" priority="1867" operator="containsText" text="Str">
      <formula>NOT(ISERROR(SEARCH("Str",H61)))</formula>
    </cfRule>
    <cfRule type="containsText" dxfId="2031" priority="1868" operator="containsText" text="Ere">
      <formula>NOT(ISERROR(SEARCH("Ere",H61)))</formula>
    </cfRule>
    <cfRule type="containsText" dxfId="2030" priority="1869" operator="containsText" text="Ear">
      <formula>NOT(ISERROR(SEARCH("Ear",H61)))</formula>
    </cfRule>
    <cfRule type="containsText" dxfId="2029" priority="1870" operator="containsText" text="fnd">
      <formula>NOT(ISERROR(SEARCH("fnd",H61)))</formula>
    </cfRule>
  </conditionalFormatting>
  <conditionalFormatting sqref="H69">
    <cfRule type="containsText" dxfId="2028" priority="2219" operator="containsText" text="Str">
      <formula>NOT(ISERROR(SEARCH("Str",H69)))</formula>
    </cfRule>
    <cfRule type="containsText" dxfId="2027" priority="2220" operator="containsText" text="Ere">
      <formula>NOT(ISERROR(SEARCH("Ere",H69)))</formula>
    </cfRule>
    <cfRule type="containsText" dxfId="2026" priority="2221" operator="containsText" text="Ear">
      <formula>NOT(ISERROR(SEARCH("Ear",H69)))</formula>
    </cfRule>
    <cfRule type="containsText" dxfId="2025" priority="2222" operator="containsText" text="fnd">
      <formula>NOT(ISERROR(SEARCH("fnd",H69)))</formula>
    </cfRule>
  </conditionalFormatting>
  <conditionalFormatting sqref="H86 K86:L86 N86:O86">
    <cfRule type="containsText" dxfId="2024" priority="2303" operator="containsText" text="Str">
      <formula>NOT(ISERROR(SEARCH("Str",H86)))</formula>
    </cfRule>
    <cfRule type="containsText" dxfId="2023" priority="2304" operator="containsText" text="Ere">
      <formula>NOT(ISERROR(SEARCH("Ere",H86)))</formula>
    </cfRule>
    <cfRule type="containsText" dxfId="2022" priority="2305" operator="containsText" text="Ear">
      <formula>NOT(ISERROR(SEARCH("Ear",H86)))</formula>
    </cfRule>
    <cfRule type="containsText" dxfId="2021" priority="2306" operator="containsText" text="fnd">
      <formula>NOT(ISERROR(SEARCH("fnd",H86)))</formula>
    </cfRule>
  </conditionalFormatting>
  <conditionalFormatting sqref="H93">
    <cfRule type="containsText" dxfId="2020" priority="1971" operator="containsText" text="Str">
      <formula>NOT(ISERROR(SEARCH("Str",H93)))</formula>
    </cfRule>
    <cfRule type="containsText" dxfId="2019" priority="1972" operator="containsText" text="Ere">
      <formula>NOT(ISERROR(SEARCH("Ere",H93)))</formula>
    </cfRule>
    <cfRule type="containsText" dxfId="2018" priority="1973" operator="containsText" text="Ear">
      <formula>NOT(ISERROR(SEARCH("Ear",H93)))</formula>
    </cfRule>
    <cfRule type="containsText" dxfId="2017" priority="1974" operator="containsText" text="fnd">
      <formula>NOT(ISERROR(SEARCH("fnd",H93)))</formula>
    </cfRule>
  </conditionalFormatting>
  <conditionalFormatting sqref="H101">
    <cfRule type="containsText" dxfId="2016" priority="1507" operator="containsText" text="Str">
      <formula>NOT(ISERROR(SEARCH("Str",H101)))</formula>
    </cfRule>
    <cfRule type="containsText" dxfId="2015" priority="1508" operator="containsText" text="Ere">
      <formula>NOT(ISERROR(SEARCH("Ere",H101)))</formula>
    </cfRule>
    <cfRule type="containsText" dxfId="2014" priority="1509" operator="containsText" text="Ear">
      <formula>NOT(ISERROR(SEARCH("Ear",H101)))</formula>
    </cfRule>
    <cfRule type="containsText" dxfId="2013" priority="1510" operator="containsText" text="fnd">
      <formula>NOT(ISERROR(SEARCH("fnd",H101)))</formula>
    </cfRule>
  </conditionalFormatting>
  <conditionalFormatting sqref="H109">
    <cfRule type="containsText" dxfId="2012" priority="357" operator="containsText" text="Str">
      <formula>NOT(ISERROR(SEARCH("Str",H109)))</formula>
    </cfRule>
    <cfRule type="containsText" dxfId="2011" priority="358" operator="containsText" text="Ere">
      <formula>NOT(ISERROR(SEARCH("Ere",H109)))</formula>
    </cfRule>
    <cfRule type="containsText" dxfId="2010" priority="359" operator="containsText" text="Ear">
      <formula>NOT(ISERROR(SEARCH("Ear",H109)))</formula>
    </cfRule>
    <cfRule type="containsText" dxfId="2009" priority="360" operator="containsText" text="fnd">
      <formula>NOT(ISERROR(SEARCH("fnd",H109)))</formula>
    </cfRule>
  </conditionalFormatting>
  <conditionalFormatting sqref="H117">
    <cfRule type="containsText" dxfId="2008" priority="1451" operator="containsText" text="Str">
      <formula>NOT(ISERROR(SEARCH("Str",H117)))</formula>
    </cfRule>
    <cfRule type="containsText" dxfId="2007" priority="1452" operator="containsText" text="Ere">
      <formula>NOT(ISERROR(SEARCH("Ere",H117)))</formula>
    </cfRule>
    <cfRule type="containsText" dxfId="2006" priority="1453" operator="containsText" text="Ear">
      <formula>NOT(ISERROR(SEARCH("Ear",H117)))</formula>
    </cfRule>
    <cfRule type="containsText" dxfId="2005" priority="1454" operator="containsText" text="fnd">
      <formula>NOT(ISERROR(SEARCH("fnd",H117)))</formula>
    </cfRule>
  </conditionalFormatting>
  <conditionalFormatting sqref="H125">
    <cfRule type="containsText" dxfId="2004" priority="647" operator="containsText" text="Str">
      <formula>NOT(ISERROR(SEARCH("Str",H125)))</formula>
    </cfRule>
    <cfRule type="containsText" dxfId="2003" priority="648" operator="containsText" text="Ere">
      <formula>NOT(ISERROR(SEARCH("Ere",H125)))</formula>
    </cfRule>
    <cfRule type="containsText" dxfId="2002" priority="649" operator="containsText" text="Ear">
      <formula>NOT(ISERROR(SEARCH("Ear",H125)))</formula>
    </cfRule>
    <cfRule type="containsText" dxfId="2001" priority="650" operator="containsText" text="fnd">
      <formula>NOT(ISERROR(SEARCH("fnd",H125)))</formula>
    </cfRule>
  </conditionalFormatting>
  <conditionalFormatting sqref="H133">
    <cfRule type="containsText" dxfId="2000" priority="65" operator="containsText" text="Str">
      <formula>NOT(ISERROR(SEARCH("Str",H133)))</formula>
    </cfRule>
    <cfRule type="containsText" dxfId="1999" priority="66" operator="containsText" text="Ere">
      <formula>NOT(ISERROR(SEARCH("Ere",H133)))</formula>
    </cfRule>
    <cfRule type="containsText" dxfId="1998" priority="67" operator="containsText" text="Ear">
      <formula>NOT(ISERROR(SEARCH("Ear",H133)))</formula>
    </cfRule>
    <cfRule type="containsText" dxfId="1997" priority="68" operator="containsText" text="fnd">
      <formula>NOT(ISERROR(SEARCH("fnd",H133)))</formula>
    </cfRule>
  </conditionalFormatting>
  <conditionalFormatting sqref="H141">
    <cfRule type="containsText" dxfId="1996" priority="1311" operator="containsText" text="Str">
      <formula>NOT(ISERROR(SEARCH("Str",H141)))</formula>
    </cfRule>
    <cfRule type="containsText" dxfId="1995" priority="1312" operator="containsText" text="Ere">
      <formula>NOT(ISERROR(SEARCH("Ere",H141)))</formula>
    </cfRule>
    <cfRule type="containsText" dxfId="1994" priority="1313" operator="containsText" text="Ear">
      <formula>NOT(ISERROR(SEARCH("Ear",H141)))</formula>
    </cfRule>
    <cfRule type="containsText" dxfId="1993" priority="1314" operator="containsText" text="fnd">
      <formula>NOT(ISERROR(SEARCH("fnd",H141)))</formula>
    </cfRule>
  </conditionalFormatting>
  <conditionalFormatting sqref="H149">
    <cfRule type="containsText" dxfId="1992" priority="1223" operator="containsText" text="Str">
      <formula>NOT(ISERROR(SEARCH("Str",H149)))</formula>
    </cfRule>
    <cfRule type="containsText" dxfId="1991" priority="1224" operator="containsText" text="Ere">
      <formula>NOT(ISERROR(SEARCH("Ere",H149)))</formula>
    </cfRule>
    <cfRule type="containsText" dxfId="1990" priority="1225" operator="containsText" text="Ear">
      <formula>NOT(ISERROR(SEARCH("Ear",H149)))</formula>
    </cfRule>
    <cfRule type="containsText" dxfId="1989" priority="1226" operator="containsText" text="fnd">
      <formula>NOT(ISERROR(SEARCH("fnd",H149)))</formula>
    </cfRule>
  </conditionalFormatting>
  <conditionalFormatting sqref="H157">
    <cfRule type="containsText" dxfId="1988" priority="1167" operator="containsText" text="Str">
      <formula>NOT(ISERROR(SEARCH("Str",H157)))</formula>
    </cfRule>
    <cfRule type="containsText" dxfId="1987" priority="1168" operator="containsText" text="Ere">
      <formula>NOT(ISERROR(SEARCH("Ere",H157)))</formula>
    </cfRule>
    <cfRule type="containsText" dxfId="1986" priority="1169" operator="containsText" text="Ear">
      <formula>NOT(ISERROR(SEARCH("Ear",H157)))</formula>
    </cfRule>
    <cfRule type="containsText" dxfId="1985" priority="1170" operator="containsText" text="fnd">
      <formula>NOT(ISERROR(SEARCH("fnd",H157)))</formula>
    </cfRule>
  </conditionalFormatting>
  <conditionalFormatting sqref="H165">
    <cfRule type="containsText" dxfId="1984" priority="619" operator="containsText" text="Str">
      <formula>NOT(ISERROR(SEARCH("Str",H165)))</formula>
    </cfRule>
    <cfRule type="containsText" dxfId="1983" priority="620" operator="containsText" text="Ere">
      <formula>NOT(ISERROR(SEARCH("Ere",H165)))</formula>
    </cfRule>
    <cfRule type="containsText" dxfId="1982" priority="621" operator="containsText" text="Ear">
      <formula>NOT(ISERROR(SEARCH("Ear",H165)))</formula>
    </cfRule>
    <cfRule type="containsText" dxfId="1981" priority="622" operator="containsText" text="fnd">
      <formula>NOT(ISERROR(SEARCH("fnd",H165)))</formula>
    </cfRule>
  </conditionalFormatting>
  <conditionalFormatting sqref="H173">
    <cfRule type="containsText" dxfId="1980" priority="1035" operator="containsText" text="Str">
      <formula>NOT(ISERROR(SEARCH("Str",H173)))</formula>
    </cfRule>
    <cfRule type="containsText" dxfId="1979" priority="1036" operator="containsText" text="Ere">
      <formula>NOT(ISERROR(SEARCH("Ere",H173)))</formula>
    </cfRule>
    <cfRule type="containsText" dxfId="1978" priority="1037" operator="containsText" text="Ear">
      <formula>NOT(ISERROR(SEARCH("Ear",H173)))</formula>
    </cfRule>
    <cfRule type="containsText" dxfId="1977" priority="1038" operator="containsText" text="fnd">
      <formula>NOT(ISERROR(SEARCH("fnd",H173)))</formula>
    </cfRule>
  </conditionalFormatting>
  <conditionalFormatting sqref="H181">
    <cfRule type="containsText" dxfId="1976" priority="161" operator="containsText" text="Str">
      <formula>NOT(ISERROR(SEARCH("Str",H181)))</formula>
    </cfRule>
    <cfRule type="containsText" dxfId="1975" priority="162" operator="containsText" text="Ere">
      <formula>NOT(ISERROR(SEARCH("Ere",H181)))</formula>
    </cfRule>
    <cfRule type="containsText" dxfId="1974" priority="163" operator="containsText" text="Ear">
      <formula>NOT(ISERROR(SEARCH("Ear",H181)))</formula>
    </cfRule>
    <cfRule type="containsText" dxfId="1973" priority="164" operator="containsText" text="fnd">
      <formula>NOT(ISERROR(SEARCH("fnd",H181)))</formula>
    </cfRule>
  </conditionalFormatting>
  <conditionalFormatting sqref="H30:I30">
    <cfRule type="containsText" dxfId="1972" priority="659" operator="containsText" text="Str">
      <formula>NOT(ISERROR(SEARCH("Str",H30)))</formula>
    </cfRule>
    <cfRule type="containsText" dxfId="1971" priority="660" operator="containsText" text="Ere">
      <formula>NOT(ISERROR(SEARCH("Ere",H30)))</formula>
    </cfRule>
    <cfRule type="containsText" dxfId="1970" priority="661" operator="containsText" text="Ear">
      <formula>NOT(ISERROR(SEARCH("Ear",H30)))</formula>
    </cfRule>
    <cfRule type="containsText" dxfId="1969" priority="662" operator="containsText" text="fnd">
      <formula>NOT(ISERROR(SEARCH("fnd",H30)))</formula>
    </cfRule>
  </conditionalFormatting>
  <conditionalFormatting sqref="H46:I46">
    <cfRule type="containsText" dxfId="1968" priority="2335" operator="containsText" text="Str">
      <formula>NOT(ISERROR(SEARCH("Str",H46)))</formula>
    </cfRule>
    <cfRule type="containsText" dxfId="1967" priority="2336" operator="containsText" text="Ere">
      <formula>NOT(ISERROR(SEARCH("Ere",H46)))</formula>
    </cfRule>
    <cfRule type="containsText" dxfId="1966" priority="2337" operator="containsText" text="Ear">
      <formula>NOT(ISERROR(SEARCH("Ear",H46)))</formula>
    </cfRule>
    <cfRule type="containsText" dxfId="1965" priority="2338" operator="containsText" text="fnd">
      <formula>NOT(ISERROR(SEARCH("fnd",H46)))</formula>
    </cfRule>
  </conditionalFormatting>
  <conditionalFormatting sqref="H62:I62">
    <cfRule type="containsText" dxfId="1964" priority="1871" operator="containsText" text="Str">
      <formula>NOT(ISERROR(SEARCH("Str",H62)))</formula>
    </cfRule>
    <cfRule type="containsText" dxfId="1963" priority="1872" operator="containsText" text="Ere">
      <formula>NOT(ISERROR(SEARCH("Ere",H62)))</formula>
    </cfRule>
    <cfRule type="containsText" dxfId="1962" priority="1873" operator="containsText" text="Ear">
      <formula>NOT(ISERROR(SEARCH("Ear",H62)))</formula>
    </cfRule>
    <cfRule type="containsText" dxfId="1961" priority="1874" operator="containsText" text="fnd">
      <formula>NOT(ISERROR(SEARCH("fnd",H62)))</formula>
    </cfRule>
  </conditionalFormatting>
  <conditionalFormatting sqref="H94:I94">
    <cfRule type="containsText" dxfId="1960" priority="1975" operator="containsText" text="Str">
      <formula>NOT(ISERROR(SEARCH("Str",H94)))</formula>
    </cfRule>
    <cfRule type="containsText" dxfId="1959" priority="1976" operator="containsText" text="Ere">
      <formula>NOT(ISERROR(SEARCH("Ere",H94)))</formula>
    </cfRule>
    <cfRule type="containsText" dxfId="1958" priority="1977" operator="containsText" text="Ear">
      <formula>NOT(ISERROR(SEARCH("Ear",H94)))</formula>
    </cfRule>
    <cfRule type="containsText" dxfId="1957" priority="1978" operator="containsText" text="fnd">
      <formula>NOT(ISERROR(SEARCH("fnd",H94)))</formula>
    </cfRule>
  </conditionalFormatting>
  <conditionalFormatting sqref="H102:I102">
    <cfRule type="containsText" dxfId="1956" priority="1511" operator="containsText" text="Str">
      <formula>NOT(ISERROR(SEARCH("Str",H102)))</formula>
    </cfRule>
    <cfRule type="containsText" dxfId="1955" priority="1512" operator="containsText" text="Ere">
      <formula>NOT(ISERROR(SEARCH("Ere",H102)))</formula>
    </cfRule>
    <cfRule type="containsText" dxfId="1954" priority="1513" operator="containsText" text="Ear">
      <formula>NOT(ISERROR(SEARCH("Ear",H102)))</formula>
    </cfRule>
    <cfRule type="containsText" dxfId="1953" priority="1514" operator="containsText" text="fnd">
      <formula>NOT(ISERROR(SEARCH("fnd",H102)))</formula>
    </cfRule>
  </conditionalFormatting>
  <conditionalFormatting sqref="H110:I110">
    <cfRule type="containsText" dxfId="1952" priority="361" operator="containsText" text="Str">
      <formula>NOT(ISERROR(SEARCH("Str",H110)))</formula>
    </cfRule>
    <cfRule type="containsText" dxfId="1951" priority="362" operator="containsText" text="Ere">
      <formula>NOT(ISERROR(SEARCH("Ere",H110)))</formula>
    </cfRule>
    <cfRule type="containsText" dxfId="1950" priority="363" operator="containsText" text="Ear">
      <formula>NOT(ISERROR(SEARCH("Ear",H110)))</formula>
    </cfRule>
    <cfRule type="containsText" dxfId="1949" priority="364" operator="containsText" text="fnd">
      <formula>NOT(ISERROR(SEARCH("fnd",H110)))</formula>
    </cfRule>
  </conditionalFormatting>
  <conditionalFormatting sqref="H118:I118">
    <cfRule type="containsText" dxfId="1948" priority="1455" operator="containsText" text="Str">
      <formula>NOT(ISERROR(SEARCH("Str",H118)))</formula>
    </cfRule>
    <cfRule type="containsText" dxfId="1947" priority="1456" operator="containsText" text="Ere">
      <formula>NOT(ISERROR(SEARCH("Ere",H118)))</formula>
    </cfRule>
    <cfRule type="containsText" dxfId="1946" priority="1457" operator="containsText" text="Ear">
      <formula>NOT(ISERROR(SEARCH("Ear",H118)))</formula>
    </cfRule>
    <cfRule type="containsText" dxfId="1945" priority="1458" operator="containsText" text="fnd">
      <formula>NOT(ISERROR(SEARCH("fnd",H118)))</formula>
    </cfRule>
  </conditionalFormatting>
  <conditionalFormatting sqref="H126:I126">
    <cfRule type="containsText" dxfId="1944" priority="651" operator="containsText" text="Str">
      <formula>NOT(ISERROR(SEARCH("Str",H126)))</formula>
    </cfRule>
    <cfRule type="containsText" dxfId="1943" priority="652" operator="containsText" text="Ere">
      <formula>NOT(ISERROR(SEARCH("Ere",H126)))</formula>
    </cfRule>
    <cfRule type="containsText" dxfId="1942" priority="653" operator="containsText" text="Ear">
      <formula>NOT(ISERROR(SEARCH("Ear",H126)))</formula>
    </cfRule>
    <cfRule type="containsText" dxfId="1941" priority="654" operator="containsText" text="fnd">
      <formula>NOT(ISERROR(SEARCH("fnd",H126)))</formula>
    </cfRule>
  </conditionalFormatting>
  <conditionalFormatting sqref="H134:I134">
    <cfRule type="containsText" dxfId="1940" priority="69" operator="containsText" text="Str">
      <formula>NOT(ISERROR(SEARCH("Str",H134)))</formula>
    </cfRule>
    <cfRule type="containsText" dxfId="1939" priority="70" operator="containsText" text="Ere">
      <formula>NOT(ISERROR(SEARCH("Ere",H134)))</formula>
    </cfRule>
    <cfRule type="containsText" dxfId="1938" priority="71" operator="containsText" text="Ear">
      <formula>NOT(ISERROR(SEARCH("Ear",H134)))</formula>
    </cfRule>
    <cfRule type="containsText" dxfId="1937" priority="72" operator="containsText" text="fnd">
      <formula>NOT(ISERROR(SEARCH("fnd",H134)))</formula>
    </cfRule>
  </conditionalFormatting>
  <conditionalFormatting sqref="H142:I142">
    <cfRule type="containsText" dxfId="1936" priority="1315" operator="containsText" text="Str">
      <formula>NOT(ISERROR(SEARCH("Str",H142)))</formula>
    </cfRule>
    <cfRule type="containsText" dxfId="1935" priority="1316" operator="containsText" text="Ere">
      <formula>NOT(ISERROR(SEARCH("Ere",H142)))</formula>
    </cfRule>
    <cfRule type="containsText" dxfId="1934" priority="1317" operator="containsText" text="Ear">
      <formula>NOT(ISERROR(SEARCH("Ear",H142)))</formula>
    </cfRule>
    <cfRule type="containsText" dxfId="1933" priority="1318" operator="containsText" text="fnd">
      <formula>NOT(ISERROR(SEARCH("fnd",H142)))</formula>
    </cfRule>
  </conditionalFormatting>
  <conditionalFormatting sqref="H150:I150">
    <cfRule type="containsText" dxfId="1932" priority="1227" operator="containsText" text="Str">
      <formula>NOT(ISERROR(SEARCH("Str",H150)))</formula>
    </cfRule>
    <cfRule type="containsText" dxfId="1931" priority="1228" operator="containsText" text="Ere">
      <formula>NOT(ISERROR(SEARCH("Ere",H150)))</formula>
    </cfRule>
    <cfRule type="containsText" dxfId="1930" priority="1229" operator="containsText" text="Ear">
      <formula>NOT(ISERROR(SEARCH("Ear",H150)))</formula>
    </cfRule>
    <cfRule type="containsText" dxfId="1929" priority="1230" operator="containsText" text="fnd">
      <formula>NOT(ISERROR(SEARCH("fnd",H150)))</formula>
    </cfRule>
  </conditionalFormatting>
  <conditionalFormatting sqref="H158:I158">
    <cfRule type="containsText" dxfId="1928" priority="1171" operator="containsText" text="Str">
      <formula>NOT(ISERROR(SEARCH("Str",H158)))</formula>
    </cfRule>
    <cfRule type="containsText" dxfId="1927" priority="1172" operator="containsText" text="Ere">
      <formula>NOT(ISERROR(SEARCH("Ere",H158)))</formula>
    </cfRule>
    <cfRule type="containsText" dxfId="1926" priority="1173" operator="containsText" text="Ear">
      <formula>NOT(ISERROR(SEARCH("Ear",H158)))</formula>
    </cfRule>
    <cfRule type="containsText" dxfId="1925" priority="1174" operator="containsText" text="fnd">
      <formula>NOT(ISERROR(SEARCH("fnd",H158)))</formula>
    </cfRule>
  </conditionalFormatting>
  <conditionalFormatting sqref="H166:I166">
    <cfRule type="containsText" dxfId="1924" priority="623" operator="containsText" text="Str">
      <formula>NOT(ISERROR(SEARCH("Str",H166)))</formula>
    </cfRule>
    <cfRule type="containsText" dxfId="1923" priority="624" operator="containsText" text="Ere">
      <formula>NOT(ISERROR(SEARCH("Ere",H166)))</formula>
    </cfRule>
    <cfRule type="containsText" dxfId="1922" priority="625" operator="containsText" text="Ear">
      <formula>NOT(ISERROR(SEARCH("Ear",H166)))</formula>
    </cfRule>
    <cfRule type="containsText" dxfId="1921" priority="626" operator="containsText" text="fnd">
      <formula>NOT(ISERROR(SEARCH("fnd",H166)))</formula>
    </cfRule>
  </conditionalFormatting>
  <conditionalFormatting sqref="H182:I182">
    <cfRule type="containsText" dxfId="1920" priority="165" operator="containsText" text="Str">
      <formula>NOT(ISERROR(SEARCH("Str",H182)))</formula>
    </cfRule>
    <cfRule type="containsText" dxfId="1919" priority="166" operator="containsText" text="Ere">
      <formula>NOT(ISERROR(SEARCH("Ere",H182)))</formula>
    </cfRule>
    <cfRule type="containsText" dxfId="1918" priority="167" operator="containsText" text="Ear">
      <formula>NOT(ISERROR(SEARCH("Ear",H182)))</formula>
    </cfRule>
    <cfRule type="containsText" dxfId="1917" priority="168" operator="containsText" text="fnd">
      <formula>NOT(ISERROR(SEARCH("fnd",H182)))</formula>
    </cfRule>
  </conditionalFormatting>
  <conditionalFormatting sqref="I6">
    <cfRule type="containsText" dxfId="1916" priority="245" operator="containsText" text="Str">
      <formula>NOT(ISERROR(SEARCH("Str",I6)))</formula>
    </cfRule>
    <cfRule type="containsText" dxfId="1915" priority="246" operator="containsText" text="Ere">
      <formula>NOT(ISERROR(SEARCH("Ere",I6)))</formula>
    </cfRule>
    <cfRule type="containsText" dxfId="1914" priority="247" operator="containsText" text="Ear">
      <formula>NOT(ISERROR(SEARCH("Ear",I6)))</formula>
    </cfRule>
    <cfRule type="containsText" dxfId="1913" priority="248" operator="containsText" text="fnd">
      <formula>NOT(ISERROR(SEARCH("fnd",I6)))</formula>
    </cfRule>
  </conditionalFormatting>
  <conditionalFormatting sqref="I14">
    <cfRule type="containsText" dxfId="1912" priority="1675" operator="containsText" text="Str">
      <formula>NOT(ISERROR(SEARCH("Str",I14)))</formula>
    </cfRule>
    <cfRule type="containsText" dxfId="1911" priority="1676" operator="containsText" text="Ere">
      <formula>NOT(ISERROR(SEARCH("Ere",I14)))</formula>
    </cfRule>
    <cfRule type="containsText" dxfId="1910" priority="1677" operator="containsText" text="Ear">
      <formula>NOT(ISERROR(SEARCH("Ear",I14)))</formula>
    </cfRule>
    <cfRule type="containsText" dxfId="1909" priority="1678" operator="containsText" text="fnd">
      <formula>NOT(ISERROR(SEARCH("fnd",I14)))</formula>
    </cfRule>
  </conditionalFormatting>
  <conditionalFormatting sqref="I22">
    <cfRule type="containsText" dxfId="1908" priority="1895" operator="containsText" text="Str">
      <formula>NOT(ISERROR(SEARCH("Str",I22)))</formula>
    </cfRule>
    <cfRule type="containsText" dxfId="1907" priority="1896" operator="containsText" text="Ere">
      <formula>NOT(ISERROR(SEARCH("Ere",I22)))</formula>
    </cfRule>
    <cfRule type="containsText" dxfId="1906" priority="1897" operator="containsText" text="Ear">
      <formula>NOT(ISERROR(SEARCH("Ear",I22)))</formula>
    </cfRule>
    <cfRule type="containsText" dxfId="1905" priority="1898" operator="containsText" text="fnd">
      <formula>NOT(ISERROR(SEARCH("fnd",I22)))</formula>
    </cfRule>
  </conditionalFormatting>
  <conditionalFormatting sqref="I38">
    <cfRule type="containsText" dxfId="1904" priority="915" operator="containsText" text="Str">
      <formula>NOT(ISERROR(SEARCH("Str",I38)))</formula>
    </cfRule>
    <cfRule type="containsText" dxfId="1903" priority="916" operator="containsText" text="Ere">
      <formula>NOT(ISERROR(SEARCH("Ere",I38)))</formula>
    </cfRule>
    <cfRule type="containsText" dxfId="1902" priority="917" operator="containsText" text="Ear">
      <formula>NOT(ISERROR(SEARCH("Ear",I38)))</formula>
    </cfRule>
    <cfRule type="containsText" dxfId="1901" priority="918" operator="containsText" text="fnd">
      <formula>NOT(ISERROR(SEARCH("fnd",I38)))</formula>
    </cfRule>
  </conditionalFormatting>
  <conditionalFormatting sqref="I54">
    <cfRule type="containsText" dxfId="1900" priority="2103" operator="containsText" text="Str">
      <formula>NOT(ISERROR(SEARCH("Str",I54)))</formula>
    </cfRule>
    <cfRule type="containsText" dxfId="1899" priority="2104" operator="containsText" text="Ere">
      <formula>NOT(ISERROR(SEARCH("Ere",I54)))</formula>
    </cfRule>
    <cfRule type="containsText" dxfId="1898" priority="2105" operator="containsText" text="Ear">
      <formula>NOT(ISERROR(SEARCH("Ear",I54)))</formula>
    </cfRule>
    <cfRule type="containsText" dxfId="1897" priority="2106" operator="containsText" text="fnd">
      <formula>NOT(ISERROR(SEARCH("fnd",I54)))</formula>
    </cfRule>
  </conditionalFormatting>
  <conditionalFormatting sqref="I78">
    <cfRule type="containsText" dxfId="1896" priority="1967" operator="containsText" text="Str">
      <formula>NOT(ISERROR(SEARCH("Str",I78)))</formula>
    </cfRule>
    <cfRule type="containsText" dxfId="1895" priority="1968" operator="containsText" text="Ere">
      <formula>NOT(ISERROR(SEARCH("Ere",I78)))</formula>
    </cfRule>
    <cfRule type="containsText" dxfId="1894" priority="1969" operator="containsText" text="Ear">
      <formula>NOT(ISERROR(SEARCH("Ear",I78)))</formula>
    </cfRule>
    <cfRule type="containsText" dxfId="1893" priority="1970" operator="containsText" text="fnd">
      <formula>NOT(ISERROR(SEARCH("fnd",I78)))</formula>
    </cfRule>
  </conditionalFormatting>
  <conditionalFormatting sqref="I216:I217">
    <cfRule type="containsText" dxfId="1892" priority="33" operator="containsText" text="Str">
      <formula>NOT(ISERROR(SEARCH("Str",I216)))</formula>
    </cfRule>
    <cfRule type="containsText" dxfId="1891" priority="34" operator="containsText" text="Ere">
      <formula>NOT(ISERROR(SEARCH("Ere",I216)))</formula>
    </cfRule>
    <cfRule type="containsText" dxfId="1890" priority="35" operator="containsText" text="Ear">
      <formula>NOT(ISERROR(SEARCH("Ear",I216)))</formula>
    </cfRule>
    <cfRule type="containsText" dxfId="1889" priority="36" operator="containsText" text="fnd">
      <formula>NOT(ISERROR(SEARCH("fnd",I216)))</formula>
    </cfRule>
  </conditionalFormatting>
  <conditionalFormatting sqref="J217:N217">
    <cfRule type="containsText" dxfId="1888" priority="29" operator="containsText" text="Str">
      <formula>NOT(ISERROR(SEARCH("Str",J217)))</formula>
    </cfRule>
    <cfRule type="containsText" dxfId="1887" priority="30" operator="containsText" text="Ere">
      <formula>NOT(ISERROR(SEARCH("Ere",J217)))</formula>
    </cfRule>
    <cfRule type="containsText" dxfId="1886" priority="31" operator="containsText" text="Ear">
      <formula>NOT(ISERROR(SEARCH("Ear",J217)))</formula>
    </cfRule>
    <cfRule type="containsText" dxfId="1885" priority="32" operator="containsText" text="fnd">
      <formula>NOT(ISERROR(SEARCH("fnd",J217)))</formula>
    </cfRule>
  </conditionalFormatting>
  <conditionalFormatting sqref="K5:K6">
    <cfRule type="containsText" dxfId="1884" priority="241" operator="containsText" text="Str">
      <formula>NOT(ISERROR(SEARCH("Str",K5)))</formula>
    </cfRule>
    <cfRule type="containsText" dxfId="1883" priority="242" operator="containsText" text="Ere">
      <formula>NOT(ISERROR(SEARCH("Ere",K5)))</formula>
    </cfRule>
    <cfRule type="containsText" dxfId="1882" priority="243" operator="containsText" text="Ear">
      <formula>NOT(ISERROR(SEARCH("Ear",K5)))</formula>
    </cfRule>
    <cfRule type="containsText" dxfId="1881" priority="244" operator="containsText" text="fnd">
      <formula>NOT(ISERROR(SEARCH("fnd",K5)))</formula>
    </cfRule>
  </conditionalFormatting>
  <conditionalFormatting sqref="K13:K14">
    <cfRule type="containsText" dxfId="1880" priority="1723" operator="containsText" text="Str">
      <formula>NOT(ISERROR(SEARCH("Str",K13)))</formula>
    </cfRule>
    <cfRule type="containsText" dxfId="1879" priority="1724" operator="containsText" text="Ere">
      <formula>NOT(ISERROR(SEARCH("Ere",K13)))</formula>
    </cfRule>
    <cfRule type="containsText" dxfId="1878" priority="1725" operator="containsText" text="Ear">
      <formula>NOT(ISERROR(SEARCH("Ear",K13)))</formula>
    </cfRule>
    <cfRule type="containsText" dxfId="1877" priority="1726" operator="containsText" text="fnd">
      <formula>NOT(ISERROR(SEARCH("fnd",K13)))</formula>
    </cfRule>
  </conditionalFormatting>
  <conditionalFormatting sqref="K21:K22">
    <cfRule type="containsText" dxfId="1876" priority="1863" operator="containsText" text="Str">
      <formula>NOT(ISERROR(SEARCH("Str",K21)))</formula>
    </cfRule>
    <cfRule type="containsText" dxfId="1875" priority="1864" operator="containsText" text="Ere">
      <formula>NOT(ISERROR(SEARCH("Ere",K21)))</formula>
    </cfRule>
    <cfRule type="containsText" dxfId="1874" priority="1865" operator="containsText" text="Ear">
      <formula>NOT(ISERROR(SEARCH("Ear",K21)))</formula>
    </cfRule>
    <cfRule type="containsText" dxfId="1873" priority="1866" operator="containsText" text="fnd">
      <formula>NOT(ISERROR(SEARCH("fnd",K21)))</formula>
    </cfRule>
  </conditionalFormatting>
  <conditionalFormatting sqref="K29">
    <cfRule type="containsText" dxfId="1872" priority="1559" operator="containsText" text="Str">
      <formula>NOT(ISERROR(SEARCH("Str",K29)))</formula>
    </cfRule>
    <cfRule type="containsText" dxfId="1871" priority="1560" operator="containsText" text="Ere">
      <formula>NOT(ISERROR(SEARCH("Ere",K29)))</formula>
    </cfRule>
    <cfRule type="containsText" dxfId="1870" priority="1561" operator="containsText" text="Ear">
      <formula>NOT(ISERROR(SEARCH("Ear",K29)))</formula>
    </cfRule>
    <cfRule type="containsText" dxfId="1869" priority="1562" operator="containsText" text="fnd">
      <formula>NOT(ISERROR(SEARCH("fnd",K29)))</formula>
    </cfRule>
  </conditionalFormatting>
  <conditionalFormatting sqref="K37:K38">
    <cfRule type="containsText" dxfId="1868" priority="911" operator="containsText" text="Str">
      <formula>NOT(ISERROR(SEARCH("Str",K37)))</formula>
    </cfRule>
    <cfRule type="containsText" dxfId="1867" priority="912" operator="containsText" text="Ere">
      <formula>NOT(ISERROR(SEARCH("Ere",K37)))</formula>
    </cfRule>
    <cfRule type="containsText" dxfId="1866" priority="913" operator="containsText" text="Ear">
      <formula>NOT(ISERROR(SEARCH("Ear",K37)))</formula>
    </cfRule>
    <cfRule type="containsText" dxfId="1865" priority="914" operator="containsText" text="fnd">
      <formula>NOT(ISERROR(SEARCH("fnd",K37)))</formula>
    </cfRule>
  </conditionalFormatting>
  <conditionalFormatting sqref="K45:K46">
    <cfRule type="containsText" dxfId="1864" priority="2107" operator="containsText" text="Str">
      <formula>NOT(ISERROR(SEARCH("Str",K45)))</formula>
    </cfRule>
    <cfRule type="containsText" dxfId="1863" priority="2108" operator="containsText" text="Ere">
      <formula>NOT(ISERROR(SEARCH("Ere",K45)))</formula>
    </cfRule>
    <cfRule type="containsText" dxfId="1862" priority="2109" operator="containsText" text="Ear">
      <formula>NOT(ISERROR(SEARCH("Ear",K45)))</formula>
    </cfRule>
    <cfRule type="containsText" dxfId="1861" priority="2110" operator="containsText" text="fnd">
      <formula>NOT(ISERROR(SEARCH("fnd",K45)))</formula>
    </cfRule>
  </conditionalFormatting>
  <conditionalFormatting sqref="K61">
    <cfRule type="containsText" dxfId="1860" priority="1819" operator="containsText" text="Str">
      <formula>NOT(ISERROR(SEARCH("Str",K61)))</formula>
    </cfRule>
    <cfRule type="containsText" dxfId="1859" priority="1820" operator="containsText" text="Ere">
      <formula>NOT(ISERROR(SEARCH("Ere",K61)))</formula>
    </cfRule>
    <cfRule type="containsText" dxfId="1858" priority="1821" operator="containsText" text="Ear">
      <formula>NOT(ISERROR(SEARCH("Ear",K61)))</formula>
    </cfRule>
    <cfRule type="containsText" dxfId="1857" priority="1822" operator="containsText" text="fnd">
      <formula>NOT(ISERROR(SEARCH("fnd",K61)))</formula>
    </cfRule>
  </conditionalFormatting>
  <conditionalFormatting sqref="K77 AF77:AF78">
    <cfRule type="containsText" dxfId="1856" priority="2307" operator="containsText" text="Str">
      <formula>NOT(ISERROR(SEARCH("Str",K77)))</formula>
    </cfRule>
    <cfRule type="containsText" dxfId="1855" priority="2308" operator="containsText" text="Ere">
      <formula>NOT(ISERROR(SEARCH("Ere",K77)))</formula>
    </cfRule>
    <cfRule type="containsText" dxfId="1854" priority="2309" operator="containsText" text="Ear">
      <formula>NOT(ISERROR(SEARCH("Ear",K77)))</formula>
    </cfRule>
    <cfRule type="containsText" dxfId="1853" priority="2310" operator="containsText" text="fnd">
      <formula>NOT(ISERROR(SEARCH("fnd",K77)))</formula>
    </cfRule>
  </conditionalFormatting>
  <conditionalFormatting sqref="K85 N85">
    <cfRule type="containsText" dxfId="1852" priority="2299" operator="containsText" text="Str">
      <formula>NOT(ISERROR(SEARCH("Str",K85)))</formula>
    </cfRule>
    <cfRule type="containsText" dxfId="1851" priority="2300" operator="containsText" text="Ere">
      <formula>NOT(ISERROR(SEARCH("Ere",K85)))</formula>
    </cfRule>
    <cfRule type="containsText" dxfId="1850" priority="2301" operator="containsText" text="Ear">
      <formula>NOT(ISERROR(SEARCH("Ear",K85)))</formula>
    </cfRule>
    <cfRule type="containsText" dxfId="1849" priority="2302" operator="containsText" text="fnd">
      <formula>NOT(ISERROR(SEARCH("fnd",K85)))</formula>
    </cfRule>
  </conditionalFormatting>
  <conditionalFormatting sqref="K93">
    <cfRule type="containsText" dxfId="1848" priority="2263" operator="containsText" text="Str">
      <formula>NOT(ISERROR(SEARCH("Str",K93)))</formula>
    </cfRule>
    <cfRule type="containsText" dxfId="1847" priority="2264" operator="containsText" text="Ere">
      <formula>NOT(ISERROR(SEARCH("Ere",K93)))</formula>
    </cfRule>
    <cfRule type="containsText" dxfId="1846" priority="2265" operator="containsText" text="Ear">
      <formula>NOT(ISERROR(SEARCH("Ear",K93)))</formula>
    </cfRule>
    <cfRule type="containsText" dxfId="1845" priority="2266" operator="containsText" text="fnd">
      <formula>NOT(ISERROR(SEARCH("fnd",K93)))</formula>
    </cfRule>
  </conditionalFormatting>
  <conditionalFormatting sqref="K101">
    <cfRule type="containsText" dxfId="1844" priority="1499" operator="containsText" text="Str">
      <formula>NOT(ISERROR(SEARCH("Str",K101)))</formula>
    </cfRule>
    <cfRule type="containsText" dxfId="1843" priority="1500" operator="containsText" text="Ere">
      <formula>NOT(ISERROR(SEARCH("Ere",K101)))</formula>
    </cfRule>
    <cfRule type="containsText" dxfId="1842" priority="1501" operator="containsText" text="Ear">
      <formula>NOT(ISERROR(SEARCH("Ear",K101)))</formula>
    </cfRule>
    <cfRule type="containsText" dxfId="1841" priority="1502" operator="containsText" text="fnd">
      <formula>NOT(ISERROR(SEARCH("fnd",K101)))</formula>
    </cfRule>
  </conditionalFormatting>
  <conditionalFormatting sqref="K109">
    <cfRule type="containsText" dxfId="1840" priority="1843" operator="containsText" text="Str">
      <formula>NOT(ISERROR(SEARCH("Str",K109)))</formula>
    </cfRule>
    <cfRule type="containsText" dxfId="1839" priority="1844" operator="containsText" text="Ere">
      <formula>NOT(ISERROR(SEARCH("Ere",K109)))</formula>
    </cfRule>
    <cfRule type="containsText" dxfId="1838" priority="1845" operator="containsText" text="Ear">
      <formula>NOT(ISERROR(SEARCH("Ear",K109)))</formula>
    </cfRule>
    <cfRule type="containsText" dxfId="1837" priority="1846" operator="containsText" text="fnd">
      <formula>NOT(ISERROR(SEARCH("fnd",K109)))</formula>
    </cfRule>
  </conditionalFormatting>
  <conditionalFormatting sqref="K117">
    <cfRule type="containsText" dxfId="1836" priority="1443" operator="containsText" text="Str">
      <formula>NOT(ISERROR(SEARCH("Str",K117)))</formula>
    </cfRule>
    <cfRule type="containsText" dxfId="1835" priority="1444" operator="containsText" text="Ere">
      <formula>NOT(ISERROR(SEARCH("Ere",K117)))</formula>
    </cfRule>
    <cfRule type="containsText" dxfId="1834" priority="1445" operator="containsText" text="Ear">
      <formula>NOT(ISERROR(SEARCH("Ear",K117)))</formula>
    </cfRule>
    <cfRule type="containsText" dxfId="1833" priority="1446" operator="containsText" text="fnd">
      <formula>NOT(ISERROR(SEARCH("fnd",K117)))</formula>
    </cfRule>
  </conditionalFormatting>
  <conditionalFormatting sqref="K122 K130 K138 K162 K170 K178">
    <cfRule type="containsText" dxfId="1832" priority="2071" operator="containsText" text="Str">
      <formula>NOT(ISERROR(SEARCH("Str",K122)))</formula>
    </cfRule>
    <cfRule type="containsText" dxfId="1831" priority="2072" operator="containsText" text="Ere">
      <formula>NOT(ISERROR(SEARCH("Ere",K122)))</formula>
    </cfRule>
    <cfRule type="containsText" dxfId="1830" priority="2073" operator="containsText" text="Ear">
      <formula>NOT(ISERROR(SEARCH("Ear",K122)))</formula>
    </cfRule>
    <cfRule type="containsText" dxfId="1829" priority="2074" operator="containsText" text="fnd">
      <formula>NOT(ISERROR(SEARCH("fnd",K122)))</formula>
    </cfRule>
  </conditionalFormatting>
  <conditionalFormatting sqref="K125">
    <cfRule type="containsText" dxfId="1828" priority="723" operator="containsText" text="Str">
      <formula>NOT(ISERROR(SEARCH("Str",K125)))</formula>
    </cfRule>
    <cfRule type="containsText" dxfId="1827" priority="724" operator="containsText" text="Ere">
      <formula>NOT(ISERROR(SEARCH("Ere",K125)))</formula>
    </cfRule>
    <cfRule type="containsText" dxfId="1826" priority="725" operator="containsText" text="Ear">
      <formula>NOT(ISERROR(SEARCH("Ear",K125)))</formula>
    </cfRule>
    <cfRule type="containsText" dxfId="1825" priority="726" operator="containsText" text="fnd">
      <formula>NOT(ISERROR(SEARCH("fnd",K125)))</formula>
    </cfRule>
  </conditionalFormatting>
  <conditionalFormatting sqref="K133">
    <cfRule type="containsText" dxfId="1824" priority="61" operator="containsText" text="Ear">
      <formula>NOT(ISERROR(SEARCH("Ear",K133)))</formula>
    </cfRule>
    <cfRule type="containsText" dxfId="1823" priority="61" operator="containsText" text="Str">
      <formula>NOT(ISERROR(SEARCH("Str",K133)))</formula>
    </cfRule>
    <cfRule type="containsText" dxfId="1822" priority="61" operator="containsText" text="fnd">
      <formula>NOT(ISERROR(SEARCH("fnd",K133)))</formula>
    </cfRule>
    <cfRule type="containsText" dxfId="1821" priority="61" operator="containsText" text="Ere">
      <formula>NOT(ISERROR(SEARCH("Ere",K133)))</formula>
    </cfRule>
  </conditionalFormatting>
  <conditionalFormatting sqref="K141">
    <cfRule type="containsText" dxfId="1820" priority="1303" operator="containsText" text="Str">
      <formula>NOT(ISERROR(SEARCH("Str",K141)))</formula>
    </cfRule>
    <cfRule type="containsText" dxfId="1819" priority="1304" operator="containsText" text="Ere">
      <formula>NOT(ISERROR(SEARCH("Ere",K141)))</formula>
    </cfRule>
    <cfRule type="containsText" dxfId="1818" priority="1305" operator="containsText" text="Ear">
      <formula>NOT(ISERROR(SEARCH("Ear",K141)))</formula>
    </cfRule>
    <cfRule type="containsText" dxfId="1817" priority="1306" operator="containsText" text="fnd">
      <formula>NOT(ISERROR(SEARCH("fnd",K141)))</formula>
    </cfRule>
  </conditionalFormatting>
  <conditionalFormatting sqref="K149">
    <cfRule type="containsText" dxfId="1816" priority="1215" operator="containsText" text="Str">
      <formula>NOT(ISERROR(SEARCH("Str",K149)))</formula>
    </cfRule>
    <cfRule type="containsText" dxfId="1815" priority="1216" operator="containsText" text="Ere">
      <formula>NOT(ISERROR(SEARCH("Ere",K149)))</formula>
    </cfRule>
    <cfRule type="containsText" dxfId="1814" priority="1217" operator="containsText" text="Ear">
      <formula>NOT(ISERROR(SEARCH("Ear",K149)))</formula>
    </cfRule>
    <cfRule type="containsText" dxfId="1813" priority="1218" operator="containsText" text="fnd">
      <formula>NOT(ISERROR(SEARCH("fnd",K149)))</formula>
    </cfRule>
  </conditionalFormatting>
  <conditionalFormatting sqref="K157">
    <cfRule type="containsText" dxfId="1812" priority="1159" operator="containsText" text="Str">
      <formula>NOT(ISERROR(SEARCH("Str",K157)))</formula>
    </cfRule>
    <cfRule type="containsText" dxfId="1811" priority="1160" operator="containsText" text="Ere">
      <formula>NOT(ISERROR(SEARCH("Ere",K157)))</formula>
    </cfRule>
    <cfRule type="containsText" dxfId="1810" priority="1161" operator="containsText" text="Ear">
      <formula>NOT(ISERROR(SEARCH("Ear",K157)))</formula>
    </cfRule>
    <cfRule type="containsText" dxfId="1809" priority="1162" operator="containsText" text="fnd">
      <formula>NOT(ISERROR(SEARCH("fnd",K157)))</formula>
    </cfRule>
  </conditionalFormatting>
  <conditionalFormatting sqref="K165">
    <cfRule type="containsText" dxfId="1808" priority="385" operator="containsText" text="Str">
      <formula>NOT(ISERROR(SEARCH("Str",K165)))</formula>
    </cfRule>
    <cfRule type="containsText" dxfId="1807" priority="386" operator="containsText" text="Ere">
      <formula>NOT(ISERROR(SEARCH("Ere",K165)))</formula>
    </cfRule>
    <cfRule type="containsText" dxfId="1806" priority="387" operator="containsText" text="Ear">
      <formula>NOT(ISERROR(SEARCH("Ear",K165)))</formula>
    </cfRule>
    <cfRule type="containsText" dxfId="1805" priority="388" operator="containsText" text="fnd">
      <formula>NOT(ISERROR(SEARCH("fnd",K165)))</formula>
    </cfRule>
  </conditionalFormatting>
  <conditionalFormatting sqref="K173">
    <cfRule type="containsText" dxfId="1804" priority="557" operator="containsText" text="Str">
      <formula>NOT(ISERROR(SEARCH("Str",K173)))</formula>
    </cfRule>
    <cfRule type="containsText" dxfId="1803" priority="558" operator="containsText" text="Ere">
      <formula>NOT(ISERROR(SEARCH("Ere",K173)))</formula>
    </cfRule>
    <cfRule type="containsText" dxfId="1802" priority="559" operator="containsText" text="Ear">
      <formula>NOT(ISERROR(SEARCH("Ear",K173)))</formula>
    </cfRule>
    <cfRule type="containsText" dxfId="1801" priority="560" operator="containsText" text="fnd">
      <formula>NOT(ISERROR(SEARCH("fnd",K173)))</formula>
    </cfRule>
  </conditionalFormatting>
  <conditionalFormatting sqref="K181">
    <cfRule type="containsText" dxfId="1800" priority="153" operator="containsText" text="Str">
      <formula>NOT(ISERROR(SEARCH("Str",K181)))</formula>
    </cfRule>
    <cfRule type="containsText" dxfId="1799" priority="154" operator="containsText" text="Ere">
      <formula>NOT(ISERROR(SEARCH("Ere",K181)))</formula>
    </cfRule>
    <cfRule type="containsText" dxfId="1798" priority="155" operator="containsText" text="Ear">
      <formula>NOT(ISERROR(SEARCH("Ear",K181)))</formula>
    </cfRule>
    <cfRule type="containsText" dxfId="1797" priority="156" operator="containsText" text="fnd">
      <formula>NOT(ISERROR(SEARCH("fnd",K181)))</formula>
    </cfRule>
  </conditionalFormatting>
  <conditionalFormatting sqref="K207:K208">
    <cfRule type="containsText" dxfId="1796" priority="2151" operator="containsText" text="Str">
      <formula>NOT(ISERROR(SEARCH("Str",K207)))</formula>
    </cfRule>
    <cfRule type="containsText" dxfId="1795" priority="2152" operator="containsText" text="Ere">
      <formula>NOT(ISERROR(SEARCH("Ere",K207)))</formula>
    </cfRule>
    <cfRule type="containsText" dxfId="1794" priority="2153" operator="containsText" text="Ear">
      <formula>NOT(ISERROR(SEARCH("Ear",K207)))</formula>
    </cfRule>
    <cfRule type="containsText" dxfId="1793" priority="2154" operator="containsText" text="fnd">
      <formula>NOT(ISERROR(SEARCH("fnd",K207)))</formula>
    </cfRule>
  </conditionalFormatting>
  <conditionalFormatting sqref="K30:L30">
    <cfRule type="containsText" dxfId="1792" priority="1563" operator="containsText" text="Str">
      <formula>NOT(ISERROR(SEARCH("Str",K30)))</formula>
    </cfRule>
    <cfRule type="containsText" dxfId="1791" priority="1564" operator="containsText" text="Ere">
      <formula>NOT(ISERROR(SEARCH("Ere",K30)))</formula>
    </cfRule>
    <cfRule type="containsText" dxfId="1790" priority="1565" operator="containsText" text="Ear">
      <formula>NOT(ISERROR(SEARCH("Ear",K30)))</formula>
    </cfRule>
    <cfRule type="containsText" dxfId="1789" priority="1566" operator="containsText" text="fnd">
      <formula>NOT(ISERROR(SEARCH("fnd",K30)))</formula>
    </cfRule>
  </conditionalFormatting>
  <conditionalFormatting sqref="K54:L54">
    <cfRule type="containsText" dxfId="1788" priority="2355" operator="containsText" text="Str">
      <formula>NOT(ISERROR(SEARCH("Str",K54)))</formula>
    </cfRule>
    <cfRule type="containsText" dxfId="1787" priority="2356" operator="containsText" text="Ere">
      <formula>NOT(ISERROR(SEARCH("Ere",K54)))</formula>
    </cfRule>
    <cfRule type="containsText" dxfId="1786" priority="2357" operator="containsText" text="Ear">
      <formula>NOT(ISERROR(SEARCH("Ear",K54)))</formula>
    </cfRule>
    <cfRule type="containsText" dxfId="1785" priority="2358" operator="containsText" text="fnd">
      <formula>NOT(ISERROR(SEARCH("fnd",K54)))</formula>
    </cfRule>
  </conditionalFormatting>
  <conditionalFormatting sqref="K62:L62">
    <cfRule type="containsText" dxfId="1784" priority="1823" operator="containsText" text="Str">
      <formula>NOT(ISERROR(SEARCH("Str",K62)))</formula>
    </cfRule>
    <cfRule type="containsText" dxfId="1783" priority="1824" operator="containsText" text="Ere">
      <formula>NOT(ISERROR(SEARCH("Ere",K62)))</formula>
    </cfRule>
    <cfRule type="containsText" dxfId="1782" priority="1825" operator="containsText" text="Ear">
      <formula>NOT(ISERROR(SEARCH("Ear",K62)))</formula>
    </cfRule>
    <cfRule type="containsText" dxfId="1781" priority="1826" operator="containsText" text="fnd">
      <formula>NOT(ISERROR(SEARCH("fnd",K62)))</formula>
    </cfRule>
  </conditionalFormatting>
  <conditionalFormatting sqref="K78:L78">
    <cfRule type="containsText" dxfId="1780" priority="2315" operator="containsText" text="Str">
      <formula>NOT(ISERROR(SEARCH("Str",K78)))</formula>
    </cfRule>
    <cfRule type="containsText" dxfId="1779" priority="2316" operator="containsText" text="Ere">
      <formula>NOT(ISERROR(SEARCH("Ere",K78)))</formula>
    </cfRule>
    <cfRule type="containsText" dxfId="1778" priority="2317" operator="containsText" text="Ear">
      <formula>NOT(ISERROR(SEARCH("Ear",K78)))</formula>
    </cfRule>
    <cfRule type="containsText" dxfId="1777" priority="2318" operator="containsText" text="fnd">
      <formula>NOT(ISERROR(SEARCH("fnd",K78)))</formula>
    </cfRule>
  </conditionalFormatting>
  <conditionalFormatting sqref="K94:L94">
    <cfRule type="containsText" dxfId="1776" priority="2279" operator="containsText" text="Str">
      <formula>NOT(ISERROR(SEARCH("Str",K94)))</formula>
    </cfRule>
    <cfRule type="containsText" dxfId="1775" priority="2280" operator="containsText" text="Ere">
      <formula>NOT(ISERROR(SEARCH("Ere",K94)))</formula>
    </cfRule>
    <cfRule type="containsText" dxfId="1774" priority="2281" operator="containsText" text="Ear">
      <formula>NOT(ISERROR(SEARCH("Ear",K94)))</formula>
    </cfRule>
    <cfRule type="containsText" dxfId="1773" priority="2282" operator="containsText" text="fnd">
      <formula>NOT(ISERROR(SEARCH("fnd",K94)))</formula>
    </cfRule>
  </conditionalFormatting>
  <conditionalFormatting sqref="K102:L102">
    <cfRule type="containsText" dxfId="1772" priority="1503" operator="containsText" text="Str">
      <formula>NOT(ISERROR(SEARCH("Str",K102)))</formula>
    </cfRule>
    <cfRule type="containsText" dxfId="1771" priority="1504" operator="containsText" text="Ere">
      <formula>NOT(ISERROR(SEARCH("Ere",K102)))</formula>
    </cfRule>
    <cfRule type="containsText" dxfId="1770" priority="1505" operator="containsText" text="Ear">
      <formula>NOT(ISERROR(SEARCH("Ear",K102)))</formula>
    </cfRule>
    <cfRule type="containsText" dxfId="1769" priority="1506" operator="containsText" text="fnd">
      <formula>NOT(ISERROR(SEARCH("fnd",K102)))</formula>
    </cfRule>
  </conditionalFormatting>
  <conditionalFormatting sqref="K110:L110">
    <cfRule type="containsText" dxfId="1768" priority="1847" operator="containsText" text="Str">
      <formula>NOT(ISERROR(SEARCH("Str",K110)))</formula>
    </cfRule>
    <cfRule type="containsText" dxfId="1767" priority="1848" operator="containsText" text="Ere">
      <formula>NOT(ISERROR(SEARCH("Ere",K110)))</formula>
    </cfRule>
    <cfRule type="containsText" dxfId="1766" priority="1849" operator="containsText" text="Ear">
      <formula>NOT(ISERROR(SEARCH("Ear",K110)))</formula>
    </cfRule>
    <cfRule type="containsText" dxfId="1765" priority="1850" operator="containsText" text="fnd">
      <formula>NOT(ISERROR(SEARCH("fnd",K110)))</formula>
    </cfRule>
  </conditionalFormatting>
  <conditionalFormatting sqref="K118:L118">
    <cfRule type="containsText" dxfId="1764" priority="1447" operator="containsText" text="Str">
      <formula>NOT(ISERROR(SEARCH("Str",K118)))</formula>
    </cfRule>
    <cfRule type="containsText" dxfId="1763" priority="1448" operator="containsText" text="Ere">
      <formula>NOT(ISERROR(SEARCH("Ere",K118)))</formula>
    </cfRule>
    <cfRule type="containsText" dxfId="1762" priority="1449" operator="containsText" text="Ear">
      <formula>NOT(ISERROR(SEARCH("Ear",K118)))</formula>
    </cfRule>
    <cfRule type="containsText" dxfId="1761" priority="1450" operator="containsText" text="fnd">
      <formula>NOT(ISERROR(SEARCH("fnd",K118)))</formula>
    </cfRule>
  </conditionalFormatting>
  <conditionalFormatting sqref="K126:L126">
    <cfRule type="containsText" dxfId="1760" priority="727" operator="containsText" text="Str">
      <formula>NOT(ISERROR(SEARCH("Str",K126)))</formula>
    </cfRule>
    <cfRule type="containsText" dxfId="1759" priority="728" operator="containsText" text="Ere">
      <formula>NOT(ISERROR(SEARCH("Ere",K126)))</formula>
    </cfRule>
    <cfRule type="containsText" dxfId="1758" priority="729" operator="containsText" text="Ear">
      <formula>NOT(ISERROR(SEARCH("Ear",K126)))</formula>
    </cfRule>
    <cfRule type="containsText" dxfId="1757" priority="730" operator="containsText" text="fnd">
      <formula>NOT(ISERROR(SEARCH("fnd",K126)))</formula>
    </cfRule>
  </conditionalFormatting>
  <conditionalFormatting sqref="K134:L134">
    <cfRule type="containsText" dxfId="1756" priority="62" operator="containsText" text="Ere">
      <formula>NOT(ISERROR(SEARCH("Ere",K134)))</formula>
    </cfRule>
    <cfRule type="containsText" dxfId="1755" priority="63" operator="containsText" text="Ear">
      <formula>NOT(ISERROR(SEARCH("Ear",K134)))</formula>
    </cfRule>
    <cfRule type="containsText" dxfId="1754" priority="64" operator="containsText" text="fnd">
      <formula>NOT(ISERROR(SEARCH("fnd",K134)))</formula>
    </cfRule>
    <cfRule type="containsText" dxfId="1753" priority="2379" operator="containsText" text="Str">
      <formula>NOT(ISERROR(SEARCH("Str",K134)))</formula>
    </cfRule>
  </conditionalFormatting>
  <conditionalFormatting sqref="K142:L142">
    <cfRule type="containsText" dxfId="1752" priority="1307" operator="containsText" text="Str">
      <formula>NOT(ISERROR(SEARCH("Str",K142)))</formula>
    </cfRule>
    <cfRule type="containsText" dxfId="1751" priority="1308" operator="containsText" text="Ere">
      <formula>NOT(ISERROR(SEARCH("Ere",K142)))</formula>
    </cfRule>
    <cfRule type="containsText" dxfId="1750" priority="1309" operator="containsText" text="Ear">
      <formula>NOT(ISERROR(SEARCH("Ear",K142)))</formula>
    </cfRule>
    <cfRule type="containsText" dxfId="1749" priority="1310" operator="containsText" text="fnd">
      <formula>NOT(ISERROR(SEARCH("fnd",K142)))</formula>
    </cfRule>
  </conditionalFormatting>
  <conditionalFormatting sqref="K150:L150">
    <cfRule type="containsText" dxfId="1748" priority="1219" operator="containsText" text="Str">
      <formula>NOT(ISERROR(SEARCH("Str",K150)))</formula>
    </cfRule>
    <cfRule type="containsText" dxfId="1747" priority="1220" operator="containsText" text="Ere">
      <formula>NOT(ISERROR(SEARCH("Ere",K150)))</formula>
    </cfRule>
    <cfRule type="containsText" dxfId="1746" priority="1221" operator="containsText" text="Ear">
      <formula>NOT(ISERROR(SEARCH("Ear",K150)))</formula>
    </cfRule>
    <cfRule type="containsText" dxfId="1745" priority="1222" operator="containsText" text="fnd">
      <formula>NOT(ISERROR(SEARCH("fnd",K150)))</formula>
    </cfRule>
  </conditionalFormatting>
  <conditionalFormatting sqref="K158:L158">
    <cfRule type="containsText" dxfId="1744" priority="1163" operator="containsText" text="Str">
      <formula>NOT(ISERROR(SEARCH("Str",K158)))</formula>
    </cfRule>
    <cfRule type="containsText" dxfId="1743" priority="1164" operator="containsText" text="Ere">
      <formula>NOT(ISERROR(SEARCH("Ere",K158)))</formula>
    </cfRule>
    <cfRule type="containsText" dxfId="1742" priority="1165" operator="containsText" text="Ear">
      <formula>NOT(ISERROR(SEARCH("Ear",K158)))</formula>
    </cfRule>
    <cfRule type="containsText" dxfId="1741" priority="1166" operator="containsText" text="fnd">
      <formula>NOT(ISERROR(SEARCH("fnd",K158)))</formula>
    </cfRule>
  </conditionalFormatting>
  <conditionalFormatting sqref="K166:L166">
    <cfRule type="containsText" dxfId="1740" priority="389" operator="containsText" text="Str">
      <formula>NOT(ISERROR(SEARCH("Str",K166)))</formula>
    </cfRule>
    <cfRule type="containsText" dxfId="1739" priority="390" operator="containsText" text="Ere">
      <formula>NOT(ISERROR(SEARCH("Ere",K166)))</formula>
    </cfRule>
    <cfRule type="containsText" dxfId="1738" priority="391" operator="containsText" text="Ear">
      <formula>NOT(ISERROR(SEARCH("Ear",K166)))</formula>
    </cfRule>
    <cfRule type="containsText" dxfId="1737" priority="392" operator="containsText" text="fnd">
      <formula>NOT(ISERROR(SEARCH("fnd",K166)))</formula>
    </cfRule>
  </conditionalFormatting>
  <conditionalFormatting sqref="K174:L174">
    <cfRule type="containsText" dxfId="1736" priority="561" operator="containsText" text="Str">
      <formula>NOT(ISERROR(SEARCH("Str",K174)))</formula>
    </cfRule>
    <cfRule type="containsText" dxfId="1735" priority="562" operator="containsText" text="Ere">
      <formula>NOT(ISERROR(SEARCH("Ere",K174)))</formula>
    </cfRule>
    <cfRule type="containsText" dxfId="1734" priority="563" operator="containsText" text="Ear">
      <formula>NOT(ISERROR(SEARCH("Ear",K174)))</formula>
    </cfRule>
    <cfRule type="containsText" dxfId="1733" priority="564" operator="containsText" text="fnd">
      <formula>NOT(ISERROR(SEARCH("fnd",K174)))</formula>
    </cfRule>
  </conditionalFormatting>
  <conditionalFormatting sqref="K182:L182">
    <cfRule type="containsText" dxfId="1732" priority="157" operator="containsText" text="Str">
      <formula>NOT(ISERROR(SEARCH("Str",K182)))</formula>
    </cfRule>
    <cfRule type="containsText" dxfId="1731" priority="158" operator="containsText" text="Ere">
      <formula>NOT(ISERROR(SEARCH("Ere",K182)))</formula>
    </cfRule>
    <cfRule type="containsText" dxfId="1730" priority="159" operator="containsText" text="Ear">
      <formula>NOT(ISERROR(SEARCH("Ear",K182)))</formula>
    </cfRule>
    <cfRule type="containsText" dxfId="1729" priority="160" operator="containsText" text="fnd">
      <formula>NOT(ISERROR(SEARCH("fnd",K182)))</formula>
    </cfRule>
  </conditionalFormatting>
  <conditionalFormatting sqref="L6">
    <cfRule type="containsText" dxfId="1728" priority="237" operator="containsText" text="Str">
      <formula>NOT(ISERROR(SEARCH("Str",L6)))</formula>
    </cfRule>
    <cfRule type="containsText" dxfId="1727" priority="238" operator="containsText" text="Ere">
      <formula>NOT(ISERROR(SEARCH("Ere",L6)))</formula>
    </cfRule>
    <cfRule type="containsText" dxfId="1726" priority="239" operator="containsText" text="Ear">
      <formula>NOT(ISERROR(SEARCH("Ear",L6)))</formula>
    </cfRule>
    <cfRule type="containsText" dxfId="1725" priority="240" operator="containsText" text="fnd">
      <formula>NOT(ISERROR(SEARCH("fnd",L6)))</formula>
    </cfRule>
  </conditionalFormatting>
  <conditionalFormatting sqref="L14">
    <cfRule type="containsText" dxfId="1724" priority="1719" operator="containsText" text="Str">
      <formula>NOT(ISERROR(SEARCH("Str",L14)))</formula>
    </cfRule>
    <cfRule type="containsText" dxfId="1723" priority="1720" operator="containsText" text="Ere">
      <formula>NOT(ISERROR(SEARCH("Ere",L14)))</formula>
    </cfRule>
    <cfRule type="containsText" dxfId="1722" priority="1721" operator="containsText" text="Ear">
      <formula>NOT(ISERROR(SEARCH("Ear",L14)))</formula>
    </cfRule>
    <cfRule type="containsText" dxfId="1721" priority="1722" operator="containsText" text="fnd">
      <formula>NOT(ISERROR(SEARCH("fnd",L14)))</formula>
    </cfRule>
  </conditionalFormatting>
  <conditionalFormatting sqref="L22">
    <cfRule type="containsText" dxfId="1720" priority="1859" operator="containsText" text="Str">
      <formula>NOT(ISERROR(SEARCH("Str",L22)))</formula>
    </cfRule>
    <cfRule type="containsText" dxfId="1719" priority="1860" operator="containsText" text="Ere">
      <formula>NOT(ISERROR(SEARCH("Ere",L22)))</formula>
    </cfRule>
    <cfRule type="containsText" dxfId="1718" priority="1861" operator="containsText" text="Ear">
      <formula>NOT(ISERROR(SEARCH("Ear",L22)))</formula>
    </cfRule>
    <cfRule type="containsText" dxfId="1717" priority="1862" operator="containsText" text="fnd">
      <formula>NOT(ISERROR(SEARCH("fnd",L22)))</formula>
    </cfRule>
  </conditionalFormatting>
  <conditionalFormatting sqref="L38">
    <cfRule type="containsText" dxfId="1716" priority="907" operator="containsText" text="Str">
      <formula>NOT(ISERROR(SEARCH("Str",L38)))</formula>
    </cfRule>
    <cfRule type="containsText" dxfId="1715" priority="908" operator="containsText" text="Ere">
      <formula>NOT(ISERROR(SEARCH("Ere",L38)))</formula>
    </cfRule>
    <cfRule type="containsText" dxfId="1714" priority="909" operator="containsText" text="Ear">
      <formula>NOT(ISERROR(SEARCH("Ear",L38)))</formula>
    </cfRule>
    <cfRule type="containsText" dxfId="1713" priority="910" operator="containsText" text="fnd">
      <formula>NOT(ISERROR(SEARCH("fnd",L38)))</formula>
    </cfRule>
  </conditionalFormatting>
  <conditionalFormatting sqref="N5:N6">
    <cfRule type="containsText" dxfId="1712" priority="233" operator="containsText" text="Str">
      <formula>NOT(ISERROR(SEARCH("Str",N5)))</formula>
    </cfRule>
    <cfRule type="containsText" dxfId="1711" priority="234" operator="containsText" text="Ere">
      <formula>NOT(ISERROR(SEARCH("Ere",N5)))</formula>
    </cfRule>
    <cfRule type="containsText" dxfId="1710" priority="235" operator="containsText" text="Ear">
      <formula>NOT(ISERROR(SEARCH("Ear",N5)))</formula>
    </cfRule>
    <cfRule type="containsText" dxfId="1709" priority="236" operator="containsText" text="fnd">
      <formula>NOT(ISERROR(SEARCH("fnd",N5)))</formula>
    </cfRule>
  </conditionalFormatting>
  <conditionalFormatting sqref="N13:N14">
    <cfRule type="containsText" dxfId="1708" priority="1731" operator="containsText" text="Str">
      <formula>NOT(ISERROR(SEARCH("Str",N13)))</formula>
    </cfRule>
    <cfRule type="containsText" dxfId="1707" priority="1732" operator="containsText" text="Ere">
      <formula>NOT(ISERROR(SEARCH("Ere",N13)))</formula>
    </cfRule>
    <cfRule type="containsText" dxfId="1706" priority="1733" operator="containsText" text="Ear">
      <formula>NOT(ISERROR(SEARCH("Ear",N13)))</formula>
    </cfRule>
    <cfRule type="containsText" dxfId="1705" priority="1734" operator="containsText" text="fnd">
      <formula>NOT(ISERROR(SEARCH("fnd",N13)))</formula>
    </cfRule>
  </conditionalFormatting>
  <conditionalFormatting sqref="N21:N22">
    <cfRule type="containsText" dxfId="1704" priority="1643" operator="containsText" text="Str">
      <formula>NOT(ISERROR(SEARCH("Str",N21)))</formula>
    </cfRule>
    <cfRule type="containsText" dxfId="1703" priority="1644" operator="containsText" text="Ere">
      <formula>NOT(ISERROR(SEARCH("Ere",N21)))</formula>
    </cfRule>
    <cfRule type="containsText" dxfId="1702" priority="1645" operator="containsText" text="Ear">
      <formula>NOT(ISERROR(SEARCH("Ear",N21)))</formula>
    </cfRule>
    <cfRule type="containsText" dxfId="1701" priority="1646" operator="containsText" text="fnd">
      <formula>NOT(ISERROR(SEARCH("fnd",N21)))</formula>
    </cfRule>
  </conditionalFormatting>
  <conditionalFormatting sqref="N29">
    <cfRule type="containsText" dxfId="1700" priority="1551" operator="containsText" text="Str">
      <formula>NOT(ISERROR(SEARCH("Str",N29)))</formula>
    </cfRule>
    <cfRule type="containsText" dxfId="1699" priority="1552" operator="containsText" text="Ere">
      <formula>NOT(ISERROR(SEARCH("Ere",N29)))</formula>
    </cfRule>
    <cfRule type="containsText" dxfId="1698" priority="1553" operator="containsText" text="Ear">
      <formula>NOT(ISERROR(SEARCH("Ear",N29)))</formula>
    </cfRule>
    <cfRule type="containsText" dxfId="1697" priority="1554" operator="containsText" text="fnd">
      <formula>NOT(ISERROR(SEARCH("fnd",N29)))</formula>
    </cfRule>
  </conditionalFormatting>
  <conditionalFormatting sqref="N37:N38">
    <cfRule type="containsText" dxfId="1696" priority="903" operator="containsText" text="Str">
      <formula>NOT(ISERROR(SEARCH("Str",N37)))</formula>
    </cfRule>
    <cfRule type="containsText" dxfId="1695" priority="904" operator="containsText" text="Ere">
      <formula>NOT(ISERROR(SEARCH("Ere",N37)))</formula>
    </cfRule>
    <cfRule type="containsText" dxfId="1694" priority="905" operator="containsText" text="Ear">
      <formula>NOT(ISERROR(SEARCH("Ear",N37)))</formula>
    </cfRule>
    <cfRule type="containsText" dxfId="1693" priority="906" operator="containsText" text="fnd">
      <formula>NOT(ISERROR(SEARCH("fnd",N37)))</formula>
    </cfRule>
  </conditionalFormatting>
  <conditionalFormatting sqref="N45 T45 W45">
    <cfRule type="containsText" dxfId="1692" priority="2327" operator="containsText" text="Str">
      <formula>NOT(ISERROR(SEARCH("Str",N45)))</formula>
    </cfRule>
    <cfRule type="containsText" dxfId="1691" priority="2328" operator="containsText" text="Ere">
      <formula>NOT(ISERROR(SEARCH("Ere",N45)))</formula>
    </cfRule>
    <cfRule type="containsText" dxfId="1690" priority="2329" operator="containsText" text="Ear">
      <formula>NOT(ISERROR(SEARCH("Ear",N45)))</formula>
    </cfRule>
    <cfRule type="containsText" dxfId="1689" priority="2330" operator="containsText" text="fnd">
      <formula>NOT(ISERROR(SEARCH("fnd",N45)))</formula>
    </cfRule>
  </conditionalFormatting>
  <conditionalFormatting sqref="N53">
    <cfRule type="containsText" dxfId="1688" priority="2251" operator="containsText" text="Str">
      <formula>NOT(ISERROR(SEARCH("Str",N53)))</formula>
    </cfRule>
    <cfRule type="containsText" dxfId="1687" priority="2252" operator="containsText" text="Ere">
      <formula>NOT(ISERROR(SEARCH("Ere",N53)))</formula>
    </cfRule>
    <cfRule type="containsText" dxfId="1686" priority="2253" operator="containsText" text="Ear">
      <formula>NOT(ISERROR(SEARCH("Ear",N53)))</formula>
    </cfRule>
    <cfRule type="containsText" dxfId="1685" priority="2254" operator="containsText" text="fnd">
      <formula>NOT(ISERROR(SEARCH("fnd",N53)))</formula>
    </cfRule>
  </conditionalFormatting>
  <conditionalFormatting sqref="N61">
    <cfRule type="containsText" dxfId="1684" priority="1887" operator="containsText" text="Str">
      <formula>NOT(ISERROR(SEARCH("Str",N61)))</formula>
    </cfRule>
    <cfRule type="containsText" dxfId="1683" priority="1888" operator="containsText" text="Ere">
      <formula>NOT(ISERROR(SEARCH("Ere",N61)))</formula>
    </cfRule>
    <cfRule type="containsText" dxfId="1682" priority="1889" operator="containsText" text="Ear">
      <formula>NOT(ISERROR(SEARCH("Ear",N61)))</formula>
    </cfRule>
    <cfRule type="containsText" dxfId="1681" priority="1890" operator="containsText" text="fnd">
      <formula>NOT(ISERROR(SEARCH("fnd",N61)))</formula>
    </cfRule>
  </conditionalFormatting>
  <conditionalFormatting sqref="N93">
    <cfRule type="containsText" dxfId="1680" priority="1979" operator="containsText" text="Str">
      <formula>NOT(ISERROR(SEARCH("Str",N93)))</formula>
    </cfRule>
    <cfRule type="containsText" dxfId="1679" priority="1980" operator="containsText" text="Ere">
      <formula>NOT(ISERROR(SEARCH("Ere",N93)))</formula>
    </cfRule>
    <cfRule type="containsText" dxfId="1678" priority="1981" operator="containsText" text="Ear">
      <formula>NOT(ISERROR(SEARCH("Ear",N93)))</formula>
    </cfRule>
    <cfRule type="containsText" dxfId="1677" priority="1982" operator="containsText" text="fnd">
      <formula>NOT(ISERROR(SEARCH("fnd",N93)))</formula>
    </cfRule>
  </conditionalFormatting>
  <conditionalFormatting sqref="N101">
    <cfRule type="containsText" dxfId="1676" priority="309" operator="containsText" text="Str">
      <formula>NOT(ISERROR(SEARCH("Str",N101)))</formula>
    </cfRule>
    <cfRule type="containsText" dxfId="1675" priority="310" operator="containsText" text="Ere">
      <formula>NOT(ISERROR(SEARCH("Ere",N101)))</formula>
    </cfRule>
    <cfRule type="containsText" dxfId="1674" priority="311" operator="containsText" text="Ear">
      <formula>NOT(ISERROR(SEARCH("Ear",N101)))</formula>
    </cfRule>
    <cfRule type="containsText" dxfId="1673" priority="312" operator="containsText" text="fnd">
      <formula>NOT(ISERROR(SEARCH("fnd",N101)))</formula>
    </cfRule>
  </conditionalFormatting>
  <conditionalFormatting sqref="N109">
    <cfRule type="containsText" dxfId="1672" priority="1787" operator="containsText" text="Str">
      <formula>NOT(ISERROR(SEARCH("Str",N109)))</formula>
    </cfRule>
    <cfRule type="containsText" dxfId="1671" priority="1788" operator="containsText" text="Ere">
      <formula>NOT(ISERROR(SEARCH("Ere",N109)))</formula>
    </cfRule>
    <cfRule type="containsText" dxfId="1670" priority="1789" operator="containsText" text="Ear">
      <formula>NOT(ISERROR(SEARCH("Ear",N109)))</formula>
    </cfRule>
    <cfRule type="containsText" dxfId="1669" priority="1790" operator="containsText" text="fnd">
      <formula>NOT(ISERROR(SEARCH("fnd",N109)))</formula>
    </cfRule>
  </conditionalFormatting>
  <conditionalFormatting sqref="N117">
    <cfRule type="containsText" dxfId="1668" priority="1419" operator="containsText" text="Str">
      <formula>NOT(ISERROR(SEARCH("Str",N117)))</formula>
    </cfRule>
    <cfRule type="containsText" dxfId="1667" priority="1420" operator="containsText" text="Ere">
      <formula>NOT(ISERROR(SEARCH("Ere",N117)))</formula>
    </cfRule>
    <cfRule type="containsText" dxfId="1666" priority="1421" operator="containsText" text="Ear">
      <formula>NOT(ISERROR(SEARCH("Ear",N117)))</formula>
    </cfRule>
    <cfRule type="containsText" dxfId="1665" priority="1422" operator="containsText" text="fnd">
      <formula>NOT(ISERROR(SEARCH("fnd",N117)))</formula>
    </cfRule>
  </conditionalFormatting>
  <conditionalFormatting sqref="N122 N130 N138 N162 N178">
    <cfRule type="containsText" dxfId="1664" priority="2075" operator="containsText" text="Str">
      <formula>NOT(ISERROR(SEARCH("Str",N122)))</formula>
    </cfRule>
    <cfRule type="containsText" dxfId="1663" priority="2076" operator="containsText" text="Ere">
      <formula>NOT(ISERROR(SEARCH("Ere",N122)))</formula>
    </cfRule>
    <cfRule type="containsText" dxfId="1662" priority="2077" operator="containsText" text="Ear">
      <formula>NOT(ISERROR(SEARCH("Ear",N122)))</formula>
    </cfRule>
    <cfRule type="containsText" dxfId="1661" priority="2078" operator="containsText" text="fnd">
      <formula>NOT(ISERROR(SEARCH("fnd",N122)))</formula>
    </cfRule>
  </conditionalFormatting>
  <conditionalFormatting sqref="N125">
    <cfRule type="containsText" dxfId="1660" priority="663" operator="containsText" text="Str">
      <formula>NOT(ISERROR(SEARCH("Str",N125)))</formula>
    </cfRule>
    <cfRule type="containsText" dxfId="1659" priority="664" operator="containsText" text="Ere">
      <formula>NOT(ISERROR(SEARCH("Ere",N125)))</formula>
    </cfRule>
    <cfRule type="containsText" dxfId="1658" priority="665" operator="containsText" text="Ear">
      <formula>NOT(ISERROR(SEARCH("Ear",N125)))</formula>
    </cfRule>
    <cfRule type="containsText" dxfId="1657" priority="666" operator="containsText" text="fnd">
      <formula>NOT(ISERROR(SEARCH("fnd",N125)))</formula>
    </cfRule>
  </conditionalFormatting>
  <conditionalFormatting sqref="N133">
    <cfRule type="containsText" dxfId="1656" priority="1363" operator="containsText" text="Str">
      <formula>NOT(ISERROR(SEARCH("Str",N133)))</formula>
    </cfRule>
    <cfRule type="containsText" dxfId="1655" priority="1364" operator="containsText" text="Ere">
      <formula>NOT(ISERROR(SEARCH("Ere",N133)))</formula>
    </cfRule>
    <cfRule type="containsText" dxfId="1654" priority="1365" operator="containsText" text="Ear">
      <formula>NOT(ISERROR(SEARCH("Ear",N133)))</formula>
    </cfRule>
    <cfRule type="containsText" dxfId="1653" priority="1366" operator="containsText" text="fnd">
      <formula>NOT(ISERROR(SEARCH("fnd",N133)))</formula>
    </cfRule>
  </conditionalFormatting>
  <conditionalFormatting sqref="N141">
    <cfRule type="containsText" dxfId="1652" priority="1279" operator="containsText" text="Str">
      <formula>NOT(ISERROR(SEARCH("Str",N141)))</formula>
    </cfRule>
    <cfRule type="containsText" dxfId="1651" priority="1280" operator="containsText" text="Ere">
      <formula>NOT(ISERROR(SEARCH("Ere",N141)))</formula>
    </cfRule>
    <cfRule type="containsText" dxfId="1650" priority="1281" operator="containsText" text="Ear">
      <formula>NOT(ISERROR(SEARCH("Ear",N141)))</formula>
    </cfRule>
    <cfRule type="containsText" dxfId="1649" priority="1282" operator="containsText" text="fnd">
      <formula>NOT(ISERROR(SEARCH("fnd",N141)))</formula>
    </cfRule>
  </conditionalFormatting>
  <conditionalFormatting sqref="N149">
    <cfRule type="containsText" dxfId="1648" priority="305" operator="containsText" text="Str">
      <formula>NOT(ISERROR(SEARCH("Str",N149)))</formula>
    </cfRule>
    <cfRule type="containsText" dxfId="1647" priority="306" operator="containsText" text="Ere">
      <formula>NOT(ISERROR(SEARCH("Ere",N149)))</formula>
    </cfRule>
    <cfRule type="containsText" dxfId="1646" priority="307" operator="containsText" text="Ear">
      <formula>NOT(ISERROR(SEARCH("Ear",N149)))</formula>
    </cfRule>
    <cfRule type="containsText" dxfId="1645" priority="308" operator="containsText" text="fnd">
      <formula>NOT(ISERROR(SEARCH("fnd",N149)))</formula>
    </cfRule>
  </conditionalFormatting>
  <conditionalFormatting sqref="N157">
    <cfRule type="containsText" dxfId="1644" priority="1131" operator="containsText" text="Str">
      <formula>NOT(ISERROR(SEARCH("Str",N157)))</formula>
    </cfRule>
    <cfRule type="containsText" dxfId="1643" priority="1132" operator="containsText" text="Ere">
      <formula>NOT(ISERROR(SEARCH("Ere",N157)))</formula>
    </cfRule>
    <cfRule type="containsText" dxfId="1642" priority="1133" operator="containsText" text="Ear">
      <formula>NOT(ISERROR(SEARCH("Ear",N157)))</formula>
    </cfRule>
    <cfRule type="containsText" dxfId="1641" priority="1134" operator="containsText" text="fnd">
      <formula>NOT(ISERROR(SEARCH("fnd",N157)))</formula>
    </cfRule>
  </conditionalFormatting>
  <conditionalFormatting sqref="N165">
    <cfRule type="containsText" dxfId="1640" priority="1067" operator="containsText" text="Str">
      <formula>NOT(ISERROR(SEARCH("Str",N165)))</formula>
    </cfRule>
    <cfRule type="containsText" dxfId="1639" priority="1068" operator="containsText" text="Ere">
      <formula>NOT(ISERROR(SEARCH("Ere",N165)))</formula>
    </cfRule>
    <cfRule type="containsText" dxfId="1638" priority="1069" operator="containsText" text="Ear">
      <formula>NOT(ISERROR(SEARCH("Ear",N165)))</formula>
    </cfRule>
    <cfRule type="containsText" dxfId="1637" priority="1070" operator="containsText" text="fnd">
      <formula>NOT(ISERROR(SEARCH("fnd",N165)))</formula>
    </cfRule>
  </conditionalFormatting>
  <conditionalFormatting sqref="N173">
    <cfRule type="containsText" dxfId="1636" priority="465" operator="containsText" text="Str">
      <formula>NOT(ISERROR(SEARCH("Str",N173)))</formula>
    </cfRule>
    <cfRule type="containsText" dxfId="1635" priority="466" operator="containsText" text="Ere">
      <formula>NOT(ISERROR(SEARCH("Ere",N173)))</formula>
    </cfRule>
    <cfRule type="containsText" dxfId="1634" priority="467" operator="containsText" text="Ear">
      <formula>NOT(ISERROR(SEARCH("Ear",N173)))</formula>
    </cfRule>
    <cfRule type="containsText" dxfId="1633" priority="468" operator="containsText" text="fnd">
      <formula>NOT(ISERROR(SEARCH("fnd",N173)))</formula>
    </cfRule>
  </conditionalFormatting>
  <conditionalFormatting sqref="N181">
    <cfRule type="containsText" dxfId="1632" priority="145" operator="containsText" text="Str">
      <formula>NOT(ISERROR(SEARCH("Str",N181)))</formula>
    </cfRule>
    <cfRule type="containsText" dxfId="1631" priority="146" operator="containsText" text="Ere">
      <formula>NOT(ISERROR(SEARCH("Ere",N181)))</formula>
    </cfRule>
    <cfRule type="containsText" dxfId="1630" priority="147" operator="containsText" text="Ear">
      <formula>NOT(ISERROR(SEARCH("Ear",N181)))</formula>
    </cfRule>
    <cfRule type="containsText" dxfId="1629" priority="148" operator="containsText" text="fnd">
      <formula>NOT(ISERROR(SEARCH("fnd",N181)))</formula>
    </cfRule>
  </conditionalFormatting>
  <conditionalFormatting sqref="N30:O30">
    <cfRule type="containsText" dxfId="1628" priority="1555" operator="containsText" text="Str">
      <formula>NOT(ISERROR(SEARCH("Str",N30)))</formula>
    </cfRule>
    <cfRule type="containsText" dxfId="1627" priority="1556" operator="containsText" text="Ere">
      <formula>NOT(ISERROR(SEARCH("Ere",N30)))</formula>
    </cfRule>
    <cfRule type="containsText" dxfId="1626" priority="1557" operator="containsText" text="Ear">
      <formula>NOT(ISERROR(SEARCH("Ear",N30)))</formula>
    </cfRule>
    <cfRule type="containsText" dxfId="1625" priority="1558" operator="containsText" text="fnd">
      <formula>NOT(ISERROR(SEARCH("fnd",N30)))</formula>
    </cfRule>
  </conditionalFormatting>
  <conditionalFormatting sqref="N46:O46">
    <cfRule type="containsText" dxfId="1624" priority="2339" operator="containsText" text="Str">
      <formula>NOT(ISERROR(SEARCH("Str",N46)))</formula>
    </cfRule>
    <cfRule type="containsText" dxfId="1623" priority="2340" operator="containsText" text="Ere">
      <formula>NOT(ISERROR(SEARCH("Ere",N46)))</formula>
    </cfRule>
    <cfRule type="containsText" dxfId="1622" priority="2341" operator="containsText" text="Ear">
      <formula>NOT(ISERROR(SEARCH("Ear",N46)))</formula>
    </cfRule>
    <cfRule type="containsText" dxfId="1621" priority="2342" operator="containsText" text="fnd">
      <formula>NOT(ISERROR(SEARCH("fnd",N46)))</formula>
    </cfRule>
  </conditionalFormatting>
  <conditionalFormatting sqref="N54:O54">
    <cfRule type="containsText" dxfId="1620" priority="2351" operator="containsText" text="Str">
      <formula>NOT(ISERROR(SEARCH("Str",N54)))</formula>
    </cfRule>
    <cfRule type="containsText" dxfId="1619" priority="2352" operator="containsText" text="Ere">
      <formula>NOT(ISERROR(SEARCH("Ere",N54)))</formula>
    </cfRule>
    <cfRule type="containsText" dxfId="1618" priority="2353" operator="containsText" text="Ear">
      <formula>NOT(ISERROR(SEARCH("Ear",N54)))</formula>
    </cfRule>
    <cfRule type="containsText" dxfId="1617" priority="2354" operator="containsText" text="fnd">
      <formula>NOT(ISERROR(SEARCH("fnd",N54)))</formula>
    </cfRule>
  </conditionalFormatting>
  <conditionalFormatting sqref="N62:O62">
    <cfRule type="containsText" dxfId="1616" priority="1891" operator="containsText" text="Str">
      <formula>NOT(ISERROR(SEARCH("Str",N62)))</formula>
    </cfRule>
    <cfRule type="containsText" dxfId="1615" priority="1892" operator="containsText" text="Ere">
      <formula>NOT(ISERROR(SEARCH("Ere",N62)))</formula>
    </cfRule>
    <cfRule type="containsText" dxfId="1614" priority="1893" operator="containsText" text="Ear">
      <formula>NOT(ISERROR(SEARCH("Ear",N62)))</formula>
    </cfRule>
    <cfRule type="containsText" dxfId="1613" priority="1894" operator="containsText" text="fnd">
      <formula>NOT(ISERROR(SEARCH("fnd",N62)))</formula>
    </cfRule>
  </conditionalFormatting>
  <conditionalFormatting sqref="N94:O94">
    <cfRule type="containsText" dxfId="1612" priority="1983" operator="containsText" text="Str">
      <formula>NOT(ISERROR(SEARCH("Str",N94)))</formula>
    </cfRule>
    <cfRule type="containsText" dxfId="1611" priority="1984" operator="containsText" text="Ere">
      <formula>NOT(ISERROR(SEARCH("Ere",N94)))</formula>
    </cfRule>
    <cfRule type="containsText" dxfId="1610" priority="1985" operator="containsText" text="Ear">
      <formula>NOT(ISERROR(SEARCH("Ear",N94)))</formula>
    </cfRule>
    <cfRule type="containsText" dxfId="1609" priority="1986" operator="containsText" text="fnd">
      <formula>NOT(ISERROR(SEARCH("fnd",N94)))</formula>
    </cfRule>
  </conditionalFormatting>
  <conditionalFormatting sqref="N102:O102">
    <cfRule type="containsText" dxfId="1608" priority="313" operator="containsText" text="Str">
      <formula>NOT(ISERROR(SEARCH("Str",N102)))</formula>
    </cfRule>
    <cfRule type="containsText" dxfId="1607" priority="314" operator="containsText" text="Ere">
      <formula>NOT(ISERROR(SEARCH("Ere",N102)))</formula>
    </cfRule>
    <cfRule type="containsText" dxfId="1606" priority="315" operator="containsText" text="Ear">
      <formula>NOT(ISERROR(SEARCH("Ear",N102)))</formula>
    </cfRule>
    <cfRule type="containsText" dxfId="1605" priority="316" operator="containsText" text="fnd">
      <formula>NOT(ISERROR(SEARCH("fnd",N102)))</formula>
    </cfRule>
  </conditionalFormatting>
  <conditionalFormatting sqref="N110:O110">
    <cfRule type="containsText" dxfId="1604" priority="1791" operator="containsText" text="Str">
      <formula>NOT(ISERROR(SEARCH("Str",N110)))</formula>
    </cfRule>
    <cfRule type="containsText" dxfId="1603" priority="1792" operator="containsText" text="Ere">
      <formula>NOT(ISERROR(SEARCH("Ere",N110)))</formula>
    </cfRule>
    <cfRule type="containsText" dxfId="1602" priority="1793" operator="containsText" text="Ear">
      <formula>NOT(ISERROR(SEARCH("Ear",N110)))</formula>
    </cfRule>
    <cfRule type="containsText" dxfId="1601" priority="1794" operator="containsText" text="fnd">
      <formula>NOT(ISERROR(SEARCH("fnd",N110)))</formula>
    </cfRule>
  </conditionalFormatting>
  <conditionalFormatting sqref="N118:O118">
    <cfRule type="containsText" dxfId="1600" priority="1423" operator="containsText" text="Str">
      <formula>NOT(ISERROR(SEARCH("Str",N118)))</formula>
    </cfRule>
    <cfRule type="containsText" dxfId="1599" priority="1424" operator="containsText" text="Ere">
      <formula>NOT(ISERROR(SEARCH("Ere",N118)))</formula>
    </cfRule>
    <cfRule type="containsText" dxfId="1598" priority="1425" operator="containsText" text="Ear">
      <formula>NOT(ISERROR(SEARCH("Ear",N118)))</formula>
    </cfRule>
    <cfRule type="containsText" dxfId="1597" priority="1426" operator="containsText" text="fnd">
      <formula>NOT(ISERROR(SEARCH("fnd",N118)))</formula>
    </cfRule>
  </conditionalFormatting>
  <conditionalFormatting sqref="N126:O126">
    <cfRule type="containsText" dxfId="1596" priority="667" operator="containsText" text="Str">
      <formula>NOT(ISERROR(SEARCH("Str",N126)))</formula>
    </cfRule>
    <cfRule type="containsText" dxfId="1595" priority="668" operator="containsText" text="Ere">
      <formula>NOT(ISERROR(SEARCH("Ere",N126)))</formula>
    </cfRule>
    <cfRule type="containsText" dxfId="1594" priority="669" operator="containsText" text="Ear">
      <formula>NOT(ISERROR(SEARCH("Ear",N126)))</formula>
    </cfRule>
    <cfRule type="containsText" dxfId="1593" priority="670" operator="containsText" text="fnd">
      <formula>NOT(ISERROR(SEARCH("fnd",N126)))</formula>
    </cfRule>
  </conditionalFormatting>
  <conditionalFormatting sqref="N134:O134">
    <cfRule type="containsText" dxfId="1592" priority="1367" operator="containsText" text="Str">
      <formula>NOT(ISERROR(SEARCH("Str",N134)))</formula>
    </cfRule>
    <cfRule type="containsText" dxfId="1591" priority="1368" operator="containsText" text="Ere">
      <formula>NOT(ISERROR(SEARCH("Ere",N134)))</formula>
    </cfRule>
    <cfRule type="containsText" dxfId="1590" priority="1369" operator="containsText" text="Ear">
      <formula>NOT(ISERROR(SEARCH("Ear",N134)))</formula>
    </cfRule>
    <cfRule type="containsText" dxfId="1589" priority="1370" operator="containsText" text="fnd">
      <formula>NOT(ISERROR(SEARCH("fnd",N134)))</formula>
    </cfRule>
  </conditionalFormatting>
  <conditionalFormatting sqref="N142:O142">
    <cfRule type="containsText" dxfId="1588" priority="1283" operator="containsText" text="Str">
      <formula>NOT(ISERROR(SEARCH("Str",N142)))</formula>
    </cfRule>
    <cfRule type="containsText" dxfId="1587" priority="1284" operator="containsText" text="Ere">
      <formula>NOT(ISERROR(SEARCH("Ere",N142)))</formula>
    </cfRule>
    <cfRule type="containsText" dxfId="1586" priority="1285" operator="containsText" text="Ear">
      <formula>NOT(ISERROR(SEARCH("Ear",N142)))</formula>
    </cfRule>
    <cfRule type="containsText" dxfId="1585" priority="1286" operator="containsText" text="fnd">
      <formula>NOT(ISERROR(SEARCH("fnd",N142)))</formula>
    </cfRule>
  </conditionalFormatting>
  <conditionalFormatting sqref="N158:O158">
    <cfRule type="containsText" dxfId="1584" priority="1135" operator="containsText" text="Str">
      <formula>NOT(ISERROR(SEARCH("Str",N158)))</formula>
    </cfRule>
    <cfRule type="containsText" dxfId="1583" priority="1136" operator="containsText" text="Ere">
      <formula>NOT(ISERROR(SEARCH("Ere",N158)))</formula>
    </cfRule>
    <cfRule type="containsText" dxfId="1582" priority="1137" operator="containsText" text="Ear">
      <formula>NOT(ISERROR(SEARCH("Ear",N158)))</formula>
    </cfRule>
    <cfRule type="containsText" dxfId="1581" priority="1138" operator="containsText" text="fnd">
      <formula>NOT(ISERROR(SEARCH("fnd",N158)))</formula>
    </cfRule>
  </conditionalFormatting>
  <conditionalFormatting sqref="N166:O166">
    <cfRule type="containsText" dxfId="1580" priority="1071" operator="containsText" text="Str">
      <formula>NOT(ISERROR(SEARCH("Str",N166)))</formula>
    </cfRule>
    <cfRule type="containsText" dxfId="1579" priority="1072" operator="containsText" text="Ere">
      <formula>NOT(ISERROR(SEARCH("Ere",N166)))</formula>
    </cfRule>
    <cfRule type="containsText" dxfId="1578" priority="1073" operator="containsText" text="Ear">
      <formula>NOT(ISERROR(SEARCH("Ear",N166)))</formula>
    </cfRule>
    <cfRule type="containsText" dxfId="1577" priority="1074" operator="containsText" text="fnd">
      <formula>NOT(ISERROR(SEARCH("fnd",N166)))</formula>
    </cfRule>
  </conditionalFormatting>
  <conditionalFormatting sqref="N174:O174">
    <cfRule type="containsText" dxfId="1576" priority="469" operator="containsText" text="Str">
      <formula>NOT(ISERROR(SEARCH("Str",N174)))</formula>
    </cfRule>
    <cfRule type="containsText" dxfId="1575" priority="470" operator="containsText" text="Ere">
      <formula>NOT(ISERROR(SEARCH("Ere",N174)))</formula>
    </cfRule>
    <cfRule type="containsText" dxfId="1574" priority="471" operator="containsText" text="Ear">
      <formula>NOT(ISERROR(SEARCH("Ear",N174)))</formula>
    </cfRule>
    <cfRule type="containsText" dxfId="1573" priority="472" operator="containsText" text="fnd">
      <formula>NOT(ISERROR(SEARCH("fnd",N174)))</formula>
    </cfRule>
  </conditionalFormatting>
  <conditionalFormatting sqref="N182:O182">
    <cfRule type="containsText" dxfId="1572" priority="149" operator="containsText" text="Str">
      <formula>NOT(ISERROR(SEARCH("Str",N182)))</formula>
    </cfRule>
    <cfRule type="containsText" dxfId="1571" priority="150" operator="containsText" text="Ere">
      <formula>NOT(ISERROR(SEARCH("Ere",N182)))</formula>
    </cfRule>
    <cfRule type="containsText" dxfId="1570" priority="151" operator="containsText" text="Ear">
      <formula>NOT(ISERROR(SEARCH("Ear",N182)))</formula>
    </cfRule>
    <cfRule type="containsText" dxfId="1569" priority="152" operator="containsText" text="fnd">
      <formula>NOT(ISERROR(SEARCH("fnd",N182)))</formula>
    </cfRule>
  </conditionalFormatting>
  <conditionalFormatting sqref="O6">
    <cfRule type="containsText" dxfId="1568" priority="229" operator="containsText" text="Str">
      <formula>NOT(ISERROR(SEARCH("Str",O6)))</formula>
    </cfRule>
    <cfRule type="containsText" dxfId="1567" priority="230" operator="containsText" text="Ere">
      <formula>NOT(ISERROR(SEARCH("Ere",O6)))</formula>
    </cfRule>
    <cfRule type="containsText" dxfId="1566" priority="231" operator="containsText" text="Ear">
      <formula>NOT(ISERROR(SEARCH("Ear",O6)))</formula>
    </cfRule>
    <cfRule type="containsText" dxfId="1565" priority="232" operator="containsText" text="fnd">
      <formula>NOT(ISERROR(SEARCH("fnd",O6)))</formula>
    </cfRule>
  </conditionalFormatting>
  <conditionalFormatting sqref="O14">
    <cfRule type="containsText" dxfId="1564" priority="1727" operator="containsText" text="Str">
      <formula>NOT(ISERROR(SEARCH("Str",O14)))</formula>
    </cfRule>
    <cfRule type="containsText" dxfId="1563" priority="1728" operator="containsText" text="Ere">
      <formula>NOT(ISERROR(SEARCH("Ere",O14)))</formula>
    </cfRule>
    <cfRule type="containsText" dxfId="1562" priority="1729" operator="containsText" text="Ear">
      <formula>NOT(ISERROR(SEARCH("Ear",O14)))</formula>
    </cfRule>
    <cfRule type="containsText" dxfId="1561" priority="1730" operator="containsText" text="fnd">
      <formula>NOT(ISERROR(SEARCH("fnd",O14)))</formula>
    </cfRule>
  </conditionalFormatting>
  <conditionalFormatting sqref="O22">
    <cfRule type="containsText" dxfId="1560" priority="1639" operator="containsText" text="Str">
      <formula>NOT(ISERROR(SEARCH("Str",O22)))</formula>
    </cfRule>
    <cfRule type="containsText" dxfId="1559" priority="1640" operator="containsText" text="Ere">
      <formula>NOT(ISERROR(SEARCH("Ere",O22)))</formula>
    </cfRule>
    <cfRule type="containsText" dxfId="1558" priority="1641" operator="containsText" text="Ear">
      <formula>NOT(ISERROR(SEARCH("Ear",O22)))</formula>
    </cfRule>
    <cfRule type="containsText" dxfId="1557" priority="1642" operator="containsText" text="fnd">
      <formula>NOT(ISERROR(SEARCH("fnd",O22)))</formula>
    </cfRule>
  </conditionalFormatting>
  <conditionalFormatting sqref="O38">
    <cfRule type="containsText" dxfId="1556" priority="899" operator="containsText" text="Str">
      <formula>NOT(ISERROR(SEARCH("Str",O38)))</formula>
    </cfRule>
    <cfRule type="containsText" dxfId="1555" priority="900" operator="containsText" text="Ere">
      <formula>NOT(ISERROR(SEARCH("Ere",O38)))</formula>
    </cfRule>
    <cfRule type="containsText" dxfId="1554" priority="901" operator="containsText" text="Ear">
      <formula>NOT(ISERROR(SEARCH("Ear",O38)))</formula>
    </cfRule>
    <cfRule type="containsText" dxfId="1553" priority="902" operator="containsText" text="fnd">
      <formula>NOT(ISERROR(SEARCH("fnd",O38)))</formula>
    </cfRule>
  </conditionalFormatting>
  <conditionalFormatting sqref="O78">
    <cfRule type="containsText" dxfId="1552" priority="1963" operator="containsText" text="Str">
      <formula>NOT(ISERROR(SEARCH("Str",O78)))</formula>
    </cfRule>
    <cfRule type="containsText" dxfId="1551" priority="1964" operator="containsText" text="Ere">
      <formula>NOT(ISERROR(SEARCH("Ere",O78)))</formula>
    </cfRule>
    <cfRule type="containsText" dxfId="1550" priority="1965" operator="containsText" text="Ear">
      <formula>NOT(ISERROR(SEARCH("Ear",O78)))</formula>
    </cfRule>
    <cfRule type="containsText" dxfId="1549" priority="1966" operator="containsText" text="fnd">
      <formula>NOT(ISERROR(SEARCH("fnd",O78)))</formula>
    </cfRule>
  </conditionalFormatting>
  <conditionalFormatting sqref="O201">
    <cfRule type="containsText" dxfId="1548" priority="2139" operator="containsText" text="Str">
      <formula>NOT(ISERROR(SEARCH("Str",O201)))</formula>
    </cfRule>
    <cfRule type="containsText" dxfId="1547" priority="2140" operator="containsText" text="Ere">
      <formula>NOT(ISERROR(SEARCH("Ere",O201)))</formula>
    </cfRule>
    <cfRule type="containsText" dxfId="1546" priority="2141" operator="containsText" text="Ear">
      <formula>NOT(ISERROR(SEARCH("Ear",O201)))</formula>
    </cfRule>
    <cfRule type="containsText" dxfId="1545" priority="2142" operator="containsText" text="fnd">
      <formula>NOT(ISERROR(SEARCH("fnd",O201)))</formula>
    </cfRule>
  </conditionalFormatting>
  <conditionalFormatting sqref="Q5:Q6">
    <cfRule type="containsText" dxfId="1544" priority="225" operator="containsText" text="Str">
      <formula>NOT(ISERROR(SEARCH("Str",Q5)))</formula>
    </cfRule>
    <cfRule type="containsText" dxfId="1543" priority="226" operator="containsText" text="Ere">
      <formula>NOT(ISERROR(SEARCH("Ere",Q5)))</formula>
    </cfRule>
    <cfRule type="containsText" dxfId="1542" priority="227" operator="containsText" text="Ear">
      <formula>NOT(ISERROR(SEARCH("Ear",Q5)))</formula>
    </cfRule>
    <cfRule type="containsText" dxfId="1541" priority="228" operator="containsText" text="fnd">
      <formula>NOT(ISERROR(SEARCH("fnd",Q5)))</formula>
    </cfRule>
  </conditionalFormatting>
  <conditionalFormatting sqref="Q13:Q14">
    <cfRule type="containsText" dxfId="1540" priority="1767" operator="containsText" text="Str">
      <formula>NOT(ISERROR(SEARCH("Str",Q13)))</formula>
    </cfRule>
    <cfRule type="containsText" dxfId="1539" priority="1768" operator="containsText" text="Ere">
      <formula>NOT(ISERROR(SEARCH("Ere",Q13)))</formula>
    </cfRule>
    <cfRule type="containsText" dxfId="1538" priority="1769" operator="containsText" text="Ear">
      <formula>NOT(ISERROR(SEARCH("Ear",Q13)))</formula>
    </cfRule>
    <cfRule type="containsText" dxfId="1537" priority="1770" operator="containsText" text="fnd">
      <formula>NOT(ISERROR(SEARCH("fnd",Q13)))</formula>
    </cfRule>
  </conditionalFormatting>
  <conditionalFormatting sqref="Q21:Q22">
    <cfRule type="containsText" dxfId="1536" priority="1635" operator="containsText" text="Str">
      <formula>NOT(ISERROR(SEARCH("Str",Q21)))</formula>
    </cfRule>
    <cfRule type="containsText" dxfId="1535" priority="1636" operator="containsText" text="Ere">
      <formula>NOT(ISERROR(SEARCH("Ere",Q21)))</formula>
    </cfRule>
    <cfRule type="containsText" dxfId="1534" priority="1637" operator="containsText" text="Ear">
      <formula>NOT(ISERROR(SEARCH("Ear",Q21)))</formula>
    </cfRule>
    <cfRule type="containsText" dxfId="1533" priority="1638" operator="containsText" text="fnd">
      <formula>NOT(ISERROR(SEARCH("fnd",Q21)))</formula>
    </cfRule>
  </conditionalFormatting>
  <conditionalFormatting sqref="Q29">
    <cfRule type="containsText" dxfId="1532" priority="687" operator="containsText" text="Str">
      <formula>NOT(ISERROR(SEARCH("Str",Q29)))</formula>
    </cfRule>
    <cfRule type="containsText" dxfId="1531" priority="688" operator="containsText" text="Ere">
      <formula>NOT(ISERROR(SEARCH("Ere",Q29)))</formula>
    </cfRule>
    <cfRule type="containsText" dxfId="1530" priority="689" operator="containsText" text="Ear">
      <formula>NOT(ISERROR(SEARCH("Ear",Q29)))</formula>
    </cfRule>
    <cfRule type="containsText" dxfId="1529" priority="690" operator="containsText" text="fnd">
      <formula>NOT(ISERROR(SEARCH("fnd",Q29)))</formula>
    </cfRule>
  </conditionalFormatting>
  <conditionalFormatting sqref="Q37:Q38">
    <cfRule type="containsText" dxfId="1528" priority="2159" operator="containsText" text="Str">
      <formula>NOT(ISERROR(SEARCH("Str",Q37)))</formula>
    </cfRule>
    <cfRule type="containsText" dxfId="1527" priority="2160" operator="containsText" text="Ere">
      <formula>NOT(ISERROR(SEARCH("Ere",Q37)))</formula>
    </cfRule>
    <cfRule type="containsText" dxfId="1526" priority="2161" operator="containsText" text="Ear">
      <formula>NOT(ISERROR(SEARCH("Ear",Q37)))</formula>
    </cfRule>
    <cfRule type="containsText" dxfId="1525" priority="2162" operator="containsText" text="fnd">
      <formula>NOT(ISERROR(SEARCH("fnd",Q37)))</formula>
    </cfRule>
  </conditionalFormatting>
  <conditionalFormatting sqref="Q45">
    <cfRule type="containsText" dxfId="1524" priority="875" operator="containsText" text="Str">
      <formula>NOT(ISERROR(SEARCH("Str",Q45)))</formula>
    </cfRule>
    <cfRule type="containsText" dxfId="1523" priority="876" operator="containsText" text="Ere">
      <formula>NOT(ISERROR(SEARCH("Ere",Q45)))</formula>
    </cfRule>
    <cfRule type="containsText" dxfId="1522" priority="877" operator="containsText" text="Ear">
      <formula>NOT(ISERROR(SEARCH("Ear",Q45)))</formula>
    </cfRule>
    <cfRule type="containsText" dxfId="1521" priority="878" operator="containsText" text="fnd">
      <formula>NOT(ISERROR(SEARCH("fnd",Q45)))</formula>
    </cfRule>
  </conditionalFormatting>
  <conditionalFormatting sqref="Q53">
    <cfRule type="containsText" dxfId="1520" priority="2187" operator="containsText" text="Str">
      <formula>NOT(ISERROR(SEARCH("Str",Q53)))</formula>
    </cfRule>
    <cfRule type="containsText" dxfId="1519" priority="2188" operator="containsText" text="Ere">
      <formula>NOT(ISERROR(SEARCH("Ere",Q53)))</formula>
    </cfRule>
    <cfRule type="containsText" dxfId="1518" priority="2189" operator="containsText" text="Ear">
      <formula>NOT(ISERROR(SEARCH("Ear",Q53)))</formula>
    </cfRule>
    <cfRule type="containsText" dxfId="1517" priority="2190" operator="containsText" text="fnd">
      <formula>NOT(ISERROR(SEARCH("fnd",Q53)))</formula>
    </cfRule>
  </conditionalFormatting>
  <conditionalFormatting sqref="Q61">
    <cfRule type="containsText" dxfId="1516" priority="855" operator="containsText" text="Str">
      <formula>NOT(ISERROR(SEARCH("Str",Q61)))</formula>
    </cfRule>
    <cfRule type="containsText" dxfId="1515" priority="856" operator="containsText" text="Ere">
      <formula>NOT(ISERROR(SEARCH("Ere",Q61)))</formula>
    </cfRule>
    <cfRule type="containsText" dxfId="1514" priority="857" operator="containsText" text="Ear">
      <formula>NOT(ISERROR(SEARCH("Ear",Q61)))</formula>
    </cfRule>
    <cfRule type="containsText" dxfId="1513" priority="858" operator="containsText" text="fnd">
      <formula>NOT(ISERROR(SEARCH("fnd",Q61)))</formula>
    </cfRule>
  </conditionalFormatting>
  <conditionalFormatting sqref="Q77">
    <cfRule type="containsText" dxfId="1512" priority="827" operator="containsText" text="Str">
      <formula>NOT(ISERROR(SEARCH("Str",Q77)))</formula>
    </cfRule>
    <cfRule type="containsText" dxfId="1511" priority="828" operator="containsText" text="Ere">
      <formula>NOT(ISERROR(SEARCH("Ere",Q77)))</formula>
    </cfRule>
    <cfRule type="containsText" dxfId="1510" priority="829" operator="containsText" text="Ear">
      <formula>NOT(ISERROR(SEARCH("Ear",Q77)))</formula>
    </cfRule>
    <cfRule type="containsText" dxfId="1509" priority="830" operator="containsText" text="fnd">
      <formula>NOT(ISERROR(SEARCH("fnd",Q77)))</formula>
    </cfRule>
  </conditionalFormatting>
  <conditionalFormatting sqref="Q85">
    <cfRule type="containsText" dxfId="1508" priority="2167" operator="containsText" text="Str">
      <formula>NOT(ISERROR(SEARCH("Str",Q85)))</formula>
    </cfRule>
    <cfRule type="containsText" dxfId="1507" priority="2168" operator="containsText" text="Ere">
      <formula>NOT(ISERROR(SEARCH("Ere",Q85)))</formula>
    </cfRule>
    <cfRule type="containsText" dxfId="1506" priority="2169" operator="containsText" text="Ear">
      <formula>NOT(ISERROR(SEARCH("Ear",Q85)))</formula>
    </cfRule>
    <cfRule type="containsText" dxfId="1505" priority="2170" operator="containsText" text="fnd">
      <formula>NOT(ISERROR(SEARCH("fnd",Q85)))</formula>
    </cfRule>
  </conditionalFormatting>
  <conditionalFormatting sqref="Q93">
    <cfRule type="containsText" dxfId="1504" priority="1611" operator="containsText" text="Str">
      <formula>NOT(ISERROR(SEARCH("Str",Q93)))</formula>
    </cfRule>
    <cfRule type="containsText" dxfId="1503" priority="1612" operator="containsText" text="Ere">
      <formula>NOT(ISERROR(SEARCH("Ere",Q93)))</formula>
    </cfRule>
    <cfRule type="containsText" dxfId="1502" priority="1613" operator="containsText" text="Ear">
      <formula>NOT(ISERROR(SEARCH("Ear",Q93)))</formula>
    </cfRule>
    <cfRule type="containsText" dxfId="1501" priority="1614" operator="containsText" text="fnd">
      <formula>NOT(ISERROR(SEARCH("fnd",Q93)))</formula>
    </cfRule>
  </conditionalFormatting>
  <conditionalFormatting sqref="Q101">
    <cfRule type="containsText" dxfId="1500" priority="1575" operator="containsText" text="Str">
      <formula>NOT(ISERROR(SEARCH("Str",Q101)))</formula>
    </cfRule>
    <cfRule type="containsText" dxfId="1499" priority="1576" operator="containsText" text="Ere">
      <formula>NOT(ISERROR(SEARCH("Ere",Q101)))</formula>
    </cfRule>
    <cfRule type="containsText" dxfId="1498" priority="1577" operator="containsText" text="Ear">
      <formula>NOT(ISERROR(SEARCH("Ear",Q101)))</formula>
    </cfRule>
    <cfRule type="containsText" dxfId="1497" priority="1578" operator="containsText" text="fnd">
      <formula>NOT(ISERROR(SEARCH("fnd",Q101)))</formula>
    </cfRule>
  </conditionalFormatting>
  <conditionalFormatting sqref="Q109">
    <cfRule type="containsText" dxfId="1496" priority="1811" operator="containsText" text="Str">
      <formula>NOT(ISERROR(SEARCH("Str",Q109)))</formula>
    </cfRule>
    <cfRule type="containsText" dxfId="1495" priority="1812" operator="containsText" text="Ere">
      <formula>NOT(ISERROR(SEARCH("Ere",Q109)))</formula>
    </cfRule>
    <cfRule type="containsText" dxfId="1494" priority="1813" operator="containsText" text="Ear">
      <formula>NOT(ISERROR(SEARCH("Ear",Q109)))</formula>
    </cfRule>
    <cfRule type="containsText" dxfId="1493" priority="1814" operator="containsText" text="fnd">
      <formula>NOT(ISERROR(SEARCH("fnd",Q109)))</formula>
    </cfRule>
  </conditionalFormatting>
  <conditionalFormatting sqref="Q117">
    <cfRule type="containsText" dxfId="1492" priority="1435" operator="containsText" text="Str">
      <formula>NOT(ISERROR(SEARCH("Str",Q117)))</formula>
    </cfRule>
    <cfRule type="containsText" dxfId="1491" priority="1436" operator="containsText" text="Ere">
      <formula>NOT(ISERROR(SEARCH("Ere",Q117)))</formula>
    </cfRule>
    <cfRule type="containsText" dxfId="1490" priority="1437" operator="containsText" text="Ear">
      <formula>NOT(ISERROR(SEARCH("Ear",Q117)))</formula>
    </cfRule>
    <cfRule type="containsText" dxfId="1489" priority="1438" operator="containsText" text="fnd">
      <formula>NOT(ISERROR(SEARCH("fnd",Q117)))</formula>
    </cfRule>
  </conditionalFormatting>
  <conditionalFormatting sqref="Q125">
    <cfRule type="containsText" dxfId="1488" priority="549" operator="containsText" text="Str">
      <formula>NOT(ISERROR(SEARCH("Str",Q125)))</formula>
    </cfRule>
    <cfRule type="containsText" dxfId="1487" priority="550" operator="containsText" text="Ere">
      <formula>NOT(ISERROR(SEARCH("Ere",Q125)))</formula>
    </cfRule>
    <cfRule type="containsText" dxfId="1486" priority="551" operator="containsText" text="Ear">
      <formula>NOT(ISERROR(SEARCH("Ear",Q125)))</formula>
    </cfRule>
    <cfRule type="containsText" dxfId="1485" priority="552" operator="containsText" text="fnd">
      <formula>NOT(ISERROR(SEARCH("fnd",Q125)))</formula>
    </cfRule>
  </conditionalFormatting>
  <conditionalFormatting sqref="Q130 Q138 Q162 Q178">
    <cfRule type="containsText" dxfId="1484" priority="2083" operator="containsText" text="Str">
      <formula>NOT(ISERROR(SEARCH("Str",Q130)))</formula>
    </cfRule>
    <cfRule type="containsText" dxfId="1483" priority="2084" operator="containsText" text="Ere">
      <formula>NOT(ISERROR(SEARCH("Ere",Q130)))</formula>
    </cfRule>
    <cfRule type="containsText" dxfId="1482" priority="2085" operator="containsText" text="Ear">
      <formula>NOT(ISERROR(SEARCH("Ear",Q130)))</formula>
    </cfRule>
    <cfRule type="containsText" dxfId="1481" priority="2086" operator="containsText" text="fnd">
      <formula>NOT(ISERROR(SEARCH("fnd",Q130)))</formula>
    </cfRule>
  </conditionalFormatting>
  <conditionalFormatting sqref="Q133">
    <cfRule type="containsText" dxfId="1480" priority="37" operator="containsText" text="Str">
      <formula>NOT(ISERROR(SEARCH("Str",Q133)))</formula>
    </cfRule>
    <cfRule type="containsText" dxfId="1479" priority="38" operator="containsText" text="Ere">
      <formula>NOT(ISERROR(SEARCH("Ere",Q133)))</formula>
    </cfRule>
    <cfRule type="containsText" dxfId="1478" priority="39" operator="containsText" text="Ear">
      <formula>NOT(ISERROR(SEARCH("Ear",Q133)))</formula>
    </cfRule>
    <cfRule type="containsText" dxfId="1477" priority="40" operator="containsText" text="fnd">
      <formula>NOT(ISERROR(SEARCH("fnd",Q133)))</formula>
    </cfRule>
  </conditionalFormatting>
  <conditionalFormatting sqref="Q141">
    <cfRule type="containsText" dxfId="1476" priority="1295" operator="containsText" text="Str">
      <formula>NOT(ISERROR(SEARCH("Str",Q141)))</formula>
    </cfRule>
    <cfRule type="containsText" dxfId="1475" priority="1296" operator="containsText" text="Ere">
      <formula>NOT(ISERROR(SEARCH("Ere",Q141)))</formula>
    </cfRule>
    <cfRule type="containsText" dxfId="1474" priority="1297" operator="containsText" text="Ear">
      <formula>NOT(ISERROR(SEARCH("Ear",Q141)))</formula>
    </cfRule>
    <cfRule type="containsText" dxfId="1473" priority="1298" operator="containsText" text="fnd">
      <formula>NOT(ISERROR(SEARCH("fnd",Q141)))</formula>
    </cfRule>
  </conditionalFormatting>
  <conditionalFormatting sqref="Q149">
    <cfRule type="containsText" dxfId="1472" priority="1207" operator="containsText" text="Str">
      <formula>NOT(ISERROR(SEARCH("Str",Q149)))</formula>
    </cfRule>
    <cfRule type="containsText" dxfId="1471" priority="1208" operator="containsText" text="Ere">
      <formula>NOT(ISERROR(SEARCH("Ere",Q149)))</formula>
    </cfRule>
    <cfRule type="containsText" dxfId="1470" priority="1209" operator="containsText" text="Ear">
      <formula>NOT(ISERROR(SEARCH("Ear",Q149)))</formula>
    </cfRule>
    <cfRule type="containsText" dxfId="1469" priority="1210" operator="containsText" text="fnd">
      <formula>NOT(ISERROR(SEARCH("fnd",Q149)))</formula>
    </cfRule>
  </conditionalFormatting>
  <conditionalFormatting sqref="Q157">
    <cfRule type="containsText" dxfId="1468" priority="1147" operator="containsText" text="Str">
      <formula>NOT(ISERROR(SEARCH("Str",Q157)))</formula>
    </cfRule>
    <cfRule type="containsText" dxfId="1467" priority="1148" operator="containsText" text="Ere">
      <formula>NOT(ISERROR(SEARCH("Ere",Q157)))</formula>
    </cfRule>
    <cfRule type="containsText" dxfId="1466" priority="1149" operator="containsText" text="Ear">
      <formula>NOT(ISERROR(SEARCH("Ear",Q157)))</formula>
    </cfRule>
    <cfRule type="containsText" dxfId="1465" priority="1150" operator="containsText" text="fnd">
      <formula>NOT(ISERROR(SEARCH("fnd",Q157)))</formula>
    </cfRule>
  </conditionalFormatting>
  <conditionalFormatting sqref="Q165">
    <cfRule type="containsText" dxfId="1464" priority="1083" operator="containsText" text="Str">
      <formula>NOT(ISERROR(SEARCH("Str",Q165)))</formula>
    </cfRule>
    <cfRule type="containsText" dxfId="1463" priority="1084" operator="containsText" text="Ere">
      <formula>NOT(ISERROR(SEARCH("Ere",Q165)))</formula>
    </cfRule>
    <cfRule type="containsText" dxfId="1462" priority="1085" operator="containsText" text="Ear">
      <formula>NOT(ISERROR(SEARCH("Ear",Q165)))</formula>
    </cfRule>
    <cfRule type="containsText" dxfId="1461" priority="1086" operator="containsText" text="fnd">
      <formula>NOT(ISERROR(SEARCH("fnd",Q165)))</formula>
    </cfRule>
  </conditionalFormatting>
  <conditionalFormatting sqref="Q173">
    <cfRule type="containsText" dxfId="1460" priority="417" operator="containsText" text="Str">
      <formula>NOT(ISERROR(SEARCH("Str",Q173)))</formula>
    </cfRule>
    <cfRule type="containsText" dxfId="1459" priority="418" operator="containsText" text="Ere">
      <formula>NOT(ISERROR(SEARCH("Ere",Q173)))</formula>
    </cfRule>
    <cfRule type="containsText" dxfId="1458" priority="419" operator="containsText" text="Ear">
      <formula>NOT(ISERROR(SEARCH("Ear",Q173)))</formula>
    </cfRule>
    <cfRule type="containsText" dxfId="1457" priority="420" operator="containsText" text="fnd">
      <formula>NOT(ISERROR(SEARCH("fnd",Q173)))</formula>
    </cfRule>
  </conditionalFormatting>
  <conditionalFormatting sqref="Q181">
    <cfRule type="containsText" dxfId="1456" priority="137" operator="containsText" text="Str">
      <formula>NOT(ISERROR(SEARCH("Str",Q181)))</formula>
    </cfRule>
    <cfRule type="containsText" dxfId="1455" priority="138" operator="containsText" text="Ere">
      <formula>NOT(ISERROR(SEARCH("Ere",Q181)))</formula>
    </cfRule>
    <cfRule type="containsText" dxfId="1454" priority="139" operator="containsText" text="Ear">
      <formula>NOT(ISERROR(SEARCH("Ear",Q181)))</formula>
    </cfRule>
    <cfRule type="containsText" dxfId="1453" priority="140" operator="containsText" text="fnd">
      <formula>NOT(ISERROR(SEARCH("fnd",Q181)))</formula>
    </cfRule>
  </conditionalFormatting>
  <conditionalFormatting sqref="Q30:R30">
    <cfRule type="containsText" dxfId="1452" priority="691" operator="containsText" text="Str">
      <formula>NOT(ISERROR(SEARCH("Str",Q30)))</formula>
    </cfRule>
    <cfRule type="containsText" dxfId="1451" priority="692" operator="containsText" text="Ere">
      <formula>NOT(ISERROR(SEARCH("Ere",Q30)))</formula>
    </cfRule>
    <cfRule type="containsText" dxfId="1450" priority="693" operator="containsText" text="Ear">
      <formula>NOT(ISERROR(SEARCH("Ear",Q30)))</formula>
    </cfRule>
    <cfRule type="containsText" dxfId="1449" priority="694" operator="containsText" text="fnd">
      <formula>NOT(ISERROR(SEARCH("fnd",Q30)))</formula>
    </cfRule>
  </conditionalFormatting>
  <conditionalFormatting sqref="Q54:R54">
    <cfRule type="containsText" dxfId="1448" priority="2347" operator="containsText" text="Str">
      <formula>NOT(ISERROR(SEARCH("Str",Q54)))</formula>
    </cfRule>
    <cfRule type="containsText" dxfId="1447" priority="2348" operator="containsText" text="Ere">
      <formula>NOT(ISERROR(SEARCH("Ere",Q54)))</formula>
    </cfRule>
    <cfRule type="containsText" dxfId="1446" priority="2349" operator="containsText" text="Ear">
      <formula>NOT(ISERROR(SEARCH("Ear",Q54)))</formula>
    </cfRule>
    <cfRule type="containsText" dxfId="1445" priority="2350" operator="containsText" text="fnd">
      <formula>NOT(ISERROR(SEARCH("fnd",Q54)))</formula>
    </cfRule>
  </conditionalFormatting>
  <conditionalFormatting sqref="Q78:R78">
    <cfRule type="containsText" dxfId="1444" priority="831" operator="containsText" text="Str">
      <formula>NOT(ISERROR(SEARCH("Str",Q78)))</formula>
    </cfRule>
    <cfRule type="containsText" dxfId="1443" priority="832" operator="containsText" text="Ere">
      <formula>NOT(ISERROR(SEARCH("Ere",Q78)))</formula>
    </cfRule>
    <cfRule type="containsText" dxfId="1442" priority="833" operator="containsText" text="Ear">
      <formula>NOT(ISERROR(SEARCH("Ear",Q78)))</formula>
    </cfRule>
    <cfRule type="containsText" dxfId="1441" priority="834" operator="containsText" text="fnd">
      <formula>NOT(ISERROR(SEARCH("fnd",Q78)))</formula>
    </cfRule>
  </conditionalFormatting>
  <conditionalFormatting sqref="Q86:R86">
    <cfRule type="containsText" dxfId="1440" priority="2215" operator="containsText" text="Str">
      <formula>NOT(ISERROR(SEARCH("Str",Q86)))</formula>
    </cfRule>
    <cfRule type="containsText" dxfId="1439" priority="2216" operator="containsText" text="Ere">
      <formula>NOT(ISERROR(SEARCH("Ere",Q86)))</formula>
    </cfRule>
    <cfRule type="containsText" dxfId="1438" priority="2217" operator="containsText" text="Ear">
      <formula>NOT(ISERROR(SEARCH("Ear",Q86)))</formula>
    </cfRule>
    <cfRule type="containsText" dxfId="1437" priority="2218" operator="containsText" text="fnd">
      <formula>NOT(ISERROR(SEARCH("fnd",Q86)))</formula>
    </cfRule>
  </conditionalFormatting>
  <conditionalFormatting sqref="Q94:R94">
    <cfRule type="containsText" dxfId="1436" priority="1615" operator="containsText" text="Str">
      <formula>NOT(ISERROR(SEARCH("Str",Q94)))</formula>
    </cfRule>
    <cfRule type="containsText" dxfId="1435" priority="1616" operator="containsText" text="Ere">
      <formula>NOT(ISERROR(SEARCH("Ere",Q94)))</formula>
    </cfRule>
    <cfRule type="containsText" dxfId="1434" priority="1617" operator="containsText" text="Ear">
      <formula>NOT(ISERROR(SEARCH("Ear",Q94)))</formula>
    </cfRule>
    <cfRule type="containsText" dxfId="1433" priority="1618" operator="containsText" text="fnd">
      <formula>NOT(ISERROR(SEARCH("fnd",Q94)))</formula>
    </cfRule>
  </conditionalFormatting>
  <conditionalFormatting sqref="Q102:R102">
    <cfRule type="containsText" dxfId="1432" priority="1579" operator="containsText" text="Str">
      <formula>NOT(ISERROR(SEARCH("Str",Q102)))</formula>
    </cfRule>
    <cfRule type="containsText" dxfId="1431" priority="1580" operator="containsText" text="Ere">
      <formula>NOT(ISERROR(SEARCH("Ere",Q102)))</formula>
    </cfRule>
    <cfRule type="containsText" dxfId="1430" priority="1581" operator="containsText" text="Ear">
      <formula>NOT(ISERROR(SEARCH("Ear",Q102)))</formula>
    </cfRule>
    <cfRule type="containsText" dxfId="1429" priority="1582" operator="containsText" text="fnd">
      <formula>NOT(ISERROR(SEARCH("fnd",Q102)))</formula>
    </cfRule>
  </conditionalFormatting>
  <conditionalFormatting sqref="Q110:R110">
    <cfRule type="containsText" dxfId="1428" priority="1815" operator="containsText" text="Str">
      <formula>NOT(ISERROR(SEARCH("Str",Q110)))</formula>
    </cfRule>
    <cfRule type="containsText" dxfId="1427" priority="1816" operator="containsText" text="Ere">
      <formula>NOT(ISERROR(SEARCH("Ere",Q110)))</formula>
    </cfRule>
    <cfRule type="containsText" dxfId="1426" priority="1817" operator="containsText" text="Ear">
      <formula>NOT(ISERROR(SEARCH("Ear",Q110)))</formula>
    </cfRule>
    <cfRule type="containsText" dxfId="1425" priority="1818" operator="containsText" text="fnd">
      <formula>NOT(ISERROR(SEARCH("fnd",Q110)))</formula>
    </cfRule>
  </conditionalFormatting>
  <conditionalFormatting sqref="Q118:R118">
    <cfRule type="containsText" dxfId="1424" priority="1439" operator="containsText" text="Str">
      <formula>NOT(ISERROR(SEARCH("Str",Q118)))</formula>
    </cfRule>
    <cfRule type="containsText" dxfId="1423" priority="1440" operator="containsText" text="Ere">
      <formula>NOT(ISERROR(SEARCH("Ere",Q118)))</formula>
    </cfRule>
    <cfRule type="containsText" dxfId="1422" priority="1441" operator="containsText" text="Ear">
      <formula>NOT(ISERROR(SEARCH("Ear",Q118)))</formula>
    </cfRule>
    <cfRule type="containsText" dxfId="1421" priority="1442" operator="containsText" text="fnd">
      <formula>NOT(ISERROR(SEARCH("fnd",Q118)))</formula>
    </cfRule>
  </conditionalFormatting>
  <conditionalFormatting sqref="Q126:R126">
    <cfRule type="containsText" dxfId="1420" priority="553" operator="containsText" text="Str">
      <formula>NOT(ISERROR(SEARCH("Str",Q126)))</formula>
    </cfRule>
    <cfRule type="containsText" dxfId="1419" priority="554" operator="containsText" text="Ere">
      <formula>NOT(ISERROR(SEARCH("Ere",Q126)))</formula>
    </cfRule>
    <cfRule type="containsText" dxfId="1418" priority="555" operator="containsText" text="Ear">
      <formula>NOT(ISERROR(SEARCH("Ear",Q126)))</formula>
    </cfRule>
    <cfRule type="containsText" dxfId="1417" priority="556" operator="containsText" text="fnd">
      <formula>NOT(ISERROR(SEARCH("fnd",Q126)))</formula>
    </cfRule>
  </conditionalFormatting>
  <conditionalFormatting sqref="Q134:R134">
    <cfRule type="containsText" dxfId="1416" priority="41" operator="containsText" text="Str">
      <formula>NOT(ISERROR(SEARCH("Str",Q134)))</formula>
    </cfRule>
    <cfRule type="containsText" dxfId="1415" priority="42" operator="containsText" text="Ere">
      <formula>NOT(ISERROR(SEARCH("Ere",Q134)))</formula>
    </cfRule>
    <cfRule type="containsText" dxfId="1414" priority="43" operator="containsText" text="Ear">
      <formula>NOT(ISERROR(SEARCH("Ear",Q134)))</formula>
    </cfRule>
    <cfRule type="containsText" dxfId="1413" priority="44" operator="containsText" text="fnd">
      <formula>NOT(ISERROR(SEARCH("fnd",Q134)))</formula>
    </cfRule>
  </conditionalFormatting>
  <conditionalFormatting sqref="Q142:R142">
    <cfRule type="containsText" dxfId="1412" priority="1299" operator="containsText" text="Str">
      <formula>NOT(ISERROR(SEARCH("Str",Q142)))</formula>
    </cfRule>
    <cfRule type="containsText" dxfId="1411" priority="1300" operator="containsText" text="Ere">
      <formula>NOT(ISERROR(SEARCH("Ere",Q142)))</formula>
    </cfRule>
    <cfRule type="containsText" dxfId="1410" priority="1301" operator="containsText" text="Ear">
      <formula>NOT(ISERROR(SEARCH("Ear",Q142)))</formula>
    </cfRule>
    <cfRule type="containsText" dxfId="1409" priority="1302" operator="containsText" text="fnd">
      <formula>NOT(ISERROR(SEARCH("fnd",Q142)))</formula>
    </cfRule>
  </conditionalFormatting>
  <conditionalFormatting sqref="Q150:R150">
    <cfRule type="containsText" dxfId="1408" priority="1211" operator="containsText" text="Str">
      <formula>NOT(ISERROR(SEARCH("Str",Q150)))</formula>
    </cfRule>
    <cfRule type="containsText" dxfId="1407" priority="1212" operator="containsText" text="Ere">
      <formula>NOT(ISERROR(SEARCH("Ere",Q150)))</formula>
    </cfRule>
    <cfRule type="containsText" dxfId="1406" priority="1213" operator="containsText" text="Ear">
      <formula>NOT(ISERROR(SEARCH("Ear",Q150)))</formula>
    </cfRule>
    <cfRule type="containsText" dxfId="1405" priority="1214" operator="containsText" text="fnd">
      <formula>NOT(ISERROR(SEARCH("fnd",Q150)))</formula>
    </cfRule>
  </conditionalFormatting>
  <conditionalFormatting sqref="Q166:R166">
    <cfRule type="containsText" dxfId="1404" priority="1087" operator="containsText" text="Str">
      <formula>NOT(ISERROR(SEARCH("Str",Q166)))</formula>
    </cfRule>
    <cfRule type="containsText" dxfId="1403" priority="1088" operator="containsText" text="Ere">
      <formula>NOT(ISERROR(SEARCH("Ere",Q166)))</formula>
    </cfRule>
    <cfRule type="containsText" dxfId="1402" priority="1089" operator="containsText" text="Ear">
      <formula>NOT(ISERROR(SEARCH("Ear",Q166)))</formula>
    </cfRule>
    <cfRule type="containsText" dxfId="1401" priority="1090" operator="containsText" text="fnd">
      <formula>NOT(ISERROR(SEARCH("fnd",Q166)))</formula>
    </cfRule>
  </conditionalFormatting>
  <conditionalFormatting sqref="Q174:R174">
    <cfRule type="containsText" dxfId="1400" priority="421" operator="containsText" text="Str">
      <formula>NOT(ISERROR(SEARCH("Str",Q174)))</formula>
    </cfRule>
    <cfRule type="containsText" dxfId="1399" priority="422" operator="containsText" text="Ere">
      <formula>NOT(ISERROR(SEARCH("Ere",Q174)))</formula>
    </cfRule>
    <cfRule type="containsText" dxfId="1398" priority="423" operator="containsText" text="Ear">
      <formula>NOT(ISERROR(SEARCH("Ear",Q174)))</formula>
    </cfRule>
    <cfRule type="containsText" dxfId="1397" priority="424" operator="containsText" text="fnd">
      <formula>NOT(ISERROR(SEARCH("fnd",Q174)))</formula>
    </cfRule>
  </conditionalFormatting>
  <conditionalFormatting sqref="Q182:R182">
    <cfRule type="containsText" dxfId="1396" priority="141" operator="containsText" text="Str">
      <formula>NOT(ISERROR(SEARCH("Str",Q182)))</formula>
    </cfRule>
    <cfRule type="containsText" dxfId="1395" priority="142" operator="containsText" text="Ere">
      <formula>NOT(ISERROR(SEARCH("Ere",Q182)))</formula>
    </cfRule>
    <cfRule type="containsText" dxfId="1394" priority="143" operator="containsText" text="Ear">
      <formula>NOT(ISERROR(SEARCH("Ear",Q182)))</formula>
    </cfRule>
    <cfRule type="containsText" dxfId="1393" priority="144" operator="containsText" text="fnd">
      <formula>NOT(ISERROR(SEARCH("fnd",Q182)))</formula>
    </cfRule>
  </conditionalFormatting>
  <conditionalFormatting sqref="R6">
    <cfRule type="containsText" dxfId="1392" priority="221" operator="containsText" text="Str">
      <formula>NOT(ISERROR(SEARCH("Str",R6)))</formula>
    </cfRule>
    <cfRule type="containsText" dxfId="1391" priority="222" operator="containsText" text="Ere">
      <formula>NOT(ISERROR(SEARCH("Ere",R6)))</formula>
    </cfRule>
    <cfRule type="containsText" dxfId="1390" priority="223" operator="containsText" text="Ear">
      <formula>NOT(ISERROR(SEARCH("Ear",R6)))</formula>
    </cfRule>
    <cfRule type="containsText" dxfId="1389" priority="224" operator="containsText" text="fnd">
      <formula>NOT(ISERROR(SEARCH("fnd",R6)))</formula>
    </cfRule>
  </conditionalFormatting>
  <conditionalFormatting sqref="R14">
    <cfRule type="containsText" dxfId="1388" priority="1763" operator="containsText" text="Str">
      <formula>NOT(ISERROR(SEARCH("Str",R14)))</formula>
    </cfRule>
    <cfRule type="containsText" dxfId="1387" priority="1764" operator="containsText" text="Ere">
      <formula>NOT(ISERROR(SEARCH("Ere",R14)))</formula>
    </cfRule>
    <cfRule type="containsText" dxfId="1386" priority="1765" operator="containsText" text="Ear">
      <formula>NOT(ISERROR(SEARCH("Ear",R14)))</formula>
    </cfRule>
    <cfRule type="containsText" dxfId="1385" priority="1766" operator="containsText" text="fnd">
      <formula>NOT(ISERROR(SEARCH("fnd",R14)))</formula>
    </cfRule>
  </conditionalFormatting>
  <conditionalFormatting sqref="R22">
    <cfRule type="containsText" dxfId="1384" priority="1631" operator="containsText" text="Str">
      <formula>NOT(ISERROR(SEARCH("Str",R22)))</formula>
    </cfRule>
    <cfRule type="containsText" dxfId="1383" priority="1632" operator="containsText" text="Ere">
      <formula>NOT(ISERROR(SEARCH("Ere",R22)))</formula>
    </cfRule>
    <cfRule type="containsText" dxfId="1382" priority="1633" operator="containsText" text="Ear">
      <formula>NOT(ISERROR(SEARCH("Ear",R22)))</formula>
    </cfRule>
    <cfRule type="containsText" dxfId="1381" priority="1634" operator="containsText" text="fnd">
      <formula>NOT(ISERROR(SEARCH("fnd",R22)))</formula>
    </cfRule>
  </conditionalFormatting>
  <conditionalFormatting sqref="R38">
    <cfRule type="containsText" dxfId="1380" priority="2115" operator="containsText" text="Str">
      <formula>NOT(ISERROR(SEARCH("Str",R38)))</formula>
    </cfRule>
    <cfRule type="containsText" dxfId="1379" priority="2116" operator="containsText" text="Ere">
      <formula>NOT(ISERROR(SEARCH("Ere",R38)))</formula>
    </cfRule>
    <cfRule type="containsText" dxfId="1378" priority="2117" operator="containsText" text="Ear">
      <formula>NOT(ISERROR(SEARCH("Ear",R38)))</formula>
    </cfRule>
    <cfRule type="containsText" dxfId="1377" priority="2118" operator="containsText" text="fnd">
      <formula>NOT(ISERROR(SEARCH("fnd",R38)))</formula>
    </cfRule>
  </conditionalFormatting>
  <conditionalFormatting sqref="S122 T130 T138 T162 T170 T178">
    <cfRule type="containsText" dxfId="1376" priority="2067" operator="containsText" text="Str">
      <formula>NOT(ISERROR(SEARCH("Str",S122)))</formula>
    </cfRule>
    <cfRule type="containsText" dxfId="1375" priority="2068" operator="containsText" text="Ere">
      <formula>NOT(ISERROR(SEARCH("Ere",S122)))</formula>
    </cfRule>
    <cfRule type="containsText" dxfId="1374" priority="2069" operator="containsText" text="Ear">
      <formula>NOT(ISERROR(SEARCH("Ear",S122)))</formula>
    </cfRule>
    <cfRule type="containsText" dxfId="1373" priority="2070" operator="containsText" text="fnd">
      <formula>NOT(ISERROR(SEARCH("fnd",S122)))</formula>
    </cfRule>
  </conditionalFormatting>
  <conditionalFormatting sqref="T5">
    <cfRule type="containsText" dxfId="1372" priority="217" operator="containsText" text="Str">
      <formula>NOT(ISERROR(SEARCH("Str",T5)))</formula>
    </cfRule>
    <cfRule type="containsText" dxfId="1371" priority="218" operator="containsText" text="Ere">
      <formula>NOT(ISERROR(SEARCH("Ere",T5)))</formula>
    </cfRule>
    <cfRule type="containsText" dxfId="1370" priority="219" operator="containsText" text="Ear">
      <formula>NOT(ISERROR(SEARCH("Ear",T5)))</formula>
    </cfRule>
    <cfRule type="containsText" dxfId="1369" priority="220" operator="containsText" text="fnd">
      <formula>NOT(ISERROR(SEARCH("fnd",T5)))</formula>
    </cfRule>
  </conditionalFormatting>
  <conditionalFormatting sqref="T13:T14">
    <cfRule type="containsText" dxfId="1368" priority="445" operator="containsText" text="Str">
      <formula>NOT(ISERROR(SEARCH("Str",T13)))</formula>
    </cfRule>
    <cfRule type="containsText" dxfId="1367" priority="446" operator="containsText" text="Ere">
      <formula>NOT(ISERROR(SEARCH("Ere",T13)))</formula>
    </cfRule>
    <cfRule type="containsText" dxfId="1366" priority="447" operator="containsText" text="Ear">
      <formula>NOT(ISERROR(SEARCH("Ear",T13)))</formula>
    </cfRule>
    <cfRule type="containsText" dxfId="1365" priority="448" operator="containsText" text="fnd">
      <formula>NOT(ISERROR(SEARCH("fnd",T13)))</formula>
    </cfRule>
  </conditionalFormatting>
  <conditionalFormatting sqref="T21:T22">
    <cfRule type="containsText" dxfId="1364" priority="1543" operator="containsText" text="Str">
      <formula>NOT(ISERROR(SEARCH("Str",T21)))</formula>
    </cfRule>
    <cfRule type="containsText" dxfId="1363" priority="1544" operator="containsText" text="Ere">
      <formula>NOT(ISERROR(SEARCH("Ere",T21)))</formula>
    </cfRule>
    <cfRule type="containsText" dxfId="1362" priority="1545" operator="containsText" text="Ear">
      <formula>NOT(ISERROR(SEARCH("Ear",T21)))</formula>
    </cfRule>
    <cfRule type="containsText" dxfId="1361" priority="1546" operator="containsText" text="fnd">
      <formula>NOT(ISERROR(SEARCH("fnd",T21)))</formula>
    </cfRule>
  </conditionalFormatting>
  <conditionalFormatting sqref="T29">
    <cfRule type="containsText" dxfId="1360" priority="341" operator="containsText" text="Str">
      <formula>NOT(ISERROR(SEARCH("Str",T29)))</formula>
    </cfRule>
    <cfRule type="containsText" dxfId="1359" priority="342" operator="containsText" text="Ere">
      <formula>NOT(ISERROR(SEARCH("Ere",T29)))</formula>
    </cfRule>
    <cfRule type="containsText" dxfId="1358" priority="343" operator="containsText" text="Ear">
      <formula>NOT(ISERROR(SEARCH("Ear",T29)))</formula>
    </cfRule>
    <cfRule type="containsText" dxfId="1357" priority="344" operator="containsText" text="fnd">
      <formula>NOT(ISERROR(SEARCH("fnd",T29)))</formula>
    </cfRule>
  </conditionalFormatting>
  <conditionalFormatting sqref="T37">
    <cfRule type="containsText" dxfId="1356" priority="1711" operator="containsText" text="Str">
      <formula>NOT(ISERROR(SEARCH("Str",T37)))</formula>
    </cfRule>
    <cfRule type="containsText" dxfId="1355" priority="1712" operator="containsText" text="Ere">
      <formula>NOT(ISERROR(SEARCH("Ere",T37)))</formula>
    </cfRule>
    <cfRule type="containsText" dxfId="1354" priority="1713" operator="containsText" text="Ear">
      <formula>NOT(ISERROR(SEARCH("Ear",T37)))</formula>
    </cfRule>
    <cfRule type="containsText" dxfId="1353" priority="1714" operator="containsText" text="fnd">
      <formula>NOT(ISERROR(SEARCH("fnd",T37)))</formula>
    </cfRule>
  </conditionalFormatting>
  <conditionalFormatting sqref="T53">
    <cfRule type="containsText" dxfId="1352" priority="2171" operator="containsText" text="Str">
      <formula>NOT(ISERROR(SEARCH("Str",T53)))</formula>
    </cfRule>
    <cfRule type="containsText" dxfId="1351" priority="2172" operator="containsText" text="Ere">
      <formula>NOT(ISERROR(SEARCH("Ere",T53)))</formula>
    </cfRule>
    <cfRule type="containsText" dxfId="1350" priority="2173" operator="containsText" text="Ear">
      <formula>NOT(ISERROR(SEARCH("Ear",T53)))</formula>
    </cfRule>
    <cfRule type="containsText" dxfId="1349" priority="2174" operator="containsText" text="fnd">
      <formula>NOT(ISERROR(SEARCH("fnd",T53)))</formula>
    </cfRule>
  </conditionalFormatting>
  <conditionalFormatting sqref="T61">
    <cfRule type="containsText" dxfId="1348" priority="2095" operator="containsText" text="Str">
      <formula>NOT(ISERROR(SEARCH("Str",T61)))</formula>
    </cfRule>
    <cfRule type="containsText" dxfId="1347" priority="2096" operator="containsText" text="Ere">
      <formula>NOT(ISERROR(SEARCH("Ere",T61)))</formula>
    </cfRule>
    <cfRule type="containsText" dxfId="1346" priority="2097" operator="containsText" text="Ear">
      <formula>NOT(ISERROR(SEARCH("Ear",T61)))</formula>
    </cfRule>
    <cfRule type="containsText" dxfId="1345" priority="2098" operator="containsText" text="fnd">
      <formula>NOT(ISERROR(SEARCH("fnd",T61)))</formula>
    </cfRule>
  </conditionalFormatting>
  <conditionalFormatting sqref="T85">
    <cfRule type="containsText" dxfId="1344" priority="2163" operator="containsText" text="Str">
      <formula>NOT(ISERROR(SEARCH("Str",T85)))</formula>
    </cfRule>
    <cfRule type="containsText" dxfId="1343" priority="2164" operator="containsText" text="Ere">
      <formula>NOT(ISERROR(SEARCH("Ere",T85)))</formula>
    </cfRule>
    <cfRule type="containsText" dxfId="1342" priority="2165" operator="containsText" text="Ear">
      <formula>NOT(ISERROR(SEARCH("Ear",T85)))</formula>
    </cfRule>
    <cfRule type="containsText" dxfId="1341" priority="2166" operator="containsText" text="fnd">
      <formula>NOT(ISERROR(SEARCH("fnd",T85)))</formula>
    </cfRule>
  </conditionalFormatting>
  <conditionalFormatting sqref="T93">
    <cfRule type="containsText" dxfId="1340" priority="2259" operator="containsText" text="Str">
      <formula>NOT(ISERROR(SEARCH("Str",T93)))</formula>
    </cfRule>
    <cfRule type="containsText" dxfId="1339" priority="2260" operator="containsText" text="Ere">
      <formula>NOT(ISERROR(SEARCH("Ere",T93)))</formula>
    </cfRule>
    <cfRule type="containsText" dxfId="1338" priority="2261" operator="containsText" text="Ear">
      <formula>NOT(ISERROR(SEARCH("Ear",T93)))</formula>
    </cfRule>
    <cfRule type="containsText" dxfId="1337" priority="2262" operator="containsText" text="fnd">
      <formula>NOT(ISERROR(SEARCH("fnd",T93)))</formula>
    </cfRule>
  </conditionalFormatting>
  <conditionalFormatting sqref="T101">
    <cfRule type="containsText" dxfId="1336" priority="2235" operator="containsText" text="Str">
      <formula>NOT(ISERROR(SEARCH("Str",T101)))</formula>
    </cfRule>
    <cfRule type="containsText" dxfId="1335" priority="2236" operator="containsText" text="Ere">
      <formula>NOT(ISERROR(SEARCH("Ere",T101)))</formula>
    </cfRule>
    <cfRule type="containsText" dxfId="1334" priority="2237" operator="containsText" text="Ear">
      <formula>NOT(ISERROR(SEARCH("Ear",T101)))</formula>
    </cfRule>
    <cfRule type="containsText" dxfId="1333" priority="2238" operator="containsText" text="fnd">
      <formula>NOT(ISERROR(SEARCH("fnd",T101)))</formula>
    </cfRule>
  </conditionalFormatting>
  <conditionalFormatting sqref="T109">
    <cfRule type="containsText" dxfId="1332" priority="1795" operator="containsText" text="Str">
      <formula>NOT(ISERROR(SEARCH("Str",T109)))</formula>
    </cfRule>
    <cfRule type="containsText" dxfId="1331" priority="1796" operator="containsText" text="Ere">
      <formula>NOT(ISERROR(SEARCH("Ere",T109)))</formula>
    </cfRule>
    <cfRule type="containsText" dxfId="1330" priority="1797" operator="containsText" text="Ear">
      <formula>NOT(ISERROR(SEARCH("Ear",T109)))</formula>
    </cfRule>
    <cfRule type="containsText" dxfId="1329" priority="1798" operator="containsText" text="fnd">
      <formula>NOT(ISERROR(SEARCH("fnd",T109)))</formula>
    </cfRule>
  </conditionalFormatting>
  <conditionalFormatting sqref="T117">
    <cfRule type="containsText" dxfId="1328" priority="1427" operator="containsText" text="Str">
      <formula>NOT(ISERROR(SEARCH("Str",T117)))</formula>
    </cfRule>
    <cfRule type="containsText" dxfId="1327" priority="1428" operator="containsText" text="Ere">
      <formula>NOT(ISERROR(SEARCH("Ere",T117)))</formula>
    </cfRule>
    <cfRule type="containsText" dxfId="1326" priority="1429" operator="containsText" text="Ear">
      <formula>NOT(ISERROR(SEARCH("Ear",T117)))</formula>
    </cfRule>
    <cfRule type="containsText" dxfId="1325" priority="1430" operator="containsText" text="fnd">
      <formula>NOT(ISERROR(SEARCH("fnd",T117)))</formula>
    </cfRule>
  </conditionalFormatting>
  <conditionalFormatting sqref="T125">
    <cfRule type="containsText" dxfId="1324" priority="603" operator="containsText" text="Str">
      <formula>NOT(ISERROR(SEARCH("Str",T125)))</formula>
    </cfRule>
    <cfRule type="containsText" dxfId="1323" priority="604" operator="containsText" text="Ere">
      <formula>NOT(ISERROR(SEARCH("Ere",T125)))</formula>
    </cfRule>
    <cfRule type="containsText" dxfId="1322" priority="605" operator="containsText" text="Ear">
      <formula>NOT(ISERROR(SEARCH("Ear",T125)))</formula>
    </cfRule>
    <cfRule type="containsText" dxfId="1321" priority="606" operator="containsText" text="fnd">
      <formula>NOT(ISERROR(SEARCH("fnd",T125)))</formula>
    </cfRule>
  </conditionalFormatting>
  <conditionalFormatting sqref="T133">
    <cfRule type="containsText" dxfId="1320" priority="377" operator="containsText" text="Str">
      <formula>NOT(ISERROR(SEARCH("Str",T133)))</formula>
    </cfRule>
    <cfRule type="containsText" dxfId="1319" priority="378" operator="containsText" text="Ere">
      <formula>NOT(ISERROR(SEARCH("Ere",T133)))</formula>
    </cfRule>
    <cfRule type="containsText" dxfId="1318" priority="379" operator="containsText" text="Ear">
      <formula>NOT(ISERROR(SEARCH("Ear",T133)))</formula>
    </cfRule>
    <cfRule type="containsText" dxfId="1317" priority="380" operator="containsText" text="fnd">
      <formula>NOT(ISERROR(SEARCH("fnd",T133)))</formula>
    </cfRule>
  </conditionalFormatting>
  <conditionalFormatting sqref="T141">
    <cfRule type="containsText" dxfId="1316" priority="1287" operator="containsText" text="Str">
      <formula>NOT(ISERROR(SEARCH("Str",T141)))</formula>
    </cfRule>
    <cfRule type="containsText" dxfId="1315" priority="1288" operator="containsText" text="Ere">
      <formula>NOT(ISERROR(SEARCH("Ere",T141)))</formula>
    </cfRule>
    <cfRule type="containsText" dxfId="1314" priority="1289" operator="containsText" text="Ear">
      <formula>NOT(ISERROR(SEARCH("Ear",T141)))</formula>
    </cfRule>
    <cfRule type="containsText" dxfId="1313" priority="1290" operator="containsText" text="fnd">
      <formula>NOT(ISERROR(SEARCH("fnd",T141)))</formula>
    </cfRule>
  </conditionalFormatting>
  <conditionalFormatting sqref="T149">
    <cfRule type="containsText" dxfId="1312" priority="1199" operator="containsText" text="Str">
      <formula>NOT(ISERROR(SEARCH("Str",T149)))</formula>
    </cfRule>
    <cfRule type="containsText" dxfId="1311" priority="1200" operator="containsText" text="Ere">
      <formula>NOT(ISERROR(SEARCH("Ere",T149)))</formula>
    </cfRule>
    <cfRule type="containsText" dxfId="1310" priority="1201" operator="containsText" text="Ear">
      <formula>NOT(ISERROR(SEARCH("Ear",T149)))</formula>
    </cfRule>
    <cfRule type="containsText" dxfId="1309" priority="1202" operator="containsText" text="fnd">
      <formula>NOT(ISERROR(SEARCH("fnd",T149)))</formula>
    </cfRule>
  </conditionalFormatting>
  <conditionalFormatting sqref="T157">
    <cfRule type="containsText" dxfId="1308" priority="1139" operator="containsText" text="Str">
      <formula>NOT(ISERROR(SEARCH("Str",T157)))</formula>
    </cfRule>
    <cfRule type="containsText" dxfId="1307" priority="1140" operator="containsText" text="Ere">
      <formula>NOT(ISERROR(SEARCH("Ere",T157)))</formula>
    </cfRule>
    <cfRule type="containsText" dxfId="1306" priority="1141" operator="containsText" text="Ear">
      <formula>NOT(ISERROR(SEARCH("Ear",T157)))</formula>
    </cfRule>
    <cfRule type="containsText" dxfId="1305" priority="1142" operator="containsText" text="fnd">
      <formula>NOT(ISERROR(SEARCH("fnd",T157)))</formula>
    </cfRule>
  </conditionalFormatting>
  <conditionalFormatting sqref="T165">
    <cfRule type="containsText" dxfId="1304" priority="1075" operator="containsText" text="Str">
      <formula>NOT(ISERROR(SEARCH("Str",T165)))</formula>
    </cfRule>
    <cfRule type="containsText" dxfId="1303" priority="1076" operator="containsText" text="Ere">
      <formula>NOT(ISERROR(SEARCH("Ere",T165)))</formula>
    </cfRule>
    <cfRule type="containsText" dxfId="1302" priority="1077" operator="containsText" text="Ear">
      <formula>NOT(ISERROR(SEARCH("Ear",T165)))</formula>
    </cfRule>
    <cfRule type="containsText" dxfId="1301" priority="1078" operator="containsText" text="fnd">
      <formula>NOT(ISERROR(SEARCH("fnd",T165)))</formula>
    </cfRule>
  </conditionalFormatting>
  <conditionalFormatting sqref="T173">
    <cfRule type="containsText" dxfId="1300" priority="1019" operator="containsText" text="Str">
      <formula>NOT(ISERROR(SEARCH("Str",T173)))</formula>
    </cfRule>
    <cfRule type="containsText" dxfId="1299" priority="1020" operator="containsText" text="Ere">
      <formula>NOT(ISERROR(SEARCH("Ere",T173)))</formula>
    </cfRule>
    <cfRule type="containsText" dxfId="1298" priority="1021" operator="containsText" text="Ear">
      <formula>NOT(ISERROR(SEARCH("Ear",T173)))</formula>
    </cfRule>
    <cfRule type="containsText" dxfId="1297" priority="1022" operator="containsText" text="fnd">
      <formula>NOT(ISERROR(SEARCH("fnd",T173)))</formula>
    </cfRule>
  </conditionalFormatting>
  <conditionalFormatting sqref="T181">
    <cfRule type="containsText" dxfId="1296" priority="129" operator="containsText" text="Str">
      <formula>NOT(ISERROR(SEARCH("Str",T181)))</formula>
    </cfRule>
    <cfRule type="containsText" dxfId="1295" priority="130" operator="containsText" text="Ere">
      <formula>NOT(ISERROR(SEARCH("Ere",T181)))</formula>
    </cfRule>
    <cfRule type="containsText" dxfId="1294" priority="131" operator="containsText" text="Ear">
      <formula>NOT(ISERROR(SEARCH("Ear",T181)))</formula>
    </cfRule>
    <cfRule type="containsText" dxfId="1293" priority="132" operator="containsText" text="fnd">
      <formula>NOT(ISERROR(SEARCH("fnd",T181)))</formula>
    </cfRule>
  </conditionalFormatting>
  <conditionalFormatting sqref="T30:U30">
    <cfRule type="containsText" dxfId="1292" priority="345" operator="containsText" text="Str">
      <formula>NOT(ISERROR(SEARCH("Str",T30)))</formula>
    </cfRule>
    <cfRule type="containsText" dxfId="1291" priority="346" operator="containsText" text="Ere">
      <formula>NOT(ISERROR(SEARCH("Ere",T30)))</formula>
    </cfRule>
    <cfRule type="containsText" dxfId="1290" priority="347" operator="containsText" text="Ear">
      <formula>NOT(ISERROR(SEARCH("Ear",T30)))</formula>
    </cfRule>
    <cfRule type="containsText" dxfId="1289" priority="348" operator="containsText" text="fnd">
      <formula>NOT(ISERROR(SEARCH("fnd",T30)))</formula>
    </cfRule>
  </conditionalFormatting>
  <conditionalFormatting sqref="T38:U38">
    <cfRule type="containsText" dxfId="1288" priority="1715" operator="containsText" text="Str">
      <formula>NOT(ISERROR(SEARCH("Str",T38)))</formula>
    </cfRule>
    <cfRule type="containsText" dxfId="1287" priority="1716" operator="containsText" text="Ere">
      <formula>NOT(ISERROR(SEARCH("Ere",T38)))</formula>
    </cfRule>
    <cfRule type="containsText" dxfId="1286" priority="1717" operator="containsText" text="Ear">
      <formula>NOT(ISERROR(SEARCH("Ear",T38)))</formula>
    </cfRule>
    <cfRule type="containsText" dxfId="1285" priority="1718" operator="containsText" text="fnd">
      <formula>NOT(ISERROR(SEARCH("fnd",T38)))</formula>
    </cfRule>
  </conditionalFormatting>
  <conditionalFormatting sqref="T46:U46">
    <cfRule type="containsText" dxfId="1284" priority="1479" operator="containsText" text="Str">
      <formula>NOT(ISERROR(SEARCH("Str",T46)))</formula>
    </cfRule>
    <cfRule type="containsText" dxfId="1283" priority="1480" operator="containsText" text="Ere">
      <formula>NOT(ISERROR(SEARCH("Ere",T46)))</formula>
    </cfRule>
    <cfRule type="containsText" dxfId="1282" priority="1481" operator="containsText" text="Ear">
      <formula>NOT(ISERROR(SEARCH("Ear",T46)))</formula>
    </cfRule>
    <cfRule type="containsText" dxfId="1281" priority="1482" operator="containsText" text="fnd">
      <formula>NOT(ISERROR(SEARCH("fnd",T46)))</formula>
    </cfRule>
  </conditionalFormatting>
  <conditionalFormatting sqref="T54:U54">
    <cfRule type="containsText" dxfId="1280" priority="2343" operator="containsText" text="Str">
      <formula>NOT(ISERROR(SEARCH("Str",T54)))</formula>
    </cfRule>
    <cfRule type="containsText" dxfId="1279" priority="2344" operator="containsText" text="Ere">
      <formula>NOT(ISERROR(SEARCH("Ere",T54)))</formula>
    </cfRule>
    <cfRule type="containsText" dxfId="1278" priority="2345" operator="containsText" text="Ear">
      <formula>NOT(ISERROR(SEARCH("Ear",T54)))</formula>
    </cfRule>
    <cfRule type="containsText" dxfId="1277" priority="2346" operator="containsText" text="fnd">
      <formula>NOT(ISERROR(SEARCH("fnd",T54)))</formula>
    </cfRule>
  </conditionalFormatting>
  <conditionalFormatting sqref="T62:U62">
    <cfRule type="containsText" dxfId="1276" priority="2099" operator="containsText" text="Str">
      <formula>NOT(ISERROR(SEARCH("Str",T62)))</formula>
    </cfRule>
    <cfRule type="containsText" dxfId="1275" priority="2100" operator="containsText" text="Ere">
      <formula>NOT(ISERROR(SEARCH("Ere",T62)))</formula>
    </cfRule>
    <cfRule type="containsText" dxfId="1274" priority="2101" operator="containsText" text="Ear">
      <formula>NOT(ISERROR(SEARCH("Ear",T62)))</formula>
    </cfRule>
    <cfRule type="containsText" dxfId="1273" priority="2102" operator="containsText" text="fnd">
      <formula>NOT(ISERROR(SEARCH("fnd",T62)))</formula>
    </cfRule>
  </conditionalFormatting>
  <conditionalFormatting sqref="T70:U70">
    <cfRule type="containsText" dxfId="1272" priority="2203" operator="containsText" text="Str">
      <formula>NOT(ISERROR(SEARCH("Str",T70)))</formula>
    </cfRule>
    <cfRule type="containsText" dxfId="1271" priority="2204" operator="containsText" text="Ere">
      <formula>NOT(ISERROR(SEARCH("Ere",T70)))</formula>
    </cfRule>
    <cfRule type="containsText" dxfId="1270" priority="2205" operator="containsText" text="Ear">
      <formula>NOT(ISERROR(SEARCH("Ear",T70)))</formula>
    </cfRule>
    <cfRule type="containsText" dxfId="1269" priority="2206" operator="containsText" text="fnd">
      <formula>NOT(ISERROR(SEARCH("fnd",T70)))</formula>
    </cfRule>
  </conditionalFormatting>
  <conditionalFormatting sqref="T86:U86">
    <cfRule type="containsText" dxfId="1268" priority="2211" operator="containsText" text="Str">
      <formula>NOT(ISERROR(SEARCH("Str",T86)))</formula>
    </cfRule>
    <cfRule type="containsText" dxfId="1267" priority="2212" operator="containsText" text="Ere">
      <formula>NOT(ISERROR(SEARCH("Ere",T86)))</formula>
    </cfRule>
    <cfRule type="containsText" dxfId="1266" priority="2213" operator="containsText" text="Ear">
      <formula>NOT(ISERROR(SEARCH("Ear",T86)))</formula>
    </cfRule>
    <cfRule type="containsText" dxfId="1265" priority="2214" operator="containsText" text="fnd">
      <formula>NOT(ISERROR(SEARCH("fnd",T86)))</formula>
    </cfRule>
  </conditionalFormatting>
  <conditionalFormatting sqref="T94:U94">
    <cfRule type="containsText" dxfId="1264" priority="2275" operator="containsText" text="Str">
      <formula>NOT(ISERROR(SEARCH("Str",T94)))</formula>
    </cfRule>
    <cfRule type="containsText" dxfId="1263" priority="2276" operator="containsText" text="Ere">
      <formula>NOT(ISERROR(SEARCH("Ere",T94)))</formula>
    </cfRule>
    <cfRule type="containsText" dxfId="1262" priority="2277" operator="containsText" text="Ear">
      <formula>NOT(ISERROR(SEARCH("Ear",T94)))</formula>
    </cfRule>
    <cfRule type="containsText" dxfId="1261" priority="2278" operator="containsText" text="fnd">
      <formula>NOT(ISERROR(SEARCH("fnd",T94)))</formula>
    </cfRule>
  </conditionalFormatting>
  <conditionalFormatting sqref="T102:U102 W102:X102">
    <cfRule type="containsText" dxfId="1260" priority="2283" operator="containsText" text="Str">
      <formula>NOT(ISERROR(SEARCH("Str",T102)))</formula>
    </cfRule>
    <cfRule type="containsText" dxfId="1259" priority="2284" operator="containsText" text="Ere">
      <formula>NOT(ISERROR(SEARCH("Ere",T102)))</formula>
    </cfRule>
    <cfRule type="containsText" dxfId="1258" priority="2285" operator="containsText" text="Ear">
      <formula>NOT(ISERROR(SEARCH("Ear",T102)))</formula>
    </cfRule>
    <cfRule type="containsText" dxfId="1257" priority="2286" operator="containsText" text="fnd">
      <formula>NOT(ISERROR(SEARCH("fnd",T102)))</formula>
    </cfRule>
  </conditionalFormatting>
  <conditionalFormatting sqref="T110:U110">
    <cfRule type="containsText" dxfId="1256" priority="1799" operator="containsText" text="Str">
      <formula>NOT(ISERROR(SEARCH("Str",T110)))</formula>
    </cfRule>
    <cfRule type="containsText" dxfId="1255" priority="1800" operator="containsText" text="Ere">
      <formula>NOT(ISERROR(SEARCH("Ere",T110)))</formula>
    </cfRule>
    <cfRule type="containsText" dxfId="1254" priority="1801" operator="containsText" text="Ear">
      <formula>NOT(ISERROR(SEARCH("Ear",T110)))</formula>
    </cfRule>
    <cfRule type="containsText" dxfId="1253" priority="1802" operator="containsText" text="fnd">
      <formula>NOT(ISERROR(SEARCH("fnd",T110)))</formula>
    </cfRule>
  </conditionalFormatting>
  <conditionalFormatting sqref="T118:U118">
    <cfRule type="containsText" dxfId="1252" priority="1431" operator="containsText" text="Str">
      <formula>NOT(ISERROR(SEARCH("Str",T118)))</formula>
    </cfRule>
    <cfRule type="containsText" dxfId="1251" priority="1432" operator="containsText" text="Ere">
      <formula>NOT(ISERROR(SEARCH("Ere",T118)))</formula>
    </cfRule>
    <cfRule type="containsText" dxfId="1250" priority="1433" operator="containsText" text="Ear">
      <formula>NOT(ISERROR(SEARCH("Ear",T118)))</formula>
    </cfRule>
    <cfRule type="containsText" dxfId="1249" priority="1434" operator="containsText" text="fnd">
      <formula>NOT(ISERROR(SEARCH("fnd",T118)))</formula>
    </cfRule>
  </conditionalFormatting>
  <conditionalFormatting sqref="T126:U126">
    <cfRule type="containsText" dxfId="1248" priority="607" operator="containsText" text="Str">
      <formula>NOT(ISERROR(SEARCH("Str",T126)))</formula>
    </cfRule>
    <cfRule type="containsText" dxfId="1247" priority="608" operator="containsText" text="Ere">
      <formula>NOT(ISERROR(SEARCH("Ere",T126)))</formula>
    </cfRule>
    <cfRule type="containsText" dxfId="1246" priority="609" operator="containsText" text="Ear">
      <formula>NOT(ISERROR(SEARCH("Ear",T126)))</formula>
    </cfRule>
    <cfRule type="containsText" dxfId="1245" priority="610" operator="containsText" text="fnd">
      <formula>NOT(ISERROR(SEARCH("fnd",T126)))</formula>
    </cfRule>
  </conditionalFormatting>
  <conditionalFormatting sqref="T142:U142">
    <cfRule type="containsText" dxfId="1244" priority="1291" operator="containsText" text="Str">
      <formula>NOT(ISERROR(SEARCH("Str",T142)))</formula>
    </cfRule>
    <cfRule type="containsText" dxfId="1243" priority="1292" operator="containsText" text="Ere">
      <formula>NOT(ISERROR(SEARCH("Ere",T142)))</formula>
    </cfRule>
    <cfRule type="containsText" dxfId="1242" priority="1293" operator="containsText" text="Ear">
      <formula>NOT(ISERROR(SEARCH("Ear",T142)))</formula>
    </cfRule>
    <cfRule type="containsText" dxfId="1241" priority="1294" operator="containsText" text="fnd">
      <formula>NOT(ISERROR(SEARCH("fnd",T142)))</formula>
    </cfRule>
  </conditionalFormatting>
  <conditionalFormatting sqref="T150:U150">
    <cfRule type="containsText" dxfId="1240" priority="1203" operator="containsText" text="Str">
      <formula>NOT(ISERROR(SEARCH("Str",T150)))</formula>
    </cfRule>
    <cfRule type="containsText" dxfId="1239" priority="1204" operator="containsText" text="Ere">
      <formula>NOT(ISERROR(SEARCH("Ere",T150)))</formula>
    </cfRule>
    <cfRule type="containsText" dxfId="1238" priority="1205" operator="containsText" text="Ear">
      <formula>NOT(ISERROR(SEARCH("Ear",T150)))</formula>
    </cfRule>
    <cfRule type="containsText" dxfId="1237" priority="1206" operator="containsText" text="fnd">
      <formula>NOT(ISERROR(SEARCH("fnd",T150)))</formula>
    </cfRule>
  </conditionalFormatting>
  <conditionalFormatting sqref="T158:U158">
    <cfRule type="containsText" dxfId="1236" priority="1143" operator="containsText" text="Str">
      <formula>NOT(ISERROR(SEARCH("Str",T158)))</formula>
    </cfRule>
    <cfRule type="containsText" dxfId="1235" priority="1144" operator="containsText" text="Ere">
      <formula>NOT(ISERROR(SEARCH("Ere",T158)))</formula>
    </cfRule>
    <cfRule type="containsText" dxfId="1234" priority="1145" operator="containsText" text="Ear">
      <formula>NOT(ISERROR(SEARCH("Ear",T158)))</formula>
    </cfRule>
    <cfRule type="containsText" dxfId="1233" priority="1146" operator="containsText" text="fnd">
      <formula>NOT(ISERROR(SEARCH("fnd",T158)))</formula>
    </cfRule>
  </conditionalFormatting>
  <conditionalFormatting sqref="T166:U166">
    <cfRule type="containsText" dxfId="1232" priority="1079" operator="containsText" text="Str">
      <formula>NOT(ISERROR(SEARCH("Str",T166)))</formula>
    </cfRule>
    <cfRule type="containsText" dxfId="1231" priority="1080" operator="containsText" text="Ere">
      <formula>NOT(ISERROR(SEARCH("Ere",T166)))</formula>
    </cfRule>
    <cfRule type="containsText" dxfId="1230" priority="1081" operator="containsText" text="Ear">
      <formula>NOT(ISERROR(SEARCH("Ear",T166)))</formula>
    </cfRule>
    <cfRule type="containsText" dxfId="1229" priority="1082" operator="containsText" text="fnd">
      <formula>NOT(ISERROR(SEARCH("fnd",T166)))</formula>
    </cfRule>
  </conditionalFormatting>
  <conditionalFormatting sqref="T174:U174">
    <cfRule type="containsText" dxfId="1228" priority="1023" operator="containsText" text="Str">
      <formula>NOT(ISERROR(SEARCH("Str",T174)))</formula>
    </cfRule>
    <cfRule type="containsText" dxfId="1227" priority="1024" operator="containsText" text="Ere">
      <formula>NOT(ISERROR(SEARCH("Ere",T174)))</formula>
    </cfRule>
    <cfRule type="containsText" dxfId="1226" priority="1025" operator="containsText" text="Ear">
      <formula>NOT(ISERROR(SEARCH("Ear",T174)))</formula>
    </cfRule>
    <cfRule type="containsText" dxfId="1225" priority="1026" operator="containsText" text="fnd">
      <formula>NOT(ISERROR(SEARCH("fnd",T174)))</formula>
    </cfRule>
  </conditionalFormatting>
  <conditionalFormatting sqref="T182:U182">
    <cfRule type="containsText" dxfId="1224" priority="133" operator="containsText" text="Str">
      <formula>NOT(ISERROR(SEARCH("Str",T182)))</formula>
    </cfRule>
    <cfRule type="containsText" dxfId="1223" priority="134" operator="containsText" text="Ere">
      <formula>NOT(ISERROR(SEARCH("Ere",T182)))</formula>
    </cfRule>
    <cfRule type="containsText" dxfId="1222" priority="135" operator="containsText" text="Ear">
      <formula>NOT(ISERROR(SEARCH("Ear",T182)))</formula>
    </cfRule>
    <cfRule type="containsText" dxfId="1221" priority="136" operator="containsText" text="fnd">
      <formula>NOT(ISERROR(SEARCH("fnd",T182)))</formula>
    </cfRule>
  </conditionalFormatting>
  <conditionalFormatting sqref="U14">
    <cfRule type="containsText" dxfId="1220" priority="441" operator="containsText" text="Str">
      <formula>NOT(ISERROR(SEARCH("Str",U14)))</formula>
    </cfRule>
    <cfRule type="containsText" dxfId="1219" priority="442" operator="containsText" text="Ere">
      <formula>NOT(ISERROR(SEARCH("Ere",U14)))</formula>
    </cfRule>
    <cfRule type="containsText" dxfId="1218" priority="443" operator="containsText" text="Ear">
      <formula>NOT(ISERROR(SEARCH("Ear",U14)))</formula>
    </cfRule>
    <cfRule type="containsText" dxfId="1217" priority="444" operator="containsText" text="fnd">
      <formula>NOT(ISERROR(SEARCH("fnd",U14)))</formula>
    </cfRule>
  </conditionalFormatting>
  <conditionalFormatting sqref="U22">
    <cfRule type="containsText" dxfId="1216" priority="1539" operator="containsText" text="Str">
      <formula>NOT(ISERROR(SEARCH("Str",U22)))</formula>
    </cfRule>
    <cfRule type="containsText" dxfId="1215" priority="1540" operator="containsText" text="Ere">
      <formula>NOT(ISERROR(SEARCH("Ere",U22)))</formula>
    </cfRule>
    <cfRule type="containsText" dxfId="1214" priority="1541" operator="containsText" text="Ear">
      <formula>NOT(ISERROR(SEARCH("Ear",U22)))</formula>
    </cfRule>
    <cfRule type="containsText" dxfId="1213" priority="1542" operator="containsText" text="fnd">
      <formula>NOT(ISERROR(SEARCH("fnd",U22)))</formula>
    </cfRule>
  </conditionalFormatting>
  <conditionalFormatting sqref="U78">
    <cfRule type="containsText" dxfId="1212" priority="333" operator="containsText" text="Str">
      <formula>NOT(ISERROR(SEARCH("Str",U78)))</formula>
    </cfRule>
    <cfRule type="containsText" dxfId="1211" priority="334" operator="containsText" text="Ere">
      <formula>NOT(ISERROR(SEARCH("Ere",U78)))</formula>
    </cfRule>
    <cfRule type="containsText" dxfId="1210" priority="335" operator="containsText" text="Ear">
      <formula>NOT(ISERROR(SEARCH("Ear",U78)))</formula>
    </cfRule>
    <cfRule type="containsText" dxfId="1209" priority="336" operator="containsText" text="fnd">
      <formula>NOT(ISERROR(SEARCH("fnd",U78)))</formula>
    </cfRule>
  </conditionalFormatting>
  <conditionalFormatting sqref="W5">
    <cfRule type="containsText" dxfId="1208" priority="173" operator="containsText" text="Str">
      <formula>NOT(ISERROR(SEARCH("Str",W5)))</formula>
    </cfRule>
    <cfRule type="containsText" dxfId="1207" priority="174" operator="containsText" text="Ere">
      <formula>NOT(ISERROR(SEARCH("Ere",W5)))</formula>
    </cfRule>
    <cfRule type="containsText" dxfId="1206" priority="175" operator="containsText" text="Ear">
      <formula>NOT(ISERROR(SEARCH("Ear",W5)))</formula>
    </cfRule>
    <cfRule type="containsText" dxfId="1205" priority="176" operator="containsText" text="fnd">
      <formula>NOT(ISERROR(SEARCH("fnd",W5)))</formula>
    </cfRule>
  </conditionalFormatting>
  <conditionalFormatting sqref="W13:W14">
    <cfRule type="containsText" dxfId="1204" priority="1739" operator="containsText" text="Str">
      <formula>NOT(ISERROR(SEARCH("Str",W13)))</formula>
    </cfRule>
    <cfRule type="containsText" dxfId="1203" priority="1740" operator="containsText" text="Ere">
      <formula>NOT(ISERROR(SEARCH("Ere",W13)))</formula>
    </cfRule>
    <cfRule type="containsText" dxfId="1202" priority="1741" operator="containsText" text="Ear">
      <formula>NOT(ISERROR(SEARCH("Ear",W13)))</formula>
    </cfRule>
    <cfRule type="containsText" dxfId="1201" priority="1742" operator="containsText" text="fnd">
      <formula>NOT(ISERROR(SEARCH("fnd",W13)))</formula>
    </cfRule>
  </conditionalFormatting>
  <conditionalFormatting sqref="W21:W22">
    <cfRule type="containsText" dxfId="1200" priority="1807" operator="containsText" text="Str">
      <formula>NOT(ISERROR(SEARCH("Str",W21)))</formula>
    </cfRule>
    <cfRule type="containsText" dxfId="1199" priority="1808" operator="containsText" text="Ere">
      <formula>NOT(ISERROR(SEARCH("Ere",W21)))</formula>
    </cfRule>
    <cfRule type="containsText" dxfId="1198" priority="1809" operator="containsText" text="Ear">
      <formula>NOT(ISERROR(SEARCH("Ear",W21)))</formula>
    </cfRule>
    <cfRule type="containsText" dxfId="1197" priority="1810" operator="containsText" text="fnd">
      <formula>NOT(ISERROR(SEARCH("fnd",W21)))</formula>
    </cfRule>
  </conditionalFormatting>
  <conditionalFormatting sqref="W29">
    <cfRule type="containsText" dxfId="1196" priority="887" operator="containsText" text="Str">
      <formula>NOT(ISERROR(SEARCH("Str",W29)))</formula>
    </cfRule>
    <cfRule type="containsText" dxfId="1195" priority="888" operator="containsText" text="Ere">
      <formula>NOT(ISERROR(SEARCH("Ere",W29)))</formula>
    </cfRule>
    <cfRule type="containsText" dxfId="1194" priority="889" operator="containsText" text="Ear">
      <formula>NOT(ISERROR(SEARCH("Ear",W29)))</formula>
    </cfRule>
    <cfRule type="containsText" dxfId="1193" priority="890" operator="containsText" text="fnd">
      <formula>NOT(ISERROR(SEARCH("fnd",W29)))</formula>
    </cfRule>
  </conditionalFormatting>
  <conditionalFormatting sqref="W37">
    <cfRule type="containsText" dxfId="1192" priority="393" operator="containsText" text="Str">
      <formula>NOT(ISERROR(SEARCH("Str",W37)))</formula>
    </cfRule>
    <cfRule type="containsText" dxfId="1191" priority="394" operator="containsText" text="Ere">
      <formula>NOT(ISERROR(SEARCH("Ere",W37)))</formula>
    </cfRule>
    <cfRule type="containsText" dxfId="1190" priority="395" operator="containsText" text="Ear">
      <formula>NOT(ISERROR(SEARCH("Ear",W37)))</formula>
    </cfRule>
    <cfRule type="containsText" dxfId="1189" priority="396" operator="containsText" text="fnd">
      <formula>NOT(ISERROR(SEARCH("fnd",W37)))</formula>
    </cfRule>
  </conditionalFormatting>
  <conditionalFormatting sqref="W53">
    <cfRule type="containsText" dxfId="1188" priority="589" operator="containsText" text="Str">
      <formula>NOT(ISERROR(SEARCH("Str",W53)))</formula>
    </cfRule>
    <cfRule type="containsText" dxfId="1187" priority="590" operator="containsText" text="Ere">
      <formula>NOT(ISERROR(SEARCH("Ere",W53)))</formula>
    </cfRule>
    <cfRule type="containsText" dxfId="1186" priority="591" operator="containsText" text="Ear">
      <formula>NOT(ISERROR(SEARCH("Ear",W53)))</formula>
    </cfRule>
    <cfRule type="containsText" dxfId="1185" priority="592" operator="containsText" text="fnd">
      <formula>NOT(ISERROR(SEARCH("fnd",W53)))</formula>
    </cfRule>
  </conditionalFormatting>
  <conditionalFormatting sqref="W61">
    <cfRule type="containsText" dxfId="1184" priority="807" operator="containsText" text="Str">
      <formula>NOT(ISERROR(SEARCH("Str",W61)))</formula>
    </cfRule>
    <cfRule type="containsText" dxfId="1183" priority="808" operator="containsText" text="Ere">
      <formula>NOT(ISERROR(SEARCH("Ere",W61)))</formula>
    </cfRule>
    <cfRule type="containsText" dxfId="1182" priority="809" operator="containsText" text="Ear">
      <formula>NOT(ISERROR(SEARCH("Ear",W61)))</formula>
    </cfRule>
    <cfRule type="containsText" dxfId="1181" priority="810" operator="containsText" text="fnd">
      <formula>NOT(ISERROR(SEARCH("fnd",W61)))</formula>
    </cfRule>
  </conditionalFormatting>
  <conditionalFormatting sqref="W85">
    <cfRule type="containsText" dxfId="1180" priority="699" operator="containsText" text="Str">
      <formula>NOT(ISERROR(SEARCH("Str",W85)))</formula>
    </cfRule>
    <cfRule type="containsText" dxfId="1179" priority="700" operator="containsText" text="Ere">
      <formula>NOT(ISERROR(SEARCH("Ere",W85)))</formula>
    </cfRule>
    <cfRule type="containsText" dxfId="1178" priority="701" operator="containsText" text="Ear">
      <formula>NOT(ISERROR(SEARCH("Ear",W85)))</formula>
    </cfRule>
    <cfRule type="containsText" dxfId="1177" priority="702" operator="containsText" text="fnd">
      <formula>NOT(ISERROR(SEARCH("fnd",W85)))</formula>
    </cfRule>
  </conditionalFormatting>
  <conditionalFormatting sqref="W93">
    <cfRule type="containsText" dxfId="1176" priority="1531" operator="containsText" text="Str">
      <formula>NOT(ISERROR(SEARCH("Str",W93)))</formula>
    </cfRule>
    <cfRule type="containsText" dxfId="1175" priority="1532" operator="containsText" text="Ere">
      <formula>NOT(ISERROR(SEARCH("Ere",W93)))</formula>
    </cfRule>
    <cfRule type="containsText" dxfId="1174" priority="1533" operator="containsText" text="Ear">
      <formula>NOT(ISERROR(SEARCH("Ear",W93)))</formula>
    </cfRule>
    <cfRule type="containsText" dxfId="1173" priority="1534" operator="containsText" text="fnd">
      <formula>NOT(ISERROR(SEARCH("fnd",W93)))</formula>
    </cfRule>
  </conditionalFormatting>
  <conditionalFormatting sqref="W101">
    <cfRule type="containsText" dxfId="1172" priority="2239" operator="containsText" text="Str">
      <formula>NOT(ISERROR(SEARCH("Str",W101)))</formula>
    </cfRule>
    <cfRule type="containsText" dxfId="1171" priority="2240" operator="containsText" text="Ere">
      <formula>NOT(ISERROR(SEARCH("Ere",W101)))</formula>
    </cfRule>
    <cfRule type="containsText" dxfId="1170" priority="2241" operator="containsText" text="Ear">
      <formula>NOT(ISERROR(SEARCH("Ear",W101)))</formula>
    </cfRule>
    <cfRule type="containsText" dxfId="1169" priority="2242" operator="containsText" text="fnd">
      <formula>NOT(ISERROR(SEARCH("fnd",W101)))</formula>
    </cfRule>
  </conditionalFormatting>
  <conditionalFormatting sqref="W109">
    <cfRule type="containsText" dxfId="1168" priority="1771" operator="containsText" text="Str">
      <formula>NOT(ISERROR(SEARCH("Str",W109)))</formula>
    </cfRule>
    <cfRule type="containsText" dxfId="1167" priority="1772" operator="containsText" text="Ere">
      <formula>NOT(ISERROR(SEARCH("Ere",W109)))</formula>
    </cfRule>
    <cfRule type="containsText" dxfId="1166" priority="1773" operator="containsText" text="Ear">
      <formula>NOT(ISERROR(SEARCH("Ear",W109)))</formula>
    </cfRule>
    <cfRule type="containsText" dxfId="1165" priority="1774" operator="containsText" text="fnd">
      <formula>NOT(ISERROR(SEARCH("fnd",W109)))</formula>
    </cfRule>
  </conditionalFormatting>
  <conditionalFormatting sqref="W117">
    <cfRule type="containsText" dxfId="1164" priority="433" operator="containsText" text="Str">
      <formula>NOT(ISERROR(SEARCH("Str",W117)))</formula>
    </cfRule>
    <cfRule type="containsText" dxfId="1163" priority="434" operator="containsText" text="Ere">
      <formula>NOT(ISERROR(SEARCH("Ere",W117)))</formula>
    </cfRule>
    <cfRule type="containsText" dxfId="1162" priority="435" operator="containsText" text="Ear">
      <formula>NOT(ISERROR(SEARCH("Ear",W117)))</formula>
    </cfRule>
    <cfRule type="containsText" dxfId="1161" priority="436" operator="containsText" text="fnd">
      <formula>NOT(ISERROR(SEARCH("fnd",W117)))</formula>
    </cfRule>
  </conditionalFormatting>
  <conditionalFormatting sqref="W122 W130 W138 W154 W162 W178">
    <cfRule type="containsText" dxfId="1160" priority="2063" operator="containsText" text="Str">
      <formula>NOT(ISERROR(SEARCH("Str",W122)))</formula>
    </cfRule>
    <cfRule type="containsText" dxfId="1159" priority="2064" operator="containsText" text="Ere">
      <formula>NOT(ISERROR(SEARCH("Ere",W122)))</formula>
    </cfRule>
    <cfRule type="containsText" dxfId="1158" priority="2065" operator="containsText" text="Ear">
      <formula>NOT(ISERROR(SEARCH("Ear",W122)))</formula>
    </cfRule>
    <cfRule type="containsText" dxfId="1157" priority="2066" operator="containsText" text="fnd">
      <formula>NOT(ISERROR(SEARCH("fnd",W122)))</formula>
    </cfRule>
  </conditionalFormatting>
  <conditionalFormatting sqref="W133">
    <cfRule type="containsText" dxfId="1156" priority="1355" operator="containsText" text="Str">
      <formula>NOT(ISERROR(SEARCH("Str",W133)))</formula>
    </cfRule>
    <cfRule type="containsText" dxfId="1155" priority="1356" operator="containsText" text="Ere">
      <formula>NOT(ISERROR(SEARCH("Ere",W133)))</formula>
    </cfRule>
    <cfRule type="containsText" dxfId="1154" priority="1357" operator="containsText" text="Ear">
      <formula>NOT(ISERROR(SEARCH("Ear",W133)))</formula>
    </cfRule>
    <cfRule type="containsText" dxfId="1153" priority="1358" operator="containsText" text="fnd">
      <formula>NOT(ISERROR(SEARCH("fnd",W133)))</formula>
    </cfRule>
  </conditionalFormatting>
  <conditionalFormatting sqref="W141">
    <cfRule type="containsText" dxfId="1152" priority="1263" operator="containsText" text="Str">
      <formula>NOT(ISERROR(SEARCH("Str",W141)))</formula>
    </cfRule>
    <cfRule type="containsText" dxfId="1151" priority="1264" operator="containsText" text="Ere">
      <formula>NOT(ISERROR(SEARCH("Ere",W141)))</formula>
    </cfRule>
    <cfRule type="containsText" dxfId="1150" priority="1265" operator="containsText" text="Ear">
      <formula>NOT(ISERROR(SEARCH("Ear",W141)))</formula>
    </cfRule>
    <cfRule type="containsText" dxfId="1149" priority="1266" operator="containsText" text="fnd">
      <formula>NOT(ISERROR(SEARCH("fnd",W141)))</formula>
    </cfRule>
  </conditionalFormatting>
  <conditionalFormatting sqref="W149">
    <cfRule type="containsText" dxfId="1148" priority="325" operator="containsText" text="Str">
      <formula>NOT(ISERROR(SEARCH("Str",W149)))</formula>
    </cfRule>
    <cfRule type="containsText" dxfId="1147" priority="326" operator="containsText" text="Ere">
      <formula>NOT(ISERROR(SEARCH("Ere",W149)))</formula>
    </cfRule>
    <cfRule type="containsText" dxfId="1146" priority="327" operator="containsText" text="Ear">
      <formula>NOT(ISERROR(SEARCH("Ear",W149)))</formula>
    </cfRule>
    <cfRule type="containsText" dxfId="1145" priority="328" operator="containsText" text="fnd">
      <formula>NOT(ISERROR(SEARCH("fnd",W149)))</formula>
    </cfRule>
  </conditionalFormatting>
  <conditionalFormatting sqref="W157">
    <cfRule type="containsText" dxfId="1144" priority="779" operator="containsText" text="Str">
      <formula>NOT(ISERROR(SEARCH("Str",W157)))</formula>
    </cfRule>
    <cfRule type="containsText" dxfId="1143" priority="780" operator="containsText" text="Ere">
      <formula>NOT(ISERROR(SEARCH("Ere",W157)))</formula>
    </cfRule>
    <cfRule type="containsText" dxfId="1142" priority="781" operator="containsText" text="Ear">
      <formula>NOT(ISERROR(SEARCH("Ear",W157)))</formula>
    </cfRule>
    <cfRule type="containsText" dxfId="1141" priority="782" operator="containsText" text="fnd">
      <formula>NOT(ISERROR(SEARCH("fnd",W157)))</formula>
    </cfRule>
  </conditionalFormatting>
  <conditionalFormatting sqref="W165">
    <cfRule type="containsText" dxfId="1140" priority="477" operator="containsText" text="Str">
      <formula>NOT(ISERROR(SEARCH("Str",W165)))</formula>
    </cfRule>
    <cfRule type="containsText" dxfId="1139" priority="478" operator="containsText" text="Ere">
      <formula>NOT(ISERROR(SEARCH("Ere",W165)))</formula>
    </cfRule>
    <cfRule type="containsText" dxfId="1138" priority="479" operator="containsText" text="Ear">
      <formula>NOT(ISERROR(SEARCH("Ear",W165)))</formula>
    </cfRule>
    <cfRule type="containsText" dxfId="1137" priority="480" operator="containsText" text="fnd">
      <formula>NOT(ISERROR(SEARCH("fnd",W165)))</formula>
    </cfRule>
  </conditionalFormatting>
  <conditionalFormatting sqref="W173">
    <cfRule type="containsText" dxfId="1136" priority="449" operator="containsText" text="Str">
      <formula>NOT(ISERROR(SEARCH("Str",W173)))</formula>
    </cfRule>
    <cfRule type="containsText" dxfId="1135" priority="450" operator="containsText" text="Ere">
      <formula>NOT(ISERROR(SEARCH("Ere",W173)))</formula>
    </cfRule>
    <cfRule type="containsText" dxfId="1134" priority="451" operator="containsText" text="Ear">
      <formula>NOT(ISERROR(SEARCH("Ear",W173)))</formula>
    </cfRule>
    <cfRule type="containsText" dxfId="1133" priority="452" operator="containsText" text="fnd">
      <formula>NOT(ISERROR(SEARCH("fnd",W173)))</formula>
    </cfRule>
  </conditionalFormatting>
  <conditionalFormatting sqref="W181">
    <cfRule type="containsText" dxfId="1132" priority="121" operator="containsText" text="Str">
      <formula>NOT(ISERROR(SEARCH("Str",W181)))</formula>
    </cfRule>
    <cfRule type="containsText" dxfId="1131" priority="122" operator="containsText" text="Ere">
      <formula>NOT(ISERROR(SEARCH("Ere",W181)))</formula>
    </cfRule>
    <cfRule type="containsText" dxfId="1130" priority="123" operator="containsText" text="Ear">
      <formula>NOT(ISERROR(SEARCH("Ear",W181)))</formula>
    </cfRule>
    <cfRule type="containsText" dxfId="1129" priority="124" operator="containsText" text="fnd">
      <formula>NOT(ISERROR(SEARCH("fnd",W181)))</formula>
    </cfRule>
  </conditionalFormatting>
  <conditionalFormatting sqref="W38:X38">
    <cfRule type="containsText" dxfId="1128" priority="397" operator="containsText" text="Str">
      <formula>NOT(ISERROR(SEARCH("Str",W38)))</formula>
    </cfRule>
    <cfRule type="containsText" dxfId="1127" priority="398" operator="containsText" text="Ere">
      <formula>NOT(ISERROR(SEARCH("Ere",W38)))</formula>
    </cfRule>
    <cfRule type="containsText" dxfId="1126" priority="399" operator="containsText" text="Ear">
      <formula>NOT(ISERROR(SEARCH("Ear",W38)))</formula>
    </cfRule>
    <cfRule type="containsText" dxfId="1125" priority="400" operator="containsText" text="fnd">
      <formula>NOT(ISERROR(SEARCH("fnd",W38)))</formula>
    </cfRule>
  </conditionalFormatting>
  <conditionalFormatting sqref="W46:X46">
    <cfRule type="containsText" dxfId="1124" priority="1475" operator="containsText" text="Str">
      <formula>NOT(ISERROR(SEARCH("Str",W46)))</formula>
    </cfRule>
    <cfRule type="containsText" dxfId="1123" priority="1476" operator="containsText" text="Ere">
      <formula>NOT(ISERROR(SEARCH("Ere",W46)))</formula>
    </cfRule>
    <cfRule type="containsText" dxfId="1122" priority="1477" operator="containsText" text="Ear">
      <formula>NOT(ISERROR(SEARCH("Ear",W46)))</formula>
    </cfRule>
    <cfRule type="containsText" dxfId="1121" priority="1478" operator="containsText" text="fnd">
      <formula>NOT(ISERROR(SEARCH("fnd",W46)))</formula>
    </cfRule>
  </conditionalFormatting>
  <conditionalFormatting sqref="W54:X54">
    <cfRule type="containsText" dxfId="1120" priority="593" operator="containsText" text="Str">
      <formula>NOT(ISERROR(SEARCH("Str",W54)))</formula>
    </cfRule>
    <cfRule type="containsText" dxfId="1119" priority="594" operator="containsText" text="Ere">
      <formula>NOT(ISERROR(SEARCH("Ere",W54)))</formula>
    </cfRule>
    <cfRule type="containsText" dxfId="1118" priority="595" operator="containsText" text="Ear">
      <formula>NOT(ISERROR(SEARCH("Ear",W54)))</formula>
    </cfRule>
    <cfRule type="containsText" dxfId="1117" priority="596" operator="containsText" text="fnd">
      <formula>NOT(ISERROR(SEARCH("fnd",W54)))</formula>
    </cfRule>
  </conditionalFormatting>
  <conditionalFormatting sqref="W70:X70">
    <cfRule type="containsText" dxfId="1116" priority="301" operator="containsText" text="Str">
      <formula>NOT(ISERROR(SEARCH("Str",W70)))</formula>
    </cfRule>
    <cfRule type="containsText" dxfId="1115" priority="302" operator="containsText" text="Ere">
      <formula>NOT(ISERROR(SEARCH("Ere",W70)))</formula>
    </cfRule>
    <cfRule type="containsText" dxfId="1114" priority="303" operator="containsText" text="Ear">
      <formula>NOT(ISERROR(SEARCH("Ear",W70)))</formula>
    </cfRule>
    <cfRule type="containsText" dxfId="1113" priority="304" operator="containsText" text="fnd">
      <formula>NOT(ISERROR(SEARCH("fnd",W70)))</formula>
    </cfRule>
  </conditionalFormatting>
  <conditionalFormatting sqref="W77:X78">
    <cfRule type="containsText" dxfId="1112" priority="2179" operator="containsText" text="Str">
      <formula>NOT(ISERROR(SEARCH("Str",W77)))</formula>
    </cfRule>
    <cfRule type="containsText" dxfId="1111" priority="2180" operator="containsText" text="Ere">
      <formula>NOT(ISERROR(SEARCH("Ere",W77)))</formula>
    </cfRule>
    <cfRule type="containsText" dxfId="1110" priority="2181" operator="containsText" text="Ear">
      <formula>NOT(ISERROR(SEARCH("Ear",W77)))</formula>
    </cfRule>
    <cfRule type="containsText" dxfId="1109" priority="2182" operator="containsText" text="fnd">
      <formula>NOT(ISERROR(SEARCH("fnd",W77)))</formula>
    </cfRule>
  </conditionalFormatting>
  <conditionalFormatting sqref="W86:X86">
    <cfRule type="containsText" dxfId="1108" priority="703" operator="containsText" text="Str">
      <formula>NOT(ISERROR(SEARCH("Str",W86)))</formula>
    </cfRule>
    <cfRule type="containsText" dxfId="1107" priority="704" operator="containsText" text="Ere">
      <formula>NOT(ISERROR(SEARCH("Ere",W86)))</formula>
    </cfRule>
    <cfRule type="containsText" dxfId="1106" priority="705" operator="containsText" text="Ear">
      <formula>NOT(ISERROR(SEARCH("Ear",W86)))</formula>
    </cfRule>
    <cfRule type="containsText" dxfId="1105" priority="706" operator="containsText" text="fnd">
      <formula>NOT(ISERROR(SEARCH("fnd",W86)))</formula>
    </cfRule>
  </conditionalFormatting>
  <conditionalFormatting sqref="W94:X94">
    <cfRule type="containsText" dxfId="1104" priority="1535" operator="containsText" text="Str">
      <formula>NOT(ISERROR(SEARCH("Str",W94)))</formula>
    </cfRule>
    <cfRule type="containsText" dxfId="1103" priority="1536" operator="containsText" text="Ere">
      <formula>NOT(ISERROR(SEARCH("Ere",W94)))</formula>
    </cfRule>
    <cfRule type="containsText" dxfId="1102" priority="1537" operator="containsText" text="Ear">
      <formula>NOT(ISERROR(SEARCH("Ear",W94)))</formula>
    </cfRule>
    <cfRule type="containsText" dxfId="1101" priority="1538" operator="containsText" text="fnd">
      <formula>NOT(ISERROR(SEARCH("fnd",W94)))</formula>
    </cfRule>
  </conditionalFormatting>
  <conditionalFormatting sqref="W110:X110">
    <cfRule type="containsText" dxfId="1100" priority="1775" operator="containsText" text="Str">
      <formula>NOT(ISERROR(SEARCH("Str",W110)))</formula>
    </cfRule>
    <cfRule type="containsText" dxfId="1099" priority="1776" operator="containsText" text="Ere">
      <formula>NOT(ISERROR(SEARCH("Ere",W110)))</formula>
    </cfRule>
    <cfRule type="containsText" dxfId="1098" priority="1777" operator="containsText" text="Ear">
      <formula>NOT(ISERROR(SEARCH("Ear",W110)))</formula>
    </cfRule>
    <cfRule type="containsText" dxfId="1097" priority="1778" operator="containsText" text="fnd">
      <formula>NOT(ISERROR(SEARCH("fnd",W110)))</formula>
    </cfRule>
  </conditionalFormatting>
  <conditionalFormatting sqref="W118:X118">
    <cfRule type="containsText" dxfId="1096" priority="437" operator="containsText" text="Str">
      <formula>NOT(ISERROR(SEARCH("Str",W118)))</formula>
    </cfRule>
    <cfRule type="containsText" dxfId="1095" priority="438" operator="containsText" text="Ere">
      <formula>NOT(ISERROR(SEARCH("Ere",W118)))</formula>
    </cfRule>
    <cfRule type="containsText" dxfId="1094" priority="439" operator="containsText" text="Ear">
      <formula>NOT(ISERROR(SEARCH("Ear",W118)))</formula>
    </cfRule>
    <cfRule type="containsText" dxfId="1093" priority="440" operator="containsText" text="fnd">
      <formula>NOT(ISERROR(SEARCH("fnd",W118)))</formula>
    </cfRule>
  </conditionalFormatting>
  <conditionalFormatting sqref="W134:X134">
    <cfRule type="containsText" dxfId="1092" priority="1359" operator="containsText" text="Str">
      <formula>NOT(ISERROR(SEARCH("Str",W134)))</formula>
    </cfRule>
    <cfRule type="containsText" dxfId="1091" priority="1360" operator="containsText" text="Ere">
      <formula>NOT(ISERROR(SEARCH("Ere",W134)))</formula>
    </cfRule>
    <cfRule type="containsText" dxfId="1090" priority="1361" operator="containsText" text="Ear">
      <formula>NOT(ISERROR(SEARCH("Ear",W134)))</formula>
    </cfRule>
    <cfRule type="containsText" dxfId="1089" priority="1362" operator="containsText" text="fnd">
      <formula>NOT(ISERROR(SEARCH("fnd",W134)))</formula>
    </cfRule>
  </conditionalFormatting>
  <conditionalFormatting sqref="W142:X142">
    <cfRule type="containsText" dxfId="1088" priority="1267" operator="containsText" text="Str">
      <formula>NOT(ISERROR(SEARCH("Str",W142)))</formula>
    </cfRule>
    <cfRule type="containsText" dxfId="1087" priority="1268" operator="containsText" text="Ere">
      <formula>NOT(ISERROR(SEARCH("Ere",W142)))</formula>
    </cfRule>
    <cfRule type="containsText" dxfId="1086" priority="1269" operator="containsText" text="Ear">
      <formula>NOT(ISERROR(SEARCH("Ear",W142)))</formula>
    </cfRule>
    <cfRule type="containsText" dxfId="1085" priority="1270" operator="containsText" text="fnd">
      <formula>NOT(ISERROR(SEARCH("fnd",W142)))</formula>
    </cfRule>
  </conditionalFormatting>
  <conditionalFormatting sqref="W150:X150">
    <cfRule type="containsText" dxfId="1084" priority="329" operator="containsText" text="Str">
      <formula>NOT(ISERROR(SEARCH("Str",W150)))</formula>
    </cfRule>
    <cfRule type="containsText" dxfId="1083" priority="330" operator="containsText" text="Ere">
      <formula>NOT(ISERROR(SEARCH("Ere",W150)))</formula>
    </cfRule>
    <cfRule type="containsText" dxfId="1082" priority="331" operator="containsText" text="Ear">
      <formula>NOT(ISERROR(SEARCH("Ear",W150)))</formula>
    </cfRule>
    <cfRule type="containsText" dxfId="1081" priority="332" operator="containsText" text="fnd">
      <formula>NOT(ISERROR(SEARCH("fnd",W150)))</formula>
    </cfRule>
  </conditionalFormatting>
  <conditionalFormatting sqref="W174:X174">
    <cfRule type="containsText" dxfId="1080" priority="453" operator="containsText" text="Str">
      <formula>NOT(ISERROR(SEARCH("Str",W174)))</formula>
    </cfRule>
    <cfRule type="containsText" dxfId="1079" priority="454" operator="containsText" text="Ere">
      <formula>NOT(ISERROR(SEARCH("Ere",W174)))</formula>
    </cfRule>
    <cfRule type="containsText" dxfId="1078" priority="455" operator="containsText" text="Ear">
      <formula>NOT(ISERROR(SEARCH("Ear",W174)))</formula>
    </cfRule>
    <cfRule type="containsText" dxfId="1077" priority="456" operator="containsText" text="fnd">
      <formula>NOT(ISERROR(SEARCH("fnd",W174)))</formula>
    </cfRule>
  </conditionalFormatting>
  <conditionalFormatting sqref="W182:X182">
    <cfRule type="containsText" dxfId="1076" priority="125" operator="containsText" text="Str">
      <formula>NOT(ISERROR(SEARCH("Str",W182)))</formula>
    </cfRule>
    <cfRule type="containsText" dxfId="1075" priority="126" operator="containsText" text="Ere">
      <formula>NOT(ISERROR(SEARCH("Ere",W182)))</formula>
    </cfRule>
    <cfRule type="containsText" dxfId="1074" priority="127" operator="containsText" text="Ear">
      <formula>NOT(ISERROR(SEARCH("Ear",W182)))</formula>
    </cfRule>
    <cfRule type="containsText" dxfId="1073" priority="128" operator="containsText" text="fnd">
      <formula>NOT(ISERROR(SEARCH("fnd",W182)))</formula>
    </cfRule>
  </conditionalFormatting>
  <conditionalFormatting sqref="X14">
    <cfRule type="containsText" dxfId="1072" priority="1735" operator="containsText" text="Str">
      <formula>NOT(ISERROR(SEARCH("Str",X14)))</formula>
    </cfRule>
    <cfRule type="containsText" dxfId="1071" priority="1736" operator="containsText" text="Ere">
      <formula>NOT(ISERROR(SEARCH("Ere",X14)))</formula>
    </cfRule>
    <cfRule type="containsText" dxfId="1070" priority="1737" operator="containsText" text="Ear">
      <formula>NOT(ISERROR(SEARCH("Ear",X14)))</formula>
    </cfRule>
    <cfRule type="containsText" dxfId="1069" priority="1738" operator="containsText" text="fnd">
      <formula>NOT(ISERROR(SEARCH("fnd",X14)))</formula>
    </cfRule>
  </conditionalFormatting>
  <conditionalFormatting sqref="X22">
    <cfRule type="containsText" dxfId="1068" priority="1803" operator="containsText" text="Str">
      <formula>NOT(ISERROR(SEARCH("Str",X22)))</formula>
    </cfRule>
    <cfRule type="containsText" dxfId="1067" priority="1804" operator="containsText" text="Ere">
      <formula>NOT(ISERROR(SEARCH("Ere",X22)))</formula>
    </cfRule>
    <cfRule type="containsText" dxfId="1066" priority="1805" operator="containsText" text="Ear">
      <formula>NOT(ISERROR(SEARCH("Ear",X22)))</formula>
    </cfRule>
    <cfRule type="containsText" dxfId="1065" priority="1806" operator="containsText" text="fnd">
      <formula>NOT(ISERROR(SEARCH("fnd",X22)))</formula>
    </cfRule>
  </conditionalFormatting>
  <conditionalFormatting sqref="Z5:Z6">
    <cfRule type="containsText" dxfId="1064" priority="213" operator="containsText" text="Str">
      <formula>NOT(ISERROR(SEARCH("Str",Z5)))</formula>
    </cfRule>
    <cfRule type="containsText" dxfId="1063" priority="214" operator="containsText" text="Ere">
      <formula>NOT(ISERROR(SEARCH("Ere",Z5)))</formula>
    </cfRule>
    <cfRule type="containsText" dxfId="1062" priority="215" operator="containsText" text="Ear">
      <formula>NOT(ISERROR(SEARCH("Ear",Z5)))</formula>
    </cfRule>
    <cfRule type="containsText" dxfId="1061" priority="216" operator="containsText" text="fnd">
      <formula>NOT(ISERROR(SEARCH("fnd",Z5)))</formula>
    </cfRule>
  </conditionalFormatting>
  <conditionalFormatting sqref="Z13:Z14">
    <cfRule type="containsText" dxfId="1060" priority="413" operator="containsText" text="Str">
      <formula>NOT(ISERROR(SEARCH("Str",Z13)))</formula>
    </cfRule>
    <cfRule type="containsText" dxfId="1059" priority="414" operator="containsText" text="Ere">
      <formula>NOT(ISERROR(SEARCH("Ere",Z13)))</formula>
    </cfRule>
    <cfRule type="containsText" dxfId="1058" priority="415" operator="containsText" text="Ear">
      <formula>NOT(ISERROR(SEARCH("Ear",Z13)))</formula>
    </cfRule>
    <cfRule type="containsText" dxfId="1057" priority="416" operator="containsText" text="fnd">
      <formula>NOT(ISERROR(SEARCH("fnd",Z13)))</formula>
    </cfRule>
  </conditionalFormatting>
  <conditionalFormatting sqref="Z21:Z22">
    <cfRule type="containsText" dxfId="1056" priority="1955" operator="containsText" text="Str">
      <formula>NOT(ISERROR(SEARCH("Str",Z21)))</formula>
    </cfRule>
    <cfRule type="containsText" dxfId="1055" priority="1956" operator="containsText" text="Ere">
      <formula>NOT(ISERROR(SEARCH("Ere",Z21)))</formula>
    </cfRule>
    <cfRule type="containsText" dxfId="1054" priority="1957" operator="containsText" text="Ear">
      <formula>NOT(ISERROR(SEARCH("Ear",Z21)))</formula>
    </cfRule>
    <cfRule type="containsText" dxfId="1053" priority="1958" operator="containsText" text="fnd">
      <formula>NOT(ISERROR(SEARCH("fnd",Z21)))</formula>
    </cfRule>
  </conditionalFormatting>
  <conditionalFormatting sqref="Z29">
    <cfRule type="containsText" dxfId="1052" priority="1903" operator="containsText" text="Str">
      <formula>NOT(ISERROR(SEARCH("Str",Z29)))</formula>
    </cfRule>
    <cfRule type="containsText" dxfId="1051" priority="1904" operator="containsText" text="Ere">
      <formula>NOT(ISERROR(SEARCH("Ere",Z29)))</formula>
    </cfRule>
    <cfRule type="containsText" dxfId="1050" priority="1905" operator="containsText" text="Ear">
      <formula>NOT(ISERROR(SEARCH("Ear",Z29)))</formula>
    </cfRule>
    <cfRule type="containsText" dxfId="1049" priority="1906" operator="containsText" text="fnd">
      <formula>NOT(ISERROR(SEARCH("fnd",Z29)))</formula>
    </cfRule>
  </conditionalFormatting>
  <conditionalFormatting sqref="Z37">
    <cfRule type="containsText" dxfId="1048" priority="1523" operator="containsText" text="Str">
      <formula>NOT(ISERROR(SEARCH("Str",Z37)))</formula>
    </cfRule>
    <cfRule type="containsText" dxfId="1047" priority="1524" operator="containsText" text="Ere">
      <formula>NOT(ISERROR(SEARCH("Ere",Z37)))</formula>
    </cfRule>
    <cfRule type="containsText" dxfId="1046" priority="1525" operator="containsText" text="Ear">
      <formula>NOT(ISERROR(SEARCH("Ear",Z37)))</formula>
    </cfRule>
    <cfRule type="containsText" dxfId="1045" priority="1526" operator="containsText" text="fnd">
      <formula>NOT(ISERROR(SEARCH("fnd",Z37)))</formula>
    </cfRule>
  </conditionalFormatting>
  <conditionalFormatting sqref="Z45">
    <cfRule type="containsText" dxfId="1044" priority="2111" operator="containsText" text="Str">
      <formula>NOT(ISERROR(SEARCH("Str",Z45)))</formula>
    </cfRule>
    <cfRule type="containsText" dxfId="1043" priority="2112" operator="containsText" text="Ere">
      <formula>NOT(ISERROR(SEARCH("Ere",Z45)))</formula>
    </cfRule>
    <cfRule type="containsText" dxfId="1042" priority="2113" operator="containsText" text="Ear">
      <formula>NOT(ISERROR(SEARCH("Ear",Z45)))</formula>
    </cfRule>
    <cfRule type="containsText" dxfId="1041" priority="2114" operator="containsText" text="fnd">
      <formula>NOT(ISERROR(SEARCH("fnd",Z45)))</formula>
    </cfRule>
  </conditionalFormatting>
  <conditionalFormatting sqref="Z53">
    <cfRule type="containsText" dxfId="1040" priority="501" operator="containsText" text="Str">
      <formula>NOT(ISERROR(SEARCH("Str",Z53)))</formula>
    </cfRule>
    <cfRule type="containsText" dxfId="1039" priority="502" operator="containsText" text="Ere">
      <formula>NOT(ISERROR(SEARCH("Ere",Z53)))</formula>
    </cfRule>
    <cfRule type="containsText" dxfId="1038" priority="503" operator="containsText" text="Ear">
      <formula>NOT(ISERROR(SEARCH("Ear",Z53)))</formula>
    </cfRule>
    <cfRule type="containsText" dxfId="1037" priority="504" operator="containsText" text="fnd">
      <formula>NOT(ISERROR(SEARCH("fnd",Z53)))</formula>
    </cfRule>
  </conditionalFormatting>
  <conditionalFormatting sqref="Z61">
    <cfRule type="containsText" dxfId="1036" priority="2091" operator="containsText" text="Str">
      <formula>NOT(ISERROR(SEARCH("Str",Z61)))</formula>
    </cfRule>
    <cfRule type="containsText" dxfId="1035" priority="2092" operator="containsText" text="Ere">
      <formula>NOT(ISERROR(SEARCH("Ere",Z61)))</formula>
    </cfRule>
    <cfRule type="containsText" dxfId="1034" priority="2093" operator="containsText" text="Ear">
      <formula>NOT(ISERROR(SEARCH("Ear",Z61)))</formula>
    </cfRule>
    <cfRule type="containsText" dxfId="1033" priority="2094" operator="containsText" text="fnd">
      <formula>NOT(ISERROR(SEARCH("fnd",Z61)))</formula>
    </cfRule>
  </conditionalFormatting>
  <conditionalFormatting sqref="Z69">
    <cfRule type="containsText" dxfId="1032" priority="803" operator="containsText" text="Str">
      <formula>NOT(ISERROR(SEARCH("Str",Z69)))</formula>
    </cfRule>
    <cfRule type="containsText" dxfId="1031" priority="804" operator="containsText" text="Ere">
      <formula>NOT(ISERROR(SEARCH("Ere",Z69)))</formula>
    </cfRule>
    <cfRule type="containsText" dxfId="1030" priority="805" operator="containsText" text="Ear">
      <formula>NOT(ISERROR(SEARCH("Ear",Z69)))</formula>
    </cfRule>
    <cfRule type="containsText" dxfId="1029" priority="806" operator="containsText" text="fnd">
      <formula>NOT(ISERROR(SEARCH("fnd",Z69)))</formula>
    </cfRule>
  </conditionalFormatting>
  <conditionalFormatting sqref="Z85">
    <cfRule type="containsText" dxfId="1028" priority="715" operator="containsText" text="Str">
      <formula>NOT(ISERROR(SEARCH("Str",Z85)))</formula>
    </cfRule>
    <cfRule type="containsText" dxfId="1027" priority="716" operator="containsText" text="Ere">
      <formula>NOT(ISERROR(SEARCH("Ere",Z85)))</formula>
    </cfRule>
    <cfRule type="containsText" dxfId="1026" priority="717" operator="containsText" text="Ear">
      <formula>NOT(ISERROR(SEARCH("Ear",Z85)))</formula>
    </cfRule>
    <cfRule type="containsText" dxfId="1025" priority="718" operator="containsText" text="fnd">
      <formula>NOT(ISERROR(SEARCH("fnd",Z85)))</formula>
    </cfRule>
  </conditionalFormatting>
  <conditionalFormatting sqref="Z93">
    <cfRule type="containsText" dxfId="1024" priority="1919" operator="containsText" text="Str">
      <formula>NOT(ISERROR(SEARCH("Str",Z93)))</formula>
    </cfRule>
    <cfRule type="containsText" dxfId="1023" priority="1920" operator="containsText" text="Ere">
      <formula>NOT(ISERROR(SEARCH("Ere",Z93)))</formula>
    </cfRule>
    <cfRule type="containsText" dxfId="1022" priority="1921" operator="containsText" text="Ear">
      <formula>NOT(ISERROR(SEARCH("Ear",Z93)))</formula>
    </cfRule>
    <cfRule type="containsText" dxfId="1021" priority="1922" operator="containsText" text="fnd">
      <formula>NOT(ISERROR(SEARCH("fnd",Z93)))</formula>
    </cfRule>
  </conditionalFormatting>
  <conditionalFormatting sqref="Z101">
    <cfRule type="containsText" dxfId="1020" priority="2227" operator="containsText" text="Str">
      <formula>NOT(ISERROR(SEARCH("Str",Z101)))</formula>
    </cfRule>
    <cfRule type="containsText" dxfId="1019" priority="2228" operator="containsText" text="Ere">
      <formula>NOT(ISERROR(SEARCH("Ere",Z101)))</formula>
    </cfRule>
    <cfRule type="containsText" dxfId="1018" priority="2229" operator="containsText" text="Ear">
      <formula>NOT(ISERROR(SEARCH("Ear",Z101)))</formula>
    </cfRule>
    <cfRule type="containsText" dxfId="1017" priority="2230" operator="containsText" text="fnd">
      <formula>NOT(ISERROR(SEARCH("fnd",Z101)))</formula>
    </cfRule>
  </conditionalFormatting>
  <conditionalFormatting sqref="Z109">
    <cfRule type="containsText" dxfId="1016" priority="1827" operator="containsText" text="Str">
      <formula>NOT(ISERROR(SEARCH("Str",Z109)))</formula>
    </cfRule>
    <cfRule type="containsText" dxfId="1015" priority="1828" operator="containsText" text="Ere">
      <formula>NOT(ISERROR(SEARCH("Ere",Z109)))</formula>
    </cfRule>
    <cfRule type="containsText" dxfId="1014" priority="1829" operator="containsText" text="Ear">
      <formula>NOT(ISERROR(SEARCH("Ear",Z109)))</formula>
    </cfRule>
    <cfRule type="containsText" dxfId="1013" priority="1830" operator="containsText" text="fnd">
      <formula>NOT(ISERROR(SEARCH("fnd",Z109)))</formula>
    </cfRule>
  </conditionalFormatting>
  <conditionalFormatting sqref="Z117">
    <cfRule type="containsText" dxfId="1012" priority="743" operator="containsText" text="Str">
      <formula>NOT(ISERROR(SEARCH("Str",Z117)))</formula>
    </cfRule>
    <cfRule type="containsText" dxfId="1011" priority="744" operator="containsText" text="Ere">
      <formula>NOT(ISERROR(SEARCH("Ere",Z117)))</formula>
    </cfRule>
    <cfRule type="containsText" dxfId="1010" priority="745" operator="containsText" text="Ear">
      <formula>NOT(ISERROR(SEARCH("Ear",Z117)))</formula>
    </cfRule>
    <cfRule type="containsText" dxfId="1009" priority="746" operator="containsText" text="fnd">
      <formula>NOT(ISERROR(SEARCH("fnd",Z117)))</formula>
    </cfRule>
  </conditionalFormatting>
  <conditionalFormatting sqref="Z122 Z130 Z170 Z178">
    <cfRule type="containsText" dxfId="1008" priority="2055" operator="containsText" text="Str">
      <formula>NOT(ISERROR(SEARCH("Str",Z122)))</formula>
    </cfRule>
    <cfRule type="containsText" dxfId="1007" priority="2056" operator="containsText" text="Ere">
      <formula>NOT(ISERROR(SEARCH("Ere",Z122)))</formula>
    </cfRule>
    <cfRule type="containsText" dxfId="1006" priority="2057" operator="containsText" text="Ear">
      <formula>NOT(ISERROR(SEARCH("Ear",Z122)))</formula>
    </cfRule>
    <cfRule type="containsText" dxfId="1005" priority="2058" operator="containsText" text="fnd">
      <formula>NOT(ISERROR(SEARCH("fnd",Z122)))</formula>
    </cfRule>
  </conditionalFormatting>
  <conditionalFormatting sqref="Z125">
    <cfRule type="containsText" dxfId="1004" priority="525" operator="containsText" text="Str">
      <formula>NOT(ISERROR(SEARCH("Str",Z125)))</formula>
    </cfRule>
    <cfRule type="containsText" dxfId="1003" priority="526" operator="containsText" text="Ere">
      <formula>NOT(ISERROR(SEARCH("Ere",Z125)))</formula>
    </cfRule>
    <cfRule type="containsText" dxfId="1002" priority="527" operator="containsText" text="Ear">
      <formula>NOT(ISERROR(SEARCH("Ear",Z125)))</formula>
    </cfRule>
    <cfRule type="containsText" dxfId="1001" priority="528" operator="containsText" text="fnd">
      <formula>NOT(ISERROR(SEARCH("fnd",Z125)))</formula>
    </cfRule>
  </conditionalFormatting>
  <conditionalFormatting sqref="Z133">
    <cfRule type="containsText" dxfId="1000" priority="293" operator="containsText" text="Str">
      <formula>NOT(ISERROR(SEARCH("Str",Z133)))</formula>
    </cfRule>
    <cfRule type="containsText" dxfId="999" priority="294" operator="containsText" text="Ere">
      <formula>NOT(ISERROR(SEARCH("Ere",Z133)))</formula>
    </cfRule>
    <cfRule type="containsText" dxfId="998" priority="295" operator="containsText" text="Ear">
      <formula>NOT(ISERROR(SEARCH("Ear",Z133)))</formula>
    </cfRule>
    <cfRule type="containsText" dxfId="997" priority="296" operator="containsText" text="fnd">
      <formula>NOT(ISERROR(SEARCH("fnd",Z133)))</formula>
    </cfRule>
  </conditionalFormatting>
  <conditionalFormatting sqref="Z141">
    <cfRule type="containsText" dxfId="996" priority="783" operator="containsText" text="Str">
      <formula>NOT(ISERROR(SEARCH("Str",Z141)))</formula>
    </cfRule>
    <cfRule type="containsText" dxfId="995" priority="784" operator="containsText" text="Ere">
      <formula>NOT(ISERROR(SEARCH("Ere",Z141)))</formula>
    </cfRule>
    <cfRule type="containsText" dxfId="994" priority="785" operator="containsText" text="Ear">
      <formula>NOT(ISERROR(SEARCH("Ear",Z141)))</formula>
    </cfRule>
    <cfRule type="containsText" dxfId="993" priority="786" operator="containsText" text="fnd">
      <formula>NOT(ISERROR(SEARCH("fnd",Z141)))</formula>
    </cfRule>
  </conditionalFormatting>
  <conditionalFormatting sqref="Z149">
    <cfRule type="containsText" dxfId="992" priority="425" operator="containsText" text="Str">
      <formula>NOT(ISERROR(SEARCH("Str",Z149)))</formula>
    </cfRule>
    <cfRule type="containsText" dxfId="991" priority="426" operator="containsText" text="Ere">
      <formula>NOT(ISERROR(SEARCH("Ere",Z149)))</formula>
    </cfRule>
    <cfRule type="containsText" dxfId="990" priority="427" operator="containsText" text="Ear">
      <formula>NOT(ISERROR(SEARCH("Ear",Z149)))</formula>
    </cfRule>
    <cfRule type="containsText" dxfId="989" priority="428" operator="containsText" text="fnd">
      <formula>NOT(ISERROR(SEARCH("fnd",Z149)))</formula>
    </cfRule>
  </conditionalFormatting>
  <conditionalFormatting sqref="Z157">
    <cfRule type="containsText" dxfId="988" priority="1151" operator="containsText" text="Str">
      <formula>NOT(ISERROR(SEARCH("Str",Z157)))</formula>
    </cfRule>
    <cfRule type="containsText" dxfId="987" priority="1152" operator="containsText" text="Ere">
      <formula>NOT(ISERROR(SEARCH("Ere",Z157)))</formula>
    </cfRule>
    <cfRule type="containsText" dxfId="986" priority="1153" operator="containsText" text="Ear">
      <formula>NOT(ISERROR(SEARCH("Ear",Z157)))</formula>
    </cfRule>
    <cfRule type="containsText" dxfId="985" priority="1154" operator="containsText" text="fnd">
      <formula>NOT(ISERROR(SEARCH("fnd",Z157)))</formula>
    </cfRule>
  </conditionalFormatting>
  <conditionalFormatting sqref="Z165">
    <cfRule type="containsText" dxfId="984" priority="457" operator="containsText" text="Str">
      <formula>NOT(ISERROR(SEARCH("Str",Z165)))</formula>
    </cfRule>
    <cfRule type="containsText" dxfId="983" priority="458" operator="containsText" text="Ere">
      <formula>NOT(ISERROR(SEARCH("Ere",Z165)))</formula>
    </cfRule>
    <cfRule type="containsText" dxfId="982" priority="459" operator="containsText" text="Ear">
      <formula>NOT(ISERROR(SEARCH("Ear",Z165)))</formula>
    </cfRule>
    <cfRule type="containsText" dxfId="981" priority="460" operator="containsText" text="fnd">
      <formula>NOT(ISERROR(SEARCH("fnd",Z165)))</formula>
    </cfRule>
  </conditionalFormatting>
  <conditionalFormatting sqref="Z173">
    <cfRule type="containsText" dxfId="980" priority="1027" operator="containsText" text="Str">
      <formula>NOT(ISERROR(SEARCH("Str",Z173)))</formula>
    </cfRule>
    <cfRule type="containsText" dxfId="979" priority="1028" operator="containsText" text="Ere">
      <formula>NOT(ISERROR(SEARCH("Ere",Z173)))</formula>
    </cfRule>
    <cfRule type="containsText" dxfId="978" priority="1029" operator="containsText" text="Ear">
      <formula>NOT(ISERROR(SEARCH("Ear",Z173)))</formula>
    </cfRule>
    <cfRule type="containsText" dxfId="977" priority="1030" operator="containsText" text="fnd">
      <formula>NOT(ISERROR(SEARCH("fnd",Z173)))</formula>
    </cfRule>
  </conditionalFormatting>
  <conditionalFormatting sqref="Z181">
    <cfRule type="containsText" dxfId="976" priority="113" operator="containsText" text="Str">
      <formula>NOT(ISERROR(SEARCH("Str",Z181)))</formula>
    </cfRule>
    <cfRule type="containsText" dxfId="975" priority="114" operator="containsText" text="Ere">
      <formula>NOT(ISERROR(SEARCH("Ere",Z181)))</formula>
    </cfRule>
    <cfRule type="containsText" dxfId="974" priority="115" operator="containsText" text="Ear">
      <formula>NOT(ISERROR(SEARCH("Ear",Z181)))</formula>
    </cfRule>
    <cfRule type="containsText" dxfId="973" priority="116" operator="containsText" text="fnd">
      <formula>NOT(ISERROR(SEARCH("fnd",Z181)))</formula>
    </cfRule>
  </conditionalFormatting>
  <conditionalFormatting sqref="Z30:AA30">
    <cfRule type="containsText" dxfId="972" priority="1907" operator="containsText" text="Str">
      <formula>NOT(ISERROR(SEARCH("Str",Z30)))</formula>
    </cfRule>
    <cfRule type="containsText" dxfId="971" priority="1908" operator="containsText" text="Ere">
      <formula>NOT(ISERROR(SEARCH("Ere",Z30)))</formula>
    </cfRule>
    <cfRule type="containsText" dxfId="970" priority="1909" operator="containsText" text="Ear">
      <formula>NOT(ISERROR(SEARCH("Ear",Z30)))</formula>
    </cfRule>
    <cfRule type="containsText" dxfId="969" priority="1910" operator="containsText" text="fnd">
      <formula>NOT(ISERROR(SEARCH("fnd",Z30)))</formula>
    </cfRule>
  </conditionalFormatting>
  <conditionalFormatting sqref="Z38:AA38">
    <cfRule type="containsText" dxfId="968" priority="1527" operator="containsText" text="Str">
      <formula>NOT(ISERROR(SEARCH("Str",Z38)))</formula>
    </cfRule>
    <cfRule type="containsText" dxfId="967" priority="1528" operator="containsText" text="Ere">
      <formula>NOT(ISERROR(SEARCH("Ere",Z38)))</formula>
    </cfRule>
    <cfRule type="containsText" dxfId="966" priority="1529" operator="containsText" text="Ear">
      <formula>NOT(ISERROR(SEARCH("Ear",Z38)))</formula>
    </cfRule>
    <cfRule type="containsText" dxfId="965" priority="1530" operator="containsText" text="fnd">
      <formula>NOT(ISERROR(SEARCH("fnd",Z38)))</formula>
    </cfRule>
  </conditionalFormatting>
  <conditionalFormatting sqref="Z46:AA46">
    <cfRule type="containsText" dxfId="964" priority="2363" operator="containsText" text="Str">
      <formula>NOT(ISERROR(SEARCH("Str",Z46)))</formula>
    </cfRule>
    <cfRule type="containsText" dxfId="963" priority="2364" operator="containsText" text="Ere">
      <formula>NOT(ISERROR(SEARCH("Ere",Z46)))</formula>
    </cfRule>
    <cfRule type="containsText" dxfId="962" priority="2365" operator="containsText" text="Ear">
      <formula>NOT(ISERROR(SEARCH("Ear",Z46)))</formula>
    </cfRule>
    <cfRule type="containsText" dxfId="961" priority="2366" operator="containsText" text="fnd">
      <formula>NOT(ISERROR(SEARCH("fnd",Z46)))</formula>
    </cfRule>
  </conditionalFormatting>
  <conditionalFormatting sqref="Z54:AA54">
    <cfRule type="containsText" dxfId="960" priority="505" operator="containsText" text="Str">
      <formula>NOT(ISERROR(SEARCH("Str",Z54)))</formula>
    </cfRule>
    <cfRule type="containsText" dxfId="959" priority="506" operator="containsText" text="Ere">
      <formula>NOT(ISERROR(SEARCH("Ere",Z54)))</formula>
    </cfRule>
    <cfRule type="containsText" dxfId="958" priority="507" operator="containsText" text="Ear">
      <formula>NOT(ISERROR(SEARCH("Ear",Z54)))</formula>
    </cfRule>
    <cfRule type="containsText" dxfId="957" priority="508" operator="containsText" text="fnd">
      <formula>NOT(ISERROR(SEARCH("fnd",Z54)))</formula>
    </cfRule>
  </conditionalFormatting>
  <conditionalFormatting sqref="Z62:AA62 AM62">
    <cfRule type="containsText" dxfId="956" priority="2319" operator="containsText" text="Str">
      <formula>NOT(ISERROR(SEARCH("Str",Z62)))</formula>
    </cfRule>
    <cfRule type="containsText" dxfId="955" priority="2320" operator="containsText" text="Ere">
      <formula>NOT(ISERROR(SEARCH("Ere",Z62)))</formula>
    </cfRule>
    <cfRule type="containsText" dxfId="954" priority="2321" operator="containsText" text="Ear">
      <formula>NOT(ISERROR(SEARCH("Ear",Z62)))</formula>
    </cfRule>
    <cfRule type="containsText" dxfId="953" priority="2322" operator="containsText" text="fnd">
      <formula>NOT(ISERROR(SEARCH("fnd",Z62)))</formula>
    </cfRule>
  </conditionalFormatting>
  <conditionalFormatting sqref="Z77:AA78">
    <cfRule type="containsText" dxfId="952" priority="1959" operator="containsText" text="Str">
      <formula>NOT(ISERROR(SEARCH("Str",Z77)))</formula>
    </cfRule>
    <cfRule type="containsText" dxfId="951" priority="1960" operator="containsText" text="Ere">
      <formula>NOT(ISERROR(SEARCH("Ere",Z77)))</formula>
    </cfRule>
    <cfRule type="containsText" dxfId="950" priority="1961" operator="containsText" text="Ear">
      <formula>NOT(ISERROR(SEARCH("Ear",Z77)))</formula>
    </cfRule>
    <cfRule type="containsText" dxfId="949" priority="1962" operator="containsText" text="fnd">
      <formula>NOT(ISERROR(SEARCH("fnd",Z77)))</formula>
    </cfRule>
  </conditionalFormatting>
  <conditionalFormatting sqref="Z86:AA86">
    <cfRule type="containsText" dxfId="948" priority="719" operator="containsText" text="Str">
      <formula>NOT(ISERROR(SEARCH("Str",Z86)))</formula>
    </cfRule>
    <cfRule type="containsText" dxfId="947" priority="720" operator="containsText" text="Ere">
      <formula>NOT(ISERROR(SEARCH("Ere",Z86)))</formula>
    </cfRule>
    <cfRule type="containsText" dxfId="946" priority="721" operator="containsText" text="Ear">
      <formula>NOT(ISERROR(SEARCH("Ear",Z86)))</formula>
    </cfRule>
    <cfRule type="containsText" dxfId="945" priority="722" operator="containsText" text="fnd">
      <formula>NOT(ISERROR(SEARCH("fnd",Z86)))</formula>
    </cfRule>
  </conditionalFormatting>
  <conditionalFormatting sqref="Z94:AA94">
    <cfRule type="containsText" dxfId="944" priority="1923" operator="containsText" text="Str">
      <formula>NOT(ISERROR(SEARCH("Str",Z94)))</formula>
    </cfRule>
    <cfRule type="containsText" dxfId="943" priority="1924" operator="containsText" text="Ere">
      <formula>NOT(ISERROR(SEARCH("Ere",Z94)))</formula>
    </cfRule>
    <cfRule type="containsText" dxfId="942" priority="1925" operator="containsText" text="Ear">
      <formula>NOT(ISERROR(SEARCH("Ear",Z94)))</formula>
    </cfRule>
    <cfRule type="containsText" dxfId="941" priority="1926" operator="containsText" text="fnd">
      <formula>NOT(ISERROR(SEARCH("fnd",Z94)))</formula>
    </cfRule>
  </conditionalFormatting>
  <conditionalFormatting sqref="Z102:AA102">
    <cfRule type="containsText" dxfId="940" priority="2271" operator="containsText" text="Str">
      <formula>NOT(ISERROR(SEARCH("Str",Z102)))</formula>
    </cfRule>
    <cfRule type="containsText" dxfId="939" priority="2272" operator="containsText" text="Ere">
      <formula>NOT(ISERROR(SEARCH("Ere",Z102)))</formula>
    </cfRule>
    <cfRule type="containsText" dxfId="938" priority="2273" operator="containsText" text="Ear">
      <formula>NOT(ISERROR(SEARCH("Ear",Z102)))</formula>
    </cfRule>
    <cfRule type="containsText" dxfId="937" priority="2274" operator="containsText" text="fnd">
      <formula>NOT(ISERROR(SEARCH("fnd",Z102)))</formula>
    </cfRule>
  </conditionalFormatting>
  <conditionalFormatting sqref="Z110:AA110">
    <cfRule type="containsText" dxfId="936" priority="1831" operator="containsText" text="Str">
      <formula>NOT(ISERROR(SEARCH("Str",Z110)))</formula>
    </cfRule>
    <cfRule type="containsText" dxfId="935" priority="1832" operator="containsText" text="Ere">
      <formula>NOT(ISERROR(SEARCH("Ere",Z110)))</formula>
    </cfRule>
    <cfRule type="containsText" dxfId="934" priority="1833" operator="containsText" text="Ear">
      <formula>NOT(ISERROR(SEARCH("Ear",Z110)))</formula>
    </cfRule>
    <cfRule type="containsText" dxfId="933" priority="1834" operator="containsText" text="fnd">
      <formula>NOT(ISERROR(SEARCH("fnd",Z110)))</formula>
    </cfRule>
  </conditionalFormatting>
  <conditionalFormatting sqref="Z118:AA118">
    <cfRule type="containsText" dxfId="932" priority="747" operator="containsText" text="Str">
      <formula>NOT(ISERROR(SEARCH("Str",Z118)))</formula>
    </cfRule>
    <cfRule type="containsText" dxfId="931" priority="748" operator="containsText" text="Ere">
      <formula>NOT(ISERROR(SEARCH("Ere",Z118)))</formula>
    </cfRule>
    <cfRule type="containsText" dxfId="930" priority="749" operator="containsText" text="Ear">
      <formula>NOT(ISERROR(SEARCH("Ear",Z118)))</formula>
    </cfRule>
    <cfRule type="containsText" dxfId="929" priority="750" operator="containsText" text="fnd">
      <formula>NOT(ISERROR(SEARCH("fnd",Z118)))</formula>
    </cfRule>
  </conditionalFormatting>
  <conditionalFormatting sqref="Z126:AA126">
    <cfRule type="containsText" dxfId="928" priority="529" operator="containsText" text="Str">
      <formula>NOT(ISERROR(SEARCH("Str",Z126)))</formula>
    </cfRule>
    <cfRule type="containsText" dxfId="927" priority="530" operator="containsText" text="Ere">
      <formula>NOT(ISERROR(SEARCH("Ere",Z126)))</formula>
    </cfRule>
    <cfRule type="containsText" dxfId="926" priority="531" operator="containsText" text="Ear">
      <formula>NOT(ISERROR(SEARCH("Ear",Z126)))</formula>
    </cfRule>
    <cfRule type="containsText" dxfId="925" priority="532" operator="containsText" text="fnd">
      <formula>NOT(ISERROR(SEARCH("fnd",Z126)))</formula>
    </cfRule>
  </conditionalFormatting>
  <conditionalFormatting sqref="Z134:AA134">
    <cfRule type="containsText" dxfId="924" priority="297" operator="containsText" text="Str">
      <formula>NOT(ISERROR(SEARCH("Str",Z134)))</formula>
    </cfRule>
    <cfRule type="containsText" dxfId="923" priority="298" operator="containsText" text="Ere">
      <formula>NOT(ISERROR(SEARCH("Ere",Z134)))</formula>
    </cfRule>
    <cfRule type="containsText" dxfId="922" priority="299" operator="containsText" text="Ear">
      <formula>NOT(ISERROR(SEARCH("Ear",Z134)))</formula>
    </cfRule>
    <cfRule type="containsText" dxfId="921" priority="300" operator="containsText" text="fnd">
      <formula>NOT(ISERROR(SEARCH("fnd",Z134)))</formula>
    </cfRule>
  </conditionalFormatting>
  <conditionalFormatting sqref="Z150:AA150">
    <cfRule type="containsText" dxfId="920" priority="429" operator="containsText" text="Str">
      <formula>NOT(ISERROR(SEARCH("Str",Z150)))</formula>
    </cfRule>
    <cfRule type="containsText" dxfId="919" priority="430" operator="containsText" text="Ere">
      <formula>NOT(ISERROR(SEARCH("Ere",Z150)))</formula>
    </cfRule>
    <cfRule type="containsText" dxfId="918" priority="431" operator="containsText" text="Ear">
      <formula>NOT(ISERROR(SEARCH("Ear",Z150)))</formula>
    </cfRule>
    <cfRule type="containsText" dxfId="917" priority="432" operator="containsText" text="fnd">
      <formula>NOT(ISERROR(SEARCH("fnd",Z150)))</formula>
    </cfRule>
  </conditionalFormatting>
  <conditionalFormatting sqref="Z158:AA158">
    <cfRule type="containsText" dxfId="916" priority="1155" operator="containsText" text="Str">
      <formula>NOT(ISERROR(SEARCH("Str",Z158)))</formula>
    </cfRule>
    <cfRule type="containsText" dxfId="915" priority="1156" operator="containsText" text="Ere">
      <formula>NOT(ISERROR(SEARCH("Ere",Z158)))</formula>
    </cfRule>
    <cfRule type="containsText" dxfId="914" priority="1157" operator="containsText" text="Ear">
      <formula>NOT(ISERROR(SEARCH("Ear",Z158)))</formula>
    </cfRule>
    <cfRule type="containsText" dxfId="913" priority="1158" operator="containsText" text="fnd">
      <formula>NOT(ISERROR(SEARCH("fnd",Z158)))</formula>
    </cfRule>
  </conditionalFormatting>
  <conditionalFormatting sqref="Z166:AA166">
    <cfRule type="containsText" dxfId="912" priority="461" operator="containsText" text="Str">
      <formula>NOT(ISERROR(SEARCH("Str",Z166)))</formula>
    </cfRule>
    <cfRule type="containsText" dxfId="911" priority="462" operator="containsText" text="Ere">
      <formula>NOT(ISERROR(SEARCH("Ere",Z166)))</formula>
    </cfRule>
    <cfRule type="containsText" dxfId="910" priority="463" operator="containsText" text="Ear">
      <formula>NOT(ISERROR(SEARCH("Ear",Z166)))</formula>
    </cfRule>
    <cfRule type="containsText" dxfId="909" priority="464" operator="containsText" text="fnd">
      <formula>NOT(ISERROR(SEARCH("fnd",Z166)))</formula>
    </cfRule>
  </conditionalFormatting>
  <conditionalFormatting sqref="Z174:AA174">
    <cfRule type="containsText" dxfId="908" priority="1031" operator="containsText" text="Str">
      <formula>NOT(ISERROR(SEARCH("Str",Z174)))</formula>
    </cfRule>
    <cfRule type="containsText" dxfId="907" priority="1032" operator="containsText" text="Ere">
      <formula>NOT(ISERROR(SEARCH("Ere",Z174)))</formula>
    </cfRule>
    <cfRule type="containsText" dxfId="906" priority="1033" operator="containsText" text="Ear">
      <formula>NOT(ISERROR(SEARCH("Ear",Z174)))</formula>
    </cfRule>
    <cfRule type="containsText" dxfId="905" priority="1034" operator="containsText" text="fnd">
      <formula>NOT(ISERROR(SEARCH("fnd",Z174)))</formula>
    </cfRule>
  </conditionalFormatting>
  <conditionalFormatting sqref="Z182:AA182">
    <cfRule type="containsText" dxfId="904" priority="117" operator="containsText" text="Str">
      <formula>NOT(ISERROR(SEARCH("Str",Z182)))</formula>
    </cfRule>
    <cfRule type="containsText" dxfId="903" priority="118" operator="containsText" text="Ere">
      <formula>NOT(ISERROR(SEARCH("Ere",Z182)))</formula>
    </cfRule>
    <cfRule type="containsText" dxfId="902" priority="119" operator="containsText" text="Ear">
      <formula>NOT(ISERROR(SEARCH("Ear",Z182)))</formula>
    </cfRule>
    <cfRule type="containsText" dxfId="901" priority="120" operator="containsText" text="fnd">
      <formula>NOT(ISERROR(SEARCH("fnd",Z182)))</formula>
    </cfRule>
  </conditionalFormatting>
  <conditionalFormatting sqref="AA6">
    <cfRule type="containsText" dxfId="900" priority="209" operator="containsText" text="Str">
      <formula>NOT(ISERROR(SEARCH("Str",AA6)))</formula>
    </cfRule>
    <cfRule type="containsText" dxfId="899" priority="210" operator="containsText" text="Ere">
      <formula>NOT(ISERROR(SEARCH("Ere",AA6)))</formula>
    </cfRule>
    <cfRule type="containsText" dxfId="898" priority="211" operator="containsText" text="Ear">
      <formula>NOT(ISERROR(SEARCH("Ear",AA6)))</formula>
    </cfRule>
    <cfRule type="containsText" dxfId="897" priority="212" operator="containsText" text="fnd">
      <formula>NOT(ISERROR(SEARCH("fnd",AA6)))</formula>
    </cfRule>
  </conditionalFormatting>
  <conditionalFormatting sqref="AA14">
    <cfRule type="containsText" dxfId="896" priority="409" operator="containsText" text="Str">
      <formula>NOT(ISERROR(SEARCH("Str",AA14)))</formula>
    </cfRule>
    <cfRule type="containsText" dxfId="895" priority="410" operator="containsText" text="Ere">
      <formula>NOT(ISERROR(SEARCH("Ere",AA14)))</formula>
    </cfRule>
    <cfRule type="containsText" dxfId="894" priority="411" operator="containsText" text="Ear">
      <formula>NOT(ISERROR(SEARCH("Ear",AA14)))</formula>
    </cfRule>
    <cfRule type="containsText" dxfId="893" priority="412" operator="containsText" text="fnd">
      <formula>NOT(ISERROR(SEARCH("fnd",AA14)))</formula>
    </cfRule>
  </conditionalFormatting>
  <conditionalFormatting sqref="AA22">
    <cfRule type="containsText" dxfId="892" priority="1947" operator="containsText" text="Str">
      <formula>NOT(ISERROR(SEARCH("Str",AA22)))</formula>
    </cfRule>
    <cfRule type="containsText" dxfId="891" priority="1948" operator="containsText" text="Ere">
      <formula>NOT(ISERROR(SEARCH("Ere",AA22)))</formula>
    </cfRule>
    <cfRule type="containsText" dxfId="890" priority="1949" operator="containsText" text="Ear">
      <formula>NOT(ISERROR(SEARCH("Ear",AA22)))</formula>
    </cfRule>
    <cfRule type="containsText" dxfId="889" priority="1950" operator="containsText" text="fnd">
      <formula>NOT(ISERROR(SEARCH("fnd",AA22)))</formula>
    </cfRule>
  </conditionalFormatting>
  <conditionalFormatting sqref="AC5:AC6">
    <cfRule type="containsText" dxfId="888" priority="205" operator="containsText" text="Str">
      <formula>NOT(ISERROR(SEARCH("Str",AC5)))</formula>
    </cfRule>
    <cfRule type="containsText" dxfId="887" priority="206" operator="containsText" text="Ere">
      <formula>NOT(ISERROR(SEARCH("Ere",AC5)))</formula>
    </cfRule>
    <cfRule type="containsText" dxfId="886" priority="207" operator="containsText" text="Ear">
      <formula>NOT(ISERROR(SEARCH("Ear",AC5)))</formula>
    </cfRule>
    <cfRule type="containsText" dxfId="885" priority="208" operator="containsText" text="fnd">
      <formula>NOT(ISERROR(SEARCH("fnd",AC5)))</formula>
    </cfRule>
  </conditionalFormatting>
  <conditionalFormatting sqref="AC13:AC14">
    <cfRule type="containsText" dxfId="884" priority="967" operator="containsText" text="Str">
      <formula>NOT(ISERROR(SEARCH("Str",AC13)))</formula>
    </cfRule>
    <cfRule type="containsText" dxfId="883" priority="968" operator="containsText" text="Ere">
      <formula>NOT(ISERROR(SEARCH("Ere",AC13)))</formula>
    </cfRule>
    <cfRule type="containsText" dxfId="882" priority="969" operator="containsText" text="Ear">
      <formula>NOT(ISERROR(SEARCH("Ear",AC13)))</formula>
    </cfRule>
    <cfRule type="containsText" dxfId="881" priority="970" operator="containsText" text="fnd">
      <formula>NOT(ISERROR(SEARCH("fnd",AC13)))</formula>
    </cfRule>
  </conditionalFormatting>
  <conditionalFormatting sqref="AC21:AC22">
    <cfRule type="containsText" dxfId="880" priority="1951" operator="containsText" text="Str">
      <formula>NOT(ISERROR(SEARCH("Str",AC21)))</formula>
    </cfRule>
    <cfRule type="containsText" dxfId="879" priority="1952" operator="containsText" text="Ere">
      <formula>NOT(ISERROR(SEARCH("Ere",AC21)))</formula>
    </cfRule>
    <cfRule type="containsText" dxfId="878" priority="1953" operator="containsText" text="Ear">
      <formula>NOT(ISERROR(SEARCH("Ear",AC21)))</formula>
    </cfRule>
    <cfRule type="containsText" dxfId="877" priority="1954" operator="containsText" text="fnd">
      <formula>NOT(ISERROR(SEARCH("fnd",AC21)))</formula>
    </cfRule>
  </conditionalFormatting>
  <conditionalFormatting sqref="AC29">
    <cfRule type="containsText" dxfId="876" priority="1851" operator="containsText" text="Str">
      <formula>NOT(ISERROR(SEARCH("Str",AC29)))</formula>
    </cfRule>
    <cfRule type="containsText" dxfId="875" priority="1852" operator="containsText" text="Ere">
      <formula>NOT(ISERROR(SEARCH("Ere",AC29)))</formula>
    </cfRule>
    <cfRule type="containsText" dxfId="874" priority="1853" operator="containsText" text="Ear">
      <formula>NOT(ISERROR(SEARCH("Ear",AC29)))</formula>
    </cfRule>
    <cfRule type="containsText" dxfId="873" priority="1854" operator="containsText" text="fnd">
      <formula>NOT(ISERROR(SEARCH("fnd",AC29)))</formula>
    </cfRule>
  </conditionalFormatting>
  <conditionalFormatting sqref="AC37">
    <cfRule type="containsText" dxfId="872" priority="1515" operator="containsText" text="Str">
      <formula>NOT(ISERROR(SEARCH("Str",AC37)))</formula>
    </cfRule>
    <cfRule type="containsText" dxfId="871" priority="1516" operator="containsText" text="Ere">
      <formula>NOT(ISERROR(SEARCH("Ere",AC37)))</formula>
    </cfRule>
    <cfRule type="containsText" dxfId="870" priority="1517" operator="containsText" text="Ear">
      <formula>NOT(ISERROR(SEARCH("Ear",AC37)))</formula>
    </cfRule>
    <cfRule type="containsText" dxfId="869" priority="1518" operator="containsText" text="fnd">
      <formula>NOT(ISERROR(SEARCH("fnd",AC37)))</formula>
    </cfRule>
  </conditionalFormatting>
  <conditionalFormatting sqref="AC45">
    <cfRule type="containsText" dxfId="868" priority="635" operator="containsText" text="Str">
      <formula>NOT(ISERROR(SEARCH("Str",AC45)))</formula>
    </cfRule>
    <cfRule type="containsText" dxfId="867" priority="636" operator="containsText" text="Ere">
      <formula>NOT(ISERROR(SEARCH("Ere",AC45)))</formula>
    </cfRule>
    <cfRule type="containsText" dxfId="866" priority="637" operator="containsText" text="Ear">
      <formula>NOT(ISERROR(SEARCH("Ear",AC45)))</formula>
    </cfRule>
    <cfRule type="containsText" dxfId="865" priority="638" operator="containsText" text="fnd">
      <formula>NOT(ISERROR(SEARCH("fnd",AC45)))</formula>
    </cfRule>
  </conditionalFormatting>
  <conditionalFormatting sqref="AC53">
    <cfRule type="containsText" dxfId="864" priority="569" operator="containsText" text="Str">
      <formula>NOT(ISERROR(SEARCH("Str",AC53)))</formula>
    </cfRule>
    <cfRule type="containsText" dxfId="863" priority="570" operator="containsText" text="Ere">
      <formula>NOT(ISERROR(SEARCH("Ere",AC53)))</formula>
    </cfRule>
    <cfRule type="containsText" dxfId="862" priority="571" operator="containsText" text="Ear">
      <formula>NOT(ISERROR(SEARCH("Ear",AC53)))</formula>
    </cfRule>
    <cfRule type="containsText" dxfId="861" priority="572" operator="containsText" text="fnd">
      <formula>NOT(ISERROR(SEARCH("fnd",AC53)))</formula>
    </cfRule>
  </conditionalFormatting>
  <conditionalFormatting sqref="AC61">
    <cfRule type="containsText" dxfId="860" priority="851" operator="containsText" text="Str">
      <formula>NOT(ISERROR(SEARCH("Str",AC61)))</formula>
    </cfRule>
    <cfRule type="containsText" dxfId="859" priority="852" operator="containsText" text="Ere">
      <formula>NOT(ISERROR(SEARCH("Ere",AC61)))</formula>
    </cfRule>
    <cfRule type="containsText" dxfId="858" priority="853" operator="containsText" text="Ear">
      <formula>NOT(ISERROR(SEARCH("Ear",AC61)))</formula>
    </cfRule>
    <cfRule type="containsText" dxfId="857" priority="854" operator="containsText" text="fnd">
      <formula>NOT(ISERROR(SEARCH("fnd",AC61)))</formula>
    </cfRule>
  </conditionalFormatting>
  <conditionalFormatting sqref="AC70">
    <cfRule type="containsText" dxfId="856" priority="2191" operator="containsText" text="Str">
      <formula>NOT(ISERROR(SEARCH("Str",AC70)))</formula>
    </cfRule>
    <cfRule type="containsText" dxfId="855" priority="2192" operator="containsText" text="Ere">
      <formula>NOT(ISERROR(SEARCH("Ere",AC70)))</formula>
    </cfRule>
    <cfRule type="containsText" dxfId="854" priority="2193" operator="containsText" text="Ear">
      <formula>NOT(ISERROR(SEARCH("Ear",AC70)))</formula>
    </cfRule>
    <cfRule type="containsText" dxfId="853" priority="2194" operator="containsText" text="fnd">
      <formula>NOT(ISERROR(SEARCH("fnd",AC70)))</formula>
    </cfRule>
  </conditionalFormatting>
  <conditionalFormatting sqref="AC77">
    <cfRule type="containsText" dxfId="852" priority="791" operator="containsText" text="Str">
      <formula>NOT(ISERROR(SEARCH("Str",AC77)))</formula>
    </cfRule>
    <cfRule type="containsText" dxfId="851" priority="792" operator="containsText" text="Ere">
      <formula>NOT(ISERROR(SEARCH("Ere",AC77)))</formula>
    </cfRule>
    <cfRule type="containsText" dxfId="850" priority="793" operator="containsText" text="Ear">
      <formula>NOT(ISERROR(SEARCH("Ear",AC77)))</formula>
    </cfRule>
    <cfRule type="containsText" dxfId="849" priority="794" operator="containsText" text="fnd">
      <formula>NOT(ISERROR(SEARCH("fnd",AC77)))</formula>
    </cfRule>
  </conditionalFormatting>
  <conditionalFormatting sqref="AC85:AC86">
    <cfRule type="containsText" dxfId="848" priority="2183" operator="containsText" text="Str">
      <formula>NOT(ISERROR(SEARCH("Str",AC85)))</formula>
    </cfRule>
    <cfRule type="containsText" dxfId="847" priority="2184" operator="containsText" text="Ere">
      <formula>NOT(ISERROR(SEARCH("Ere",AC85)))</formula>
    </cfRule>
    <cfRule type="containsText" dxfId="846" priority="2185" operator="containsText" text="Ear">
      <formula>NOT(ISERROR(SEARCH("Ear",AC85)))</formula>
    </cfRule>
    <cfRule type="containsText" dxfId="845" priority="2186" operator="containsText" text="fnd">
      <formula>NOT(ISERROR(SEARCH("fnd",AC85)))</formula>
    </cfRule>
  </conditionalFormatting>
  <conditionalFormatting sqref="AC93">
    <cfRule type="containsText" dxfId="844" priority="269" operator="containsText" text="Str">
      <formula>NOT(ISERROR(SEARCH("Str",AC93)))</formula>
    </cfRule>
    <cfRule type="containsText" dxfId="843" priority="270" operator="containsText" text="Ere">
      <formula>NOT(ISERROR(SEARCH("Ere",AC93)))</formula>
    </cfRule>
    <cfRule type="containsText" dxfId="842" priority="271" operator="containsText" text="Ear">
      <formula>NOT(ISERROR(SEARCH("Ear",AC93)))</formula>
    </cfRule>
    <cfRule type="containsText" dxfId="841" priority="272" operator="containsText" text="fnd">
      <formula>NOT(ISERROR(SEARCH("fnd",AC93)))</formula>
    </cfRule>
  </conditionalFormatting>
  <conditionalFormatting sqref="AC101">
    <cfRule type="containsText" dxfId="840" priority="1467" operator="containsText" text="Str">
      <formula>NOT(ISERROR(SEARCH("Str",AC101)))</formula>
    </cfRule>
    <cfRule type="containsText" dxfId="839" priority="1468" operator="containsText" text="Ere">
      <formula>NOT(ISERROR(SEARCH("Ere",AC101)))</formula>
    </cfRule>
    <cfRule type="containsText" dxfId="838" priority="1469" operator="containsText" text="Ear">
      <formula>NOT(ISERROR(SEARCH("Ear",AC101)))</formula>
    </cfRule>
    <cfRule type="containsText" dxfId="837" priority="1470" operator="containsText" text="fnd">
      <formula>NOT(ISERROR(SEARCH("fnd",AC101)))</formula>
    </cfRule>
  </conditionalFormatting>
  <conditionalFormatting sqref="AC109">
    <cfRule type="containsText" dxfId="836" priority="759" operator="containsText" text="Str">
      <formula>NOT(ISERROR(SEARCH("Str",AC109)))</formula>
    </cfRule>
    <cfRule type="containsText" dxfId="835" priority="760" operator="containsText" text="Ere">
      <formula>NOT(ISERROR(SEARCH("Ere",AC109)))</formula>
    </cfRule>
    <cfRule type="containsText" dxfId="834" priority="761" operator="containsText" text="Ear">
      <formula>NOT(ISERROR(SEARCH("Ear",AC109)))</formula>
    </cfRule>
    <cfRule type="containsText" dxfId="833" priority="762" operator="containsText" text="fnd">
      <formula>NOT(ISERROR(SEARCH("fnd",AC109)))</formula>
    </cfRule>
  </conditionalFormatting>
  <conditionalFormatting sqref="AC117">
    <cfRule type="containsText" dxfId="832" priority="1411" operator="containsText" text="Str">
      <formula>NOT(ISERROR(SEARCH("Str",AC117)))</formula>
    </cfRule>
    <cfRule type="containsText" dxfId="831" priority="1412" operator="containsText" text="Ere">
      <formula>NOT(ISERROR(SEARCH("Ere",AC117)))</formula>
    </cfRule>
    <cfRule type="containsText" dxfId="830" priority="1413" operator="containsText" text="Ear">
      <formula>NOT(ISERROR(SEARCH("Ear",AC117)))</formula>
    </cfRule>
    <cfRule type="containsText" dxfId="829" priority="1414" operator="containsText" text="fnd">
      <formula>NOT(ISERROR(SEARCH("fnd",AC117)))</formula>
    </cfRule>
  </conditionalFormatting>
  <conditionalFormatting sqref="AC122 AC130 AC154 AC170 AC178">
    <cfRule type="containsText" dxfId="828" priority="2051" operator="containsText" text="Str">
      <formula>NOT(ISERROR(SEARCH("Str",AC122)))</formula>
    </cfRule>
    <cfRule type="containsText" dxfId="827" priority="2052" operator="containsText" text="Ere">
      <formula>NOT(ISERROR(SEARCH("Ere",AC122)))</formula>
    </cfRule>
    <cfRule type="containsText" dxfId="826" priority="2053" operator="containsText" text="Ear">
      <formula>NOT(ISERROR(SEARCH("Ear",AC122)))</formula>
    </cfRule>
    <cfRule type="containsText" dxfId="825" priority="2054" operator="containsText" text="fnd">
      <formula>NOT(ISERROR(SEARCH("fnd",AC122)))</formula>
    </cfRule>
  </conditionalFormatting>
  <conditionalFormatting sqref="AC125">
    <cfRule type="containsText" dxfId="824" priority="573" operator="containsText" text="Str">
      <formula>NOT(ISERROR(SEARCH("Str",AC125)))</formula>
    </cfRule>
    <cfRule type="containsText" dxfId="823" priority="574" operator="containsText" text="Ere">
      <formula>NOT(ISERROR(SEARCH("Ere",AC125)))</formula>
    </cfRule>
    <cfRule type="containsText" dxfId="822" priority="575" operator="containsText" text="Ear">
      <formula>NOT(ISERROR(SEARCH("Ear",AC125)))</formula>
    </cfRule>
    <cfRule type="containsText" dxfId="821" priority="576" operator="containsText" text="fnd">
      <formula>NOT(ISERROR(SEARCH("fnd",AC125)))</formula>
    </cfRule>
  </conditionalFormatting>
  <conditionalFormatting sqref="AC133">
    <cfRule type="containsText" dxfId="820" priority="349" operator="containsText" text="Str">
      <formula>NOT(ISERROR(SEARCH("Str",AC133)))</formula>
    </cfRule>
    <cfRule type="containsText" dxfId="819" priority="350" operator="containsText" text="Ere">
      <formula>NOT(ISERROR(SEARCH("Ere",AC133)))</formula>
    </cfRule>
    <cfRule type="containsText" dxfId="818" priority="351" operator="containsText" text="Ear">
      <formula>NOT(ISERROR(SEARCH("Ear",AC133)))</formula>
    </cfRule>
    <cfRule type="containsText" dxfId="817" priority="352" operator="containsText" text="fnd">
      <formula>NOT(ISERROR(SEARCH("fnd",AC133)))</formula>
    </cfRule>
  </conditionalFormatting>
  <conditionalFormatting sqref="AC141">
    <cfRule type="containsText" dxfId="816" priority="1271" operator="containsText" text="Str">
      <formula>NOT(ISERROR(SEARCH("Str",AC141)))</formula>
    </cfRule>
    <cfRule type="containsText" dxfId="815" priority="1272" operator="containsText" text="Ere">
      <formula>NOT(ISERROR(SEARCH("Ere",AC141)))</formula>
    </cfRule>
    <cfRule type="containsText" dxfId="814" priority="1273" operator="containsText" text="Ear">
      <formula>NOT(ISERROR(SEARCH("Ear",AC141)))</formula>
    </cfRule>
    <cfRule type="containsText" dxfId="813" priority="1274" operator="containsText" text="fnd">
      <formula>NOT(ISERROR(SEARCH("fnd",AC141)))</formula>
    </cfRule>
  </conditionalFormatting>
  <conditionalFormatting sqref="AC149">
    <cfRule type="containsText" dxfId="812" priority="1195" operator="containsText" text="Str">
      <formula>NOT(ISERROR(SEARCH("Str",AC149)))</formula>
    </cfRule>
    <cfRule type="containsText" dxfId="811" priority="1196" operator="containsText" text="Ere">
      <formula>NOT(ISERROR(SEARCH("Ere",AC149)))</formula>
    </cfRule>
    <cfRule type="containsText" dxfId="810" priority="1197" operator="containsText" text="Ear">
      <formula>NOT(ISERROR(SEARCH("Ear",AC149)))</formula>
    </cfRule>
    <cfRule type="containsText" dxfId="809" priority="1198" operator="containsText" text="fnd">
      <formula>NOT(ISERROR(SEARCH("fnd",AC149)))</formula>
    </cfRule>
  </conditionalFormatting>
  <conditionalFormatting sqref="AC157">
    <cfRule type="containsText" dxfId="808" priority="481" operator="containsText" text="Str">
      <formula>NOT(ISERROR(SEARCH("Str",AC157)))</formula>
    </cfRule>
    <cfRule type="containsText" dxfId="807" priority="482" operator="containsText" text="Ere">
      <formula>NOT(ISERROR(SEARCH("Ere",AC157)))</formula>
    </cfRule>
    <cfRule type="containsText" dxfId="806" priority="483" operator="containsText" text="Ear">
      <formula>NOT(ISERROR(SEARCH("Ear",AC157)))</formula>
    </cfRule>
    <cfRule type="containsText" dxfId="805" priority="484" operator="containsText" text="fnd">
      <formula>NOT(ISERROR(SEARCH("fnd",AC157)))</formula>
    </cfRule>
  </conditionalFormatting>
  <conditionalFormatting sqref="AC165">
    <cfRule type="containsText" dxfId="804" priority="473" operator="containsText" text="Str">
      <formula>NOT(ISERROR(SEARCH("Str",AC165)))</formula>
    </cfRule>
    <cfRule type="containsText" dxfId="803" priority="474" operator="containsText" text="Ere">
      <formula>NOT(ISERROR(SEARCH("Ere",AC165)))</formula>
    </cfRule>
    <cfRule type="containsText" dxfId="802" priority="475" operator="containsText" text="Ear">
      <formula>NOT(ISERROR(SEARCH("Ear",AC165)))</formula>
    </cfRule>
    <cfRule type="containsText" dxfId="801" priority="476" operator="containsText" text="fnd">
      <formula>NOT(ISERROR(SEARCH("fnd",AC165)))</formula>
    </cfRule>
  </conditionalFormatting>
  <conditionalFormatting sqref="AC173">
    <cfRule type="containsText" dxfId="800" priority="1011" operator="containsText" text="Str">
      <formula>NOT(ISERROR(SEARCH("Str",AC173)))</formula>
    </cfRule>
    <cfRule type="containsText" dxfId="799" priority="1012" operator="containsText" text="Ere">
      <formula>NOT(ISERROR(SEARCH("Ere",AC173)))</formula>
    </cfRule>
    <cfRule type="containsText" dxfId="798" priority="1013" operator="containsText" text="Ear">
      <formula>NOT(ISERROR(SEARCH("Ear",AC173)))</formula>
    </cfRule>
    <cfRule type="containsText" dxfId="797" priority="1014" operator="containsText" text="fnd">
      <formula>NOT(ISERROR(SEARCH("fnd",AC173)))</formula>
    </cfRule>
  </conditionalFormatting>
  <conditionalFormatting sqref="AC181">
    <cfRule type="containsText" dxfId="796" priority="105" operator="containsText" text="Str">
      <formula>NOT(ISERROR(SEARCH("Str",AC181)))</formula>
    </cfRule>
    <cfRule type="containsText" dxfId="795" priority="106" operator="containsText" text="Ere">
      <formula>NOT(ISERROR(SEARCH("Ere",AC181)))</formula>
    </cfRule>
    <cfRule type="containsText" dxfId="794" priority="107" operator="containsText" text="Ear">
      <formula>NOT(ISERROR(SEARCH("Ear",AC181)))</formula>
    </cfRule>
    <cfRule type="containsText" dxfId="793" priority="108" operator="containsText" text="fnd">
      <formula>NOT(ISERROR(SEARCH("fnd",AC181)))</formula>
    </cfRule>
  </conditionalFormatting>
  <conditionalFormatting sqref="AC30:AD30">
    <cfRule type="containsText" dxfId="792" priority="1855" operator="containsText" text="Str">
      <formula>NOT(ISERROR(SEARCH("Str",AC30)))</formula>
    </cfRule>
    <cfRule type="containsText" dxfId="791" priority="1856" operator="containsText" text="Ere">
      <formula>NOT(ISERROR(SEARCH("Ere",AC30)))</formula>
    </cfRule>
    <cfRule type="containsText" dxfId="790" priority="1857" operator="containsText" text="Ear">
      <formula>NOT(ISERROR(SEARCH("Ear",AC30)))</formula>
    </cfRule>
    <cfRule type="containsText" dxfId="789" priority="1858" operator="containsText" text="fnd">
      <formula>NOT(ISERROR(SEARCH("fnd",AC30)))</formula>
    </cfRule>
  </conditionalFormatting>
  <conditionalFormatting sqref="AC38:AD38">
    <cfRule type="containsText" dxfId="788" priority="1519" operator="containsText" text="Str">
      <formula>NOT(ISERROR(SEARCH("Str",AC38)))</formula>
    </cfRule>
    <cfRule type="containsText" dxfId="787" priority="1520" operator="containsText" text="Ere">
      <formula>NOT(ISERROR(SEARCH("Ere",AC38)))</formula>
    </cfRule>
    <cfRule type="containsText" dxfId="786" priority="1521" operator="containsText" text="Ear">
      <formula>NOT(ISERROR(SEARCH("Ear",AC38)))</formula>
    </cfRule>
    <cfRule type="containsText" dxfId="785" priority="1522" operator="containsText" text="fnd">
      <formula>NOT(ISERROR(SEARCH("fnd",AC38)))</formula>
    </cfRule>
  </conditionalFormatting>
  <conditionalFormatting sqref="AC54:AD54">
    <cfRule type="containsText" dxfId="784" priority="565" operator="containsText" text="Str">
      <formula>NOT(ISERROR(SEARCH("Str",AC54)))</formula>
    </cfRule>
    <cfRule type="containsText" dxfId="783" priority="566" operator="containsText" text="Ere">
      <formula>NOT(ISERROR(SEARCH("Ere",AC54)))</formula>
    </cfRule>
    <cfRule type="containsText" dxfId="782" priority="567" operator="containsText" text="Ear">
      <formula>NOT(ISERROR(SEARCH("Ear",AC54)))</formula>
    </cfRule>
    <cfRule type="containsText" dxfId="781" priority="568" operator="containsText" text="fnd">
      <formula>NOT(ISERROR(SEARCH("fnd",AC54)))</formula>
    </cfRule>
  </conditionalFormatting>
  <conditionalFormatting sqref="AC94:AD94">
    <cfRule type="containsText" dxfId="780" priority="273" operator="containsText" text="Str">
      <formula>NOT(ISERROR(SEARCH("Str",AC94)))</formula>
    </cfRule>
    <cfRule type="containsText" dxfId="779" priority="274" operator="containsText" text="Ere">
      <formula>NOT(ISERROR(SEARCH("Ere",AC94)))</formula>
    </cfRule>
    <cfRule type="containsText" dxfId="778" priority="275" operator="containsText" text="Ear">
      <formula>NOT(ISERROR(SEARCH("Ear",AC94)))</formula>
    </cfRule>
    <cfRule type="containsText" dxfId="777" priority="276" operator="containsText" text="fnd">
      <formula>NOT(ISERROR(SEARCH("fnd",AC94)))</formula>
    </cfRule>
  </conditionalFormatting>
  <conditionalFormatting sqref="AC102:AD102">
    <cfRule type="containsText" dxfId="776" priority="1471" operator="containsText" text="Str">
      <formula>NOT(ISERROR(SEARCH("Str",AC102)))</formula>
    </cfRule>
    <cfRule type="containsText" dxfId="775" priority="1472" operator="containsText" text="Ere">
      <formula>NOT(ISERROR(SEARCH("Ere",AC102)))</formula>
    </cfRule>
    <cfRule type="containsText" dxfId="774" priority="1473" operator="containsText" text="Ear">
      <formula>NOT(ISERROR(SEARCH("Ear",AC102)))</formula>
    </cfRule>
    <cfRule type="containsText" dxfId="773" priority="1474" operator="containsText" text="fnd">
      <formula>NOT(ISERROR(SEARCH("fnd",AC102)))</formula>
    </cfRule>
  </conditionalFormatting>
  <conditionalFormatting sqref="AC118:AD118">
    <cfRule type="containsText" dxfId="772" priority="1415" operator="containsText" text="Str">
      <formula>NOT(ISERROR(SEARCH("Str",AC118)))</formula>
    </cfRule>
    <cfRule type="containsText" dxfId="771" priority="1416" operator="containsText" text="Ere">
      <formula>NOT(ISERROR(SEARCH("Ere",AC118)))</formula>
    </cfRule>
    <cfRule type="containsText" dxfId="770" priority="1417" operator="containsText" text="Ear">
      <formula>NOT(ISERROR(SEARCH("Ear",AC118)))</formula>
    </cfRule>
    <cfRule type="containsText" dxfId="769" priority="1418" operator="containsText" text="fnd">
      <formula>NOT(ISERROR(SEARCH("fnd",AC118)))</formula>
    </cfRule>
  </conditionalFormatting>
  <conditionalFormatting sqref="AC126:AD126">
    <cfRule type="containsText" dxfId="768" priority="577" operator="containsText" text="Str">
      <formula>NOT(ISERROR(SEARCH("Str",AC126)))</formula>
    </cfRule>
    <cfRule type="containsText" dxfId="767" priority="578" operator="containsText" text="Ere">
      <formula>NOT(ISERROR(SEARCH("Ere",AC126)))</formula>
    </cfRule>
    <cfRule type="containsText" dxfId="766" priority="579" operator="containsText" text="Ear">
      <formula>NOT(ISERROR(SEARCH("Ear",AC126)))</formula>
    </cfRule>
    <cfRule type="containsText" dxfId="765" priority="580" operator="containsText" text="fnd">
      <formula>NOT(ISERROR(SEARCH("fnd",AC126)))</formula>
    </cfRule>
  </conditionalFormatting>
  <conditionalFormatting sqref="AC134:AD134">
    <cfRule type="containsText" dxfId="764" priority="353" operator="containsText" text="Str">
      <formula>NOT(ISERROR(SEARCH("Str",AC134)))</formula>
    </cfRule>
    <cfRule type="containsText" dxfId="763" priority="354" operator="containsText" text="Ere">
      <formula>NOT(ISERROR(SEARCH("Ere",AC134)))</formula>
    </cfRule>
    <cfRule type="containsText" dxfId="762" priority="355" operator="containsText" text="Ear">
      <formula>NOT(ISERROR(SEARCH("Ear",AC134)))</formula>
    </cfRule>
    <cfRule type="containsText" dxfId="761" priority="356" operator="containsText" text="fnd">
      <formula>NOT(ISERROR(SEARCH("fnd",AC134)))</formula>
    </cfRule>
  </conditionalFormatting>
  <conditionalFormatting sqref="AC142:AD142">
    <cfRule type="containsText" dxfId="760" priority="1275" operator="containsText" text="Str">
      <formula>NOT(ISERROR(SEARCH("Str",AC142)))</formula>
    </cfRule>
    <cfRule type="containsText" dxfId="759" priority="1276" operator="containsText" text="Ere">
      <formula>NOT(ISERROR(SEARCH("Ere",AC142)))</formula>
    </cfRule>
    <cfRule type="containsText" dxfId="758" priority="1277" operator="containsText" text="Ear">
      <formula>NOT(ISERROR(SEARCH("Ear",AC142)))</formula>
    </cfRule>
    <cfRule type="containsText" dxfId="757" priority="1278" operator="containsText" text="fnd">
      <formula>NOT(ISERROR(SEARCH("fnd",AC142)))</formula>
    </cfRule>
  </conditionalFormatting>
  <conditionalFormatting sqref="AC174:AD174">
    <cfRule type="containsText" dxfId="756" priority="1015" operator="containsText" text="Str">
      <formula>NOT(ISERROR(SEARCH("Str",AC174)))</formula>
    </cfRule>
    <cfRule type="containsText" dxfId="755" priority="1016" operator="containsText" text="Ere">
      <formula>NOT(ISERROR(SEARCH("Ere",AC174)))</formula>
    </cfRule>
    <cfRule type="containsText" dxfId="754" priority="1017" operator="containsText" text="Ear">
      <formula>NOT(ISERROR(SEARCH("Ear",AC174)))</formula>
    </cfRule>
    <cfRule type="containsText" dxfId="753" priority="1018" operator="containsText" text="fnd">
      <formula>NOT(ISERROR(SEARCH("fnd",AC174)))</formula>
    </cfRule>
  </conditionalFormatting>
  <conditionalFormatting sqref="AC182:AD182">
    <cfRule type="containsText" dxfId="752" priority="109" operator="containsText" text="Str">
      <formula>NOT(ISERROR(SEARCH("Str",AC182)))</formula>
    </cfRule>
    <cfRule type="containsText" dxfId="751" priority="110" operator="containsText" text="Ere">
      <formula>NOT(ISERROR(SEARCH("Ere",AC182)))</formula>
    </cfRule>
    <cfRule type="containsText" dxfId="750" priority="111" operator="containsText" text="Ear">
      <formula>NOT(ISERROR(SEARCH("Ear",AC182)))</formula>
    </cfRule>
    <cfRule type="containsText" dxfId="749" priority="112" operator="containsText" text="fnd">
      <formula>NOT(ISERROR(SEARCH("fnd",AC182)))</formula>
    </cfRule>
  </conditionalFormatting>
  <conditionalFormatting sqref="AD6">
    <cfRule type="containsText" dxfId="748" priority="201" operator="containsText" text="Str">
      <formula>NOT(ISERROR(SEARCH("Str",AD6)))</formula>
    </cfRule>
    <cfRule type="containsText" dxfId="747" priority="202" operator="containsText" text="Ere">
      <formula>NOT(ISERROR(SEARCH("Ere",AD6)))</formula>
    </cfRule>
    <cfRule type="containsText" dxfId="746" priority="203" operator="containsText" text="Ear">
      <formula>NOT(ISERROR(SEARCH("Ear",AD6)))</formula>
    </cfRule>
    <cfRule type="containsText" dxfId="745" priority="204" operator="containsText" text="fnd">
      <formula>NOT(ISERROR(SEARCH("fnd",AD6)))</formula>
    </cfRule>
  </conditionalFormatting>
  <conditionalFormatting sqref="AD14">
    <cfRule type="containsText" dxfId="744" priority="963" operator="containsText" text="Str">
      <formula>NOT(ISERROR(SEARCH("Str",AD14)))</formula>
    </cfRule>
    <cfRule type="containsText" dxfId="743" priority="964" operator="containsText" text="Ere">
      <formula>NOT(ISERROR(SEARCH("Ere",AD14)))</formula>
    </cfRule>
    <cfRule type="containsText" dxfId="742" priority="965" operator="containsText" text="Ear">
      <formula>NOT(ISERROR(SEARCH("Ear",AD14)))</formula>
    </cfRule>
    <cfRule type="containsText" dxfId="741" priority="966" operator="containsText" text="fnd">
      <formula>NOT(ISERROR(SEARCH("fnd",AD14)))</formula>
    </cfRule>
  </conditionalFormatting>
  <conditionalFormatting sqref="AD22">
    <cfRule type="containsText" dxfId="740" priority="1943" operator="containsText" text="Str">
      <formula>NOT(ISERROR(SEARCH("Str",AD22)))</formula>
    </cfRule>
    <cfRule type="containsText" dxfId="739" priority="1944" operator="containsText" text="Ere">
      <formula>NOT(ISERROR(SEARCH("Ere",AD22)))</formula>
    </cfRule>
    <cfRule type="containsText" dxfId="738" priority="1945" operator="containsText" text="Ear">
      <formula>NOT(ISERROR(SEARCH("Ear",AD22)))</formula>
    </cfRule>
    <cfRule type="containsText" dxfId="737" priority="1946" operator="containsText" text="fnd">
      <formula>NOT(ISERROR(SEARCH("fnd",AD22)))</formula>
    </cfRule>
  </conditionalFormatting>
  <conditionalFormatting sqref="AF5:AF6">
    <cfRule type="containsText" dxfId="736" priority="197" operator="containsText" text="Str">
      <formula>NOT(ISERROR(SEARCH("Str",AF5)))</formula>
    </cfRule>
    <cfRule type="containsText" dxfId="735" priority="198" operator="containsText" text="Ere">
      <formula>NOT(ISERROR(SEARCH("Ere",AF5)))</formula>
    </cfRule>
    <cfRule type="containsText" dxfId="734" priority="199" operator="containsText" text="Ear">
      <formula>NOT(ISERROR(SEARCH("Ear",AF5)))</formula>
    </cfRule>
    <cfRule type="containsText" dxfId="733" priority="200" operator="containsText" text="fnd">
      <formula>NOT(ISERROR(SEARCH("fnd",AF5)))</formula>
    </cfRule>
  </conditionalFormatting>
  <conditionalFormatting sqref="AF13:AF14">
    <cfRule type="containsText" dxfId="732" priority="775" operator="containsText" text="Str">
      <formula>NOT(ISERROR(SEARCH("Str",AF13)))</formula>
    </cfRule>
    <cfRule type="containsText" dxfId="731" priority="776" operator="containsText" text="Ere">
      <formula>NOT(ISERROR(SEARCH("Ere",AF13)))</formula>
    </cfRule>
    <cfRule type="containsText" dxfId="730" priority="777" operator="containsText" text="Ear">
      <formula>NOT(ISERROR(SEARCH("Ear",AF13)))</formula>
    </cfRule>
    <cfRule type="containsText" dxfId="729" priority="778" operator="containsText" text="fnd">
      <formula>NOT(ISERROR(SEARCH("fnd",AF13)))</formula>
    </cfRule>
  </conditionalFormatting>
  <conditionalFormatting sqref="AF21:AF22">
    <cfRule type="containsText" dxfId="728" priority="1839" operator="containsText" text="Str">
      <formula>NOT(ISERROR(SEARCH("Str",AF21)))</formula>
    </cfRule>
    <cfRule type="containsText" dxfId="727" priority="1840" operator="containsText" text="Ere">
      <formula>NOT(ISERROR(SEARCH("Ere",AF21)))</formula>
    </cfRule>
    <cfRule type="containsText" dxfId="726" priority="1841" operator="containsText" text="Ear">
      <formula>NOT(ISERROR(SEARCH("Ear",AF21)))</formula>
    </cfRule>
    <cfRule type="containsText" dxfId="725" priority="1842" operator="containsText" text="fnd">
      <formula>NOT(ISERROR(SEARCH("fnd",AF21)))</formula>
    </cfRule>
  </conditionalFormatting>
  <conditionalFormatting sqref="AF29">
    <cfRule type="containsText" dxfId="724" priority="1491" operator="containsText" text="Str">
      <formula>NOT(ISERROR(SEARCH("Str",AF29)))</formula>
    </cfRule>
    <cfRule type="containsText" dxfId="723" priority="1492" operator="containsText" text="Ere">
      <formula>NOT(ISERROR(SEARCH("Ere",AF29)))</formula>
    </cfRule>
    <cfRule type="containsText" dxfId="722" priority="1493" operator="containsText" text="Ear">
      <formula>NOT(ISERROR(SEARCH("Ear",AF29)))</formula>
    </cfRule>
    <cfRule type="containsText" dxfId="721" priority="1494" operator="containsText" text="fnd">
      <formula>NOT(ISERROR(SEARCH("fnd",AF29)))</formula>
    </cfRule>
  </conditionalFormatting>
  <conditionalFormatting sqref="AF37">
    <cfRule type="containsText" dxfId="720" priority="2255" operator="containsText" text="Str">
      <formula>NOT(ISERROR(SEARCH("Str",AF37)))</formula>
    </cfRule>
    <cfRule type="containsText" dxfId="719" priority="2256" operator="containsText" text="Ere">
      <formula>NOT(ISERROR(SEARCH("Ere",AF37)))</formula>
    </cfRule>
    <cfRule type="containsText" dxfId="718" priority="2257" operator="containsText" text="Ear">
      <formula>NOT(ISERROR(SEARCH("Ear",AF37)))</formula>
    </cfRule>
    <cfRule type="containsText" dxfId="717" priority="2258" operator="containsText" text="fnd">
      <formula>NOT(ISERROR(SEARCH("fnd",AF37)))</formula>
    </cfRule>
  </conditionalFormatting>
  <conditionalFormatting sqref="AF53">
    <cfRule type="containsText" dxfId="716" priority="795" operator="containsText" text="Str">
      <formula>NOT(ISERROR(SEARCH("Str",AF53)))</formula>
    </cfRule>
    <cfRule type="containsText" dxfId="715" priority="796" operator="containsText" text="Ere">
      <formula>NOT(ISERROR(SEARCH("Ere",AF53)))</formula>
    </cfRule>
    <cfRule type="containsText" dxfId="714" priority="797" operator="containsText" text="Ear">
      <formula>NOT(ISERROR(SEARCH("Ear",AF53)))</formula>
    </cfRule>
    <cfRule type="containsText" dxfId="713" priority="798" operator="containsText" text="fnd">
      <formula>NOT(ISERROR(SEARCH("fnd",AF53)))</formula>
    </cfRule>
  </conditionalFormatting>
  <conditionalFormatting sqref="AF61">
    <cfRule type="containsText" dxfId="712" priority="1927" operator="containsText" text="Str">
      <formula>NOT(ISERROR(SEARCH("Str",AF61)))</formula>
    </cfRule>
    <cfRule type="containsText" dxfId="711" priority="1928" operator="containsText" text="Ere">
      <formula>NOT(ISERROR(SEARCH("Ere",AF61)))</formula>
    </cfRule>
    <cfRule type="containsText" dxfId="710" priority="1929" operator="containsText" text="Ear">
      <formula>NOT(ISERROR(SEARCH("Ear",AF61)))</formula>
    </cfRule>
    <cfRule type="containsText" dxfId="709" priority="1930" operator="containsText" text="fnd">
      <formula>NOT(ISERROR(SEARCH("fnd",AF61)))</formula>
    </cfRule>
  </conditionalFormatting>
  <conditionalFormatting sqref="AF69">
    <cfRule type="containsText" dxfId="708" priority="2175" operator="containsText" text="Str">
      <formula>NOT(ISERROR(SEARCH("Str",AF69)))</formula>
    </cfRule>
    <cfRule type="containsText" dxfId="707" priority="2176" operator="containsText" text="Ere">
      <formula>NOT(ISERROR(SEARCH("Ere",AF69)))</formula>
    </cfRule>
    <cfRule type="containsText" dxfId="706" priority="2177" operator="containsText" text="Ear">
      <formula>NOT(ISERROR(SEARCH("Ear",AF69)))</formula>
    </cfRule>
    <cfRule type="containsText" dxfId="705" priority="2178" operator="containsText" text="fnd">
      <formula>NOT(ISERROR(SEARCH("fnd",AF69)))</formula>
    </cfRule>
  </conditionalFormatting>
  <conditionalFormatting sqref="AF85 AI85">
    <cfRule type="containsText" dxfId="704" priority="2267" operator="containsText" text="Str">
      <formula>NOT(ISERROR(SEARCH("Str",AF85)))</formula>
    </cfRule>
    <cfRule type="containsText" dxfId="703" priority="2268" operator="containsText" text="Ere">
      <formula>NOT(ISERROR(SEARCH("Ere",AF85)))</formula>
    </cfRule>
    <cfRule type="containsText" dxfId="702" priority="2269" operator="containsText" text="Ear">
      <formula>NOT(ISERROR(SEARCH("Ear",AF85)))</formula>
    </cfRule>
    <cfRule type="containsText" dxfId="701" priority="2270" operator="containsText" text="fnd">
      <formula>NOT(ISERROR(SEARCH("fnd",AF85)))</formula>
    </cfRule>
  </conditionalFormatting>
  <conditionalFormatting sqref="AF93:AF94">
    <cfRule type="containsText" dxfId="700" priority="2243" operator="containsText" text="Str">
      <formula>NOT(ISERROR(SEARCH("Str",AF93)))</formula>
    </cfRule>
    <cfRule type="containsText" dxfId="699" priority="2244" operator="containsText" text="Ere">
      <formula>NOT(ISERROR(SEARCH("Ere",AF93)))</formula>
    </cfRule>
    <cfRule type="containsText" dxfId="698" priority="2245" operator="containsText" text="Ear">
      <formula>NOT(ISERROR(SEARCH("Ear",AF93)))</formula>
    </cfRule>
    <cfRule type="containsText" dxfId="697" priority="2246" operator="containsText" text="fnd">
      <formula>NOT(ISERROR(SEARCH("fnd",AF93)))</formula>
    </cfRule>
  </conditionalFormatting>
  <conditionalFormatting sqref="AF109">
    <cfRule type="containsText" dxfId="696" priority="1743" operator="containsText" text="Str">
      <formula>NOT(ISERROR(SEARCH("Str",AF109)))</formula>
    </cfRule>
    <cfRule type="containsText" dxfId="695" priority="1744" operator="containsText" text="Ere">
      <formula>NOT(ISERROR(SEARCH("Ere",AF109)))</formula>
    </cfRule>
    <cfRule type="containsText" dxfId="694" priority="1745" operator="containsText" text="Ear">
      <formula>NOT(ISERROR(SEARCH("Ear",AF109)))</formula>
    </cfRule>
    <cfRule type="containsText" dxfId="693" priority="1746" operator="containsText" text="fnd">
      <formula>NOT(ISERROR(SEARCH("fnd",AF109)))</formula>
    </cfRule>
  </conditionalFormatting>
  <conditionalFormatting sqref="AF117">
    <cfRule type="containsText" dxfId="692" priority="707" operator="containsText" text="Str">
      <formula>NOT(ISERROR(SEARCH("Str",AF117)))</formula>
    </cfRule>
    <cfRule type="containsText" dxfId="691" priority="708" operator="containsText" text="Ere">
      <formula>NOT(ISERROR(SEARCH("Ere",AF117)))</formula>
    </cfRule>
    <cfRule type="containsText" dxfId="690" priority="709" operator="containsText" text="Ear">
      <formula>NOT(ISERROR(SEARCH("Ear",AF117)))</formula>
    </cfRule>
    <cfRule type="containsText" dxfId="689" priority="710" operator="containsText" text="fnd">
      <formula>NOT(ISERROR(SEARCH("fnd",AF117)))</formula>
    </cfRule>
  </conditionalFormatting>
  <conditionalFormatting sqref="AF122 AF130 AF138 AF162 AF170 AF178">
    <cfRule type="containsText" dxfId="688" priority="2047" operator="containsText" text="Str">
      <formula>NOT(ISERROR(SEARCH("Str",AF122)))</formula>
    </cfRule>
    <cfRule type="containsText" dxfId="687" priority="2048" operator="containsText" text="Ere">
      <formula>NOT(ISERROR(SEARCH("Ere",AF122)))</formula>
    </cfRule>
    <cfRule type="containsText" dxfId="686" priority="2049" operator="containsText" text="Ear">
      <formula>NOT(ISERROR(SEARCH("Ear",AF122)))</formula>
    </cfRule>
    <cfRule type="containsText" dxfId="685" priority="2050" operator="containsText" text="fnd">
      <formula>NOT(ISERROR(SEARCH("fnd",AF122)))</formula>
    </cfRule>
  </conditionalFormatting>
  <conditionalFormatting sqref="AF125">
    <cfRule type="containsText" dxfId="684" priority="509" operator="containsText" text="Str">
      <formula>NOT(ISERROR(SEARCH("Str",AF125)))</formula>
    </cfRule>
    <cfRule type="containsText" dxfId="683" priority="510" operator="containsText" text="Ere">
      <formula>NOT(ISERROR(SEARCH("Ere",AF125)))</formula>
    </cfRule>
    <cfRule type="containsText" dxfId="682" priority="511" operator="containsText" text="Ear">
      <formula>NOT(ISERROR(SEARCH("Ear",AF125)))</formula>
    </cfRule>
    <cfRule type="containsText" dxfId="681" priority="512" operator="containsText" text="fnd">
      <formula>NOT(ISERROR(SEARCH("fnd",AF125)))</formula>
    </cfRule>
  </conditionalFormatting>
  <conditionalFormatting sqref="AF133">
    <cfRule type="containsText" dxfId="680" priority="253" operator="containsText" text="Str">
      <formula>NOT(ISERROR(SEARCH("Str",AF133)))</formula>
    </cfRule>
    <cfRule type="containsText" dxfId="679" priority="254" operator="containsText" text="Ere">
      <formula>NOT(ISERROR(SEARCH("Ere",AF133)))</formula>
    </cfRule>
    <cfRule type="containsText" dxfId="678" priority="255" operator="containsText" text="Ear">
      <formula>NOT(ISERROR(SEARCH("Ear",AF133)))</formula>
    </cfRule>
    <cfRule type="containsText" dxfId="677" priority="256" operator="containsText" text="fnd">
      <formula>NOT(ISERROR(SEARCH("fnd",AF133)))</formula>
    </cfRule>
  </conditionalFormatting>
  <conditionalFormatting sqref="AF141">
    <cfRule type="containsText" dxfId="676" priority="1255" operator="containsText" text="Str">
      <formula>NOT(ISERROR(SEARCH("Str",AF141)))</formula>
    </cfRule>
    <cfRule type="containsText" dxfId="675" priority="1256" operator="containsText" text="Ere">
      <formula>NOT(ISERROR(SEARCH("Ere",AF141)))</formula>
    </cfRule>
    <cfRule type="containsText" dxfId="674" priority="1257" operator="containsText" text="Ear">
      <formula>NOT(ISERROR(SEARCH("Ear",AF141)))</formula>
    </cfRule>
    <cfRule type="containsText" dxfId="673" priority="1258" operator="containsText" text="fnd">
      <formula>NOT(ISERROR(SEARCH("fnd",AF141)))</formula>
    </cfRule>
  </conditionalFormatting>
  <conditionalFormatting sqref="AF149">
    <cfRule type="containsText" dxfId="672" priority="1191" operator="containsText" text="Str">
      <formula>NOT(ISERROR(SEARCH("Str",AF149)))</formula>
    </cfRule>
    <cfRule type="containsText" dxfId="671" priority="1192" operator="containsText" text="Ere">
      <formula>NOT(ISERROR(SEARCH("Ere",AF149)))</formula>
    </cfRule>
    <cfRule type="containsText" dxfId="670" priority="1193" operator="containsText" text="Ear">
      <formula>NOT(ISERROR(SEARCH("Ear",AF149)))</formula>
    </cfRule>
    <cfRule type="containsText" dxfId="669" priority="1194" operator="containsText" text="fnd">
      <formula>NOT(ISERROR(SEARCH("fnd",AF149)))</formula>
    </cfRule>
  </conditionalFormatting>
  <conditionalFormatting sqref="AF157">
    <cfRule type="containsText" dxfId="668" priority="1123" operator="containsText" text="Str">
      <formula>NOT(ISERROR(SEARCH("Str",AF157)))</formula>
    </cfRule>
    <cfRule type="containsText" dxfId="667" priority="1124" operator="containsText" text="Ere">
      <formula>NOT(ISERROR(SEARCH("Ere",AF157)))</formula>
    </cfRule>
    <cfRule type="containsText" dxfId="666" priority="1125" operator="containsText" text="Ear">
      <formula>NOT(ISERROR(SEARCH("Ear",AF157)))</formula>
    </cfRule>
    <cfRule type="containsText" dxfId="665" priority="1126" operator="containsText" text="fnd">
      <formula>NOT(ISERROR(SEARCH("fnd",AF157)))</formula>
    </cfRule>
  </conditionalFormatting>
  <conditionalFormatting sqref="AF165">
    <cfRule type="containsText" dxfId="664" priority="1059" operator="containsText" text="Str">
      <formula>NOT(ISERROR(SEARCH("Str",AF165)))</formula>
    </cfRule>
    <cfRule type="containsText" dxfId="663" priority="1060" operator="containsText" text="Ere">
      <formula>NOT(ISERROR(SEARCH("Ere",AF165)))</formula>
    </cfRule>
    <cfRule type="containsText" dxfId="662" priority="1061" operator="containsText" text="Ear">
      <formula>NOT(ISERROR(SEARCH("Ear",AF165)))</formula>
    </cfRule>
    <cfRule type="containsText" dxfId="661" priority="1062" operator="containsText" text="fnd">
      <formula>NOT(ISERROR(SEARCH("fnd",AF165)))</formula>
    </cfRule>
  </conditionalFormatting>
  <conditionalFormatting sqref="AF173">
    <cfRule type="containsText" dxfId="660" priority="369" operator="containsText" text="Str">
      <formula>NOT(ISERROR(SEARCH("Str",AF173)))</formula>
    </cfRule>
    <cfRule type="containsText" dxfId="659" priority="370" operator="containsText" text="Ere">
      <formula>NOT(ISERROR(SEARCH("Ere",AF173)))</formula>
    </cfRule>
    <cfRule type="containsText" dxfId="658" priority="371" operator="containsText" text="Ear">
      <formula>NOT(ISERROR(SEARCH("Ear",AF173)))</formula>
    </cfRule>
    <cfRule type="containsText" dxfId="657" priority="372" operator="containsText" text="fnd">
      <formula>NOT(ISERROR(SEARCH("fnd",AF173)))</formula>
    </cfRule>
  </conditionalFormatting>
  <conditionalFormatting sqref="AF181">
    <cfRule type="containsText" dxfId="656" priority="97" operator="containsText" text="Str">
      <formula>NOT(ISERROR(SEARCH("Str",AF181)))</formula>
    </cfRule>
    <cfRule type="containsText" dxfId="655" priority="98" operator="containsText" text="Ere">
      <formula>NOT(ISERROR(SEARCH("Ere",AF181)))</formula>
    </cfRule>
    <cfRule type="containsText" dxfId="654" priority="99" operator="containsText" text="Ear">
      <formula>NOT(ISERROR(SEARCH("Ear",AF181)))</formula>
    </cfRule>
    <cfRule type="containsText" dxfId="653" priority="100" operator="containsText" text="fnd">
      <formula>NOT(ISERROR(SEARCH("fnd",AF181)))</formula>
    </cfRule>
  </conditionalFormatting>
  <conditionalFormatting sqref="AF30:AG30">
    <cfRule type="containsText" dxfId="652" priority="1495" operator="containsText" text="Str">
      <formula>NOT(ISERROR(SEARCH("Str",AF30)))</formula>
    </cfRule>
    <cfRule type="containsText" dxfId="651" priority="1496" operator="containsText" text="Ere">
      <formula>NOT(ISERROR(SEARCH("Ere",AF30)))</formula>
    </cfRule>
    <cfRule type="containsText" dxfId="650" priority="1497" operator="containsText" text="Ear">
      <formula>NOT(ISERROR(SEARCH("Ear",AF30)))</formula>
    </cfRule>
    <cfRule type="containsText" dxfId="649" priority="1498" operator="containsText" text="fnd">
      <formula>NOT(ISERROR(SEARCH("fnd",AF30)))</formula>
    </cfRule>
  </conditionalFormatting>
  <conditionalFormatting sqref="AF38:AG38">
    <cfRule type="containsText" dxfId="648" priority="2367" operator="containsText" text="Str">
      <formula>NOT(ISERROR(SEARCH("Str",AF38)))</formula>
    </cfRule>
    <cfRule type="containsText" dxfId="647" priority="2368" operator="containsText" text="Ere">
      <formula>NOT(ISERROR(SEARCH("Ere",AF38)))</formula>
    </cfRule>
    <cfRule type="containsText" dxfId="646" priority="2369" operator="containsText" text="Ear">
      <formula>NOT(ISERROR(SEARCH("Ear",AF38)))</formula>
    </cfRule>
    <cfRule type="containsText" dxfId="645" priority="2370" operator="containsText" text="fnd">
      <formula>NOT(ISERROR(SEARCH("fnd",AF38)))</formula>
    </cfRule>
  </conditionalFormatting>
  <conditionalFormatting sqref="AF45:AG46 K53 H53:H54">
    <cfRule type="containsText" dxfId="644" priority="2323" operator="containsText" text="Str">
      <formula>NOT(ISERROR(SEARCH("Str",H45)))</formula>
    </cfRule>
    <cfRule type="containsText" dxfId="643" priority="2324" operator="containsText" text="Ere">
      <formula>NOT(ISERROR(SEARCH("Ere",H45)))</formula>
    </cfRule>
    <cfRule type="containsText" dxfId="642" priority="2325" operator="containsText" text="Ear">
      <formula>NOT(ISERROR(SEARCH("Ear",H45)))</formula>
    </cfRule>
    <cfRule type="containsText" dxfId="641" priority="2326" operator="containsText" text="fnd">
      <formula>NOT(ISERROR(SEARCH("fnd",H45)))</formula>
    </cfRule>
  </conditionalFormatting>
  <conditionalFormatting sqref="AF62:AG62">
    <cfRule type="containsText" dxfId="640" priority="1931" operator="containsText" text="Str">
      <formula>NOT(ISERROR(SEARCH("Str",AF62)))</formula>
    </cfRule>
    <cfRule type="containsText" dxfId="639" priority="1932" operator="containsText" text="Ere">
      <formula>NOT(ISERROR(SEARCH("Ere",AF62)))</formula>
    </cfRule>
    <cfRule type="containsText" dxfId="638" priority="1933" operator="containsText" text="Ear">
      <formula>NOT(ISERROR(SEARCH("Ear",AF62)))</formula>
    </cfRule>
    <cfRule type="containsText" dxfId="637" priority="1934" operator="containsText" text="fnd">
      <formula>NOT(ISERROR(SEARCH("fnd",AF62)))</formula>
    </cfRule>
  </conditionalFormatting>
  <conditionalFormatting sqref="AF70:AG70">
    <cfRule type="containsText" dxfId="636" priority="2199" operator="containsText" text="Str">
      <formula>NOT(ISERROR(SEARCH("Str",AF70)))</formula>
    </cfRule>
    <cfRule type="containsText" dxfId="635" priority="2200" operator="containsText" text="Ere">
      <formula>NOT(ISERROR(SEARCH("Ere",AF70)))</formula>
    </cfRule>
    <cfRule type="containsText" dxfId="634" priority="2201" operator="containsText" text="Ear">
      <formula>NOT(ISERROR(SEARCH("Ear",AF70)))</formula>
    </cfRule>
    <cfRule type="containsText" dxfId="633" priority="2202" operator="containsText" text="fnd">
      <formula>NOT(ISERROR(SEARCH("fnd",AF70)))</formula>
    </cfRule>
  </conditionalFormatting>
  <conditionalFormatting sqref="AF86:AG86">
    <cfRule type="containsText" dxfId="632" priority="2295" operator="containsText" text="Str">
      <formula>NOT(ISERROR(SEARCH("Str",AF86)))</formula>
    </cfRule>
    <cfRule type="containsText" dxfId="631" priority="2296" operator="containsText" text="Ere">
      <formula>NOT(ISERROR(SEARCH("Ere",AF86)))</formula>
    </cfRule>
    <cfRule type="containsText" dxfId="630" priority="2297" operator="containsText" text="Ear">
      <formula>NOT(ISERROR(SEARCH("Ear",AF86)))</formula>
    </cfRule>
    <cfRule type="containsText" dxfId="629" priority="2298" operator="containsText" text="fnd">
      <formula>NOT(ISERROR(SEARCH("fnd",AF86)))</formula>
    </cfRule>
  </conditionalFormatting>
  <conditionalFormatting sqref="AF110:AG110">
    <cfRule type="containsText" dxfId="628" priority="1747" operator="containsText" text="Str">
      <formula>NOT(ISERROR(SEARCH("Str",AF110)))</formula>
    </cfRule>
    <cfRule type="containsText" dxfId="627" priority="1748" operator="containsText" text="Ere">
      <formula>NOT(ISERROR(SEARCH("Ere",AF110)))</formula>
    </cfRule>
    <cfRule type="containsText" dxfId="626" priority="1749" operator="containsText" text="Ear">
      <formula>NOT(ISERROR(SEARCH("Ear",AF110)))</formula>
    </cfRule>
    <cfRule type="containsText" dxfId="625" priority="1750" operator="containsText" text="fnd">
      <formula>NOT(ISERROR(SEARCH("fnd",AF110)))</formula>
    </cfRule>
  </conditionalFormatting>
  <conditionalFormatting sqref="AF118:AG118">
    <cfRule type="containsText" dxfId="624" priority="711" operator="containsText" text="Str">
      <formula>NOT(ISERROR(SEARCH("Str",AF118)))</formula>
    </cfRule>
    <cfRule type="containsText" dxfId="623" priority="712" operator="containsText" text="Ere">
      <formula>NOT(ISERROR(SEARCH("Ere",AF118)))</formula>
    </cfRule>
    <cfRule type="containsText" dxfId="622" priority="713" operator="containsText" text="Ear">
      <formula>NOT(ISERROR(SEARCH("Ear",AF118)))</formula>
    </cfRule>
    <cfRule type="containsText" dxfId="621" priority="714" operator="containsText" text="fnd">
      <formula>NOT(ISERROR(SEARCH("fnd",AF118)))</formula>
    </cfRule>
  </conditionalFormatting>
  <conditionalFormatting sqref="AF126:AG126">
    <cfRule type="containsText" dxfId="620" priority="513" operator="containsText" text="Str">
      <formula>NOT(ISERROR(SEARCH("Str",AF126)))</formula>
    </cfRule>
    <cfRule type="containsText" dxfId="619" priority="514" operator="containsText" text="Ere">
      <formula>NOT(ISERROR(SEARCH("Ere",AF126)))</formula>
    </cfRule>
    <cfRule type="containsText" dxfId="618" priority="515" operator="containsText" text="Ear">
      <formula>NOT(ISERROR(SEARCH("Ear",AF126)))</formula>
    </cfRule>
    <cfRule type="containsText" dxfId="617" priority="516" operator="containsText" text="fnd">
      <formula>NOT(ISERROR(SEARCH("fnd",AF126)))</formula>
    </cfRule>
  </conditionalFormatting>
  <conditionalFormatting sqref="AF134:AG134">
    <cfRule type="containsText" dxfId="616" priority="257" operator="containsText" text="Str">
      <formula>NOT(ISERROR(SEARCH("Str",AF134)))</formula>
    </cfRule>
    <cfRule type="containsText" dxfId="615" priority="258" operator="containsText" text="Ere">
      <formula>NOT(ISERROR(SEARCH("Ere",AF134)))</formula>
    </cfRule>
    <cfRule type="containsText" dxfId="614" priority="259" operator="containsText" text="Ear">
      <formula>NOT(ISERROR(SEARCH("Ear",AF134)))</formula>
    </cfRule>
    <cfRule type="containsText" dxfId="613" priority="260" operator="containsText" text="fnd">
      <formula>NOT(ISERROR(SEARCH("fnd",AF134)))</formula>
    </cfRule>
  </conditionalFormatting>
  <conditionalFormatting sqref="AF142:AG142">
    <cfRule type="containsText" dxfId="612" priority="1259" operator="containsText" text="Str">
      <formula>NOT(ISERROR(SEARCH("Str",AF142)))</formula>
    </cfRule>
    <cfRule type="containsText" dxfId="611" priority="1260" operator="containsText" text="Ere">
      <formula>NOT(ISERROR(SEARCH("Ere",AF142)))</formula>
    </cfRule>
    <cfRule type="containsText" dxfId="610" priority="1261" operator="containsText" text="Ear">
      <formula>NOT(ISERROR(SEARCH("Ear",AF142)))</formula>
    </cfRule>
    <cfRule type="containsText" dxfId="609" priority="1262" operator="containsText" text="fnd">
      <formula>NOT(ISERROR(SEARCH("fnd",AF142)))</formula>
    </cfRule>
  </conditionalFormatting>
  <conditionalFormatting sqref="AF158:AG158">
    <cfRule type="containsText" dxfId="608" priority="1127" operator="containsText" text="Str">
      <formula>NOT(ISERROR(SEARCH("Str",AF158)))</formula>
    </cfRule>
    <cfRule type="containsText" dxfId="607" priority="1128" operator="containsText" text="Ere">
      <formula>NOT(ISERROR(SEARCH("Ere",AF158)))</formula>
    </cfRule>
    <cfRule type="containsText" dxfId="606" priority="1129" operator="containsText" text="Ear">
      <formula>NOT(ISERROR(SEARCH("Ear",AF158)))</formula>
    </cfRule>
    <cfRule type="containsText" dxfId="605" priority="1130" operator="containsText" text="fnd">
      <formula>NOT(ISERROR(SEARCH("fnd",AF158)))</formula>
    </cfRule>
  </conditionalFormatting>
  <conditionalFormatting sqref="AF166:AG166">
    <cfRule type="containsText" dxfId="604" priority="1063" operator="containsText" text="Str">
      <formula>NOT(ISERROR(SEARCH("Str",AF166)))</formula>
    </cfRule>
    <cfRule type="containsText" dxfId="603" priority="1064" operator="containsText" text="Ere">
      <formula>NOT(ISERROR(SEARCH("Ere",AF166)))</formula>
    </cfRule>
    <cfRule type="containsText" dxfId="602" priority="1065" operator="containsText" text="Ear">
      <formula>NOT(ISERROR(SEARCH("Ear",AF166)))</formula>
    </cfRule>
    <cfRule type="containsText" dxfId="601" priority="1066" operator="containsText" text="fnd">
      <formula>NOT(ISERROR(SEARCH("fnd",AF166)))</formula>
    </cfRule>
  </conditionalFormatting>
  <conditionalFormatting sqref="AF174:AG174">
    <cfRule type="containsText" dxfId="600" priority="373" operator="containsText" text="Str">
      <formula>NOT(ISERROR(SEARCH("Str",AF174)))</formula>
    </cfRule>
    <cfRule type="containsText" dxfId="599" priority="374" operator="containsText" text="Ere">
      <formula>NOT(ISERROR(SEARCH("Ere",AF174)))</formula>
    </cfRule>
    <cfRule type="containsText" dxfId="598" priority="375" operator="containsText" text="Ear">
      <formula>NOT(ISERROR(SEARCH("Ear",AF174)))</formula>
    </cfRule>
    <cfRule type="containsText" dxfId="597" priority="376" operator="containsText" text="fnd">
      <formula>NOT(ISERROR(SEARCH("fnd",AF174)))</formula>
    </cfRule>
  </conditionalFormatting>
  <conditionalFormatting sqref="AF182:AG182">
    <cfRule type="containsText" dxfId="596" priority="101" operator="containsText" text="Str">
      <formula>NOT(ISERROR(SEARCH("Str",AF182)))</formula>
    </cfRule>
    <cfRule type="containsText" dxfId="595" priority="102" operator="containsText" text="Ere">
      <formula>NOT(ISERROR(SEARCH("Ere",AF182)))</formula>
    </cfRule>
    <cfRule type="containsText" dxfId="594" priority="103" operator="containsText" text="Ear">
      <formula>NOT(ISERROR(SEARCH("Ear",AF182)))</formula>
    </cfRule>
    <cfRule type="containsText" dxfId="593" priority="104" operator="containsText" text="fnd">
      <formula>NOT(ISERROR(SEARCH("fnd",AF182)))</formula>
    </cfRule>
  </conditionalFormatting>
  <conditionalFormatting sqref="AG6">
    <cfRule type="containsText" dxfId="592" priority="193" operator="containsText" text="Str">
      <formula>NOT(ISERROR(SEARCH("Str",AG6)))</formula>
    </cfRule>
    <cfRule type="containsText" dxfId="591" priority="194" operator="containsText" text="Ere">
      <formula>NOT(ISERROR(SEARCH("Ere",AG6)))</formula>
    </cfRule>
    <cfRule type="containsText" dxfId="590" priority="195" operator="containsText" text="Ear">
      <formula>NOT(ISERROR(SEARCH("Ear",AG6)))</formula>
    </cfRule>
    <cfRule type="containsText" dxfId="589" priority="196" operator="containsText" text="fnd">
      <formula>NOT(ISERROR(SEARCH("fnd",AG6)))</formula>
    </cfRule>
  </conditionalFormatting>
  <conditionalFormatting sqref="AG14">
    <cfRule type="containsText" dxfId="588" priority="771" operator="containsText" text="Str">
      <formula>NOT(ISERROR(SEARCH("Str",AG14)))</formula>
    </cfRule>
    <cfRule type="containsText" dxfId="587" priority="772" operator="containsText" text="Ere">
      <formula>NOT(ISERROR(SEARCH("Ere",AG14)))</formula>
    </cfRule>
    <cfRule type="containsText" dxfId="586" priority="773" operator="containsText" text="Ear">
      <formula>NOT(ISERROR(SEARCH("Ear",AG14)))</formula>
    </cfRule>
    <cfRule type="containsText" dxfId="585" priority="774" operator="containsText" text="fnd">
      <formula>NOT(ISERROR(SEARCH("fnd",AG14)))</formula>
    </cfRule>
  </conditionalFormatting>
  <conditionalFormatting sqref="AG22">
    <cfRule type="containsText" dxfId="584" priority="1835" operator="containsText" text="Str">
      <formula>NOT(ISERROR(SEARCH("Str",AG22)))</formula>
    </cfRule>
    <cfRule type="containsText" dxfId="583" priority="1836" operator="containsText" text="Ere">
      <formula>NOT(ISERROR(SEARCH("Ere",AG22)))</formula>
    </cfRule>
    <cfRule type="containsText" dxfId="582" priority="1837" operator="containsText" text="Ear">
      <formula>NOT(ISERROR(SEARCH("Ear",AG22)))</formula>
    </cfRule>
    <cfRule type="containsText" dxfId="581" priority="1838" operator="containsText" text="fnd">
      <formula>NOT(ISERROR(SEARCH("fnd",AG22)))</formula>
    </cfRule>
  </conditionalFormatting>
  <conditionalFormatting sqref="AG78">
    <cfRule type="containsText" dxfId="580" priority="2311" operator="containsText" text="Str">
      <formula>NOT(ISERROR(SEARCH("Str",AG78)))</formula>
    </cfRule>
    <cfRule type="containsText" dxfId="579" priority="2312" operator="containsText" text="Ere">
      <formula>NOT(ISERROR(SEARCH("Ere",AG78)))</formula>
    </cfRule>
    <cfRule type="containsText" dxfId="578" priority="2313" operator="containsText" text="Ear">
      <formula>NOT(ISERROR(SEARCH("Ear",AG78)))</formula>
    </cfRule>
    <cfRule type="containsText" dxfId="577" priority="2314" operator="containsText" text="fnd">
      <formula>NOT(ISERROR(SEARCH("fnd",AG78)))</formula>
    </cfRule>
  </conditionalFormatting>
  <conditionalFormatting sqref="AI5:AI6">
    <cfRule type="containsText" dxfId="576" priority="189" operator="containsText" text="Str">
      <formula>NOT(ISERROR(SEARCH("Str",AI5)))</formula>
    </cfRule>
    <cfRule type="containsText" dxfId="575" priority="190" operator="containsText" text="Ere">
      <formula>NOT(ISERROR(SEARCH("Ere",AI5)))</formula>
    </cfRule>
    <cfRule type="containsText" dxfId="574" priority="191" operator="containsText" text="Ear">
      <formula>NOT(ISERROR(SEARCH("Ear",AI5)))</formula>
    </cfRule>
    <cfRule type="containsText" dxfId="573" priority="192" operator="containsText" text="fnd">
      <formula>NOT(ISERROR(SEARCH("fnd",AI5)))</formula>
    </cfRule>
  </conditionalFormatting>
  <conditionalFormatting sqref="AI13:AI14">
    <cfRule type="containsText" dxfId="572" priority="1687" operator="containsText" text="Str">
      <formula>NOT(ISERROR(SEARCH("Str",AI13)))</formula>
    </cfRule>
    <cfRule type="containsText" dxfId="571" priority="1688" operator="containsText" text="Ere">
      <formula>NOT(ISERROR(SEARCH("Ere",AI13)))</formula>
    </cfRule>
    <cfRule type="containsText" dxfId="570" priority="1689" operator="containsText" text="Ear">
      <formula>NOT(ISERROR(SEARCH("Ear",AI13)))</formula>
    </cfRule>
    <cfRule type="containsText" dxfId="569" priority="1690" operator="containsText" text="fnd">
      <formula>NOT(ISERROR(SEARCH("fnd",AI13)))</formula>
    </cfRule>
  </conditionalFormatting>
  <conditionalFormatting sqref="AI21:AI22">
    <cfRule type="containsText" dxfId="568" priority="959" operator="containsText" text="Str">
      <formula>NOT(ISERROR(SEARCH("Str",AI21)))</formula>
    </cfRule>
    <cfRule type="containsText" dxfId="567" priority="960" operator="containsText" text="Ere">
      <formula>NOT(ISERROR(SEARCH("Ere",AI21)))</formula>
    </cfRule>
    <cfRule type="containsText" dxfId="566" priority="961" operator="containsText" text="Ear">
      <formula>NOT(ISERROR(SEARCH("Ear",AI21)))</formula>
    </cfRule>
    <cfRule type="containsText" dxfId="565" priority="962" operator="containsText" text="fnd">
      <formula>NOT(ISERROR(SEARCH("fnd",AI21)))</formula>
    </cfRule>
  </conditionalFormatting>
  <conditionalFormatting sqref="AI29">
    <cfRule type="containsText" dxfId="564" priority="1751" operator="containsText" text="Str">
      <formula>NOT(ISERROR(SEARCH("Str",AI29)))</formula>
    </cfRule>
    <cfRule type="containsText" dxfId="563" priority="1752" operator="containsText" text="Ere">
      <formula>NOT(ISERROR(SEARCH("Ere",AI29)))</formula>
    </cfRule>
    <cfRule type="containsText" dxfId="562" priority="1753" operator="containsText" text="Ear">
      <formula>NOT(ISERROR(SEARCH("Ear",AI29)))</formula>
    </cfRule>
    <cfRule type="containsText" dxfId="561" priority="1754" operator="containsText" text="fnd">
      <formula>NOT(ISERROR(SEARCH("fnd",AI29)))</formula>
    </cfRule>
  </conditionalFormatting>
  <conditionalFormatting sqref="AI37">
    <cfRule type="containsText" dxfId="560" priority="879" operator="containsText" text="Str">
      <formula>NOT(ISERROR(SEARCH("Str",AI37)))</formula>
    </cfRule>
    <cfRule type="containsText" dxfId="559" priority="880" operator="containsText" text="Ere">
      <formula>NOT(ISERROR(SEARCH("Ere",AI37)))</formula>
    </cfRule>
    <cfRule type="containsText" dxfId="558" priority="881" operator="containsText" text="Ear">
      <formula>NOT(ISERROR(SEARCH("Ear",AI37)))</formula>
    </cfRule>
    <cfRule type="containsText" dxfId="557" priority="882" operator="containsText" text="fnd">
      <formula>NOT(ISERROR(SEARCH("fnd",AI37)))</formula>
    </cfRule>
  </conditionalFormatting>
  <conditionalFormatting sqref="AI53">
    <cfRule type="containsText" dxfId="556" priority="799" operator="containsText" text="Str">
      <formula>NOT(ISERROR(SEARCH("Str",AI53)))</formula>
    </cfRule>
    <cfRule type="containsText" dxfId="555" priority="800" operator="containsText" text="Ere">
      <formula>NOT(ISERROR(SEARCH("Ere",AI53)))</formula>
    </cfRule>
    <cfRule type="containsText" dxfId="554" priority="801" operator="containsText" text="Ear">
      <formula>NOT(ISERROR(SEARCH("Ear",AI53)))</formula>
    </cfRule>
    <cfRule type="containsText" dxfId="553" priority="802" operator="containsText" text="fnd">
      <formula>NOT(ISERROR(SEARCH("fnd",AI53)))</formula>
    </cfRule>
  </conditionalFormatting>
  <conditionalFormatting sqref="AI61">
    <cfRule type="containsText" dxfId="552" priority="2011" operator="containsText" text="Str">
      <formula>NOT(ISERROR(SEARCH("Str",AI61)))</formula>
    </cfRule>
    <cfRule type="containsText" dxfId="551" priority="2012" operator="containsText" text="Ere">
      <formula>NOT(ISERROR(SEARCH("Ere",AI61)))</formula>
    </cfRule>
    <cfRule type="containsText" dxfId="550" priority="2013" operator="containsText" text="Ear">
      <formula>NOT(ISERROR(SEARCH("Ear",AI61)))</formula>
    </cfRule>
    <cfRule type="containsText" dxfId="549" priority="2014" operator="containsText" text="fnd">
      <formula>NOT(ISERROR(SEARCH("fnd",AI61)))</formula>
    </cfRule>
  </conditionalFormatting>
  <conditionalFormatting sqref="AI69">
    <cfRule type="containsText" dxfId="548" priority="1935" operator="containsText" text="Str">
      <formula>NOT(ISERROR(SEARCH("Str",AI69)))</formula>
    </cfRule>
    <cfRule type="containsText" dxfId="547" priority="1936" operator="containsText" text="Ere">
      <formula>NOT(ISERROR(SEARCH("Ere",AI69)))</formula>
    </cfRule>
    <cfRule type="containsText" dxfId="546" priority="1937" operator="containsText" text="Ear">
      <formula>NOT(ISERROR(SEARCH("Ear",AI69)))</formula>
    </cfRule>
    <cfRule type="containsText" dxfId="545" priority="1938" operator="containsText" text="fnd">
      <formula>NOT(ISERROR(SEARCH("fnd",AI69)))</formula>
    </cfRule>
  </conditionalFormatting>
  <conditionalFormatting sqref="AI77:AI78">
    <cfRule type="containsText" dxfId="544" priority="277" operator="containsText" text="Str">
      <formula>NOT(ISERROR(SEARCH("Str",AI77)))</formula>
    </cfRule>
    <cfRule type="containsText" dxfId="543" priority="278" operator="containsText" text="Ere">
      <formula>NOT(ISERROR(SEARCH("Ere",AI77)))</formula>
    </cfRule>
    <cfRule type="containsText" dxfId="542" priority="279" operator="containsText" text="Ear">
      <formula>NOT(ISERROR(SEARCH("Ear",AI77)))</formula>
    </cfRule>
    <cfRule type="containsText" dxfId="541" priority="280" operator="containsText" text="fnd">
      <formula>NOT(ISERROR(SEARCH("fnd",AI77)))</formula>
    </cfRule>
  </conditionalFormatting>
  <conditionalFormatting sqref="AI93:AI94">
    <cfRule type="containsText" dxfId="540" priority="1671" operator="containsText" text="Str">
      <formula>NOT(ISERROR(SEARCH("Str",AI93)))</formula>
    </cfRule>
    <cfRule type="containsText" dxfId="539" priority="1672" operator="containsText" text="Ere">
      <formula>NOT(ISERROR(SEARCH("Ere",AI93)))</formula>
    </cfRule>
    <cfRule type="containsText" dxfId="538" priority="1673" operator="containsText" text="Ear">
      <formula>NOT(ISERROR(SEARCH("Ear",AI93)))</formula>
    </cfRule>
    <cfRule type="containsText" dxfId="537" priority="1674" operator="containsText" text="fnd">
      <formula>NOT(ISERROR(SEARCH("fnd",AI93)))</formula>
    </cfRule>
  </conditionalFormatting>
  <conditionalFormatting sqref="AI101">
    <cfRule type="containsText" dxfId="536" priority="2223" operator="containsText" text="Str">
      <formula>NOT(ISERROR(SEARCH("Str",AI101)))</formula>
    </cfRule>
    <cfRule type="containsText" dxfId="535" priority="2224" operator="containsText" text="Ere">
      <formula>NOT(ISERROR(SEARCH("Ere",AI101)))</formula>
    </cfRule>
    <cfRule type="containsText" dxfId="534" priority="2225" operator="containsText" text="Ear">
      <formula>NOT(ISERROR(SEARCH("Ear",AI101)))</formula>
    </cfRule>
    <cfRule type="containsText" dxfId="533" priority="2226" operator="containsText" text="fnd">
      <formula>NOT(ISERROR(SEARCH("fnd",AI101)))</formula>
    </cfRule>
  </conditionalFormatting>
  <conditionalFormatting sqref="AI109">
    <cfRule type="containsText" dxfId="532" priority="1703" operator="containsText" text="Str">
      <formula>NOT(ISERROR(SEARCH("Str",AI109)))</formula>
    </cfRule>
    <cfRule type="containsText" dxfId="531" priority="1704" operator="containsText" text="Ere">
      <formula>NOT(ISERROR(SEARCH("Ere",AI109)))</formula>
    </cfRule>
    <cfRule type="containsText" dxfId="530" priority="1705" operator="containsText" text="Ear">
      <formula>NOT(ISERROR(SEARCH("Ear",AI109)))</formula>
    </cfRule>
    <cfRule type="containsText" dxfId="529" priority="1706" operator="containsText" text="fnd">
      <formula>NOT(ISERROR(SEARCH("fnd",AI109)))</formula>
    </cfRule>
  </conditionalFormatting>
  <conditionalFormatting sqref="AI117">
    <cfRule type="containsText" dxfId="528" priority="611" operator="containsText" text="Str">
      <formula>NOT(ISERROR(SEARCH("Str",AI117)))</formula>
    </cfRule>
    <cfRule type="containsText" dxfId="527" priority="612" operator="containsText" text="Ere">
      <formula>NOT(ISERROR(SEARCH("Ere",AI117)))</formula>
    </cfRule>
    <cfRule type="containsText" dxfId="526" priority="613" operator="containsText" text="Ear">
      <formula>NOT(ISERROR(SEARCH("Ear",AI117)))</formula>
    </cfRule>
    <cfRule type="containsText" dxfId="525" priority="614" operator="containsText" text="fnd">
      <formula>NOT(ISERROR(SEARCH("fnd",AI117)))</formula>
    </cfRule>
  </conditionalFormatting>
  <conditionalFormatting sqref="AI122 AI130 AI138 AI170 AI178">
    <cfRule type="containsText" dxfId="524" priority="2043" operator="containsText" text="Str">
      <formula>NOT(ISERROR(SEARCH("Str",AI122)))</formula>
    </cfRule>
    <cfRule type="containsText" dxfId="523" priority="2044" operator="containsText" text="Ere">
      <formula>NOT(ISERROR(SEARCH("Ere",AI122)))</formula>
    </cfRule>
    <cfRule type="containsText" dxfId="522" priority="2045" operator="containsText" text="Ear">
      <formula>NOT(ISERROR(SEARCH("Ear",AI122)))</formula>
    </cfRule>
    <cfRule type="containsText" dxfId="521" priority="2046" operator="containsText" text="fnd">
      <formula>NOT(ISERROR(SEARCH("fnd",AI122)))</formula>
    </cfRule>
  </conditionalFormatting>
  <conditionalFormatting sqref="AI125">
    <cfRule type="containsText" dxfId="520" priority="1387" operator="containsText" text="Str">
      <formula>NOT(ISERROR(SEARCH("Str",AI125)))</formula>
    </cfRule>
    <cfRule type="containsText" dxfId="519" priority="1388" operator="containsText" text="Ere">
      <formula>NOT(ISERROR(SEARCH("Ere",AI125)))</formula>
    </cfRule>
    <cfRule type="containsText" dxfId="518" priority="1389" operator="containsText" text="Ear">
      <formula>NOT(ISERROR(SEARCH("Ear",AI125)))</formula>
    </cfRule>
    <cfRule type="containsText" dxfId="517" priority="1390" operator="containsText" text="fnd">
      <formula>NOT(ISERROR(SEARCH("fnd",AI125)))</formula>
    </cfRule>
  </conditionalFormatting>
  <conditionalFormatting sqref="AI133">
    <cfRule type="containsText" dxfId="516" priority="1335" operator="containsText" text="Str">
      <formula>NOT(ISERROR(SEARCH("Str",AI133)))</formula>
    </cfRule>
    <cfRule type="containsText" dxfId="515" priority="1336" operator="containsText" text="Ere">
      <formula>NOT(ISERROR(SEARCH("Ere",AI133)))</formula>
    </cfRule>
    <cfRule type="containsText" dxfId="514" priority="1337" operator="containsText" text="Ear">
      <formula>NOT(ISERROR(SEARCH("Ear",AI133)))</formula>
    </cfRule>
    <cfRule type="containsText" dxfId="513" priority="1338" operator="containsText" text="fnd">
      <formula>NOT(ISERROR(SEARCH("fnd",AI133)))</formula>
    </cfRule>
  </conditionalFormatting>
  <conditionalFormatting sqref="AI141">
    <cfRule type="containsText" dxfId="512" priority="1231" operator="containsText" text="Str">
      <formula>NOT(ISERROR(SEARCH("Str",AI141)))</formula>
    </cfRule>
    <cfRule type="containsText" dxfId="511" priority="1232" operator="containsText" text="Ere">
      <formula>NOT(ISERROR(SEARCH("Ere",AI141)))</formula>
    </cfRule>
    <cfRule type="containsText" dxfId="510" priority="1233" operator="containsText" text="Ear">
      <formula>NOT(ISERROR(SEARCH("Ear",AI141)))</formula>
    </cfRule>
    <cfRule type="containsText" dxfId="509" priority="1234" operator="containsText" text="fnd">
      <formula>NOT(ISERROR(SEARCH("fnd",AI141)))</formula>
    </cfRule>
  </conditionalFormatting>
  <conditionalFormatting sqref="AI149">
    <cfRule type="containsText" dxfId="508" priority="317" operator="containsText" text="Str">
      <formula>NOT(ISERROR(SEARCH("Str",AI149)))</formula>
    </cfRule>
    <cfRule type="containsText" dxfId="507" priority="318" operator="containsText" text="Ere">
      <formula>NOT(ISERROR(SEARCH("Ere",AI149)))</formula>
    </cfRule>
    <cfRule type="containsText" dxfId="506" priority="319" operator="containsText" text="Ear">
      <formula>NOT(ISERROR(SEARCH("Ear",AI149)))</formula>
    </cfRule>
    <cfRule type="containsText" dxfId="505" priority="320" operator="containsText" text="fnd">
      <formula>NOT(ISERROR(SEARCH("fnd",AI149)))</formula>
    </cfRule>
  </conditionalFormatting>
  <conditionalFormatting sqref="AI157">
    <cfRule type="containsText" dxfId="504" priority="1099" operator="containsText" text="Str">
      <formula>NOT(ISERROR(SEARCH("Str",AI157)))</formula>
    </cfRule>
    <cfRule type="containsText" dxfId="503" priority="1100" operator="containsText" text="Ere">
      <formula>NOT(ISERROR(SEARCH("Ere",AI157)))</formula>
    </cfRule>
    <cfRule type="containsText" dxfId="502" priority="1101" operator="containsText" text="Ear">
      <formula>NOT(ISERROR(SEARCH("Ear",AI157)))</formula>
    </cfRule>
    <cfRule type="containsText" dxfId="501" priority="1102" operator="containsText" text="fnd">
      <formula>NOT(ISERROR(SEARCH("fnd",AI157)))</formula>
    </cfRule>
  </conditionalFormatting>
  <conditionalFormatting sqref="AI165">
    <cfRule type="containsText" dxfId="500" priority="517" operator="containsText" text="Str">
      <formula>NOT(ISERROR(SEARCH("Str",AI165)))</formula>
    </cfRule>
    <cfRule type="containsText" dxfId="499" priority="518" operator="containsText" text="Ere">
      <formula>NOT(ISERROR(SEARCH("Ere",AI165)))</formula>
    </cfRule>
    <cfRule type="containsText" dxfId="498" priority="519" operator="containsText" text="Ear">
      <formula>NOT(ISERROR(SEARCH("Ear",AI165)))</formula>
    </cfRule>
    <cfRule type="containsText" dxfId="497" priority="520" operator="containsText" text="fnd">
      <formula>NOT(ISERROR(SEARCH("fnd",AI165)))</formula>
    </cfRule>
  </conditionalFormatting>
  <conditionalFormatting sqref="AI173">
    <cfRule type="containsText" dxfId="496" priority="995" operator="containsText" text="Str">
      <formula>NOT(ISERROR(SEARCH("Str",AI173)))</formula>
    </cfRule>
    <cfRule type="containsText" dxfId="495" priority="996" operator="containsText" text="Ere">
      <formula>NOT(ISERROR(SEARCH("Ere",AI173)))</formula>
    </cfRule>
    <cfRule type="containsText" dxfId="494" priority="997" operator="containsText" text="Ear">
      <formula>NOT(ISERROR(SEARCH("Ear",AI173)))</formula>
    </cfRule>
    <cfRule type="containsText" dxfId="493" priority="998" operator="containsText" text="fnd">
      <formula>NOT(ISERROR(SEARCH("fnd",AI173)))</formula>
    </cfRule>
  </conditionalFormatting>
  <conditionalFormatting sqref="AI181">
    <cfRule type="containsText" dxfId="492" priority="89" operator="containsText" text="Str">
      <formula>NOT(ISERROR(SEARCH("Str",AI181)))</formula>
    </cfRule>
    <cfRule type="containsText" dxfId="491" priority="90" operator="containsText" text="Ere">
      <formula>NOT(ISERROR(SEARCH("Ere",AI181)))</formula>
    </cfRule>
    <cfRule type="containsText" dxfId="490" priority="91" operator="containsText" text="Ear">
      <formula>NOT(ISERROR(SEARCH("Ear",AI181)))</formula>
    </cfRule>
    <cfRule type="containsText" dxfId="489" priority="92" operator="containsText" text="fnd">
      <formula>NOT(ISERROR(SEARCH("fnd",AI181)))</formula>
    </cfRule>
  </conditionalFormatting>
  <conditionalFormatting sqref="AI30:AJ30">
    <cfRule type="containsText" dxfId="488" priority="1755" operator="containsText" text="Str">
      <formula>NOT(ISERROR(SEARCH("Str",AI30)))</formula>
    </cfRule>
    <cfRule type="containsText" dxfId="487" priority="1756" operator="containsText" text="Ere">
      <formula>NOT(ISERROR(SEARCH("Ere",AI30)))</formula>
    </cfRule>
    <cfRule type="containsText" dxfId="486" priority="1757" operator="containsText" text="Ear">
      <formula>NOT(ISERROR(SEARCH("Ear",AI30)))</formula>
    </cfRule>
    <cfRule type="containsText" dxfId="485" priority="1758" operator="containsText" text="fnd">
      <formula>NOT(ISERROR(SEARCH("fnd",AI30)))</formula>
    </cfRule>
  </conditionalFormatting>
  <conditionalFormatting sqref="AI38:AJ38">
    <cfRule type="containsText" dxfId="484" priority="883" operator="containsText" text="Str">
      <formula>NOT(ISERROR(SEARCH("Str",AI38)))</formula>
    </cfRule>
    <cfRule type="containsText" dxfId="483" priority="884" operator="containsText" text="Ere">
      <formula>NOT(ISERROR(SEARCH("Ere",AI38)))</formula>
    </cfRule>
    <cfRule type="containsText" dxfId="482" priority="885" operator="containsText" text="Ear">
      <formula>NOT(ISERROR(SEARCH("Ear",AI38)))</formula>
    </cfRule>
    <cfRule type="containsText" dxfId="481" priority="886" operator="containsText" text="fnd">
      <formula>NOT(ISERROR(SEARCH("fnd",AI38)))</formula>
    </cfRule>
  </conditionalFormatting>
  <conditionalFormatting sqref="AI46:AJ46">
    <cfRule type="containsText" dxfId="480" priority="2359" operator="containsText" text="Str">
      <formula>NOT(ISERROR(SEARCH("Str",AI46)))</formula>
    </cfRule>
    <cfRule type="containsText" dxfId="479" priority="2360" operator="containsText" text="Ere">
      <formula>NOT(ISERROR(SEARCH("Ere",AI46)))</formula>
    </cfRule>
    <cfRule type="containsText" dxfId="478" priority="2361" operator="containsText" text="Ear">
      <formula>NOT(ISERROR(SEARCH("Ear",AI46)))</formula>
    </cfRule>
    <cfRule type="containsText" dxfId="477" priority="2362" operator="containsText" text="fnd">
      <formula>NOT(ISERROR(SEARCH("fnd",AI46)))</formula>
    </cfRule>
  </conditionalFormatting>
  <conditionalFormatting sqref="AI62:AJ62">
    <cfRule type="containsText" dxfId="476" priority="2015" operator="containsText" text="Str">
      <formula>NOT(ISERROR(SEARCH("Str",AI62)))</formula>
    </cfRule>
    <cfRule type="containsText" dxfId="475" priority="2016" operator="containsText" text="Ere">
      <formula>NOT(ISERROR(SEARCH("Ere",AI62)))</formula>
    </cfRule>
    <cfRule type="containsText" dxfId="474" priority="2017" operator="containsText" text="Ear">
      <formula>NOT(ISERROR(SEARCH("Ear",AI62)))</formula>
    </cfRule>
    <cfRule type="containsText" dxfId="473" priority="2018" operator="containsText" text="fnd">
      <formula>NOT(ISERROR(SEARCH("fnd",AI62)))</formula>
    </cfRule>
  </conditionalFormatting>
  <conditionalFormatting sqref="AI70:AJ70">
    <cfRule type="containsText" dxfId="472" priority="1939" operator="containsText" text="Str">
      <formula>NOT(ISERROR(SEARCH("Str",AI70)))</formula>
    </cfRule>
    <cfRule type="containsText" dxfId="471" priority="1940" operator="containsText" text="Ere">
      <formula>NOT(ISERROR(SEARCH("Ere",AI70)))</formula>
    </cfRule>
    <cfRule type="containsText" dxfId="470" priority="1941" operator="containsText" text="Ear">
      <formula>NOT(ISERROR(SEARCH("Ear",AI70)))</formula>
    </cfRule>
    <cfRule type="containsText" dxfId="469" priority="1942" operator="containsText" text="fnd">
      <formula>NOT(ISERROR(SEARCH("fnd",AI70)))</formula>
    </cfRule>
  </conditionalFormatting>
  <conditionalFormatting sqref="AI86:AJ86">
    <cfRule type="containsText" dxfId="468" priority="2291" operator="containsText" text="Str">
      <formula>NOT(ISERROR(SEARCH("Str",AI86)))</formula>
    </cfRule>
    <cfRule type="containsText" dxfId="467" priority="2292" operator="containsText" text="Ere">
      <formula>NOT(ISERROR(SEARCH("Ere",AI86)))</formula>
    </cfRule>
    <cfRule type="containsText" dxfId="466" priority="2293" operator="containsText" text="Ear">
      <formula>NOT(ISERROR(SEARCH("Ear",AI86)))</formula>
    </cfRule>
    <cfRule type="containsText" dxfId="465" priority="2294" operator="containsText" text="fnd">
      <formula>NOT(ISERROR(SEARCH("fnd",AI86)))</formula>
    </cfRule>
  </conditionalFormatting>
  <conditionalFormatting sqref="AI102:AJ102">
    <cfRule type="containsText" dxfId="464" priority="2287" operator="containsText" text="Str">
      <formula>NOT(ISERROR(SEARCH("Str",AI102)))</formula>
    </cfRule>
    <cfRule type="containsText" dxfId="463" priority="2288" operator="containsText" text="Ere">
      <formula>NOT(ISERROR(SEARCH("Ere",AI102)))</formula>
    </cfRule>
    <cfRule type="containsText" dxfId="462" priority="2289" operator="containsText" text="Ear">
      <formula>NOT(ISERROR(SEARCH("Ear",AI102)))</formula>
    </cfRule>
    <cfRule type="containsText" dxfId="461" priority="2290" operator="containsText" text="fnd">
      <formula>NOT(ISERROR(SEARCH("fnd",AI102)))</formula>
    </cfRule>
  </conditionalFormatting>
  <conditionalFormatting sqref="AI110:AJ110">
    <cfRule type="containsText" dxfId="460" priority="1707" operator="containsText" text="Str">
      <formula>NOT(ISERROR(SEARCH("Str",AI110)))</formula>
    </cfRule>
    <cfRule type="containsText" dxfId="459" priority="1708" operator="containsText" text="Ere">
      <formula>NOT(ISERROR(SEARCH("Ere",AI110)))</formula>
    </cfRule>
    <cfRule type="containsText" dxfId="458" priority="1709" operator="containsText" text="Ear">
      <formula>NOT(ISERROR(SEARCH("Ear",AI110)))</formula>
    </cfRule>
    <cfRule type="containsText" dxfId="457" priority="1710" operator="containsText" text="fnd">
      <formula>NOT(ISERROR(SEARCH("fnd",AI110)))</formula>
    </cfRule>
  </conditionalFormatting>
  <conditionalFormatting sqref="AI118:AJ118">
    <cfRule type="containsText" dxfId="456" priority="615" operator="containsText" text="Str">
      <formula>NOT(ISERROR(SEARCH("Str",AI118)))</formula>
    </cfRule>
    <cfRule type="containsText" dxfId="455" priority="616" operator="containsText" text="Ere">
      <formula>NOT(ISERROR(SEARCH("Ere",AI118)))</formula>
    </cfRule>
    <cfRule type="containsText" dxfId="454" priority="617" operator="containsText" text="Ear">
      <formula>NOT(ISERROR(SEARCH("Ear",AI118)))</formula>
    </cfRule>
    <cfRule type="containsText" dxfId="453" priority="618" operator="containsText" text="fnd">
      <formula>NOT(ISERROR(SEARCH("fnd",AI118)))</formula>
    </cfRule>
  </conditionalFormatting>
  <conditionalFormatting sqref="AI126:AJ126">
    <cfRule type="containsText" dxfId="452" priority="1391" operator="containsText" text="Str">
      <formula>NOT(ISERROR(SEARCH("Str",AI126)))</formula>
    </cfRule>
    <cfRule type="containsText" dxfId="451" priority="1392" operator="containsText" text="Ere">
      <formula>NOT(ISERROR(SEARCH("Ere",AI126)))</formula>
    </cfRule>
    <cfRule type="containsText" dxfId="450" priority="1393" operator="containsText" text="Ear">
      <formula>NOT(ISERROR(SEARCH("Ear",AI126)))</formula>
    </cfRule>
    <cfRule type="containsText" dxfId="449" priority="1394" operator="containsText" text="fnd">
      <formula>NOT(ISERROR(SEARCH("fnd",AI126)))</formula>
    </cfRule>
  </conditionalFormatting>
  <conditionalFormatting sqref="AI134:AJ134">
    <cfRule type="containsText" dxfId="448" priority="1339" operator="containsText" text="Str">
      <formula>NOT(ISERROR(SEARCH("Str",AI134)))</formula>
    </cfRule>
    <cfRule type="containsText" dxfId="447" priority="1340" operator="containsText" text="Ere">
      <formula>NOT(ISERROR(SEARCH("Ere",AI134)))</formula>
    </cfRule>
    <cfRule type="containsText" dxfId="446" priority="1341" operator="containsText" text="Ear">
      <formula>NOT(ISERROR(SEARCH("Ear",AI134)))</formula>
    </cfRule>
    <cfRule type="containsText" dxfId="445" priority="1342" operator="containsText" text="fnd">
      <formula>NOT(ISERROR(SEARCH("fnd",AI134)))</formula>
    </cfRule>
  </conditionalFormatting>
  <conditionalFormatting sqref="AI142:AJ142">
    <cfRule type="containsText" dxfId="444" priority="1235" operator="containsText" text="Str">
      <formula>NOT(ISERROR(SEARCH("Str",AI142)))</formula>
    </cfRule>
    <cfRule type="containsText" dxfId="443" priority="1236" operator="containsText" text="Ere">
      <formula>NOT(ISERROR(SEARCH("Ere",AI142)))</formula>
    </cfRule>
    <cfRule type="containsText" dxfId="442" priority="1237" operator="containsText" text="Ear">
      <formula>NOT(ISERROR(SEARCH("Ear",AI142)))</formula>
    </cfRule>
    <cfRule type="containsText" dxfId="441" priority="1238" operator="containsText" text="fnd">
      <formula>NOT(ISERROR(SEARCH("fnd",AI142)))</formula>
    </cfRule>
  </conditionalFormatting>
  <conditionalFormatting sqref="AI150:AJ150">
    <cfRule type="containsText" dxfId="440" priority="321" operator="containsText" text="Str">
      <formula>NOT(ISERROR(SEARCH("Str",AI150)))</formula>
    </cfRule>
    <cfRule type="containsText" dxfId="439" priority="322" operator="containsText" text="Ere">
      <formula>NOT(ISERROR(SEARCH("Ere",AI150)))</formula>
    </cfRule>
    <cfRule type="containsText" dxfId="438" priority="323" operator="containsText" text="Ear">
      <formula>NOT(ISERROR(SEARCH("Ear",AI150)))</formula>
    </cfRule>
    <cfRule type="containsText" dxfId="437" priority="324" operator="containsText" text="fnd">
      <formula>NOT(ISERROR(SEARCH("fnd",AI150)))</formula>
    </cfRule>
  </conditionalFormatting>
  <conditionalFormatting sqref="AI158:AJ158">
    <cfRule type="containsText" dxfId="436" priority="1103" operator="containsText" text="Str">
      <formula>NOT(ISERROR(SEARCH("Str",AI158)))</formula>
    </cfRule>
    <cfRule type="containsText" dxfId="435" priority="1104" operator="containsText" text="Ere">
      <formula>NOT(ISERROR(SEARCH("Ere",AI158)))</formula>
    </cfRule>
    <cfRule type="containsText" dxfId="434" priority="1105" operator="containsText" text="Ear">
      <formula>NOT(ISERROR(SEARCH("Ear",AI158)))</formula>
    </cfRule>
    <cfRule type="containsText" dxfId="433" priority="1106" operator="containsText" text="fnd">
      <formula>NOT(ISERROR(SEARCH("fnd",AI158)))</formula>
    </cfRule>
  </conditionalFormatting>
  <conditionalFormatting sqref="AI166:AJ166">
    <cfRule type="containsText" dxfId="432" priority="521" operator="containsText" text="Str">
      <formula>NOT(ISERROR(SEARCH("Str",AI166)))</formula>
    </cfRule>
    <cfRule type="containsText" dxfId="431" priority="522" operator="containsText" text="Ere">
      <formula>NOT(ISERROR(SEARCH("Ere",AI166)))</formula>
    </cfRule>
    <cfRule type="containsText" dxfId="430" priority="523" operator="containsText" text="Ear">
      <formula>NOT(ISERROR(SEARCH("Ear",AI166)))</formula>
    </cfRule>
    <cfRule type="containsText" dxfId="429" priority="524" operator="containsText" text="fnd">
      <formula>NOT(ISERROR(SEARCH("fnd",AI166)))</formula>
    </cfRule>
  </conditionalFormatting>
  <conditionalFormatting sqref="AI174:AJ174">
    <cfRule type="containsText" dxfId="428" priority="999" operator="containsText" text="Str">
      <formula>NOT(ISERROR(SEARCH("Str",AI174)))</formula>
    </cfRule>
    <cfRule type="containsText" dxfId="427" priority="1000" operator="containsText" text="Ere">
      <formula>NOT(ISERROR(SEARCH("Ere",AI174)))</formula>
    </cfRule>
    <cfRule type="containsText" dxfId="426" priority="1001" operator="containsText" text="Ear">
      <formula>NOT(ISERROR(SEARCH("Ear",AI174)))</formula>
    </cfRule>
    <cfRule type="containsText" dxfId="425" priority="1002" operator="containsText" text="fnd">
      <formula>NOT(ISERROR(SEARCH("fnd",AI174)))</formula>
    </cfRule>
  </conditionalFormatting>
  <conditionalFormatting sqref="AI182:AJ182">
    <cfRule type="containsText" dxfId="424" priority="93" operator="containsText" text="Str">
      <formula>NOT(ISERROR(SEARCH("Str",AI182)))</formula>
    </cfRule>
    <cfRule type="containsText" dxfId="423" priority="94" operator="containsText" text="Ere">
      <formula>NOT(ISERROR(SEARCH("Ere",AI182)))</formula>
    </cfRule>
    <cfRule type="containsText" dxfId="422" priority="95" operator="containsText" text="Ear">
      <formula>NOT(ISERROR(SEARCH("Ear",AI182)))</formula>
    </cfRule>
    <cfRule type="containsText" dxfId="421" priority="96" operator="containsText" text="fnd">
      <formula>NOT(ISERROR(SEARCH("fnd",AI182)))</formula>
    </cfRule>
  </conditionalFormatting>
  <conditionalFormatting sqref="AJ6">
    <cfRule type="containsText" dxfId="420" priority="185" operator="containsText" text="Str">
      <formula>NOT(ISERROR(SEARCH("Str",AJ6)))</formula>
    </cfRule>
    <cfRule type="containsText" dxfId="419" priority="186" operator="containsText" text="Ere">
      <formula>NOT(ISERROR(SEARCH("Ere",AJ6)))</formula>
    </cfRule>
    <cfRule type="containsText" dxfId="418" priority="187" operator="containsText" text="Ear">
      <formula>NOT(ISERROR(SEARCH("Ear",AJ6)))</formula>
    </cfRule>
    <cfRule type="containsText" dxfId="417" priority="188" operator="containsText" text="fnd">
      <formula>NOT(ISERROR(SEARCH("fnd",AJ6)))</formula>
    </cfRule>
  </conditionalFormatting>
  <conditionalFormatting sqref="AJ14">
    <cfRule type="containsText" dxfId="416" priority="1683" operator="containsText" text="Str">
      <formula>NOT(ISERROR(SEARCH("Str",AJ14)))</formula>
    </cfRule>
    <cfRule type="containsText" dxfId="415" priority="1684" operator="containsText" text="Ere">
      <formula>NOT(ISERROR(SEARCH("Ere",AJ14)))</formula>
    </cfRule>
    <cfRule type="containsText" dxfId="414" priority="1685" operator="containsText" text="Ear">
      <formula>NOT(ISERROR(SEARCH("Ear",AJ14)))</formula>
    </cfRule>
    <cfRule type="containsText" dxfId="413" priority="1686" operator="containsText" text="fnd">
      <formula>NOT(ISERROR(SEARCH("fnd",AJ14)))</formula>
    </cfRule>
  </conditionalFormatting>
  <conditionalFormatting sqref="AJ22">
    <cfRule type="containsText" dxfId="412" priority="955" operator="containsText" text="Str">
      <formula>NOT(ISERROR(SEARCH("Str",AJ22)))</formula>
    </cfRule>
    <cfRule type="containsText" dxfId="411" priority="956" operator="containsText" text="Ere">
      <formula>NOT(ISERROR(SEARCH("Ere",AJ22)))</formula>
    </cfRule>
    <cfRule type="containsText" dxfId="410" priority="957" operator="containsText" text="Ear">
      <formula>NOT(ISERROR(SEARCH("Ear",AJ22)))</formula>
    </cfRule>
    <cfRule type="containsText" dxfId="409" priority="958" operator="containsText" text="fnd">
      <formula>NOT(ISERROR(SEARCH("fnd",AJ22)))</formula>
    </cfRule>
  </conditionalFormatting>
  <conditionalFormatting sqref="AJ78">
    <cfRule type="containsText" dxfId="408" priority="281" operator="containsText" text="Str">
      <formula>NOT(ISERROR(SEARCH("Str",AJ78)))</formula>
    </cfRule>
    <cfRule type="containsText" dxfId="407" priority="282" operator="containsText" text="Ere">
      <formula>NOT(ISERROR(SEARCH("Ere",AJ78)))</formula>
    </cfRule>
    <cfRule type="containsText" dxfId="406" priority="283" operator="containsText" text="Ear">
      <formula>NOT(ISERROR(SEARCH("Ear",AJ78)))</formula>
    </cfRule>
    <cfRule type="containsText" dxfId="405" priority="284" operator="containsText" text="fnd">
      <formula>NOT(ISERROR(SEARCH("fnd",AJ78)))</formula>
    </cfRule>
  </conditionalFormatting>
  <conditionalFormatting sqref="AL5:AL6">
    <cfRule type="containsText" dxfId="404" priority="181" operator="containsText" text="Str">
      <formula>NOT(ISERROR(SEARCH("Str",AL5)))</formula>
    </cfRule>
    <cfRule type="containsText" dxfId="403" priority="182" operator="containsText" text="Ere">
      <formula>NOT(ISERROR(SEARCH("Ere",AL5)))</formula>
    </cfRule>
    <cfRule type="containsText" dxfId="402" priority="183" operator="containsText" text="Ear">
      <formula>NOT(ISERROR(SEARCH("Ear",AL5)))</formula>
    </cfRule>
    <cfRule type="containsText" dxfId="401" priority="184" operator="containsText" text="fnd">
      <formula>NOT(ISERROR(SEARCH("fnd",AL5)))</formula>
    </cfRule>
  </conditionalFormatting>
  <conditionalFormatting sqref="AL13:AL14">
    <cfRule type="containsText" dxfId="400" priority="1655" operator="containsText" text="Str">
      <formula>NOT(ISERROR(SEARCH("Str",AL13)))</formula>
    </cfRule>
    <cfRule type="containsText" dxfId="399" priority="1656" operator="containsText" text="Ere">
      <formula>NOT(ISERROR(SEARCH("Ere",AL13)))</formula>
    </cfRule>
    <cfRule type="containsText" dxfId="398" priority="1657" operator="containsText" text="Ear">
      <formula>NOT(ISERROR(SEARCH("Ear",AL13)))</formula>
    </cfRule>
    <cfRule type="containsText" dxfId="397" priority="1658" operator="containsText" text="fnd">
      <formula>NOT(ISERROR(SEARCH("fnd",AL13)))</formula>
    </cfRule>
  </conditionalFormatting>
  <conditionalFormatting sqref="AL21">
    <cfRule type="containsText" dxfId="396" priority="2371" operator="containsText" text="Str">
      <formula>NOT(ISERROR(SEARCH("Str",AL21)))</formula>
    </cfRule>
    <cfRule type="containsText" dxfId="395" priority="2372" operator="containsText" text="Ere">
      <formula>NOT(ISERROR(SEARCH("Ere",AL21)))</formula>
    </cfRule>
    <cfRule type="containsText" dxfId="394" priority="2373" operator="containsText" text="Ear">
      <formula>NOT(ISERROR(SEARCH("Ear",AL21)))</formula>
    </cfRule>
    <cfRule type="containsText" dxfId="393" priority="2374" operator="containsText" text="fnd">
      <formula>NOT(ISERROR(SEARCH("fnd",AL21)))</formula>
    </cfRule>
  </conditionalFormatting>
  <conditionalFormatting sqref="AL29">
    <cfRule type="containsText" dxfId="392" priority="931" operator="containsText" text="Str">
      <formula>NOT(ISERROR(SEARCH("Str",AL29)))</formula>
    </cfRule>
    <cfRule type="containsText" dxfId="391" priority="932" operator="containsText" text="Ere">
      <formula>NOT(ISERROR(SEARCH("Ere",AL29)))</formula>
    </cfRule>
    <cfRule type="containsText" dxfId="390" priority="933" operator="containsText" text="Ear">
      <formula>NOT(ISERROR(SEARCH("Ear",AL29)))</formula>
    </cfRule>
    <cfRule type="containsText" dxfId="389" priority="934" operator="containsText" text="fnd">
      <formula>NOT(ISERROR(SEARCH("fnd",AL29)))</formula>
    </cfRule>
  </conditionalFormatting>
  <conditionalFormatting sqref="AL37">
    <cfRule type="containsText" dxfId="388" priority="671" operator="containsText" text="Str">
      <formula>NOT(ISERROR(SEARCH("Str",AL37)))</formula>
    </cfRule>
    <cfRule type="containsText" dxfId="387" priority="672" operator="containsText" text="Ere">
      <formula>NOT(ISERROR(SEARCH("Ere",AL37)))</formula>
    </cfRule>
    <cfRule type="containsText" dxfId="386" priority="673" operator="containsText" text="Ear">
      <formula>NOT(ISERROR(SEARCH("Ear",AL37)))</formula>
    </cfRule>
    <cfRule type="containsText" dxfId="385" priority="674" operator="containsText" text="fnd">
      <formula>NOT(ISERROR(SEARCH("fnd",AL37)))</formula>
    </cfRule>
  </conditionalFormatting>
  <conditionalFormatting sqref="AL61:AL62">
    <cfRule type="containsText" dxfId="384" priority="2023" operator="containsText" text="Str">
      <formula>NOT(ISERROR(SEARCH("Str",AL61)))</formula>
    </cfRule>
    <cfRule type="containsText" dxfId="383" priority="2024" operator="containsText" text="Ere">
      <formula>NOT(ISERROR(SEARCH("Ere",AL61)))</formula>
    </cfRule>
    <cfRule type="containsText" dxfId="382" priority="2025" operator="containsText" text="Ear">
      <formula>NOT(ISERROR(SEARCH("Ear",AL61)))</formula>
    </cfRule>
    <cfRule type="containsText" dxfId="381" priority="2026" operator="containsText" text="fnd">
      <formula>NOT(ISERROR(SEARCH("fnd",AL61)))</formula>
    </cfRule>
  </conditionalFormatting>
  <conditionalFormatting sqref="AL69">
    <cfRule type="containsText" dxfId="380" priority="2195" operator="containsText" text="Str">
      <formula>NOT(ISERROR(SEARCH("Str",AL69)))</formula>
    </cfRule>
    <cfRule type="containsText" dxfId="379" priority="2196" operator="containsText" text="Ere">
      <formula>NOT(ISERROR(SEARCH("Ere",AL69)))</formula>
    </cfRule>
    <cfRule type="containsText" dxfId="378" priority="2197" operator="containsText" text="Ear">
      <formula>NOT(ISERROR(SEARCH("Ear",AL69)))</formula>
    </cfRule>
    <cfRule type="containsText" dxfId="377" priority="2198" operator="containsText" text="fnd">
      <formula>NOT(ISERROR(SEARCH("fnd",AL69)))</formula>
    </cfRule>
  </conditionalFormatting>
  <conditionalFormatting sqref="AL77">
    <cfRule type="containsText" dxfId="376" priority="819" operator="containsText" text="Str">
      <formula>NOT(ISERROR(SEARCH("Str",AL77)))</formula>
    </cfRule>
    <cfRule type="containsText" dxfId="375" priority="820" operator="containsText" text="Ere">
      <formula>NOT(ISERROR(SEARCH("Ere",AL77)))</formula>
    </cfRule>
    <cfRule type="containsText" dxfId="374" priority="821" operator="containsText" text="Ear">
      <formula>NOT(ISERROR(SEARCH("Ear",AL77)))</formula>
    </cfRule>
    <cfRule type="containsText" dxfId="373" priority="822" operator="containsText" text="fnd">
      <formula>NOT(ISERROR(SEARCH("fnd",AL77)))</formula>
    </cfRule>
  </conditionalFormatting>
  <conditionalFormatting sqref="AL85">
    <cfRule type="containsText" dxfId="372" priority="787" operator="containsText" text="Str">
      <formula>NOT(ISERROR(SEARCH("Str",AL85)))</formula>
    </cfRule>
    <cfRule type="containsText" dxfId="371" priority="788" operator="containsText" text="Ere">
      <formula>NOT(ISERROR(SEARCH("Ere",AL85)))</formula>
    </cfRule>
    <cfRule type="containsText" dxfId="370" priority="789" operator="containsText" text="Ear">
      <formula>NOT(ISERROR(SEARCH("Ear",AL85)))</formula>
    </cfRule>
    <cfRule type="containsText" dxfId="369" priority="790" operator="containsText" text="fnd">
      <formula>NOT(ISERROR(SEARCH("fnd",AL85)))</formula>
    </cfRule>
  </conditionalFormatting>
  <conditionalFormatting sqref="AL93:AL94">
    <cfRule type="containsText" dxfId="368" priority="1647" operator="containsText" text="Str">
      <formula>NOT(ISERROR(SEARCH("Str",AL93)))</formula>
    </cfRule>
    <cfRule type="containsText" dxfId="367" priority="1648" operator="containsText" text="Ere">
      <formula>NOT(ISERROR(SEARCH("Ere",AL93)))</formula>
    </cfRule>
    <cfRule type="containsText" dxfId="366" priority="1649" operator="containsText" text="Ear">
      <formula>NOT(ISERROR(SEARCH("Ear",AL93)))</formula>
    </cfRule>
    <cfRule type="containsText" dxfId="365" priority="1650" operator="containsText" text="fnd">
      <formula>NOT(ISERROR(SEARCH("fnd",AL93)))</formula>
    </cfRule>
  </conditionalFormatting>
  <conditionalFormatting sqref="AL101">
    <cfRule type="containsText" dxfId="364" priority="1875" operator="containsText" text="Str">
      <formula>NOT(ISERROR(SEARCH("Str",AL101)))</formula>
    </cfRule>
    <cfRule type="containsText" dxfId="363" priority="1876" operator="containsText" text="Ere">
      <formula>NOT(ISERROR(SEARCH("Ere",AL101)))</formula>
    </cfRule>
    <cfRule type="containsText" dxfId="362" priority="1877" operator="containsText" text="Ear">
      <formula>NOT(ISERROR(SEARCH("Ear",AL101)))</formula>
    </cfRule>
    <cfRule type="containsText" dxfId="361" priority="1878" operator="containsText" text="fnd">
      <formula>NOT(ISERROR(SEARCH("fnd",AL101)))</formula>
    </cfRule>
  </conditionalFormatting>
  <conditionalFormatting sqref="AL109">
    <cfRule type="containsText" dxfId="360" priority="755" operator="containsText" text="Str">
      <formula>NOT(ISERROR(SEARCH("Str",AL109)))</formula>
    </cfRule>
    <cfRule type="containsText" dxfId="359" priority="756" operator="containsText" text="Ere">
      <formula>NOT(ISERROR(SEARCH("Ere",AL109)))</formula>
    </cfRule>
    <cfRule type="containsText" dxfId="358" priority="757" operator="containsText" text="Ear">
      <formula>NOT(ISERROR(SEARCH("Ear",AL109)))</formula>
    </cfRule>
    <cfRule type="containsText" dxfId="357" priority="758" operator="containsText" text="fnd">
      <formula>NOT(ISERROR(SEARCH("fnd",AL109)))</formula>
    </cfRule>
  </conditionalFormatting>
  <conditionalFormatting sqref="AL117">
    <cfRule type="containsText" dxfId="356" priority="541" operator="containsText" text="Str">
      <formula>NOT(ISERROR(SEARCH("Str",AL117)))</formula>
    </cfRule>
    <cfRule type="containsText" dxfId="355" priority="542" operator="containsText" text="Ere">
      <formula>NOT(ISERROR(SEARCH("Ere",AL117)))</formula>
    </cfRule>
    <cfRule type="containsText" dxfId="354" priority="543" operator="containsText" text="Ear">
      <formula>NOT(ISERROR(SEARCH("Ear",AL117)))</formula>
    </cfRule>
    <cfRule type="containsText" dxfId="353" priority="544" operator="containsText" text="fnd">
      <formula>NOT(ISERROR(SEARCH("fnd",AL117)))</formula>
    </cfRule>
  </conditionalFormatting>
  <conditionalFormatting sqref="AL122 AL130 AL138 AL154 AL162 AL170 AL178">
    <cfRule type="containsText" dxfId="352" priority="2039" operator="containsText" text="Str">
      <formula>NOT(ISERROR(SEARCH("Str",AL122)))</formula>
    </cfRule>
    <cfRule type="containsText" dxfId="351" priority="2040" operator="containsText" text="Ere">
      <formula>NOT(ISERROR(SEARCH("Ere",AL122)))</formula>
    </cfRule>
    <cfRule type="containsText" dxfId="350" priority="2041" operator="containsText" text="Ear">
      <formula>NOT(ISERROR(SEARCH("Ear",AL122)))</formula>
    </cfRule>
    <cfRule type="containsText" dxfId="349" priority="2042" operator="containsText" text="fnd">
      <formula>NOT(ISERROR(SEARCH("fnd",AL122)))</formula>
    </cfRule>
  </conditionalFormatting>
  <conditionalFormatting sqref="AL133">
    <cfRule type="containsText" dxfId="348" priority="1343" operator="containsText" text="Str">
      <formula>NOT(ISERROR(SEARCH("Str",AL133)))</formula>
    </cfRule>
    <cfRule type="containsText" dxfId="347" priority="1344" operator="containsText" text="Ere">
      <formula>NOT(ISERROR(SEARCH("Ere",AL133)))</formula>
    </cfRule>
    <cfRule type="containsText" dxfId="346" priority="1345" operator="containsText" text="Ear">
      <formula>NOT(ISERROR(SEARCH("Ear",AL133)))</formula>
    </cfRule>
    <cfRule type="containsText" dxfId="345" priority="1346" operator="containsText" text="fnd">
      <formula>NOT(ISERROR(SEARCH("fnd",AL133)))</formula>
    </cfRule>
  </conditionalFormatting>
  <conditionalFormatting sqref="AL141">
    <cfRule type="containsText" dxfId="344" priority="1239" operator="containsText" text="Str">
      <formula>NOT(ISERROR(SEARCH("Str",AL141)))</formula>
    </cfRule>
    <cfRule type="containsText" dxfId="343" priority="1240" operator="containsText" text="Ere">
      <formula>NOT(ISERROR(SEARCH("Ere",AL141)))</formula>
    </cfRule>
    <cfRule type="containsText" dxfId="342" priority="1241" operator="containsText" text="Ear">
      <formula>NOT(ISERROR(SEARCH("Ear",AL141)))</formula>
    </cfRule>
    <cfRule type="containsText" dxfId="341" priority="1242" operator="containsText" text="fnd">
      <formula>NOT(ISERROR(SEARCH("fnd",AL141)))</formula>
    </cfRule>
  </conditionalFormatting>
  <conditionalFormatting sqref="AL149">
    <cfRule type="containsText" dxfId="340" priority="1187" operator="containsText" text="Str">
      <formula>NOT(ISERROR(SEARCH("Str",AL149)))</formula>
    </cfRule>
    <cfRule type="containsText" dxfId="339" priority="1188" operator="containsText" text="Ere">
      <formula>NOT(ISERROR(SEARCH("Ere",AL149)))</formula>
    </cfRule>
    <cfRule type="containsText" dxfId="338" priority="1189" operator="containsText" text="Ear">
      <formula>NOT(ISERROR(SEARCH("Ear",AL149)))</formula>
    </cfRule>
    <cfRule type="containsText" dxfId="337" priority="1190" operator="containsText" text="fnd">
      <formula>NOT(ISERROR(SEARCH("fnd",AL149)))</formula>
    </cfRule>
  </conditionalFormatting>
  <conditionalFormatting sqref="AL157">
    <cfRule type="containsText" dxfId="336" priority="1107" operator="containsText" text="Str">
      <formula>NOT(ISERROR(SEARCH("Str",AL157)))</formula>
    </cfRule>
    <cfRule type="containsText" dxfId="335" priority="1108" operator="containsText" text="Ere">
      <formula>NOT(ISERROR(SEARCH("Ere",AL157)))</formula>
    </cfRule>
    <cfRule type="containsText" dxfId="334" priority="1109" operator="containsText" text="Ear">
      <formula>NOT(ISERROR(SEARCH("Ear",AL157)))</formula>
    </cfRule>
    <cfRule type="containsText" dxfId="333" priority="1110" operator="containsText" text="fnd">
      <formula>NOT(ISERROR(SEARCH("fnd",AL157)))</formula>
    </cfRule>
  </conditionalFormatting>
  <conditionalFormatting sqref="AL165">
    <cfRule type="containsText" dxfId="332" priority="1051" operator="containsText" text="Str">
      <formula>NOT(ISERROR(SEARCH("Str",AL165)))</formula>
    </cfRule>
    <cfRule type="containsText" dxfId="331" priority="1052" operator="containsText" text="Ere">
      <formula>NOT(ISERROR(SEARCH("Ere",AL165)))</formula>
    </cfRule>
    <cfRule type="containsText" dxfId="330" priority="1053" operator="containsText" text="Ear">
      <formula>NOT(ISERROR(SEARCH("Ear",AL165)))</formula>
    </cfRule>
    <cfRule type="containsText" dxfId="329" priority="1054" operator="containsText" text="fnd">
      <formula>NOT(ISERROR(SEARCH("fnd",AL165)))</formula>
    </cfRule>
  </conditionalFormatting>
  <conditionalFormatting sqref="AL173">
    <cfRule type="containsText" dxfId="328" priority="1003" operator="containsText" text="Str">
      <formula>NOT(ISERROR(SEARCH("Str",AL173)))</formula>
    </cfRule>
    <cfRule type="containsText" dxfId="327" priority="1004" operator="containsText" text="Ere">
      <formula>NOT(ISERROR(SEARCH("Ere",AL173)))</formula>
    </cfRule>
    <cfRule type="containsText" dxfId="326" priority="1005" operator="containsText" text="Ear">
      <formula>NOT(ISERROR(SEARCH("Ear",AL173)))</formula>
    </cfRule>
    <cfRule type="containsText" dxfId="325" priority="1006" operator="containsText" text="fnd">
      <formula>NOT(ISERROR(SEARCH("fnd",AL173)))</formula>
    </cfRule>
  </conditionalFormatting>
  <conditionalFormatting sqref="AL181">
    <cfRule type="containsText" dxfId="324" priority="81" operator="containsText" text="Str">
      <formula>NOT(ISERROR(SEARCH("Str",AL181)))</formula>
    </cfRule>
    <cfRule type="containsText" dxfId="323" priority="82" operator="containsText" text="Ere">
      <formula>NOT(ISERROR(SEARCH("Ere",AL181)))</formula>
    </cfRule>
    <cfRule type="containsText" dxfId="322" priority="83" operator="containsText" text="Ear">
      <formula>NOT(ISERROR(SEARCH("Ear",AL181)))</formula>
    </cfRule>
    <cfRule type="containsText" dxfId="321" priority="84" operator="containsText" text="fnd">
      <formula>NOT(ISERROR(SEARCH("fnd",AL181)))</formula>
    </cfRule>
  </conditionalFormatting>
  <conditionalFormatting sqref="AL30:AM30">
    <cfRule type="containsText" dxfId="320" priority="935" operator="containsText" text="Str">
      <formula>NOT(ISERROR(SEARCH("Str",AL30)))</formula>
    </cfRule>
    <cfRule type="containsText" dxfId="319" priority="936" operator="containsText" text="Ere">
      <formula>NOT(ISERROR(SEARCH("Ere",AL30)))</formula>
    </cfRule>
    <cfRule type="containsText" dxfId="318" priority="937" operator="containsText" text="Ear">
      <formula>NOT(ISERROR(SEARCH("Ear",AL30)))</formula>
    </cfRule>
    <cfRule type="containsText" dxfId="317" priority="938" operator="containsText" text="fnd">
      <formula>NOT(ISERROR(SEARCH("fnd",AL30)))</formula>
    </cfRule>
  </conditionalFormatting>
  <conditionalFormatting sqref="AL38:AM38">
    <cfRule type="containsText" dxfId="316" priority="675" operator="containsText" text="Str">
      <formula>NOT(ISERROR(SEARCH("Str",AL38)))</formula>
    </cfRule>
    <cfRule type="containsText" dxfId="315" priority="676" operator="containsText" text="Ere">
      <formula>NOT(ISERROR(SEARCH("Ere",AL38)))</formula>
    </cfRule>
    <cfRule type="containsText" dxfId="314" priority="677" operator="containsText" text="Ear">
      <formula>NOT(ISERROR(SEARCH("Ear",AL38)))</formula>
    </cfRule>
    <cfRule type="containsText" dxfId="313" priority="678" operator="containsText" text="fnd">
      <formula>NOT(ISERROR(SEARCH("fnd",AL38)))</formula>
    </cfRule>
  </conditionalFormatting>
  <conditionalFormatting sqref="AL53:AM54">
    <cfRule type="containsText" dxfId="312" priority="871" operator="containsText" text="Str">
      <formula>NOT(ISERROR(SEARCH("Str",AL53)))</formula>
    </cfRule>
    <cfRule type="containsText" dxfId="311" priority="872" operator="containsText" text="Ere">
      <formula>NOT(ISERROR(SEARCH("Ere",AL53)))</formula>
    </cfRule>
    <cfRule type="containsText" dxfId="310" priority="873" operator="containsText" text="Ear">
      <formula>NOT(ISERROR(SEARCH("Ear",AL53)))</formula>
    </cfRule>
    <cfRule type="containsText" dxfId="309" priority="874" operator="containsText" text="fnd">
      <formula>NOT(ISERROR(SEARCH("fnd",AL53)))</formula>
    </cfRule>
  </conditionalFormatting>
  <conditionalFormatting sqref="AL70:AM70">
    <cfRule type="containsText" dxfId="308" priority="2207" operator="containsText" text="Str">
      <formula>NOT(ISERROR(SEARCH("Str",AL70)))</formula>
    </cfRule>
    <cfRule type="containsText" dxfId="307" priority="2208" operator="containsText" text="Ere">
      <formula>NOT(ISERROR(SEARCH("Ere",AL70)))</formula>
    </cfRule>
    <cfRule type="containsText" dxfId="306" priority="2209" operator="containsText" text="Ear">
      <formula>NOT(ISERROR(SEARCH("Ear",AL70)))</formula>
    </cfRule>
    <cfRule type="containsText" dxfId="305" priority="2210" operator="containsText" text="fnd">
      <formula>NOT(ISERROR(SEARCH("fnd",AL70)))</formula>
    </cfRule>
  </conditionalFormatting>
  <conditionalFormatting sqref="AL78:AM78">
    <cfRule type="containsText" dxfId="304" priority="823" operator="containsText" text="Str">
      <formula>NOT(ISERROR(SEARCH("Str",AL78)))</formula>
    </cfRule>
    <cfRule type="containsText" dxfId="303" priority="824" operator="containsText" text="Ere">
      <formula>NOT(ISERROR(SEARCH("Ere",AL78)))</formula>
    </cfRule>
    <cfRule type="containsText" dxfId="302" priority="825" operator="containsText" text="Ear">
      <formula>NOT(ISERROR(SEARCH("Ear",AL78)))</formula>
    </cfRule>
    <cfRule type="containsText" dxfId="301" priority="826" operator="containsText" text="fnd">
      <formula>NOT(ISERROR(SEARCH("fnd",AL78)))</formula>
    </cfRule>
  </conditionalFormatting>
  <conditionalFormatting sqref="AL102:AM102">
    <cfRule type="containsText" dxfId="300" priority="1879" operator="containsText" text="Str">
      <formula>NOT(ISERROR(SEARCH("Str",AL102)))</formula>
    </cfRule>
    <cfRule type="containsText" dxfId="299" priority="1880" operator="containsText" text="Ere">
      <formula>NOT(ISERROR(SEARCH("Ere",AL102)))</formula>
    </cfRule>
    <cfRule type="containsText" dxfId="298" priority="1881" operator="containsText" text="Ear">
      <formula>NOT(ISERROR(SEARCH("Ear",AL102)))</formula>
    </cfRule>
    <cfRule type="containsText" dxfId="297" priority="1882" operator="containsText" text="fnd">
      <formula>NOT(ISERROR(SEARCH("fnd",AL102)))</formula>
    </cfRule>
  </conditionalFormatting>
  <conditionalFormatting sqref="AL118:AM118">
    <cfRule type="containsText" dxfId="296" priority="545" operator="containsText" text="Str">
      <formula>NOT(ISERROR(SEARCH("Str",AL118)))</formula>
    </cfRule>
    <cfRule type="containsText" dxfId="295" priority="546" operator="containsText" text="Ere">
      <formula>NOT(ISERROR(SEARCH("Ere",AL118)))</formula>
    </cfRule>
    <cfRule type="containsText" dxfId="294" priority="547" operator="containsText" text="Ear">
      <formula>NOT(ISERROR(SEARCH("Ear",AL118)))</formula>
    </cfRule>
    <cfRule type="containsText" dxfId="293" priority="548" operator="containsText" text="fnd">
      <formula>NOT(ISERROR(SEARCH("fnd",AL118)))</formula>
    </cfRule>
  </conditionalFormatting>
  <conditionalFormatting sqref="AL142:AM142">
    <cfRule type="containsText" dxfId="292" priority="1243" operator="containsText" text="Str">
      <formula>NOT(ISERROR(SEARCH("Str",AL142)))</formula>
    </cfRule>
    <cfRule type="containsText" dxfId="291" priority="1244" operator="containsText" text="Ere">
      <formula>NOT(ISERROR(SEARCH("Ere",AL142)))</formula>
    </cfRule>
    <cfRule type="containsText" dxfId="290" priority="1245" operator="containsText" text="Ear">
      <formula>NOT(ISERROR(SEARCH("Ear",AL142)))</formula>
    </cfRule>
    <cfRule type="containsText" dxfId="289" priority="1246" operator="containsText" text="fnd">
      <formula>NOT(ISERROR(SEARCH("fnd",AL142)))</formula>
    </cfRule>
  </conditionalFormatting>
  <conditionalFormatting sqref="AL158:AM158">
    <cfRule type="containsText" dxfId="288" priority="1111" operator="containsText" text="Str">
      <formula>NOT(ISERROR(SEARCH("Str",AL158)))</formula>
    </cfRule>
    <cfRule type="containsText" dxfId="287" priority="1112" operator="containsText" text="Ere">
      <formula>NOT(ISERROR(SEARCH("Ere",AL158)))</formula>
    </cfRule>
    <cfRule type="containsText" dxfId="286" priority="1113" operator="containsText" text="Ear">
      <formula>NOT(ISERROR(SEARCH("Ear",AL158)))</formula>
    </cfRule>
    <cfRule type="containsText" dxfId="285" priority="1114" operator="containsText" text="fnd">
      <formula>NOT(ISERROR(SEARCH("fnd",AL158)))</formula>
    </cfRule>
  </conditionalFormatting>
  <conditionalFormatting sqref="AL166:AM166">
    <cfRule type="containsText" dxfId="284" priority="1055" operator="containsText" text="Str">
      <formula>NOT(ISERROR(SEARCH("Str",AL166)))</formula>
    </cfRule>
    <cfRule type="containsText" dxfId="283" priority="1056" operator="containsText" text="Ere">
      <formula>NOT(ISERROR(SEARCH("Ere",AL166)))</formula>
    </cfRule>
    <cfRule type="containsText" dxfId="282" priority="1057" operator="containsText" text="Ear">
      <formula>NOT(ISERROR(SEARCH("Ear",AL166)))</formula>
    </cfRule>
    <cfRule type="containsText" dxfId="281" priority="1058" operator="containsText" text="fnd">
      <formula>NOT(ISERROR(SEARCH("fnd",AL166)))</formula>
    </cfRule>
  </conditionalFormatting>
  <conditionalFormatting sqref="AL174:AM174">
    <cfRule type="containsText" dxfId="280" priority="1007" operator="containsText" text="Str">
      <formula>NOT(ISERROR(SEARCH("Str",AL174)))</formula>
    </cfRule>
    <cfRule type="containsText" dxfId="279" priority="1008" operator="containsText" text="Ere">
      <formula>NOT(ISERROR(SEARCH("Ere",AL174)))</formula>
    </cfRule>
    <cfRule type="containsText" dxfId="278" priority="1009" operator="containsText" text="Ear">
      <formula>NOT(ISERROR(SEARCH("Ear",AL174)))</formula>
    </cfRule>
    <cfRule type="containsText" dxfId="277" priority="1010" operator="containsText" text="fnd">
      <formula>NOT(ISERROR(SEARCH("fnd",AL174)))</formula>
    </cfRule>
  </conditionalFormatting>
  <conditionalFormatting sqref="AL182:AM182">
    <cfRule type="containsText" dxfId="276" priority="85" operator="containsText" text="Str">
      <formula>NOT(ISERROR(SEARCH("Str",AL182)))</formula>
    </cfRule>
    <cfRule type="containsText" dxfId="275" priority="86" operator="containsText" text="Ere">
      <formula>NOT(ISERROR(SEARCH("Ere",AL182)))</formula>
    </cfRule>
    <cfRule type="containsText" dxfId="274" priority="87" operator="containsText" text="Ear">
      <formula>NOT(ISERROR(SEARCH("Ear",AL182)))</formula>
    </cfRule>
    <cfRule type="containsText" dxfId="273" priority="88" operator="containsText" text="fnd">
      <formula>NOT(ISERROR(SEARCH("fnd",AL182)))</formula>
    </cfRule>
  </conditionalFormatting>
  <conditionalFormatting sqref="AM6">
    <cfRule type="containsText" dxfId="272" priority="177" operator="containsText" text="Str">
      <formula>NOT(ISERROR(SEARCH("Str",AM6)))</formula>
    </cfRule>
    <cfRule type="containsText" dxfId="271" priority="178" operator="containsText" text="Ere">
      <formula>NOT(ISERROR(SEARCH("Ere",AM6)))</formula>
    </cfRule>
    <cfRule type="containsText" dxfId="270" priority="179" operator="containsText" text="Ear">
      <formula>NOT(ISERROR(SEARCH("Ear",AM6)))</formula>
    </cfRule>
    <cfRule type="containsText" dxfId="269" priority="180" operator="containsText" text="fnd">
      <formula>NOT(ISERROR(SEARCH("fnd",AM6)))</formula>
    </cfRule>
  </conditionalFormatting>
  <conditionalFormatting sqref="AM14">
    <cfRule type="containsText" dxfId="268" priority="1651" operator="containsText" text="Str">
      <formula>NOT(ISERROR(SEARCH("Str",AM14)))</formula>
    </cfRule>
    <cfRule type="containsText" dxfId="267" priority="1652" operator="containsText" text="Ere">
      <formula>NOT(ISERROR(SEARCH("Ere",AM14)))</formula>
    </cfRule>
    <cfRule type="containsText" dxfId="266" priority="1653" operator="containsText" text="Ear">
      <formula>NOT(ISERROR(SEARCH("Ear",AM14)))</formula>
    </cfRule>
    <cfRule type="containsText" dxfId="265" priority="1654" operator="containsText" text="fnd">
      <formula>NOT(ISERROR(SEARCH("fnd",AM14)))</formula>
    </cfRule>
  </conditionalFormatting>
  <conditionalFormatting sqref="AO5:AO6">
    <cfRule type="containsText" dxfId="264" priority="169" operator="containsText" text="Str">
      <formula>NOT(ISERROR(SEARCH("Str",AO5)))</formula>
    </cfRule>
    <cfRule type="containsText" dxfId="263" priority="170" operator="containsText" text="Ere">
      <formula>NOT(ISERROR(SEARCH("Ere",AO5)))</formula>
    </cfRule>
    <cfRule type="containsText" dxfId="262" priority="171" operator="containsText" text="Ear">
      <formula>NOT(ISERROR(SEARCH("Ear",AO5)))</formula>
    </cfRule>
    <cfRule type="containsText" dxfId="261" priority="172" operator="containsText" text="fnd">
      <formula>NOT(ISERROR(SEARCH("fnd",AO5)))</formula>
    </cfRule>
  </conditionalFormatting>
  <conditionalFormatting sqref="AO13:AO14">
    <cfRule type="containsText" dxfId="260" priority="1783" operator="containsText" text="Str">
      <formula>NOT(ISERROR(SEARCH("Str",AO13)))</formula>
    </cfRule>
    <cfRule type="containsText" dxfId="259" priority="1784" operator="containsText" text="Ere">
      <formula>NOT(ISERROR(SEARCH("Ere",AO13)))</formula>
    </cfRule>
    <cfRule type="containsText" dxfId="258" priority="1785" operator="containsText" text="Ear">
      <formula>NOT(ISERROR(SEARCH("Ear",AO13)))</formula>
    </cfRule>
    <cfRule type="containsText" dxfId="257" priority="1786" operator="containsText" text="fnd">
      <formula>NOT(ISERROR(SEARCH("fnd",AO13)))</formula>
    </cfRule>
  </conditionalFormatting>
  <conditionalFormatting sqref="AO21:AO22">
    <cfRule type="containsText" dxfId="256" priority="951" operator="containsText" text="Str">
      <formula>NOT(ISERROR(SEARCH("Str",AO21)))</formula>
    </cfRule>
    <cfRule type="containsText" dxfId="255" priority="952" operator="containsText" text="Ere">
      <formula>NOT(ISERROR(SEARCH("Ere",AO21)))</formula>
    </cfRule>
    <cfRule type="containsText" dxfId="254" priority="953" operator="containsText" text="Ear">
      <formula>NOT(ISERROR(SEARCH("Ear",AO21)))</formula>
    </cfRule>
    <cfRule type="containsText" dxfId="253" priority="954" operator="containsText" text="fnd">
      <formula>NOT(ISERROR(SEARCH("fnd",AO21)))</formula>
    </cfRule>
  </conditionalFormatting>
  <conditionalFormatting sqref="AO29">
    <cfRule type="containsText" dxfId="252" priority="923" operator="containsText" text="Str">
      <formula>NOT(ISERROR(SEARCH("Str",AO29)))</formula>
    </cfRule>
    <cfRule type="containsText" dxfId="251" priority="924" operator="containsText" text="Ere">
      <formula>NOT(ISERROR(SEARCH("Ere",AO29)))</formula>
    </cfRule>
    <cfRule type="containsText" dxfId="250" priority="925" operator="containsText" text="Ear">
      <formula>NOT(ISERROR(SEARCH("Ear",AO29)))</formula>
    </cfRule>
    <cfRule type="containsText" dxfId="249" priority="926" operator="containsText" text="fnd">
      <formula>NOT(ISERROR(SEARCH("fnd",AO29)))</formula>
    </cfRule>
  </conditionalFormatting>
  <conditionalFormatting sqref="AO37">
    <cfRule type="containsText" dxfId="248" priority="731" operator="containsText" text="Str">
      <formula>NOT(ISERROR(SEARCH("Str",AO37)))</formula>
    </cfRule>
    <cfRule type="containsText" dxfId="247" priority="732" operator="containsText" text="Ere">
      <formula>NOT(ISERROR(SEARCH("Ere",AO37)))</formula>
    </cfRule>
    <cfRule type="containsText" dxfId="246" priority="733" operator="containsText" text="Ear">
      <formula>NOT(ISERROR(SEARCH("Ear",AO37)))</formula>
    </cfRule>
    <cfRule type="containsText" dxfId="245" priority="734" operator="containsText" text="fnd">
      <formula>NOT(ISERROR(SEARCH("fnd",AO37)))</formula>
    </cfRule>
  </conditionalFormatting>
  <conditionalFormatting sqref="AO61:AO62">
    <cfRule type="containsText" dxfId="244" priority="2003" operator="containsText" text="Str">
      <formula>NOT(ISERROR(SEARCH("Str",AO61)))</formula>
    </cfRule>
    <cfRule type="containsText" dxfId="243" priority="2004" operator="containsText" text="Ere">
      <formula>NOT(ISERROR(SEARCH("Ere",AO61)))</formula>
    </cfRule>
    <cfRule type="containsText" dxfId="242" priority="2005" operator="containsText" text="Ear">
      <formula>NOT(ISERROR(SEARCH("Ear",AO61)))</formula>
    </cfRule>
    <cfRule type="containsText" dxfId="241" priority="2006" operator="containsText" text="fnd">
      <formula>NOT(ISERROR(SEARCH("fnd",AO61)))</formula>
    </cfRule>
  </conditionalFormatting>
  <conditionalFormatting sqref="AO69">
    <cfRule type="containsText" dxfId="240" priority="843" operator="containsText" text="Str">
      <formula>NOT(ISERROR(SEARCH("Str",AO69)))</formula>
    </cfRule>
    <cfRule type="containsText" dxfId="239" priority="844" operator="containsText" text="Ere">
      <formula>NOT(ISERROR(SEARCH("Ere",AO69)))</formula>
    </cfRule>
    <cfRule type="containsText" dxfId="238" priority="845" operator="containsText" text="Ear">
      <formula>NOT(ISERROR(SEARCH("Ear",AO69)))</formula>
    </cfRule>
    <cfRule type="containsText" dxfId="237" priority="846" operator="containsText" text="fnd">
      <formula>NOT(ISERROR(SEARCH("fnd",AO69)))</formula>
    </cfRule>
  </conditionalFormatting>
  <conditionalFormatting sqref="AO77">
    <cfRule type="containsText" dxfId="236" priority="695" operator="containsText" text="Str">
      <formula>NOT(ISERROR(SEARCH("Str",AO77)))</formula>
    </cfRule>
    <cfRule type="containsText" dxfId="235" priority="696" operator="containsText" text="Ere">
      <formula>NOT(ISERROR(SEARCH("Ere",AO77)))</formula>
    </cfRule>
    <cfRule type="containsText" dxfId="234" priority="697" operator="containsText" text="Ear">
      <formula>NOT(ISERROR(SEARCH("Ear",AO77)))</formula>
    </cfRule>
    <cfRule type="containsText" dxfId="233" priority="698" operator="containsText" text="fnd">
      <formula>NOT(ISERROR(SEARCH("fnd",AO77)))</formula>
    </cfRule>
  </conditionalFormatting>
  <conditionalFormatting sqref="AO85">
    <cfRule type="containsText" dxfId="232" priority="811" operator="containsText" text="Str">
      <formula>NOT(ISERROR(SEARCH("Str",AO85)))</formula>
    </cfRule>
    <cfRule type="containsText" dxfId="231" priority="812" operator="containsText" text="Ere">
      <formula>NOT(ISERROR(SEARCH("Ere",AO85)))</formula>
    </cfRule>
    <cfRule type="containsText" dxfId="230" priority="813" operator="containsText" text="Ear">
      <formula>NOT(ISERROR(SEARCH("Ear",AO85)))</formula>
    </cfRule>
    <cfRule type="containsText" dxfId="229" priority="814" operator="containsText" text="fnd">
      <formula>NOT(ISERROR(SEARCH("fnd",AO85)))</formula>
    </cfRule>
  </conditionalFormatting>
  <conditionalFormatting sqref="AO93:AO94">
    <cfRule type="containsText" dxfId="228" priority="1883" operator="containsText" text="Str">
      <formula>NOT(ISERROR(SEARCH("Str",AO93)))</formula>
    </cfRule>
    <cfRule type="containsText" dxfId="227" priority="1884" operator="containsText" text="Ere">
      <formula>NOT(ISERROR(SEARCH("Ere",AO93)))</formula>
    </cfRule>
    <cfRule type="containsText" dxfId="226" priority="1885" operator="containsText" text="Ear">
      <formula>NOT(ISERROR(SEARCH("Ear",AO93)))</formula>
    </cfRule>
    <cfRule type="containsText" dxfId="225" priority="1886" operator="containsText" text="fnd">
      <formula>NOT(ISERROR(SEARCH("fnd",AO93)))</formula>
    </cfRule>
  </conditionalFormatting>
  <conditionalFormatting sqref="AO101:AO102">
    <cfRule type="containsText" dxfId="224" priority="49" operator="containsText" text="Str">
      <formula>NOT(ISERROR(SEARCH("Str",AO101)))</formula>
    </cfRule>
    <cfRule type="containsText" dxfId="223" priority="50" operator="containsText" text="Ere">
      <formula>NOT(ISERROR(SEARCH("Ere",AO101)))</formula>
    </cfRule>
    <cfRule type="containsText" dxfId="222" priority="51" operator="containsText" text="Ear">
      <formula>NOT(ISERROR(SEARCH("Ear",AO101)))</formula>
    </cfRule>
    <cfRule type="containsText" dxfId="221" priority="52" operator="containsText" text="fnd">
      <formula>NOT(ISERROR(SEARCH("fnd",AO101)))</formula>
    </cfRule>
  </conditionalFormatting>
  <conditionalFormatting sqref="AO109">
    <cfRule type="containsText" dxfId="220" priority="751" operator="containsText" text="Str">
      <formula>NOT(ISERROR(SEARCH("Str",AO109)))</formula>
    </cfRule>
    <cfRule type="containsText" dxfId="219" priority="752" operator="containsText" text="Ere">
      <formula>NOT(ISERROR(SEARCH("Ere",AO109)))</formula>
    </cfRule>
    <cfRule type="containsText" dxfId="218" priority="753" operator="containsText" text="Ear">
      <formula>NOT(ISERROR(SEARCH("Ear",AO109)))</formula>
    </cfRule>
    <cfRule type="containsText" dxfId="217" priority="754" operator="containsText" text="fnd">
      <formula>NOT(ISERROR(SEARCH("fnd",AO109)))</formula>
    </cfRule>
  </conditionalFormatting>
  <conditionalFormatting sqref="AO117">
    <cfRule type="containsText" dxfId="216" priority="1407" operator="containsText" text="Str">
      <formula>NOT(ISERROR(SEARCH("Str",AO117)))</formula>
    </cfRule>
    <cfRule type="containsText" dxfId="215" priority="1408" operator="containsText" text="Ere">
      <formula>NOT(ISERROR(SEARCH("Ere",AO117)))</formula>
    </cfRule>
    <cfRule type="containsText" dxfId="214" priority="1409" operator="containsText" text="Ear">
      <formula>NOT(ISERROR(SEARCH("Ear",AO117)))</formula>
    </cfRule>
    <cfRule type="containsText" dxfId="213" priority="1410" operator="containsText" text="fnd">
      <formula>NOT(ISERROR(SEARCH("fnd",AO117)))</formula>
    </cfRule>
  </conditionalFormatting>
  <conditionalFormatting sqref="AO122 AO130 AO138 AO154 AO162 AO170 AO178">
    <cfRule type="containsText" dxfId="212" priority="2035" operator="containsText" text="Str">
      <formula>NOT(ISERROR(SEARCH("Str",AO122)))</formula>
    </cfRule>
    <cfRule type="containsText" dxfId="211" priority="2036" operator="containsText" text="Ere">
      <formula>NOT(ISERROR(SEARCH("Ere",AO122)))</formula>
    </cfRule>
    <cfRule type="containsText" dxfId="210" priority="2037" operator="containsText" text="Ear">
      <formula>NOT(ISERROR(SEARCH("Ear",AO122)))</formula>
    </cfRule>
    <cfRule type="containsText" dxfId="209" priority="2038" operator="containsText" text="fnd">
      <formula>NOT(ISERROR(SEARCH("fnd",AO122)))</formula>
    </cfRule>
  </conditionalFormatting>
  <conditionalFormatting sqref="AO125">
    <cfRule type="containsText" dxfId="208" priority="1379" operator="containsText" text="Str">
      <formula>NOT(ISERROR(SEARCH("Str",AO125)))</formula>
    </cfRule>
    <cfRule type="containsText" dxfId="207" priority="1380" operator="containsText" text="Ere">
      <formula>NOT(ISERROR(SEARCH("Ere",AO125)))</formula>
    </cfRule>
    <cfRule type="containsText" dxfId="206" priority="1381" operator="containsText" text="Ear">
      <formula>NOT(ISERROR(SEARCH("Ear",AO125)))</formula>
    </cfRule>
    <cfRule type="containsText" dxfId="205" priority="1382" operator="containsText" text="fnd">
      <formula>NOT(ISERROR(SEARCH("fnd",AO125)))</formula>
    </cfRule>
  </conditionalFormatting>
  <conditionalFormatting sqref="AO133">
    <cfRule type="containsText" dxfId="204" priority="1327" operator="containsText" text="Str">
      <formula>NOT(ISERROR(SEARCH("Str",AO133)))</formula>
    </cfRule>
    <cfRule type="containsText" dxfId="203" priority="1328" operator="containsText" text="Ere">
      <formula>NOT(ISERROR(SEARCH("Ere",AO133)))</formula>
    </cfRule>
    <cfRule type="containsText" dxfId="202" priority="1329" operator="containsText" text="Ear">
      <formula>NOT(ISERROR(SEARCH("Ear",AO133)))</formula>
    </cfRule>
    <cfRule type="containsText" dxfId="201" priority="1330" operator="containsText" text="fnd">
      <formula>NOT(ISERROR(SEARCH("fnd",AO133)))</formula>
    </cfRule>
  </conditionalFormatting>
  <conditionalFormatting sqref="AO141">
    <cfRule type="containsText" dxfId="200" priority="261" operator="containsText" text="Str">
      <formula>NOT(ISERROR(SEARCH("Str",AO141)))</formula>
    </cfRule>
    <cfRule type="containsText" dxfId="199" priority="262" operator="containsText" text="Ere">
      <formula>NOT(ISERROR(SEARCH("Ere",AO141)))</formula>
    </cfRule>
    <cfRule type="containsText" dxfId="198" priority="263" operator="containsText" text="Ear">
      <formula>NOT(ISERROR(SEARCH("Ear",AO141)))</formula>
    </cfRule>
    <cfRule type="containsText" dxfId="197" priority="264" operator="containsText" text="fnd">
      <formula>NOT(ISERROR(SEARCH("fnd",AO141)))</formula>
    </cfRule>
  </conditionalFormatting>
  <conditionalFormatting sqref="AO149">
    <cfRule type="containsText" dxfId="196" priority="1183" operator="containsText" text="Str">
      <formula>NOT(ISERROR(SEARCH("Str",AO149)))</formula>
    </cfRule>
    <cfRule type="containsText" dxfId="195" priority="1184" operator="containsText" text="Ere">
      <formula>NOT(ISERROR(SEARCH("Ere",AO149)))</formula>
    </cfRule>
    <cfRule type="containsText" dxfId="194" priority="1185" operator="containsText" text="Ear">
      <formula>NOT(ISERROR(SEARCH("Ear",AO149)))</formula>
    </cfRule>
    <cfRule type="containsText" dxfId="193" priority="1186" operator="containsText" text="fnd">
      <formula>NOT(ISERROR(SEARCH("fnd",AO149)))</formula>
    </cfRule>
  </conditionalFormatting>
  <conditionalFormatting sqref="AO157">
    <cfRule type="containsText" dxfId="192" priority="1091" operator="containsText" text="Str">
      <formula>NOT(ISERROR(SEARCH("Str",AO157)))</formula>
    </cfRule>
    <cfRule type="containsText" dxfId="191" priority="1092" operator="containsText" text="Ere">
      <formula>NOT(ISERROR(SEARCH("Ere",AO157)))</formula>
    </cfRule>
    <cfRule type="containsText" dxfId="190" priority="1093" operator="containsText" text="Ear">
      <formula>NOT(ISERROR(SEARCH("Ear",AO157)))</formula>
    </cfRule>
    <cfRule type="containsText" dxfId="189" priority="1094" operator="containsText" text="fnd">
      <formula>NOT(ISERROR(SEARCH("fnd",AO157)))</formula>
    </cfRule>
  </conditionalFormatting>
  <conditionalFormatting sqref="AO165">
    <cfRule type="containsText" dxfId="188" priority="1047" operator="containsText" text="Str">
      <formula>NOT(ISERROR(SEARCH("Str",AO165)))</formula>
    </cfRule>
    <cfRule type="containsText" dxfId="187" priority="1048" operator="containsText" text="Ere">
      <formula>NOT(ISERROR(SEARCH("Ere",AO165)))</formula>
    </cfRule>
    <cfRule type="containsText" dxfId="186" priority="1049" operator="containsText" text="Ear">
      <formula>NOT(ISERROR(SEARCH("Ear",AO165)))</formula>
    </cfRule>
    <cfRule type="containsText" dxfId="185" priority="1050" operator="containsText" text="fnd">
      <formula>NOT(ISERROR(SEARCH("fnd",AO165)))</formula>
    </cfRule>
  </conditionalFormatting>
  <conditionalFormatting sqref="AO173">
    <cfRule type="containsText" dxfId="184" priority="991" operator="containsText" text="Str">
      <formula>NOT(ISERROR(SEARCH("Str",AO173)))</formula>
    </cfRule>
    <cfRule type="containsText" dxfId="183" priority="992" operator="containsText" text="Ere">
      <formula>NOT(ISERROR(SEARCH("Ere",AO173)))</formula>
    </cfRule>
    <cfRule type="containsText" dxfId="182" priority="993" operator="containsText" text="Ear">
      <formula>NOT(ISERROR(SEARCH("Ear",AO173)))</formula>
    </cfRule>
    <cfRule type="containsText" dxfId="181" priority="994" operator="containsText" text="fnd">
      <formula>NOT(ISERROR(SEARCH("fnd",AO173)))</formula>
    </cfRule>
  </conditionalFormatting>
  <conditionalFormatting sqref="AO181">
    <cfRule type="containsText" dxfId="180" priority="975" operator="containsText" text="Str">
      <formula>NOT(ISERROR(SEARCH("Str",AO181)))</formula>
    </cfRule>
    <cfRule type="containsText" dxfId="179" priority="976" operator="containsText" text="Ere">
      <formula>NOT(ISERROR(SEARCH("Ere",AO181)))</formula>
    </cfRule>
    <cfRule type="containsText" dxfId="178" priority="977" operator="containsText" text="Ear">
      <formula>NOT(ISERROR(SEARCH("Ear",AO181)))</formula>
    </cfRule>
    <cfRule type="containsText" dxfId="177" priority="978" operator="containsText" text="fnd">
      <formula>NOT(ISERROR(SEARCH("fnd",AO181)))</formula>
    </cfRule>
  </conditionalFormatting>
  <conditionalFormatting sqref="AO30:AR30">
    <cfRule type="containsText" dxfId="176" priority="927" operator="containsText" text="Str">
      <formula>NOT(ISERROR(SEARCH("Str",AO30)))</formula>
    </cfRule>
    <cfRule type="containsText" dxfId="175" priority="928" operator="containsText" text="Ere">
      <formula>NOT(ISERROR(SEARCH("Ere",AO30)))</formula>
    </cfRule>
    <cfRule type="containsText" dxfId="174" priority="929" operator="containsText" text="Ear">
      <formula>NOT(ISERROR(SEARCH("Ear",AO30)))</formula>
    </cfRule>
    <cfRule type="containsText" dxfId="173" priority="930" operator="containsText" text="fnd">
      <formula>NOT(ISERROR(SEARCH("fnd",AO30)))</formula>
    </cfRule>
  </conditionalFormatting>
  <conditionalFormatting sqref="AO38:AR38">
    <cfRule type="containsText" dxfId="172" priority="735" operator="containsText" text="Str">
      <formula>NOT(ISERROR(SEARCH("Str",AO38)))</formula>
    </cfRule>
    <cfRule type="containsText" dxfId="171" priority="736" operator="containsText" text="Ere">
      <formula>NOT(ISERROR(SEARCH("Ere",AO38)))</formula>
    </cfRule>
    <cfRule type="containsText" dxfId="170" priority="737" operator="containsText" text="Ear">
      <formula>NOT(ISERROR(SEARCH("Ear",AO38)))</formula>
    </cfRule>
    <cfRule type="containsText" dxfId="169" priority="738" operator="containsText" text="fnd">
      <formula>NOT(ISERROR(SEARCH("fnd",AO38)))</formula>
    </cfRule>
  </conditionalFormatting>
  <conditionalFormatting sqref="AO53:AR54">
    <cfRule type="containsText" dxfId="168" priority="867" operator="containsText" text="Str">
      <formula>NOT(ISERROR(SEARCH("Str",AO53)))</formula>
    </cfRule>
    <cfRule type="containsText" dxfId="167" priority="868" operator="containsText" text="Ere">
      <formula>NOT(ISERROR(SEARCH("Ere",AO53)))</formula>
    </cfRule>
    <cfRule type="containsText" dxfId="166" priority="869" operator="containsText" text="Ear">
      <formula>NOT(ISERROR(SEARCH("Ear",AO53)))</formula>
    </cfRule>
    <cfRule type="containsText" dxfId="165" priority="870" operator="containsText" text="fnd">
      <formula>NOT(ISERROR(SEARCH("fnd",AO53)))</formula>
    </cfRule>
  </conditionalFormatting>
  <conditionalFormatting sqref="AO70:AR70">
    <cfRule type="containsText" dxfId="164" priority="847" operator="containsText" text="Str">
      <formula>NOT(ISERROR(SEARCH("Str",AO70)))</formula>
    </cfRule>
    <cfRule type="containsText" dxfId="163" priority="848" operator="containsText" text="Ere">
      <formula>NOT(ISERROR(SEARCH("Ere",AO70)))</formula>
    </cfRule>
    <cfRule type="containsText" dxfId="162" priority="849" operator="containsText" text="Ear">
      <formula>NOT(ISERROR(SEARCH("Ear",AO70)))</formula>
    </cfRule>
    <cfRule type="containsText" dxfId="161" priority="850" operator="containsText" text="fnd">
      <formula>NOT(ISERROR(SEARCH("fnd",AO70)))</formula>
    </cfRule>
  </conditionalFormatting>
  <conditionalFormatting sqref="AO86:AR86">
    <cfRule type="containsText" dxfId="160" priority="815" operator="containsText" text="Str">
      <formula>NOT(ISERROR(SEARCH("Str",AO86)))</formula>
    </cfRule>
    <cfRule type="containsText" dxfId="159" priority="816" operator="containsText" text="Ere">
      <formula>NOT(ISERROR(SEARCH("Ere",AO86)))</formula>
    </cfRule>
    <cfRule type="containsText" dxfId="158" priority="817" operator="containsText" text="Ear">
      <formula>NOT(ISERROR(SEARCH("Ear",AO86)))</formula>
    </cfRule>
    <cfRule type="containsText" dxfId="157" priority="818" operator="containsText" text="fnd">
      <formula>NOT(ISERROR(SEARCH("fnd",AO86)))</formula>
    </cfRule>
  </conditionalFormatting>
  <conditionalFormatting sqref="AO126:AR126">
    <cfRule type="containsText" dxfId="156" priority="1383" operator="containsText" text="Str">
      <formula>NOT(ISERROR(SEARCH("Str",AO126)))</formula>
    </cfRule>
    <cfRule type="containsText" dxfId="155" priority="1384" operator="containsText" text="Ere">
      <formula>NOT(ISERROR(SEARCH("Ere",AO126)))</formula>
    </cfRule>
    <cfRule type="containsText" dxfId="154" priority="1385" operator="containsText" text="Ear">
      <formula>NOT(ISERROR(SEARCH("Ear",AO126)))</formula>
    </cfRule>
    <cfRule type="containsText" dxfId="153" priority="1386" operator="containsText" text="fnd">
      <formula>NOT(ISERROR(SEARCH("fnd",AO126)))</formula>
    </cfRule>
  </conditionalFormatting>
  <conditionalFormatting sqref="AO134:AR134">
    <cfRule type="containsText" dxfId="152" priority="1331" operator="containsText" text="Str">
      <formula>NOT(ISERROR(SEARCH("Str",AO134)))</formula>
    </cfRule>
    <cfRule type="containsText" dxfId="151" priority="1332" operator="containsText" text="Ere">
      <formula>NOT(ISERROR(SEARCH("Ere",AO134)))</formula>
    </cfRule>
    <cfRule type="containsText" dxfId="150" priority="1333" operator="containsText" text="Ear">
      <formula>NOT(ISERROR(SEARCH("Ear",AO134)))</formula>
    </cfRule>
    <cfRule type="containsText" dxfId="149" priority="1334" operator="containsText" text="fnd">
      <formula>NOT(ISERROR(SEARCH("fnd",AO134)))</formula>
    </cfRule>
  </conditionalFormatting>
  <conditionalFormatting sqref="AO142:AR142">
    <cfRule type="containsText" dxfId="148" priority="265" operator="containsText" text="Str">
      <formula>NOT(ISERROR(SEARCH("Str",AO142)))</formula>
    </cfRule>
    <cfRule type="containsText" dxfId="147" priority="266" operator="containsText" text="Ere">
      <formula>NOT(ISERROR(SEARCH("Ere",AO142)))</formula>
    </cfRule>
    <cfRule type="containsText" dxfId="146" priority="267" operator="containsText" text="Ear">
      <formula>NOT(ISERROR(SEARCH("Ear",AO142)))</formula>
    </cfRule>
    <cfRule type="containsText" dxfId="145" priority="268" operator="containsText" text="fnd">
      <formula>NOT(ISERROR(SEARCH("fnd",AO142)))</formula>
    </cfRule>
  </conditionalFormatting>
  <conditionalFormatting sqref="AO158:AR158">
    <cfRule type="containsText" dxfId="144" priority="1095" operator="containsText" text="Str">
      <formula>NOT(ISERROR(SEARCH("Str",AO158)))</formula>
    </cfRule>
    <cfRule type="containsText" dxfId="143" priority="1096" operator="containsText" text="Ere">
      <formula>NOT(ISERROR(SEARCH("Ere",AO158)))</formula>
    </cfRule>
    <cfRule type="containsText" dxfId="142" priority="1097" operator="containsText" text="Ear">
      <formula>NOT(ISERROR(SEARCH("Ear",AO158)))</formula>
    </cfRule>
    <cfRule type="containsText" dxfId="141" priority="1098" operator="containsText" text="fnd">
      <formula>NOT(ISERROR(SEARCH("fnd",AO158)))</formula>
    </cfRule>
  </conditionalFormatting>
  <conditionalFormatting sqref="AO182:AR182">
    <cfRule type="containsText" dxfId="140" priority="979" operator="containsText" text="Str">
      <formula>NOT(ISERROR(SEARCH("Str",AO182)))</formula>
    </cfRule>
    <cfRule type="containsText" dxfId="139" priority="980" operator="containsText" text="Ere">
      <formula>NOT(ISERROR(SEARCH("Ere",AO182)))</formula>
    </cfRule>
    <cfRule type="containsText" dxfId="138" priority="981" operator="containsText" text="Ear">
      <formula>NOT(ISERROR(SEARCH("Ear",AO182)))</formula>
    </cfRule>
    <cfRule type="containsText" dxfId="137" priority="982" operator="containsText" text="fnd">
      <formula>NOT(ISERROR(SEARCH("fnd",AO182)))</formula>
    </cfRule>
  </conditionalFormatting>
  <conditionalFormatting sqref="AP102">
    <cfRule type="containsText" dxfId="136" priority="45" operator="containsText" text="Str">
      <formula>NOT(ISERROR(SEARCH("Str",AP102)))</formula>
    </cfRule>
    <cfRule type="containsText" dxfId="135" priority="46" operator="containsText" text="Ere">
      <formula>NOT(ISERROR(SEARCH("Ere",AP102)))</formula>
    </cfRule>
    <cfRule type="containsText" dxfId="134" priority="47" operator="containsText" text="Ear">
      <formula>NOT(ISERROR(SEARCH("Ear",AP102)))</formula>
    </cfRule>
    <cfRule type="containsText" dxfId="133" priority="48" operator="containsText" text="fnd">
      <formula>NOT(ISERROR(SEARCH("fnd",AP102)))</formula>
    </cfRule>
  </conditionalFormatting>
  <conditionalFormatting sqref="AP14:AR14">
    <cfRule type="containsText" dxfId="132" priority="1779" operator="containsText" text="Str">
      <formula>NOT(ISERROR(SEARCH("Str",AP14)))</formula>
    </cfRule>
    <cfRule type="containsText" dxfId="131" priority="1780" operator="containsText" text="Ere">
      <formula>NOT(ISERROR(SEARCH("Ere",AP14)))</formula>
    </cfRule>
    <cfRule type="containsText" dxfId="130" priority="1781" operator="containsText" text="Ear">
      <formula>NOT(ISERROR(SEARCH("Ear",AP14)))</formula>
    </cfRule>
    <cfRule type="containsText" dxfId="129" priority="1782" operator="containsText" text="fnd">
      <formula>NOT(ISERROR(SEARCH("fnd",AP14)))</formula>
    </cfRule>
  </conditionalFormatting>
  <conditionalFormatting sqref="AP22:AR22">
    <cfRule type="containsText" dxfId="128" priority="947" operator="containsText" text="Str">
      <formula>NOT(ISERROR(SEARCH("Str",AP22)))</formula>
    </cfRule>
    <cfRule type="containsText" dxfId="127" priority="948" operator="containsText" text="Ere">
      <formula>NOT(ISERROR(SEARCH("Ere",AP22)))</formula>
    </cfRule>
    <cfRule type="containsText" dxfId="126" priority="949" operator="containsText" text="Ear">
      <formula>NOT(ISERROR(SEARCH("Ear",AP22)))</formula>
    </cfRule>
    <cfRule type="containsText" dxfId="125" priority="950" operator="containsText" text="fnd">
      <formula>NOT(ISERROR(SEARCH("fnd",AP22)))</formula>
    </cfRule>
  </conditionalFormatting>
  <conditionalFormatting sqref="AP62:AR62">
    <cfRule type="containsText" dxfId="124" priority="2007" operator="containsText" text="Str">
      <formula>NOT(ISERROR(SEARCH("Str",AP62)))</formula>
    </cfRule>
    <cfRule type="containsText" dxfId="123" priority="2008" operator="containsText" text="Ere">
      <formula>NOT(ISERROR(SEARCH("Ere",AP62)))</formula>
    </cfRule>
    <cfRule type="containsText" dxfId="122" priority="2009" operator="containsText" text="Ear">
      <formula>NOT(ISERROR(SEARCH("Ear",AP62)))</formula>
    </cfRule>
    <cfRule type="containsText" dxfId="121" priority="2010" operator="containsText" text="fnd">
      <formula>NOT(ISERROR(SEARCH("fnd",AP62)))</formula>
    </cfRule>
  </conditionalFormatting>
  <conditionalFormatting sqref="AQ6">
    <cfRule type="containsText" dxfId="120" priority="601" operator="containsText" text="Str">
      <formula>NOT(ISERROR(SEARCH("Str",AQ6)))</formula>
    </cfRule>
    <cfRule type="containsText" dxfId="119" priority="602" operator="containsText" text="Ere">
      <formula>NOT(ISERROR(SEARCH("Ere",AQ6)))</formula>
    </cfRule>
  </conditionalFormatting>
  <conditionalFormatting sqref="AR5:AR6">
    <cfRule type="containsText" dxfId="118" priority="971" operator="containsText" text="Str">
      <formula>NOT(ISERROR(SEARCH("Str",AR5)))</formula>
    </cfRule>
    <cfRule type="containsText" dxfId="117" priority="972" operator="containsText" text="Ere">
      <formula>NOT(ISERROR(SEARCH("Ere",AR5)))</formula>
    </cfRule>
    <cfRule type="containsText" dxfId="116" priority="973" operator="containsText" text="Ear">
      <formula>NOT(ISERROR(SEARCH("Ear",AR5)))</formula>
    </cfRule>
    <cfRule type="containsText" dxfId="115" priority="974" operator="containsText" text="fnd">
      <formula>NOT(ISERROR(SEARCH("fnd",AR5)))</formula>
    </cfRule>
  </conditionalFormatting>
  <conditionalFormatting sqref="AV2 BA2">
    <cfRule type="containsText" dxfId="114" priority="25" operator="containsText" text="Str">
      <formula>NOT(ISERROR(SEARCH("Str",AV2)))</formula>
    </cfRule>
    <cfRule type="containsText" dxfId="113" priority="26" operator="containsText" text="Ere">
      <formula>NOT(ISERROR(SEARCH("Ere",AV2)))</formula>
    </cfRule>
    <cfRule type="containsText" dxfId="112" priority="27" operator="containsText" text="Ear">
      <formula>NOT(ISERROR(SEARCH("Ear",AV2)))</formula>
    </cfRule>
    <cfRule type="containsText" dxfId="111" priority="28" operator="containsText" text="fnd">
      <formula>NOT(ISERROR(SEARCH("fnd",AV2)))</formula>
    </cfRule>
  </conditionalFormatting>
  <conditionalFormatting sqref="AV3:BA3">
    <cfRule type="containsText" dxfId="110" priority="73" operator="containsText" text="Str">
      <formula>NOT(ISERROR(SEARCH("Str",AV3)))</formula>
    </cfRule>
    <cfRule type="containsText" dxfId="109" priority="74" operator="containsText" text="Ere">
      <formula>NOT(ISERROR(SEARCH("Ere",AV3)))</formula>
    </cfRule>
    <cfRule type="containsText" dxfId="108" priority="75" operator="containsText" text="Ear">
      <formula>NOT(ISERROR(SEARCH("Ear",AV3)))</formula>
    </cfRule>
    <cfRule type="containsText" dxfId="107" priority="76" operator="containsText" text="fnd">
      <formula>NOT(ISERROR(SEARCH("fnd",AV3)))</formula>
    </cfRule>
  </conditionalFormatting>
  <conditionalFormatting sqref="AW27:AZ27">
    <cfRule type="containsText" dxfId="106" priority="2375" operator="containsText" text="Str">
      <formula>NOT(ISERROR(SEARCH("Str",AW27)))</formula>
    </cfRule>
    <cfRule type="containsText" dxfId="105" priority="2376" operator="containsText" text="Ere">
      <formula>NOT(ISERROR(SEARCH("Ere",AW27)))</formula>
    </cfRule>
    <cfRule type="containsText" dxfId="104" priority="2377" operator="containsText" text="Ear">
      <formula>NOT(ISERROR(SEARCH("Ear",AW27)))</formula>
    </cfRule>
    <cfRule type="containsText" dxfId="103" priority="2378" operator="containsText" text="fnd">
      <formula>NOT(ISERROR(SEARCH("fnd",AW27)))</formula>
    </cfRule>
  </conditionalFormatting>
  <conditionalFormatting sqref="W125">
    <cfRule type="containsText" dxfId="102" priority="17" operator="containsText" text="Str">
      <formula>NOT(ISERROR(SEARCH("Str",W125)))</formula>
    </cfRule>
    <cfRule type="containsText" dxfId="101" priority="18" operator="containsText" text="Ere">
      <formula>NOT(ISERROR(SEARCH("Ere",W125)))</formula>
    </cfRule>
    <cfRule type="containsText" dxfId="100" priority="19" operator="containsText" text="Ear">
      <formula>NOT(ISERROR(SEARCH("Ear",W125)))</formula>
    </cfRule>
    <cfRule type="containsText" dxfId="99" priority="20" operator="containsText" text="fnd">
      <formula>NOT(ISERROR(SEARCH("fnd",W125)))</formula>
    </cfRule>
  </conditionalFormatting>
  <conditionalFormatting sqref="W126:X126">
    <cfRule type="containsText" dxfId="98" priority="21" operator="containsText" text="Str">
      <formula>NOT(ISERROR(SEARCH("Str",W126)))</formula>
    </cfRule>
    <cfRule type="containsText" dxfId="97" priority="22" operator="containsText" text="Ere">
      <formula>NOT(ISERROR(SEARCH("Ere",W126)))</formula>
    </cfRule>
    <cfRule type="containsText" dxfId="96" priority="23" operator="containsText" text="Ear">
      <formula>NOT(ISERROR(SEARCH("Ear",W126)))</formula>
    </cfRule>
    <cfRule type="containsText" dxfId="95" priority="24" operator="containsText" text="fnd">
      <formula>NOT(ISERROR(SEARCH("fnd",W126)))</formula>
    </cfRule>
  </conditionalFormatting>
  <conditionalFormatting sqref="AL125">
    <cfRule type="containsText" dxfId="94" priority="9" operator="containsText" text="Str">
      <formula>NOT(ISERROR(SEARCH("Str",AL125)))</formula>
    </cfRule>
    <cfRule type="containsText" dxfId="93" priority="10" operator="containsText" text="Ere">
      <formula>NOT(ISERROR(SEARCH("Ere",AL125)))</formula>
    </cfRule>
    <cfRule type="containsText" dxfId="92" priority="11" operator="containsText" text="Ear">
      <formula>NOT(ISERROR(SEARCH("Ear",AL125)))</formula>
    </cfRule>
    <cfRule type="containsText" dxfId="91" priority="12" operator="containsText" text="fnd">
      <formula>NOT(ISERROR(SEARCH("fnd",AL125)))</formula>
    </cfRule>
  </conditionalFormatting>
  <conditionalFormatting sqref="AL126:AM126">
    <cfRule type="containsText" dxfId="90" priority="13" operator="containsText" text="Str">
      <formula>NOT(ISERROR(SEARCH("Str",AL126)))</formula>
    </cfRule>
    <cfRule type="containsText" dxfId="89" priority="14" operator="containsText" text="Ere">
      <formula>NOT(ISERROR(SEARCH("Ere",AL126)))</formula>
    </cfRule>
    <cfRule type="containsText" dxfId="88" priority="15" operator="containsText" text="Ear">
      <formula>NOT(ISERROR(SEARCH("Ear",AL126)))</formula>
    </cfRule>
    <cfRule type="containsText" dxfId="87" priority="16" operator="containsText" text="fnd">
      <formula>NOT(ISERROR(SEARCH("fnd",AL126)))</formula>
    </cfRule>
  </conditionalFormatting>
  <conditionalFormatting sqref="AF101">
    <cfRule type="containsText" dxfId="86" priority="1" operator="containsText" text="Str">
      <formula>NOT(ISERROR(SEARCH("Str",AF101)))</formula>
    </cfRule>
    <cfRule type="containsText" dxfId="85" priority="2" operator="containsText" text="Ere">
      <formula>NOT(ISERROR(SEARCH("Ere",AF101)))</formula>
    </cfRule>
    <cfRule type="containsText" dxfId="84" priority="3" operator="containsText" text="Ear">
      <formula>NOT(ISERROR(SEARCH("Ear",AF101)))</formula>
    </cfRule>
    <cfRule type="containsText" dxfId="83" priority="4" operator="containsText" text="fnd">
      <formula>NOT(ISERROR(SEARCH("fnd",AF101)))</formula>
    </cfRule>
  </conditionalFormatting>
  <conditionalFormatting sqref="AF102:AG102">
    <cfRule type="containsText" dxfId="82" priority="5" operator="containsText" text="Str">
      <formula>NOT(ISERROR(SEARCH("Str",AF102)))</formula>
    </cfRule>
    <cfRule type="containsText" dxfId="81" priority="6" operator="containsText" text="Ere">
      <formula>NOT(ISERROR(SEARCH("Ere",AF102)))</formula>
    </cfRule>
    <cfRule type="containsText" dxfId="80" priority="7" operator="containsText" text="Ear">
      <formula>NOT(ISERROR(SEARCH("Ear",AF102)))</formula>
    </cfRule>
    <cfRule type="containsText" dxfId="79" priority="8" operator="containsText" text="fnd">
      <formula>NOT(ISERROR(SEARCH("fnd",AF102)))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39"/>
  <sheetViews>
    <sheetView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L11" sqref="L11"/>
    </sheetView>
  </sheetViews>
  <sheetFormatPr defaultColWidth="9" defaultRowHeight="14.5" x14ac:dyDescent="0.35"/>
  <cols>
    <col min="1" max="1" width="13.08984375" style="602" bestFit="1" customWidth="1"/>
    <col min="2" max="2" width="14.54296875" style="602" bestFit="1" customWidth="1"/>
    <col min="3" max="3" width="13.1796875" style="602" customWidth="1"/>
    <col min="4" max="4" width="11" style="572" customWidth="1"/>
    <col min="5" max="5" width="13" style="572" customWidth="1"/>
    <col min="6" max="6" width="11.54296875" style="602" customWidth="1"/>
    <col min="7" max="7" width="11.453125" style="572" customWidth="1"/>
    <col min="8" max="8" width="8.81640625" style="572" customWidth="1"/>
    <col min="9" max="9" width="9.54296875" style="572" customWidth="1"/>
    <col min="10" max="10" width="11.54296875" style="601" customWidth="1"/>
    <col min="11" max="11" width="13.6328125" style="572" customWidth="1"/>
    <col min="12" max="12" width="9.54296875" style="572" customWidth="1"/>
    <col min="13" max="13" width="30.1796875" style="572" customWidth="1"/>
    <col min="14" max="14" width="45.81640625" style="572" bestFit="1" customWidth="1"/>
    <col min="15" max="15" width="6.1796875" style="564" bestFit="1" customWidth="1"/>
    <col min="16" max="16" width="1.453125" style="565" customWidth="1"/>
    <col min="17" max="17" width="29.453125" style="590" hidden="1" customWidth="1"/>
    <col min="18" max="16384" width="9" style="565"/>
  </cols>
  <sheetData>
    <row r="1" spans="1:17" ht="30" customHeight="1" x14ac:dyDescent="0.35">
      <c r="A1" s="839"/>
      <c r="B1" s="559" t="s">
        <v>2159</v>
      </c>
      <c r="C1" s="664" t="s">
        <v>655</v>
      </c>
      <c r="D1" s="560" t="s">
        <v>351</v>
      </c>
      <c r="E1" s="842">
        <f ca="1">TODAY()-1</f>
        <v>46194</v>
      </c>
      <c r="F1" s="843"/>
      <c r="G1" s="561" t="s">
        <v>2160</v>
      </c>
      <c r="H1" s="844" t="s">
        <v>2161</v>
      </c>
      <c r="I1" s="844"/>
      <c r="J1" s="561" t="s">
        <v>2162</v>
      </c>
      <c r="K1" s="562" t="s">
        <v>2223</v>
      </c>
      <c r="L1" s="563"/>
      <c r="M1" s="845"/>
      <c r="N1" s="846"/>
      <c r="Q1" s="566" t="s">
        <v>2163</v>
      </c>
    </row>
    <row r="2" spans="1:17" ht="30" customHeight="1" x14ac:dyDescent="0.35">
      <c r="A2" s="840"/>
      <c r="B2" s="567" t="s">
        <v>2164</v>
      </c>
      <c r="C2" s="847" t="s">
        <v>2165</v>
      </c>
      <c r="D2" s="848"/>
      <c r="E2" s="848"/>
      <c r="F2" s="849"/>
      <c r="G2" s="561" t="s">
        <v>2166</v>
      </c>
      <c r="H2" s="845" t="s">
        <v>2224</v>
      </c>
      <c r="I2" s="850"/>
      <c r="J2" s="850"/>
      <c r="K2" s="846"/>
      <c r="L2" s="561" t="s">
        <v>2167</v>
      </c>
      <c r="M2" s="845" t="s">
        <v>2168</v>
      </c>
      <c r="N2" s="846"/>
      <c r="Q2" s="568" t="s">
        <v>2169</v>
      </c>
    </row>
    <row r="3" spans="1:17" ht="29" x14ac:dyDescent="0.35">
      <c r="A3" s="841"/>
      <c r="B3" s="567" t="s">
        <v>2170</v>
      </c>
      <c r="C3" s="847" t="s">
        <v>2171</v>
      </c>
      <c r="D3" s="848"/>
      <c r="E3" s="848"/>
      <c r="F3" s="849"/>
      <c r="G3" s="561" t="s">
        <v>2172</v>
      </c>
      <c r="H3" s="851" t="s">
        <v>2220</v>
      </c>
      <c r="I3" s="852"/>
      <c r="J3" s="561" t="s">
        <v>2173</v>
      </c>
      <c r="K3" s="605" t="s">
        <v>2221</v>
      </c>
      <c r="L3" s="567" t="s">
        <v>2174</v>
      </c>
      <c r="M3" s="853" t="s">
        <v>2222</v>
      </c>
      <c r="N3" s="853"/>
      <c r="Q3" s="569" t="s">
        <v>2175</v>
      </c>
    </row>
    <row r="4" spans="1:17" s="571" customFormat="1" ht="58" x14ac:dyDescent="0.35">
      <c r="A4" s="570" t="s">
        <v>834</v>
      </c>
      <c r="B4" s="570" t="s">
        <v>366</v>
      </c>
      <c r="C4" s="570" t="s">
        <v>2176</v>
      </c>
      <c r="D4" s="570" t="s">
        <v>2177</v>
      </c>
      <c r="E4" s="570" t="s">
        <v>2178</v>
      </c>
      <c r="F4" s="570" t="s">
        <v>2179</v>
      </c>
      <c r="G4" s="570" t="s">
        <v>2180</v>
      </c>
      <c r="H4" s="570" t="s">
        <v>2181</v>
      </c>
      <c r="I4" s="570" t="s">
        <v>2182</v>
      </c>
      <c r="J4" s="570" t="s">
        <v>2183</v>
      </c>
      <c r="K4" s="570" t="s">
        <v>370</v>
      </c>
      <c r="L4" s="570" t="s">
        <v>2184</v>
      </c>
      <c r="M4" s="570" t="s">
        <v>371</v>
      </c>
      <c r="N4" s="570" t="s">
        <v>2185</v>
      </c>
      <c r="O4" s="603" t="s">
        <v>2186</v>
      </c>
      <c r="Q4" s="569" t="s">
        <v>2187</v>
      </c>
    </row>
    <row r="5" spans="1:17" s="572" customFormat="1" ht="29" x14ac:dyDescent="0.35">
      <c r="A5" s="611">
        <v>1</v>
      </c>
      <c r="B5" s="620" t="s">
        <v>2188</v>
      </c>
      <c r="C5" s="606">
        <v>118.39700000000001</v>
      </c>
      <c r="D5" s="608">
        <v>118.39700000000001</v>
      </c>
      <c r="E5" s="608">
        <f t="shared" ref="E5:E13" si="0">C5-D5</f>
        <v>0</v>
      </c>
      <c r="F5" s="606">
        <f>E5</f>
        <v>0</v>
      </c>
      <c r="G5" s="606"/>
      <c r="H5" s="607"/>
      <c r="I5" s="608"/>
      <c r="J5" s="606">
        <f t="shared" ref="J5:J13" si="1">D5+H5</f>
        <v>118.39700000000001</v>
      </c>
      <c r="K5" s="606">
        <f t="shared" ref="K5:K10" si="2">C5-J5</f>
        <v>0</v>
      </c>
      <c r="L5" s="606" t="s">
        <v>617</v>
      </c>
      <c r="M5" s="609"/>
      <c r="N5" s="610"/>
      <c r="O5" s="604">
        <f t="shared" ref="O5:O13" si="3">(J5/C5)</f>
        <v>1</v>
      </c>
      <c r="Q5" s="569" t="s">
        <v>2189</v>
      </c>
    </row>
    <row r="6" spans="1:17" s="572" customFormat="1" ht="29" x14ac:dyDescent="0.35">
      <c r="A6" s="611">
        <v>2</v>
      </c>
      <c r="B6" s="621" t="s">
        <v>2190</v>
      </c>
      <c r="C6" s="611">
        <v>306</v>
      </c>
      <c r="D6" s="611">
        <f>SUMMARY!G7</f>
        <v>268</v>
      </c>
      <c r="E6" s="611">
        <f t="shared" si="0"/>
        <v>38</v>
      </c>
      <c r="F6" s="611">
        <v>13</v>
      </c>
      <c r="G6" s="611"/>
      <c r="H6" s="611">
        <f>SUMMARY!K7</f>
        <v>5</v>
      </c>
      <c r="I6" s="611">
        <v>3</v>
      </c>
      <c r="J6" s="611">
        <f t="shared" si="1"/>
        <v>273</v>
      </c>
      <c r="K6" s="611">
        <f t="shared" si="2"/>
        <v>33</v>
      </c>
      <c r="L6" s="611">
        <v>2</v>
      </c>
      <c r="M6" s="612" t="s">
        <v>2295</v>
      </c>
      <c r="N6" s="613" t="s">
        <v>2289</v>
      </c>
      <c r="O6" s="604">
        <f t="shared" si="3"/>
        <v>0.89215686274509809</v>
      </c>
      <c r="P6" s="573"/>
      <c r="Q6" s="569" t="s">
        <v>2191</v>
      </c>
    </row>
    <row r="7" spans="1:17" s="572" customFormat="1" ht="29" x14ac:dyDescent="0.35">
      <c r="A7" s="611">
        <v>3</v>
      </c>
      <c r="B7" s="621" t="s">
        <v>2192</v>
      </c>
      <c r="C7" s="611">
        <v>306</v>
      </c>
      <c r="D7" s="611">
        <f>SUMMARY!G8</f>
        <v>247</v>
      </c>
      <c r="E7" s="611">
        <f t="shared" si="0"/>
        <v>59</v>
      </c>
      <c r="F7" s="611">
        <v>20</v>
      </c>
      <c r="G7" s="611"/>
      <c r="H7" s="611">
        <f>SUMMARY!K8</f>
        <v>2</v>
      </c>
      <c r="I7" s="611">
        <v>0</v>
      </c>
      <c r="J7" s="611">
        <f t="shared" si="1"/>
        <v>249</v>
      </c>
      <c r="K7" s="611">
        <f t="shared" si="2"/>
        <v>57</v>
      </c>
      <c r="L7" s="611"/>
      <c r="M7" s="612" t="s">
        <v>2284</v>
      </c>
      <c r="N7" s="614"/>
      <c r="O7" s="604">
        <f t="shared" si="3"/>
        <v>0.81372549019607843</v>
      </c>
      <c r="Q7" s="569" t="s">
        <v>2193</v>
      </c>
    </row>
    <row r="8" spans="1:17" s="572" customFormat="1" ht="29" x14ac:dyDescent="0.35">
      <c r="A8" s="611">
        <v>4</v>
      </c>
      <c r="B8" s="621" t="s">
        <v>2194</v>
      </c>
      <c r="C8" s="611">
        <v>290</v>
      </c>
      <c r="D8" s="611">
        <f>SUMMARY!G9</f>
        <v>208</v>
      </c>
      <c r="E8" s="611">
        <f t="shared" si="0"/>
        <v>82</v>
      </c>
      <c r="F8" s="611">
        <v>30</v>
      </c>
      <c r="G8" s="611"/>
      <c r="H8" s="611">
        <f>SUMMARY!K9</f>
        <v>9</v>
      </c>
      <c r="I8" s="611">
        <v>5</v>
      </c>
      <c r="J8" s="611">
        <f t="shared" si="1"/>
        <v>217</v>
      </c>
      <c r="K8" s="611">
        <f t="shared" si="2"/>
        <v>73</v>
      </c>
      <c r="L8" s="611">
        <v>3</v>
      </c>
      <c r="M8" s="612" t="s">
        <v>2298</v>
      </c>
      <c r="N8" s="615"/>
      <c r="O8" s="604">
        <f t="shared" si="3"/>
        <v>0.74827586206896557</v>
      </c>
      <c r="Q8" s="569" t="s">
        <v>2195</v>
      </c>
    </row>
    <row r="9" spans="1:17" s="572" customFormat="1" ht="43.5" x14ac:dyDescent="0.35">
      <c r="A9" s="611">
        <v>5</v>
      </c>
      <c r="B9" s="621" t="s">
        <v>2252</v>
      </c>
      <c r="C9" s="611">
        <v>96</v>
      </c>
      <c r="D9" s="611">
        <v>1</v>
      </c>
      <c r="E9" s="611">
        <f t="shared" si="0"/>
        <v>95</v>
      </c>
      <c r="F9" s="611">
        <v>48</v>
      </c>
      <c r="G9" s="611"/>
      <c r="H9" s="611">
        <f>32+4+1+3</f>
        <v>40</v>
      </c>
      <c r="I9" s="611">
        <v>45</v>
      </c>
      <c r="J9" s="611">
        <f t="shared" si="1"/>
        <v>41</v>
      </c>
      <c r="K9" s="611">
        <f t="shared" si="2"/>
        <v>55</v>
      </c>
      <c r="L9" s="611">
        <v>5</v>
      </c>
      <c r="M9" s="612" t="s">
        <v>2299</v>
      </c>
      <c r="N9" s="615"/>
      <c r="O9" s="604">
        <f t="shared" si="3"/>
        <v>0.42708333333333331</v>
      </c>
      <c r="Q9" s="569"/>
    </row>
    <row r="10" spans="1:17" s="572" customFormat="1" ht="29" x14ac:dyDescent="0.35">
      <c r="A10" s="611">
        <v>6</v>
      </c>
      <c r="B10" s="621" t="s">
        <v>2281</v>
      </c>
      <c r="C10" s="611">
        <v>96</v>
      </c>
      <c r="D10" s="611">
        <v>2</v>
      </c>
      <c r="E10" s="611">
        <f t="shared" si="0"/>
        <v>94</v>
      </c>
      <c r="F10" s="611">
        <v>48</v>
      </c>
      <c r="G10" s="611"/>
      <c r="H10" s="611">
        <f>17+1+2</f>
        <v>20</v>
      </c>
      <c r="I10" s="611">
        <v>3</v>
      </c>
      <c r="J10" s="611">
        <f t="shared" si="1"/>
        <v>22</v>
      </c>
      <c r="K10" s="611">
        <f t="shared" si="2"/>
        <v>74</v>
      </c>
      <c r="L10" s="611">
        <v>1</v>
      </c>
      <c r="M10" s="612" t="s">
        <v>2300</v>
      </c>
      <c r="N10" s="615"/>
      <c r="O10" s="604"/>
      <c r="Q10" s="569"/>
    </row>
    <row r="11" spans="1:17" s="572" customFormat="1" ht="43.5" x14ac:dyDescent="0.35">
      <c r="A11" s="611">
        <v>6</v>
      </c>
      <c r="B11" s="621" t="s">
        <v>2197</v>
      </c>
      <c r="C11" s="611">
        <v>40</v>
      </c>
      <c r="D11" s="611"/>
      <c r="E11" s="611">
        <f t="shared" si="0"/>
        <v>40</v>
      </c>
      <c r="F11" s="622">
        <v>12.364000000000001</v>
      </c>
      <c r="G11" s="616"/>
      <c r="H11" s="686">
        <v>1.5549999999999999</v>
      </c>
      <c r="I11" s="663">
        <v>1.9059999999999999</v>
      </c>
      <c r="J11" s="686">
        <f t="shared" si="1"/>
        <v>1.5549999999999999</v>
      </c>
      <c r="K11" s="616">
        <f>+E11-H11</f>
        <v>38.445</v>
      </c>
      <c r="L11" s="611">
        <v>1</v>
      </c>
      <c r="M11" s="612" t="s">
        <v>2294</v>
      </c>
      <c r="N11" s="617"/>
      <c r="O11" s="604">
        <f t="shared" si="3"/>
        <v>3.8875E-2</v>
      </c>
      <c r="Q11" s="569" t="s">
        <v>2198</v>
      </c>
    </row>
    <row r="12" spans="1:17" s="572" customFormat="1" ht="29" x14ac:dyDescent="0.35">
      <c r="A12" s="611">
        <v>7</v>
      </c>
      <c r="B12" s="621" t="s">
        <v>2199</v>
      </c>
      <c r="C12" s="611">
        <f>C11</f>
        <v>40</v>
      </c>
      <c r="D12" s="611"/>
      <c r="E12" s="611">
        <f t="shared" si="0"/>
        <v>40</v>
      </c>
      <c r="F12" s="622"/>
      <c r="G12" s="616"/>
      <c r="H12" s="616"/>
      <c r="I12" s="616"/>
      <c r="J12" s="611">
        <f t="shared" si="1"/>
        <v>0</v>
      </c>
      <c r="K12" s="616">
        <f t="shared" ref="K12:K13" si="4">+E12-H12</f>
        <v>40</v>
      </c>
      <c r="L12" s="623"/>
      <c r="M12" s="612" t="s">
        <v>2196</v>
      </c>
      <c r="N12" s="618"/>
      <c r="O12" s="604">
        <f t="shared" si="3"/>
        <v>0</v>
      </c>
      <c r="Q12" s="569" t="s">
        <v>2200</v>
      </c>
    </row>
    <row r="13" spans="1:17" s="572" customFormat="1" ht="29" x14ac:dyDescent="0.35">
      <c r="A13" s="611">
        <v>8</v>
      </c>
      <c r="B13" s="621" t="s">
        <v>2201</v>
      </c>
      <c r="C13" s="611">
        <f>C12</f>
        <v>40</v>
      </c>
      <c r="D13" s="611"/>
      <c r="E13" s="611">
        <f t="shared" si="0"/>
        <v>40</v>
      </c>
      <c r="F13" s="611"/>
      <c r="G13" s="619"/>
      <c r="H13" s="619"/>
      <c r="I13" s="619"/>
      <c r="J13" s="616">
        <f t="shared" si="1"/>
        <v>0</v>
      </c>
      <c r="K13" s="616">
        <f t="shared" si="4"/>
        <v>40</v>
      </c>
      <c r="L13" s="611"/>
      <c r="M13" s="612" t="s">
        <v>2202</v>
      </c>
      <c r="N13" s="614"/>
      <c r="O13" s="604">
        <f t="shared" si="3"/>
        <v>0</v>
      </c>
      <c r="Q13" s="569" t="s">
        <v>2203</v>
      </c>
    </row>
    <row r="14" spans="1:17" x14ac:dyDescent="0.35">
      <c r="A14" s="855"/>
      <c r="B14" s="855"/>
      <c r="C14" s="855"/>
      <c r="D14" s="855"/>
      <c r="E14" s="855"/>
      <c r="F14" s="855"/>
      <c r="G14" s="855"/>
      <c r="H14" s="855"/>
      <c r="I14" s="855"/>
      <c r="J14" s="855"/>
      <c r="K14" s="855"/>
      <c r="L14" s="855"/>
      <c r="M14" s="855"/>
      <c r="N14" s="855"/>
      <c r="Q14" s="569" t="s">
        <v>2204</v>
      </c>
    </row>
    <row r="15" spans="1:17" hidden="1" x14ac:dyDescent="0.35">
      <c r="A15" s="856" t="s">
        <v>2205</v>
      </c>
      <c r="B15" s="856"/>
      <c r="C15" s="856"/>
      <c r="D15" s="856"/>
      <c r="E15" s="856"/>
      <c r="F15" s="856"/>
      <c r="G15" s="856"/>
      <c r="H15" s="574"/>
      <c r="I15" s="575"/>
      <c r="J15" s="565"/>
      <c r="K15" s="565"/>
      <c r="L15" s="565"/>
      <c r="M15" s="565"/>
      <c r="N15" s="565"/>
      <c r="Q15" s="569" t="s">
        <v>2206</v>
      </c>
    </row>
    <row r="16" spans="1:17" hidden="1" x14ac:dyDescent="0.35">
      <c r="A16" s="857"/>
      <c r="B16" s="858"/>
      <c r="C16" s="858"/>
      <c r="D16" s="858"/>
      <c r="E16" s="858"/>
      <c r="F16" s="858"/>
      <c r="G16" s="859"/>
      <c r="H16" s="565"/>
      <c r="I16" s="565"/>
      <c r="J16" s="565"/>
      <c r="K16" s="576"/>
      <c r="L16" s="565"/>
      <c r="M16" s="575"/>
      <c r="N16" s="565"/>
      <c r="Q16" s="569" t="s">
        <v>2207</v>
      </c>
    </row>
    <row r="17" spans="1:17" hidden="1" x14ac:dyDescent="0.35">
      <c r="A17" s="860" t="s">
        <v>2208</v>
      </c>
      <c r="B17" s="860"/>
      <c r="C17" s="860"/>
      <c r="D17" s="860"/>
      <c r="E17" s="860"/>
      <c r="F17" s="860"/>
      <c r="G17" s="860"/>
      <c r="H17" s="565"/>
      <c r="I17" s="577"/>
      <c r="J17" s="565"/>
      <c r="K17" s="565"/>
      <c r="L17" s="565"/>
      <c r="M17" s="565"/>
      <c r="N17" s="565"/>
      <c r="Q17" s="578" t="s">
        <v>2209</v>
      </c>
    </row>
    <row r="18" spans="1:17" ht="46.5" hidden="1" customHeight="1" x14ac:dyDescent="0.35">
      <c r="A18" s="579" t="s">
        <v>2210</v>
      </c>
      <c r="B18" s="579" t="s">
        <v>2211</v>
      </c>
      <c r="C18" s="580" t="s">
        <v>2212</v>
      </c>
      <c r="D18" s="581" t="s">
        <v>2213</v>
      </c>
      <c r="E18" s="582" t="s">
        <v>396</v>
      </c>
      <c r="F18" s="583" t="s">
        <v>371</v>
      </c>
      <c r="G18" s="582"/>
      <c r="H18" s="565"/>
      <c r="I18" s="565"/>
      <c r="J18" s="565"/>
      <c r="K18" s="565"/>
      <c r="L18" s="565"/>
      <c r="M18" s="565"/>
      <c r="N18" s="565"/>
      <c r="Q18" s="569"/>
    </row>
    <row r="19" spans="1:17" hidden="1" x14ac:dyDescent="0.35">
      <c r="A19" s="584">
        <f>E6</f>
        <v>38</v>
      </c>
      <c r="B19" s="584">
        <f>H6</f>
        <v>5</v>
      </c>
      <c r="C19" s="585">
        <f>I6</f>
        <v>3</v>
      </c>
      <c r="D19" s="585"/>
      <c r="E19" s="586">
        <f>A19-B19-C19-D19</f>
        <v>30</v>
      </c>
      <c r="F19" s="587"/>
      <c r="G19" s="588"/>
      <c r="H19" s="565"/>
      <c r="I19" s="565"/>
      <c r="J19" s="565"/>
      <c r="K19" s="565"/>
      <c r="L19" s="565"/>
      <c r="M19" s="565"/>
      <c r="N19" s="565"/>
      <c r="Q19" s="569"/>
    </row>
    <row r="20" spans="1:17" hidden="1" x14ac:dyDescent="0.35">
      <c r="A20" s="584"/>
      <c r="B20" s="584"/>
      <c r="C20" s="585"/>
      <c r="D20" s="589"/>
      <c r="E20" s="586"/>
      <c r="F20" s="587"/>
      <c r="G20" s="588"/>
      <c r="H20" s="565"/>
      <c r="I20" s="565"/>
      <c r="J20" s="565"/>
      <c r="K20" s="565"/>
      <c r="L20" s="565"/>
      <c r="M20" s="565"/>
      <c r="N20" s="565"/>
      <c r="Q20" s="569"/>
    </row>
    <row r="21" spans="1:17" hidden="1" x14ac:dyDescent="0.35">
      <c r="A21" s="860" t="s">
        <v>2214</v>
      </c>
      <c r="B21" s="860"/>
      <c r="C21" s="860"/>
      <c r="D21" s="860"/>
      <c r="E21" s="860"/>
      <c r="F21" s="860"/>
      <c r="G21" s="860"/>
      <c r="H21" s="565"/>
      <c r="I21" s="565"/>
      <c r="J21" s="565"/>
      <c r="K21" s="565"/>
      <c r="L21" s="565"/>
      <c r="M21" s="565"/>
      <c r="N21" s="565"/>
    </row>
    <row r="22" spans="1:17" ht="45.75" hidden="1" customHeight="1" x14ac:dyDescent="0.35">
      <c r="A22" s="579" t="s">
        <v>2210</v>
      </c>
      <c r="B22" s="579" t="s">
        <v>2211</v>
      </c>
      <c r="C22" s="580" t="s">
        <v>2212</v>
      </c>
      <c r="D22" s="581" t="s">
        <v>2213</v>
      </c>
      <c r="E22" s="582" t="s">
        <v>396</v>
      </c>
      <c r="F22" s="583" t="s">
        <v>2215</v>
      </c>
      <c r="G22" s="583" t="s">
        <v>371</v>
      </c>
      <c r="H22" s="565"/>
      <c r="I22" s="565"/>
      <c r="J22" s="565"/>
      <c r="K22" s="565"/>
      <c r="L22" s="565"/>
      <c r="M22" s="565"/>
      <c r="N22" s="565"/>
    </row>
    <row r="23" spans="1:17" hidden="1" x14ac:dyDescent="0.35">
      <c r="A23" s="584">
        <f>E8</f>
        <v>82</v>
      </c>
      <c r="B23" s="584">
        <f>H8</f>
        <v>9</v>
      </c>
      <c r="C23" s="586">
        <f>I8</f>
        <v>5</v>
      </c>
      <c r="D23" s="586"/>
      <c r="E23" s="586">
        <f>'[3]Page Chart'!X4</f>
        <v>5</v>
      </c>
      <c r="F23" s="591">
        <f>E19</f>
        <v>30</v>
      </c>
      <c r="G23" s="587"/>
      <c r="H23" s="565"/>
      <c r="I23" s="565"/>
      <c r="J23" s="565"/>
      <c r="K23" s="565"/>
      <c r="L23" s="565"/>
      <c r="M23" s="565"/>
      <c r="N23" s="565"/>
    </row>
    <row r="24" spans="1:17" hidden="1" x14ac:dyDescent="0.35">
      <c r="A24" s="584"/>
      <c r="B24" s="584"/>
      <c r="C24" s="586"/>
      <c r="D24" s="586"/>
      <c r="E24" s="586"/>
      <c r="F24" s="591"/>
      <c r="G24" s="587"/>
      <c r="H24" s="565"/>
      <c r="I24" s="565"/>
      <c r="J24" s="565"/>
      <c r="K24" s="565"/>
      <c r="L24" s="565"/>
      <c r="M24" s="565"/>
      <c r="N24" s="565"/>
    </row>
    <row r="25" spans="1:17" hidden="1" x14ac:dyDescent="0.35">
      <c r="A25" s="854" t="s">
        <v>2216</v>
      </c>
      <c r="B25" s="854"/>
      <c r="C25" s="854"/>
      <c r="D25" s="854"/>
      <c r="E25" s="854"/>
      <c r="F25" s="854"/>
      <c r="G25" s="854"/>
      <c r="H25" s="565"/>
      <c r="I25" s="565"/>
      <c r="J25" s="565"/>
      <c r="K25" s="565"/>
      <c r="L25" s="565"/>
      <c r="M25" s="565"/>
      <c r="N25" s="565"/>
    </row>
    <row r="26" spans="1:17" ht="72.5" hidden="1" x14ac:dyDescent="0.35">
      <c r="A26" s="592" t="s">
        <v>2217</v>
      </c>
      <c r="B26" s="592" t="s">
        <v>2211</v>
      </c>
      <c r="C26" s="593" t="s">
        <v>2212</v>
      </c>
      <c r="D26" s="581" t="s">
        <v>2213</v>
      </c>
      <c r="E26" s="582" t="s">
        <v>396</v>
      </c>
      <c r="F26" s="594" t="s">
        <v>2218</v>
      </c>
      <c r="G26" s="583" t="s">
        <v>2219</v>
      </c>
      <c r="H26" s="565"/>
      <c r="I26" s="565"/>
      <c r="J26" s="565"/>
      <c r="K26" s="565"/>
      <c r="L26" s="565"/>
      <c r="M26" s="565"/>
      <c r="N26" s="565"/>
    </row>
    <row r="27" spans="1:17" hidden="1" x14ac:dyDescent="0.35">
      <c r="A27" s="595">
        <f>E11</f>
        <v>40</v>
      </c>
      <c r="B27" s="595">
        <f>H11</f>
        <v>1.5549999999999999</v>
      </c>
      <c r="C27" s="596">
        <f>I11</f>
        <v>1.9059999999999999</v>
      </c>
      <c r="D27" s="597"/>
      <c r="E27" s="598"/>
      <c r="F27" s="599"/>
      <c r="G27" s="600"/>
      <c r="H27" s="565"/>
      <c r="I27" s="565"/>
      <c r="J27" s="565"/>
      <c r="K27" s="565"/>
      <c r="L27" s="565"/>
      <c r="M27" s="565"/>
      <c r="N27" s="565"/>
    </row>
    <row r="28" spans="1:17" hidden="1" x14ac:dyDescent="0.35">
      <c r="A28" s="572"/>
      <c r="B28" s="601"/>
      <c r="C28" s="572"/>
      <c r="F28" s="565"/>
      <c r="G28" s="565"/>
      <c r="H28" s="565"/>
      <c r="I28" s="565"/>
      <c r="J28" s="565"/>
      <c r="K28" s="565"/>
      <c r="L28" s="565"/>
      <c r="M28" s="565"/>
      <c r="N28" s="565"/>
    </row>
    <row r="29" spans="1:17" hidden="1" x14ac:dyDescent="0.35">
      <c r="A29" s="572"/>
      <c r="B29" s="601"/>
      <c r="C29" s="572"/>
      <c r="F29" s="565"/>
      <c r="G29" s="565"/>
      <c r="H29" s="565"/>
      <c r="I29" s="565"/>
      <c r="J29" s="565"/>
      <c r="K29" s="565"/>
      <c r="L29" s="565"/>
      <c r="M29" s="565"/>
      <c r="N29" s="565"/>
    </row>
    <row r="30" spans="1:17" x14ac:dyDescent="0.35">
      <c r="A30" s="572"/>
      <c r="B30" s="601"/>
      <c r="C30" s="572"/>
      <c r="F30" s="565"/>
      <c r="G30" s="565"/>
      <c r="H30" s="565"/>
      <c r="I30" s="565"/>
      <c r="J30" s="565"/>
      <c r="K30" s="565"/>
      <c r="L30" s="565"/>
      <c r="M30" s="565"/>
      <c r="N30" s="565"/>
    </row>
    <row r="31" spans="1:17" ht="19.5" hidden="1" customHeight="1" x14ac:dyDescent="0.35">
      <c r="A31" s="638" t="s">
        <v>2225</v>
      </c>
      <c r="B31" s="629" t="s">
        <v>2226</v>
      </c>
      <c r="C31" s="630" t="s">
        <v>2227</v>
      </c>
      <c r="D31" s="630" t="s">
        <v>2230</v>
      </c>
      <c r="E31" s="631" t="s">
        <v>2228</v>
      </c>
      <c r="F31" s="645" t="s">
        <v>2238</v>
      </c>
      <c r="G31" s="639" t="s">
        <v>2240</v>
      </c>
      <c r="H31" s="640" t="s">
        <v>2241</v>
      </c>
      <c r="I31" s="641" t="s">
        <v>2242</v>
      </c>
      <c r="J31" s="641" t="s">
        <v>2243</v>
      </c>
      <c r="K31" s="642" t="s">
        <v>371</v>
      </c>
      <c r="L31" s="565"/>
      <c r="M31" s="565"/>
      <c r="N31" s="565"/>
    </row>
    <row r="32" spans="1:17" ht="24" hidden="1" x14ac:dyDescent="0.3">
      <c r="A32" s="632" t="s">
        <v>11</v>
      </c>
      <c r="B32" s="624" t="s">
        <v>2229</v>
      </c>
      <c r="C32" s="627" t="s">
        <v>2231</v>
      </c>
      <c r="D32" s="627" t="s">
        <v>2231</v>
      </c>
      <c r="E32" s="633" t="s">
        <v>2232</v>
      </c>
      <c r="F32" s="643" t="s">
        <v>2158</v>
      </c>
      <c r="G32" s="649">
        <v>15</v>
      </c>
      <c r="H32" s="646">
        <v>7863971676</v>
      </c>
      <c r="I32" s="647">
        <v>46149</v>
      </c>
      <c r="J32" s="647">
        <v>46333</v>
      </c>
      <c r="K32" s="642"/>
      <c r="L32" s="565"/>
      <c r="M32" s="565"/>
      <c r="N32" s="565"/>
    </row>
    <row r="33" spans="1:14" hidden="1" x14ac:dyDescent="0.3">
      <c r="A33" s="632" t="s">
        <v>264</v>
      </c>
      <c r="B33" s="627" t="s">
        <v>2233</v>
      </c>
      <c r="C33" s="628" t="s">
        <v>2233</v>
      </c>
      <c r="D33" s="628" t="s">
        <v>2233</v>
      </c>
      <c r="E33" s="633" t="s">
        <v>2233</v>
      </c>
      <c r="F33" s="644" t="s">
        <v>425</v>
      </c>
      <c r="G33" s="642"/>
      <c r="H33" s="642"/>
      <c r="I33" s="642"/>
      <c r="J33" s="642"/>
      <c r="K33" s="642"/>
      <c r="L33" s="565"/>
      <c r="M33" s="565"/>
      <c r="N33" s="565"/>
    </row>
    <row r="34" spans="1:14" ht="15" hidden="1" thickBot="1" x14ac:dyDescent="0.4">
      <c r="A34" s="634" t="s">
        <v>2234</v>
      </c>
      <c r="B34" s="635" t="s">
        <v>2233</v>
      </c>
      <c r="C34" s="636" t="s">
        <v>2233</v>
      </c>
      <c r="D34" s="636" t="s">
        <v>2233</v>
      </c>
      <c r="E34" s="637" t="s">
        <v>2233</v>
      </c>
      <c r="F34" s="643" t="s">
        <v>2239</v>
      </c>
      <c r="G34" s="625"/>
      <c r="H34" s="625"/>
      <c r="I34" s="625"/>
      <c r="J34" s="626"/>
      <c r="K34" s="625"/>
    </row>
    <row r="35" spans="1:14" hidden="1" x14ac:dyDescent="0.35">
      <c r="I35" s="648"/>
    </row>
    <row r="36" spans="1:14" ht="22" hidden="1" customHeight="1" x14ac:dyDescent="0.35">
      <c r="A36" s="655" t="s">
        <v>2235</v>
      </c>
      <c r="B36" s="650" t="s">
        <v>2248</v>
      </c>
      <c r="C36" s="650" t="s">
        <v>592</v>
      </c>
      <c r="D36" s="650" t="s">
        <v>2245</v>
      </c>
      <c r="E36" s="628" t="s">
        <v>2240</v>
      </c>
      <c r="F36" s="652" t="s">
        <v>2241</v>
      </c>
      <c r="G36" s="653" t="s">
        <v>2242</v>
      </c>
      <c r="H36" s="653" t="s">
        <v>2243</v>
      </c>
      <c r="I36" s="624" t="s">
        <v>2246</v>
      </c>
      <c r="J36" s="624" t="s">
        <v>2247</v>
      </c>
      <c r="K36" s="625" t="s">
        <v>371</v>
      </c>
    </row>
    <row r="37" spans="1:14" ht="18.5" hidden="1" customHeight="1" x14ac:dyDescent="0.35">
      <c r="A37" s="654" t="s">
        <v>125</v>
      </c>
      <c r="B37" s="658">
        <v>36.159756000000002</v>
      </c>
      <c r="C37" s="656" t="s">
        <v>2236</v>
      </c>
      <c r="D37" s="657" t="s">
        <v>2128</v>
      </c>
      <c r="E37" s="651">
        <v>25</v>
      </c>
      <c r="F37" s="625"/>
      <c r="G37" s="654"/>
      <c r="H37" s="625"/>
      <c r="I37" s="625"/>
      <c r="J37" s="625"/>
      <c r="K37" s="625" t="s">
        <v>2237</v>
      </c>
    </row>
    <row r="38" spans="1:14" hidden="1" x14ac:dyDescent="0.35">
      <c r="A38" s="654" t="s">
        <v>163</v>
      </c>
      <c r="B38" s="658">
        <v>125.84959600000001</v>
      </c>
      <c r="C38" s="654" t="s">
        <v>2244</v>
      </c>
      <c r="D38" s="654"/>
      <c r="E38" s="651">
        <v>25</v>
      </c>
      <c r="F38" s="625"/>
      <c r="G38" s="654"/>
      <c r="H38" s="625"/>
      <c r="I38" s="625"/>
      <c r="J38" s="659">
        <f>67243.564/1000</f>
        <v>67.243563999999992</v>
      </c>
      <c r="K38" s="625"/>
    </row>
    <row r="39" spans="1:14" x14ac:dyDescent="0.35">
      <c r="D39" s="602"/>
      <c r="F39" s="572"/>
      <c r="G39" s="602"/>
      <c r="J39" s="572"/>
    </row>
  </sheetData>
  <dataConsolidate/>
  <mergeCells count="16">
    <mergeCell ref="A25:G25"/>
    <mergeCell ref="A14:N14"/>
    <mergeCell ref="A15:G15"/>
    <mergeCell ref="A16:G16"/>
    <mergeCell ref="A17:G17"/>
    <mergeCell ref="A21:G21"/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11" location="Tackwelding!A1" display="Tackwelding!A1" xr:uid="{17CC04A3-B65C-4BE2-B417-9A2360AB79AF}"/>
    <hyperlink ref="Q12" location="Stringing!A1" display="Stringing!A1" xr:uid="{53840C5F-0359-42F6-9222-3B3DF7FE1DA6}"/>
    <hyperlink ref="Q13" location="'Stringing associated works'!A1" display="'Stringing associated works'!A1" xr:uid="{4D9292F2-0FA9-49DC-ABAB-60096699CCB7}"/>
    <hyperlink ref="Q14" location="OPGW!A1" display="OPGW!A1" xr:uid="{12B5ED45-B47E-4B78-9EE2-B48FAA58967B}"/>
    <hyperlink ref="Q15" location="'Visual chart'!A1" display="'Visual chart'!A1" xr:uid="{8EB9DF72-4A94-4706-A3A6-E0B78E45977A}"/>
    <hyperlink ref="Q16" location="'Page Chart'!A1" display="'Page Chart'!A1" xr:uid="{B12AD0FB-F462-4E39-8A71-6ECE51916C55}"/>
    <hyperlink ref="Q17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G9"/>
  <sheetViews>
    <sheetView zoomScale="85" zoomScaleNormal="85" workbookViewId="0">
      <selection activeCell="E7" sqref="E7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26.36328125" bestFit="1" customWidth="1"/>
    <col min="5" max="5" width="5.36328125" bestFit="1" customWidth="1"/>
    <col min="6" max="6" width="13.453125" bestFit="1" customWidth="1"/>
    <col min="7" max="9" width="10.81640625" bestFit="1" customWidth="1"/>
  </cols>
  <sheetData>
    <row r="4" spans="1:7" x14ac:dyDescent="0.35">
      <c r="A4" s="443" t="s">
        <v>2137</v>
      </c>
      <c r="B4" s="443" t="s">
        <v>2136</v>
      </c>
    </row>
    <row r="5" spans="1:7" x14ac:dyDescent="0.35">
      <c r="A5" s="443" t="s">
        <v>2134</v>
      </c>
      <c r="B5" t="s">
        <v>421</v>
      </c>
      <c r="C5" t="s">
        <v>492</v>
      </c>
      <c r="D5" t="s">
        <v>896</v>
      </c>
      <c r="E5" t="s">
        <v>396</v>
      </c>
      <c r="F5" t="s">
        <v>2280</v>
      </c>
      <c r="G5" t="s">
        <v>2135</v>
      </c>
    </row>
    <row r="6" spans="1:7" x14ac:dyDescent="0.35">
      <c r="A6" s="444" t="s">
        <v>2133</v>
      </c>
      <c r="B6">
        <v>26</v>
      </c>
      <c r="C6">
        <v>34</v>
      </c>
      <c r="D6">
        <v>1</v>
      </c>
      <c r="F6">
        <v>1</v>
      </c>
      <c r="G6">
        <v>62</v>
      </c>
    </row>
    <row r="7" spans="1:7" x14ac:dyDescent="0.35">
      <c r="A7" s="444" t="s">
        <v>2132</v>
      </c>
      <c r="B7">
        <v>22</v>
      </c>
      <c r="C7">
        <v>25</v>
      </c>
      <c r="E7">
        <v>1</v>
      </c>
      <c r="G7">
        <v>48</v>
      </c>
    </row>
    <row r="8" spans="1:7" x14ac:dyDescent="0.35">
      <c r="A8" s="444" t="s">
        <v>2131</v>
      </c>
      <c r="B8">
        <v>117</v>
      </c>
      <c r="C8">
        <v>46</v>
      </c>
      <c r="F8">
        <v>1</v>
      </c>
      <c r="G8">
        <v>164</v>
      </c>
    </row>
    <row r="9" spans="1:7" x14ac:dyDescent="0.35">
      <c r="A9" s="444" t="s">
        <v>2135</v>
      </c>
      <c r="B9">
        <v>165</v>
      </c>
      <c r="C9">
        <v>105</v>
      </c>
      <c r="D9">
        <v>1</v>
      </c>
      <c r="E9">
        <v>1</v>
      </c>
      <c r="F9">
        <v>2</v>
      </c>
      <c r="G9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F8"/>
  <sheetViews>
    <sheetView zoomScale="85" zoomScaleNormal="85" workbookViewId="0">
      <selection activeCell="E6" sqref="E6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13.6328125" bestFit="1" customWidth="1"/>
    <col min="5" max="5" width="15.7265625" bestFit="1" customWidth="1"/>
    <col min="6" max="7" width="10.81640625" bestFit="1" customWidth="1"/>
    <col min="8" max="8" width="15.36328125" bestFit="1" customWidth="1"/>
    <col min="9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6" x14ac:dyDescent="0.35">
      <c r="A3" s="443" t="s">
        <v>2137</v>
      </c>
      <c r="B3" s="443" t="s">
        <v>2136</v>
      </c>
    </row>
    <row r="4" spans="1:6" x14ac:dyDescent="0.35">
      <c r="A4" s="443" t="s">
        <v>2134</v>
      </c>
      <c r="B4" t="s">
        <v>424</v>
      </c>
      <c r="C4" t="s">
        <v>492</v>
      </c>
      <c r="D4" t="s">
        <v>2270</v>
      </c>
      <c r="E4" t="s">
        <v>2271</v>
      </c>
      <c r="F4" t="s">
        <v>2135</v>
      </c>
    </row>
    <row r="5" spans="1:6" x14ac:dyDescent="0.35">
      <c r="A5" s="444" t="s">
        <v>2133</v>
      </c>
      <c r="B5">
        <v>39</v>
      </c>
      <c r="E5">
        <v>1</v>
      </c>
      <c r="F5">
        <v>40</v>
      </c>
    </row>
    <row r="6" spans="1:6" x14ac:dyDescent="0.35">
      <c r="A6" s="444" t="s">
        <v>2132</v>
      </c>
      <c r="B6">
        <v>23</v>
      </c>
      <c r="D6">
        <v>1</v>
      </c>
      <c r="F6">
        <v>24</v>
      </c>
    </row>
    <row r="7" spans="1:6" x14ac:dyDescent="0.35">
      <c r="A7" s="444" t="s">
        <v>2131</v>
      </c>
      <c r="B7">
        <v>144</v>
      </c>
      <c r="C7">
        <v>1</v>
      </c>
      <c r="D7">
        <v>1</v>
      </c>
      <c r="F7">
        <v>146</v>
      </c>
    </row>
    <row r="8" spans="1:6" x14ac:dyDescent="0.35">
      <c r="A8" s="444" t="s">
        <v>2135</v>
      </c>
      <c r="B8">
        <v>206</v>
      </c>
      <c r="C8">
        <v>1</v>
      </c>
      <c r="D8">
        <v>2</v>
      </c>
      <c r="E8">
        <v>1</v>
      </c>
      <c r="F8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B1" zoomScale="85" zoomScaleNormal="85" workbookViewId="0">
      <selection activeCell="D13" sqref="D13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89" t="s">
        <v>638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  <c r="M1" s="890"/>
      <c r="N1" s="890"/>
      <c r="O1" s="890"/>
      <c r="P1" s="890"/>
      <c r="Q1" s="890"/>
      <c r="R1" s="891"/>
    </row>
    <row r="2" spans="1:19" ht="22.5" customHeight="1" thickBot="1" x14ac:dyDescent="0.4">
      <c r="A2" s="892" t="s">
        <v>531</v>
      </c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4"/>
    </row>
    <row r="3" spans="1:19" ht="22.5" customHeight="1" thickBot="1" x14ac:dyDescent="0.4">
      <c r="A3" s="895" t="s">
        <v>532</v>
      </c>
      <c r="B3" s="896"/>
      <c r="C3" s="896"/>
      <c r="D3" s="896"/>
      <c r="E3" s="896"/>
      <c r="F3" s="896"/>
      <c r="G3" s="896"/>
      <c r="H3" s="896"/>
      <c r="I3" s="896"/>
      <c r="J3" s="896"/>
      <c r="K3" s="896"/>
      <c r="L3" s="896"/>
      <c r="M3" s="896"/>
      <c r="N3" s="896"/>
      <c r="O3" s="896"/>
      <c r="P3" s="896"/>
      <c r="Q3" s="896"/>
      <c r="R3" s="897"/>
    </row>
    <row r="4" spans="1:19" ht="22.5" customHeight="1" thickBot="1" x14ac:dyDescent="0.4">
      <c r="A4" s="710"/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48" t="s">
        <v>533</v>
      </c>
      <c r="O4" s="898">
        <f ca="1">TODAY()-1</f>
        <v>46194</v>
      </c>
      <c r="P4" s="899"/>
      <c r="Q4" s="899">
        <f ca="1">TODAY()-1</f>
        <v>46194</v>
      </c>
      <c r="R4" s="900"/>
    </row>
    <row r="5" spans="1:19" ht="22.5" customHeight="1" x14ac:dyDescent="0.35">
      <c r="A5" s="879" t="s">
        <v>366</v>
      </c>
      <c r="B5" s="880"/>
      <c r="C5" s="881"/>
      <c r="D5" s="885" t="s">
        <v>534</v>
      </c>
      <c r="E5" s="887" t="s">
        <v>535</v>
      </c>
      <c r="F5" s="885" t="s">
        <v>536</v>
      </c>
      <c r="G5" s="871" t="s">
        <v>537</v>
      </c>
      <c r="H5" s="869" t="s">
        <v>538</v>
      </c>
      <c r="I5" s="871" t="s">
        <v>539</v>
      </c>
      <c r="J5" s="875" t="s">
        <v>540</v>
      </c>
      <c r="K5" s="877" t="s">
        <v>541</v>
      </c>
      <c r="L5" s="875" t="s">
        <v>542</v>
      </c>
      <c r="M5" s="877" t="s">
        <v>543</v>
      </c>
      <c r="N5" s="869" t="s">
        <v>544</v>
      </c>
      <c r="O5" s="869" t="s">
        <v>545</v>
      </c>
      <c r="P5" s="869" t="s">
        <v>546</v>
      </c>
      <c r="Q5" s="871" t="s">
        <v>547</v>
      </c>
      <c r="R5" s="869" t="s">
        <v>371</v>
      </c>
    </row>
    <row r="6" spans="1:19" ht="25.5" customHeight="1" thickBot="1" x14ac:dyDescent="0.4">
      <c r="A6" s="882"/>
      <c r="B6" s="883"/>
      <c r="C6" s="884"/>
      <c r="D6" s="886"/>
      <c r="E6" s="888"/>
      <c r="F6" s="886"/>
      <c r="G6" s="872"/>
      <c r="H6" s="870"/>
      <c r="I6" s="872"/>
      <c r="J6" s="876"/>
      <c r="K6" s="878"/>
      <c r="L6" s="876"/>
      <c r="M6" s="878"/>
      <c r="N6" s="870"/>
      <c r="O6" s="870"/>
      <c r="P6" s="870"/>
      <c r="Q6" s="872"/>
      <c r="R6" s="870"/>
    </row>
    <row r="7" spans="1:19" ht="88.5" customHeight="1" thickBot="1" x14ac:dyDescent="0.4">
      <c r="A7" s="873" t="s">
        <v>548</v>
      </c>
      <c r="B7" s="873"/>
      <c r="C7" s="874"/>
      <c r="D7" s="57">
        <v>309</v>
      </c>
      <c r="E7" s="222">
        <v>309</v>
      </c>
      <c r="F7" s="49">
        <v>306</v>
      </c>
      <c r="G7" s="51">
        <v>268</v>
      </c>
      <c r="H7" s="49">
        <v>0</v>
      </c>
      <c r="I7" s="50">
        <v>13</v>
      </c>
      <c r="J7" s="52"/>
      <c r="K7" s="53">
        <f>M7-G7</f>
        <v>5</v>
      </c>
      <c r="L7" s="54">
        <f>F7+H7</f>
        <v>306</v>
      </c>
      <c r="M7" s="61">
        <f>'Visual Chart'!AV3</f>
        <v>273</v>
      </c>
      <c r="N7" s="55">
        <f>E7-M7</f>
        <v>36</v>
      </c>
      <c r="O7" s="122" t="s">
        <v>2296</v>
      </c>
      <c r="P7" s="206">
        <v>2</v>
      </c>
      <c r="Q7" s="56"/>
      <c r="R7" s="122"/>
      <c r="S7" s="6"/>
    </row>
    <row r="8" spans="1:19" ht="35.25" customHeight="1" thickBot="1" x14ac:dyDescent="0.4">
      <c r="A8" s="861" t="s">
        <v>549</v>
      </c>
      <c r="B8" s="862"/>
      <c r="C8" s="863"/>
      <c r="D8" s="57">
        <v>309</v>
      </c>
      <c r="E8" s="222">
        <v>309</v>
      </c>
      <c r="F8" s="57">
        <v>262</v>
      </c>
      <c r="G8" s="59">
        <v>247</v>
      </c>
      <c r="H8" s="57">
        <v>20</v>
      </c>
      <c r="I8" s="58">
        <v>20</v>
      </c>
      <c r="J8" s="60"/>
      <c r="K8" s="60">
        <f>M8-G8</f>
        <v>2</v>
      </c>
      <c r="L8" s="62">
        <f>F8+H8</f>
        <v>282</v>
      </c>
      <c r="M8" s="61">
        <f>'Visual Chart'!AW3</f>
        <v>249</v>
      </c>
      <c r="N8" s="63">
        <f>D8-M8</f>
        <v>60</v>
      </c>
      <c r="O8" s="451"/>
      <c r="P8" s="206"/>
      <c r="Q8" s="64"/>
      <c r="R8" s="65"/>
      <c r="S8" s="80"/>
    </row>
    <row r="9" spans="1:19" ht="51" customHeight="1" thickBot="1" x14ac:dyDescent="0.4">
      <c r="A9" s="861" t="s">
        <v>550</v>
      </c>
      <c r="B9" s="862"/>
      <c r="C9" s="864"/>
      <c r="D9" s="57">
        <v>309</v>
      </c>
      <c r="E9" s="450">
        <v>309</v>
      </c>
      <c r="F9" s="57">
        <v>270</v>
      </c>
      <c r="G9" s="57">
        <v>208</v>
      </c>
      <c r="H9" s="57">
        <v>16</v>
      </c>
      <c r="I9" s="450">
        <v>30</v>
      </c>
      <c r="J9" s="60"/>
      <c r="K9" s="60">
        <f>M9-G9</f>
        <v>9</v>
      </c>
      <c r="L9" s="62">
        <f>F9+H9</f>
        <v>286</v>
      </c>
      <c r="M9" s="60">
        <f>'Visual Chart'!AX3</f>
        <v>217</v>
      </c>
      <c r="N9" s="63">
        <f>E9-M9</f>
        <v>92</v>
      </c>
      <c r="O9" s="451" t="s">
        <v>2297</v>
      </c>
      <c r="P9" s="60">
        <v>3</v>
      </c>
      <c r="Q9" s="452"/>
      <c r="R9" s="449"/>
      <c r="S9" s="80"/>
    </row>
    <row r="10" spans="1:19" ht="32.25" customHeight="1" thickBot="1" x14ac:dyDescent="0.4">
      <c r="A10" s="865" t="s">
        <v>551</v>
      </c>
      <c r="B10" s="866"/>
      <c r="C10" s="66" t="s">
        <v>552</v>
      </c>
      <c r="D10" s="67">
        <v>118.39700000000001</v>
      </c>
      <c r="E10" s="68">
        <v>119.178</v>
      </c>
      <c r="F10" s="680">
        <v>30</v>
      </c>
      <c r="G10" s="68"/>
      <c r="H10" s="70">
        <v>0</v>
      </c>
      <c r="I10" s="71"/>
      <c r="J10" s="72"/>
      <c r="K10" s="73"/>
      <c r="L10" s="74">
        <f>F10+H10</f>
        <v>30</v>
      </c>
      <c r="M10" s="75">
        <f>K10+G10</f>
        <v>0</v>
      </c>
      <c r="N10" s="76">
        <f>E10-M10</f>
        <v>119.178</v>
      </c>
      <c r="O10" s="679" t="str">
        <f>R10</f>
        <v>7/0 to 8/0 (Top left side
Pilot wire paying out complete)</v>
      </c>
      <c r="P10" s="78">
        <v>1</v>
      </c>
      <c r="Q10" s="25"/>
      <c r="R10" s="685" t="s">
        <v>2293</v>
      </c>
      <c r="S10" s="80"/>
    </row>
    <row r="11" spans="1:19" ht="33" customHeight="1" thickBot="1" x14ac:dyDescent="0.4">
      <c r="A11" s="867"/>
      <c r="B11" s="868"/>
      <c r="C11" s="66" t="s">
        <v>553</v>
      </c>
      <c r="D11" s="67">
        <f>D10</f>
        <v>118.39700000000001</v>
      </c>
      <c r="E11" s="68">
        <f>E10</f>
        <v>119.178</v>
      </c>
      <c r="F11" s="69"/>
      <c r="G11" s="68"/>
      <c r="H11" s="70">
        <v>0</v>
      </c>
      <c r="I11" s="71"/>
      <c r="J11" s="72"/>
      <c r="K11" s="73"/>
      <c r="L11" s="74">
        <f>L10</f>
        <v>30</v>
      </c>
      <c r="M11" s="75">
        <f>K11+G11</f>
        <v>0</v>
      </c>
      <c r="N11" s="76">
        <f>E11-M11</f>
        <v>119.178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660</v>
      </c>
      <c r="C13" s="170" t="s">
        <v>681</v>
      </c>
      <c r="D13" s="170" t="s">
        <v>663</v>
      </c>
      <c r="E13" s="170" t="s">
        <v>814</v>
      </c>
      <c r="F13" s="170" t="s">
        <v>369</v>
      </c>
      <c r="G13" s="171" t="s">
        <v>370</v>
      </c>
      <c r="H13" s="681" t="s">
        <v>371</v>
      </c>
      <c r="M13" s="80"/>
      <c r="S13" s="80"/>
    </row>
    <row r="14" spans="1:19" ht="106" x14ac:dyDescent="0.35">
      <c r="B14" s="172">
        <v>1</v>
      </c>
      <c r="C14" s="165" t="s">
        <v>372</v>
      </c>
      <c r="D14" s="268">
        <v>119.178</v>
      </c>
      <c r="E14" s="268">
        <v>118.39700000000001</v>
      </c>
      <c r="F14" s="268">
        <v>119.178</v>
      </c>
      <c r="G14" s="173">
        <f>D14-F14</f>
        <v>0</v>
      </c>
      <c r="H14" s="682" t="s">
        <v>2283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119.178</v>
      </c>
      <c r="E15" s="269">
        <v>118.39700000000001</v>
      </c>
      <c r="F15" s="269">
        <f>D15-3.854-6.465</f>
        <v>108.85899999999999</v>
      </c>
      <c r="G15" s="177">
        <f>D15-F15</f>
        <v>10.319000000000003</v>
      </c>
      <c r="M15" s="80"/>
    </row>
    <row r="16" spans="1:19" ht="22.5" customHeight="1" x14ac:dyDescent="0.35">
      <c r="M16" s="6"/>
      <c r="O16" s="80"/>
    </row>
    <row r="17" spans="6:15" ht="22.5" customHeight="1" x14ac:dyDescent="0.35">
      <c r="F17" s="683"/>
      <c r="M17" s="80"/>
      <c r="O17" s="80"/>
    </row>
    <row r="18" spans="6:15" ht="22.5" customHeight="1" x14ac:dyDescent="0.35">
      <c r="M18" s="80"/>
      <c r="O18" s="81"/>
    </row>
    <row r="19" spans="6:15" ht="22.5" customHeight="1" x14ac:dyDescent="0.35">
      <c r="M19" s="80"/>
      <c r="O19" s="81"/>
    </row>
    <row r="20" spans="6:15" ht="22.5" customHeight="1" x14ac:dyDescent="0.35">
      <c r="M20" s="80"/>
      <c r="O20" s="81"/>
    </row>
    <row r="21" spans="6:15" ht="22.5" customHeight="1" x14ac:dyDescent="0.35">
      <c r="M21" s="80"/>
      <c r="O21" s="81"/>
    </row>
    <row r="22" spans="6:15" ht="22.5" customHeight="1" x14ac:dyDescent="0.35">
      <c r="M22" s="80"/>
    </row>
    <row r="23" spans="6:15" ht="22.5" customHeight="1" x14ac:dyDescent="0.35">
      <c r="M23" s="80"/>
    </row>
    <row r="24" spans="6:15" ht="22.5" customHeight="1" x14ac:dyDescent="0.35">
      <c r="M24" s="80"/>
    </row>
    <row r="25" spans="6:15" ht="22.5" customHeight="1" x14ac:dyDescent="0.35">
      <c r="M25" s="80"/>
    </row>
    <row r="26" spans="6:15" ht="22.5" customHeight="1" x14ac:dyDescent="0.35">
      <c r="M26" s="80"/>
    </row>
    <row r="27" spans="6:15" ht="22.5" customHeight="1" x14ac:dyDescent="0.35">
      <c r="M27" s="80"/>
    </row>
  </sheetData>
  <mergeCells count="25">
    <mergeCell ref="A1:R1"/>
    <mergeCell ref="A2:R2"/>
    <mergeCell ref="A3:R3"/>
    <mergeCell ref="A4:M4"/>
    <mergeCell ref="O4:R4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8:C8"/>
    <mergeCell ref="A9:C9"/>
    <mergeCell ref="A10:B11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Q279"/>
  <sheetViews>
    <sheetView zoomScale="85" zoomScaleNormal="85" workbookViewId="0">
      <pane xSplit="4" ySplit="2" topLeftCell="E262" activePane="bottomRight" state="frozen"/>
      <selection pane="topRight" activeCell="E1" sqref="E1"/>
      <selection pane="bottomLeft" activeCell="A3" sqref="A3"/>
      <selection pane="bottomRight" activeCell="D282" sqref="D282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8" width="14.36328125" style="6" hidden="1" customWidth="1"/>
    <col min="9" max="9" width="22.26953125" style="20" customWidth="1"/>
    <col min="10" max="10" width="17" style="6" customWidth="1"/>
    <col min="11" max="11" width="12.90625" style="6" customWidth="1"/>
    <col min="12" max="12" width="19.453125" style="6" customWidth="1"/>
    <col min="13" max="13" width="17.81640625" style="6" customWidth="1"/>
    <col min="14" max="14" width="27.1796875" style="6" bestFit="1" customWidth="1"/>
    <col min="15" max="15" width="18.54296875" style="6" hidden="1" customWidth="1"/>
    <col min="16" max="16" width="18.81640625" style="6" hidden="1" customWidth="1"/>
    <col min="17" max="17" width="17.54296875" style="6" hidden="1" customWidth="1"/>
    <col min="18" max="16384" width="9.1796875" style="6"/>
  </cols>
  <sheetData>
    <row r="1" spans="1:17" ht="21" customHeight="1" x14ac:dyDescent="0.35">
      <c r="A1" s="445" t="s">
        <v>410</v>
      </c>
      <c r="B1" s="445"/>
      <c r="C1" s="445"/>
      <c r="D1" s="445"/>
      <c r="E1" s="445"/>
      <c r="F1" s="445"/>
      <c r="G1" s="676">
        <f>SUBTOTAL(9,G3:G299)</f>
        <v>193.03990240831999</v>
      </c>
      <c r="H1" s="677">
        <f>SUBTOTAL(9,H3:H273)</f>
        <v>0</v>
      </c>
      <c r="I1" s="447"/>
      <c r="J1" s="445"/>
      <c r="K1" s="445"/>
      <c r="L1" s="445"/>
      <c r="M1" s="445"/>
      <c r="N1" s="445"/>
      <c r="O1" s="675"/>
      <c r="P1" s="445"/>
      <c r="Q1" s="445"/>
    </row>
    <row r="2" spans="1:17" x14ac:dyDescent="0.35">
      <c r="A2" s="33" t="s">
        <v>411</v>
      </c>
      <c r="B2" s="33" t="s">
        <v>412</v>
      </c>
      <c r="C2" s="558" t="s">
        <v>2153</v>
      </c>
      <c r="D2" s="33" t="s">
        <v>413</v>
      </c>
      <c r="E2" s="33" t="s">
        <v>414</v>
      </c>
      <c r="F2" s="33" t="s">
        <v>2263</v>
      </c>
      <c r="G2" s="33" t="s">
        <v>2262</v>
      </c>
      <c r="H2" s="33" t="s">
        <v>2248</v>
      </c>
      <c r="I2" s="446" t="s">
        <v>415</v>
      </c>
      <c r="J2" s="33" t="s">
        <v>416</v>
      </c>
      <c r="K2" s="33" t="s">
        <v>417</v>
      </c>
      <c r="L2" s="33" t="s">
        <v>2148</v>
      </c>
      <c r="M2" s="446" t="s">
        <v>2147</v>
      </c>
      <c r="N2" s="33" t="s">
        <v>2155</v>
      </c>
      <c r="O2" s="495" t="s">
        <v>418</v>
      </c>
      <c r="P2" s="33" t="s">
        <v>419</v>
      </c>
      <c r="Q2" s="33" t="s">
        <v>420</v>
      </c>
    </row>
    <row r="3" spans="1:17" ht="14.5" customHeight="1" x14ac:dyDescent="0.35">
      <c r="A3" s="34">
        <v>1</v>
      </c>
      <c r="B3" s="34" t="s">
        <v>50</v>
      </c>
      <c r="C3" s="34" t="s">
        <v>2131</v>
      </c>
      <c r="D3" s="34" t="s">
        <v>31</v>
      </c>
      <c r="E3" s="34" t="s">
        <v>347</v>
      </c>
      <c r="F3" s="34"/>
      <c r="G3" s="34"/>
      <c r="H3" s="34"/>
      <c r="I3" s="448" t="s">
        <v>421</v>
      </c>
      <c r="J3" s="2"/>
      <c r="K3" s="554">
        <v>45658</v>
      </c>
      <c r="L3" s="554"/>
      <c r="M3" s="554" t="s">
        <v>2253</v>
      </c>
      <c r="N3" s="34" t="s">
        <v>422</v>
      </c>
      <c r="O3" s="272" t="s">
        <v>423</v>
      </c>
      <c r="P3" s="35" t="s">
        <v>424</v>
      </c>
      <c r="Q3" s="2"/>
    </row>
    <row r="4" spans="1:17" ht="14.5" customHeight="1" x14ac:dyDescent="0.35">
      <c r="A4" s="34">
        <v>2</v>
      </c>
      <c r="B4" s="34" t="s">
        <v>52</v>
      </c>
      <c r="C4" s="34" t="s">
        <v>2131</v>
      </c>
      <c r="D4" s="34" t="s">
        <v>33</v>
      </c>
      <c r="E4" s="34" t="s">
        <v>347</v>
      </c>
      <c r="F4" s="34"/>
      <c r="G4" s="34"/>
      <c r="H4" s="34"/>
      <c r="I4" s="448" t="s">
        <v>421</v>
      </c>
      <c r="J4" s="2"/>
      <c r="K4" s="554">
        <v>45658</v>
      </c>
      <c r="L4" s="554"/>
      <c r="M4" s="554" t="s">
        <v>2253</v>
      </c>
      <c r="N4" s="34" t="s">
        <v>422</v>
      </c>
      <c r="O4" s="272" t="s">
        <v>423</v>
      </c>
      <c r="P4" s="35" t="s">
        <v>424</v>
      </c>
      <c r="Q4" s="2"/>
    </row>
    <row r="5" spans="1:17" ht="14.5" customHeight="1" x14ac:dyDescent="0.35">
      <c r="A5" s="34">
        <v>3</v>
      </c>
      <c r="B5" s="34" t="s">
        <v>53</v>
      </c>
      <c r="C5" s="34" t="s">
        <v>2131</v>
      </c>
      <c r="D5" s="34" t="s">
        <v>33</v>
      </c>
      <c r="E5" s="34" t="s">
        <v>347</v>
      </c>
      <c r="F5" s="34"/>
      <c r="G5" s="34"/>
      <c r="H5" s="34"/>
      <c r="I5" s="448" t="s">
        <v>421</v>
      </c>
      <c r="J5" s="2"/>
      <c r="K5" s="554">
        <v>45658</v>
      </c>
      <c r="L5" s="554"/>
      <c r="M5" s="554" t="s">
        <v>2253</v>
      </c>
      <c r="N5" s="34" t="s">
        <v>422</v>
      </c>
      <c r="O5" s="272" t="s">
        <v>423</v>
      </c>
      <c r="P5" s="35" t="s">
        <v>424</v>
      </c>
      <c r="Q5" s="2"/>
    </row>
    <row r="6" spans="1:17" ht="14.5" customHeight="1" x14ac:dyDescent="0.35">
      <c r="A6" s="34">
        <v>4</v>
      </c>
      <c r="B6" s="34" t="s">
        <v>55</v>
      </c>
      <c r="C6" s="34" t="s">
        <v>2131</v>
      </c>
      <c r="D6" s="34" t="s">
        <v>31</v>
      </c>
      <c r="E6" s="34" t="s">
        <v>347</v>
      </c>
      <c r="F6" s="34"/>
      <c r="G6" s="34"/>
      <c r="H6" s="34"/>
      <c r="I6" s="448" t="s">
        <v>421</v>
      </c>
      <c r="J6" s="2"/>
      <c r="K6" s="554">
        <v>45658</v>
      </c>
      <c r="L6" s="554"/>
      <c r="M6" s="554" t="s">
        <v>2253</v>
      </c>
      <c r="N6" s="34" t="s">
        <v>425</v>
      </c>
      <c r="O6" s="272" t="s">
        <v>423</v>
      </c>
      <c r="P6" s="35" t="s">
        <v>424</v>
      </c>
      <c r="Q6" s="2"/>
    </row>
    <row r="7" spans="1:17" ht="14.5" customHeight="1" x14ac:dyDescent="0.35">
      <c r="A7" s="34">
        <v>5</v>
      </c>
      <c r="B7" s="34" t="s">
        <v>104</v>
      </c>
      <c r="C7" s="34" t="s">
        <v>2131</v>
      </c>
      <c r="D7" s="34" t="s">
        <v>31</v>
      </c>
      <c r="E7" s="34" t="s">
        <v>347</v>
      </c>
      <c r="F7" s="34"/>
      <c r="G7" s="34"/>
      <c r="H7" s="34"/>
      <c r="I7" s="448" t="s">
        <v>421</v>
      </c>
      <c r="J7" s="2"/>
      <c r="K7" s="554">
        <v>45658</v>
      </c>
      <c r="L7" s="554"/>
      <c r="M7" s="554" t="s">
        <v>2253</v>
      </c>
      <c r="N7" s="34" t="s">
        <v>422</v>
      </c>
      <c r="O7" s="272" t="s">
        <v>423</v>
      </c>
      <c r="P7" s="36"/>
      <c r="Q7" s="2"/>
    </row>
    <row r="8" spans="1:17" ht="14.5" customHeight="1" x14ac:dyDescent="0.35">
      <c r="A8" s="34">
        <v>6</v>
      </c>
      <c r="B8" s="262" t="s">
        <v>54</v>
      </c>
      <c r="C8" s="34" t="s">
        <v>2131</v>
      </c>
      <c r="D8" s="34" t="s">
        <v>31</v>
      </c>
      <c r="E8" s="34" t="s">
        <v>347</v>
      </c>
      <c r="F8" s="34"/>
      <c r="G8" s="34"/>
      <c r="H8" s="34"/>
      <c r="I8" s="448" t="s">
        <v>421</v>
      </c>
      <c r="J8" s="2"/>
      <c r="K8" s="554">
        <v>45689</v>
      </c>
      <c r="L8" s="554"/>
      <c r="M8" s="554" t="s">
        <v>2254</v>
      </c>
      <c r="N8" s="34" t="s">
        <v>422</v>
      </c>
      <c r="O8" s="272" t="s">
        <v>423</v>
      </c>
      <c r="P8" s="35" t="s">
        <v>424</v>
      </c>
      <c r="Q8" s="2"/>
    </row>
    <row r="9" spans="1:17" ht="14.5" customHeight="1" x14ac:dyDescent="0.35">
      <c r="A9" s="34">
        <v>7</v>
      </c>
      <c r="B9" s="262" t="s">
        <v>56</v>
      </c>
      <c r="C9" s="34" t="s">
        <v>2131</v>
      </c>
      <c r="D9" s="34" t="s">
        <v>31</v>
      </c>
      <c r="E9" s="34" t="s">
        <v>348</v>
      </c>
      <c r="F9" s="34"/>
      <c r="G9" s="34"/>
      <c r="H9" s="34"/>
      <c r="I9" s="448" t="s">
        <v>421</v>
      </c>
      <c r="J9" s="2"/>
      <c r="K9" s="554">
        <v>45689</v>
      </c>
      <c r="L9" s="554"/>
      <c r="M9" s="554" t="s">
        <v>2254</v>
      </c>
      <c r="N9" s="34" t="s">
        <v>425</v>
      </c>
      <c r="O9" s="272" t="s">
        <v>423</v>
      </c>
      <c r="P9" s="35" t="s">
        <v>424</v>
      </c>
      <c r="Q9" s="2"/>
    </row>
    <row r="10" spans="1:17" ht="14.5" customHeight="1" x14ac:dyDescent="0.35">
      <c r="A10" s="34">
        <v>8</v>
      </c>
      <c r="B10" s="262" t="s">
        <v>57</v>
      </c>
      <c r="C10" s="34" t="s">
        <v>2131</v>
      </c>
      <c r="D10" s="34" t="s">
        <v>33</v>
      </c>
      <c r="E10" s="34" t="s">
        <v>348</v>
      </c>
      <c r="F10" s="34"/>
      <c r="G10" s="34"/>
      <c r="H10" s="34"/>
      <c r="I10" s="448" t="s">
        <v>421</v>
      </c>
      <c r="J10" s="2"/>
      <c r="K10" s="554">
        <v>45689</v>
      </c>
      <c r="L10" s="554"/>
      <c r="M10" s="554" t="s">
        <v>2254</v>
      </c>
      <c r="N10" s="34" t="s">
        <v>425</v>
      </c>
      <c r="O10" s="272" t="s">
        <v>423</v>
      </c>
      <c r="P10" s="35" t="s">
        <v>424</v>
      </c>
      <c r="Q10" s="2"/>
    </row>
    <row r="11" spans="1:17" ht="14.5" customHeight="1" x14ac:dyDescent="0.35">
      <c r="A11" s="34">
        <v>9</v>
      </c>
      <c r="B11" s="34" t="s">
        <v>51</v>
      </c>
      <c r="C11" s="34" t="s">
        <v>2131</v>
      </c>
      <c r="D11" s="34" t="s">
        <v>33</v>
      </c>
      <c r="E11" s="34" t="s">
        <v>347</v>
      </c>
      <c r="F11" s="34"/>
      <c r="G11" s="34"/>
      <c r="H11" s="34"/>
      <c r="I11" s="448" t="s">
        <v>421</v>
      </c>
      <c r="J11" s="2"/>
      <c r="K11" s="554">
        <v>45689</v>
      </c>
      <c r="L11" s="554"/>
      <c r="M11" s="554" t="s">
        <v>2254</v>
      </c>
      <c r="N11" s="34" t="s">
        <v>422</v>
      </c>
      <c r="O11" s="272" t="s">
        <v>423</v>
      </c>
      <c r="P11" s="35" t="s">
        <v>424</v>
      </c>
      <c r="Q11" s="2"/>
    </row>
    <row r="12" spans="1:17" ht="14.5" customHeight="1" x14ac:dyDescent="0.35">
      <c r="A12" s="34">
        <v>10</v>
      </c>
      <c r="B12" s="263" t="s">
        <v>101</v>
      </c>
      <c r="C12" s="34" t="s">
        <v>2131</v>
      </c>
      <c r="D12" s="37" t="s">
        <v>31</v>
      </c>
      <c r="E12" s="34" t="s">
        <v>347</v>
      </c>
      <c r="F12" s="34"/>
      <c r="G12" s="34"/>
      <c r="H12" s="34"/>
      <c r="I12" s="448" t="s">
        <v>421</v>
      </c>
      <c r="J12" s="2"/>
      <c r="K12" s="554">
        <v>45689</v>
      </c>
      <c r="L12" s="554"/>
      <c r="M12" s="554" t="s">
        <v>2254</v>
      </c>
      <c r="N12" s="34" t="s">
        <v>426</v>
      </c>
      <c r="O12" s="272" t="s">
        <v>423</v>
      </c>
      <c r="P12" s="35" t="s">
        <v>424</v>
      </c>
      <c r="Q12" s="2"/>
    </row>
    <row r="13" spans="1:17" ht="14.5" customHeight="1" x14ac:dyDescent="0.35">
      <c r="A13" s="34">
        <v>11</v>
      </c>
      <c r="B13" s="263" t="s">
        <v>97</v>
      </c>
      <c r="C13" s="34" t="s">
        <v>2131</v>
      </c>
      <c r="D13" s="37" t="s">
        <v>31</v>
      </c>
      <c r="E13" s="34" t="s">
        <v>347</v>
      </c>
      <c r="F13" s="34"/>
      <c r="G13" s="34"/>
      <c r="H13" s="34"/>
      <c r="I13" s="448" t="s">
        <v>421</v>
      </c>
      <c r="J13" s="2"/>
      <c r="K13" s="554">
        <v>45689</v>
      </c>
      <c r="L13" s="554"/>
      <c r="M13" s="554" t="s">
        <v>2254</v>
      </c>
      <c r="N13" s="34" t="s">
        <v>426</v>
      </c>
      <c r="O13" s="272" t="s">
        <v>423</v>
      </c>
      <c r="P13" s="35" t="s">
        <v>424</v>
      </c>
      <c r="Q13" s="2"/>
    </row>
    <row r="14" spans="1:17" ht="14.5" customHeight="1" x14ac:dyDescent="0.35">
      <c r="A14" s="34">
        <v>12</v>
      </c>
      <c r="B14" s="263" t="s">
        <v>47</v>
      </c>
      <c r="C14" s="34" t="s">
        <v>2131</v>
      </c>
      <c r="D14" s="37" t="s">
        <v>31</v>
      </c>
      <c r="E14" s="34" t="s">
        <v>347</v>
      </c>
      <c r="F14" s="34"/>
      <c r="G14" s="34"/>
      <c r="H14" s="34"/>
      <c r="I14" s="448" t="s">
        <v>421</v>
      </c>
      <c r="J14" s="2"/>
      <c r="K14" s="554">
        <v>45689</v>
      </c>
      <c r="L14" s="554"/>
      <c r="M14" s="554" t="s">
        <v>2254</v>
      </c>
      <c r="N14" s="34" t="s">
        <v>425</v>
      </c>
      <c r="O14" s="272" t="s">
        <v>423</v>
      </c>
      <c r="P14" s="35" t="s">
        <v>424</v>
      </c>
      <c r="Q14" s="2"/>
    </row>
    <row r="15" spans="1:17" ht="14.5" customHeight="1" x14ac:dyDescent="0.35">
      <c r="A15" s="34">
        <v>13</v>
      </c>
      <c r="B15" s="263" t="s">
        <v>64</v>
      </c>
      <c r="C15" s="34" t="s">
        <v>2131</v>
      </c>
      <c r="D15" s="37" t="s">
        <v>16</v>
      </c>
      <c r="E15" s="37" t="s">
        <v>347</v>
      </c>
      <c r="F15" s="37"/>
      <c r="G15" s="37"/>
      <c r="H15" s="37"/>
      <c r="I15" s="448" t="s">
        <v>421</v>
      </c>
      <c r="J15" s="2"/>
      <c r="K15" s="554">
        <v>45689</v>
      </c>
      <c r="L15" s="554"/>
      <c r="M15" s="554" t="s">
        <v>2254</v>
      </c>
      <c r="N15" s="34" t="s">
        <v>422</v>
      </c>
      <c r="O15" s="272" t="s">
        <v>423</v>
      </c>
      <c r="P15" s="36"/>
      <c r="Q15" s="2"/>
    </row>
    <row r="16" spans="1:17" ht="14.5" customHeight="1" x14ac:dyDescent="0.35">
      <c r="A16" s="34">
        <v>14</v>
      </c>
      <c r="B16" s="263" t="s">
        <v>98</v>
      </c>
      <c r="C16" s="34" t="s">
        <v>2131</v>
      </c>
      <c r="D16" s="37" t="s">
        <v>31</v>
      </c>
      <c r="E16" s="34" t="s">
        <v>347</v>
      </c>
      <c r="F16" s="34"/>
      <c r="G16" s="34"/>
      <c r="H16" s="34"/>
      <c r="I16" s="448" t="s">
        <v>421</v>
      </c>
      <c r="J16" s="2"/>
      <c r="K16" s="554">
        <v>45689</v>
      </c>
      <c r="L16" s="554"/>
      <c r="M16" s="554" t="s">
        <v>2254</v>
      </c>
      <c r="N16" s="34" t="s">
        <v>426</v>
      </c>
      <c r="O16" s="272" t="s">
        <v>423</v>
      </c>
      <c r="P16" s="35" t="s">
        <v>424</v>
      </c>
      <c r="Q16" s="2"/>
    </row>
    <row r="17" spans="1:17" ht="14.5" customHeight="1" x14ac:dyDescent="0.35">
      <c r="A17" s="34">
        <v>15</v>
      </c>
      <c r="B17" s="263" t="s">
        <v>79</v>
      </c>
      <c r="C17" s="34" t="s">
        <v>2131</v>
      </c>
      <c r="D17" s="37" t="s">
        <v>427</v>
      </c>
      <c r="E17" s="37" t="s">
        <v>347</v>
      </c>
      <c r="F17" s="37"/>
      <c r="G17" s="37"/>
      <c r="H17" s="37"/>
      <c r="I17" s="448" t="s">
        <v>421</v>
      </c>
      <c r="J17" s="2"/>
      <c r="K17" s="554">
        <v>45689</v>
      </c>
      <c r="L17" s="554"/>
      <c r="M17" s="554" t="s">
        <v>2254</v>
      </c>
      <c r="N17" s="34" t="s">
        <v>428</v>
      </c>
      <c r="O17" s="272" t="s">
        <v>423</v>
      </c>
      <c r="P17" s="35" t="s">
        <v>424</v>
      </c>
      <c r="Q17" s="2"/>
    </row>
    <row r="18" spans="1:17" ht="14.5" customHeight="1" x14ac:dyDescent="0.35">
      <c r="A18" s="34">
        <v>16</v>
      </c>
      <c r="B18" s="34" t="s">
        <v>92</v>
      </c>
      <c r="C18" s="34" t="s">
        <v>2131</v>
      </c>
      <c r="D18" s="37" t="s">
        <v>33</v>
      </c>
      <c r="E18" s="37" t="s">
        <v>347</v>
      </c>
      <c r="F18" s="37"/>
      <c r="G18" s="37"/>
      <c r="H18" s="37"/>
      <c r="I18" s="448" t="s">
        <v>421</v>
      </c>
      <c r="J18" s="2"/>
      <c r="K18" s="554">
        <v>45689</v>
      </c>
      <c r="L18" s="554"/>
      <c r="M18" s="554" t="s">
        <v>2254</v>
      </c>
      <c r="N18" s="34" t="s">
        <v>429</v>
      </c>
      <c r="O18" s="272" t="s">
        <v>423</v>
      </c>
      <c r="P18" s="35" t="s">
        <v>424</v>
      </c>
      <c r="Q18" s="2"/>
    </row>
    <row r="19" spans="1:17" ht="14.5" customHeight="1" x14ac:dyDescent="0.35">
      <c r="A19" s="34">
        <v>17</v>
      </c>
      <c r="B19" s="34" t="s">
        <v>99</v>
      </c>
      <c r="C19" s="34" t="s">
        <v>2131</v>
      </c>
      <c r="D19" s="34" t="s">
        <v>33</v>
      </c>
      <c r="E19" s="37" t="s">
        <v>347</v>
      </c>
      <c r="F19" s="37"/>
      <c r="G19" s="37"/>
      <c r="H19" s="37"/>
      <c r="I19" s="448" t="s">
        <v>421</v>
      </c>
      <c r="J19" s="2"/>
      <c r="K19" s="554">
        <v>45689</v>
      </c>
      <c r="L19" s="554"/>
      <c r="M19" s="554" t="s">
        <v>2254</v>
      </c>
      <c r="N19" s="34" t="s">
        <v>426</v>
      </c>
      <c r="O19" s="272" t="s">
        <v>423</v>
      </c>
      <c r="P19" s="35" t="s">
        <v>424</v>
      </c>
      <c r="Q19" s="2"/>
    </row>
    <row r="20" spans="1:17" ht="14.5" customHeight="1" x14ac:dyDescent="0.35">
      <c r="A20" s="34">
        <v>18</v>
      </c>
      <c r="B20" s="34" t="s">
        <v>63</v>
      </c>
      <c r="C20" s="34" t="s">
        <v>2131</v>
      </c>
      <c r="D20" s="34" t="s">
        <v>31</v>
      </c>
      <c r="E20" s="34" t="s">
        <v>347</v>
      </c>
      <c r="F20" s="34"/>
      <c r="G20" s="34"/>
      <c r="H20" s="34"/>
      <c r="I20" s="448" t="s">
        <v>421</v>
      </c>
      <c r="J20" s="2"/>
      <c r="K20" s="554">
        <v>45689</v>
      </c>
      <c r="L20" s="554"/>
      <c r="M20" s="554" t="s">
        <v>2254</v>
      </c>
      <c r="N20" s="34" t="s">
        <v>422</v>
      </c>
      <c r="O20" s="272" t="s">
        <v>423</v>
      </c>
      <c r="P20" s="35" t="s">
        <v>424</v>
      </c>
      <c r="Q20" s="2"/>
    </row>
    <row r="21" spans="1:17" ht="14.5" customHeight="1" x14ac:dyDescent="0.35">
      <c r="A21" s="34">
        <v>19</v>
      </c>
      <c r="B21" s="34" t="s">
        <v>80</v>
      </c>
      <c r="C21" s="34" t="s">
        <v>2131</v>
      </c>
      <c r="D21" s="34" t="s">
        <v>31</v>
      </c>
      <c r="E21" s="34" t="s">
        <v>347</v>
      </c>
      <c r="F21" s="34"/>
      <c r="G21" s="34"/>
      <c r="H21" s="34"/>
      <c r="I21" s="448" t="s">
        <v>421</v>
      </c>
      <c r="J21" s="2"/>
      <c r="K21" s="554">
        <v>45689</v>
      </c>
      <c r="L21" s="554"/>
      <c r="M21" s="554" t="s">
        <v>2254</v>
      </c>
      <c r="N21" s="34" t="s">
        <v>428</v>
      </c>
      <c r="O21" s="272" t="s">
        <v>423</v>
      </c>
      <c r="P21" s="35" t="s">
        <v>424</v>
      </c>
      <c r="Q21" s="2"/>
    </row>
    <row r="22" spans="1:17" ht="14.5" customHeight="1" x14ac:dyDescent="0.35">
      <c r="A22" s="34">
        <v>20</v>
      </c>
      <c r="B22" s="34" t="s">
        <v>48</v>
      </c>
      <c r="C22" s="34" t="s">
        <v>2131</v>
      </c>
      <c r="D22" s="34" t="s">
        <v>31</v>
      </c>
      <c r="E22" s="34" t="s">
        <v>347</v>
      </c>
      <c r="F22" s="34"/>
      <c r="G22" s="34"/>
      <c r="H22" s="34"/>
      <c r="I22" s="448" t="s">
        <v>421</v>
      </c>
      <c r="J22" s="2"/>
      <c r="K22" s="554">
        <v>45717</v>
      </c>
      <c r="L22" s="554"/>
      <c r="M22" s="554" t="s">
        <v>2255</v>
      </c>
      <c r="N22" s="34" t="s">
        <v>425</v>
      </c>
      <c r="O22" s="272" t="s">
        <v>423</v>
      </c>
      <c r="P22" s="35" t="s">
        <v>424</v>
      </c>
      <c r="Q22" s="2"/>
    </row>
    <row r="23" spans="1:17" ht="14.5" customHeight="1" x14ac:dyDescent="0.35">
      <c r="A23" s="34">
        <v>21</v>
      </c>
      <c r="B23" s="34" t="s">
        <v>94</v>
      </c>
      <c r="C23" s="34" t="s">
        <v>2131</v>
      </c>
      <c r="D23" s="34" t="s">
        <v>16</v>
      </c>
      <c r="E23" s="37" t="s">
        <v>347</v>
      </c>
      <c r="F23" s="37"/>
      <c r="G23" s="37"/>
      <c r="H23" s="37"/>
      <c r="I23" s="448" t="s">
        <v>421</v>
      </c>
      <c r="J23" s="2"/>
      <c r="K23" s="554">
        <v>45717</v>
      </c>
      <c r="L23" s="554"/>
      <c r="M23" s="554" t="s">
        <v>2255</v>
      </c>
      <c r="N23" s="34" t="s">
        <v>429</v>
      </c>
      <c r="O23" s="272" t="s">
        <v>423</v>
      </c>
      <c r="P23" s="35" t="s">
        <v>424</v>
      </c>
      <c r="Q23" s="2"/>
    </row>
    <row r="24" spans="1:17" ht="14.5" customHeight="1" x14ac:dyDescent="0.35">
      <c r="A24" s="34">
        <v>22</v>
      </c>
      <c r="B24" s="34" t="s">
        <v>102</v>
      </c>
      <c r="C24" s="34" t="s">
        <v>2131</v>
      </c>
      <c r="D24" s="34" t="s">
        <v>389</v>
      </c>
      <c r="E24" s="37" t="s">
        <v>349</v>
      </c>
      <c r="F24" s="37"/>
      <c r="G24" s="37"/>
      <c r="H24" s="37"/>
      <c r="I24" s="448" t="s">
        <v>421</v>
      </c>
      <c r="J24" s="2"/>
      <c r="K24" s="554">
        <v>45717</v>
      </c>
      <c r="L24" s="554"/>
      <c r="M24" s="554" t="s">
        <v>2255</v>
      </c>
      <c r="N24" s="34" t="s">
        <v>426</v>
      </c>
      <c r="O24" s="272" t="s">
        <v>423</v>
      </c>
      <c r="P24" s="35" t="s">
        <v>424</v>
      </c>
      <c r="Q24" s="2"/>
    </row>
    <row r="25" spans="1:17" ht="14.5" customHeight="1" x14ac:dyDescent="0.35">
      <c r="A25" s="34">
        <v>23</v>
      </c>
      <c r="B25" s="34" t="s">
        <v>82</v>
      </c>
      <c r="C25" s="34" t="s">
        <v>2131</v>
      </c>
      <c r="D25" s="34" t="s">
        <v>389</v>
      </c>
      <c r="E25" s="37" t="s">
        <v>347</v>
      </c>
      <c r="F25" s="37"/>
      <c r="G25" s="37"/>
      <c r="H25" s="37"/>
      <c r="I25" s="448" t="s">
        <v>421</v>
      </c>
      <c r="J25" s="2"/>
      <c r="K25" s="554">
        <v>45717</v>
      </c>
      <c r="L25" s="554"/>
      <c r="M25" s="554" t="s">
        <v>2255</v>
      </c>
      <c r="N25" s="34" t="s">
        <v>428</v>
      </c>
      <c r="O25" s="272" t="s">
        <v>423</v>
      </c>
      <c r="P25" s="36"/>
      <c r="Q25" s="2"/>
    </row>
    <row r="26" spans="1:17" ht="14.5" customHeight="1" x14ac:dyDescent="0.35">
      <c r="A26" s="34">
        <v>24</v>
      </c>
      <c r="B26" s="34" t="s">
        <v>108</v>
      </c>
      <c r="C26" s="34" t="s">
        <v>2131</v>
      </c>
      <c r="D26" s="34" t="s">
        <v>389</v>
      </c>
      <c r="E26" s="37" t="s">
        <v>347</v>
      </c>
      <c r="F26" s="37"/>
      <c r="G26" s="37"/>
      <c r="H26" s="37"/>
      <c r="I26" s="448" t="s">
        <v>421</v>
      </c>
      <c r="J26" s="2"/>
      <c r="K26" s="554">
        <v>45717</v>
      </c>
      <c r="L26" s="554"/>
      <c r="M26" s="554" t="s">
        <v>2255</v>
      </c>
      <c r="N26" s="34" t="s">
        <v>426</v>
      </c>
      <c r="O26" s="272" t="s">
        <v>423</v>
      </c>
      <c r="P26" s="35" t="s">
        <v>424</v>
      </c>
      <c r="Q26" s="2"/>
    </row>
    <row r="27" spans="1:17" ht="14.5" customHeight="1" x14ac:dyDescent="0.35">
      <c r="A27" s="34">
        <v>25</v>
      </c>
      <c r="B27" s="34" t="s">
        <v>46</v>
      </c>
      <c r="C27" s="34" t="s">
        <v>2131</v>
      </c>
      <c r="D27" s="34" t="s">
        <v>31</v>
      </c>
      <c r="E27" s="34" t="s">
        <v>347</v>
      </c>
      <c r="F27" s="34"/>
      <c r="G27" s="34"/>
      <c r="H27" s="34"/>
      <c r="I27" s="448" t="s">
        <v>421</v>
      </c>
      <c r="J27" s="2"/>
      <c r="K27" s="554">
        <v>45717</v>
      </c>
      <c r="L27" s="554"/>
      <c r="M27" s="554" t="s">
        <v>2255</v>
      </c>
      <c r="N27" s="34" t="s">
        <v>425</v>
      </c>
      <c r="O27" s="272" t="s">
        <v>423</v>
      </c>
      <c r="P27" s="35" t="s">
        <v>424</v>
      </c>
      <c r="Q27" s="2"/>
    </row>
    <row r="28" spans="1:17" ht="14.5" customHeight="1" x14ac:dyDescent="0.35">
      <c r="A28" s="34">
        <v>26</v>
      </c>
      <c r="B28" s="34" t="s">
        <v>81</v>
      </c>
      <c r="C28" s="34" t="s">
        <v>2131</v>
      </c>
      <c r="D28" s="34" t="s">
        <v>31</v>
      </c>
      <c r="E28" s="34" t="s">
        <v>347</v>
      </c>
      <c r="F28" s="34"/>
      <c r="G28" s="34"/>
      <c r="H28" s="34"/>
      <c r="I28" s="448" t="s">
        <v>421</v>
      </c>
      <c r="J28" s="2"/>
      <c r="K28" s="554">
        <v>45717</v>
      </c>
      <c r="L28" s="554"/>
      <c r="M28" s="554" t="s">
        <v>2255</v>
      </c>
      <c r="N28" s="34" t="s">
        <v>428</v>
      </c>
      <c r="O28" s="272" t="s">
        <v>423</v>
      </c>
      <c r="P28" s="36"/>
      <c r="Q28" s="2"/>
    </row>
    <row r="29" spans="1:17" ht="14.5" customHeight="1" x14ac:dyDescent="0.35">
      <c r="A29" s="34">
        <v>27</v>
      </c>
      <c r="B29" s="34" t="s">
        <v>67</v>
      </c>
      <c r="C29" s="34" t="s">
        <v>2131</v>
      </c>
      <c r="D29" s="34" t="s">
        <v>23</v>
      </c>
      <c r="E29" s="34" t="s">
        <v>347</v>
      </c>
      <c r="F29" s="34"/>
      <c r="G29" s="34"/>
      <c r="H29" s="34"/>
      <c r="I29" s="448" t="s">
        <v>421</v>
      </c>
      <c r="J29" s="2"/>
      <c r="K29" s="554">
        <v>45717</v>
      </c>
      <c r="L29" s="554"/>
      <c r="M29" s="554" t="s">
        <v>2255</v>
      </c>
      <c r="N29" s="34" t="s">
        <v>422</v>
      </c>
      <c r="O29" s="272" t="s">
        <v>423</v>
      </c>
      <c r="P29" s="36"/>
      <c r="Q29" s="2"/>
    </row>
    <row r="30" spans="1:17" ht="14.5" customHeight="1" x14ac:dyDescent="0.35">
      <c r="A30" s="34">
        <v>28</v>
      </c>
      <c r="B30" s="34" t="s">
        <v>91</v>
      </c>
      <c r="C30" s="34" t="s">
        <v>2131</v>
      </c>
      <c r="D30" s="34" t="s">
        <v>31</v>
      </c>
      <c r="E30" s="37" t="s">
        <v>349</v>
      </c>
      <c r="F30" s="37"/>
      <c r="G30" s="37"/>
      <c r="H30" s="37"/>
      <c r="I30" s="448" t="s">
        <v>421</v>
      </c>
      <c r="J30" s="2"/>
      <c r="K30" s="554">
        <v>45717</v>
      </c>
      <c r="L30" s="554"/>
      <c r="M30" s="554" t="s">
        <v>2255</v>
      </c>
      <c r="N30" s="34" t="s">
        <v>429</v>
      </c>
      <c r="O30" s="272" t="s">
        <v>423</v>
      </c>
      <c r="P30" s="36"/>
      <c r="Q30" s="2"/>
    </row>
    <row r="31" spans="1:17" ht="14.5" customHeight="1" x14ac:dyDescent="0.35">
      <c r="A31" s="34">
        <v>29</v>
      </c>
      <c r="B31" s="34" t="s">
        <v>95</v>
      </c>
      <c r="C31" s="34" t="s">
        <v>2131</v>
      </c>
      <c r="D31" s="34" t="s">
        <v>23</v>
      </c>
      <c r="E31" s="37" t="s">
        <v>349</v>
      </c>
      <c r="F31" s="37"/>
      <c r="G31" s="37"/>
      <c r="H31" s="37"/>
      <c r="I31" s="448" t="s">
        <v>421</v>
      </c>
      <c r="J31" s="2"/>
      <c r="K31" s="554">
        <v>45717</v>
      </c>
      <c r="L31" s="554"/>
      <c r="M31" s="554" t="s">
        <v>2255</v>
      </c>
      <c r="N31" s="34" t="s">
        <v>426</v>
      </c>
      <c r="O31" s="272" t="s">
        <v>423</v>
      </c>
      <c r="P31" s="35" t="s">
        <v>424</v>
      </c>
      <c r="Q31" s="2"/>
    </row>
    <row r="32" spans="1:17" ht="14.5" customHeight="1" x14ac:dyDescent="0.35">
      <c r="A32" s="34">
        <v>30</v>
      </c>
      <c r="B32" s="34" t="s">
        <v>83</v>
      </c>
      <c r="C32" s="34" t="s">
        <v>2131</v>
      </c>
      <c r="D32" s="34" t="s">
        <v>31</v>
      </c>
      <c r="E32" s="34" t="s">
        <v>347</v>
      </c>
      <c r="F32" s="34"/>
      <c r="G32" s="34"/>
      <c r="H32" s="34"/>
      <c r="I32" s="448" t="s">
        <v>421</v>
      </c>
      <c r="J32" s="2"/>
      <c r="K32" s="554">
        <v>45717</v>
      </c>
      <c r="L32" s="554"/>
      <c r="M32" s="554" t="s">
        <v>2255</v>
      </c>
      <c r="N32" s="34" t="s">
        <v>428</v>
      </c>
      <c r="O32" s="272" t="s">
        <v>423</v>
      </c>
      <c r="P32" s="36"/>
      <c r="Q32" s="2"/>
    </row>
    <row r="33" spans="1:17" ht="14.5" customHeight="1" x14ac:dyDescent="0.35">
      <c r="A33" s="34">
        <v>31</v>
      </c>
      <c r="B33" s="34" t="s">
        <v>66</v>
      </c>
      <c r="C33" s="34" t="s">
        <v>2131</v>
      </c>
      <c r="D33" s="34" t="s">
        <v>31</v>
      </c>
      <c r="E33" s="34" t="s">
        <v>347</v>
      </c>
      <c r="F33" s="34"/>
      <c r="G33" s="34"/>
      <c r="H33" s="34"/>
      <c r="I33" s="448" t="s">
        <v>421</v>
      </c>
      <c r="J33" s="2"/>
      <c r="K33" s="554">
        <v>45717</v>
      </c>
      <c r="L33" s="554"/>
      <c r="M33" s="554" t="s">
        <v>2255</v>
      </c>
      <c r="N33" s="34" t="s">
        <v>422</v>
      </c>
      <c r="O33" s="272" t="s">
        <v>423</v>
      </c>
      <c r="P33" s="36"/>
      <c r="Q33" s="2"/>
    </row>
    <row r="34" spans="1:17" ht="14.5" customHeight="1" x14ac:dyDescent="0.35">
      <c r="A34" s="34">
        <v>32</v>
      </c>
      <c r="B34" s="34" t="s">
        <v>103</v>
      </c>
      <c r="C34" s="34" t="s">
        <v>2131</v>
      </c>
      <c r="D34" s="34" t="s">
        <v>20</v>
      </c>
      <c r="E34" s="34" t="s">
        <v>349</v>
      </c>
      <c r="F34" s="34"/>
      <c r="G34" s="34"/>
      <c r="H34" s="34"/>
      <c r="I34" s="448" t="s">
        <v>421</v>
      </c>
      <c r="J34" s="2"/>
      <c r="K34" s="554">
        <v>45717</v>
      </c>
      <c r="L34" s="554"/>
      <c r="M34" s="554" t="s">
        <v>2255</v>
      </c>
      <c r="N34" s="34" t="s">
        <v>426</v>
      </c>
      <c r="O34" s="272" t="s">
        <v>423</v>
      </c>
      <c r="P34" s="35" t="s">
        <v>424</v>
      </c>
      <c r="Q34" s="2"/>
    </row>
    <row r="35" spans="1:17" ht="14.5" customHeight="1" x14ac:dyDescent="0.35">
      <c r="A35" s="34">
        <v>33</v>
      </c>
      <c r="B35" s="34" t="s">
        <v>93</v>
      </c>
      <c r="C35" s="34" t="s">
        <v>2131</v>
      </c>
      <c r="D35" s="34" t="s">
        <v>31</v>
      </c>
      <c r="E35" s="34" t="s">
        <v>347</v>
      </c>
      <c r="F35" s="34"/>
      <c r="G35" s="34"/>
      <c r="H35" s="34"/>
      <c r="I35" s="448" t="s">
        <v>421</v>
      </c>
      <c r="J35" s="2"/>
      <c r="K35" s="554">
        <v>45717</v>
      </c>
      <c r="L35" s="554"/>
      <c r="M35" s="554" t="s">
        <v>2255</v>
      </c>
      <c r="N35" s="34" t="s">
        <v>429</v>
      </c>
      <c r="O35" s="272" t="s">
        <v>423</v>
      </c>
      <c r="P35" s="35" t="s">
        <v>424</v>
      </c>
      <c r="Q35" s="2"/>
    </row>
    <row r="36" spans="1:17" ht="14.5" customHeight="1" x14ac:dyDescent="0.35">
      <c r="A36" s="34">
        <v>34</v>
      </c>
      <c r="B36" s="34" t="s">
        <v>85</v>
      </c>
      <c r="C36" s="34" t="s">
        <v>2131</v>
      </c>
      <c r="D36" s="34" t="s">
        <v>31</v>
      </c>
      <c r="E36" s="34" t="s">
        <v>347</v>
      </c>
      <c r="F36" s="34"/>
      <c r="G36" s="34"/>
      <c r="H36" s="34"/>
      <c r="I36" s="448" t="s">
        <v>421</v>
      </c>
      <c r="J36" s="2"/>
      <c r="K36" s="554">
        <v>45717</v>
      </c>
      <c r="L36" s="554"/>
      <c r="M36" s="554" t="s">
        <v>2255</v>
      </c>
      <c r="N36" s="34" t="s">
        <v>428</v>
      </c>
      <c r="O36" s="272" t="s">
        <v>423</v>
      </c>
      <c r="P36" s="36"/>
      <c r="Q36" s="2"/>
    </row>
    <row r="37" spans="1:17" ht="14.5" customHeight="1" x14ac:dyDescent="0.35">
      <c r="A37" s="34">
        <v>35</v>
      </c>
      <c r="B37" s="34" t="s">
        <v>107</v>
      </c>
      <c r="C37" s="34" t="s">
        <v>2131</v>
      </c>
      <c r="D37" s="34" t="s">
        <v>31</v>
      </c>
      <c r="E37" s="34" t="s">
        <v>347</v>
      </c>
      <c r="F37" s="34"/>
      <c r="G37" s="34"/>
      <c r="H37" s="34"/>
      <c r="I37" s="448" t="s">
        <v>421</v>
      </c>
      <c r="J37" s="2"/>
      <c r="K37" s="554">
        <v>45717</v>
      </c>
      <c r="L37" s="554"/>
      <c r="M37" s="554" t="s">
        <v>2255</v>
      </c>
      <c r="N37" s="34" t="s">
        <v>426</v>
      </c>
      <c r="O37" s="272" t="s">
        <v>423</v>
      </c>
      <c r="P37" s="35" t="s">
        <v>424</v>
      </c>
      <c r="Q37" s="2"/>
    </row>
    <row r="38" spans="1:17" ht="14.5" customHeight="1" x14ac:dyDescent="0.35">
      <c r="A38" s="34">
        <v>36</v>
      </c>
      <c r="B38" s="34" t="s">
        <v>72</v>
      </c>
      <c r="C38" s="34" t="s">
        <v>2131</v>
      </c>
      <c r="D38" s="34" t="s">
        <v>389</v>
      </c>
      <c r="E38" s="37" t="s">
        <v>347</v>
      </c>
      <c r="F38" s="37"/>
      <c r="G38" s="37"/>
      <c r="H38" s="37"/>
      <c r="I38" s="448" t="s">
        <v>421</v>
      </c>
      <c r="J38" s="2"/>
      <c r="K38" s="554">
        <v>45717</v>
      </c>
      <c r="L38" s="554"/>
      <c r="M38" s="554" t="s">
        <v>2255</v>
      </c>
      <c r="N38" s="34" t="s">
        <v>425</v>
      </c>
      <c r="O38" s="272" t="s">
        <v>423</v>
      </c>
      <c r="P38" s="35" t="s">
        <v>424</v>
      </c>
      <c r="Q38" s="2"/>
    </row>
    <row r="39" spans="1:17" ht="14.5" customHeight="1" x14ac:dyDescent="0.35">
      <c r="A39" s="34">
        <v>37</v>
      </c>
      <c r="B39" s="34" t="s">
        <v>87</v>
      </c>
      <c r="C39" s="34" t="s">
        <v>2131</v>
      </c>
      <c r="D39" s="34" t="s">
        <v>23</v>
      </c>
      <c r="E39" s="34" t="s">
        <v>347</v>
      </c>
      <c r="F39" s="34"/>
      <c r="G39" s="34"/>
      <c r="H39" s="34"/>
      <c r="I39" s="448" t="s">
        <v>421</v>
      </c>
      <c r="J39" s="2"/>
      <c r="K39" s="554">
        <v>45717</v>
      </c>
      <c r="L39" s="554"/>
      <c r="M39" s="554" t="s">
        <v>2255</v>
      </c>
      <c r="N39" s="34" t="s">
        <v>428</v>
      </c>
      <c r="O39" s="272" t="s">
        <v>423</v>
      </c>
      <c r="P39" s="36"/>
      <c r="Q39" s="2"/>
    </row>
    <row r="40" spans="1:17" ht="14.5" customHeight="1" x14ac:dyDescent="0.35">
      <c r="A40" s="34">
        <v>38</v>
      </c>
      <c r="B40" s="34" t="s">
        <v>75</v>
      </c>
      <c r="C40" s="34" t="s">
        <v>2131</v>
      </c>
      <c r="D40" s="34" t="s">
        <v>35</v>
      </c>
      <c r="E40" s="37" t="s">
        <v>347</v>
      </c>
      <c r="F40" s="37"/>
      <c r="G40" s="37"/>
      <c r="H40" s="37"/>
      <c r="I40" s="448" t="s">
        <v>421</v>
      </c>
      <c r="J40" s="2"/>
      <c r="K40" s="554">
        <v>45717</v>
      </c>
      <c r="L40" s="554"/>
      <c r="M40" s="554" t="s">
        <v>2255</v>
      </c>
      <c r="N40" s="34" t="s">
        <v>429</v>
      </c>
      <c r="O40" s="272" t="s">
        <v>423</v>
      </c>
      <c r="P40" s="36"/>
      <c r="Q40" s="2"/>
    </row>
    <row r="41" spans="1:17" ht="14.5" customHeight="1" x14ac:dyDescent="0.35">
      <c r="A41" s="34">
        <v>39</v>
      </c>
      <c r="B41" s="34" t="s">
        <v>88</v>
      </c>
      <c r="C41" s="34" t="s">
        <v>2131</v>
      </c>
      <c r="D41" s="34" t="s">
        <v>33</v>
      </c>
      <c r="E41" s="37" t="s">
        <v>347</v>
      </c>
      <c r="F41" s="37"/>
      <c r="G41" s="37"/>
      <c r="H41" s="37"/>
      <c r="I41" s="448" t="s">
        <v>421</v>
      </c>
      <c r="J41" s="2"/>
      <c r="K41" s="554">
        <v>45717</v>
      </c>
      <c r="L41" s="554"/>
      <c r="M41" s="554" t="s">
        <v>2255</v>
      </c>
      <c r="N41" s="34" t="s">
        <v>428</v>
      </c>
      <c r="O41" s="272" t="s">
        <v>423</v>
      </c>
      <c r="P41" s="36"/>
      <c r="Q41" s="2"/>
    </row>
    <row r="42" spans="1:17" ht="14.5" customHeight="1" x14ac:dyDescent="0.35">
      <c r="A42" s="34">
        <v>40</v>
      </c>
      <c r="B42" s="34" t="s">
        <v>106</v>
      </c>
      <c r="C42" s="34" t="s">
        <v>2131</v>
      </c>
      <c r="D42" s="34" t="s">
        <v>389</v>
      </c>
      <c r="E42" s="37" t="s">
        <v>347</v>
      </c>
      <c r="F42" s="37"/>
      <c r="G42" s="37"/>
      <c r="H42" s="37"/>
      <c r="I42" s="448" t="s">
        <v>421</v>
      </c>
      <c r="J42" s="2"/>
      <c r="K42" s="554">
        <v>45717</v>
      </c>
      <c r="L42" s="554"/>
      <c r="M42" s="554" t="s">
        <v>2255</v>
      </c>
      <c r="N42" s="34" t="s">
        <v>426</v>
      </c>
      <c r="O42" s="272" t="s">
        <v>423</v>
      </c>
      <c r="P42" s="35" t="s">
        <v>424</v>
      </c>
      <c r="Q42" s="2"/>
    </row>
    <row r="43" spans="1:17" ht="14.5" customHeight="1" x14ac:dyDescent="0.35">
      <c r="A43" s="34">
        <v>41</v>
      </c>
      <c r="B43" s="34" t="s">
        <v>71</v>
      </c>
      <c r="C43" s="34" t="s">
        <v>2131</v>
      </c>
      <c r="D43" s="34" t="s">
        <v>33</v>
      </c>
      <c r="E43" s="37" t="s">
        <v>347</v>
      </c>
      <c r="F43" s="37"/>
      <c r="G43" s="37"/>
      <c r="H43" s="37"/>
      <c r="I43" s="448" t="s">
        <v>421</v>
      </c>
      <c r="J43" s="2"/>
      <c r="K43" s="554">
        <v>45717</v>
      </c>
      <c r="L43" s="554"/>
      <c r="M43" s="554" t="s">
        <v>2255</v>
      </c>
      <c r="N43" s="34" t="s">
        <v>425</v>
      </c>
      <c r="O43" s="272" t="s">
        <v>423</v>
      </c>
      <c r="P43" s="35" t="s">
        <v>424</v>
      </c>
      <c r="Q43" s="2"/>
    </row>
    <row r="44" spans="1:17" ht="14.5" customHeight="1" x14ac:dyDescent="0.35">
      <c r="A44" s="34">
        <v>42</v>
      </c>
      <c r="B44" s="34" t="s">
        <v>76</v>
      </c>
      <c r="C44" s="34" t="s">
        <v>2131</v>
      </c>
      <c r="D44" s="34" t="s">
        <v>31</v>
      </c>
      <c r="E44" s="34" t="s">
        <v>347</v>
      </c>
      <c r="F44" s="34"/>
      <c r="G44" s="34"/>
      <c r="H44" s="34"/>
      <c r="I44" s="448" t="s">
        <v>421</v>
      </c>
      <c r="J44" s="2"/>
      <c r="K44" s="554">
        <v>45717</v>
      </c>
      <c r="L44" s="554"/>
      <c r="M44" s="554" t="s">
        <v>2255</v>
      </c>
      <c r="N44" s="34" t="s">
        <v>429</v>
      </c>
      <c r="O44" s="272" t="s">
        <v>423</v>
      </c>
      <c r="P44" s="36"/>
      <c r="Q44" s="2"/>
    </row>
    <row r="45" spans="1:17" ht="14.5" customHeight="1" x14ac:dyDescent="0.35">
      <c r="A45" s="34">
        <v>43</v>
      </c>
      <c r="B45" s="34" t="s">
        <v>86</v>
      </c>
      <c r="C45" s="34" t="s">
        <v>2131</v>
      </c>
      <c r="D45" s="34" t="s">
        <v>31</v>
      </c>
      <c r="E45" s="34" t="s">
        <v>347</v>
      </c>
      <c r="F45" s="34"/>
      <c r="G45" s="34"/>
      <c r="H45" s="34"/>
      <c r="I45" s="448" t="s">
        <v>421</v>
      </c>
      <c r="J45" s="2"/>
      <c r="K45" s="554">
        <v>45717</v>
      </c>
      <c r="L45" s="554"/>
      <c r="M45" s="554" t="s">
        <v>2255</v>
      </c>
      <c r="N45" s="34" t="s">
        <v>428</v>
      </c>
      <c r="O45" s="272" t="s">
        <v>423</v>
      </c>
      <c r="P45" s="36"/>
      <c r="Q45" s="2"/>
    </row>
    <row r="46" spans="1:17" ht="14.5" customHeight="1" x14ac:dyDescent="0.35">
      <c r="A46" s="34">
        <v>44</v>
      </c>
      <c r="B46" s="34" t="s">
        <v>109</v>
      </c>
      <c r="C46" s="34" t="s">
        <v>2131</v>
      </c>
      <c r="D46" s="34" t="s">
        <v>31</v>
      </c>
      <c r="E46" s="34" t="s">
        <v>347</v>
      </c>
      <c r="F46" s="34"/>
      <c r="G46" s="34"/>
      <c r="H46" s="34"/>
      <c r="I46" s="448" t="s">
        <v>421</v>
      </c>
      <c r="J46" s="2"/>
      <c r="K46" s="554">
        <v>45717</v>
      </c>
      <c r="L46" s="554"/>
      <c r="M46" s="554" t="s">
        <v>2255</v>
      </c>
      <c r="N46" s="34" t="s">
        <v>426</v>
      </c>
      <c r="O46" s="272" t="s">
        <v>423</v>
      </c>
      <c r="P46" s="35" t="s">
        <v>424</v>
      </c>
      <c r="Q46" s="2"/>
    </row>
    <row r="47" spans="1:17" ht="14.5" customHeight="1" x14ac:dyDescent="0.35">
      <c r="A47" s="34">
        <v>45</v>
      </c>
      <c r="B47" s="34" t="s">
        <v>105</v>
      </c>
      <c r="C47" s="34" t="s">
        <v>2131</v>
      </c>
      <c r="D47" s="34" t="s">
        <v>16</v>
      </c>
      <c r="E47" s="37" t="s">
        <v>347</v>
      </c>
      <c r="F47" s="37"/>
      <c r="G47" s="37"/>
      <c r="H47" s="37"/>
      <c r="I47" s="448" t="s">
        <v>421</v>
      </c>
      <c r="J47" s="2"/>
      <c r="K47" s="554">
        <v>45717</v>
      </c>
      <c r="L47" s="554"/>
      <c r="M47" s="554" t="s">
        <v>2255</v>
      </c>
      <c r="N47" s="34" t="s">
        <v>426</v>
      </c>
      <c r="O47" s="272" t="s">
        <v>423</v>
      </c>
      <c r="P47" s="35" t="s">
        <v>424</v>
      </c>
      <c r="Q47" s="2"/>
    </row>
    <row r="48" spans="1:17" ht="14.5" customHeight="1" x14ac:dyDescent="0.35">
      <c r="A48" s="34">
        <v>46</v>
      </c>
      <c r="B48" s="34" t="s">
        <v>73</v>
      </c>
      <c r="C48" s="34" t="s">
        <v>2131</v>
      </c>
      <c r="D48" s="34" t="s">
        <v>23</v>
      </c>
      <c r="E48" s="34" t="s">
        <v>347</v>
      </c>
      <c r="F48" s="34"/>
      <c r="G48" s="34"/>
      <c r="H48" s="34"/>
      <c r="I48" s="448" t="s">
        <v>421</v>
      </c>
      <c r="J48" s="2"/>
      <c r="K48" s="554">
        <v>45717</v>
      </c>
      <c r="L48" s="554"/>
      <c r="M48" s="554" t="s">
        <v>2255</v>
      </c>
      <c r="N48" s="34" t="s">
        <v>425</v>
      </c>
      <c r="O48" s="272" t="s">
        <v>423</v>
      </c>
      <c r="P48" s="35" t="s">
        <v>424</v>
      </c>
      <c r="Q48" s="2"/>
    </row>
    <row r="49" spans="1:17" ht="14.5" customHeight="1" x14ac:dyDescent="0.35">
      <c r="A49" s="34">
        <v>47</v>
      </c>
      <c r="B49" s="34" t="s">
        <v>74</v>
      </c>
      <c r="C49" s="34" t="s">
        <v>2131</v>
      </c>
      <c r="D49" s="34" t="s">
        <v>31</v>
      </c>
      <c r="E49" s="34" t="s">
        <v>347</v>
      </c>
      <c r="F49" s="34"/>
      <c r="G49" s="34"/>
      <c r="H49" s="34"/>
      <c r="I49" s="448" t="s">
        <v>421</v>
      </c>
      <c r="J49" s="2"/>
      <c r="K49" s="554">
        <v>45717</v>
      </c>
      <c r="L49" s="554"/>
      <c r="M49" s="554" t="s">
        <v>2255</v>
      </c>
      <c r="N49" s="34" t="s">
        <v>429</v>
      </c>
      <c r="O49" s="272" t="s">
        <v>423</v>
      </c>
      <c r="P49" s="36"/>
      <c r="Q49" s="2"/>
    </row>
    <row r="50" spans="1:17" ht="14.5" customHeight="1" x14ac:dyDescent="0.35">
      <c r="A50" s="34">
        <v>48</v>
      </c>
      <c r="B50" s="34" t="s">
        <v>111</v>
      </c>
      <c r="C50" s="34" t="s">
        <v>2131</v>
      </c>
      <c r="D50" s="34" t="s">
        <v>31</v>
      </c>
      <c r="E50" s="34" t="s">
        <v>347</v>
      </c>
      <c r="F50" s="34"/>
      <c r="G50" s="34"/>
      <c r="H50" s="34"/>
      <c r="I50" s="448" t="s">
        <v>421</v>
      </c>
      <c r="J50" s="2"/>
      <c r="K50" s="554">
        <v>45717</v>
      </c>
      <c r="L50" s="554"/>
      <c r="M50" s="554" t="s">
        <v>2255</v>
      </c>
      <c r="N50" s="34" t="s">
        <v>426</v>
      </c>
      <c r="O50" s="272" t="s">
        <v>423</v>
      </c>
      <c r="P50" s="35" t="s">
        <v>424</v>
      </c>
      <c r="Q50" s="2"/>
    </row>
    <row r="51" spans="1:17" ht="14.5" customHeight="1" x14ac:dyDescent="0.35">
      <c r="A51" s="34">
        <v>49</v>
      </c>
      <c r="B51" s="34" t="s">
        <v>110</v>
      </c>
      <c r="C51" s="34" t="s">
        <v>2131</v>
      </c>
      <c r="D51" s="34" t="s">
        <v>16</v>
      </c>
      <c r="E51" s="34" t="s">
        <v>349</v>
      </c>
      <c r="F51" s="34"/>
      <c r="G51" s="34"/>
      <c r="H51" s="34"/>
      <c r="I51" s="448" t="s">
        <v>421</v>
      </c>
      <c r="J51" s="2"/>
      <c r="K51" s="554">
        <v>45717</v>
      </c>
      <c r="L51" s="554"/>
      <c r="M51" s="554" t="s">
        <v>2255</v>
      </c>
      <c r="N51" s="34" t="s">
        <v>426</v>
      </c>
      <c r="O51" s="272" t="s">
        <v>423</v>
      </c>
      <c r="P51" s="35" t="s">
        <v>424</v>
      </c>
      <c r="Q51" s="2"/>
    </row>
    <row r="52" spans="1:17" ht="14.5" customHeight="1" x14ac:dyDescent="0.35">
      <c r="A52" s="34">
        <v>50</v>
      </c>
      <c r="B52" s="34" t="s">
        <v>136</v>
      </c>
      <c r="C52" s="34" t="s">
        <v>2131</v>
      </c>
      <c r="D52" s="34" t="s">
        <v>16</v>
      </c>
      <c r="E52" s="37" t="s">
        <v>347</v>
      </c>
      <c r="F52" s="37"/>
      <c r="G52" s="37"/>
      <c r="H52" s="37"/>
      <c r="I52" s="448" t="s">
        <v>421</v>
      </c>
      <c r="J52" s="2"/>
      <c r="K52" s="554">
        <v>45717</v>
      </c>
      <c r="L52" s="554"/>
      <c r="M52" s="554" t="s">
        <v>2255</v>
      </c>
      <c r="N52" s="34" t="s">
        <v>426</v>
      </c>
      <c r="O52" s="272" t="s">
        <v>423</v>
      </c>
      <c r="P52" s="35" t="s">
        <v>424</v>
      </c>
      <c r="Q52" s="2"/>
    </row>
    <row r="53" spans="1:17" ht="14.5" customHeight="1" x14ac:dyDescent="0.35">
      <c r="A53" s="34">
        <v>51</v>
      </c>
      <c r="B53" s="34" t="s">
        <v>134</v>
      </c>
      <c r="C53" s="34" t="s">
        <v>2131</v>
      </c>
      <c r="D53" s="34" t="s">
        <v>31</v>
      </c>
      <c r="E53" s="34" t="s">
        <v>347</v>
      </c>
      <c r="F53" s="34"/>
      <c r="G53" s="34"/>
      <c r="H53" s="34"/>
      <c r="I53" s="448" t="s">
        <v>421</v>
      </c>
      <c r="J53" s="2"/>
      <c r="K53" s="554">
        <v>45717</v>
      </c>
      <c r="L53" s="554"/>
      <c r="M53" s="554" t="s">
        <v>2255</v>
      </c>
      <c r="N53" s="34" t="s">
        <v>426</v>
      </c>
      <c r="O53" s="272" t="s">
        <v>423</v>
      </c>
      <c r="P53" s="35" t="s">
        <v>424</v>
      </c>
      <c r="Q53" s="2"/>
    </row>
    <row r="54" spans="1:17" ht="14.5" customHeight="1" x14ac:dyDescent="0.35">
      <c r="A54" s="34">
        <v>52</v>
      </c>
      <c r="B54" s="34" t="s">
        <v>211</v>
      </c>
      <c r="C54" s="34" t="s">
        <v>2132</v>
      </c>
      <c r="D54" s="34" t="s">
        <v>31</v>
      </c>
      <c r="E54" s="34" t="s">
        <v>347</v>
      </c>
      <c r="F54" s="34"/>
      <c r="G54" s="34"/>
      <c r="H54" s="34"/>
      <c r="I54" s="448" t="s">
        <v>421</v>
      </c>
      <c r="J54" s="2"/>
      <c r="K54" s="554">
        <v>45717</v>
      </c>
      <c r="L54" s="554"/>
      <c r="M54" s="554" t="s">
        <v>2255</v>
      </c>
      <c r="N54" s="34" t="s">
        <v>429</v>
      </c>
      <c r="O54" s="272" t="s">
        <v>423</v>
      </c>
      <c r="P54" s="35" t="s">
        <v>424</v>
      </c>
      <c r="Q54" s="2"/>
    </row>
    <row r="55" spans="1:17" ht="14.5" customHeight="1" x14ac:dyDescent="0.35">
      <c r="A55" s="34">
        <v>53</v>
      </c>
      <c r="B55" s="34" t="s">
        <v>214</v>
      </c>
      <c r="C55" s="34" t="s">
        <v>2132</v>
      </c>
      <c r="D55" s="34" t="s">
        <v>31</v>
      </c>
      <c r="E55" s="34" t="s">
        <v>347</v>
      </c>
      <c r="F55" s="34"/>
      <c r="G55" s="34"/>
      <c r="H55" s="34"/>
      <c r="I55" s="448" t="s">
        <v>421</v>
      </c>
      <c r="J55" s="2"/>
      <c r="K55" s="554">
        <v>45748</v>
      </c>
      <c r="L55" s="554"/>
      <c r="M55" s="554" t="s">
        <v>2256</v>
      </c>
      <c r="N55" s="34" t="s">
        <v>425</v>
      </c>
      <c r="O55" s="272" t="s">
        <v>423</v>
      </c>
      <c r="P55" s="35" t="s">
        <v>424</v>
      </c>
      <c r="Q55" s="2"/>
    </row>
    <row r="56" spans="1:17" ht="14.5" customHeight="1" x14ac:dyDescent="0.35">
      <c r="A56" s="34">
        <v>54</v>
      </c>
      <c r="B56" s="34" t="s">
        <v>139</v>
      </c>
      <c r="C56" s="34" t="s">
        <v>2131</v>
      </c>
      <c r="D56" s="34" t="s">
        <v>33</v>
      </c>
      <c r="E56" s="37" t="s">
        <v>347</v>
      </c>
      <c r="F56" s="37"/>
      <c r="G56" s="37"/>
      <c r="H56" s="37"/>
      <c r="I56" s="448" t="s">
        <v>421</v>
      </c>
      <c r="J56" s="2"/>
      <c r="K56" s="554">
        <v>45748</v>
      </c>
      <c r="L56" s="554"/>
      <c r="M56" s="554" t="s">
        <v>2256</v>
      </c>
      <c r="N56" s="34" t="s">
        <v>426</v>
      </c>
      <c r="O56" s="272" t="s">
        <v>423</v>
      </c>
      <c r="P56" s="35" t="s">
        <v>424</v>
      </c>
      <c r="Q56" s="2"/>
    </row>
    <row r="57" spans="1:17" ht="14.5" customHeight="1" x14ac:dyDescent="0.35">
      <c r="A57" s="34">
        <v>55</v>
      </c>
      <c r="B57" s="34" t="s">
        <v>135</v>
      </c>
      <c r="C57" s="34" t="s">
        <v>2131</v>
      </c>
      <c r="D57" s="34" t="s">
        <v>31</v>
      </c>
      <c r="E57" s="34" t="s">
        <v>347</v>
      </c>
      <c r="F57" s="34"/>
      <c r="G57" s="34"/>
      <c r="H57" s="34"/>
      <c r="I57" s="448" t="s">
        <v>421</v>
      </c>
      <c r="J57" s="2"/>
      <c r="K57" s="554">
        <v>45748</v>
      </c>
      <c r="L57" s="554"/>
      <c r="M57" s="554" t="s">
        <v>2256</v>
      </c>
      <c r="N57" s="34" t="s">
        <v>426</v>
      </c>
      <c r="O57" s="272" t="s">
        <v>423</v>
      </c>
      <c r="P57" s="35" t="s">
        <v>424</v>
      </c>
      <c r="Q57" s="2"/>
    </row>
    <row r="58" spans="1:17" ht="14.5" customHeight="1" x14ac:dyDescent="0.35">
      <c r="A58" s="34">
        <v>56</v>
      </c>
      <c r="B58" s="34" t="s">
        <v>209</v>
      </c>
      <c r="C58" s="34" t="s">
        <v>2132</v>
      </c>
      <c r="D58" s="34" t="s">
        <v>31</v>
      </c>
      <c r="E58" s="34" t="s">
        <v>347</v>
      </c>
      <c r="F58" s="34"/>
      <c r="G58" s="34"/>
      <c r="H58" s="34"/>
      <c r="I58" s="448" t="s">
        <v>421</v>
      </c>
      <c r="J58" s="2"/>
      <c r="K58" s="554">
        <v>45748</v>
      </c>
      <c r="L58" s="554"/>
      <c r="M58" s="554" t="s">
        <v>2256</v>
      </c>
      <c r="N58" s="34" t="s">
        <v>429</v>
      </c>
      <c r="O58" s="272" t="s">
        <v>423</v>
      </c>
      <c r="P58" s="35" t="s">
        <v>424</v>
      </c>
      <c r="Q58" s="2"/>
    </row>
    <row r="59" spans="1:17" ht="14.5" customHeight="1" x14ac:dyDescent="0.35">
      <c r="A59" s="34">
        <v>57</v>
      </c>
      <c r="B59" s="34" t="s">
        <v>210</v>
      </c>
      <c r="C59" s="34" t="s">
        <v>2132</v>
      </c>
      <c r="D59" s="34" t="s">
        <v>31</v>
      </c>
      <c r="E59" s="34" t="s">
        <v>347</v>
      </c>
      <c r="F59" s="34"/>
      <c r="G59" s="34"/>
      <c r="H59" s="34"/>
      <c r="I59" s="448" t="s">
        <v>421</v>
      </c>
      <c r="J59" s="2"/>
      <c r="K59" s="554">
        <v>45748</v>
      </c>
      <c r="L59" s="554"/>
      <c r="M59" s="554" t="s">
        <v>2256</v>
      </c>
      <c r="N59" s="34" t="s">
        <v>429</v>
      </c>
      <c r="O59" s="272" t="s">
        <v>423</v>
      </c>
      <c r="P59" s="35" t="s">
        <v>424</v>
      </c>
      <c r="Q59" s="2"/>
    </row>
    <row r="60" spans="1:17" ht="14.5" customHeight="1" x14ac:dyDescent="0.35">
      <c r="A60" s="34">
        <v>58</v>
      </c>
      <c r="B60" s="34" t="s">
        <v>212</v>
      </c>
      <c r="C60" s="34" t="s">
        <v>2132</v>
      </c>
      <c r="D60" s="34" t="s">
        <v>31</v>
      </c>
      <c r="E60" s="34" t="s">
        <v>347</v>
      </c>
      <c r="F60" s="34"/>
      <c r="G60" s="34"/>
      <c r="H60" s="34"/>
      <c r="I60" s="448" t="s">
        <v>421</v>
      </c>
      <c r="J60" s="2"/>
      <c r="K60" s="554">
        <v>45748</v>
      </c>
      <c r="L60" s="554"/>
      <c r="M60" s="554" t="s">
        <v>2256</v>
      </c>
      <c r="N60" s="34" t="s">
        <v>425</v>
      </c>
      <c r="O60" s="272" t="s">
        <v>423</v>
      </c>
      <c r="P60" s="35" t="s">
        <v>424</v>
      </c>
      <c r="Q60" s="2"/>
    </row>
    <row r="61" spans="1:17" ht="14.5" customHeight="1" x14ac:dyDescent="0.35">
      <c r="A61" s="34">
        <v>59</v>
      </c>
      <c r="B61" s="34" t="s">
        <v>142</v>
      </c>
      <c r="C61" s="34" t="s">
        <v>2131</v>
      </c>
      <c r="D61" s="34" t="s">
        <v>14</v>
      </c>
      <c r="E61" s="34" t="s">
        <v>347</v>
      </c>
      <c r="F61" s="34"/>
      <c r="G61" s="34"/>
      <c r="H61" s="34"/>
      <c r="I61" s="448" t="s">
        <v>421</v>
      </c>
      <c r="J61" s="2"/>
      <c r="K61" s="554">
        <v>45748</v>
      </c>
      <c r="L61" s="554"/>
      <c r="M61" s="554" t="s">
        <v>2256</v>
      </c>
      <c r="N61" s="34" t="s">
        <v>426</v>
      </c>
      <c r="O61" s="272" t="s">
        <v>423</v>
      </c>
      <c r="P61" s="35" t="s">
        <v>424</v>
      </c>
      <c r="Q61" s="2"/>
    </row>
    <row r="62" spans="1:17" ht="14.5" customHeight="1" x14ac:dyDescent="0.35">
      <c r="A62" s="34">
        <v>60</v>
      </c>
      <c r="B62" s="262" t="s">
        <v>140</v>
      </c>
      <c r="C62" s="34" t="s">
        <v>2131</v>
      </c>
      <c r="D62" s="34" t="s">
        <v>31</v>
      </c>
      <c r="E62" s="34" t="s">
        <v>347</v>
      </c>
      <c r="F62" s="34"/>
      <c r="G62" s="34"/>
      <c r="H62" s="34"/>
      <c r="I62" s="448" t="s">
        <v>421</v>
      </c>
      <c r="J62" s="2"/>
      <c r="K62" s="554">
        <v>45748</v>
      </c>
      <c r="L62" s="554"/>
      <c r="M62" s="554" t="s">
        <v>2256</v>
      </c>
      <c r="N62" s="34" t="s">
        <v>426</v>
      </c>
      <c r="O62" s="272" t="s">
        <v>423</v>
      </c>
      <c r="P62" s="36"/>
      <c r="Q62" s="2"/>
    </row>
    <row r="63" spans="1:17" ht="14.5" customHeight="1" x14ac:dyDescent="0.35">
      <c r="A63" s="34">
        <v>61</v>
      </c>
      <c r="B63" s="263" t="s">
        <v>124</v>
      </c>
      <c r="C63" s="34" t="s">
        <v>2131</v>
      </c>
      <c r="D63" s="34" t="s">
        <v>23</v>
      </c>
      <c r="E63" s="34" t="s">
        <v>348</v>
      </c>
      <c r="F63" s="34"/>
      <c r="G63" s="34"/>
      <c r="H63" s="34"/>
      <c r="I63" s="448" t="s">
        <v>421</v>
      </c>
      <c r="J63" s="2"/>
      <c r="K63" s="554">
        <v>45748</v>
      </c>
      <c r="L63" s="554"/>
      <c r="M63" s="554" t="s">
        <v>2256</v>
      </c>
      <c r="N63" s="34" t="s">
        <v>430</v>
      </c>
      <c r="O63" s="272" t="s">
        <v>423</v>
      </c>
      <c r="P63" s="36"/>
      <c r="Q63" s="2"/>
    </row>
    <row r="64" spans="1:17" ht="14.5" customHeight="1" x14ac:dyDescent="0.35">
      <c r="A64" s="34">
        <v>62</v>
      </c>
      <c r="B64" s="262" t="s">
        <v>141</v>
      </c>
      <c r="C64" s="34" t="s">
        <v>2131</v>
      </c>
      <c r="D64" s="34" t="s">
        <v>16</v>
      </c>
      <c r="E64" s="34" t="s">
        <v>347</v>
      </c>
      <c r="F64" s="34"/>
      <c r="G64" s="34"/>
      <c r="H64" s="34"/>
      <c r="I64" s="448" t="s">
        <v>421</v>
      </c>
      <c r="J64" s="2"/>
      <c r="K64" s="554">
        <v>45748</v>
      </c>
      <c r="L64" s="554"/>
      <c r="M64" s="554" t="s">
        <v>2256</v>
      </c>
      <c r="N64" s="34" t="s">
        <v>426</v>
      </c>
      <c r="O64" s="272" t="s">
        <v>423</v>
      </c>
      <c r="P64" s="35" t="s">
        <v>424</v>
      </c>
      <c r="Q64" s="2"/>
    </row>
    <row r="65" spans="1:17" ht="14.5" customHeight="1" x14ac:dyDescent="0.35">
      <c r="A65" s="34">
        <v>63</v>
      </c>
      <c r="B65" s="34" t="s">
        <v>208</v>
      </c>
      <c r="C65" s="34" t="s">
        <v>2132</v>
      </c>
      <c r="D65" s="34" t="s">
        <v>33</v>
      </c>
      <c r="E65" s="34" t="s">
        <v>348</v>
      </c>
      <c r="F65" s="34"/>
      <c r="G65" s="34"/>
      <c r="H65" s="34"/>
      <c r="I65" s="448" t="s">
        <v>421</v>
      </c>
      <c r="J65" s="2"/>
      <c r="K65" s="554">
        <v>45748</v>
      </c>
      <c r="L65" s="554"/>
      <c r="M65" s="554" t="s">
        <v>2256</v>
      </c>
      <c r="N65" s="34" t="s">
        <v>429</v>
      </c>
      <c r="O65" s="272" t="s">
        <v>423</v>
      </c>
      <c r="P65" s="35" t="s">
        <v>424</v>
      </c>
      <c r="Q65" s="2"/>
    </row>
    <row r="66" spans="1:17" ht="14.5" customHeight="1" x14ac:dyDescent="0.35">
      <c r="A66" s="34">
        <v>64</v>
      </c>
      <c r="B66" s="262" t="s">
        <v>143</v>
      </c>
      <c r="C66" s="34" t="s">
        <v>2131</v>
      </c>
      <c r="D66" s="34" t="s">
        <v>35</v>
      </c>
      <c r="E66" s="34" t="s">
        <v>347</v>
      </c>
      <c r="F66" s="34"/>
      <c r="G66" s="34"/>
      <c r="H66" s="34"/>
      <c r="I66" s="448" t="s">
        <v>421</v>
      </c>
      <c r="J66" s="2"/>
      <c r="K66" s="554">
        <v>45748</v>
      </c>
      <c r="L66" s="554"/>
      <c r="M66" s="554" t="s">
        <v>2256</v>
      </c>
      <c r="N66" s="34" t="s">
        <v>426</v>
      </c>
      <c r="O66" s="272" t="s">
        <v>423</v>
      </c>
      <c r="P66" s="35" t="s">
        <v>424</v>
      </c>
      <c r="Q66" s="2"/>
    </row>
    <row r="67" spans="1:17" ht="14.5" customHeight="1" x14ac:dyDescent="0.35">
      <c r="A67" s="34">
        <v>65</v>
      </c>
      <c r="B67" s="34" t="s">
        <v>220</v>
      </c>
      <c r="C67" s="34" t="s">
        <v>2132</v>
      </c>
      <c r="D67" s="34" t="s">
        <v>33</v>
      </c>
      <c r="E67" s="34" t="s">
        <v>347</v>
      </c>
      <c r="F67" s="34"/>
      <c r="G67" s="34"/>
      <c r="H67" s="34"/>
      <c r="I67" s="448" t="s">
        <v>421</v>
      </c>
      <c r="J67" s="2"/>
      <c r="K67" s="554">
        <v>45748</v>
      </c>
      <c r="L67" s="554"/>
      <c r="M67" s="554" t="s">
        <v>2256</v>
      </c>
      <c r="N67" s="34" t="s">
        <v>425</v>
      </c>
      <c r="O67" s="272" t="s">
        <v>423</v>
      </c>
      <c r="P67" s="35" t="s">
        <v>424</v>
      </c>
      <c r="Q67" s="2"/>
    </row>
    <row r="68" spans="1:17" ht="14.5" customHeight="1" x14ac:dyDescent="0.35">
      <c r="A68" s="34">
        <v>66</v>
      </c>
      <c r="B68" s="262" t="s">
        <v>144</v>
      </c>
      <c r="C68" s="34" t="s">
        <v>2131</v>
      </c>
      <c r="D68" s="34" t="s">
        <v>31</v>
      </c>
      <c r="E68" s="34" t="s">
        <v>347</v>
      </c>
      <c r="F68" s="34"/>
      <c r="G68" s="34"/>
      <c r="H68" s="34"/>
      <c r="I68" s="448" t="s">
        <v>421</v>
      </c>
      <c r="J68" s="2"/>
      <c r="K68" s="554">
        <v>45748</v>
      </c>
      <c r="L68" s="554"/>
      <c r="M68" s="554" t="s">
        <v>2256</v>
      </c>
      <c r="N68" s="34" t="s">
        <v>426</v>
      </c>
      <c r="O68" s="272" t="s">
        <v>423</v>
      </c>
      <c r="P68" s="35" t="s">
        <v>424</v>
      </c>
      <c r="Q68" s="2"/>
    </row>
    <row r="69" spans="1:17" ht="14.5" customHeight="1" x14ac:dyDescent="0.35">
      <c r="A69" s="34">
        <v>67</v>
      </c>
      <c r="B69" s="262" t="s">
        <v>138</v>
      </c>
      <c r="C69" s="34" t="s">
        <v>2131</v>
      </c>
      <c r="D69" s="34" t="s">
        <v>23</v>
      </c>
      <c r="E69" s="34" t="s">
        <v>347</v>
      </c>
      <c r="F69" s="34"/>
      <c r="G69" s="34"/>
      <c r="H69" s="34"/>
      <c r="I69" s="448" t="s">
        <v>421</v>
      </c>
      <c r="J69" s="2"/>
      <c r="K69" s="554">
        <v>45748</v>
      </c>
      <c r="L69" s="554"/>
      <c r="M69" s="554" t="s">
        <v>2256</v>
      </c>
      <c r="N69" s="34" t="s">
        <v>426</v>
      </c>
      <c r="O69" s="272" t="s">
        <v>423</v>
      </c>
      <c r="P69" s="35" t="s">
        <v>424</v>
      </c>
      <c r="Q69" s="2"/>
    </row>
    <row r="70" spans="1:17" ht="14.5" customHeight="1" x14ac:dyDescent="0.35">
      <c r="A70" s="34">
        <v>68</v>
      </c>
      <c r="B70" s="262" t="s">
        <v>125</v>
      </c>
      <c r="C70" s="34" t="s">
        <v>2131</v>
      </c>
      <c r="D70" s="34" t="s">
        <v>31</v>
      </c>
      <c r="E70" s="34" t="s">
        <v>348</v>
      </c>
      <c r="F70" s="34"/>
      <c r="G70" s="34"/>
      <c r="H70" s="34"/>
      <c r="I70" s="448" t="s">
        <v>421</v>
      </c>
      <c r="J70" s="2"/>
      <c r="K70" s="554">
        <v>45748</v>
      </c>
      <c r="L70" s="554"/>
      <c r="M70" s="554" t="s">
        <v>2256</v>
      </c>
      <c r="N70" s="34" t="s">
        <v>430</v>
      </c>
      <c r="O70" s="272" t="s">
        <v>423</v>
      </c>
      <c r="P70" s="36"/>
      <c r="Q70" s="2"/>
    </row>
    <row r="71" spans="1:17" ht="14.5" customHeight="1" x14ac:dyDescent="0.35">
      <c r="A71" s="34">
        <v>69</v>
      </c>
      <c r="B71" s="263" t="s">
        <v>224</v>
      </c>
      <c r="C71" s="34" t="s">
        <v>2132</v>
      </c>
      <c r="D71" s="34" t="s">
        <v>16</v>
      </c>
      <c r="E71" s="34" t="s">
        <v>347</v>
      </c>
      <c r="F71" s="34"/>
      <c r="G71" s="34"/>
      <c r="H71" s="34"/>
      <c r="I71" s="448" t="s">
        <v>421</v>
      </c>
      <c r="J71" s="2"/>
      <c r="K71" s="554">
        <v>45748</v>
      </c>
      <c r="L71" s="554"/>
      <c r="M71" s="554" t="s">
        <v>2256</v>
      </c>
      <c r="N71" s="34" t="s">
        <v>429</v>
      </c>
      <c r="O71" s="272" t="s">
        <v>423</v>
      </c>
      <c r="P71" s="35" t="s">
        <v>424</v>
      </c>
      <c r="Q71" s="2"/>
    </row>
    <row r="72" spans="1:17" ht="14.5" customHeight="1" x14ac:dyDescent="0.35">
      <c r="A72" s="34">
        <v>70</v>
      </c>
      <c r="B72" s="34" t="s">
        <v>137</v>
      </c>
      <c r="C72" s="34" t="s">
        <v>2131</v>
      </c>
      <c r="D72" s="34" t="s">
        <v>23</v>
      </c>
      <c r="E72" s="34" t="s">
        <v>347</v>
      </c>
      <c r="F72" s="34"/>
      <c r="G72" s="34"/>
      <c r="H72" s="34"/>
      <c r="I72" s="448" t="s">
        <v>421</v>
      </c>
      <c r="J72" s="2"/>
      <c r="K72" s="554">
        <v>45748</v>
      </c>
      <c r="L72" s="554"/>
      <c r="M72" s="554" t="s">
        <v>2256</v>
      </c>
      <c r="N72" s="34" t="s">
        <v>426</v>
      </c>
      <c r="O72" s="272" t="s">
        <v>423</v>
      </c>
      <c r="P72" s="35" t="s">
        <v>424</v>
      </c>
      <c r="Q72" s="2"/>
    </row>
    <row r="73" spans="1:17" ht="14.5" customHeight="1" x14ac:dyDescent="0.35">
      <c r="A73" s="34">
        <v>71</v>
      </c>
      <c r="B73" s="34" t="s">
        <v>239</v>
      </c>
      <c r="C73" s="34" t="s">
        <v>2132</v>
      </c>
      <c r="D73" s="34" t="s">
        <v>33</v>
      </c>
      <c r="E73" s="34" t="s">
        <v>347</v>
      </c>
      <c r="F73" s="34"/>
      <c r="G73" s="34"/>
      <c r="H73" s="34"/>
      <c r="I73" s="448" t="s">
        <v>421</v>
      </c>
      <c r="J73" s="2"/>
      <c r="K73" s="554">
        <v>45748</v>
      </c>
      <c r="L73" s="554"/>
      <c r="M73" s="554" t="s">
        <v>2256</v>
      </c>
      <c r="N73" s="34" t="s">
        <v>428</v>
      </c>
      <c r="O73" s="272" t="s">
        <v>423</v>
      </c>
      <c r="P73" s="35" t="s">
        <v>424</v>
      </c>
      <c r="Q73" s="2"/>
    </row>
    <row r="74" spans="1:17" ht="14.5" customHeight="1" x14ac:dyDescent="0.35">
      <c r="A74" s="34">
        <v>72</v>
      </c>
      <c r="B74" s="34" t="s">
        <v>221</v>
      </c>
      <c r="C74" s="34" t="s">
        <v>2132</v>
      </c>
      <c r="D74" s="34" t="s">
        <v>31</v>
      </c>
      <c r="E74" s="34" t="s">
        <v>347</v>
      </c>
      <c r="F74" s="34"/>
      <c r="G74" s="34"/>
      <c r="H74" s="34"/>
      <c r="I74" s="448" t="s">
        <v>421</v>
      </c>
      <c r="J74" s="2"/>
      <c r="K74" s="554">
        <v>45748</v>
      </c>
      <c r="L74" s="554"/>
      <c r="M74" s="554" t="s">
        <v>2256</v>
      </c>
      <c r="N74" s="34" t="s">
        <v>425</v>
      </c>
      <c r="O74" s="272" t="s">
        <v>423</v>
      </c>
      <c r="P74" s="35" t="s">
        <v>424</v>
      </c>
      <c r="Q74" s="2"/>
    </row>
    <row r="75" spans="1:17" ht="14.5" customHeight="1" x14ac:dyDescent="0.35">
      <c r="A75" s="34">
        <v>73</v>
      </c>
      <c r="B75" s="262" t="s">
        <v>149</v>
      </c>
      <c r="C75" s="34" t="s">
        <v>2131</v>
      </c>
      <c r="D75" s="34" t="s">
        <v>35</v>
      </c>
      <c r="E75" s="34" t="s">
        <v>347</v>
      </c>
      <c r="F75" s="34"/>
      <c r="G75" s="34"/>
      <c r="H75" s="34"/>
      <c r="I75" s="448" t="s">
        <v>421</v>
      </c>
      <c r="J75" s="2"/>
      <c r="K75" s="554">
        <v>45748</v>
      </c>
      <c r="L75" s="554"/>
      <c r="M75" s="554" t="s">
        <v>2256</v>
      </c>
      <c r="N75" s="34" t="s">
        <v>426</v>
      </c>
      <c r="O75" s="272" t="s">
        <v>423</v>
      </c>
      <c r="P75" s="35" t="s">
        <v>424</v>
      </c>
      <c r="Q75" s="2"/>
    </row>
    <row r="76" spans="1:17" ht="14.5" customHeight="1" x14ac:dyDescent="0.35">
      <c r="A76" s="34">
        <v>74</v>
      </c>
      <c r="B76" s="263" t="s">
        <v>58</v>
      </c>
      <c r="C76" s="34" t="s">
        <v>2131</v>
      </c>
      <c r="D76" s="34" t="s">
        <v>389</v>
      </c>
      <c r="E76" s="34" t="s">
        <v>348</v>
      </c>
      <c r="F76" s="34"/>
      <c r="G76" s="34"/>
      <c r="H76" s="34"/>
      <c r="I76" s="448" t="s">
        <v>421</v>
      </c>
      <c r="J76" s="2"/>
      <c r="K76" s="554">
        <v>45748</v>
      </c>
      <c r="L76" s="554"/>
      <c r="M76" s="554" t="s">
        <v>2256</v>
      </c>
      <c r="N76" s="34" t="s">
        <v>422</v>
      </c>
      <c r="O76" s="272" t="s">
        <v>423</v>
      </c>
      <c r="P76" s="36"/>
      <c r="Q76" s="2"/>
    </row>
    <row r="77" spans="1:17" ht="14.5" customHeight="1" x14ac:dyDescent="0.35">
      <c r="A77" s="34">
        <v>75</v>
      </c>
      <c r="B77" s="262" t="s">
        <v>150</v>
      </c>
      <c r="C77" s="34" t="s">
        <v>2131</v>
      </c>
      <c r="D77" s="34" t="s">
        <v>16</v>
      </c>
      <c r="E77" s="34" t="s">
        <v>347</v>
      </c>
      <c r="F77" s="34"/>
      <c r="G77" s="34"/>
      <c r="H77" s="34"/>
      <c r="I77" s="448" t="s">
        <v>421</v>
      </c>
      <c r="J77" s="2"/>
      <c r="K77" s="554">
        <v>45748</v>
      </c>
      <c r="L77" s="554"/>
      <c r="M77" s="554" t="s">
        <v>2256</v>
      </c>
      <c r="N77" s="34" t="s">
        <v>426</v>
      </c>
      <c r="O77" s="272" t="s">
        <v>423</v>
      </c>
      <c r="P77" s="35" t="s">
        <v>424</v>
      </c>
      <c r="Q77" s="2"/>
    </row>
    <row r="78" spans="1:17" ht="14.5" customHeight="1" x14ac:dyDescent="0.35">
      <c r="A78" s="34">
        <v>76</v>
      </c>
      <c r="B78" s="263" t="s">
        <v>240</v>
      </c>
      <c r="C78" s="34" t="s">
        <v>2132</v>
      </c>
      <c r="D78" s="34" t="s">
        <v>31</v>
      </c>
      <c r="E78" s="34" t="s">
        <v>347</v>
      </c>
      <c r="F78" s="34"/>
      <c r="G78" s="34"/>
      <c r="H78" s="34"/>
      <c r="I78" s="448" t="s">
        <v>421</v>
      </c>
      <c r="J78" s="2"/>
      <c r="K78" s="554">
        <v>45748</v>
      </c>
      <c r="L78" s="554"/>
      <c r="M78" s="554" t="s">
        <v>2256</v>
      </c>
      <c r="N78" s="34" t="s">
        <v>428</v>
      </c>
      <c r="O78" s="272" t="s">
        <v>423</v>
      </c>
      <c r="P78" s="35" t="s">
        <v>424</v>
      </c>
      <c r="Q78" s="2"/>
    </row>
    <row r="79" spans="1:17" ht="14.5" customHeight="1" x14ac:dyDescent="0.35">
      <c r="A79" s="34">
        <v>77</v>
      </c>
      <c r="B79" s="263" t="s">
        <v>225</v>
      </c>
      <c r="C79" s="34" t="s">
        <v>2132</v>
      </c>
      <c r="D79" s="34" t="s">
        <v>14</v>
      </c>
      <c r="E79" s="34" t="s">
        <v>347</v>
      </c>
      <c r="F79" s="34"/>
      <c r="G79" s="34"/>
      <c r="H79" s="34"/>
      <c r="I79" s="448" t="s">
        <v>421</v>
      </c>
      <c r="J79" s="2"/>
      <c r="K79" s="554">
        <v>45748</v>
      </c>
      <c r="L79" s="554"/>
      <c r="M79" s="554" t="s">
        <v>2256</v>
      </c>
      <c r="N79" s="34" t="s">
        <v>429</v>
      </c>
      <c r="O79" s="272" t="s">
        <v>423</v>
      </c>
      <c r="P79" s="35" t="s">
        <v>424</v>
      </c>
      <c r="Q79" s="2"/>
    </row>
    <row r="80" spans="1:17" ht="14.5" customHeight="1" x14ac:dyDescent="0.35">
      <c r="A80" s="34">
        <v>78</v>
      </c>
      <c r="B80" s="263" t="s">
        <v>222</v>
      </c>
      <c r="C80" s="34" t="s">
        <v>2132</v>
      </c>
      <c r="D80" s="34" t="s">
        <v>31</v>
      </c>
      <c r="E80" s="34" t="s">
        <v>347</v>
      </c>
      <c r="F80" s="34"/>
      <c r="G80" s="34"/>
      <c r="H80" s="34"/>
      <c r="I80" s="448" t="s">
        <v>421</v>
      </c>
      <c r="J80" s="2"/>
      <c r="K80" s="554">
        <v>45748</v>
      </c>
      <c r="L80" s="554"/>
      <c r="M80" s="554" t="s">
        <v>2256</v>
      </c>
      <c r="N80" s="34" t="s">
        <v>425</v>
      </c>
      <c r="O80" s="272" t="s">
        <v>423</v>
      </c>
      <c r="P80" s="35" t="s">
        <v>424</v>
      </c>
      <c r="Q80" s="2"/>
    </row>
    <row r="81" spans="1:17" ht="14.5" customHeight="1" x14ac:dyDescent="0.35">
      <c r="A81" s="34">
        <v>79</v>
      </c>
      <c r="B81" s="263" t="s">
        <v>126</v>
      </c>
      <c r="C81" s="34" t="s">
        <v>2131</v>
      </c>
      <c r="D81" s="34" t="s">
        <v>31</v>
      </c>
      <c r="E81" s="34" t="s">
        <v>347</v>
      </c>
      <c r="F81" s="34"/>
      <c r="G81" s="34"/>
      <c r="H81" s="34"/>
      <c r="I81" s="448" t="s">
        <v>421</v>
      </c>
      <c r="J81" s="2"/>
      <c r="K81" s="554">
        <v>45748</v>
      </c>
      <c r="L81" s="554"/>
      <c r="M81" s="554" t="s">
        <v>2256</v>
      </c>
      <c r="N81" s="34" t="s">
        <v>430</v>
      </c>
      <c r="O81" s="272" t="s">
        <v>423</v>
      </c>
      <c r="P81" s="36"/>
      <c r="Q81" s="2"/>
    </row>
    <row r="82" spans="1:17" ht="14.5" customHeight="1" x14ac:dyDescent="0.35">
      <c r="A82" s="34">
        <v>80</v>
      </c>
      <c r="B82" s="262" t="s">
        <v>62</v>
      </c>
      <c r="C82" s="34" t="s">
        <v>2131</v>
      </c>
      <c r="D82" s="34" t="s">
        <v>33</v>
      </c>
      <c r="E82" s="34" t="s">
        <v>347</v>
      </c>
      <c r="F82" s="34"/>
      <c r="G82" s="34"/>
      <c r="H82" s="34"/>
      <c r="I82" s="448" t="s">
        <v>421</v>
      </c>
      <c r="J82" s="2"/>
      <c r="K82" s="554">
        <v>45748</v>
      </c>
      <c r="L82" s="554"/>
      <c r="M82" s="554" t="s">
        <v>2256</v>
      </c>
      <c r="N82" s="34" t="s">
        <v>431</v>
      </c>
      <c r="O82" s="272" t="s">
        <v>423</v>
      </c>
      <c r="P82" s="36"/>
      <c r="Q82" s="2"/>
    </row>
    <row r="83" spans="1:17" ht="14.5" customHeight="1" x14ac:dyDescent="0.35">
      <c r="A83" s="34">
        <v>81</v>
      </c>
      <c r="B83" s="262" t="s">
        <v>151</v>
      </c>
      <c r="C83" s="34" t="s">
        <v>2131</v>
      </c>
      <c r="D83" s="34" t="s">
        <v>16</v>
      </c>
      <c r="E83" s="34" t="s">
        <v>349</v>
      </c>
      <c r="F83" s="34"/>
      <c r="G83" s="34"/>
      <c r="H83" s="34"/>
      <c r="I83" s="448" t="s">
        <v>421</v>
      </c>
      <c r="J83" s="2"/>
      <c r="K83" s="554">
        <v>45748</v>
      </c>
      <c r="L83" s="554"/>
      <c r="M83" s="554" t="s">
        <v>2256</v>
      </c>
      <c r="N83" s="34" t="s">
        <v>426</v>
      </c>
      <c r="O83" s="272" t="s">
        <v>423</v>
      </c>
      <c r="P83" s="35" t="s">
        <v>424</v>
      </c>
      <c r="Q83" s="2"/>
    </row>
    <row r="84" spans="1:17" ht="14.5" customHeight="1" x14ac:dyDescent="0.35">
      <c r="A84" s="34">
        <v>82</v>
      </c>
      <c r="B84" s="263" t="s">
        <v>152</v>
      </c>
      <c r="C84" s="34" t="s">
        <v>2131</v>
      </c>
      <c r="D84" s="34" t="s">
        <v>23</v>
      </c>
      <c r="E84" s="34" t="s">
        <v>347</v>
      </c>
      <c r="F84" s="34"/>
      <c r="G84" s="34"/>
      <c r="H84" s="34"/>
      <c r="I84" s="448" t="s">
        <v>421</v>
      </c>
      <c r="J84" s="2"/>
      <c r="K84" s="554">
        <v>45748</v>
      </c>
      <c r="L84" s="554"/>
      <c r="M84" s="554" t="s">
        <v>2256</v>
      </c>
      <c r="N84" s="34" t="s">
        <v>426</v>
      </c>
      <c r="O84" s="272" t="s">
        <v>423</v>
      </c>
      <c r="P84" s="35" t="s">
        <v>424</v>
      </c>
      <c r="Q84" s="2"/>
    </row>
    <row r="85" spans="1:17" ht="14.5" customHeight="1" x14ac:dyDescent="0.35">
      <c r="A85" s="34">
        <v>83</v>
      </c>
      <c r="B85" s="262" t="s">
        <v>157</v>
      </c>
      <c r="C85" s="34" t="s">
        <v>2131</v>
      </c>
      <c r="D85" s="34" t="s">
        <v>31</v>
      </c>
      <c r="E85" s="34" t="s">
        <v>349</v>
      </c>
      <c r="F85" s="34"/>
      <c r="G85" s="34"/>
      <c r="H85" s="34"/>
      <c r="I85" s="448" t="s">
        <v>421</v>
      </c>
      <c r="J85" s="2"/>
      <c r="K85" s="554">
        <v>45748</v>
      </c>
      <c r="L85" s="554"/>
      <c r="M85" s="554" t="s">
        <v>2256</v>
      </c>
      <c r="N85" s="34" t="s">
        <v>426</v>
      </c>
      <c r="O85" s="272" t="s">
        <v>423</v>
      </c>
      <c r="P85" s="35" t="s">
        <v>424</v>
      </c>
      <c r="Q85" s="2"/>
    </row>
    <row r="86" spans="1:17" ht="14.5" customHeight="1" x14ac:dyDescent="0.35">
      <c r="A86" s="34">
        <v>84</v>
      </c>
      <c r="B86" s="263" t="s">
        <v>160</v>
      </c>
      <c r="C86" s="34" t="s">
        <v>2131</v>
      </c>
      <c r="D86" s="34" t="s">
        <v>14</v>
      </c>
      <c r="E86" s="34" t="s">
        <v>347</v>
      </c>
      <c r="F86" s="34"/>
      <c r="G86" s="34"/>
      <c r="H86" s="34"/>
      <c r="I86" s="448" t="s">
        <v>421</v>
      </c>
      <c r="J86" s="2"/>
      <c r="K86" s="554">
        <v>45748</v>
      </c>
      <c r="L86" s="554"/>
      <c r="M86" s="554" t="s">
        <v>2256</v>
      </c>
      <c r="N86" s="34" t="s">
        <v>426</v>
      </c>
      <c r="O86" s="272" t="s">
        <v>423</v>
      </c>
      <c r="P86" s="35" t="s">
        <v>424</v>
      </c>
      <c r="Q86" s="2"/>
    </row>
    <row r="87" spans="1:17" ht="14.5" customHeight="1" x14ac:dyDescent="0.35">
      <c r="A87" s="34">
        <v>85</v>
      </c>
      <c r="B87" s="263" t="s">
        <v>59</v>
      </c>
      <c r="C87" s="263" t="s">
        <v>2131</v>
      </c>
      <c r="D87" s="34" t="s">
        <v>31</v>
      </c>
      <c r="E87" s="34" t="s">
        <v>348</v>
      </c>
      <c r="F87" s="34"/>
      <c r="G87" s="34"/>
      <c r="H87" s="34"/>
      <c r="I87" s="448" t="s">
        <v>421</v>
      </c>
      <c r="J87" s="2"/>
      <c r="K87" s="554">
        <v>45748</v>
      </c>
      <c r="L87" s="554"/>
      <c r="M87" s="554" t="s">
        <v>2256</v>
      </c>
      <c r="N87" s="34" t="s">
        <v>422</v>
      </c>
      <c r="O87" s="272" t="s">
        <v>423</v>
      </c>
      <c r="P87" s="36"/>
      <c r="Q87" s="2"/>
    </row>
    <row r="88" spans="1:17" ht="14.5" customHeight="1" x14ac:dyDescent="0.35">
      <c r="A88" s="34">
        <v>86</v>
      </c>
      <c r="B88" s="263" t="s">
        <v>228</v>
      </c>
      <c r="C88" s="34" t="s">
        <v>2132</v>
      </c>
      <c r="D88" s="34" t="s">
        <v>31</v>
      </c>
      <c r="E88" s="34" t="s">
        <v>347</v>
      </c>
      <c r="F88" s="34"/>
      <c r="G88" s="34"/>
      <c r="H88" s="34"/>
      <c r="I88" s="448" t="s">
        <v>421</v>
      </c>
      <c r="J88" s="2"/>
      <c r="K88" s="554">
        <v>45748</v>
      </c>
      <c r="L88" s="554"/>
      <c r="M88" s="554" t="s">
        <v>2256</v>
      </c>
      <c r="N88" s="34" t="s">
        <v>429</v>
      </c>
      <c r="O88" s="272" t="s">
        <v>423</v>
      </c>
      <c r="P88" s="35" t="s">
        <v>424</v>
      </c>
      <c r="Q88" s="2"/>
    </row>
    <row r="89" spans="1:17" ht="14.5" customHeight="1" x14ac:dyDescent="0.35">
      <c r="A89" s="34">
        <v>87</v>
      </c>
      <c r="B89" s="263" t="s">
        <v>215</v>
      </c>
      <c r="C89" s="34" t="s">
        <v>2132</v>
      </c>
      <c r="D89" s="34" t="s">
        <v>33</v>
      </c>
      <c r="E89" s="34" t="s">
        <v>347</v>
      </c>
      <c r="F89" s="34"/>
      <c r="G89" s="34"/>
      <c r="H89" s="34"/>
      <c r="I89" s="448" t="s">
        <v>421</v>
      </c>
      <c r="J89" s="2"/>
      <c r="K89" s="554">
        <v>45748</v>
      </c>
      <c r="L89" s="554"/>
      <c r="M89" s="554" t="s">
        <v>2256</v>
      </c>
      <c r="N89" s="34" t="s">
        <v>425</v>
      </c>
      <c r="O89" s="272" t="s">
        <v>423</v>
      </c>
      <c r="P89" s="35" t="s">
        <v>424</v>
      </c>
      <c r="Q89" s="2"/>
    </row>
    <row r="90" spans="1:17" ht="14.5" customHeight="1" x14ac:dyDescent="0.35">
      <c r="A90" s="34">
        <v>88</v>
      </c>
      <c r="B90" s="263" t="s">
        <v>195</v>
      </c>
      <c r="C90" s="34" t="s">
        <v>2131</v>
      </c>
      <c r="D90" s="34" t="s">
        <v>31</v>
      </c>
      <c r="E90" s="34" t="s">
        <v>349</v>
      </c>
      <c r="F90" s="34"/>
      <c r="G90" s="34"/>
      <c r="H90" s="34"/>
      <c r="I90" s="448" t="s">
        <v>421</v>
      </c>
      <c r="J90" s="2"/>
      <c r="K90" s="554">
        <v>45748</v>
      </c>
      <c r="L90" s="554"/>
      <c r="M90" s="554" t="s">
        <v>2256</v>
      </c>
      <c r="N90" s="34" t="s">
        <v>428</v>
      </c>
      <c r="O90" s="272" t="s">
        <v>423</v>
      </c>
      <c r="P90" s="35" t="s">
        <v>424</v>
      </c>
      <c r="Q90" s="2"/>
    </row>
    <row r="91" spans="1:17" ht="14.5" customHeight="1" x14ac:dyDescent="0.35">
      <c r="A91" s="34">
        <v>89</v>
      </c>
      <c r="B91" s="263" t="s">
        <v>159</v>
      </c>
      <c r="C91" s="34" t="s">
        <v>2131</v>
      </c>
      <c r="D91" s="34" t="s">
        <v>23</v>
      </c>
      <c r="E91" s="34" t="s">
        <v>347</v>
      </c>
      <c r="F91" s="34"/>
      <c r="G91" s="34"/>
      <c r="H91" s="34"/>
      <c r="I91" s="448" t="s">
        <v>421</v>
      </c>
      <c r="J91" s="2"/>
      <c r="K91" s="554">
        <v>45748</v>
      </c>
      <c r="L91" s="554"/>
      <c r="M91" s="554" t="s">
        <v>2256</v>
      </c>
      <c r="N91" s="34" t="s">
        <v>426</v>
      </c>
      <c r="O91" s="272" t="s">
        <v>423</v>
      </c>
      <c r="P91" s="35" t="s">
        <v>424</v>
      </c>
      <c r="Q91" s="2"/>
    </row>
    <row r="92" spans="1:17" ht="14.5" customHeight="1" x14ac:dyDescent="0.35">
      <c r="A92" s="34">
        <v>90</v>
      </c>
      <c r="B92" s="263" t="s">
        <v>127</v>
      </c>
      <c r="C92" s="34" t="s">
        <v>2131</v>
      </c>
      <c r="D92" s="34" t="s">
        <v>33</v>
      </c>
      <c r="E92" s="34" t="s">
        <v>347</v>
      </c>
      <c r="F92" s="34"/>
      <c r="G92" s="34"/>
      <c r="H92" s="34"/>
      <c r="I92" s="448" t="s">
        <v>421</v>
      </c>
      <c r="J92" s="2"/>
      <c r="K92" s="554">
        <v>45748</v>
      </c>
      <c r="L92" s="554"/>
      <c r="M92" s="554" t="s">
        <v>2256</v>
      </c>
      <c r="N92" s="34" t="s">
        <v>430</v>
      </c>
      <c r="O92" s="272" t="s">
        <v>423</v>
      </c>
      <c r="P92" s="36"/>
      <c r="Q92" s="2"/>
    </row>
    <row r="93" spans="1:17" ht="14.5" customHeight="1" x14ac:dyDescent="0.35">
      <c r="A93" s="34">
        <v>91</v>
      </c>
      <c r="B93" s="263" t="s">
        <v>194</v>
      </c>
      <c r="C93" s="34" t="s">
        <v>2131</v>
      </c>
      <c r="D93" s="34" t="s">
        <v>33</v>
      </c>
      <c r="E93" s="34" t="s">
        <v>347</v>
      </c>
      <c r="F93" s="34"/>
      <c r="G93" s="34"/>
      <c r="H93" s="34"/>
      <c r="I93" s="448" t="s">
        <v>421</v>
      </c>
      <c r="J93" s="2"/>
      <c r="K93" s="554">
        <v>45748</v>
      </c>
      <c r="L93" s="554"/>
      <c r="M93" s="554" t="s">
        <v>2256</v>
      </c>
      <c r="N93" s="34" t="s">
        <v>428</v>
      </c>
      <c r="O93" s="272" t="s">
        <v>423</v>
      </c>
      <c r="P93" s="35" t="s">
        <v>424</v>
      </c>
      <c r="Q93" s="2"/>
    </row>
    <row r="94" spans="1:17" ht="14.5" customHeight="1" x14ac:dyDescent="0.35">
      <c r="A94" s="34">
        <v>92</v>
      </c>
      <c r="B94" s="263" t="s">
        <v>231</v>
      </c>
      <c r="C94" s="34" t="s">
        <v>2132</v>
      </c>
      <c r="D94" s="34" t="s">
        <v>33</v>
      </c>
      <c r="E94" s="34" t="s">
        <v>347</v>
      </c>
      <c r="F94" s="34"/>
      <c r="G94" s="34"/>
      <c r="H94" s="34"/>
      <c r="I94" s="448" t="s">
        <v>421</v>
      </c>
      <c r="J94" s="2"/>
      <c r="K94" s="554">
        <v>45748</v>
      </c>
      <c r="L94" s="554"/>
      <c r="M94" s="554" t="s">
        <v>2256</v>
      </c>
      <c r="N94" s="34" t="s">
        <v>432</v>
      </c>
      <c r="O94" s="272" t="s">
        <v>423</v>
      </c>
      <c r="P94" s="35" t="s">
        <v>424</v>
      </c>
      <c r="Q94" s="2"/>
    </row>
    <row r="95" spans="1:17" ht="14.5" customHeight="1" x14ac:dyDescent="0.35">
      <c r="A95" s="34">
        <v>93</v>
      </c>
      <c r="B95" s="263" t="s">
        <v>30</v>
      </c>
      <c r="C95" s="263" t="s">
        <v>2131</v>
      </c>
      <c r="D95" s="34" t="s">
        <v>31</v>
      </c>
      <c r="E95" s="34" t="s">
        <v>348</v>
      </c>
      <c r="F95" s="34"/>
      <c r="G95" s="34"/>
      <c r="H95" s="34"/>
      <c r="I95" s="448" t="s">
        <v>421</v>
      </c>
      <c r="J95" s="2"/>
      <c r="K95" s="554">
        <v>45748</v>
      </c>
      <c r="L95" s="554"/>
      <c r="M95" s="554" t="s">
        <v>2256</v>
      </c>
      <c r="N95" s="34" t="s">
        <v>431</v>
      </c>
      <c r="O95" s="272" t="s">
        <v>423</v>
      </c>
      <c r="P95" s="35" t="s">
        <v>424</v>
      </c>
      <c r="Q95" s="2"/>
    </row>
    <row r="96" spans="1:17" ht="14.5" customHeight="1" x14ac:dyDescent="0.35">
      <c r="A96" s="34">
        <v>94</v>
      </c>
      <c r="B96" s="263" t="s">
        <v>165</v>
      </c>
      <c r="C96" s="34" t="s">
        <v>2131</v>
      </c>
      <c r="D96" s="34" t="s">
        <v>35</v>
      </c>
      <c r="E96" s="34" t="s">
        <v>347</v>
      </c>
      <c r="F96" s="34"/>
      <c r="G96" s="34"/>
      <c r="H96" s="34"/>
      <c r="I96" s="448" t="s">
        <v>421</v>
      </c>
      <c r="J96" s="2"/>
      <c r="K96" s="554">
        <v>45748</v>
      </c>
      <c r="L96" s="554"/>
      <c r="M96" s="554" t="s">
        <v>2256</v>
      </c>
      <c r="N96" s="34" t="s">
        <v>426</v>
      </c>
      <c r="O96" s="272" t="s">
        <v>423</v>
      </c>
      <c r="P96" s="36"/>
      <c r="Q96" s="2"/>
    </row>
    <row r="97" spans="1:17" ht="14.5" customHeight="1" x14ac:dyDescent="0.35">
      <c r="A97" s="34">
        <v>95</v>
      </c>
      <c r="B97" s="262" t="s">
        <v>129</v>
      </c>
      <c r="C97" s="34" t="s">
        <v>2131</v>
      </c>
      <c r="D97" s="34" t="s">
        <v>16</v>
      </c>
      <c r="E97" s="34" t="s">
        <v>347</v>
      </c>
      <c r="F97" s="34"/>
      <c r="G97" s="34"/>
      <c r="H97" s="34"/>
      <c r="I97" s="448" t="s">
        <v>421</v>
      </c>
      <c r="J97" s="2"/>
      <c r="K97" s="554">
        <v>45748</v>
      </c>
      <c r="L97" s="554"/>
      <c r="M97" s="554" t="s">
        <v>2256</v>
      </c>
      <c r="N97" s="34" t="s">
        <v>430</v>
      </c>
      <c r="O97" s="272" t="s">
        <v>423</v>
      </c>
      <c r="P97" s="36"/>
      <c r="Q97" s="2"/>
    </row>
    <row r="98" spans="1:17" x14ac:dyDescent="0.35">
      <c r="A98" s="34">
        <v>96</v>
      </c>
      <c r="B98" s="263" t="s">
        <v>45</v>
      </c>
      <c r="C98" s="263" t="s">
        <v>2131</v>
      </c>
      <c r="D98" s="34" t="s">
        <v>31</v>
      </c>
      <c r="E98" s="34" t="s">
        <v>347</v>
      </c>
      <c r="F98" s="34"/>
      <c r="G98" s="34"/>
      <c r="H98" s="34"/>
      <c r="I98" s="448" t="s">
        <v>421</v>
      </c>
      <c r="J98" s="2"/>
      <c r="K98" s="554">
        <v>45748</v>
      </c>
      <c r="L98" s="554"/>
      <c r="M98" s="554" t="s">
        <v>2256</v>
      </c>
      <c r="N98" s="34" t="s">
        <v>422</v>
      </c>
      <c r="O98" s="272" t="s">
        <v>423</v>
      </c>
      <c r="P98" s="35" t="s">
        <v>424</v>
      </c>
      <c r="Q98" s="2"/>
    </row>
    <row r="99" spans="1:17" x14ac:dyDescent="0.35">
      <c r="A99" s="34">
        <v>97</v>
      </c>
      <c r="B99" s="263" t="s">
        <v>189</v>
      </c>
      <c r="C99" s="34" t="s">
        <v>2131</v>
      </c>
      <c r="D99" s="34" t="s">
        <v>31</v>
      </c>
      <c r="E99" s="34" t="s">
        <v>347</v>
      </c>
      <c r="F99" s="34"/>
      <c r="G99" s="34"/>
      <c r="H99" s="34"/>
      <c r="I99" s="448" t="s">
        <v>421</v>
      </c>
      <c r="J99" s="2"/>
      <c r="K99" s="554">
        <v>45748</v>
      </c>
      <c r="L99" s="554"/>
      <c r="M99" s="554" t="s">
        <v>2256</v>
      </c>
      <c r="N99" s="34" t="s">
        <v>425</v>
      </c>
      <c r="O99" s="272" t="s">
        <v>423</v>
      </c>
      <c r="P99" s="35" t="s">
        <v>424</v>
      </c>
      <c r="Q99" s="2"/>
    </row>
    <row r="100" spans="1:17" x14ac:dyDescent="0.35">
      <c r="A100" s="34">
        <v>98</v>
      </c>
      <c r="B100" s="263" t="s">
        <v>193</v>
      </c>
      <c r="C100" s="34" t="s">
        <v>2131</v>
      </c>
      <c r="D100" s="34" t="s">
        <v>14</v>
      </c>
      <c r="E100" s="34" t="s">
        <v>347</v>
      </c>
      <c r="F100" s="34"/>
      <c r="G100" s="34"/>
      <c r="H100" s="34"/>
      <c r="I100" s="448" t="s">
        <v>421</v>
      </c>
      <c r="J100" s="2"/>
      <c r="K100" s="554">
        <v>45748</v>
      </c>
      <c r="L100" s="554"/>
      <c r="M100" s="554" t="s">
        <v>2256</v>
      </c>
      <c r="N100" s="34" t="s">
        <v>428</v>
      </c>
      <c r="O100" s="272" t="s">
        <v>423</v>
      </c>
      <c r="P100" s="35" t="s">
        <v>424</v>
      </c>
      <c r="Q100" s="2"/>
    </row>
    <row r="101" spans="1:17" x14ac:dyDescent="0.35">
      <c r="A101" s="34">
        <v>99</v>
      </c>
      <c r="B101" s="263" t="s">
        <v>184</v>
      </c>
      <c r="C101" s="34" t="s">
        <v>2131</v>
      </c>
      <c r="D101" s="34" t="s">
        <v>23</v>
      </c>
      <c r="E101" s="34" t="s">
        <v>348</v>
      </c>
      <c r="F101" s="34"/>
      <c r="G101" s="34"/>
      <c r="H101" s="34"/>
      <c r="I101" s="448" t="s">
        <v>421</v>
      </c>
      <c r="J101" s="2"/>
      <c r="K101" s="554">
        <v>45748</v>
      </c>
      <c r="L101" s="554"/>
      <c r="M101" s="554" t="s">
        <v>2256</v>
      </c>
      <c r="N101" s="34" t="s">
        <v>432</v>
      </c>
      <c r="O101" s="272" t="s">
        <v>423</v>
      </c>
      <c r="P101" s="36"/>
      <c r="Q101" s="2"/>
    </row>
    <row r="102" spans="1:17" x14ac:dyDescent="0.35">
      <c r="A102" s="34">
        <v>100</v>
      </c>
      <c r="B102" s="263" t="s">
        <v>166</v>
      </c>
      <c r="C102" s="34" t="s">
        <v>2131</v>
      </c>
      <c r="D102" s="34" t="s">
        <v>35</v>
      </c>
      <c r="E102" s="34" t="s">
        <v>347</v>
      </c>
      <c r="F102" s="34"/>
      <c r="G102" s="34"/>
      <c r="H102" s="34"/>
      <c r="I102" s="448" t="s">
        <v>421</v>
      </c>
      <c r="J102" s="2"/>
      <c r="K102" s="554">
        <v>45748</v>
      </c>
      <c r="L102" s="554"/>
      <c r="M102" s="554" t="s">
        <v>2256</v>
      </c>
      <c r="N102" s="34" t="s">
        <v>426</v>
      </c>
      <c r="O102" s="272" t="s">
        <v>423</v>
      </c>
      <c r="P102" s="36"/>
      <c r="Q102" s="2"/>
    </row>
    <row r="103" spans="1:17" x14ac:dyDescent="0.35">
      <c r="A103" s="34">
        <v>101</v>
      </c>
      <c r="B103" s="2" t="s">
        <v>190</v>
      </c>
      <c r="C103" s="34" t="s">
        <v>2131</v>
      </c>
      <c r="D103" s="2" t="s">
        <v>31</v>
      </c>
      <c r="E103" s="2" t="s">
        <v>347</v>
      </c>
      <c r="F103" s="2"/>
      <c r="G103" s="2"/>
      <c r="H103" s="2"/>
      <c r="I103" s="448" t="s">
        <v>421</v>
      </c>
      <c r="J103" s="2" t="s">
        <v>433</v>
      </c>
      <c r="K103" s="555" t="s">
        <v>434</v>
      </c>
      <c r="L103" s="39" t="s">
        <v>2256</v>
      </c>
      <c r="M103" s="39" t="s">
        <v>2257</v>
      </c>
      <c r="N103" s="2" t="s">
        <v>435</v>
      </c>
      <c r="O103" s="272" t="s">
        <v>423</v>
      </c>
      <c r="P103" s="36"/>
      <c r="Q103" s="2"/>
    </row>
    <row r="104" spans="1:17" x14ac:dyDescent="0.35">
      <c r="A104" s="34">
        <v>102</v>
      </c>
      <c r="B104" s="38" t="s">
        <v>29</v>
      </c>
      <c r="C104" s="263" t="s">
        <v>2131</v>
      </c>
      <c r="D104" s="2" t="s">
        <v>23</v>
      </c>
      <c r="E104" s="2" t="s">
        <v>347</v>
      </c>
      <c r="F104" s="2"/>
      <c r="G104" s="2"/>
      <c r="H104" s="2"/>
      <c r="I104" s="448" t="s">
        <v>421</v>
      </c>
      <c r="J104" s="2" t="s">
        <v>436</v>
      </c>
      <c r="K104" s="39">
        <v>45721</v>
      </c>
      <c r="L104" s="39" t="s">
        <v>2256</v>
      </c>
      <c r="M104" s="39" t="s">
        <v>2257</v>
      </c>
      <c r="N104" s="2" t="s">
        <v>437</v>
      </c>
      <c r="O104" s="272" t="s">
        <v>423</v>
      </c>
      <c r="P104" s="35" t="s">
        <v>424</v>
      </c>
      <c r="Q104" s="2"/>
    </row>
    <row r="105" spans="1:17" x14ac:dyDescent="0.35">
      <c r="A105" s="34">
        <v>103</v>
      </c>
      <c r="B105" s="38" t="s">
        <v>158</v>
      </c>
      <c r="C105" s="34" t="s">
        <v>2131</v>
      </c>
      <c r="D105" s="2" t="s">
        <v>35</v>
      </c>
      <c r="E105" s="2" t="s">
        <v>347</v>
      </c>
      <c r="F105" s="2"/>
      <c r="G105" s="2"/>
      <c r="H105" s="2"/>
      <c r="I105" s="448" t="s">
        <v>421</v>
      </c>
      <c r="J105" s="2" t="s">
        <v>436</v>
      </c>
      <c r="K105" s="39">
        <v>45721</v>
      </c>
      <c r="L105" s="39" t="s">
        <v>2256</v>
      </c>
      <c r="M105" s="39" t="s">
        <v>2257</v>
      </c>
      <c r="N105" s="2" t="s">
        <v>438</v>
      </c>
      <c r="O105" s="272" t="s">
        <v>423</v>
      </c>
      <c r="P105" s="35" t="s">
        <v>424</v>
      </c>
      <c r="Q105" s="2"/>
    </row>
    <row r="106" spans="1:17" x14ac:dyDescent="0.35">
      <c r="A106" s="34">
        <v>104</v>
      </c>
      <c r="B106" s="38" t="s">
        <v>131</v>
      </c>
      <c r="C106" s="34" t="s">
        <v>2131</v>
      </c>
      <c r="D106" s="2" t="s">
        <v>33</v>
      </c>
      <c r="E106" s="2" t="s">
        <v>347</v>
      </c>
      <c r="F106" s="2"/>
      <c r="G106" s="2"/>
      <c r="H106" s="2"/>
      <c r="I106" s="448" t="s">
        <v>421</v>
      </c>
      <c r="J106" s="40" t="s">
        <v>439</v>
      </c>
      <c r="K106" s="39">
        <v>45752</v>
      </c>
      <c r="L106" s="39" t="s">
        <v>2257</v>
      </c>
      <c r="M106" s="39" t="s">
        <v>2257</v>
      </c>
      <c r="N106" s="34" t="s">
        <v>430</v>
      </c>
      <c r="O106" s="272" t="s">
        <v>423</v>
      </c>
      <c r="P106" s="36"/>
      <c r="Q106" s="2"/>
    </row>
    <row r="107" spans="1:17" x14ac:dyDescent="0.35">
      <c r="A107" s="34">
        <v>105</v>
      </c>
      <c r="B107" s="38" t="s">
        <v>168</v>
      </c>
      <c r="C107" s="34" t="s">
        <v>2131</v>
      </c>
      <c r="D107" s="2" t="s">
        <v>35</v>
      </c>
      <c r="E107" s="2" t="s">
        <v>347</v>
      </c>
      <c r="F107" s="2"/>
      <c r="G107" s="2"/>
      <c r="H107" s="2"/>
      <c r="I107" s="448" t="s">
        <v>421</v>
      </c>
      <c r="J107" s="40" t="s">
        <v>440</v>
      </c>
      <c r="K107" s="39">
        <v>45782</v>
      </c>
      <c r="L107" s="39" t="s">
        <v>2257</v>
      </c>
      <c r="M107" s="39" t="s">
        <v>2257</v>
      </c>
      <c r="N107" s="2" t="s">
        <v>438</v>
      </c>
      <c r="O107" s="272" t="s">
        <v>423</v>
      </c>
      <c r="P107" s="35" t="s">
        <v>424</v>
      </c>
      <c r="Q107" s="2"/>
    </row>
    <row r="108" spans="1:17" x14ac:dyDescent="0.35">
      <c r="A108" s="34">
        <v>106</v>
      </c>
      <c r="B108" s="2" t="s">
        <v>183</v>
      </c>
      <c r="C108" s="34" t="s">
        <v>2131</v>
      </c>
      <c r="D108" s="2" t="s">
        <v>33</v>
      </c>
      <c r="E108" s="2" t="s">
        <v>349</v>
      </c>
      <c r="F108" s="2"/>
      <c r="G108" s="2"/>
      <c r="H108" s="2"/>
      <c r="I108" s="448" t="s">
        <v>421</v>
      </c>
      <c r="J108" s="39" t="s">
        <v>441</v>
      </c>
      <c r="K108" s="39">
        <v>45782</v>
      </c>
      <c r="L108" s="39" t="s">
        <v>2256</v>
      </c>
      <c r="M108" s="39" t="s">
        <v>2257</v>
      </c>
      <c r="N108" s="2" t="s">
        <v>442</v>
      </c>
      <c r="O108" s="272" t="s">
        <v>423</v>
      </c>
      <c r="P108" s="35" t="s">
        <v>424</v>
      </c>
      <c r="Q108" s="2"/>
    </row>
    <row r="109" spans="1:17" x14ac:dyDescent="0.35">
      <c r="A109" s="34">
        <v>107</v>
      </c>
      <c r="B109" s="2" t="s">
        <v>191</v>
      </c>
      <c r="C109" s="34" t="s">
        <v>2131</v>
      </c>
      <c r="D109" s="2" t="s">
        <v>33</v>
      </c>
      <c r="E109" s="2" t="s">
        <v>347</v>
      </c>
      <c r="F109" s="2"/>
      <c r="G109" s="2"/>
      <c r="H109" s="2"/>
      <c r="I109" s="448" t="s">
        <v>421</v>
      </c>
      <c r="J109" s="2" t="s">
        <v>433</v>
      </c>
      <c r="K109" s="39">
        <v>45782</v>
      </c>
      <c r="L109" s="39" t="s">
        <v>2256</v>
      </c>
      <c r="M109" s="39" t="s">
        <v>2257</v>
      </c>
      <c r="N109" s="2" t="s">
        <v>435</v>
      </c>
      <c r="O109" s="272" t="s">
        <v>423</v>
      </c>
      <c r="P109" s="36"/>
      <c r="Q109" s="2"/>
    </row>
    <row r="110" spans="1:17" x14ac:dyDescent="0.35">
      <c r="A110" s="34">
        <v>108</v>
      </c>
      <c r="B110" s="2" t="s">
        <v>192</v>
      </c>
      <c r="C110" s="34" t="s">
        <v>2131</v>
      </c>
      <c r="D110" s="2" t="s">
        <v>16</v>
      </c>
      <c r="E110" s="2" t="s">
        <v>348</v>
      </c>
      <c r="F110" s="2"/>
      <c r="G110" s="2"/>
      <c r="H110" s="2"/>
      <c r="I110" s="448" t="s">
        <v>421</v>
      </c>
      <c r="J110" s="2" t="s">
        <v>443</v>
      </c>
      <c r="K110" s="39">
        <v>45782</v>
      </c>
      <c r="L110" s="39" t="s">
        <v>2256</v>
      </c>
      <c r="M110" s="39" t="s">
        <v>2257</v>
      </c>
      <c r="N110" s="2" t="s">
        <v>444</v>
      </c>
      <c r="O110" s="272" t="s">
        <v>423</v>
      </c>
      <c r="P110" s="35" t="s">
        <v>424</v>
      </c>
      <c r="Q110" s="2"/>
    </row>
    <row r="111" spans="1:17" x14ac:dyDescent="0.35">
      <c r="A111" s="34">
        <v>109</v>
      </c>
      <c r="B111" s="38" t="s">
        <v>36</v>
      </c>
      <c r="C111" s="263" t="s">
        <v>2131</v>
      </c>
      <c r="D111" s="2" t="s">
        <v>31</v>
      </c>
      <c r="E111" s="2" t="s">
        <v>348</v>
      </c>
      <c r="F111" s="2"/>
      <c r="G111" s="2"/>
      <c r="H111" s="2"/>
      <c r="I111" s="448" t="s">
        <v>421</v>
      </c>
      <c r="J111" s="2"/>
      <c r="K111" s="39">
        <v>45783</v>
      </c>
      <c r="L111" s="39"/>
      <c r="M111" s="39" t="s">
        <v>2257</v>
      </c>
      <c r="N111" s="2" t="s">
        <v>437</v>
      </c>
      <c r="O111" s="272" t="s">
        <v>423</v>
      </c>
      <c r="P111" s="36"/>
      <c r="Q111" s="2"/>
    </row>
    <row r="112" spans="1:17" x14ac:dyDescent="0.35">
      <c r="A112" s="34">
        <v>110</v>
      </c>
      <c r="B112" s="38" t="s">
        <v>43</v>
      </c>
      <c r="C112" s="263" t="s">
        <v>2131</v>
      </c>
      <c r="D112" s="2" t="s">
        <v>35</v>
      </c>
      <c r="E112" s="2" t="s">
        <v>347</v>
      </c>
      <c r="F112" s="2"/>
      <c r="G112" s="2"/>
      <c r="H112" s="2"/>
      <c r="I112" s="448" t="s">
        <v>421</v>
      </c>
      <c r="J112" s="2"/>
      <c r="K112" s="39">
        <v>45784</v>
      </c>
      <c r="L112" s="39"/>
      <c r="M112" s="39" t="s">
        <v>2257</v>
      </c>
      <c r="N112" s="34" t="s">
        <v>422</v>
      </c>
      <c r="O112" s="272" t="s">
        <v>423</v>
      </c>
      <c r="P112" s="36"/>
      <c r="Q112" s="2"/>
    </row>
    <row r="113" spans="1:17" x14ac:dyDescent="0.35">
      <c r="A113" s="34">
        <v>111</v>
      </c>
      <c r="B113" s="38" t="s">
        <v>121</v>
      </c>
      <c r="C113" s="34" t="s">
        <v>2131</v>
      </c>
      <c r="D113" s="2" t="s">
        <v>23</v>
      </c>
      <c r="E113" s="2" t="s">
        <v>347</v>
      </c>
      <c r="F113" s="2"/>
      <c r="G113" s="2"/>
      <c r="H113" s="2"/>
      <c r="I113" s="448" t="s">
        <v>421</v>
      </c>
      <c r="J113" s="2"/>
      <c r="K113" s="39">
        <v>45785</v>
      </c>
      <c r="L113" s="39"/>
      <c r="M113" s="39" t="s">
        <v>2257</v>
      </c>
      <c r="N113" s="34" t="s">
        <v>430</v>
      </c>
      <c r="O113" s="272" t="s">
        <v>423</v>
      </c>
      <c r="P113" s="35" t="s">
        <v>424</v>
      </c>
      <c r="Q113" s="2"/>
    </row>
    <row r="114" spans="1:17" x14ac:dyDescent="0.35">
      <c r="A114" s="34">
        <v>112</v>
      </c>
      <c r="B114" s="2" t="s">
        <v>185</v>
      </c>
      <c r="C114" s="34" t="s">
        <v>2131</v>
      </c>
      <c r="D114" s="2" t="s">
        <v>16</v>
      </c>
      <c r="E114" s="2" t="s">
        <v>349</v>
      </c>
      <c r="F114" s="2"/>
      <c r="G114" s="2"/>
      <c r="H114" s="2"/>
      <c r="I114" s="448" t="s">
        <v>421</v>
      </c>
      <c r="J114" s="2"/>
      <c r="K114" s="39">
        <v>45785</v>
      </c>
      <c r="L114" s="39"/>
      <c r="M114" s="39" t="s">
        <v>2257</v>
      </c>
      <c r="N114" s="34" t="s">
        <v>432</v>
      </c>
      <c r="O114" s="272" t="s">
        <v>423</v>
      </c>
      <c r="P114" s="35" t="s">
        <v>424</v>
      </c>
      <c r="Q114" s="2"/>
    </row>
    <row r="115" spans="1:17" x14ac:dyDescent="0.35">
      <c r="A115" s="34">
        <v>113</v>
      </c>
      <c r="B115" s="38" t="s">
        <v>175</v>
      </c>
      <c r="C115" s="34" t="s">
        <v>2131</v>
      </c>
      <c r="D115" s="2" t="s">
        <v>35</v>
      </c>
      <c r="E115" s="2" t="s">
        <v>347</v>
      </c>
      <c r="F115" s="2"/>
      <c r="G115" s="2"/>
      <c r="H115" s="2"/>
      <c r="I115" s="448" t="s">
        <v>421</v>
      </c>
      <c r="J115" s="2"/>
      <c r="K115" s="39">
        <v>45785</v>
      </c>
      <c r="L115" s="39"/>
      <c r="M115" s="39" t="s">
        <v>2257</v>
      </c>
      <c r="N115" s="2" t="s">
        <v>438</v>
      </c>
      <c r="O115" s="272" t="s">
        <v>423</v>
      </c>
      <c r="P115" s="35" t="s">
        <v>424</v>
      </c>
      <c r="Q115" s="2"/>
    </row>
    <row r="116" spans="1:17" x14ac:dyDescent="0.35">
      <c r="A116" s="34">
        <v>114</v>
      </c>
      <c r="B116" s="2" t="s">
        <v>188</v>
      </c>
      <c r="C116" s="34" t="s">
        <v>2131</v>
      </c>
      <c r="D116" s="2" t="s">
        <v>31</v>
      </c>
      <c r="E116" s="2" t="s">
        <v>347</v>
      </c>
      <c r="F116" s="2"/>
      <c r="G116" s="2"/>
      <c r="H116" s="2"/>
      <c r="I116" s="448" t="s">
        <v>421</v>
      </c>
      <c r="J116" s="2"/>
      <c r="K116" s="39">
        <v>45786</v>
      </c>
      <c r="L116" s="39"/>
      <c r="M116" s="39" t="s">
        <v>2257</v>
      </c>
      <c r="N116" s="2" t="s">
        <v>444</v>
      </c>
      <c r="O116" s="272" t="s">
        <v>423</v>
      </c>
      <c r="P116" s="35" t="s">
        <v>424</v>
      </c>
      <c r="Q116" s="2"/>
    </row>
    <row r="117" spans="1:17" x14ac:dyDescent="0.35">
      <c r="A117" s="34">
        <v>115</v>
      </c>
      <c r="B117" s="38" t="s">
        <v>32</v>
      </c>
      <c r="C117" s="263" t="s">
        <v>2131</v>
      </c>
      <c r="D117" s="2" t="s">
        <v>33</v>
      </c>
      <c r="E117" s="2" t="s">
        <v>348</v>
      </c>
      <c r="F117" s="2"/>
      <c r="G117" s="2"/>
      <c r="H117" s="2"/>
      <c r="I117" s="448" t="s">
        <v>421</v>
      </c>
      <c r="J117" s="2"/>
      <c r="K117" s="39">
        <v>45786</v>
      </c>
      <c r="L117" s="39"/>
      <c r="M117" s="39" t="s">
        <v>2257</v>
      </c>
      <c r="N117" s="2" t="s">
        <v>437</v>
      </c>
      <c r="O117" s="272" t="s">
        <v>423</v>
      </c>
      <c r="P117" s="35" t="s">
        <v>424</v>
      </c>
      <c r="Q117" s="2"/>
    </row>
    <row r="118" spans="1:17" x14ac:dyDescent="0.35">
      <c r="A118" s="34">
        <v>116</v>
      </c>
      <c r="B118" s="2" t="s">
        <v>176</v>
      </c>
      <c r="C118" s="34" t="s">
        <v>2131</v>
      </c>
      <c r="D118" s="2" t="s">
        <v>31</v>
      </c>
      <c r="E118" s="2" t="s">
        <v>347</v>
      </c>
      <c r="F118" s="2"/>
      <c r="G118" s="2"/>
      <c r="H118" s="2"/>
      <c r="I118" s="448" t="s">
        <v>421</v>
      </c>
      <c r="J118" s="2"/>
      <c r="K118" s="39">
        <v>45787</v>
      </c>
      <c r="L118" s="39"/>
      <c r="M118" s="39" t="s">
        <v>2257</v>
      </c>
      <c r="N118" s="2" t="s">
        <v>438</v>
      </c>
      <c r="O118" s="272" t="s">
        <v>423</v>
      </c>
      <c r="P118" s="35" t="s">
        <v>424</v>
      </c>
      <c r="Q118" s="2"/>
    </row>
    <row r="119" spans="1:17" x14ac:dyDescent="0.35">
      <c r="A119" s="34">
        <v>117</v>
      </c>
      <c r="B119" s="2" t="s">
        <v>202</v>
      </c>
      <c r="C119" s="34" t="s">
        <v>2131</v>
      </c>
      <c r="D119" s="2" t="s">
        <v>33</v>
      </c>
      <c r="E119" s="2" t="s">
        <v>347</v>
      </c>
      <c r="F119" s="2"/>
      <c r="G119" s="2"/>
      <c r="H119" s="2"/>
      <c r="I119" s="448" t="s">
        <v>421</v>
      </c>
      <c r="J119" s="2"/>
      <c r="K119" s="39">
        <v>45788</v>
      </c>
      <c r="L119" s="39"/>
      <c r="M119" s="39" t="s">
        <v>2257</v>
      </c>
      <c r="N119" s="2" t="s">
        <v>435</v>
      </c>
      <c r="O119" s="272" t="s">
        <v>423</v>
      </c>
      <c r="P119" s="35" t="s">
        <v>424</v>
      </c>
      <c r="Q119" s="2"/>
    </row>
    <row r="120" spans="1:17" x14ac:dyDescent="0.35">
      <c r="A120" s="34">
        <v>118</v>
      </c>
      <c r="B120" s="38" t="s">
        <v>122</v>
      </c>
      <c r="C120" s="34" t="s">
        <v>2131</v>
      </c>
      <c r="D120" s="2" t="s">
        <v>23</v>
      </c>
      <c r="E120" s="2" t="s">
        <v>347</v>
      </c>
      <c r="F120" s="2"/>
      <c r="G120" s="2"/>
      <c r="H120" s="2"/>
      <c r="I120" s="448" t="s">
        <v>421</v>
      </c>
      <c r="J120" s="2"/>
      <c r="K120" s="39">
        <v>45789</v>
      </c>
      <c r="L120" s="39"/>
      <c r="M120" s="39" t="s">
        <v>2257</v>
      </c>
      <c r="N120" s="2" t="s">
        <v>445</v>
      </c>
      <c r="O120" s="272" t="s">
        <v>423</v>
      </c>
      <c r="P120" s="35" t="s">
        <v>424</v>
      </c>
      <c r="Q120" s="2"/>
    </row>
    <row r="121" spans="1:17" x14ac:dyDescent="0.35">
      <c r="A121" s="34">
        <v>119</v>
      </c>
      <c r="B121" s="38" t="s">
        <v>34</v>
      </c>
      <c r="C121" s="263" t="s">
        <v>2131</v>
      </c>
      <c r="D121" s="2" t="s">
        <v>35</v>
      </c>
      <c r="E121" s="2" t="s">
        <v>348</v>
      </c>
      <c r="F121" s="2"/>
      <c r="G121" s="2"/>
      <c r="H121" s="2"/>
      <c r="I121" s="448" t="s">
        <v>421</v>
      </c>
      <c r="J121" s="2"/>
      <c r="K121" s="39">
        <v>45790</v>
      </c>
      <c r="L121" s="39"/>
      <c r="M121" s="39" t="s">
        <v>2257</v>
      </c>
      <c r="N121" s="2" t="s">
        <v>437</v>
      </c>
      <c r="O121" s="272" t="s">
        <v>423</v>
      </c>
      <c r="P121" s="35" t="s">
        <v>424</v>
      </c>
      <c r="Q121" s="2"/>
    </row>
    <row r="122" spans="1:17" x14ac:dyDescent="0.35">
      <c r="A122" s="34">
        <v>120</v>
      </c>
      <c r="B122" s="2" t="s">
        <v>201</v>
      </c>
      <c r="C122" s="34" t="s">
        <v>2131</v>
      </c>
      <c r="D122" s="2" t="s">
        <v>23</v>
      </c>
      <c r="E122" s="2" t="s">
        <v>347</v>
      </c>
      <c r="F122" s="2"/>
      <c r="G122" s="2"/>
      <c r="H122" s="2"/>
      <c r="I122" s="448" t="s">
        <v>421</v>
      </c>
      <c r="J122" s="2"/>
      <c r="K122" s="39">
        <v>45790</v>
      </c>
      <c r="L122" s="39"/>
      <c r="M122" s="39" t="s">
        <v>2257</v>
      </c>
      <c r="N122" s="2" t="s">
        <v>435</v>
      </c>
      <c r="O122" s="272" t="s">
        <v>423</v>
      </c>
      <c r="P122" s="35" t="s">
        <v>424</v>
      </c>
      <c r="Q122" s="2"/>
    </row>
    <row r="123" spans="1:17" x14ac:dyDescent="0.35">
      <c r="A123" s="34">
        <v>121</v>
      </c>
      <c r="B123" s="2" t="s">
        <v>177</v>
      </c>
      <c r="C123" s="34" t="s">
        <v>2131</v>
      </c>
      <c r="D123" s="2" t="s">
        <v>35</v>
      </c>
      <c r="E123" s="2" t="s">
        <v>347</v>
      </c>
      <c r="F123" s="2"/>
      <c r="G123" s="2"/>
      <c r="H123" s="2"/>
      <c r="I123" s="448" t="s">
        <v>421</v>
      </c>
      <c r="J123" s="2"/>
      <c r="K123" s="39">
        <v>45792</v>
      </c>
      <c r="L123" s="39"/>
      <c r="M123" s="39" t="s">
        <v>2257</v>
      </c>
      <c r="N123" s="2" t="s">
        <v>438</v>
      </c>
      <c r="O123" s="272" t="s">
        <v>423</v>
      </c>
      <c r="P123" s="35" t="s">
        <v>424</v>
      </c>
      <c r="Q123" s="2"/>
    </row>
    <row r="124" spans="1:17" x14ac:dyDescent="0.35">
      <c r="A124" s="34">
        <v>122</v>
      </c>
      <c r="B124" s="38" t="s">
        <v>41</v>
      </c>
      <c r="C124" s="263" t="s">
        <v>2131</v>
      </c>
      <c r="D124" s="2" t="s">
        <v>14</v>
      </c>
      <c r="E124" s="2" t="s">
        <v>347</v>
      </c>
      <c r="F124" s="2"/>
      <c r="G124" s="2"/>
      <c r="H124" s="2"/>
      <c r="I124" s="448" t="s">
        <v>421</v>
      </c>
      <c r="J124" s="39">
        <v>45792</v>
      </c>
      <c r="K124" s="39">
        <v>45793</v>
      </c>
      <c r="L124" s="39" t="s">
        <v>2257</v>
      </c>
      <c r="M124" s="39" t="s">
        <v>2257</v>
      </c>
      <c r="N124" s="34" t="s">
        <v>422</v>
      </c>
      <c r="O124" s="272" t="s">
        <v>423</v>
      </c>
      <c r="P124" s="35" t="s">
        <v>424</v>
      </c>
      <c r="Q124" s="2"/>
    </row>
    <row r="125" spans="1:17" x14ac:dyDescent="0.35">
      <c r="A125" s="34">
        <v>123</v>
      </c>
      <c r="B125" s="2" t="s">
        <v>199</v>
      </c>
      <c r="C125" s="34" t="s">
        <v>2131</v>
      </c>
      <c r="D125" s="2" t="s">
        <v>23</v>
      </c>
      <c r="E125" s="2" t="s">
        <v>347</v>
      </c>
      <c r="F125" s="2"/>
      <c r="G125" s="2"/>
      <c r="H125" s="2"/>
      <c r="I125" s="448" t="s">
        <v>421</v>
      </c>
      <c r="J125" s="2"/>
      <c r="K125" s="39">
        <v>45794</v>
      </c>
      <c r="L125" s="39"/>
      <c r="M125" s="39" t="s">
        <v>2257</v>
      </c>
      <c r="N125" s="2" t="s">
        <v>435</v>
      </c>
      <c r="O125" s="272" t="s">
        <v>423</v>
      </c>
      <c r="P125" s="35" t="s">
        <v>424</v>
      </c>
      <c r="Q125" s="2"/>
    </row>
    <row r="126" spans="1:17" x14ac:dyDescent="0.35">
      <c r="A126" s="34">
        <v>124</v>
      </c>
      <c r="B126" s="2" t="s">
        <v>205</v>
      </c>
      <c r="C126" s="34" t="s">
        <v>2131</v>
      </c>
      <c r="D126" s="2" t="s">
        <v>31</v>
      </c>
      <c r="E126" s="2" t="s">
        <v>348</v>
      </c>
      <c r="F126" s="2"/>
      <c r="G126" s="2"/>
      <c r="H126" s="2"/>
      <c r="I126" s="448" t="s">
        <v>421</v>
      </c>
      <c r="J126" s="39">
        <v>45791</v>
      </c>
      <c r="K126" s="39">
        <v>45796</v>
      </c>
      <c r="L126" s="39" t="s">
        <v>2257</v>
      </c>
      <c r="M126" s="39" t="s">
        <v>2257</v>
      </c>
      <c r="N126" s="2" t="s">
        <v>444</v>
      </c>
      <c r="O126" s="272" t="s">
        <v>423</v>
      </c>
      <c r="P126" s="35" t="s">
        <v>424</v>
      </c>
      <c r="Q126" s="2"/>
    </row>
    <row r="127" spans="1:17" x14ac:dyDescent="0.35">
      <c r="A127" s="34">
        <v>125</v>
      </c>
      <c r="B127" s="38" t="s">
        <v>263</v>
      </c>
      <c r="C127" s="34" t="s">
        <v>2132</v>
      </c>
      <c r="D127" s="2" t="s">
        <v>31</v>
      </c>
      <c r="E127" s="2" t="s">
        <v>347</v>
      </c>
      <c r="F127" s="2"/>
      <c r="G127" s="2"/>
      <c r="H127" s="2"/>
      <c r="I127" s="448" t="s">
        <v>421</v>
      </c>
      <c r="J127" s="2" t="s">
        <v>446</v>
      </c>
      <c r="K127" s="2" t="s">
        <v>447</v>
      </c>
      <c r="L127" s="39" t="s">
        <v>2257</v>
      </c>
      <c r="M127" s="39" t="s">
        <v>2257</v>
      </c>
      <c r="N127" s="34" t="s">
        <v>432</v>
      </c>
      <c r="O127" s="272" t="s">
        <v>423</v>
      </c>
      <c r="P127" s="35" t="s">
        <v>424</v>
      </c>
      <c r="Q127" s="2"/>
    </row>
    <row r="128" spans="1:17" x14ac:dyDescent="0.35">
      <c r="A128" s="34">
        <v>126</v>
      </c>
      <c r="B128" s="38" t="s">
        <v>278</v>
      </c>
      <c r="C128" s="38" t="s">
        <v>2133</v>
      </c>
      <c r="D128" s="2" t="s">
        <v>16</v>
      </c>
      <c r="E128" s="2" t="s">
        <v>347</v>
      </c>
      <c r="F128" s="2"/>
      <c r="G128" s="2"/>
      <c r="H128" s="2"/>
      <c r="I128" s="448" t="s">
        <v>421</v>
      </c>
      <c r="J128" s="39" t="s">
        <v>448</v>
      </c>
      <c r="K128" s="2" t="s">
        <v>447</v>
      </c>
      <c r="L128" s="39" t="s">
        <v>2257</v>
      </c>
      <c r="M128" s="39" t="s">
        <v>2257</v>
      </c>
      <c r="N128" s="2" t="s">
        <v>437</v>
      </c>
      <c r="O128" s="272" t="s">
        <v>423</v>
      </c>
      <c r="P128" s="35" t="s">
        <v>424</v>
      </c>
      <c r="Q128" s="2"/>
    </row>
    <row r="129" spans="1:17" x14ac:dyDescent="0.35">
      <c r="A129" s="34">
        <v>127</v>
      </c>
      <c r="B129" s="38" t="s">
        <v>179</v>
      </c>
      <c r="C129" s="34" t="s">
        <v>2131</v>
      </c>
      <c r="D129" s="2" t="s">
        <v>449</v>
      </c>
      <c r="E129" s="2" t="s">
        <v>347</v>
      </c>
      <c r="F129" s="2"/>
      <c r="G129" s="2"/>
      <c r="H129" s="2"/>
      <c r="I129" s="448" t="s">
        <v>421</v>
      </c>
      <c r="J129" s="556" t="s">
        <v>450</v>
      </c>
      <c r="K129" s="39" t="s">
        <v>451</v>
      </c>
      <c r="L129" s="39" t="s">
        <v>2257</v>
      </c>
      <c r="M129" s="39" t="s">
        <v>2257</v>
      </c>
      <c r="N129" s="2" t="s">
        <v>438</v>
      </c>
      <c r="O129" s="272" t="s">
        <v>423</v>
      </c>
      <c r="P129" s="35" t="s">
        <v>424</v>
      </c>
      <c r="Q129" s="2"/>
    </row>
    <row r="130" spans="1:17" x14ac:dyDescent="0.35">
      <c r="A130" s="34">
        <v>128</v>
      </c>
      <c r="B130" s="2" t="s">
        <v>178</v>
      </c>
      <c r="C130" s="34" t="s">
        <v>2131</v>
      </c>
      <c r="D130" s="2" t="s">
        <v>31</v>
      </c>
      <c r="E130" s="2" t="s">
        <v>347</v>
      </c>
      <c r="F130" s="2"/>
      <c r="G130" s="2"/>
      <c r="H130" s="2"/>
      <c r="I130" s="448" t="s">
        <v>421</v>
      </c>
      <c r="J130" s="2" t="s">
        <v>452</v>
      </c>
      <c r="K130" s="2" t="s">
        <v>453</v>
      </c>
      <c r="L130" s="39" t="s">
        <v>2257</v>
      </c>
      <c r="M130" s="39" t="s">
        <v>2257</v>
      </c>
      <c r="N130" s="2" t="s">
        <v>438</v>
      </c>
      <c r="O130" s="272" t="s">
        <v>423</v>
      </c>
      <c r="P130" s="35" t="s">
        <v>424</v>
      </c>
      <c r="Q130" s="2"/>
    </row>
    <row r="131" spans="1:17" x14ac:dyDescent="0.35">
      <c r="A131" s="34">
        <v>129</v>
      </c>
      <c r="B131" s="2" t="s">
        <v>287</v>
      </c>
      <c r="C131" s="38" t="s">
        <v>2133</v>
      </c>
      <c r="D131" s="2" t="s">
        <v>23</v>
      </c>
      <c r="E131" s="2" t="s">
        <v>347</v>
      </c>
      <c r="F131" s="2"/>
      <c r="G131" s="2"/>
      <c r="H131" s="2"/>
      <c r="I131" s="448" t="s">
        <v>421</v>
      </c>
      <c r="J131" s="2" t="s">
        <v>446</v>
      </c>
      <c r="K131" s="2" t="s">
        <v>454</v>
      </c>
      <c r="L131" s="39" t="s">
        <v>2257</v>
      </c>
      <c r="M131" s="39" t="s">
        <v>2257</v>
      </c>
      <c r="N131" s="2" t="s">
        <v>445</v>
      </c>
      <c r="O131" s="272" t="s">
        <v>423</v>
      </c>
      <c r="P131" s="35" t="s">
        <v>424</v>
      </c>
      <c r="Q131" s="2"/>
    </row>
    <row r="132" spans="1:17" x14ac:dyDescent="0.35">
      <c r="A132" s="34">
        <v>130</v>
      </c>
      <c r="B132" s="2" t="s">
        <v>266</v>
      </c>
      <c r="C132" s="38" t="s">
        <v>2133</v>
      </c>
      <c r="D132" s="2" t="s">
        <v>16</v>
      </c>
      <c r="E132" s="2" t="s">
        <v>347</v>
      </c>
      <c r="F132" s="2"/>
      <c r="G132" s="2"/>
      <c r="H132" s="2"/>
      <c r="I132" s="448" t="s">
        <v>421</v>
      </c>
      <c r="J132" s="2" t="s">
        <v>447</v>
      </c>
      <c r="K132" s="39" t="s">
        <v>455</v>
      </c>
      <c r="L132" s="39" t="s">
        <v>2257</v>
      </c>
      <c r="M132" s="39" t="s">
        <v>2257</v>
      </c>
      <c r="N132" s="34" t="s">
        <v>432</v>
      </c>
      <c r="O132" s="272" t="s">
        <v>423</v>
      </c>
      <c r="P132" s="35" t="s">
        <v>424</v>
      </c>
      <c r="Q132" s="2"/>
    </row>
    <row r="133" spans="1:17" x14ac:dyDescent="0.35">
      <c r="A133" s="34">
        <v>131</v>
      </c>
      <c r="B133" s="38" t="s">
        <v>38</v>
      </c>
      <c r="C133" s="263" t="s">
        <v>2131</v>
      </c>
      <c r="D133" s="2" t="s">
        <v>23</v>
      </c>
      <c r="E133" s="2" t="s">
        <v>348</v>
      </c>
      <c r="F133" s="2"/>
      <c r="G133" s="2"/>
      <c r="H133" s="2"/>
      <c r="I133" s="448" t="s">
        <v>421</v>
      </c>
      <c r="J133" s="2" t="s">
        <v>447</v>
      </c>
      <c r="K133" s="39" t="s">
        <v>455</v>
      </c>
      <c r="L133" s="39" t="s">
        <v>2257</v>
      </c>
      <c r="M133" s="39" t="s">
        <v>2257</v>
      </c>
      <c r="N133" s="2" t="s">
        <v>435</v>
      </c>
      <c r="O133" s="272" t="s">
        <v>423</v>
      </c>
      <c r="P133" s="36"/>
      <c r="Q133" s="2"/>
    </row>
    <row r="134" spans="1:17" x14ac:dyDescent="0.35">
      <c r="A134" s="34">
        <v>132</v>
      </c>
      <c r="B134" s="2" t="s">
        <v>204</v>
      </c>
      <c r="C134" s="34" t="s">
        <v>2131</v>
      </c>
      <c r="D134" s="2" t="s">
        <v>23</v>
      </c>
      <c r="E134" s="2" t="s">
        <v>347</v>
      </c>
      <c r="F134" s="2"/>
      <c r="G134" s="2"/>
      <c r="H134" s="2"/>
      <c r="I134" s="448" t="s">
        <v>421</v>
      </c>
      <c r="J134" s="2" t="s">
        <v>456</v>
      </c>
      <c r="K134" s="2" t="s">
        <v>457</v>
      </c>
      <c r="L134" s="39" t="s">
        <v>2257</v>
      </c>
      <c r="M134" s="39" t="s">
        <v>2257</v>
      </c>
      <c r="N134" s="2" t="s">
        <v>444</v>
      </c>
      <c r="O134" s="272" t="s">
        <v>423</v>
      </c>
      <c r="P134" s="35" t="s">
        <v>424</v>
      </c>
      <c r="Q134" s="2"/>
    </row>
    <row r="135" spans="1:17" x14ac:dyDescent="0.35">
      <c r="A135" s="34">
        <v>133</v>
      </c>
      <c r="B135" s="2" t="s">
        <v>280</v>
      </c>
      <c r="C135" s="38" t="s">
        <v>2133</v>
      </c>
      <c r="D135" s="2" t="s">
        <v>33</v>
      </c>
      <c r="E135" s="2" t="s">
        <v>348</v>
      </c>
      <c r="F135" s="2"/>
      <c r="G135" s="2"/>
      <c r="H135" s="2"/>
      <c r="I135" s="448" t="s">
        <v>421</v>
      </c>
      <c r="J135" s="2" t="s">
        <v>456</v>
      </c>
      <c r="K135" s="2" t="s">
        <v>457</v>
      </c>
      <c r="L135" s="39" t="s">
        <v>2257</v>
      </c>
      <c r="M135" s="39" t="s">
        <v>2257</v>
      </c>
      <c r="N135" s="2" t="s">
        <v>437</v>
      </c>
      <c r="O135" s="272" t="s">
        <v>423</v>
      </c>
      <c r="P135" s="35" t="s">
        <v>424</v>
      </c>
      <c r="Q135" s="2"/>
    </row>
    <row r="136" spans="1:17" x14ac:dyDescent="0.35">
      <c r="A136" s="34">
        <v>134</v>
      </c>
      <c r="B136" s="2" t="s">
        <v>286</v>
      </c>
      <c r="C136" s="38" t="s">
        <v>2133</v>
      </c>
      <c r="D136" s="2" t="s">
        <v>31</v>
      </c>
      <c r="E136" s="2" t="s">
        <v>347</v>
      </c>
      <c r="F136" s="2"/>
      <c r="G136" s="2"/>
      <c r="H136" s="2"/>
      <c r="I136" s="448" t="s">
        <v>421</v>
      </c>
      <c r="J136" s="2" t="s">
        <v>458</v>
      </c>
      <c r="K136" s="2" t="s">
        <v>459</v>
      </c>
      <c r="L136" s="39" t="s">
        <v>2257</v>
      </c>
      <c r="M136" s="39" t="s">
        <v>2257</v>
      </c>
      <c r="N136" s="2" t="s">
        <v>445</v>
      </c>
      <c r="O136" s="272" t="s">
        <v>423</v>
      </c>
      <c r="P136" s="35" t="s">
        <v>424</v>
      </c>
      <c r="Q136" s="2"/>
    </row>
    <row r="137" spans="1:17" x14ac:dyDescent="0.35">
      <c r="A137" s="34">
        <v>135</v>
      </c>
      <c r="B137" s="2" t="s">
        <v>174</v>
      </c>
      <c r="C137" s="34" t="s">
        <v>2131</v>
      </c>
      <c r="D137" s="2" t="s">
        <v>460</v>
      </c>
      <c r="E137" s="2" t="s">
        <v>347</v>
      </c>
      <c r="F137" s="2"/>
      <c r="G137" s="2"/>
      <c r="H137" s="2"/>
      <c r="I137" s="448" t="s">
        <v>421</v>
      </c>
      <c r="J137" s="2" t="s">
        <v>461</v>
      </c>
      <c r="K137" s="2" t="s">
        <v>462</v>
      </c>
      <c r="L137" s="39" t="s">
        <v>2257</v>
      </c>
      <c r="M137" s="39" t="s">
        <v>2257</v>
      </c>
      <c r="N137" s="2" t="s">
        <v>438</v>
      </c>
      <c r="O137" s="272" t="s">
        <v>423</v>
      </c>
      <c r="P137" s="35" t="s">
        <v>424</v>
      </c>
      <c r="Q137" s="2"/>
    </row>
    <row r="138" spans="1:17" x14ac:dyDescent="0.35">
      <c r="A138" s="34">
        <v>136</v>
      </c>
      <c r="B138" s="38" t="s">
        <v>37</v>
      </c>
      <c r="C138" s="263" t="s">
        <v>2131</v>
      </c>
      <c r="D138" s="2" t="s">
        <v>463</v>
      </c>
      <c r="E138" s="2" t="s">
        <v>348</v>
      </c>
      <c r="F138" s="2"/>
      <c r="G138" s="2"/>
      <c r="H138" s="2"/>
      <c r="I138" s="448" t="s">
        <v>421</v>
      </c>
      <c r="J138" s="2" t="s">
        <v>461</v>
      </c>
      <c r="K138" s="2" t="s">
        <v>462</v>
      </c>
      <c r="L138" s="39" t="s">
        <v>2257</v>
      </c>
      <c r="M138" s="39" t="s">
        <v>2257</v>
      </c>
      <c r="N138" s="2" t="s">
        <v>435</v>
      </c>
      <c r="O138" s="272" t="s">
        <v>423</v>
      </c>
      <c r="P138" s="36"/>
      <c r="Q138" s="2"/>
    </row>
    <row r="139" spans="1:17" x14ac:dyDescent="0.35">
      <c r="A139" s="34">
        <v>137</v>
      </c>
      <c r="B139" s="38" t="s">
        <v>279</v>
      </c>
      <c r="C139" s="38" t="s">
        <v>2133</v>
      </c>
      <c r="D139" s="2" t="s">
        <v>31</v>
      </c>
      <c r="E139" s="2" t="s">
        <v>347</v>
      </c>
      <c r="F139" s="2"/>
      <c r="G139" s="2"/>
      <c r="H139" s="2"/>
      <c r="I139" s="448" t="s">
        <v>421</v>
      </c>
      <c r="J139" s="2"/>
      <c r="K139" s="39">
        <v>45803</v>
      </c>
      <c r="L139" s="39"/>
      <c r="M139" s="39" t="s">
        <v>2257</v>
      </c>
      <c r="N139" s="2" t="s">
        <v>437</v>
      </c>
      <c r="O139" s="272" t="s">
        <v>423</v>
      </c>
      <c r="P139" s="35" t="s">
        <v>424</v>
      </c>
      <c r="Q139" s="2"/>
    </row>
    <row r="140" spans="1:17" x14ac:dyDescent="0.35">
      <c r="A140" s="34">
        <v>138</v>
      </c>
      <c r="B140" s="2" t="s">
        <v>259</v>
      </c>
      <c r="C140" s="34" t="s">
        <v>2132</v>
      </c>
      <c r="D140" s="2" t="s">
        <v>464</v>
      </c>
      <c r="E140" s="2" t="s">
        <v>347</v>
      </c>
      <c r="F140" s="2"/>
      <c r="G140" s="2"/>
      <c r="H140" s="2"/>
      <c r="I140" s="448" t="s">
        <v>421</v>
      </c>
      <c r="J140" s="2" t="s">
        <v>461</v>
      </c>
      <c r="K140" s="2" t="s">
        <v>465</v>
      </c>
      <c r="L140" s="39" t="s">
        <v>2257</v>
      </c>
      <c r="M140" s="39" t="s">
        <v>2257</v>
      </c>
      <c r="N140" s="34" t="s">
        <v>432</v>
      </c>
      <c r="O140" s="272" t="s">
        <v>423</v>
      </c>
      <c r="P140" s="35" t="s">
        <v>424</v>
      </c>
      <c r="Q140" s="2"/>
    </row>
    <row r="141" spans="1:17" x14ac:dyDescent="0.35">
      <c r="A141" s="34">
        <v>139</v>
      </c>
      <c r="B141" s="38" t="s">
        <v>288</v>
      </c>
      <c r="C141" s="38" t="s">
        <v>2133</v>
      </c>
      <c r="D141" s="2" t="s">
        <v>23</v>
      </c>
      <c r="E141" s="2" t="s">
        <v>347</v>
      </c>
      <c r="F141" s="2"/>
      <c r="G141" s="2"/>
      <c r="H141" s="2"/>
      <c r="I141" s="448" t="s">
        <v>421</v>
      </c>
      <c r="J141" s="2"/>
      <c r="K141" s="2" t="s">
        <v>469</v>
      </c>
      <c r="L141" s="2"/>
      <c r="M141" s="39" t="s">
        <v>2257</v>
      </c>
      <c r="N141" s="2" t="s">
        <v>445</v>
      </c>
      <c r="O141" s="272" t="s">
        <v>423</v>
      </c>
      <c r="P141" s="35" t="s">
        <v>424</v>
      </c>
      <c r="Q141" s="2"/>
    </row>
    <row r="142" spans="1:17" x14ac:dyDescent="0.35">
      <c r="A142" s="34">
        <v>140</v>
      </c>
      <c r="B142" s="38" t="s">
        <v>78</v>
      </c>
      <c r="C142" s="34" t="s">
        <v>2131</v>
      </c>
      <c r="D142" s="2" t="s">
        <v>61</v>
      </c>
      <c r="E142" s="2" t="s">
        <v>347</v>
      </c>
      <c r="F142" s="2"/>
      <c r="G142" s="2"/>
      <c r="H142" s="2"/>
      <c r="I142" s="448" t="s">
        <v>421</v>
      </c>
      <c r="J142" s="2"/>
      <c r="K142" s="2" t="s">
        <v>887</v>
      </c>
      <c r="L142" s="2"/>
      <c r="M142" s="39" t="s">
        <v>2257</v>
      </c>
      <c r="N142" s="2" t="s">
        <v>435</v>
      </c>
      <c r="O142" s="272" t="s">
        <v>423</v>
      </c>
      <c r="P142" s="35" t="s">
        <v>424</v>
      </c>
      <c r="Q142" s="2"/>
    </row>
    <row r="143" spans="1:17" x14ac:dyDescent="0.35">
      <c r="A143" s="34">
        <v>141</v>
      </c>
      <c r="B143" s="38" t="s">
        <v>206</v>
      </c>
      <c r="C143" s="34" t="s">
        <v>2131</v>
      </c>
      <c r="D143" s="2" t="s">
        <v>16</v>
      </c>
      <c r="E143" s="2" t="s">
        <v>348</v>
      </c>
      <c r="F143" s="2"/>
      <c r="G143" s="2"/>
      <c r="H143" s="2"/>
      <c r="I143" s="448" t="s">
        <v>421</v>
      </c>
      <c r="J143" s="2"/>
      <c r="K143" s="39">
        <v>45806</v>
      </c>
      <c r="L143" s="39"/>
      <c r="M143" s="39" t="s">
        <v>2257</v>
      </c>
      <c r="N143" s="2" t="s">
        <v>444</v>
      </c>
      <c r="O143" s="272" t="s">
        <v>423</v>
      </c>
      <c r="P143" s="35" t="s">
        <v>424</v>
      </c>
      <c r="Q143" s="2"/>
    </row>
    <row r="144" spans="1:17" x14ac:dyDescent="0.35">
      <c r="A144" s="34">
        <v>142</v>
      </c>
      <c r="B144" s="2" t="s">
        <v>269</v>
      </c>
      <c r="C144" s="38" t="s">
        <v>2133</v>
      </c>
      <c r="D144" s="2" t="s">
        <v>14</v>
      </c>
      <c r="E144" s="2" t="s">
        <v>350</v>
      </c>
      <c r="F144" s="2"/>
      <c r="G144" s="2"/>
      <c r="H144" s="2"/>
      <c r="I144" s="448" t="s">
        <v>421</v>
      </c>
      <c r="J144" s="2"/>
      <c r="K144" s="39">
        <v>45806</v>
      </c>
      <c r="L144" s="39"/>
      <c r="M144" s="39" t="s">
        <v>2257</v>
      </c>
      <c r="N144" s="34" t="s">
        <v>432</v>
      </c>
      <c r="O144" s="272" t="s">
        <v>423</v>
      </c>
      <c r="P144" s="35" t="s">
        <v>424</v>
      </c>
      <c r="Q144" s="2"/>
    </row>
    <row r="145" spans="1:17" x14ac:dyDescent="0.35">
      <c r="A145" s="34">
        <v>143</v>
      </c>
      <c r="B145" s="2" t="s">
        <v>344</v>
      </c>
      <c r="C145" s="38" t="s">
        <v>2133</v>
      </c>
      <c r="D145" s="2" t="s">
        <v>23</v>
      </c>
      <c r="E145" s="2" t="s">
        <v>348</v>
      </c>
      <c r="F145" s="2"/>
      <c r="G145" s="2"/>
      <c r="H145" s="2"/>
      <c r="I145" s="448" t="s">
        <v>421</v>
      </c>
      <c r="J145" s="2" t="s">
        <v>466</v>
      </c>
      <c r="K145" s="2" t="s">
        <v>467</v>
      </c>
      <c r="L145" s="39" t="s">
        <v>2257</v>
      </c>
      <c r="M145" s="39" t="s">
        <v>2257</v>
      </c>
      <c r="N145" s="2" t="s">
        <v>468</v>
      </c>
      <c r="O145" s="272" t="s">
        <v>423</v>
      </c>
      <c r="P145" s="36"/>
      <c r="Q145" s="2"/>
    </row>
    <row r="146" spans="1:17" x14ac:dyDescent="0.35">
      <c r="A146" s="34">
        <v>144</v>
      </c>
      <c r="B146" s="34" t="s">
        <v>273</v>
      </c>
      <c r="C146" s="38" t="s">
        <v>2133</v>
      </c>
      <c r="D146" s="34" t="s">
        <v>33</v>
      </c>
      <c r="E146" s="34" t="s">
        <v>347</v>
      </c>
      <c r="F146" s="34"/>
      <c r="G146" s="34"/>
      <c r="H146" s="34"/>
      <c r="I146" s="448" t="s">
        <v>421</v>
      </c>
      <c r="J146" s="2" t="s">
        <v>469</v>
      </c>
      <c r="K146" s="2" t="s">
        <v>470</v>
      </c>
      <c r="L146" s="39" t="s">
        <v>2257</v>
      </c>
      <c r="M146" s="39" t="s">
        <v>2258</v>
      </c>
      <c r="N146" s="2" t="s">
        <v>471</v>
      </c>
      <c r="O146" s="272" t="s">
        <v>472</v>
      </c>
      <c r="P146" s="35" t="s">
        <v>424</v>
      </c>
      <c r="Q146" s="2"/>
    </row>
    <row r="147" spans="1:17" x14ac:dyDescent="0.35">
      <c r="A147" s="34">
        <v>145</v>
      </c>
      <c r="B147" s="34" t="s">
        <v>281</v>
      </c>
      <c r="C147" s="38" t="s">
        <v>2133</v>
      </c>
      <c r="D147" s="34" t="s">
        <v>31</v>
      </c>
      <c r="E147" s="34" t="s">
        <v>348</v>
      </c>
      <c r="F147" s="34"/>
      <c r="G147" s="34"/>
      <c r="H147" s="34"/>
      <c r="I147" s="448" t="s">
        <v>421</v>
      </c>
      <c r="J147" s="2" t="s">
        <v>473</v>
      </c>
      <c r="K147" s="2" t="s">
        <v>470</v>
      </c>
      <c r="L147" s="39" t="s">
        <v>2257</v>
      </c>
      <c r="M147" s="39" t="s">
        <v>2258</v>
      </c>
      <c r="N147" s="2" t="s">
        <v>445</v>
      </c>
      <c r="O147" s="272" t="s">
        <v>472</v>
      </c>
      <c r="P147" s="2"/>
      <c r="Q147" s="2"/>
    </row>
    <row r="148" spans="1:17" x14ac:dyDescent="0.35">
      <c r="A148" s="34">
        <v>146</v>
      </c>
      <c r="B148" s="262" t="s">
        <v>200</v>
      </c>
      <c r="C148" s="34" t="s">
        <v>2131</v>
      </c>
      <c r="D148" s="34" t="s">
        <v>31</v>
      </c>
      <c r="E148" s="34" t="s">
        <v>347</v>
      </c>
      <c r="F148" s="34"/>
      <c r="G148" s="34"/>
      <c r="H148" s="34"/>
      <c r="I148" s="448" t="s">
        <v>421</v>
      </c>
      <c r="J148" s="2" t="s">
        <v>473</v>
      </c>
      <c r="K148" s="2" t="s">
        <v>474</v>
      </c>
      <c r="L148" s="39" t="s">
        <v>2257</v>
      </c>
      <c r="M148" s="39" t="s">
        <v>2258</v>
      </c>
      <c r="N148" s="2" t="s">
        <v>444</v>
      </c>
      <c r="O148" s="272" t="s">
        <v>472</v>
      </c>
      <c r="P148" s="35" t="s">
        <v>424</v>
      </c>
      <c r="Q148" s="2"/>
    </row>
    <row r="149" spans="1:17" x14ac:dyDescent="0.35">
      <c r="A149" s="34">
        <v>147</v>
      </c>
      <c r="B149" s="38" t="s">
        <v>261</v>
      </c>
      <c r="C149" s="34" t="s">
        <v>2132</v>
      </c>
      <c r="D149" s="34" t="s">
        <v>33</v>
      </c>
      <c r="E149" s="34" t="s">
        <v>347</v>
      </c>
      <c r="F149" s="34"/>
      <c r="G149" s="34"/>
      <c r="H149" s="34"/>
      <c r="I149" s="448" t="s">
        <v>421</v>
      </c>
      <c r="J149" s="2" t="s">
        <v>470</v>
      </c>
      <c r="K149" s="39" t="s">
        <v>475</v>
      </c>
      <c r="L149" s="39" t="s">
        <v>2258</v>
      </c>
      <c r="M149" s="39" t="s">
        <v>2258</v>
      </c>
      <c r="N149" s="34" t="s">
        <v>432</v>
      </c>
      <c r="O149" s="272" t="s">
        <v>472</v>
      </c>
      <c r="P149" s="35" t="s">
        <v>424</v>
      </c>
      <c r="Q149" s="2"/>
    </row>
    <row r="150" spans="1:17" x14ac:dyDescent="0.35">
      <c r="A150" s="34">
        <v>148</v>
      </c>
      <c r="B150" s="2" t="s">
        <v>275</v>
      </c>
      <c r="C150" s="38" t="s">
        <v>2133</v>
      </c>
      <c r="D150" s="2" t="s">
        <v>31</v>
      </c>
      <c r="E150" s="34" t="s">
        <v>347</v>
      </c>
      <c r="F150" s="34"/>
      <c r="G150" s="34"/>
      <c r="H150" s="34"/>
      <c r="I150" s="448" t="s">
        <v>421</v>
      </c>
      <c r="J150" s="2" t="s">
        <v>470</v>
      </c>
      <c r="K150" s="39" t="s">
        <v>476</v>
      </c>
      <c r="L150" s="39" t="s">
        <v>2258</v>
      </c>
      <c r="M150" s="39" t="s">
        <v>2258</v>
      </c>
      <c r="N150" s="2" t="s">
        <v>477</v>
      </c>
      <c r="O150" s="272" t="s">
        <v>472</v>
      </c>
      <c r="P150" s="2"/>
      <c r="Q150" s="2"/>
    </row>
    <row r="151" spans="1:17" x14ac:dyDescent="0.35">
      <c r="A151" s="34">
        <v>149</v>
      </c>
      <c r="B151" s="2" t="s">
        <v>282</v>
      </c>
      <c r="C151" s="38" t="s">
        <v>2133</v>
      </c>
      <c r="D151" s="2" t="s">
        <v>31</v>
      </c>
      <c r="E151" s="2" t="s">
        <v>348</v>
      </c>
      <c r="F151" s="2"/>
      <c r="G151" s="2"/>
      <c r="H151" s="2"/>
      <c r="I151" s="448" t="s">
        <v>421</v>
      </c>
      <c r="J151" s="2" t="s">
        <v>474</v>
      </c>
      <c r="K151" s="39">
        <v>45814</v>
      </c>
      <c r="L151" s="39" t="s">
        <v>2258</v>
      </c>
      <c r="M151" s="39" t="s">
        <v>2258</v>
      </c>
      <c r="N151" s="2" t="s">
        <v>445</v>
      </c>
      <c r="O151" s="272" t="s">
        <v>472</v>
      </c>
      <c r="P151" s="2"/>
      <c r="Q151" s="2"/>
    </row>
    <row r="152" spans="1:17" x14ac:dyDescent="0.35">
      <c r="A152" s="34">
        <v>150</v>
      </c>
      <c r="B152" s="2" t="s">
        <v>343</v>
      </c>
      <c r="C152" s="38" t="s">
        <v>2133</v>
      </c>
      <c r="D152" s="2" t="s">
        <v>23</v>
      </c>
      <c r="E152" s="2" t="s">
        <v>347</v>
      </c>
      <c r="F152" s="2"/>
      <c r="G152" s="2"/>
      <c r="H152" s="2"/>
      <c r="I152" s="448" t="s">
        <v>421</v>
      </c>
      <c r="J152" s="2" t="s">
        <v>474</v>
      </c>
      <c r="K152" s="39">
        <v>45844</v>
      </c>
      <c r="L152" s="39" t="s">
        <v>2258</v>
      </c>
      <c r="M152" s="39" t="s">
        <v>2259</v>
      </c>
      <c r="N152" s="2" t="s">
        <v>468</v>
      </c>
      <c r="O152" s="272" t="s">
        <v>472</v>
      </c>
      <c r="P152" s="2"/>
      <c r="Q152" s="2"/>
    </row>
    <row r="153" spans="1:17" x14ac:dyDescent="0.35">
      <c r="A153" s="34">
        <v>151</v>
      </c>
      <c r="B153" s="2" t="s">
        <v>227</v>
      </c>
      <c r="C153" s="34" t="s">
        <v>2132</v>
      </c>
      <c r="D153" s="2" t="s">
        <v>33</v>
      </c>
      <c r="E153" s="2" t="s">
        <v>347</v>
      </c>
      <c r="F153" s="2"/>
      <c r="G153" s="2"/>
      <c r="H153" s="2"/>
      <c r="I153" s="448" t="s">
        <v>421</v>
      </c>
      <c r="J153" s="2" t="s">
        <v>474</v>
      </c>
      <c r="K153" s="39">
        <v>45875</v>
      </c>
      <c r="L153" s="39" t="s">
        <v>2258</v>
      </c>
      <c r="M153" s="39" t="s">
        <v>2249</v>
      </c>
      <c r="N153" s="34" t="s">
        <v>432</v>
      </c>
      <c r="O153" s="272" t="s">
        <v>472</v>
      </c>
      <c r="P153" s="35" t="s">
        <v>424</v>
      </c>
      <c r="Q153" s="2"/>
    </row>
    <row r="154" spans="1:17" x14ac:dyDescent="0.35">
      <c r="A154" s="34">
        <v>152</v>
      </c>
      <c r="B154" s="2" t="s">
        <v>276</v>
      </c>
      <c r="C154" s="38" t="s">
        <v>2133</v>
      </c>
      <c r="D154" s="2" t="s">
        <v>33</v>
      </c>
      <c r="E154" s="2" t="s">
        <v>348</v>
      </c>
      <c r="F154" s="2"/>
      <c r="G154" s="2"/>
      <c r="H154" s="2"/>
      <c r="I154" s="448" t="s">
        <v>421</v>
      </c>
      <c r="J154" s="2" t="s">
        <v>475</v>
      </c>
      <c r="K154" s="39">
        <v>45818</v>
      </c>
      <c r="L154" s="39" t="s">
        <v>2258</v>
      </c>
      <c r="M154" s="39" t="s">
        <v>2258</v>
      </c>
      <c r="N154" s="2" t="s">
        <v>437</v>
      </c>
      <c r="O154" s="272" t="s">
        <v>472</v>
      </c>
      <c r="P154" s="2"/>
      <c r="Q154" s="2"/>
    </row>
    <row r="155" spans="1:17" x14ac:dyDescent="0.35">
      <c r="A155" s="34">
        <v>153</v>
      </c>
      <c r="B155" s="2" t="s">
        <v>262</v>
      </c>
      <c r="C155" s="34" t="s">
        <v>2132</v>
      </c>
      <c r="D155" s="2" t="s">
        <v>31</v>
      </c>
      <c r="E155" s="2" t="s">
        <v>350</v>
      </c>
      <c r="F155" s="2"/>
      <c r="G155" s="2"/>
      <c r="H155" s="2"/>
      <c r="I155" s="448" t="s">
        <v>421</v>
      </c>
      <c r="J155" s="2" t="s">
        <v>478</v>
      </c>
      <c r="K155" s="39">
        <v>45967</v>
      </c>
      <c r="L155" s="39" t="s">
        <v>2258</v>
      </c>
      <c r="M155" s="39" t="s">
        <v>2258</v>
      </c>
      <c r="N155" s="34" t="s">
        <v>432</v>
      </c>
      <c r="O155" s="272" t="s">
        <v>472</v>
      </c>
      <c r="P155" s="35" t="s">
        <v>424</v>
      </c>
      <c r="Q155" s="2"/>
    </row>
    <row r="156" spans="1:17" x14ac:dyDescent="0.35">
      <c r="A156" s="34">
        <v>154</v>
      </c>
      <c r="B156" s="2" t="s">
        <v>341</v>
      </c>
      <c r="C156" s="38" t="s">
        <v>2133</v>
      </c>
      <c r="D156" s="2" t="s">
        <v>23</v>
      </c>
      <c r="E156" s="2" t="s">
        <v>347</v>
      </c>
      <c r="F156" s="2"/>
      <c r="G156" s="2"/>
      <c r="H156" s="2"/>
      <c r="I156" s="448" t="s">
        <v>421</v>
      </c>
      <c r="J156" s="2" t="s">
        <v>470</v>
      </c>
      <c r="K156" s="39">
        <v>45967</v>
      </c>
      <c r="L156" s="39" t="s">
        <v>2258</v>
      </c>
      <c r="M156" s="39" t="s">
        <v>2258</v>
      </c>
      <c r="N156" s="2" t="s">
        <v>468</v>
      </c>
      <c r="O156" s="272" t="s">
        <v>472</v>
      </c>
      <c r="P156" s="35" t="s">
        <v>424</v>
      </c>
      <c r="Q156" s="2"/>
    </row>
    <row r="157" spans="1:17" x14ac:dyDescent="0.35">
      <c r="A157" s="34">
        <v>155</v>
      </c>
      <c r="B157" s="2" t="s">
        <v>283</v>
      </c>
      <c r="C157" s="38" t="s">
        <v>2133</v>
      </c>
      <c r="D157" s="2" t="s">
        <v>479</v>
      </c>
      <c r="E157" s="2" t="s">
        <v>347</v>
      </c>
      <c r="F157" s="2"/>
      <c r="G157" s="2"/>
      <c r="H157" s="2"/>
      <c r="I157" s="448" t="s">
        <v>421</v>
      </c>
      <c r="J157" s="2" t="s">
        <v>480</v>
      </c>
      <c r="K157" s="39" t="s">
        <v>481</v>
      </c>
      <c r="L157" s="39" t="s">
        <v>2258</v>
      </c>
      <c r="M157" s="39" t="s">
        <v>2258</v>
      </c>
      <c r="N157" s="2" t="s">
        <v>445</v>
      </c>
      <c r="O157" s="272" t="s">
        <v>472</v>
      </c>
      <c r="P157" s="35" t="s">
        <v>424</v>
      </c>
      <c r="Q157" s="2"/>
    </row>
    <row r="158" spans="1:17" x14ac:dyDescent="0.35">
      <c r="A158" s="34">
        <v>156</v>
      </c>
      <c r="B158" s="2" t="s">
        <v>277</v>
      </c>
      <c r="C158" s="38" t="s">
        <v>2133</v>
      </c>
      <c r="D158" s="2" t="s">
        <v>28</v>
      </c>
      <c r="E158" s="2" t="s">
        <v>347</v>
      </c>
      <c r="F158" s="2"/>
      <c r="G158" s="2"/>
      <c r="H158" s="2"/>
      <c r="I158" s="448" t="s">
        <v>421</v>
      </c>
      <c r="J158" s="39">
        <v>45936</v>
      </c>
      <c r="K158" s="39" t="s">
        <v>482</v>
      </c>
      <c r="L158" s="39" t="s">
        <v>2258</v>
      </c>
      <c r="M158" s="39" t="s">
        <v>2258</v>
      </c>
      <c r="N158" s="2" t="s">
        <v>477</v>
      </c>
      <c r="O158" s="272" t="s">
        <v>472</v>
      </c>
      <c r="P158" s="2"/>
      <c r="Q158" s="2"/>
    </row>
    <row r="159" spans="1:17" x14ac:dyDescent="0.35">
      <c r="A159" s="34">
        <v>157</v>
      </c>
      <c r="B159" s="2" t="s">
        <v>338</v>
      </c>
      <c r="C159" s="38" t="s">
        <v>2133</v>
      </c>
      <c r="D159" s="2" t="s">
        <v>33</v>
      </c>
      <c r="E159" s="2" t="s">
        <v>347</v>
      </c>
      <c r="F159" s="2"/>
      <c r="G159" s="2"/>
      <c r="H159" s="2"/>
      <c r="I159" s="448" t="s">
        <v>421</v>
      </c>
      <c r="J159" s="2"/>
      <c r="K159" s="2" t="s">
        <v>522</v>
      </c>
      <c r="L159" s="39" t="s">
        <v>2258</v>
      </c>
      <c r="M159" s="39" t="s">
        <v>2258</v>
      </c>
      <c r="N159" s="2" t="s">
        <v>468</v>
      </c>
      <c r="O159" s="272"/>
      <c r="P159" s="2"/>
      <c r="Q159" s="2"/>
    </row>
    <row r="160" spans="1:17" x14ac:dyDescent="0.35">
      <c r="A160" s="34">
        <v>158</v>
      </c>
      <c r="B160" s="2" t="s">
        <v>322</v>
      </c>
      <c r="C160" s="38" t="s">
        <v>2133</v>
      </c>
      <c r="D160" s="2" t="s">
        <v>14</v>
      </c>
      <c r="E160" s="38" t="s">
        <v>347</v>
      </c>
      <c r="F160" s="38"/>
      <c r="G160" s="38"/>
      <c r="H160" s="38"/>
      <c r="I160" s="448" t="s">
        <v>421</v>
      </c>
      <c r="J160" s="2" t="s">
        <v>483</v>
      </c>
      <c r="K160" s="39" t="s">
        <v>484</v>
      </c>
      <c r="L160" s="39" t="s">
        <v>2258</v>
      </c>
      <c r="M160" s="39" t="s">
        <v>2258</v>
      </c>
      <c r="N160" s="2" t="s">
        <v>444</v>
      </c>
      <c r="O160" s="272" t="s">
        <v>472</v>
      </c>
      <c r="P160" s="2"/>
      <c r="Q160" s="2"/>
    </row>
    <row r="161" spans="1:17" x14ac:dyDescent="0.35">
      <c r="A161" s="34">
        <v>159</v>
      </c>
      <c r="B161" s="38" t="s">
        <v>223</v>
      </c>
      <c r="C161" s="34" t="s">
        <v>2132</v>
      </c>
      <c r="D161" s="2" t="s">
        <v>115</v>
      </c>
      <c r="E161" s="2" t="s">
        <v>347</v>
      </c>
      <c r="F161" s="2"/>
      <c r="G161" s="2"/>
      <c r="H161" s="2"/>
      <c r="I161" s="448" t="s">
        <v>421</v>
      </c>
      <c r="J161" s="2" t="s">
        <v>485</v>
      </c>
      <c r="K161" s="39" t="s">
        <v>486</v>
      </c>
      <c r="L161" s="39" t="s">
        <v>2258</v>
      </c>
      <c r="M161" s="39" t="s">
        <v>2258</v>
      </c>
      <c r="N161" s="34" t="s">
        <v>432</v>
      </c>
      <c r="O161" s="272" t="s">
        <v>472</v>
      </c>
      <c r="P161" s="2"/>
      <c r="Q161" s="2"/>
    </row>
    <row r="162" spans="1:17" x14ac:dyDescent="0.35">
      <c r="A162" s="34">
        <v>160</v>
      </c>
      <c r="B162" s="2" t="s">
        <v>323</v>
      </c>
      <c r="C162" s="38" t="s">
        <v>2133</v>
      </c>
      <c r="D162" s="2" t="s">
        <v>31</v>
      </c>
      <c r="E162" s="2" t="s">
        <v>347</v>
      </c>
      <c r="F162" s="2"/>
      <c r="G162" s="2"/>
      <c r="H162" s="2"/>
      <c r="I162" s="448" t="s">
        <v>421</v>
      </c>
      <c r="J162" s="39" t="s">
        <v>487</v>
      </c>
      <c r="K162" s="39">
        <v>45831</v>
      </c>
      <c r="L162" s="39" t="s">
        <v>2258</v>
      </c>
      <c r="M162" s="39" t="s">
        <v>2258</v>
      </c>
      <c r="N162" s="2" t="s">
        <v>444</v>
      </c>
      <c r="O162" s="272" t="s">
        <v>488</v>
      </c>
      <c r="P162" s="2"/>
      <c r="Q162" s="2"/>
    </row>
    <row r="163" spans="1:17" x14ac:dyDescent="0.35">
      <c r="A163" s="34">
        <v>161</v>
      </c>
      <c r="B163" s="2" t="s">
        <v>340</v>
      </c>
      <c r="C163" s="38" t="s">
        <v>2133</v>
      </c>
      <c r="D163" s="2" t="s">
        <v>16</v>
      </c>
      <c r="E163" s="2" t="s">
        <v>347</v>
      </c>
      <c r="F163" s="2"/>
      <c r="G163" s="2"/>
      <c r="H163" s="2"/>
      <c r="I163" s="448" t="s">
        <v>421</v>
      </c>
      <c r="J163" s="2" t="s">
        <v>483</v>
      </c>
      <c r="K163" s="39" t="s">
        <v>489</v>
      </c>
      <c r="L163" s="39" t="s">
        <v>2258</v>
      </c>
      <c r="M163" s="39" t="s">
        <v>2258</v>
      </c>
      <c r="N163" s="2" t="s">
        <v>468</v>
      </c>
      <c r="O163" s="272" t="s">
        <v>488</v>
      </c>
      <c r="P163" s="2"/>
      <c r="Q163" s="2"/>
    </row>
    <row r="164" spans="1:17" x14ac:dyDescent="0.35">
      <c r="A164" s="34">
        <v>162</v>
      </c>
      <c r="B164" s="2" t="s">
        <v>324</v>
      </c>
      <c r="C164" s="38" t="s">
        <v>2133</v>
      </c>
      <c r="D164" s="2" t="s">
        <v>31</v>
      </c>
      <c r="E164" s="2" t="s">
        <v>347</v>
      </c>
      <c r="F164" s="2"/>
      <c r="G164" s="2"/>
      <c r="H164" s="2"/>
      <c r="I164" s="448" t="s">
        <v>421</v>
      </c>
      <c r="J164" s="39" t="s">
        <v>482</v>
      </c>
      <c r="K164" s="2" t="s">
        <v>490</v>
      </c>
      <c r="L164" s="39" t="s">
        <v>2258</v>
      </c>
      <c r="M164" s="39" t="s">
        <v>2258</v>
      </c>
      <c r="N164" s="2" t="s">
        <v>444</v>
      </c>
      <c r="O164" s="272" t="s">
        <v>488</v>
      </c>
      <c r="P164" s="2"/>
      <c r="Q164" s="2"/>
    </row>
    <row r="165" spans="1:17" x14ac:dyDescent="0.35">
      <c r="A165" s="34">
        <v>163</v>
      </c>
      <c r="B165" s="2" t="s">
        <v>330</v>
      </c>
      <c r="C165" s="38" t="s">
        <v>2133</v>
      </c>
      <c r="D165" s="2" t="s">
        <v>23</v>
      </c>
      <c r="E165" s="2" t="s">
        <v>347</v>
      </c>
      <c r="F165" s="2"/>
      <c r="G165" s="2"/>
      <c r="H165" s="2"/>
      <c r="I165" s="448" t="s">
        <v>421</v>
      </c>
      <c r="J165" s="2"/>
      <c r="K165" s="39">
        <v>45845</v>
      </c>
      <c r="L165" s="39"/>
      <c r="M165" s="39" t="s">
        <v>2259</v>
      </c>
      <c r="N165" s="2" t="s">
        <v>468</v>
      </c>
      <c r="O165" s="272"/>
      <c r="P165" s="2"/>
      <c r="Q165" s="2"/>
    </row>
    <row r="166" spans="1:17" ht="18" customHeight="1" x14ac:dyDescent="0.35">
      <c r="A166" s="34">
        <v>164</v>
      </c>
      <c r="B166" s="2" t="s">
        <v>328</v>
      </c>
      <c r="C166" s="38" t="s">
        <v>2133</v>
      </c>
      <c r="D166" s="2" t="s">
        <v>23</v>
      </c>
      <c r="E166" s="2" t="s">
        <v>347</v>
      </c>
      <c r="F166" s="2"/>
      <c r="G166" s="2"/>
      <c r="H166" s="2"/>
      <c r="I166" s="448" t="s">
        <v>421</v>
      </c>
      <c r="J166" s="2"/>
      <c r="K166" s="2" t="s">
        <v>491</v>
      </c>
      <c r="L166" s="2"/>
      <c r="M166" s="2"/>
      <c r="N166" s="2" t="s">
        <v>468</v>
      </c>
      <c r="O166" s="272"/>
      <c r="P166" s="2"/>
      <c r="Q166" s="2"/>
    </row>
    <row r="167" spans="1:17" x14ac:dyDescent="0.35">
      <c r="A167" s="34">
        <v>165</v>
      </c>
      <c r="B167" s="2" t="s">
        <v>316</v>
      </c>
      <c r="C167" s="38" t="s">
        <v>2133</v>
      </c>
      <c r="D167" s="2" t="s">
        <v>23</v>
      </c>
      <c r="E167" s="2" t="s">
        <v>350</v>
      </c>
      <c r="F167" s="2"/>
      <c r="G167" s="2"/>
      <c r="H167" s="2"/>
      <c r="I167" s="448" t="s">
        <v>492</v>
      </c>
      <c r="J167" s="2" t="s">
        <v>493</v>
      </c>
      <c r="K167" s="2" t="s">
        <v>494</v>
      </c>
      <c r="L167" s="2" t="s">
        <v>2258</v>
      </c>
      <c r="M167" s="2" t="s">
        <v>2259</v>
      </c>
      <c r="N167" s="36" t="s">
        <v>444</v>
      </c>
      <c r="O167" s="272"/>
      <c r="P167" s="2"/>
      <c r="Q167" s="2"/>
    </row>
    <row r="168" spans="1:17" x14ac:dyDescent="0.35">
      <c r="A168" s="34">
        <v>166</v>
      </c>
      <c r="B168" s="2" t="s">
        <v>317</v>
      </c>
      <c r="C168" s="38" t="s">
        <v>2133</v>
      </c>
      <c r="D168" s="2" t="s">
        <v>23</v>
      </c>
      <c r="E168" s="2" t="s">
        <v>350</v>
      </c>
      <c r="F168" s="2"/>
      <c r="G168" s="2"/>
      <c r="H168" s="2"/>
      <c r="I168" s="448" t="s">
        <v>492</v>
      </c>
      <c r="J168" s="39" t="s">
        <v>495</v>
      </c>
      <c r="K168" s="2" t="s">
        <v>496</v>
      </c>
      <c r="L168" s="2" t="s">
        <v>2259</v>
      </c>
      <c r="M168" s="2" t="s">
        <v>2259</v>
      </c>
      <c r="N168" s="36" t="s">
        <v>444</v>
      </c>
      <c r="O168" s="272"/>
      <c r="P168" s="2"/>
      <c r="Q168" s="2"/>
    </row>
    <row r="169" spans="1:17" x14ac:dyDescent="0.35">
      <c r="A169" s="34">
        <v>167</v>
      </c>
      <c r="B169" s="2" t="s">
        <v>332</v>
      </c>
      <c r="C169" s="38" t="s">
        <v>2133</v>
      </c>
      <c r="D169" s="2" t="s">
        <v>16</v>
      </c>
      <c r="E169" s="2" t="s">
        <v>350</v>
      </c>
      <c r="F169" s="2"/>
      <c r="G169" s="2"/>
      <c r="H169" s="2"/>
      <c r="I169" s="448" t="s">
        <v>492</v>
      </c>
      <c r="J169" s="2"/>
      <c r="K169" s="2" t="s">
        <v>497</v>
      </c>
      <c r="L169" s="2"/>
      <c r="M169" s="2" t="s">
        <v>2259</v>
      </c>
      <c r="N169" s="2" t="s">
        <v>468</v>
      </c>
      <c r="O169" s="272"/>
      <c r="P169" s="2"/>
      <c r="Q169" s="2"/>
    </row>
    <row r="170" spans="1:17" x14ac:dyDescent="0.35">
      <c r="A170" s="34">
        <v>168</v>
      </c>
      <c r="B170" s="38" t="s">
        <v>44</v>
      </c>
      <c r="C170" s="263" t="s">
        <v>2131</v>
      </c>
      <c r="D170" s="2" t="s">
        <v>498</v>
      </c>
      <c r="E170" s="2" t="s">
        <v>348</v>
      </c>
      <c r="F170" s="2"/>
      <c r="G170" s="2"/>
      <c r="H170" s="2"/>
      <c r="I170" s="448" t="s">
        <v>492</v>
      </c>
      <c r="J170" s="2" t="s">
        <v>496</v>
      </c>
      <c r="K170" s="2" t="s">
        <v>634</v>
      </c>
      <c r="L170" s="2" t="s">
        <v>2259</v>
      </c>
      <c r="M170" s="2" t="s">
        <v>2249</v>
      </c>
      <c r="N170" s="2" t="s">
        <v>444</v>
      </c>
      <c r="O170" s="272"/>
      <c r="P170" s="2"/>
      <c r="Q170" s="2"/>
    </row>
    <row r="171" spans="1:17" x14ac:dyDescent="0.35">
      <c r="A171" s="34">
        <v>169</v>
      </c>
      <c r="B171" s="38" t="s">
        <v>123</v>
      </c>
      <c r="C171" s="34" t="s">
        <v>2131</v>
      </c>
      <c r="D171" s="2" t="s">
        <v>498</v>
      </c>
      <c r="E171" s="2" t="s">
        <v>349</v>
      </c>
      <c r="F171" s="2"/>
      <c r="G171" s="2"/>
      <c r="H171" s="2"/>
      <c r="I171" s="448" t="s">
        <v>492</v>
      </c>
      <c r="J171" s="2" t="s">
        <v>499</v>
      </c>
      <c r="K171" s="2" t="s">
        <v>500</v>
      </c>
      <c r="L171" s="2" t="s">
        <v>2249</v>
      </c>
      <c r="M171" s="2" t="s">
        <v>2249</v>
      </c>
      <c r="N171" s="2" t="s">
        <v>637</v>
      </c>
      <c r="O171" s="272"/>
      <c r="P171" s="2"/>
      <c r="Q171" s="2"/>
    </row>
    <row r="172" spans="1:17" ht="15.75" customHeight="1" x14ac:dyDescent="0.35">
      <c r="A172" s="34">
        <v>170</v>
      </c>
      <c r="B172" s="2" t="s">
        <v>248</v>
      </c>
      <c r="C172" s="34" t="s">
        <v>2132</v>
      </c>
      <c r="D172" s="2" t="s">
        <v>115</v>
      </c>
      <c r="E172" s="2" t="s">
        <v>347</v>
      </c>
      <c r="F172" s="2"/>
      <c r="G172" s="2"/>
      <c r="H172" s="2"/>
      <c r="I172" s="448" t="s">
        <v>492</v>
      </c>
      <c r="J172" s="2" t="s">
        <v>502</v>
      </c>
      <c r="K172" s="2" t="s">
        <v>500</v>
      </c>
      <c r="L172" s="2" t="s">
        <v>2259</v>
      </c>
      <c r="M172" s="2" t="s">
        <v>2249</v>
      </c>
      <c r="N172" s="2" t="s">
        <v>468</v>
      </c>
      <c r="O172" s="272"/>
      <c r="P172" s="2"/>
      <c r="Q172" s="2"/>
    </row>
    <row r="173" spans="1:17" x14ac:dyDescent="0.35">
      <c r="A173" s="34">
        <v>171</v>
      </c>
      <c r="B173" s="38" t="s">
        <v>242</v>
      </c>
      <c r="C173" s="34" t="s">
        <v>2132</v>
      </c>
      <c r="D173" s="2" t="s">
        <v>31</v>
      </c>
      <c r="E173" s="2" t="s">
        <v>350</v>
      </c>
      <c r="F173" s="2"/>
      <c r="G173" s="2"/>
      <c r="H173" s="2"/>
      <c r="I173" s="448" t="s">
        <v>492</v>
      </c>
      <c r="J173" s="2" t="s">
        <v>503</v>
      </c>
      <c r="K173" s="2" t="s">
        <v>635</v>
      </c>
      <c r="L173" s="2" t="s">
        <v>2249</v>
      </c>
      <c r="M173" s="2" t="s">
        <v>2249</v>
      </c>
      <c r="N173" s="2" t="s">
        <v>504</v>
      </c>
      <c r="O173" s="272"/>
      <c r="P173" s="2"/>
      <c r="Q173" s="2"/>
    </row>
    <row r="174" spans="1:17" x14ac:dyDescent="0.35">
      <c r="A174" s="34">
        <v>172</v>
      </c>
      <c r="B174" s="38" t="s">
        <v>90</v>
      </c>
      <c r="C174" s="34" t="s">
        <v>2131</v>
      </c>
      <c r="D174" s="2" t="s">
        <v>61</v>
      </c>
      <c r="E174" s="2" t="s">
        <v>349</v>
      </c>
      <c r="F174" s="2"/>
      <c r="G174" s="2"/>
      <c r="H174" s="2"/>
      <c r="I174" s="448" t="s">
        <v>492</v>
      </c>
      <c r="J174" s="2" t="s">
        <v>505</v>
      </c>
      <c r="K174" s="2" t="s">
        <v>631</v>
      </c>
      <c r="L174" s="2" t="s">
        <v>2249</v>
      </c>
      <c r="M174" s="2" t="s">
        <v>2249</v>
      </c>
      <c r="N174" s="2" t="s">
        <v>501</v>
      </c>
      <c r="O174" s="272"/>
      <c r="P174" s="2"/>
      <c r="Q174" s="2"/>
    </row>
    <row r="175" spans="1:17" x14ac:dyDescent="0.35">
      <c r="A175" s="34">
        <v>173</v>
      </c>
      <c r="B175" s="2" t="s">
        <v>251</v>
      </c>
      <c r="C175" s="34" t="s">
        <v>2132</v>
      </c>
      <c r="D175" s="2" t="s">
        <v>506</v>
      </c>
      <c r="E175" s="2" t="s">
        <v>632</v>
      </c>
      <c r="F175" s="2"/>
      <c r="G175" s="2"/>
      <c r="H175" s="2"/>
      <c r="I175" s="448" t="s">
        <v>492</v>
      </c>
      <c r="J175" s="2" t="s">
        <v>500</v>
      </c>
      <c r="K175" s="2" t="s">
        <v>683</v>
      </c>
      <c r="L175" s="2" t="s">
        <v>2249</v>
      </c>
      <c r="M175" s="2" t="s">
        <v>2250</v>
      </c>
      <c r="N175" s="2" t="s">
        <v>468</v>
      </c>
      <c r="O175" s="272"/>
      <c r="P175" s="2"/>
      <c r="Q175" s="2"/>
    </row>
    <row r="176" spans="1:17" x14ac:dyDescent="0.35">
      <c r="A176" s="34">
        <v>174</v>
      </c>
      <c r="B176" s="2" t="s">
        <v>244</v>
      </c>
      <c r="C176" s="34" t="s">
        <v>2132</v>
      </c>
      <c r="D176" s="2" t="s">
        <v>31</v>
      </c>
      <c r="E176" s="2" t="s">
        <v>347</v>
      </c>
      <c r="F176" s="2"/>
      <c r="G176" s="2"/>
      <c r="H176" s="2"/>
      <c r="I176" s="448" t="s">
        <v>492</v>
      </c>
      <c r="J176" s="2" t="s">
        <v>636</v>
      </c>
      <c r="K176" s="2" t="s">
        <v>754</v>
      </c>
      <c r="L176" s="2" t="s">
        <v>2249</v>
      </c>
      <c r="M176" s="2" t="s">
        <v>2250</v>
      </c>
      <c r="N176" s="2" t="s">
        <v>504</v>
      </c>
      <c r="O176" s="272"/>
      <c r="P176" s="2"/>
      <c r="Q176" s="2"/>
    </row>
    <row r="177" spans="1:17" x14ac:dyDescent="0.35">
      <c r="A177" s="34">
        <v>175</v>
      </c>
      <c r="B177" s="2" t="s">
        <v>180</v>
      </c>
      <c r="C177" s="34" t="s">
        <v>2131</v>
      </c>
      <c r="D177" s="2" t="s">
        <v>115</v>
      </c>
      <c r="E177" s="2" t="s">
        <v>349</v>
      </c>
      <c r="F177" s="2"/>
      <c r="G177" s="2"/>
      <c r="H177" s="2"/>
      <c r="I177" s="448" t="s">
        <v>492</v>
      </c>
      <c r="J177" s="2" t="s">
        <v>633</v>
      </c>
      <c r="K177" s="2" t="s">
        <v>763</v>
      </c>
      <c r="L177" s="2" t="s">
        <v>2249</v>
      </c>
      <c r="M177" s="2" t="s">
        <v>2250</v>
      </c>
      <c r="N177" s="2" t="s">
        <v>501</v>
      </c>
      <c r="O177" s="272"/>
      <c r="P177" s="2"/>
      <c r="Q177" s="2"/>
    </row>
    <row r="178" spans="1:17" x14ac:dyDescent="0.35">
      <c r="A178" s="34">
        <v>176</v>
      </c>
      <c r="B178" s="264" t="s">
        <v>65</v>
      </c>
      <c r="C178" s="34" t="s">
        <v>2131</v>
      </c>
      <c r="D178" s="2" t="s">
        <v>28</v>
      </c>
      <c r="E178" s="2" t="s">
        <v>349</v>
      </c>
      <c r="F178" s="2"/>
      <c r="G178" s="2"/>
      <c r="H178" s="2"/>
      <c r="I178" s="448" t="s">
        <v>492</v>
      </c>
      <c r="J178" s="2" t="s">
        <v>633</v>
      </c>
      <c r="K178" s="2" t="s">
        <v>780</v>
      </c>
      <c r="L178" s="2" t="s">
        <v>2249</v>
      </c>
      <c r="M178" s="2" t="s">
        <v>2251</v>
      </c>
      <c r="N178" s="2" t="s">
        <v>444</v>
      </c>
      <c r="O178" s="272"/>
      <c r="P178" s="2"/>
      <c r="Q178" s="2"/>
    </row>
    <row r="179" spans="1:17" x14ac:dyDescent="0.35">
      <c r="A179" s="34">
        <v>177</v>
      </c>
      <c r="B179" s="2" t="s">
        <v>181</v>
      </c>
      <c r="C179" s="34" t="s">
        <v>2131</v>
      </c>
      <c r="D179" s="2" t="s">
        <v>182</v>
      </c>
      <c r="E179" s="1" t="s">
        <v>349</v>
      </c>
      <c r="F179" s="1"/>
      <c r="G179" s="1"/>
      <c r="H179" s="1"/>
      <c r="I179" s="448" t="s">
        <v>492</v>
      </c>
      <c r="J179" s="2" t="s">
        <v>643</v>
      </c>
      <c r="K179" s="2" t="s">
        <v>683</v>
      </c>
      <c r="L179" s="2" t="s">
        <v>2249</v>
      </c>
      <c r="M179" s="2" t="s">
        <v>2250</v>
      </c>
      <c r="N179" s="2" t="s">
        <v>637</v>
      </c>
      <c r="O179" s="272"/>
      <c r="P179" s="2"/>
      <c r="Q179" s="2"/>
    </row>
    <row r="180" spans="1:17" x14ac:dyDescent="0.35">
      <c r="A180" s="34">
        <v>178</v>
      </c>
      <c r="B180" s="38" t="s">
        <v>245</v>
      </c>
      <c r="C180" s="34" t="s">
        <v>2132</v>
      </c>
      <c r="D180" s="2" t="s">
        <v>35</v>
      </c>
      <c r="E180" s="1" t="s">
        <v>349</v>
      </c>
      <c r="F180" s="1"/>
      <c r="G180" s="1"/>
      <c r="H180" s="1"/>
      <c r="I180" s="448" t="s">
        <v>492</v>
      </c>
      <c r="J180" s="2" t="s">
        <v>763</v>
      </c>
      <c r="K180" s="2" t="s">
        <v>770</v>
      </c>
      <c r="L180" s="2" t="s">
        <v>2250</v>
      </c>
      <c r="M180" s="2" t="s">
        <v>2250</v>
      </c>
      <c r="N180" s="2" t="s">
        <v>504</v>
      </c>
      <c r="O180" s="272"/>
      <c r="P180" s="2"/>
      <c r="Q180" s="2"/>
    </row>
    <row r="181" spans="1:17" x14ac:dyDescent="0.35">
      <c r="A181" s="34">
        <v>179</v>
      </c>
      <c r="B181" s="38" t="s">
        <v>250</v>
      </c>
      <c r="C181" s="34" t="s">
        <v>2132</v>
      </c>
      <c r="D181" s="2" t="s">
        <v>33</v>
      </c>
      <c r="E181" s="2" t="s">
        <v>349</v>
      </c>
      <c r="F181" s="2"/>
      <c r="G181" s="2"/>
      <c r="H181" s="2"/>
      <c r="I181" s="448" t="s">
        <v>492</v>
      </c>
      <c r="J181" s="2" t="s">
        <v>761</v>
      </c>
      <c r="K181" s="2" t="s">
        <v>780</v>
      </c>
      <c r="L181" s="2" t="s">
        <v>2250</v>
      </c>
      <c r="M181" s="2" t="s">
        <v>2251</v>
      </c>
      <c r="N181" s="2" t="s">
        <v>2024</v>
      </c>
      <c r="O181" s="272"/>
      <c r="P181" s="2"/>
      <c r="Q181" s="2"/>
    </row>
    <row r="182" spans="1:17" x14ac:dyDescent="0.35">
      <c r="A182" s="34">
        <v>180</v>
      </c>
      <c r="B182" s="2" t="s">
        <v>252</v>
      </c>
      <c r="C182" s="34" t="s">
        <v>2132</v>
      </c>
      <c r="D182" s="2" t="s">
        <v>33</v>
      </c>
      <c r="E182" s="2" t="s">
        <v>347</v>
      </c>
      <c r="F182" s="2"/>
      <c r="G182" s="2"/>
      <c r="H182" s="2"/>
      <c r="I182" s="448" t="s">
        <v>492</v>
      </c>
      <c r="J182" s="2" t="s">
        <v>763</v>
      </c>
      <c r="K182" s="2" t="s">
        <v>779</v>
      </c>
      <c r="L182" s="2" t="s">
        <v>2250</v>
      </c>
      <c r="M182" s="2" t="s">
        <v>2251</v>
      </c>
      <c r="N182" s="2" t="s">
        <v>758</v>
      </c>
      <c r="O182" s="272"/>
      <c r="P182" s="2"/>
      <c r="Q182" s="2"/>
    </row>
    <row r="183" spans="1:17" x14ac:dyDescent="0.35">
      <c r="A183" s="34">
        <v>181</v>
      </c>
      <c r="B183" s="38" t="s">
        <v>77</v>
      </c>
      <c r="C183" s="34" t="s">
        <v>2131</v>
      </c>
      <c r="D183" s="2" t="s">
        <v>31</v>
      </c>
      <c r="E183" s="2" t="s">
        <v>349</v>
      </c>
      <c r="F183" s="2"/>
      <c r="G183" s="2"/>
      <c r="H183" s="2"/>
      <c r="I183" s="448" t="s">
        <v>492</v>
      </c>
      <c r="J183" s="2" t="s">
        <v>763</v>
      </c>
      <c r="K183" s="2" t="s">
        <v>769</v>
      </c>
      <c r="L183" s="2" t="s">
        <v>2250</v>
      </c>
      <c r="M183" s="2" t="s">
        <v>2250</v>
      </c>
      <c r="N183" s="2" t="s">
        <v>637</v>
      </c>
      <c r="O183" s="272"/>
      <c r="P183" s="2"/>
      <c r="Q183" s="2"/>
    </row>
    <row r="184" spans="1:17" x14ac:dyDescent="0.35">
      <c r="A184" s="34">
        <v>182</v>
      </c>
      <c r="B184" s="38" t="s">
        <v>68</v>
      </c>
      <c r="C184" s="34" t="s">
        <v>2131</v>
      </c>
      <c r="D184" s="2" t="s">
        <v>33</v>
      </c>
      <c r="E184" s="2" t="s">
        <v>349</v>
      </c>
      <c r="F184" s="2"/>
      <c r="G184" s="2"/>
      <c r="H184" s="2"/>
      <c r="I184" s="448" t="s">
        <v>492</v>
      </c>
      <c r="J184" s="2" t="s">
        <v>768</v>
      </c>
      <c r="K184" s="2" t="s">
        <v>771</v>
      </c>
      <c r="L184" s="2" t="s">
        <v>2250</v>
      </c>
      <c r="M184" s="2" t="s">
        <v>2251</v>
      </c>
      <c r="N184" s="2" t="s">
        <v>637</v>
      </c>
      <c r="O184" s="272"/>
      <c r="P184" s="2"/>
      <c r="Q184" s="2"/>
    </row>
    <row r="185" spans="1:17" x14ac:dyDescent="0.35">
      <c r="A185" s="34">
        <v>183</v>
      </c>
      <c r="B185" s="38" t="s">
        <v>89</v>
      </c>
      <c r="C185" s="34" t="s">
        <v>2131</v>
      </c>
      <c r="D185" s="2" t="s">
        <v>31</v>
      </c>
      <c r="E185" s="2" t="s">
        <v>349</v>
      </c>
      <c r="F185" s="2"/>
      <c r="G185" s="2"/>
      <c r="H185" s="2"/>
      <c r="I185" s="448" t="s">
        <v>492</v>
      </c>
      <c r="J185" s="2" t="s">
        <v>771</v>
      </c>
      <c r="K185" s="2" t="s">
        <v>773</v>
      </c>
      <c r="L185" s="2" t="s">
        <v>2251</v>
      </c>
      <c r="M185" s="2" t="s">
        <v>2251</v>
      </c>
      <c r="N185" s="2" t="s">
        <v>788</v>
      </c>
      <c r="O185" s="272"/>
      <c r="P185" s="2"/>
      <c r="Q185" s="2"/>
    </row>
    <row r="186" spans="1:17" x14ac:dyDescent="0.35">
      <c r="A186" s="34">
        <v>184</v>
      </c>
      <c r="B186" s="38" t="s">
        <v>49</v>
      </c>
      <c r="C186" s="263" t="s">
        <v>2131</v>
      </c>
      <c r="D186" s="38" t="s">
        <v>28</v>
      </c>
      <c r="E186" s="2" t="s">
        <v>349</v>
      </c>
      <c r="F186" s="2"/>
      <c r="G186" s="2"/>
      <c r="H186" s="2"/>
      <c r="I186" s="448" t="s">
        <v>492</v>
      </c>
      <c r="J186" s="2" t="s">
        <v>782</v>
      </c>
      <c r="K186" s="2" t="s">
        <v>784</v>
      </c>
      <c r="L186" s="2" t="s">
        <v>2251</v>
      </c>
      <c r="M186" s="2" t="s">
        <v>2251</v>
      </c>
      <c r="N186" s="2" t="s">
        <v>788</v>
      </c>
      <c r="O186" s="272"/>
      <c r="P186" s="2"/>
      <c r="Q186" s="2"/>
    </row>
    <row r="187" spans="1:17" x14ac:dyDescent="0.35">
      <c r="A187" s="34">
        <v>185</v>
      </c>
      <c r="B187" s="38" t="s">
        <v>60</v>
      </c>
      <c r="C187" s="263" t="s">
        <v>2131</v>
      </c>
      <c r="D187" s="2" t="s">
        <v>61</v>
      </c>
      <c r="E187" s="2" t="s">
        <v>347</v>
      </c>
      <c r="F187" s="2"/>
      <c r="G187" s="2"/>
      <c r="H187" s="2"/>
      <c r="I187" s="448" t="s">
        <v>492</v>
      </c>
      <c r="J187" s="2" t="s">
        <v>784</v>
      </c>
      <c r="K187" s="2" t="s">
        <v>789</v>
      </c>
      <c r="L187" s="2" t="s">
        <v>2251</v>
      </c>
      <c r="M187" s="2" t="s">
        <v>2251</v>
      </c>
      <c r="N187" s="2" t="s">
        <v>788</v>
      </c>
      <c r="O187" s="272"/>
      <c r="P187" s="2"/>
      <c r="Q187" s="2"/>
    </row>
    <row r="188" spans="1:17" x14ac:dyDescent="0.35">
      <c r="A188" s="34">
        <v>186</v>
      </c>
      <c r="B188" s="38" t="s">
        <v>246</v>
      </c>
      <c r="C188" s="34" t="s">
        <v>2132</v>
      </c>
      <c r="D188" s="2" t="s">
        <v>498</v>
      </c>
      <c r="E188" s="2" t="s">
        <v>347</v>
      </c>
      <c r="F188" s="2"/>
      <c r="G188" s="2"/>
      <c r="H188" s="2"/>
      <c r="I188" s="448" t="s">
        <v>492</v>
      </c>
      <c r="J188" s="2" t="s">
        <v>781</v>
      </c>
      <c r="K188" s="2" t="s">
        <v>815</v>
      </c>
      <c r="L188" s="2" t="s">
        <v>2250</v>
      </c>
      <c r="M188" s="2" t="s">
        <v>2149</v>
      </c>
      <c r="N188" s="2" t="s">
        <v>504</v>
      </c>
      <c r="O188" s="272"/>
      <c r="P188" s="2"/>
      <c r="Q188" s="2"/>
    </row>
    <row r="189" spans="1:17" x14ac:dyDescent="0.35">
      <c r="A189" s="34">
        <v>187</v>
      </c>
      <c r="B189" s="2" t="s">
        <v>253</v>
      </c>
      <c r="C189" s="34" t="s">
        <v>2132</v>
      </c>
      <c r="D189" s="38" t="s">
        <v>23</v>
      </c>
      <c r="E189" s="2" t="s">
        <v>349</v>
      </c>
      <c r="F189" s="2"/>
      <c r="G189" s="2"/>
      <c r="H189" s="2"/>
      <c r="I189" s="448" t="s">
        <v>492</v>
      </c>
      <c r="J189" s="2" t="s">
        <v>774</v>
      </c>
      <c r="K189" s="2" t="s">
        <v>813</v>
      </c>
      <c r="L189" s="2" t="s">
        <v>2251</v>
      </c>
      <c r="M189" s="2" t="s">
        <v>2149</v>
      </c>
      <c r="N189" s="2" t="s">
        <v>758</v>
      </c>
      <c r="O189" s="272"/>
      <c r="P189" s="2"/>
      <c r="Q189" s="2"/>
    </row>
    <row r="190" spans="1:17" x14ac:dyDescent="0.35">
      <c r="A190" s="34">
        <v>188</v>
      </c>
      <c r="B190" s="38" t="s">
        <v>333</v>
      </c>
      <c r="C190" s="38" t="s">
        <v>2133</v>
      </c>
      <c r="D190" s="38" t="s">
        <v>28</v>
      </c>
      <c r="E190" s="2" t="s">
        <v>348</v>
      </c>
      <c r="F190" s="2"/>
      <c r="G190" s="2"/>
      <c r="H190" s="2"/>
      <c r="I190" s="448" t="s">
        <v>492</v>
      </c>
      <c r="J190" s="2" t="s">
        <v>774</v>
      </c>
      <c r="K190" s="2" t="s">
        <v>806</v>
      </c>
      <c r="L190" s="2" t="s">
        <v>2251</v>
      </c>
      <c r="M190" s="2" t="s">
        <v>2149</v>
      </c>
      <c r="N190" s="2" t="s">
        <v>778</v>
      </c>
      <c r="O190" s="272"/>
      <c r="P190" s="2"/>
      <c r="Q190" s="2"/>
    </row>
    <row r="191" spans="1:17" x14ac:dyDescent="0.35">
      <c r="A191" s="34">
        <v>189</v>
      </c>
      <c r="B191" s="2" t="s">
        <v>254</v>
      </c>
      <c r="C191" s="34" t="s">
        <v>2132</v>
      </c>
      <c r="D191" s="38" t="s">
        <v>23</v>
      </c>
      <c r="E191" s="2" t="s">
        <v>349</v>
      </c>
      <c r="F191" s="2"/>
      <c r="G191" s="2"/>
      <c r="H191" s="2"/>
      <c r="I191" s="448" t="s">
        <v>492</v>
      </c>
      <c r="J191" s="2" t="s">
        <v>779</v>
      </c>
      <c r="K191" s="2" t="s">
        <v>792</v>
      </c>
      <c r="L191" s="2" t="s">
        <v>2251</v>
      </c>
      <c r="M191" s="2" t="s">
        <v>2251</v>
      </c>
      <c r="N191" s="2" t="s">
        <v>2024</v>
      </c>
      <c r="O191" s="272"/>
      <c r="P191" s="2"/>
      <c r="Q191" s="2"/>
    </row>
    <row r="192" spans="1:17" x14ac:dyDescent="0.35">
      <c r="A192" s="34">
        <v>190</v>
      </c>
      <c r="B192" s="38" t="s">
        <v>256</v>
      </c>
      <c r="C192" s="34" t="s">
        <v>2132</v>
      </c>
      <c r="D192" s="2" t="s">
        <v>31</v>
      </c>
      <c r="E192" s="2" t="s">
        <v>349</v>
      </c>
      <c r="F192" s="2"/>
      <c r="G192" s="2"/>
      <c r="H192" s="2"/>
      <c r="I192" s="448" t="s">
        <v>492</v>
      </c>
      <c r="J192" s="2" t="s">
        <v>784</v>
      </c>
      <c r="K192" s="2" t="s">
        <v>816</v>
      </c>
      <c r="L192" s="2" t="s">
        <v>2251</v>
      </c>
      <c r="M192" s="2" t="s">
        <v>2149</v>
      </c>
      <c r="N192" s="2" t="s">
        <v>2024</v>
      </c>
      <c r="O192" s="272"/>
      <c r="P192" s="2"/>
      <c r="Q192" s="2"/>
    </row>
    <row r="193" spans="1:17" x14ac:dyDescent="0.35">
      <c r="A193" s="34">
        <v>191</v>
      </c>
      <c r="B193" s="38" t="s">
        <v>257</v>
      </c>
      <c r="C193" s="34" t="s">
        <v>2132</v>
      </c>
      <c r="D193" s="2" t="s">
        <v>16</v>
      </c>
      <c r="E193" s="2" t="s">
        <v>349</v>
      </c>
      <c r="F193" s="2"/>
      <c r="G193" s="2"/>
      <c r="H193" s="2"/>
      <c r="I193" s="448" t="s">
        <v>492</v>
      </c>
      <c r="J193" s="2" t="s">
        <v>784</v>
      </c>
      <c r="K193" s="2" t="s">
        <v>811</v>
      </c>
      <c r="L193" s="2" t="s">
        <v>2251</v>
      </c>
      <c r="M193" s="2" t="s">
        <v>2149</v>
      </c>
      <c r="N193" s="2" t="s">
        <v>758</v>
      </c>
      <c r="O193" s="272"/>
      <c r="P193" s="2"/>
      <c r="Q193" s="2"/>
    </row>
    <row r="194" spans="1:17" x14ac:dyDescent="0.35">
      <c r="A194" s="34">
        <v>192</v>
      </c>
      <c r="B194" s="38" t="s">
        <v>335</v>
      </c>
      <c r="C194" s="38" t="s">
        <v>2133</v>
      </c>
      <c r="D194" s="2" t="s">
        <v>31</v>
      </c>
      <c r="E194" s="2" t="s">
        <v>349</v>
      </c>
      <c r="F194" s="2"/>
      <c r="G194" s="2"/>
      <c r="H194" s="2"/>
      <c r="I194" s="448" t="s">
        <v>492</v>
      </c>
      <c r="J194" s="2" t="s">
        <v>784</v>
      </c>
      <c r="K194" s="2" t="s">
        <v>811</v>
      </c>
      <c r="L194" s="2" t="s">
        <v>2251</v>
      </c>
      <c r="M194" s="2" t="s">
        <v>2149</v>
      </c>
      <c r="N194" s="2" t="s">
        <v>785</v>
      </c>
      <c r="O194" s="272"/>
      <c r="P194" s="2"/>
      <c r="Q194" s="2"/>
    </row>
    <row r="195" spans="1:17" x14ac:dyDescent="0.35">
      <c r="A195" s="34">
        <v>193</v>
      </c>
      <c r="B195" s="38" t="s">
        <v>258</v>
      </c>
      <c r="C195" s="34" t="s">
        <v>2132</v>
      </c>
      <c r="D195" s="2" t="s">
        <v>31</v>
      </c>
      <c r="E195" s="2" t="s">
        <v>349</v>
      </c>
      <c r="F195" s="2"/>
      <c r="G195" s="2"/>
      <c r="H195" s="2"/>
      <c r="I195" s="448" t="s">
        <v>492</v>
      </c>
      <c r="J195" s="2" t="s">
        <v>787</v>
      </c>
      <c r="K195" s="2" t="s">
        <v>820</v>
      </c>
      <c r="L195" s="2" t="s">
        <v>2251</v>
      </c>
      <c r="M195" s="2" t="s">
        <v>2149</v>
      </c>
      <c r="N195" s="2" t="s">
        <v>504</v>
      </c>
      <c r="O195" s="272"/>
      <c r="P195" s="2"/>
      <c r="Q195" s="2"/>
    </row>
    <row r="196" spans="1:17" x14ac:dyDescent="0.35">
      <c r="A196" s="34">
        <v>194</v>
      </c>
      <c r="B196" s="38" t="s">
        <v>100</v>
      </c>
      <c r="C196" s="34" t="s">
        <v>2131</v>
      </c>
      <c r="D196" s="2" t="s">
        <v>28</v>
      </c>
      <c r="E196" s="2" t="s">
        <v>347</v>
      </c>
      <c r="F196" s="2"/>
      <c r="G196" s="2"/>
      <c r="H196" s="2"/>
      <c r="I196" s="448" t="s">
        <v>492</v>
      </c>
      <c r="J196" s="2" t="s">
        <v>796</v>
      </c>
      <c r="K196" s="2" t="s">
        <v>812</v>
      </c>
      <c r="L196" s="2" t="s">
        <v>2251</v>
      </c>
      <c r="M196" s="2" t="s">
        <v>2251</v>
      </c>
      <c r="N196" s="2" t="s">
        <v>788</v>
      </c>
      <c r="O196" s="272"/>
      <c r="P196" s="2"/>
      <c r="Q196" s="2"/>
    </row>
    <row r="197" spans="1:17" x14ac:dyDescent="0.35">
      <c r="A197" s="34">
        <v>195</v>
      </c>
      <c r="B197" s="38" t="s">
        <v>116</v>
      </c>
      <c r="C197" s="34" t="s">
        <v>2131</v>
      </c>
      <c r="D197" s="2" t="s">
        <v>16</v>
      </c>
      <c r="E197" s="2" t="s">
        <v>802</v>
      </c>
      <c r="F197" s="2"/>
      <c r="G197" s="2"/>
      <c r="H197" s="2"/>
      <c r="I197" s="448" t="s">
        <v>492</v>
      </c>
      <c r="J197" s="2" t="s">
        <v>807</v>
      </c>
      <c r="K197" s="2" t="s">
        <v>811</v>
      </c>
      <c r="L197" s="2" t="s">
        <v>2251</v>
      </c>
      <c r="M197" s="2" t="s">
        <v>2149</v>
      </c>
      <c r="N197" s="2" t="s">
        <v>788</v>
      </c>
      <c r="O197" s="272"/>
      <c r="P197" s="2"/>
      <c r="Q197" s="2"/>
    </row>
    <row r="198" spans="1:17" x14ac:dyDescent="0.35">
      <c r="A198" s="34">
        <v>196</v>
      </c>
      <c r="B198" s="38" t="s">
        <v>329</v>
      </c>
      <c r="C198" s="38" t="s">
        <v>2133</v>
      </c>
      <c r="D198" s="2" t="s">
        <v>35</v>
      </c>
      <c r="E198" s="2" t="s">
        <v>347</v>
      </c>
      <c r="F198" s="2"/>
      <c r="G198" s="2"/>
      <c r="H198" s="2"/>
      <c r="I198" s="448" t="s">
        <v>492</v>
      </c>
      <c r="J198" s="2" t="s">
        <v>809</v>
      </c>
      <c r="K198" s="2" t="s">
        <v>820</v>
      </c>
      <c r="L198" s="2" t="s">
        <v>2251</v>
      </c>
      <c r="M198" s="2" t="s">
        <v>2149</v>
      </c>
      <c r="N198" s="2" t="s">
        <v>444</v>
      </c>
      <c r="O198" s="272"/>
      <c r="P198" s="2"/>
      <c r="Q198" s="2"/>
    </row>
    <row r="199" spans="1:17" x14ac:dyDescent="0.35">
      <c r="A199" s="34">
        <v>197</v>
      </c>
      <c r="B199" s="38" t="s">
        <v>339</v>
      </c>
      <c r="C199" s="38" t="s">
        <v>2133</v>
      </c>
      <c r="D199" s="38" t="s">
        <v>14</v>
      </c>
      <c r="E199" s="2" t="s">
        <v>349</v>
      </c>
      <c r="F199" s="2"/>
      <c r="G199" s="2"/>
      <c r="H199" s="2"/>
      <c r="I199" s="448" t="s">
        <v>492</v>
      </c>
      <c r="J199" s="2" t="s">
        <v>806</v>
      </c>
      <c r="K199" s="2" t="s">
        <v>881</v>
      </c>
      <c r="L199" s="2" t="s">
        <v>2149</v>
      </c>
      <c r="M199" s="2" t="s">
        <v>2149</v>
      </c>
      <c r="N199" s="2" t="s">
        <v>962</v>
      </c>
      <c r="O199" s="272"/>
      <c r="P199" s="2"/>
      <c r="Q199" s="2"/>
    </row>
    <row r="200" spans="1:17" x14ac:dyDescent="0.35">
      <c r="A200" s="34">
        <v>198</v>
      </c>
      <c r="B200" s="38" t="s">
        <v>312</v>
      </c>
      <c r="C200" s="38" t="s">
        <v>2133</v>
      </c>
      <c r="D200" s="38" t="s">
        <v>16</v>
      </c>
      <c r="E200" s="2"/>
      <c r="F200" s="2"/>
      <c r="G200" s="2"/>
      <c r="H200" s="2"/>
      <c r="I200" s="456" t="s">
        <v>896</v>
      </c>
      <c r="J200" s="2" t="s">
        <v>808</v>
      </c>
      <c r="K200" s="2"/>
      <c r="L200" s="2"/>
      <c r="M200" s="2"/>
      <c r="N200" s="2" t="s">
        <v>2024</v>
      </c>
      <c r="O200" s="272"/>
      <c r="P200" s="2"/>
      <c r="Q200" s="2"/>
    </row>
    <row r="201" spans="1:17" x14ac:dyDescent="0.35">
      <c r="A201" s="34">
        <v>199</v>
      </c>
      <c r="B201" s="38" t="s">
        <v>319</v>
      </c>
      <c r="C201" s="38" t="s">
        <v>2133</v>
      </c>
      <c r="D201" s="38" t="s">
        <v>115</v>
      </c>
      <c r="E201" s="2" t="s">
        <v>347</v>
      </c>
      <c r="F201" s="2"/>
      <c r="G201" s="2"/>
      <c r="H201" s="2"/>
      <c r="I201" s="448" t="s">
        <v>492</v>
      </c>
      <c r="J201" s="2" t="s">
        <v>798</v>
      </c>
      <c r="K201" s="2" t="s">
        <v>790</v>
      </c>
      <c r="L201" s="2" t="s">
        <v>2259</v>
      </c>
      <c r="M201" s="2" t="s">
        <v>2251</v>
      </c>
      <c r="N201" s="2" t="s">
        <v>444</v>
      </c>
      <c r="O201" s="272"/>
      <c r="P201" s="2"/>
      <c r="Q201" s="2"/>
    </row>
    <row r="202" spans="1:17" x14ac:dyDescent="0.35">
      <c r="A202" s="34">
        <v>200</v>
      </c>
      <c r="B202" s="38" t="s">
        <v>320</v>
      </c>
      <c r="C202" s="38" t="s">
        <v>2133</v>
      </c>
      <c r="D202" s="2" t="s">
        <v>16</v>
      </c>
      <c r="E202" s="2" t="s">
        <v>349</v>
      </c>
      <c r="F202" s="2"/>
      <c r="G202" s="2"/>
      <c r="H202" s="2"/>
      <c r="I202" s="448" t="s">
        <v>492</v>
      </c>
      <c r="J202" s="2" t="s">
        <v>797</v>
      </c>
      <c r="K202" s="2" t="s">
        <v>795</v>
      </c>
      <c r="L202" s="2" t="s">
        <v>2259</v>
      </c>
      <c r="M202" s="2" t="s">
        <v>2251</v>
      </c>
      <c r="N202" s="2" t="s">
        <v>444</v>
      </c>
      <c r="O202" s="272"/>
      <c r="P202" s="2"/>
      <c r="Q202" s="2"/>
    </row>
    <row r="203" spans="1:17" x14ac:dyDescent="0.35">
      <c r="A203" s="34">
        <v>201</v>
      </c>
      <c r="B203" s="2" t="s">
        <v>112</v>
      </c>
      <c r="C203" s="34" t="s">
        <v>2131</v>
      </c>
      <c r="D203" s="2" t="s">
        <v>113</v>
      </c>
      <c r="E203" s="2" t="s">
        <v>347</v>
      </c>
      <c r="F203" s="2"/>
      <c r="G203" s="2"/>
      <c r="H203" s="2"/>
      <c r="I203" s="448" t="s">
        <v>492</v>
      </c>
      <c r="J203" s="2" t="s">
        <v>795</v>
      </c>
      <c r="K203" s="2" t="s">
        <v>806</v>
      </c>
      <c r="L203" s="2" t="s">
        <v>2251</v>
      </c>
      <c r="M203" s="2" t="s">
        <v>2149</v>
      </c>
      <c r="N203" s="2" t="s">
        <v>788</v>
      </c>
      <c r="O203" s="272"/>
      <c r="P203" s="2"/>
      <c r="Q203" s="2"/>
    </row>
    <row r="204" spans="1:17" x14ac:dyDescent="0.35">
      <c r="A204" s="34">
        <v>202</v>
      </c>
      <c r="B204" s="38" t="s">
        <v>318</v>
      </c>
      <c r="C204" s="38" t="s">
        <v>2133</v>
      </c>
      <c r="D204" s="2" t="s">
        <v>23</v>
      </c>
      <c r="E204" s="2" t="s">
        <v>347</v>
      </c>
      <c r="F204" s="2"/>
      <c r="G204" s="2"/>
      <c r="H204" s="2"/>
      <c r="I204" s="448" t="s">
        <v>492</v>
      </c>
      <c r="J204" s="2" t="s">
        <v>795</v>
      </c>
      <c r="K204" s="2" t="s">
        <v>816</v>
      </c>
      <c r="L204" s="2" t="s">
        <v>2251</v>
      </c>
      <c r="M204" s="2" t="s">
        <v>2149</v>
      </c>
      <c r="N204" s="2" t="s">
        <v>444</v>
      </c>
      <c r="O204" s="272"/>
      <c r="P204" s="2"/>
      <c r="Q204" s="2"/>
    </row>
    <row r="205" spans="1:17" x14ac:dyDescent="0.35">
      <c r="A205" s="34">
        <v>203</v>
      </c>
      <c r="B205" s="38" t="s">
        <v>114</v>
      </c>
      <c r="C205" s="34" t="s">
        <v>2131</v>
      </c>
      <c r="D205" s="2" t="s">
        <v>16</v>
      </c>
      <c r="E205" s="2" t="s">
        <v>349</v>
      </c>
      <c r="F205" s="2"/>
      <c r="G205" s="2"/>
      <c r="H205" s="2"/>
      <c r="I205" s="448" t="s">
        <v>492</v>
      </c>
      <c r="J205" s="2" t="s">
        <v>806</v>
      </c>
      <c r="K205" s="2" t="s">
        <v>823</v>
      </c>
      <c r="L205" s="2" t="s">
        <v>2149</v>
      </c>
      <c r="M205" s="2" t="s">
        <v>2149</v>
      </c>
      <c r="N205" s="2" t="s">
        <v>788</v>
      </c>
      <c r="O205" s="272"/>
      <c r="P205" s="2"/>
      <c r="Q205" s="2"/>
    </row>
    <row r="206" spans="1:17" x14ac:dyDescent="0.35">
      <c r="A206" s="34">
        <v>204</v>
      </c>
      <c r="B206" s="38" t="s">
        <v>326</v>
      </c>
      <c r="C206" s="38" t="s">
        <v>2133</v>
      </c>
      <c r="D206" s="2" t="s">
        <v>23</v>
      </c>
      <c r="E206" s="2" t="s">
        <v>347</v>
      </c>
      <c r="F206" s="2"/>
      <c r="G206" s="2"/>
      <c r="H206" s="2"/>
      <c r="I206" s="448" t="s">
        <v>492</v>
      </c>
      <c r="J206" s="2" t="s">
        <v>807</v>
      </c>
      <c r="K206" s="2" t="s">
        <v>879</v>
      </c>
      <c r="L206" s="2" t="s">
        <v>2251</v>
      </c>
      <c r="M206" s="2" t="s">
        <v>2149</v>
      </c>
      <c r="N206" s="2" t="s">
        <v>810</v>
      </c>
      <c r="O206" s="272"/>
      <c r="P206" s="2"/>
      <c r="Q206" s="2"/>
    </row>
    <row r="207" spans="1:17" x14ac:dyDescent="0.35">
      <c r="A207" s="34">
        <v>205</v>
      </c>
      <c r="B207" s="2" t="s">
        <v>336</v>
      </c>
      <c r="C207" s="38" t="s">
        <v>2133</v>
      </c>
      <c r="D207" s="2" t="s">
        <v>16</v>
      </c>
      <c r="E207" s="2" t="s">
        <v>349</v>
      </c>
      <c r="F207" s="2"/>
      <c r="G207" s="2"/>
      <c r="H207" s="2"/>
      <c r="I207" s="448" t="s">
        <v>492</v>
      </c>
      <c r="J207" s="2" t="s">
        <v>815</v>
      </c>
      <c r="K207" s="2" t="s">
        <v>831</v>
      </c>
      <c r="L207" s="2" t="s">
        <v>2149</v>
      </c>
      <c r="M207" s="2" t="s">
        <v>2149</v>
      </c>
      <c r="N207" s="2" t="s">
        <v>901</v>
      </c>
      <c r="O207" s="272"/>
      <c r="P207" s="2"/>
      <c r="Q207" s="2"/>
    </row>
    <row r="208" spans="1:17" x14ac:dyDescent="0.35">
      <c r="A208" s="34">
        <v>206</v>
      </c>
      <c r="B208" s="2" t="s">
        <v>337</v>
      </c>
      <c r="C208" s="38" t="s">
        <v>2133</v>
      </c>
      <c r="D208" s="2" t="s">
        <v>23</v>
      </c>
      <c r="E208" s="2" t="s">
        <v>349</v>
      </c>
      <c r="F208" s="2"/>
      <c r="G208" s="2"/>
      <c r="H208" s="2"/>
      <c r="I208" s="448" t="s">
        <v>492</v>
      </c>
      <c r="J208" s="2" t="s">
        <v>816</v>
      </c>
      <c r="K208" s="2" t="s">
        <v>883</v>
      </c>
      <c r="L208" s="2" t="s">
        <v>2149</v>
      </c>
      <c r="M208" s="2" t="s">
        <v>2149</v>
      </c>
      <c r="N208" s="2" t="s">
        <v>778</v>
      </c>
      <c r="O208" s="272"/>
      <c r="P208" s="2"/>
      <c r="Q208" s="2"/>
    </row>
    <row r="209" spans="1:17" x14ac:dyDescent="0.35">
      <c r="A209" s="34">
        <v>207</v>
      </c>
      <c r="B209" s="2" t="s">
        <v>321</v>
      </c>
      <c r="C209" s="38" t="s">
        <v>2133</v>
      </c>
      <c r="D209" s="2" t="s">
        <v>498</v>
      </c>
      <c r="E209" s="2" t="s">
        <v>347</v>
      </c>
      <c r="F209" s="2"/>
      <c r="G209" s="2"/>
      <c r="H209" s="2"/>
      <c r="I209" s="448" t="s">
        <v>492</v>
      </c>
      <c r="J209" s="2" t="s">
        <v>820</v>
      </c>
      <c r="K209" s="2" t="s">
        <v>893</v>
      </c>
      <c r="L209" s="2" t="s">
        <v>2149</v>
      </c>
      <c r="M209" s="2" t="s">
        <v>2146</v>
      </c>
      <c r="N209" s="2" t="s">
        <v>444</v>
      </c>
      <c r="O209" s="272"/>
      <c r="P209" s="2"/>
      <c r="Q209" s="2"/>
    </row>
    <row r="210" spans="1:17" x14ac:dyDescent="0.35">
      <c r="A210" s="34">
        <v>208</v>
      </c>
      <c r="B210" s="2" t="s">
        <v>241</v>
      </c>
      <c r="C210" s="34" t="s">
        <v>2132</v>
      </c>
      <c r="D210" s="2" t="s">
        <v>506</v>
      </c>
      <c r="E210" s="2" t="s">
        <v>347</v>
      </c>
      <c r="F210" s="2"/>
      <c r="G210" s="2"/>
      <c r="H210" s="2"/>
      <c r="I210" s="448" t="s">
        <v>492</v>
      </c>
      <c r="J210" s="2" t="s">
        <v>821</v>
      </c>
      <c r="K210" s="2" t="s">
        <v>882</v>
      </c>
      <c r="L210" s="2" t="s">
        <v>2149</v>
      </c>
      <c r="M210" s="2" t="s">
        <v>2149</v>
      </c>
      <c r="N210" s="2" t="s">
        <v>758</v>
      </c>
      <c r="O210" s="272"/>
      <c r="P210" s="2"/>
      <c r="Q210" s="2"/>
    </row>
    <row r="211" spans="1:17" x14ac:dyDescent="0.35">
      <c r="A211" s="34">
        <v>209</v>
      </c>
      <c r="B211" s="2" t="s">
        <v>342</v>
      </c>
      <c r="C211" s="38" t="s">
        <v>2133</v>
      </c>
      <c r="D211" s="2" t="s">
        <v>236</v>
      </c>
      <c r="E211" s="2" t="s">
        <v>347</v>
      </c>
      <c r="F211" s="2"/>
      <c r="G211" s="2"/>
      <c r="H211" s="2"/>
      <c r="I211" s="448" t="s">
        <v>492</v>
      </c>
      <c r="J211" s="2" t="s">
        <v>820</v>
      </c>
      <c r="K211" s="2" t="s">
        <v>895</v>
      </c>
      <c r="L211" s="2" t="s">
        <v>2149</v>
      </c>
      <c r="M211" s="2" t="s">
        <v>2146</v>
      </c>
      <c r="N211" s="2" t="s">
        <v>2024</v>
      </c>
      <c r="O211" s="272"/>
      <c r="P211" s="2"/>
      <c r="Q211" s="2"/>
    </row>
    <row r="212" spans="1:17" x14ac:dyDescent="0.35">
      <c r="A212" s="34">
        <v>210</v>
      </c>
      <c r="B212" s="2" t="s">
        <v>219</v>
      </c>
      <c r="C212" s="34" t="s">
        <v>2132</v>
      </c>
      <c r="D212" s="2" t="s">
        <v>506</v>
      </c>
      <c r="E212" s="2" t="s">
        <v>802</v>
      </c>
      <c r="F212" s="2"/>
      <c r="G212" s="2"/>
      <c r="H212" s="2"/>
      <c r="I212" s="448" t="s">
        <v>492</v>
      </c>
      <c r="J212" s="2" t="s">
        <v>822</v>
      </c>
      <c r="K212" s="2" t="s">
        <v>903</v>
      </c>
      <c r="L212" s="2" t="s">
        <v>2149</v>
      </c>
      <c r="M212" s="2" t="s">
        <v>2146</v>
      </c>
      <c r="N212" s="2" t="s">
        <v>504</v>
      </c>
      <c r="O212" s="272"/>
      <c r="P212" s="2"/>
      <c r="Q212" s="2"/>
    </row>
    <row r="213" spans="1:17" x14ac:dyDescent="0.35">
      <c r="A213" s="34">
        <v>211</v>
      </c>
      <c r="B213" s="38" t="s">
        <v>39</v>
      </c>
      <c r="C213" s="263" t="s">
        <v>2131</v>
      </c>
      <c r="D213" s="2" t="s">
        <v>498</v>
      </c>
      <c r="E213" s="2" t="s">
        <v>802</v>
      </c>
      <c r="F213" s="2"/>
      <c r="G213" s="2"/>
      <c r="H213" s="2"/>
      <c r="I213" s="448" t="s">
        <v>492</v>
      </c>
      <c r="J213" s="2" t="s">
        <v>820</v>
      </c>
      <c r="K213" s="2" t="s">
        <v>882</v>
      </c>
      <c r="L213" s="2" t="s">
        <v>2149</v>
      </c>
      <c r="M213" s="2" t="s">
        <v>2149</v>
      </c>
      <c r="N213" s="2" t="s">
        <v>788</v>
      </c>
      <c r="O213" s="272"/>
      <c r="P213" s="2"/>
      <c r="Q213" s="2"/>
    </row>
    <row r="214" spans="1:17" x14ac:dyDescent="0.35">
      <c r="A214" s="34">
        <v>212</v>
      </c>
      <c r="B214" s="2" t="s">
        <v>130</v>
      </c>
      <c r="C214" s="34" t="s">
        <v>2131</v>
      </c>
      <c r="D214" s="2" t="s">
        <v>12</v>
      </c>
      <c r="E214" s="2" t="s">
        <v>347</v>
      </c>
      <c r="F214" s="2"/>
      <c r="G214" s="2"/>
      <c r="H214" s="2"/>
      <c r="I214" s="448" t="s">
        <v>492</v>
      </c>
      <c r="J214" s="2" t="s">
        <v>823</v>
      </c>
      <c r="K214" s="2" t="s">
        <v>890</v>
      </c>
      <c r="L214" s="2" t="s">
        <v>2149</v>
      </c>
      <c r="M214" s="2" t="s">
        <v>2149</v>
      </c>
      <c r="N214" s="2" t="s">
        <v>788</v>
      </c>
      <c r="O214" s="272"/>
      <c r="P214" s="2"/>
      <c r="Q214" s="2"/>
    </row>
    <row r="215" spans="1:17" x14ac:dyDescent="0.35">
      <c r="A215" s="34">
        <v>213</v>
      </c>
      <c r="B215" s="2" t="s">
        <v>296</v>
      </c>
      <c r="C215" s="38" t="s">
        <v>2133</v>
      </c>
      <c r="D215" s="2" t="s">
        <v>33</v>
      </c>
      <c r="E215" s="2" t="s">
        <v>347</v>
      </c>
      <c r="F215" s="2"/>
      <c r="G215" s="2"/>
      <c r="H215" s="2"/>
      <c r="I215" s="448" t="s">
        <v>492</v>
      </c>
      <c r="J215" s="2" t="s">
        <v>825</v>
      </c>
      <c r="K215" s="2" t="s">
        <v>883</v>
      </c>
      <c r="L215" s="2" t="s">
        <v>2149</v>
      </c>
      <c r="M215" s="2" t="s">
        <v>2149</v>
      </c>
      <c r="N215" s="2" t="s">
        <v>824</v>
      </c>
      <c r="O215" s="272"/>
      <c r="P215" s="2"/>
      <c r="Q215" s="2"/>
    </row>
    <row r="216" spans="1:17" x14ac:dyDescent="0.35">
      <c r="A216" s="34">
        <v>214</v>
      </c>
      <c r="B216" s="38" t="s">
        <v>42</v>
      </c>
      <c r="C216" s="263" t="s">
        <v>2131</v>
      </c>
      <c r="D216" s="2" t="s">
        <v>35</v>
      </c>
      <c r="E216" s="2" t="s">
        <v>349</v>
      </c>
      <c r="F216" s="2"/>
      <c r="G216" s="2"/>
      <c r="H216" s="2"/>
      <c r="I216" s="448" t="s">
        <v>492</v>
      </c>
      <c r="J216" s="2" t="s">
        <v>826</v>
      </c>
      <c r="K216" s="2" t="s">
        <v>808</v>
      </c>
      <c r="L216" s="2" t="s">
        <v>2149</v>
      </c>
      <c r="M216" s="2" t="s">
        <v>2149</v>
      </c>
      <c r="N216" s="2" t="s">
        <v>788</v>
      </c>
      <c r="O216" s="272"/>
      <c r="P216" s="2"/>
      <c r="Q216" s="2"/>
    </row>
    <row r="217" spans="1:17" x14ac:dyDescent="0.35">
      <c r="A217" s="34">
        <v>215</v>
      </c>
      <c r="B217" s="38" t="s">
        <v>295</v>
      </c>
      <c r="C217" s="38" t="s">
        <v>2133</v>
      </c>
      <c r="D217" s="2" t="s">
        <v>16</v>
      </c>
      <c r="E217" s="2" t="s">
        <v>349</v>
      </c>
      <c r="F217" s="2"/>
      <c r="G217" s="2"/>
      <c r="H217" s="2"/>
      <c r="I217" s="448" t="s">
        <v>492</v>
      </c>
      <c r="J217" s="2" t="s">
        <v>895</v>
      </c>
      <c r="K217" s="2" t="s">
        <v>913</v>
      </c>
      <c r="L217" s="2" t="s">
        <v>2146</v>
      </c>
      <c r="M217" s="2" t="s">
        <v>2146</v>
      </c>
      <c r="N217" s="2" t="s">
        <v>824</v>
      </c>
      <c r="O217" s="272"/>
      <c r="P217" s="2"/>
      <c r="Q217" s="2"/>
    </row>
    <row r="218" spans="1:17" x14ac:dyDescent="0.35">
      <c r="A218" s="34">
        <v>216</v>
      </c>
      <c r="B218" s="38" t="s">
        <v>84</v>
      </c>
      <c r="C218" s="34" t="s">
        <v>2131</v>
      </c>
      <c r="D218" s="2" t="s">
        <v>18</v>
      </c>
      <c r="E218" s="2" t="s">
        <v>347</v>
      </c>
      <c r="F218" s="2"/>
      <c r="G218" s="2"/>
      <c r="H218" s="2"/>
      <c r="I218" s="448" t="s">
        <v>492</v>
      </c>
      <c r="J218" s="2" t="s">
        <v>884</v>
      </c>
      <c r="K218" s="2" t="s">
        <v>891</v>
      </c>
      <c r="L218" s="2" t="s">
        <v>2149</v>
      </c>
      <c r="M218" s="2" t="s">
        <v>2146</v>
      </c>
      <c r="N218" s="2" t="s">
        <v>788</v>
      </c>
      <c r="O218" s="272"/>
      <c r="P218" s="2"/>
      <c r="Q218" s="2"/>
    </row>
    <row r="219" spans="1:17" x14ac:dyDescent="0.35">
      <c r="A219" s="34">
        <v>217</v>
      </c>
      <c r="B219" s="2" t="s">
        <v>290</v>
      </c>
      <c r="C219" s="38" t="s">
        <v>2133</v>
      </c>
      <c r="D219" s="2" t="s">
        <v>35</v>
      </c>
      <c r="E219" s="2" t="s">
        <v>347</v>
      </c>
      <c r="F219" s="2"/>
      <c r="G219" s="2"/>
      <c r="H219" s="2"/>
      <c r="I219" s="448" t="s">
        <v>492</v>
      </c>
      <c r="J219" s="2" t="s">
        <v>879</v>
      </c>
      <c r="K219" s="2" t="s">
        <v>894</v>
      </c>
      <c r="L219" s="2" t="s">
        <v>2149</v>
      </c>
      <c r="M219" s="2" t="s">
        <v>2146</v>
      </c>
      <c r="N219" s="2" t="s">
        <v>824</v>
      </c>
      <c r="O219" s="272"/>
      <c r="P219" s="2"/>
      <c r="Q219" s="2"/>
    </row>
    <row r="220" spans="1:17" x14ac:dyDescent="0.35">
      <c r="A220" s="34">
        <v>218</v>
      </c>
      <c r="B220" s="38" t="s">
        <v>291</v>
      </c>
      <c r="C220" s="38" t="s">
        <v>2133</v>
      </c>
      <c r="D220" s="2" t="s">
        <v>113</v>
      </c>
      <c r="E220" s="2" t="s">
        <v>347</v>
      </c>
      <c r="F220" s="2"/>
      <c r="G220" s="2"/>
      <c r="H220" s="2"/>
      <c r="I220" s="448" t="s">
        <v>492</v>
      </c>
      <c r="J220" s="2" t="s">
        <v>888</v>
      </c>
      <c r="K220" s="2" t="s">
        <v>910</v>
      </c>
      <c r="L220" s="2" t="s">
        <v>2149</v>
      </c>
      <c r="M220" s="2" t="s">
        <v>2146</v>
      </c>
      <c r="N220" s="2" t="s">
        <v>444</v>
      </c>
      <c r="O220" s="272"/>
      <c r="P220" s="2"/>
      <c r="Q220" s="2"/>
    </row>
    <row r="221" spans="1:17" x14ac:dyDescent="0.35">
      <c r="A221" s="34">
        <v>219</v>
      </c>
      <c r="B221" s="38" t="s">
        <v>346</v>
      </c>
      <c r="C221" s="38" t="s">
        <v>2133</v>
      </c>
      <c r="D221" s="2" t="s">
        <v>236</v>
      </c>
      <c r="E221" s="2" t="s">
        <v>348</v>
      </c>
      <c r="F221" s="2"/>
      <c r="G221" s="2"/>
      <c r="H221" s="2"/>
      <c r="I221" s="448" t="s">
        <v>492</v>
      </c>
      <c r="J221" s="2" t="s">
        <v>888</v>
      </c>
      <c r="K221" s="2" t="s">
        <v>923</v>
      </c>
      <c r="L221" s="2" t="s">
        <v>2149</v>
      </c>
      <c r="M221" s="2" t="s">
        <v>2146</v>
      </c>
      <c r="N221" s="2" t="s">
        <v>758</v>
      </c>
      <c r="O221" s="272"/>
      <c r="P221" s="2"/>
      <c r="Q221" s="2"/>
    </row>
    <row r="222" spans="1:17" x14ac:dyDescent="0.35">
      <c r="A222" s="34">
        <v>220</v>
      </c>
      <c r="B222" s="38" t="s">
        <v>173</v>
      </c>
      <c r="C222" s="34" t="s">
        <v>2131</v>
      </c>
      <c r="D222" s="2" t="s">
        <v>156</v>
      </c>
      <c r="E222" s="2" t="s">
        <v>349</v>
      </c>
      <c r="F222" s="2"/>
      <c r="G222" s="2"/>
      <c r="H222" s="2"/>
      <c r="I222" s="448" t="s">
        <v>492</v>
      </c>
      <c r="J222" s="2" t="s">
        <v>890</v>
      </c>
      <c r="K222" s="2" t="s">
        <v>903</v>
      </c>
      <c r="L222" s="2" t="s">
        <v>2149</v>
      </c>
      <c r="M222" s="2" t="s">
        <v>2146</v>
      </c>
      <c r="N222" s="2" t="s">
        <v>788</v>
      </c>
      <c r="O222" s="272"/>
      <c r="P222" s="2"/>
      <c r="Q222" s="2"/>
    </row>
    <row r="223" spans="1:17" x14ac:dyDescent="0.35">
      <c r="A223" s="34">
        <v>221</v>
      </c>
      <c r="B223" s="38" t="s">
        <v>271</v>
      </c>
      <c r="C223" s="38" t="s">
        <v>2133</v>
      </c>
      <c r="D223" s="2" t="s">
        <v>14</v>
      </c>
      <c r="E223" s="2" t="s">
        <v>347</v>
      </c>
      <c r="F223" s="2"/>
      <c r="G223" s="2"/>
      <c r="H223" s="2"/>
      <c r="I223" s="448" t="s">
        <v>492</v>
      </c>
      <c r="J223" s="2" t="s">
        <v>890</v>
      </c>
      <c r="K223" s="2" t="s">
        <v>902</v>
      </c>
      <c r="L223" s="2" t="s">
        <v>2149</v>
      </c>
      <c r="M223" s="2" t="s">
        <v>2146</v>
      </c>
      <c r="N223" s="2" t="s">
        <v>758</v>
      </c>
      <c r="O223" s="272"/>
      <c r="P223" s="2"/>
      <c r="Q223" s="2"/>
    </row>
    <row r="224" spans="1:17" x14ac:dyDescent="0.35">
      <c r="A224" s="34">
        <v>222</v>
      </c>
      <c r="B224" s="38" t="s">
        <v>69</v>
      </c>
      <c r="C224" s="34" t="s">
        <v>2131</v>
      </c>
      <c r="D224" s="2" t="s">
        <v>70</v>
      </c>
      <c r="E224" s="2" t="s">
        <v>349</v>
      </c>
      <c r="F224" s="2"/>
      <c r="G224" s="2"/>
      <c r="H224" s="2"/>
      <c r="I224" s="448" t="s">
        <v>492</v>
      </c>
      <c r="J224" s="2" t="s">
        <v>891</v>
      </c>
      <c r="K224" s="2" t="s">
        <v>902</v>
      </c>
      <c r="L224" s="2" t="s">
        <v>2146</v>
      </c>
      <c r="M224" s="2" t="s">
        <v>2146</v>
      </c>
      <c r="N224" s="2" t="s">
        <v>899</v>
      </c>
      <c r="O224" s="272"/>
      <c r="P224" s="2"/>
      <c r="Q224" s="2"/>
    </row>
    <row r="225" spans="1:17" x14ac:dyDescent="0.35">
      <c r="A225" s="34">
        <v>223</v>
      </c>
      <c r="B225" s="2" t="s">
        <v>300</v>
      </c>
      <c r="C225" s="38" t="s">
        <v>2133</v>
      </c>
      <c r="D225" s="2" t="s">
        <v>390</v>
      </c>
      <c r="E225" s="2" t="s">
        <v>349</v>
      </c>
      <c r="F225" s="2"/>
      <c r="G225" s="2"/>
      <c r="H225" s="2"/>
      <c r="I225" s="448" t="s">
        <v>492</v>
      </c>
      <c r="J225" s="2" t="s">
        <v>898</v>
      </c>
      <c r="K225" s="2" t="s">
        <v>916</v>
      </c>
      <c r="L225" s="2" t="s">
        <v>2146</v>
      </c>
      <c r="M225" s="2" t="s">
        <v>2146</v>
      </c>
      <c r="N225" s="2" t="s">
        <v>2024</v>
      </c>
      <c r="O225" s="272"/>
      <c r="P225" s="2"/>
      <c r="Q225" s="2"/>
    </row>
    <row r="226" spans="1:17" x14ac:dyDescent="0.35">
      <c r="A226" s="34">
        <v>224</v>
      </c>
      <c r="B226" s="2" t="s">
        <v>207</v>
      </c>
      <c r="C226" s="34" t="s">
        <v>2131</v>
      </c>
      <c r="D226" s="2" t="s">
        <v>18</v>
      </c>
      <c r="E226" s="2" t="s">
        <v>348</v>
      </c>
      <c r="F226" s="2"/>
      <c r="G226" s="2"/>
      <c r="H226" s="2"/>
      <c r="I226" s="448" t="s">
        <v>492</v>
      </c>
      <c r="J226" s="2" t="s">
        <v>900</v>
      </c>
      <c r="K226" s="2" t="s">
        <v>918</v>
      </c>
      <c r="L226" s="2" t="s">
        <v>2146</v>
      </c>
      <c r="M226" s="2" t="s">
        <v>2146</v>
      </c>
      <c r="N226" s="2" t="s">
        <v>901</v>
      </c>
      <c r="O226" s="272"/>
      <c r="P226" s="2"/>
      <c r="Q226" s="2"/>
    </row>
    <row r="227" spans="1:17" x14ac:dyDescent="0.35">
      <c r="A227" s="34">
        <v>225</v>
      </c>
      <c r="B227" s="2" t="s">
        <v>392</v>
      </c>
      <c r="C227" s="38" t="s">
        <v>2133</v>
      </c>
      <c r="D227" s="2" t="s">
        <v>33</v>
      </c>
      <c r="E227" s="2" t="s">
        <v>347</v>
      </c>
      <c r="F227" s="2"/>
      <c r="G227" s="2"/>
      <c r="H227" s="2"/>
      <c r="I227" s="448" t="s">
        <v>492</v>
      </c>
      <c r="J227" s="2" t="s">
        <v>904</v>
      </c>
      <c r="K227" s="2" t="s">
        <v>919</v>
      </c>
      <c r="L227" s="2" t="s">
        <v>2146</v>
      </c>
      <c r="M227" s="2" t="s">
        <v>2146</v>
      </c>
      <c r="N227" s="2" t="s">
        <v>914</v>
      </c>
      <c r="O227" s="272"/>
      <c r="P227" s="2"/>
      <c r="Q227" s="2"/>
    </row>
    <row r="228" spans="1:17" x14ac:dyDescent="0.35">
      <c r="A228" s="34">
        <v>226</v>
      </c>
      <c r="B228" s="2" t="s">
        <v>289</v>
      </c>
      <c r="C228" s="38" t="s">
        <v>2133</v>
      </c>
      <c r="D228" s="2" t="s">
        <v>40</v>
      </c>
      <c r="E228" s="2" t="s">
        <v>347</v>
      </c>
      <c r="F228" s="2"/>
      <c r="G228" s="2"/>
      <c r="H228" s="2"/>
      <c r="I228" s="448" t="s">
        <v>492</v>
      </c>
      <c r="J228" s="2" t="s">
        <v>911</v>
      </c>
      <c r="K228" s="2" t="s">
        <v>937</v>
      </c>
      <c r="L228" s="2" t="s">
        <v>2146</v>
      </c>
      <c r="M228" s="2" t="s">
        <v>2145</v>
      </c>
      <c r="N228" s="2" t="s">
        <v>444</v>
      </c>
      <c r="O228" s="272"/>
      <c r="P228" s="2"/>
      <c r="Q228" s="2"/>
    </row>
    <row r="229" spans="1:17" x14ac:dyDescent="0.35">
      <c r="A229" s="34">
        <v>227</v>
      </c>
      <c r="B229" s="38" t="s">
        <v>163</v>
      </c>
      <c r="C229" s="34" t="s">
        <v>2131</v>
      </c>
      <c r="D229" s="2" t="s">
        <v>164</v>
      </c>
      <c r="E229" s="2" t="s">
        <v>347</v>
      </c>
      <c r="F229" s="2"/>
      <c r="G229" s="2"/>
      <c r="H229" s="2"/>
      <c r="I229" s="448" t="s">
        <v>492</v>
      </c>
      <c r="J229" s="2" t="s">
        <v>904</v>
      </c>
      <c r="K229" s="2" t="s">
        <v>913</v>
      </c>
      <c r="L229" s="2" t="s">
        <v>2146</v>
      </c>
      <c r="M229" s="2" t="s">
        <v>2146</v>
      </c>
      <c r="N229" s="2" t="s">
        <v>906</v>
      </c>
      <c r="O229" s="272"/>
      <c r="P229" s="2"/>
      <c r="Q229" s="2"/>
    </row>
    <row r="230" spans="1:17" x14ac:dyDescent="0.35">
      <c r="A230" s="34">
        <v>228</v>
      </c>
      <c r="B230" s="38" t="s">
        <v>145</v>
      </c>
      <c r="C230" s="34" t="s">
        <v>2131</v>
      </c>
      <c r="D230" s="2" t="s">
        <v>146</v>
      </c>
      <c r="E230" s="2" t="s">
        <v>349</v>
      </c>
      <c r="F230" s="2"/>
      <c r="G230" s="2"/>
      <c r="H230" s="2"/>
      <c r="I230" s="448" t="s">
        <v>492</v>
      </c>
      <c r="J230" s="2" t="s">
        <v>904</v>
      </c>
      <c r="K230" s="2" t="s">
        <v>920</v>
      </c>
      <c r="L230" s="2" t="s">
        <v>2146</v>
      </c>
      <c r="M230" s="2" t="s">
        <v>2146</v>
      </c>
      <c r="N230" s="2" t="s">
        <v>899</v>
      </c>
      <c r="O230" s="272"/>
      <c r="P230" s="2"/>
      <c r="Q230" s="2"/>
    </row>
    <row r="231" spans="1:17" x14ac:dyDescent="0.35">
      <c r="A231" s="34">
        <v>229</v>
      </c>
      <c r="B231" s="2" t="s">
        <v>198</v>
      </c>
      <c r="C231" s="34" t="s">
        <v>2131</v>
      </c>
      <c r="D231" s="2" t="s">
        <v>118</v>
      </c>
      <c r="E231" s="2" t="s">
        <v>347</v>
      </c>
      <c r="F231" s="2"/>
      <c r="G231" s="2"/>
      <c r="H231" s="2"/>
      <c r="I231" s="448" t="s">
        <v>492</v>
      </c>
      <c r="J231" s="2" t="s">
        <v>913</v>
      </c>
      <c r="K231" s="2" t="s">
        <v>936</v>
      </c>
      <c r="L231" s="2" t="s">
        <v>2146</v>
      </c>
      <c r="M231" s="2" t="s">
        <v>2146</v>
      </c>
      <c r="N231" s="2" t="s">
        <v>2024</v>
      </c>
      <c r="O231" s="272"/>
      <c r="P231" s="2"/>
      <c r="Q231" s="2"/>
    </row>
    <row r="232" spans="1:17" x14ac:dyDescent="0.35">
      <c r="A232" s="34">
        <v>230</v>
      </c>
      <c r="B232" s="38" t="s">
        <v>153</v>
      </c>
      <c r="C232" s="34" t="s">
        <v>2131</v>
      </c>
      <c r="D232" s="2" t="s">
        <v>154</v>
      </c>
      <c r="E232" s="2" t="s">
        <v>349</v>
      </c>
      <c r="F232" s="2"/>
      <c r="G232" s="2"/>
      <c r="H232" s="2"/>
      <c r="I232" s="448" t="s">
        <v>492</v>
      </c>
      <c r="J232" s="2" t="s">
        <v>915</v>
      </c>
      <c r="K232" s="2" t="s">
        <v>928</v>
      </c>
      <c r="L232" s="2" t="s">
        <v>2146</v>
      </c>
      <c r="M232" s="2" t="s">
        <v>2146</v>
      </c>
      <c r="N232" s="2" t="s">
        <v>906</v>
      </c>
      <c r="O232" s="272"/>
      <c r="P232" s="2"/>
      <c r="Q232" s="2"/>
    </row>
    <row r="233" spans="1:17" x14ac:dyDescent="0.35">
      <c r="A233" s="34">
        <v>231</v>
      </c>
      <c r="B233" s="38" t="s">
        <v>169</v>
      </c>
      <c r="C233" s="34" t="s">
        <v>2131</v>
      </c>
      <c r="D233" s="2" t="s">
        <v>31</v>
      </c>
      <c r="E233" s="2" t="s">
        <v>349</v>
      </c>
      <c r="F233" s="2"/>
      <c r="G233" s="2"/>
      <c r="H233" s="2"/>
      <c r="I233" s="448" t="s">
        <v>492</v>
      </c>
      <c r="J233" s="2" t="s">
        <v>921</v>
      </c>
      <c r="K233" s="2" t="s">
        <v>924</v>
      </c>
      <c r="L233" s="2" t="s">
        <v>2146</v>
      </c>
      <c r="M233" s="2" t="s">
        <v>2146</v>
      </c>
      <c r="N233" s="2" t="s">
        <v>906</v>
      </c>
      <c r="O233" s="272"/>
      <c r="P233" s="2"/>
      <c r="Q233" s="2"/>
    </row>
    <row r="234" spans="1:17" x14ac:dyDescent="0.35">
      <c r="A234" s="34">
        <v>232</v>
      </c>
      <c r="B234" s="38" t="s">
        <v>187</v>
      </c>
      <c r="C234" s="34" t="s">
        <v>2131</v>
      </c>
      <c r="D234" s="2" t="s">
        <v>40</v>
      </c>
      <c r="E234" s="2" t="s">
        <v>348</v>
      </c>
      <c r="F234" s="2"/>
      <c r="G234" s="2"/>
      <c r="H234" s="2"/>
      <c r="I234" s="448" t="s">
        <v>492</v>
      </c>
      <c r="J234" s="2" t="s">
        <v>937</v>
      </c>
      <c r="K234" s="2" t="s">
        <v>948</v>
      </c>
      <c r="L234" s="2" t="s">
        <v>2145</v>
      </c>
      <c r="M234" s="2" t="s">
        <v>2145</v>
      </c>
      <c r="N234" s="2" t="s">
        <v>906</v>
      </c>
      <c r="O234" s="272"/>
      <c r="P234" s="2"/>
      <c r="Q234" s="2"/>
    </row>
    <row r="235" spans="1:17" x14ac:dyDescent="0.35">
      <c r="A235" s="34">
        <v>233</v>
      </c>
      <c r="B235" s="38" t="s">
        <v>270</v>
      </c>
      <c r="C235" s="38" t="s">
        <v>2133</v>
      </c>
      <c r="D235" s="2" t="s">
        <v>33</v>
      </c>
      <c r="E235" s="2" t="s">
        <v>348</v>
      </c>
      <c r="F235" s="2"/>
      <c r="G235" s="2"/>
      <c r="H235" s="2"/>
      <c r="I235" s="448" t="s">
        <v>492</v>
      </c>
      <c r="J235" s="2" t="s">
        <v>923</v>
      </c>
      <c r="K235" s="2" t="s">
        <v>933</v>
      </c>
      <c r="L235" s="2" t="s">
        <v>2146</v>
      </c>
      <c r="M235" s="2" t="s">
        <v>2145</v>
      </c>
      <c r="N235" s="2" t="s">
        <v>901</v>
      </c>
      <c r="O235" s="272"/>
      <c r="P235" s="2"/>
      <c r="Q235" s="2"/>
    </row>
    <row r="236" spans="1:17" x14ac:dyDescent="0.35">
      <c r="A236" s="34">
        <v>234</v>
      </c>
      <c r="B236" s="38" t="s">
        <v>167</v>
      </c>
      <c r="C236" s="34" t="s">
        <v>2131</v>
      </c>
      <c r="D236" s="2" t="s">
        <v>18</v>
      </c>
      <c r="E236" s="2" t="s">
        <v>347</v>
      </c>
      <c r="F236" s="2"/>
      <c r="G236" s="2"/>
      <c r="H236" s="2"/>
      <c r="I236" s="448" t="s">
        <v>492</v>
      </c>
      <c r="J236" s="2" t="s">
        <v>955</v>
      </c>
      <c r="K236" s="2" t="s">
        <v>954</v>
      </c>
      <c r="L236" s="2" t="s">
        <v>2145</v>
      </c>
      <c r="M236" s="2" t="s">
        <v>2145</v>
      </c>
      <c r="N236" s="2" t="s">
        <v>906</v>
      </c>
      <c r="O236" s="272"/>
      <c r="P236" s="2"/>
      <c r="Q236" s="2"/>
    </row>
    <row r="237" spans="1:17" x14ac:dyDescent="0.35">
      <c r="A237" s="34">
        <v>235</v>
      </c>
      <c r="B237" s="38" t="s">
        <v>268</v>
      </c>
      <c r="C237" s="38" t="s">
        <v>2133</v>
      </c>
      <c r="D237" s="2" t="s">
        <v>31</v>
      </c>
      <c r="E237" s="2" t="s">
        <v>347</v>
      </c>
      <c r="F237" s="2"/>
      <c r="G237" s="2"/>
      <c r="H237" s="2"/>
      <c r="I237" s="448" t="s">
        <v>492</v>
      </c>
      <c r="J237" s="2" t="s">
        <v>942</v>
      </c>
      <c r="K237" s="2" t="s">
        <v>950</v>
      </c>
      <c r="L237" s="2" t="s">
        <v>2145</v>
      </c>
      <c r="M237" s="2" t="s">
        <v>2145</v>
      </c>
      <c r="N237" s="2" t="s">
        <v>901</v>
      </c>
      <c r="O237" s="272"/>
      <c r="P237" s="2"/>
      <c r="Q237" s="2"/>
    </row>
    <row r="238" spans="1:17" x14ac:dyDescent="0.35">
      <c r="A238" s="34">
        <v>236</v>
      </c>
      <c r="B238" s="38" t="s">
        <v>272</v>
      </c>
      <c r="C238" s="38" t="s">
        <v>2133</v>
      </c>
      <c r="D238" s="2" t="s">
        <v>31</v>
      </c>
      <c r="E238" s="2" t="s">
        <v>347</v>
      </c>
      <c r="F238" s="2"/>
      <c r="G238" s="2"/>
      <c r="H238" s="2"/>
      <c r="I238" s="448" t="s">
        <v>492</v>
      </c>
      <c r="J238" s="2" t="s">
        <v>950</v>
      </c>
      <c r="K238" s="2" t="s">
        <v>958</v>
      </c>
      <c r="L238" s="2" t="s">
        <v>2145</v>
      </c>
      <c r="M238" s="2" t="s">
        <v>2144</v>
      </c>
      <c r="N238" s="2" t="s">
        <v>901</v>
      </c>
      <c r="O238" s="272"/>
      <c r="P238" s="2"/>
      <c r="Q238" s="2"/>
    </row>
    <row r="239" spans="1:17" x14ac:dyDescent="0.35">
      <c r="A239" s="34">
        <v>237</v>
      </c>
      <c r="B239" s="2" t="s">
        <v>147</v>
      </c>
      <c r="C239" s="34" t="s">
        <v>2131</v>
      </c>
      <c r="D239" s="2" t="s">
        <v>148</v>
      </c>
      <c r="E239" s="2" t="s">
        <v>347</v>
      </c>
      <c r="F239" s="2"/>
      <c r="G239" s="2"/>
      <c r="H239" s="2"/>
      <c r="I239" s="448" t="s">
        <v>492</v>
      </c>
      <c r="J239" s="2" t="s">
        <v>953</v>
      </c>
      <c r="K239" s="2" t="s">
        <v>959</v>
      </c>
      <c r="L239" s="2" t="s">
        <v>2145</v>
      </c>
      <c r="M239" s="2" t="s">
        <v>2144</v>
      </c>
      <c r="N239" s="2" t="s">
        <v>906</v>
      </c>
      <c r="O239" s="272"/>
      <c r="P239" s="2"/>
      <c r="Q239" s="2"/>
    </row>
    <row r="240" spans="1:17" x14ac:dyDescent="0.35">
      <c r="A240" s="34">
        <v>238</v>
      </c>
      <c r="B240" s="38" t="s">
        <v>155</v>
      </c>
      <c r="C240" s="34" t="s">
        <v>2131</v>
      </c>
      <c r="D240" s="2" t="s">
        <v>156</v>
      </c>
      <c r="E240" s="2" t="s">
        <v>349</v>
      </c>
      <c r="F240" s="2"/>
      <c r="G240" s="2"/>
      <c r="H240" s="2"/>
      <c r="I240" s="448" t="s">
        <v>492</v>
      </c>
      <c r="J240" s="2" t="s">
        <v>959</v>
      </c>
      <c r="K240" s="2" t="s">
        <v>961</v>
      </c>
      <c r="L240" s="2" t="s">
        <v>2144</v>
      </c>
      <c r="M240" s="2" t="s">
        <v>2144</v>
      </c>
      <c r="N240" s="2" t="s">
        <v>906</v>
      </c>
      <c r="O240" s="272"/>
      <c r="P240" s="2"/>
      <c r="Q240" s="2"/>
    </row>
    <row r="241" spans="1:17" x14ac:dyDescent="0.35">
      <c r="A241" s="34">
        <v>239</v>
      </c>
      <c r="B241" s="38" t="s">
        <v>196</v>
      </c>
      <c r="C241" s="34" t="s">
        <v>2131</v>
      </c>
      <c r="D241" s="2" t="s">
        <v>197</v>
      </c>
      <c r="E241" s="2" t="s">
        <v>347</v>
      </c>
      <c r="F241" s="2"/>
      <c r="G241" s="2"/>
      <c r="H241" s="2"/>
      <c r="I241" s="448" t="s">
        <v>492</v>
      </c>
      <c r="J241" s="2" t="s">
        <v>960</v>
      </c>
      <c r="K241" s="2" t="s">
        <v>965</v>
      </c>
      <c r="L241" s="2" t="s">
        <v>2144</v>
      </c>
      <c r="M241" s="2" t="s">
        <v>2144</v>
      </c>
      <c r="N241" s="2" t="s">
        <v>962</v>
      </c>
      <c r="O241" s="272"/>
      <c r="P241" s="2"/>
      <c r="Q241" s="2"/>
    </row>
    <row r="242" spans="1:17" x14ac:dyDescent="0.35">
      <c r="A242" s="34">
        <v>240</v>
      </c>
      <c r="B242" s="38" t="s">
        <v>170</v>
      </c>
      <c r="C242" s="34" t="s">
        <v>2131</v>
      </c>
      <c r="D242" s="2" t="s">
        <v>9</v>
      </c>
      <c r="E242" s="2" t="s">
        <v>349</v>
      </c>
      <c r="F242" s="2"/>
      <c r="G242" s="2"/>
      <c r="H242" s="2"/>
      <c r="I242" s="448" t="s">
        <v>492</v>
      </c>
      <c r="J242" s="2" t="s">
        <v>961</v>
      </c>
      <c r="K242" s="2" t="s">
        <v>964</v>
      </c>
      <c r="L242" s="2" t="s">
        <v>2144</v>
      </c>
      <c r="M242" s="2" t="s">
        <v>2144</v>
      </c>
      <c r="N242" s="2" t="s">
        <v>906</v>
      </c>
      <c r="O242" s="272"/>
      <c r="P242" s="2"/>
      <c r="Q242" s="2"/>
    </row>
    <row r="243" spans="1:17" x14ac:dyDescent="0.35">
      <c r="A243" s="34">
        <v>241</v>
      </c>
      <c r="B243" s="38" t="s">
        <v>171</v>
      </c>
      <c r="C243" s="34" t="s">
        <v>2131</v>
      </c>
      <c r="D243" s="2" t="s">
        <v>40</v>
      </c>
      <c r="E243" s="2" t="s">
        <v>347</v>
      </c>
      <c r="F243" s="2"/>
      <c r="G243" s="2"/>
      <c r="H243" s="2"/>
      <c r="I243" s="448" t="s">
        <v>492</v>
      </c>
      <c r="J243" s="2" t="s">
        <v>963</v>
      </c>
      <c r="K243" s="2" t="s">
        <v>988</v>
      </c>
      <c r="L243" s="2" t="s">
        <v>2144</v>
      </c>
      <c r="M243" s="2" t="s">
        <v>2144</v>
      </c>
      <c r="N243" s="2" t="s">
        <v>906</v>
      </c>
      <c r="O243" s="272"/>
      <c r="P243" s="2"/>
      <c r="Q243" s="2"/>
    </row>
    <row r="244" spans="1:17" x14ac:dyDescent="0.35">
      <c r="A244" s="34">
        <v>242</v>
      </c>
      <c r="B244" s="38" t="s">
        <v>292</v>
      </c>
      <c r="C244" s="38" t="s">
        <v>2133</v>
      </c>
      <c r="D244" s="2" t="s">
        <v>803</v>
      </c>
      <c r="E244" s="2" t="s">
        <v>347</v>
      </c>
      <c r="F244" s="2"/>
      <c r="G244" s="2"/>
      <c r="H244" s="2"/>
      <c r="I244" s="448" t="s">
        <v>492</v>
      </c>
      <c r="J244" s="2" t="s">
        <v>988</v>
      </c>
      <c r="K244" s="2" t="s">
        <v>1986</v>
      </c>
      <c r="L244" s="2" t="s">
        <v>2144</v>
      </c>
      <c r="M244" s="2" t="s">
        <v>2143</v>
      </c>
      <c r="N244" s="2" t="s">
        <v>962</v>
      </c>
      <c r="O244" s="272"/>
      <c r="P244" s="2"/>
      <c r="Q244" s="2"/>
    </row>
    <row r="245" spans="1:17" x14ac:dyDescent="0.35">
      <c r="A245" s="34">
        <v>243</v>
      </c>
      <c r="B245" s="38" t="s">
        <v>213</v>
      </c>
      <c r="C245" s="34" t="s">
        <v>2132</v>
      </c>
      <c r="D245" s="2" t="s">
        <v>40</v>
      </c>
      <c r="E245" s="2" t="s">
        <v>347</v>
      </c>
      <c r="F245" s="2"/>
      <c r="G245" s="2"/>
      <c r="H245" s="2"/>
      <c r="I245" s="448" t="s">
        <v>492</v>
      </c>
      <c r="J245" s="2" t="s">
        <v>966</v>
      </c>
      <c r="K245" s="2" t="s">
        <v>1987</v>
      </c>
      <c r="L245" s="2" t="s">
        <v>2144</v>
      </c>
      <c r="M245" s="2" t="s">
        <v>2143</v>
      </c>
      <c r="N245" s="2" t="s">
        <v>444</v>
      </c>
      <c r="O245" s="272"/>
      <c r="P245" s="2"/>
      <c r="Q245" s="2"/>
    </row>
    <row r="246" spans="1:17" ht="14.25" customHeight="1" x14ac:dyDescent="0.35">
      <c r="A246" s="34">
        <v>244</v>
      </c>
      <c r="B246" s="2" t="s">
        <v>230</v>
      </c>
      <c r="C246" s="34" t="s">
        <v>2132</v>
      </c>
      <c r="D246" s="2" t="s">
        <v>16</v>
      </c>
      <c r="E246" s="2" t="s">
        <v>347</v>
      </c>
      <c r="F246" s="2"/>
      <c r="G246" s="2"/>
      <c r="H246" s="2"/>
      <c r="I246" s="448" t="s">
        <v>492</v>
      </c>
      <c r="J246" s="2" t="s">
        <v>1983</v>
      </c>
      <c r="K246" s="2" t="s">
        <v>2020</v>
      </c>
      <c r="L246" s="2" t="s">
        <v>2143</v>
      </c>
      <c r="M246" s="2" t="s">
        <v>2143</v>
      </c>
      <c r="N246" s="2" t="s">
        <v>991</v>
      </c>
      <c r="O246" s="272"/>
      <c r="P246" s="2"/>
      <c r="Q246" s="2"/>
    </row>
    <row r="247" spans="1:17" x14ac:dyDescent="0.35">
      <c r="A247" s="34">
        <v>245</v>
      </c>
      <c r="B247" s="2" t="s">
        <v>391</v>
      </c>
      <c r="C247" s="38" t="s">
        <v>2133</v>
      </c>
      <c r="D247" s="285" t="s">
        <v>804</v>
      </c>
      <c r="E247" s="2" t="s">
        <v>347</v>
      </c>
      <c r="F247" s="2"/>
      <c r="G247" s="2"/>
      <c r="H247" s="2"/>
      <c r="I247" s="448" t="s">
        <v>492</v>
      </c>
      <c r="J247" s="2" t="s">
        <v>1989</v>
      </c>
      <c r="K247" s="2" t="s">
        <v>2025</v>
      </c>
      <c r="L247" s="2" t="s">
        <v>2143</v>
      </c>
      <c r="M247" s="2" t="s">
        <v>2143</v>
      </c>
      <c r="N247" s="2" t="s">
        <v>962</v>
      </c>
      <c r="O247" s="272"/>
      <c r="P247" s="2"/>
      <c r="Q247" s="2"/>
    </row>
    <row r="248" spans="1:17" ht="15.75" customHeight="1" x14ac:dyDescent="0.35">
      <c r="A248" s="34">
        <v>246</v>
      </c>
      <c r="B248" s="2" t="s">
        <v>267</v>
      </c>
      <c r="C248" s="38" t="s">
        <v>2133</v>
      </c>
      <c r="D248" s="286" t="s">
        <v>28</v>
      </c>
      <c r="E248" s="2" t="s">
        <v>802</v>
      </c>
      <c r="F248" s="2"/>
      <c r="G248" s="2"/>
      <c r="H248" s="2"/>
      <c r="I248" s="448" t="s">
        <v>492</v>
      </c>
      <c r="J248" s="2" t="s">
        <v>1988</v>
      </c>
      <c r="K248" s="2" t="s">
        <v>2031</v>
      </c>
      <c r="L248" s="2" t="s">
        <v>2143</v>
      </c>
      <c r="M248" s="2" t="s">
        <v>2138</v>
      </c>
      <c r="N248" s="2" t="s">
        <v>901</v>
      </c>
      <c r="O248" s="272"/>
      <c r="P248" s="2"/>
      <c r="Q248" s="2"/>
    </row>
    <row r="249" spans="1:17" x14ac:dyDescent="0.35">
      <c r="A249" s="34">
        <v>247</v>
      </c>
      <c r="B249" s="2" t="s">
        <v>226</v>
      </c>
      <c r="C249" s="34" t="s">
        <v>2132</v>
      </c>
      <c r="D249" s="287" t="s">
        <v>35</v>
      </c>
      <c r="E249" s="2" t="s">
        <v>348</v>
      </c>
      <c r="F249" s="2"/>
      <c r="G249" s="2"/>
      <c r="H249" s="2"/>
      <c r="I249" s="448" t="s">
        <v>492</v>
      </c>
      <c r="J249" s="2" t="s">
        <v>1990</v>
      </c>
      <c r="K249" s="39">
        <v>46122</v>
      </c>
      <c r="L249" s="2" t="s">
        <v>2143</v>
      </c>
      <c r="M249" s="2" t="s">
        <v>2138</v>
      </c>
      <c r="N249" s="2" t="s">
        <v>991</v>
      </c>
      <c r="O249" s="272"/>
      <c r="P249" s="2"/>
      <c r="Q249" s="2"/>
    </row>
    <row r="250" spans="1:17" x14ac:dyDescent="0.35">
      <c r="A250" s="34">
        <v>248</v>
      </c>
      <c r="B250" s="2" t="s">
        <v>325</v>
      </c>
      <c r="C250" s="38" t="s">
        <v>2133</v>
      </c>
      <c r="D250" s="286" t="s">
        <v>14</v>
      </c>
      <c r="E250" s="2" t="s">
        <v>347</v>
      </c>
      <c r="F250" s="2"/>
      <c r="G250" s="2"/>
      <c r="H250" s="2"/>
      <c r="I250" s="448" t="s">
        <v>492</v>
      </c>
      <c r="J250" s="2" t="s">
        <v>1990</v>
      </c>
      <c r="K250" s="2" t="s">
        <v>2031</v>
      </c>
      <c r="L250" s="2" t="s">
        <v>2143</v>
      </c>
      <c r="M250" s="2" t="s">
        <v>2138</v>
      </c>
      <c r="N250" s="2" t="s">
        <v>2024</v>
      </c>
      <c r="O250" s="272"/>
      <c r="P250" s="2"/>
      <c r="Q250" s="2"/>
    </row>
    <row r="251" spans="1:17" x14ac:dyDescent="0.35">
      <c r="A251" s="34">
        <v>249</v>
      </c>
      <c r="B251" s="2" t="s">
        <v>217</v>
      </c>
      <c r="C251" s="34" t="s">
        <v>2132</v>
      </c>
      <c r="D251" s="287" t="s">
        <v>31</v>
      </c>
      <c r="E251" s="2" t="s">
        <v>347</v>
      </c>
      <c r="F251" s="2"/>
      <c r="G251" s="2"/>
      <c r="H251" s="2"/>
      <c r="I251" s="448" t="s">
        <v>492</v>
      </c>
      <c r="J251" s="2" t="s">
        <v>1991</v>
      </c>
      <c r="K251" s="2" t="s">
        <v>2026</v>
      </c>
      <c r="L251" s="2" t="s">
        <v>2143</v>
      </c>
      <c r="M251" s="2" t="s">
        <v>2143</v>
      </c>
      <c r="N251" s="2" t="s">
        <v>444</v>
      </c>
      <c r="O251" s="272"/>
      <c r="P251" s="2"/>
      <c r="Q251" s="2"/>
    </row>
    <row r="252" spans="1:17" x14ac:dyDescent="0.35">
      <c r="A252" s="34">
        <v>250</v>
      </c>
      <c r="B252" s="2" t="s">
        <v>218</v>
      </c>
      <c r="C252" s="34" t="s">
        <v>2132</v>
      </c>
      <c r="D252" s="287" t="s">
        <v>33</v>
      </c>
      <c r="E252" s="2" t="s">
        <v>348</v>
      </c>
      <c r="F252" s="2"/>
      <c r="G252" s="2"/>
      <c r="H252" s="2"/>
      <c r="I252" s="448" t="s">
        <v>492</v>
      </c>
      <c r="J252" s="2" t="s">
        <v>2020</v>
      </c>
      <c r="K252" s="39">
        <v>46120</v>
      </c>
      <c r="L252" s="2" t="s">
        <v>2143</v>
      </c>
      <c r="M252" s="2" t="s">
        <v>2138</v>
      </c>
      <c r="N252" s="2" t="s">
        <v>444</v>
      </c>
      <c r="O252" s="272"/>
      <c r="P252" s="2"/>
      <c r="Q252" s="2"/>
    </row>
    <row r="253" spans="1:17" x14ac:dyDescent="0.35">
      <c r="A253" s="34">
        <v>251</v>
      </c>
      <c r="B253" s="38" t="s">
        <v>161</v>
      </c>
      <c r="C253" s="34" t="s">
        <v>2131</v>
      </c>
      <c r="D253" s="286" t="s">
        <v>162</v>
      </c>
      <c r="E253" s="2" t="s">
        <v>347</v>
      </c>
      <c r="F253" s="2"/>
      <c r="G253" s="2"/>
      <c r="H253" s="2"/>
      <c r="I253" s="448" t="s">
        <v>492</v>
      </c>
      <c r="J253" s="2" t="s">
        <v>2021</v>
      </c>
      <c r="K253" s="2" t="s">
        <v>2030</v>
      </c>
      <c r="L253" s="2" t="s">
        <v>2143</v>
      </c>
      <c r="M253" s="2" t="s">
        <v>2138</v>
      </c>
      <c r="N253" s="2" t="s">
        <v>906</v>
      </c>
      <c r="O253" s="272"/>
      <c r="P253" s="2"/>
      <c r="Q253" s="2"/>
    </row>
    <row r="254" spans="1:17" x14ac:dyDescent="0.35">
      <c r="A254" s="34">
        <v>252</v>
      </c>
      <c r="B254" s="2" t="s">
        <v>293</v>
      </c>
      <c r="C254" s="38" t="s">
        <v>2133</v>
      </c>
      <c r="D254" s="294" t="s">
        <v>146</v>
      </c>
      <c r="E254" s="2" t="s">
        <v>347</v>
      </c>
      <c r="F254" s="2"/>
      <c r="G254" s="2"/>
      <c r="H254" s="2"/>
      <c r="I254" s="448" t="s">
        <v>492</v>
      </c>
      <c r="J254" s="2" t="s">
        <v>2026</v>
      </c>
      <c r="K254" s="39">
        <v>46130</v>
      </c>
      <c r="L254" s="2" t="s">
        <v>2138</v>
      </c>
      <c r="M254" s="2" t="s">
        <v>2138</v>
      </c>
      <c r="N254" s="2" t="s">
        <v>962</v>
      </c>
      <c r="O254" s="272"/>
      <c r="P254" s="2"/>
      <c r="Q254" s="2"/>
    </row>
    <row r="255" spans="1:17" x14ac:dyDescent="0.35">
      <c r="A255" s="34">
        <v>253</v>
      </c>
      <c r="B255" s="2" t="s">
        <v>186</v>
      </c>
      <c r="C255" s="34" t="s">
        <v>2131</v>
      </c>
      <c r="D255" s="294" t="s">
        <v>113</v>
      </c>
      <c r="E255" s="2" t="s">
        <v>802</v>
      </c>
      <c r="F255" s="2"/>
      <c r="G255" s="2"/>
      <c r="H255" s="2"/>
      <c r="I255" s="448" t="s">
        <v>492</v>
      </c>
      <c r="J255" s="557" t="s">
        <v>2027</v>
      </c>
      <c r="K255" s="39">
        <v>46121</v>
      </c>
      <c r="L255" s="2" t="s">
        <v>2138</v>
      </c>
      <c r="M255" s="2" t="s">
        <v>2138</v>
      </c>
      <c r="N255" s="2" t="s">
        <v>906</v>
      </c>
      <c r="O255" s="272"/>
      <c r="P255" s="2"/>
      <c r="Q255" s="2"/>
    </row>
    <row r="256" spans="1:17" x14ac:dyDescent="0.35">
      <c r="A256" s="34">
        <v>254</v>
      </c>
      <c r="B256" s="2" t="s">
        <v>265</v>
      </c>
      <c r="C256" s="38" t="s">
        <v>2132</v>
      </c>
      <c r="D256" s="286" t="s">
        <v>33</v>
      </c>
      <c r="E256" s="2" t="s">
        <v>348</v>
      </c>
      <c r="F256" s="2" t="s">
        <v>2266</v>
      </c>
      <c r="G256" s="667">
        <f>657444/100000</f>
        <v>6.5744400000000001</v>
      </c>
      <c r="H256" s="2"/>
      <c r="I256" s="448" t="s">
        <v>492</v>
      </c>
      <c r="J256" s="557">
        <v>46126</v>
      </c>
      <c r="K256" s="39">
        <v>46164</v>
      </c>
      <c r="L256" s="2" t="s">
        <v>2138</v>
      </c>
      <c r="M256" s="2" t="s">
        <v>2154</v>
      </c>
      <c r="N256" s="2" t="s">
        <v>2282</v>
      </c>
      <c r="O256" s="272"/>
      <c r="P256" s="2"/>
      <c r="Q256" s="2"/>
    </row>
    <row r="257" spans="1:17" x14ac:dyDescent="0.35">
      <c r="A257" s="34">
        <v>255</v>
      </c>
      <c r="B257" s="2" t="s">
        <v>27</v>
      </c>
      <c r="C257" s="263" t="s">
        <v>2131</v>
      </c>
      <c r="D257" s="286" t="s">
        <v>28</v>
      </c>
      <c r="E257" s="2" t="s">
        <v>348</v>
      </c>
      <c r="F257" s="2"/>
      <c r="G257" s="2"/>
      <c r="H257" s="2"/>
      <c r="I257" s="448" t="s">
        <v>492</v>
      </c>
      <c r="J257" s="39">
        <v>46122</v>
      </c>
      <c r="K257" s="39">
        <v>46126</v>
      </c>
      <c r="L257" s="2" t="s">
        <v>2138</v>
      </c>
      <c r="M257" s="2" t="s">
        <v>2138</v>
      </c>
      <c r="N257" s="2" t="s">
        <v>906</v>
      </c>
      <c r="O257" s="272"/>
      <c r="P257" s="2"/>
      <c r="Q257" s="2"/>
    </row>
    <row r="258" spans="1:17" x14ac:dyDescent="0.35">
      <c r="A258" s="34">
        <v>256</v>
      </c>
      <c r="B258" s="2" t="s">
        <v>284</v>
      </c>
      <c r="C258" s="38" t="s">
        <v>2133</v>
      </c>
      <c r="D258" s="286" t="s">
        <v>146</v>
      </c>
      <c r="E258" s="2" t="s">
        <v>347</v>
      </c>
      <c r="F258" s="2" t="s">
        <v>2264</v>
      </c>
      <c r="G258" s="668">
        <f>2243525.104/100000</f>
        <v>22.435251039999997</v>
      </c>
      <c r="H258" s="2"/>
      <c r="I258" s="448" t="s">
        <v>492</v>
      </c>
      <c r="J258" s="39">
        <v>46122</v>
      </c>
      <c r="K258" s="39">
        <v>46147</v>
      </c>
      <c r="L258" s="2" t="s">
        <v>2138</v>
      </c>
      <c r="M258" s="2" t="s">
        <v>2154</v>
      </c>
      <c r="N258" s="2" t="s">
        <v>901</v>
      </c>
      <c r="O258" s="272"/>
      <c r="P258" s="2"/>
      <c r="Q258" s="2"/>
    </row>
    <row r="259" spans="1:17" x14ac:dyDescent="0.35">
      <c r="A259" s="34">
        <v>257</v>
      </c>
      <c r="B259" s="2" t="s">
        <v>216</v>
      </c>
      <c r="C259" s="2" t="s">
        <v>2132</v>
      </c>
      <c r="D259" s="286" t="s">
        <v>33</v>
      </c>
      <c r="E259" s="2" t="s">
        <v>347</v>
      </c>
      <c r="F259" s="2"/>
      <c r="G259" s="2"/>
      <c r="H259" s="2"/>
      <c r="I259" s="448" t="s">
        <v>492</v>
      </c>
      <c r="J259" s="39">
        <v>46122</v>
      </c>
      <c r="K259" s="39">
        <v>46137</v>
      </c>
      <c r="L259" s="2" t="s">
        <v>2138</v>
      </c>
      <c r="M259" s="2" t="s">
        <v>2138</v>
      </c>
      <c r="N259" s="2" t="s">
        <v>444</v>
      </c>
      <c r="O259" s="272"/>
      <c r="P259" s="2"/>
      <c r="Q259" s="2"/>
    </row>
    <row r="260" spans="1:17" x14ac:dyDescent="0.35">
      <c r="A260" s="34">
        <v>258</v>
      </c>
      <c r="B260" s="2" t="s">
        <v>243</v>
      </c>
      <c r="C260" s="38" t="s">
        <v>2132</v>
      </c>
      <c r="D260" s="286" t="s">
        <v>31</v>
      </c>
      <c r="E260" s="2" t="s">
        <v>347</v>
      </c>
      <c r="F260" s="2" t="s">
        <v>2264</v>
      </c>
      <c r="G260" s="667">
        <f>637072/100000</f>
        <v>6.3707200000000004</v>
      </c>
      <c r="H260" s="2"/>
      <c r="I260" s="448" t="s">
        <v>492</v>
      </c>
      <c r="J260" s="557">
        <v>46126</v>
      </c>
      <c r="K260" s="39">
        <v>46146</v>
      </c>
      <c r="L260" s="2" t="s">
        <v>2138</v>
      </c>
      <c r="M260" s="2" t="s">
        <v>2154</v>
      </c>
      <c r="N260" s="2" t="s">
        <v>444</v>
      </c>
      <c r="O260" s="272"/>
      <c r="P260" s="2"/>
      <c r="Q260" s="2"/>
    </row>
    <row r="261" spans="1:17" x14ac:dyDescent="0.35">
      <c r="A261" s="34">
        <v>259</v>
      </c>
      <c r="B261" s="40" t="s">
        <v>26</v>
      </c>
      <c r="C261" s="263" t="s">
        <v>2131</v>
      </c>
      <c r="D261" s="286" t="s">
        <v>16</v>
      </c>
      <c r="E261" s="2" t="s">
        <v>347</v>
      </c>
      <c r="F261" s="2"/>
      <c r="G261" s="2"/>
      <c r="H261" s="2"/>
      <c r="I261" s="448" t="s">
        <v>492</v>
      </c>
      <c r="J261" s="39">
        <v>46122</v>
      </c>
      <c r="K261" s="39">
        <v>46128</v>
      </c>
      <c r="L261" s="2" t="s">
        <v>2138</v>
      </c>
      <c r="M261" s="2" t="s">
        <v>2138</v>
      </c>
      <c r="N261" s="2" t="s">
        <v>906</v>
      </c>
      <c r="O261" s="272"/>
      <c r="P261" s="2"/>
      <c r="Q261" s="2"/>
    </row>
    <row r="262" spans="1:17" x14ac:dyDescent="0.35">
      <c r="A262" s="34">
        <v>260</v>
      </c>
      <c r="B262" s="2" t="s">
        <v>264</v>
      </c>
      <c r="C262" s="38" t="s">
        <v>2132</v>
      </c>
      <c r="D262" s="286" t="s">
        <v>31</v>
      </c>
      <c r="E262" s="2" t="s">
        <v>348</v>
      </c>
      <c r="F262" s="2" t="s">
        <v>2265</v>
      </c>
      <c r="G262" s="667">
        <f>549599.371832/100000</f>
        <v>5.4959937183199994</v>
      </c>
      <c r="H262" s="2"/>
      <c r="I262" s="448" t="s">
        <v>492</v>
      </c>
      <c r="J262" s="39">
        <v>46147</v>
      </c>
      <c r="K262" s="39">
        <v>46156</v>
      </c>
      <c r="L262" s="2" t="s">
        <v>2154</v>
      </c>
      <c r="M262" s="2" t="s">
        <v>2154</v>
      </c>
      <c r="N262" s="2" t="s">
        <v>444</v>
      </c>
      <c r="O262" s="272"/>
      <c r="P262" s="2"/>
      <c r="Q262" s="2"/>
    </row>
    <row r="263" spans="1:17" x14ac:dyDescent="0.35">
      <c r="A263" s="2">
        <v>261</v>
      </c>
      <c r="B263" s="40" t="s">
        <v>22</v>
      </c>
      <c r="C263" s="263" t="s">
        <v>2131</v>
      </c>
      <c r="D263" s="2" t="s">
        <v>23</v>
      </c>
      <c r="E263" s="2" t="s">
        <v>347</v>
      </c>
      <c r="F263" s="2"/>
      <c r="G263" s="2"/>
      <c r="H263" s="2"/>
      <c r="I263" s="448" t="s">
        <v>492</v>
      </c>
      <c r="J263" s="39">
        <v>46128</v>
      </c>
      <c r="K263" s="39">
        <v>46132</v>
      </c>
      <c r="L263" s="2" t="s">
        <v>2138</v>
      </c>
      <c r="M263" s="2" t="s">
        <v>2138</v>
      </c>
      <c r="N263" s="2" t="s">
        <v>906</v>
      </c>
      <c r="O263" s="272"/>
      <c r="P263" s="2"/>
      <c r="Q263" s="2"/>
    </row>
    <row r="264" spans="1:17" x14ac:dyDescent="0.35">
      <c r="A264" s="2">
        <v>262</v>
      </c>
      <c r="B264" s="40" t="s">
        <v>24</v>
      </c>
      <c r="C264" s="263" t="s">
        <v>2131</v>
      </c>
      <c r="D264" s="2" t="s">
        <v>16</v>
      </c>
      <c r="E264" s="2" t="s">
        <v>347</v>
      </c>
      <c r="F264" s="2"/>
      <c r="G264" s="2"/>
      <c r="H264" s="2"/>
      <c r="I264" s="448" t="s">
        <v>492</v>
      </c>
      <c r="J264" s="39">
        <v>46128</v>
      </c>
      <c r="K264" s="39">
        <v>46130</v>
      </c>
      <c r="L264" s="2" t="s">
        <v>2138</v>
      </c>
      <c r="M264" s="2" t="s">
        <v>2138</v>
      </c>
      <c r="N264" s="2" t="s">
        <v>906</v>
      </c>
      <c r="O264" s="272"/>
      <c r="P264" s="2"/>
      <c r="Q264" s="2"/>
    </row>
    <row r="265" spans="1:17" x14ac:dyDescent="0.35">
      <c r="A265" s="2">
        <v>263</v>
      </c>
      <c r="B265" s="40" t="s">
        <v>13</v>
      </c>
      <c r="C265" s="263" t="s">
        <v>2131</v>
      </c>
      <c r="D265" s="2" t="s">
        <v>14</v>
      </c>
      <c r="E265" s="2" t="s">
        <v>350</v>
      </c>
      <c r="F265" s="2"/>
      <c r="G265" s="2"/>
      <c r="H265" s="2"/>
      <c r="I265" s="448" t="s">
        <v>492</v>
      </c>
      <c r="J265" s="39">
        <v>46139</v>
      </c>
      <c r="K265" s="39">
        <v>46141</v>
      </c>
      <c r="L265" s="2" t="s">
        <v>2138</v>
      </c>
      <c r="M265" s="2" t="s">
        <v>2138</v>
      </c>
      <c r="N265" s="2" t="s">
        <v>906</v>
      </c>
      <c r="O265" s="272"/>
      <c r="P265" s="2"/>
      <c r="Q265" s="2"/>
    </row>
    <row r="266" spans="1:17" x14ac:dyDescent="0.35">
      <c r="A266" s="2">
        <v>264</v>
      </c>
      <c r="B266" s="264" t="s">
        <v>17</v>
      </c>
      <c r="C266" s="263" t="s">
        <v>2131</v>
      </c>
      <c r="D266" s="2" t="s">
        <v>18</v>
      </c>
      <c r="E266" s="2" t="s">
        <v>350</v>
      </c>
      <c r="F266" s="2" t="s">
        <v>2264</v>
      </c>
      <c r="G266" s="668">
        <f>1693827/100000</f>
        <v>16.938269999999999</v>
      </c>
      <c r="H266" s="2"/>
      <c r="I266" s="448" t="s">
        <v>492</v>
      </c>
      <c r="J266" s="39">
        <v>46143</v>
      </c>
      <c r="K266" s="39">
        <v>46148</v>
      </c>
      <c r="L266" s="2" t="s">
        <v>2154</v>
      </c>
      <c r="M266" s="2" t="s">
        <v>2154</v>
      </c>
      <c r="N266" s="2" t="s">
        <v>906</v>
      </c>
    </row>
    <row r="267" spans="1:17" x14ac:dyDescent="0.35">
      <c r="A267" s="2">
        <v>265</v>
      </c>
      <c r="B267" s="40" t="s">
        <v>25</v>
      </c>
      <c r="C267" s="263" t="s">
        <v>2131</v>
      </c>
      <c r="D267" s="2" t="s">
        <v>23</v>
      </c>
      <c r="E267" s="2" t="s">
        <v>350</v>
      </c>
      <c r="F267" s="2" t="s">
        <v>2264</v>
      </c>
      <c r="G267" s="2">
        <f>623195/100000</f>
        <v>6.2319500000000003</v>
      </c>
      <c r="H267" s="2"/>
      <c r="I267" s="448" t="s">
        <v>492</v>
      </c>
      <c r="J267" s="39">
        <v>46140</v>
      </c>
      <c r="K267" s="39">
        <v>46144</v>
      </c>
      <c r="L267" s="2" t="s">
        <v>2138</v>
      </c>
      <c r="M267" s="2" t="s">
        <v>2154</v>
      </c>
      <c r="N267" s="2" t="s">
        <v>906</v>
      </c>
    </row>
    <row r="268" spans="1:17" x14ac:dyDescent="0.35">
      <c r="A268" s="2">
        <v>266</v>
      </c>
      <c r="B268" s="41" t="s">
        <v>285</v>
      </c>
      <c r="C268" s="38" t="s">
        <v>2133</v>
      </c>
      <c r="D268" s="2" t="s">
        <v>118</v>
      </c>
      <c r="E268" s="2" t="s">
        <v>347</v>
      </c>
      <c r="F268" s="2" t="s">
        <v>2267</v>
      </c>
      <c r="G268" s="668">
        <f>2674564.66/100000</f>
        <v>26.745646600000001</v>
      </c>
      <c r="H268" s="2"/>
      <c r="I268" s="448" t="s">
        <v>421</v>
      </c>
      <c r="J268" s="39">
        <v>46150</v>
      </c>
      <c r="K268" s="39">
        <v>46173</v>
      </c>
      <c r="L268" s="2" t="s">
        <v>2154</v>
      </c>
      <c r="M268" s="2" t="s">
        <v>2154</v>
      </c>
      <c r="N268" s="2" t="s">
        <v>2157</v>
      </c>
    </row>
    <row r="269" spans="1:17" x14ac:dyDescent="0.35">
      <c r="A269" s="2">
        <v>267</v>
      </c>
      <c r="B269" s="264" t="s">
        <v>11</v>
      </c>
      <c r="C269" s="263" t="s">
        <v>2131</v>
      </c>
      <c r="D269" s="2" t="s">
        <v>12</v>
      </c>
      <c r="E269" s="2" t="s">
        <v>347</v>
      </c>
      <c r="F269" s="2" t="s">
        <v>2265</v>
      </c>
      <c r="G269" s="668">
        <f>2674462.69/100000</f>
        <v>26.7446269</v>
      </c>
      <c r="H269" s="2"/>
      <c r="I269" s="448" t="s">
        <v>492</v>
      </c>
      <c r="J269" s="39">
        <v>46149</v>
      </c>
      <c r="K269" s="39">
        <v>46154</v>
      </c>
      <c r="L269" s="2" t="s">
        <v>2154</v>
      </c>
      <c r="M269" s="2" t="s">
        <v>2154</v>
      </c>
      <c r="N269" s="2" t="s">
        <v>2158</v>
      </c>
    </row>
    <row r="270" spans="1:17" ht="84.65" customHeight="1" x14ac:dyDescent="0.35">
      <c r="A270" s="2">
        <v>268</v>
      </c>
      <c r="B270" s="38" t="s">
        <v>10</v>
      </c>
      <c r="C270" s="263" t="s">
        <v>2131</v>
      </c>
      <c r="D270" s="2" t="s">
        <v>9</v>
      </c>
      <c r="E270" s="2" t="s">
        <v>347</v>
      </c>
      <c r="F270" s="2" t="s">
        <v>2266</v>
      </c>
      <c r="G270" s="668">
        <f>(3288171.571/100000)-1.2</f>
        <v>31.681715710000002</v>
      </c>
      <c r="H270" s="2"/>
      <c r="I270" s="448" t="s">
        <v>492</v>
      </c>
      <c r="J270" s="39">
        <v>46155</v>
      </c>
      <c r="K270" s="39">
        <v>46161</v>
      </c>
      <c r="L270" s="2" t="s">
        <v>2154</v>
      </c>
      <c r="M270" s="2" t="s">
        <v>2154</v>
      </c>
      <c r="N270" s="2" t="s">
        <v>2158</v>
      </c>
    </row>
    <row r="271" spans="1:17" x14ac:dyDescent="0.35">
      <c r="A271" s="2">
        <v>269</v>
      </c>
      <c r="B271" s="41" t="s">
        <v>315</v>
      </c>
      <c r="C271" s="38" t="s">
        <v>2133</v>
      </c>
      <c r="D271" s="286" t="s">
        <v>148</v>
      </c>
      <c r="E271" s="2" t="s">
        <v>347</v>
      </c>
      <c r="F271" s="2" t="s">
        <v>2267</v>
      </c>
      <c r="G271" s="668">
        <f>1931312.149/100000</f>
        <v>19.31312149</v>
      </c>
      <c r="H271" s="2"/>
      <c r="I271" s="448" t="s">
        <v>492</v>
      </c>
      <c r="J271" s="39">
        <v>46154</v>
      </c>
      <c r="K271" s="39">
        <v>46180</v>
      </c>
      <c r="L271" s="2" t="s">
        <v>2154</v>
      </c>
      <c r="M271" s="2" t="s">
        <v>2273</v>
      </c>
      <c r="N271" s="2" t="s">
        <v>962</v>
      </c>
    </row>
    <row r="272" spans="1:17" x14ac:dyDescent="0.35">
      <c r="A272" s="2">
        <v>270</v>
      </c>
      <c r="B272" s="41" t="s">
        <v>255</v>
      </c>
      <c r="C272" s="38" t="s">
        <v>2132</v>
      </c>
      <c r="D272" s="286" t="s">
        <v>182</v>
      </c>
      <c r="E272" s="2" t="s">
        <v>347</v>
      </c>
      <c r="F272" s="2" t="s">
        <v>2267</v>
      </c>
      <c r="G272" s="669">
        <f>1727099.695/100000</f>
        <v>17.270996950000001</v>
      </c>
      <c r="H272" s="2"/>
      <c r="I272" s="448" t="s">
        <v>492</v>
      </c>
      <c r="J272" s="39">
        <v>46158</v>
      </c>
      <c r="K272" s="39">
        <v>46179</v>
      </c>
      <c r="L272" s="2" t="s">
        <v>2154</v>
      </c>
      <c r="M272" s="2" t="s">
        <v>2273</v>
      </c>
      <c r="N272" s="2" t="s">
        <v>991</v>
      </c>
    </row>
    <row r="273" spans="1:14" x14ac:dyDescent="0.35">
      <c r="A273" s="2">
        <v>271</v>
      </c>
      <c r="B273" s="38" t="s">
        <v>15</v>
      </c>
      <c r="C273" s="263" t="s">
        <v>2131</v>
      </c>
      <c r="D273" s="286" t="s">
        <v>16</v>
      </c>
      <c r="E273" s="2" t="s">
        <v>347</v>
      </c>
      <c r="F273" s="2" t="s">
        <v>2266</v>
      </c>
      <c r="G273" s="668">
        <f>723717/100000</f>
        <v>7.2371699999999999</v>
      </c>
      <c r="H273" s="2"/>
      <c r="I273" s="448" t="s">
        <v>492</v>
      </c>
      <c r="J273" s="39">
        <v>46158</v>
      </c>
      <c r="K273" s="39">
        <v>46162</v>
      </c>
      <c r="L273" s="2" t="s">
        <v>2154</v>
      </c>
      <c r="M273" s="2" t="s">
        <v>2154</v>
      </c>
      <c r="N273" s="2" t="s">
        <v>2158</v>
      </c>
    </row>
    <row r="274" spans="1:14" x14ac:dyDescent="0.35">
      <c r="A274" s="2">
        <v>272</v>
      </c>
      <c r="B274" s="41" t="s">
        <v>260</v>
      </c>
      <c r="C274" s="38" t="s">
        <v>2132</v>
      </c>
      <c r="D274" s="286" t="s">
        <v>33</v>
      </c>
      <c r="E274" s="2"/>
      <c r="F274" s="2"/>
      <c r="G274" s="2"/>
      <c r="H274" s="2"/>
      <c r="I274" s="454" t="s">
        <v>424</v>
      </c>
      <c r="J274" s="39">
        <v>46188</v>
      </c>
      <c r="K274" s="39">
        <v>46193</v>
      </c>
      <c r="L274" s="2" t="s">
        <v>2275</v>
      </c>
      <c r="M274" s="2" t="s">
        <v>2273</v>
      </c>
      <c r="N274" s="2" t="s">
        <v>2285</v>
      </c>
    </row>
    <row r="275" spans="1:14" x14ac:dyDescent="0.35">
      <c r="A275" s="2">
        <v>273</v>
      </c>
      <c r="B275" s="264" t="s">
        <v>8</v>
      </c>
      <c r="C275" s="263" t="s">
        <v>2131</v>
      </c>
      <c r="D275" s="2" t="s">
        <v>9</v>
      </c>
      <c r="E275" s="2" t="s">
        <v>347</v>
      </c>
      <c r="F275" s="2"/>
      <c r="G275" s="2"/>
      <c r="H275" s="2"/>
      <c r="I275" s="448" t="s">
        <v>492</v>
      </c>
      <c r="J275" s="39">
        <v>46179</v>
      </c>
      <c r="K275" s="39">
        <v>46188</v>
      </c>
      <c r="L275" s="2" t="s">
        <v>2275</v>
      </c>
      <c r="M275" s="2" t="s">
        <v>2273</v>
      </c>
      <c r="N275" s="2" t="s">
        <v>2158</v>
      </c>
    </row>
    <row r="276" spans="1:14" x14ac:dyDescent="0.35">
      <c r="A276" s="2">
        <v>274</v>
      </c>
      <c r="B276" s="2" t="s">
        <v>313</v>
      </c>
      <c r="C276" s="38" t="s">
        <v>2133</v>
      </c>
      <c r="D276" s="2" t="s">
        <v>314</v>
      </c>
      <c r="E276" s="2" t="s">
        <v>347</v>
      </c>
      <c r="F276" s="2"/>
      <c r="G276" s="2"/>
      <c r="H276" s="2"/>
      <c r="I276" s="448" t="s">
        <v>492</v>
      </c>
      <c r="J276" s="39">
        <v>46180</v>
      </c>
      <c r="K276" s="39">
        <v>46187</v>
      </c>
      <c r="L276" s="2" t="s">
        <v>2275</v>
      </c>
      <c r="M276" s="2" t="s">
        <v>2273</v>
      </c>
      <c r="N276" s="2" t="s">
        <v>2282</v>
      </c>
    </row>
    <row r="277" spans="1:14" x14ac:dyDescent="0.35">
      <c r="A277" s="2">
        <v>275</v>
      </c>
      <c r="B277" s="2" t="s">
        <v>309</v>
      </c>
      <c r="C277" s="38" t="s">
        <v>2133</v>
      </c>
      <c r="D277" s="2" t="s">
        <v>20</v>
      </c>
      <c r="E277" s="2"/>
      <c r="F277" s="2"/>
      <c r="G277" s="2"/>
      <c r="H277" s="2"/>
      <c r="I277" s="440" t="s">
        <v>2287</v>
      </c>
      <c r="J277" s="39">
        <v>46188</v>
      </c>
      <c r="K277" s="39"/>
      <c r="L277" s="2" t="s">
        <v>2275</v>
      </c>
      <c r="M277" s="2"/>
      <c r="N277" s="2" t="s">
        <v>2282</v>
      </c>
    </row>
    <row r="278" spans="1:14" x14ac:dyDescent="0.35">
      <c r="A278" s="2">
        <v>276</v>
      </c>
      <c r="B278" s="2" t="s">
        <v>310</v>
      </c>
      <c r="C278" s="38" t="s">
        <v>2133</v>
      </c>
      <c r="D278" s="2" t="s">
        <v>2013</v>
      </c>
      <c r="E278" s="2"/>
      <c r="F278" s="2"/>
      <c r="G278" s="2"/>
      <c r="H278" s="2"/>
      <c r="I278" s="440" t="s">
        <v>2280</v>
      </c>
      <c r="J278" s="39">
        <v>46188</v>
      </c>
      <c r="K278" s="2"/>
      <c r="L278" s="2" t="s">
        <v>2275</v>
      </c>
      <c r="M278" s="2"/>
      <c r="N278" s="2" t="s">
        <v>2292</v>
      </c>
    </row>
    <row r="279" spans="1:14" x14ac:dyDescent="0.35">
      <c r="A279" s="2">
        <v>277</v>
      </c>
      <c r="B279" s="2" t="s">
        <v>311</v>
      </c>
      <c r="C279" s="38" t="s">
        <v>2133</v>
      </c>
      <c r="D279" s="2" t="s">
        <v>156</v>
      </c>
      <c r="E279" s="2"/>
      <c r="F279" s="2"/>
      <c r="G279" s="2"/>
      <c r="H279" s="2"/>
      <c r="I279" s="440" t="s">
        <v>2288</v>
      </c>
      <c r="J279" s="39"/>
      <c r="K279" s="2"/>
      <c r="L279" s="2"/>
      <c r="M279" s="2"/>
      <c r="N279" s="2"/>
    </row>
  </sheetData>
  <autoFilter ref="A2:Q276" xr:uid="{00000000-0009-0000-0000-000002000000}"/>
  <phoneticPr fontId="33" type="noConversion"/>
  <conditionalFormatting sqref="G1:H1">
    <cfRule type="duplicateValues" dxfId="78" priority="4"/>
    <cfRule type="duplicateValues" dxfId="77" priority="5"/>
  </conditionalFormatting>
  <conditionalFormatting sqref="G1:H1">
    <cfRule type="duplicateValues" dxfId="76" priority="2"/>
    <cfRule type="duplicateValues" dxfId="75" priority="3"/>
  </conditionalFormatting>
  <conditionalFormatting sqref="G1:H1">
    <cfRule type="duplicateValues" dxfId="74" priority="6"/>
    <cfRule type="duplicateValues" dxfId="73" priority="7"/>
  </conditionalFormatting>
  <conditionalFormatting sqref="B1:B1048576">
    <cfRule type="duplicateValues" dxfId="72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2"/>
  <sheetViews>
    <sheetView zoomScale="85" zoomScaleNormal="85" workbookViewId="0">
      <pane xSplit="8" ySplit="2" topLeftCell="I200" activePane="bottomRight" state="frozen"/>
      <selection pane="topRight" activeCell="D1" sqref="D1"/>
      <selection pane="bottomLeft" activeCell="A3" sqref="A3"/>
      <selection pane="bottomRight" activeCell="H218" sqref="H218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9.1796875" style="6" hidden="1" customWidth="1"/>
    <col min="5" max="6" width="10.453125" style="6" hidden="1" customWidth="1"/>
    <col min="7" max="7" width="14.36328125" style="6" bestFit="1" customWidth="1"/>
    <col min="8" max="8" width="20.1796875" bestFit="1" customWidth="1"/>
    <col min="9" max="9" width="15.1796875" style="490" customWidth="1"/>
    <col min="10" max="12" width="15.1796875" style="6" customWidth="1"/>
    <col min="13" max="13" width="29.1796875" style="6" bestFit="1" customWidth="1"/>
    <col min="14" max="14" width="15.1796875" style="6" hidden="1" customWidth="1"/>
    <col min="15" max="16384" width="9.1796875" style="6"/>
  </cols>
  <sheetData>
    <row r="1" spans="1:14" ht="22.5" customHeight="1" x14ac:dyDescent="0.35">
      <c r="A1" s="445" t="s">
        <v>682</v>
      </c>
      <c r="B1" s="677"/>
      <c r="C1" s="677"/>
      <c r="D1" s="2"/>
      <c r="E1" s="677">
        <f>SUBTOTAL(9,E3:E211)</f>
        <v>141.49611320000005</v>
      </c>
      <c r="F1" s="677">
        <f>SUBTOTAL(9,F3:F211)</f>
        <v>3255.9121999999993</v>
      </c>
      <c r="G1" s="677"/>
      <c r="H1" s="684"/>
      <c r="I1" s="687"/>
      <c r="J1" s="677"/>
      <c r="K1" s="677"/>
      <c r="L1" s="677"/>
      <c r="M1" s="677"/>
      <c r="N1" s="494"/>
    </row>
    <row r="2" spans="1:14" x14ac:dyDescent="0.35">
      <c r="A2" s="33" t="s">
        <v>411</v>
      </c>
      <c r="B2" s="2" t="s">
        <v>412</v>
      </c>
      <c r="C2" s="2" t="s">
        <v>5</v>
      </c>
      <c r="D2" s="2" t="s">
        <v>2272</v>
      </c>
      <c r="E2" s="2" t="s">
        <v>2262</v>
      </c>
      <c r="F2" s="2" t="s">
        <v>2248</v>
      </c>
      <c r="G2" s="493" t="s">
        <v>2153</v>
      </c>
      <c r="H2" s="453" t="s">
        <v>415</v>
      </c>
      <c r="I2" s="491" t="s">
        <v>416</v>
      </c>
      <c r="J2" s="33" t="s">
        <v>417</v>
      </c>
      <c r="K2" s="446" t="s">
        <v>2151</v>
      </c>
      <c r="L2" s="446" t="s">
        <v>2150</v>
      </c>
      <c r="M2" s="33" t="s">
        <v>2155</v>
      </c>
      <c r="N2" s="495" t="s">
        <v>418</v>
      </c>
    </row>
    <row r="3" spans="1:14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2"/>
      <c r="E3" s="38"/>
      <c r="F3" s="38"/>
      <c r="G3" s="38" t="s">
        <v>2131</v>
      </c>
      <c r="H3" s="454" t="s">
        <v>424</v>
      </c>
      <c r="I3" s="39" t="s">
        <v>639</v>
      </c>
      <c r="J3" s="442">
        <v>45903</v>
      </c>
      <c r="K3" s="442" t="s">
        <v>2249</v>
      </c>
      <c r="L3" s="442" t="s">
        <v>2250</v>
      </c>
      <c r="M3" s="2" t="s">
        <v>644</v>
      </c>
      <c r="N3" s="272"/>
    </row>
    <row r="4" spans="1:14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2"/>
      <c r="E4" s="38"/>
      <c r="F4" s="38"/>
      <c r="G4" s="38" t="s">
        <v>2131</v>
      </c>
      <c r="H4" s="454" t="s">
        <v>424</v>
      </c>
      <c r="I4" s="39" t="s">
        <v>639</v>
      </c>
      <c r="J4" s="2" t="s">
        <v>753</v>
      </c>
      <c r="K4" s="442" t="s">
        <v>2249</v>
      </c>
      <c r="L4" s="442" t="s">
        <v>2250</v>
      </c>
      <c r="M4" s="2" t="s">
        <v>640</v>
      </c>
      <c r="N4" s="272"/>
    </row>
    <row r="5" spans="1:14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2"/>
      <c r="E5" s="38"/>
      <c r="F5" s="38"/>
      <c r="G5" s="38" t="s">
        <v>2131</v>
      </c>
      <c r="H5" s="454" t="s">
        <v>424</v>
      </c>
      <c r="I5" s="39" t="s">
        <v>642</v>
      </c>
      <c r="J5" s="2" t="s">
        <v>755</v>
      </c>
      <c r="K5" s="2" t="s">
        <v>2249</v>
      </c>
      <c r="L5" s="2" t="s">
        <v>2250</v>
      </c>
      <c r="M5" s="2" t="s">
        <v>2278</v>
      </c>
      <c r="N5" s="272"/>
    </row>
    <row r="6" spans="1:14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2"/>
      <c r="E6" s="38"/>
      <c r="F6" s="38"/>
      <c r="G6" s="38" t="s">
        <v>2131</v>
      </c>
      <c r="H6" s="454" t="s">
        <v>424</v>
      </c>
      <c r="I6" s="39" t="s">
        <v>642</v>
      </c>
      <c r="J6" s="2" t="s">
        <v>760</v>
      </c>
      <c r="K6" s="2" t="s">
        <v>2249</v>
      </c>
      <c r="L6" s="2" t="s">
        <v>2250</v>
      </c>
      <c r="M6" s="2" t="s">
        <v>641</v>
      </c>
      <c r="N6" s="272"/>
    </row>
    <row r="7" spans="1:14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2"/>
      <c r="E7" s="38"/>
      <c r="F7" s="38"/>
      <c r="G7" s="38" t="s">
        <v>2131</v>
      </c>
      <c r="H7" s="454" t="s">
        <v>424</v>
      </c>
      <c r="I7" s="39" t="s">
        <v>748</v>
      </c>
      <c r="J7" s="2" t="s">
        <v>764</v>
      </c>
      <c r="K7" s="2" t="s">
        <v>2250</v>
      </c>
      <c r="L7" s="2" t="s">
        <v>2250</v>
      </c>
      <c r="M7" s="2" t="s">
        <v>684</v>
      </c>
      <c r="N7" s="272"/>
    </row>
    <row r="8" spans="1:14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2"/>
      <c r="E8" s="38"/>
      <c r="F8" s="38"/>
      <c r="G8" s="38" t="s">
        <v>2131</v>
      </c>
      <c r="H8" s="454" t="s">
        <v>424</v>
      </c>
      <c r="I8" s="39" t="s">
        <v>748</v>
      </c>
      <c r="J8" s="2" t="s">
        <v>752</v>
      </c>
      <c r="K8" s="2" t="s">
        <v>2250</v>
      </c>
      <c r="L8" s="2" t="s">
        <v>2250</v>
      </c>
      <c r="M8" s="2" t="s">
        <v>756</v>
      </c>
      <c r="N8" s="272"/>
    </row>
    <row r="9" spans="1:14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2"/>
      <c r="E9" s="38"/>
      <c r="F9" s="38"/>
      <c r="G9" s="38" t="s">
        <v>2131</v>
      </c>
      <c r="H9" s="454" t="s">
        <v>424</v>
      </c>
      <c r="I9" s="39" t="s">
        <v>749</v>
      </c>
      <c r="J9" s="2" t="s">
        <v>683</v>
      </c>
      <c r="K9" s="2" t="s">
        <v>2250</v>
      </c>
      <c r="L9" s="2" t="s">
        <v>2250</v>
      </c>
      <c r="M9" s="2" t="s">
        <v>644</v>
      </c>
      <c r="N9" s="272"/>
    </row>
    <row r="10" spans="1:14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2"/>
      <c r="E10" s="38"/>
      <c r="F10" s="38"/>
      <c r="G10" s="38" t="s">
        <v>2131</v>
      </c>
      <c r="H10" s="454" t="s">
        <v>424</v>
      </c>
      <c r="I10" s="39" t="s">
        <v>749</v>
      </c>
      <c r="J10" s="2" t="s">
        <v>752</v>
      </c>
      <c r="K10" s="2" t="s">
        <v>2250</v>
      </c>
      <c r="L10" s="2" t="s">
        <v>2250</v>
      </c>
      <c r="M10" s="2" t="s">
        <v>645</v>
      </c>
      <c r="N10" s="272"/>
    </row>
    <row r="11" spans="1:14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2"/>
      <c r="E11" s="38"/>
      <c r="F11" s="38"/>
      <c r="G11" s="38" t="s">
        <v>2131</v>
      </c>
      <c r="H11" s="454" t="s">
        <v>424</v>
      </c>
      <c r="I11" s="39" t="s">
        <v>642</v>
      </c>
      <c r="J11" s="39" t="s">
        <v>683</v>
      </c>
      <c r="K11" s="2" t="s">
        <v>2249</v>
      </c>
      <c r="L11" s="2" t="s">
        <v>2250</v>
      </c>
      <c r="M11" s="2" t="s">
        <v>2278</v>
      </c>
      <c r="N11" s="272"/>
    </row>
    <row r="12" spans="1:14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2"/>
      <c r="E12" s="38"/>
      <c r="F12" s="38"/>
      <c r="G12" s="38" t="s">
        <v>2131</v>
      </c>
      <c r="H12" s="454" t="s">
        <v>424</v>
      </c>
      <c r="I12" s="39" t="s">
        <v>750</v>
      </c>
      <c r="J12" s="2" t="s">
        <v>768</v>
      </c>
      <c r="K12" s="2" t="s">
        <v>2250</v>
      </c>
      <c r="L12" s="2" t="s">
        <v>2250</v>
      </c>
      <c r="M12" s="2" t="s">
        <v>640</v>
      </c>
      <c r="N12" s="272"/>
    </row>
    <row r="13" spans="1:14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2"/>
      <c r="E13" s="38"/>
      <c r="F13" s="38"/>
      <c r="G13" s="38" t="s">
        <v>2131</v>
      </c>
      <c r="H13" s="454" t="s">
        <v>424</v>
      </c>
      <c r="I13" s="39" t="s">
        <v>751</v>
      </c>
      <c r="J13" s="39" t="s">
        <v>761</v>
      </c>
      <c r="K13" s="2" t="s">
        <v>2250</v>
      </c>
      <c r="L13" s="2" t="s">
        <v>2250</v>
      </c>
      <c r="M13" s="2" t="s">
        <v>756</v>
      </c>
      <c r="N13" s="272"/>
    </row>
    <row r="14" spans="1:14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2"/>
      <c r="E14" s="38"/>
      <c r="F14" s="38"/>
      <c r="G14" s="38" t="s">
        <v>2131</v>
      </c>
      <c r="H14" s="454" t="s">
        <v>424</v>
      </c>
      <c r="I14" s="39" t="s">
        <v>750</v>
      </c>
      <c r="J14" s="39" t="s">
        <v>761</v>
      </c>
      <c r="K14" s="2" t="s">
        <v>2250</v>
      </c>
      <c r="L14" s="2" t="s">
        <v>2250</v>
      </c>
      <c r="M14" s="2" t="s">
        <v>644</v>
      </c>
      <c r="N14" s="272"/>
    </row>
    <row r="15" spans="1:14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2"/>
      <c r="E15" s="38"/>
      <c r="F15" s="38"/>
      <c r="G15" s="38" t="s">
        <v>2131</v>
      </c>
      <c r="H15" s="454" t="s">
        <v>424</v>
      </c>
      <c r="I15" s="39" t="s">
        <v>683</v>
      </c>
      <c r="J15" s="2" t="s">
        <v>762</v>
      </c>
      <c r="K15" s="2" t="s">
        <v>2250</v>
      </c>
      <c r="L15" s="2" t="s">
        <v>2250</v>
      </c>
      <c r="M15" s="2" t="s">
        <v>2278</v>
      </c>
      <c r="N15" s="272"/>
    </row>
    <row r="16" spans="1:14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2"/>
      <c r="E16" s="38"/>
      <c r="F16" s="38"/>
      <c r="G16" s="38" t="s">
        <v>2131</v>
      </c>
      <c r="H16" s="454" t="s">
        <v>424</v>
      </c>
      <c r="I16" s="39" t="s">
        <v>753</v>
      </c>
      <c r="J16" s="2" t="s">
        <v>764</v>
      </c>
      <c r="K16" s="2" t="s">
        <v>2250</v>
      </c>
      <c r="L16" s="2" t="s">
        <v>2250</v>
      </c>
      <c r="M16" s="2" t="s">
        <v>645</v>
      </c>
      <c r="N16" s="272"/>
    </row>
    <row r="17" spans="1:14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2"/>
      <c r="E17" s="38"/>
      <c r="F17" s="38"/>
      <c r="G17" s="38" t="s">
        <v>2131</v>
      </c>
      <c r="H17" s="454" t="s">
        <v>424</v>
      </c>
      <c r="I17" s="39" t="s">
        <v>766</v>
      </c>
      <c r="J17" s="2" t="s">
        <v>776</v>
      </c>
      <c r="K17" s="2" t="s">
        <v>2250</v>
      </c>
      <c r="L17" s="2" t="s">
        <v>2251</v>
      </c>
      <c r="M17" s="2" t="s">
        <v>684</v>
      </c>
      <c r="N17" s="272"/>
    </row>
    <row r="18" spans="1:14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2"/>
      <c r="E18" s="38"/>
      <c r="F18" s="38"/>
      <c r="G18" s="38" t="s">
        <v>2131</v>
      </c>
      <c r="H18" s="454" t="s">
        <v>424</v>
      </c>
      <c r="I18" s="39" t="s">
        <v>754</v>
      </c>
      <c r="J18" s="2" t="s">
        <v>765</v>
      </c>
      <c r="K18" s="2" t="s">
        <v>2250</v>
      </c>
      <c r="L18" s="2" t="s">
        <v>2250</v>
      </c>
      <c r="M18" s="2" t="s">
        <v>757</v>
      </c>
      <c r="N18" s="272"/>
    </row>
    <row r="19" spans="1:14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2"/>
      <c r="E19" s="38"/>
      <c r="F19" s="38"/>
      <c r="G19" s="38" t="s">
        <v>2131</v>
      </c>
      <c r="H19" s="454" t="s">
        <v>424</v>
      </c>
      <c r="I19" s="39" t="s">
        <v>761</v>
      </c>
      <c r="J19" s="2" t="s">
        <v>766</v>
      </c>
      <c r="K19" s="2" t="s">
        <v>2250</v>
      </c>
      <c r="L19" s="2" t="s">
        <v>2250</v>
      </c>
      <c r="M19" s="2" t="s">
        <v>644</v>
      </c>
      <c r="N19" s="272"/>
    </row>
    <row r="20" spans="1:14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2"/>
      <c r="E20" s="38"/>
      <c r="F20" s="38"/>
      <c r="G20" s="38" t="s">
        <v>2131</v>
      </c>
      <c r="H20" s="454" t="s">
        <v>424</v>
      </c>
      <c r="I20" s="39" t="s">
        <v>762</v>
      </c>
      <c r="J20" s="2" t="s">
        <v>767</v>
      </c>
      <c r="K20" s="2" t="s">
        <v>2250</v>
      </c>
      <c r="L20" s="2" t="s">
        <v>2250</v>
      </c>
      <c r="M20" s="2" t="s">
        <v>2278</v>
      </c>
      <c r="N20" s="272"/>
    </row>
    <row r="21" spans="1:14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2"/>
      <c r="E21" s="38"/>
      <c r="F21" s="38"/>
      <c r="G21" s="38" t="s">
        <v>2131</v>
      </c>
      <c r="H21" s="454" t="s">
        <v>424</v>
      </c>
      <c r="I21" s="39" t="s">
        <v>764</v>
      </c>
      <c r="J21" s="2" t="s">
        <v>769</v>
      </c>
      <c r="K21" s="2" t="s">
        <v>2250</v>
      </c>
      <c r="L21" s="2" t="s">
        <v>2250</v>
      </c>
      <c r="M21" s="2" t="s">
        <v>645</v>
      </c>
      <c r="N21" s="272"/>
    </row>
    <row r="22" spans="1:14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2"/>
      <c r="E22" s="38"/>
      <c r="F22" s="38"/>
      <c r="G22" s="38" t="s">
        <v>2131</v>
      </c>
      <c r="H22" s="454" t="s">
        <v>424</v>
      </c>
      <c r="I22" s="39" t="s">
        <v>765</v>
      </c>
      <c r="J22" s="2" t="s">
        <v>770</v>
      </c>
      <c r="K22" s="2" t="s">
        <v>2250</v>
      </c>
      <c r="L22" s="2" t="s">
        <v>2250</v>
      </c>
      <c r="M22" s="2" t="s">
        <v>756</v>
      </c>
      <c r="N22" s="272"/>
    </row>
    <row r="23" spans="1:14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2"/>
      <c r="E23" s="38"/>
      <c r="F23" s="38"/>
      <c r="G23" s="38" t="s">
        <v>2131</v>
      </c>
      <c r="H23" s="454" t="s">
        <v>424</v>
      </c>
      <c r="I23" s="39" t="s">
        <v>771</v>
      </c>
      <c r="J23" s="2" t="s">
        <v>773</v>
      </c>
      <c r="K23" s="2" t="s">
        <v>2251</v>
      </c>
      <c r="L23" s="2" t="s">
        <v>2251</v>
      </c>
      <c r="M23" s="2" t="s">
        <v>644</v>
      </c>
      <c r="N23" s="272"/>
    </row>
    <row r="24" spans="1:14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2"/>
      <c r="E24" s="38"/>
      <c r="F24" s="38"/>
      <c r="G24" s="38" t="s">
        <v>2131</v>
      </c>
      <c r="H24" s="454" t="s">
        <v>424</v>
      </c>
      <c r="I24" s="39" t="s">
        <v>768</v>
      </c>
      <c r="J24" s="2" t="s">
        <v>772</v>
      </c>
      <c r="K24" s="2" t="s">
        <v>2250</v>
      </c>
      <c r="L24" s="2" t="s">
        <v>2251</v>
      </c>
      <c r="M24" s="2" t="s">
        <v>2278</v>
      </c>
      <c r="N24" s="272"/>
    </row>
    <row r="25" spans="1:14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2"/>
      <c r="E25" s="38"/>
      <c r="F25" s="38"/>
      <c r="G25" s="38" t="s">
        <v>2131</v>
      </c>
      <c r="H25" s="454" t="s">
        <v>424</v>
      </c>
      <c r="I25" s="39" t="s">
        <v>771</v>
      </c>
      <c r="J25" s="2" t="s">
        <v>780</v>
      </c>
      <c r="K25" s="2" t="s">
        <v>2251</v>
      </c>
      <c r="L25" s="2" t="s">
        <v>2251</v>
      </c>
      <c r="M25" s="2" t="s">
        <v>640</v>
      </c>
      <c r="N25" s="272"/>
    </row>
    <row r="26" spans="1:14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2"/>
      <c r="E26" s="38"/>
      <c r="F26" s="38"/>
      <c r="G26" s="38" t="s">
        <v>2131</v>
      </c>
      <c r="H26" s="454" t="s">
        <v>424</v>
      </c>
      <c r="I26" s="39" t="s">
        <v>766</v>
      </c>
      <c r="J26" s="2" t="s">
        <v>771</v>
      </c>
      <c r="K26" s="2" t="s">
        <v>2250</v>
      </c>
      <c r="L26" s="2" t="s">
        <v>2251</v>
      </c>
      <c r="M26" s="2" t="s">
        <v>644</v>
      </c>
      <c r="N26" s="272"/>
    </row>
    <row r="27" spans="1:14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2"/>
      <c r="E27" s="38"/>
      <c r="F27" s="38"/>
      <c r="G27" s="38" t="s">
        <v>2131</v>
      </c>
      <c r="H27" s="454" t="s">
        <v>424</v>
      </c>
      <c r="I27" s="39" t="s">
        <v>771</v>
      </c>
      <c r="J27" s="2" t="s">
        <v>773</v>
      </c>
      <c r="K27" s="2" t="s">
        <v>2251</v>
      </c>
      <c r="L27" s="2" t="s">
        <v>2251</v>
      </c>
      <c r="M27" s="2" t="s">
        <v>645</v>
      </c>
      <c r="N27" s="272"/>
    </row>
    <row r="28" spans="1:14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2"/>
      <c r="E28" s="38"/>
      <c r="F28" s="38"/>
      <c r="G28" s="38" t="s">
        <v>2131</v>
      </c>
      <c r="H28" s="454" t="s">
        <v>424</v>
      </c>
      <c r="I28" s="39" t="s">
        <v>777</v>
      </c>
      <c r="J28" s="2" t="s">
        <v>786</v>
      </c>
      <c r="K28" s="2" t="s">
        <v>2251</v>
      </c>
      <c r="L28" s="2" t="s">
        <v>2251</v>
      </c>
      <c r="M28" s="2" t="s">
        <v>684</v>
      </c>
      <c r="N28" s="272"/>
    </row>
    <row r="29" spans="1:14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2"/>
      <c r="E29" s="38"/>
      <c r="F29" s="38"/>
      <c r="G29" s="38" t="s">
        <v>2131</v>
      </c>
      <c r="H29" s="454" t="s">
        <v>424</v>
      </c>
      <c r="I29" s="39" t="s">
        <v>774</v>
      </c>
      <c r="J29" s="2" t="s">
        <v>779</v>
      </c>
      <c r="K29" s="2" t="s">
        <v>2251</v>
      </c>
      <c r="L29" s="2" t="s">
        <v>2251</v>
      </c>
      <c r="M29" s="2" t="s">
        <v>775</v>
      </c>
      <c r="N29" s="272"/>
    </row>
    <row r="30" spans="1:14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2"/>
      <c r="E30" s="38"/>
      <c r="F30" s="38"/>
      <c r="G30" s="38" t="s">
        <v>2131</v>
      </c>
      <c r="H30" s="454" t="s">
        <v>424</v>
      </c>
      <c r="I30" s="39" t="s">
        <v>783</v>
      </c>
      <c r="J30" s="2" t="s">
        <v>786</v>
      </c>
      <c r="K30" s="2" t="s">
        <v>2251</v>
      </c>
      <c r="L30" s="2" t="s">
        <v>2251</v>
      </c>
      <c r="M30" s="2" t="s">
        <v>775</v>
      </c>
      <c r="N30" s="272"/>
    </row>
    <row r="31" spans="1:14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2"/>
      <c r="E31" s="38"/>
      <c r="F31" s="38"/>
      <c r="G31" s="38" t="s">
        <v>2131</v>
      </c>
      <c r="H31" s="454" t="s">
        <v>424</v>
      </c>
      <c r="I31" s="39" t="s">
        <v>787</v>
      </c>
      <c r="J31" s="2" t="s">
        <v>794</v>
      </c>
      <c r="K31" s="2" t="s">
        <v>2251</v>
      </c>
      <c r="L31" s="2" t="s">
        <v>2251</v>
      </c>
      <c r="M31" s="2" t="s">
        <v>775</v>
      </c>
      <c r="N31" s="272"/>
    </row>
    <row r="32" spans="1:14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2"/>
      <c r="E32" s="38"/>
      <c r="F32" s="38"/>
      <c r="G32" s="38" t="s">
        <v>2131</v>
      </c>
      <c r="H32" s="454" t="s">
        <v>424</v>
      </c>
      <c r="I32" s="47" t="s">
        <v>793</v>
      </c>
      <c r="J32" s="47">
        <v>45955</v>
      </c>
      <c r="K32" s="2" t="s">
        <v>2251</v>
      </c>
      <c r="L32" s="2" t="s">
        <v>2251</v>
      </c>
      <c r="M32" s="2" t="s">
        <v>775</v>
      </c>
      <c r="N32" s="272"/>
    </row>
    <row r="33" spans="1:14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2"/>
      <c r="E33" s="38"/>
      <c r="F33" s="38"/>
      <c r="G33" s="38" t="s">
        <v>2131</v>
      </c>
      <c r="H33" s="454" t="s">
        <v>424</v>
      </c>
      <c r="I33" s="492" t="s">
        <v>792</v>
      </c>
      <c r="J33" s="2" t="s">
        <v>791</v>
      </c>
      <c r="K33" s="2" t="s">
        <v>2251</v>
      </c>
      <c r="L33" s="2" t="s">
        <v>2149</v>
      </c>
      <c r="M33" s="2" t="s">
        <v>775</v>
      </c>
      <c r="N33" s="272"/>
    </row>
    <row r="34" spans="1:14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2"/>
      <c r="E34" s="38"/>
      <c r="F34" s="38"/>
      <c r="G34" s="38" t="s">
        <v>2131</v>
      </c>
      <c r="H34" s="454" t="s">
        <v>424</v>
      </c>
      <c r="I34" s="39" t="s">
        <v>806</v>
      </c>
      <c r="J34" s="2" t="s">
        <v>815</v>
      </c>
      <c r="K34" s="2" t="s">
        <v>2149</v>
      </c>
      <c r="L34" s="2" t="s">
        <v>2149</v>
      </c>
      <c r="M34" s="2" t="s">
        <v>775</v>
      </c>
      <c r="N34" s="272"/>
    </row>
    <row r="35" spans="1:14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2"/>
      <c r="E35" s="38"/>
      <c r="F35" s="38"/>
      <c r="G35" s="38" t="s">
        <v>2131</v>
      </c>
      <c r="H35" s="454" t="s">
        <v>424</v>
      </c>
      <c r="I35" s="39" t="s">
        <v>816</v>
      </c>
      <c r="J35" s="2" t="s">
        <v>817</v>
      </c>
      <c r="K35" s="2" t="s">
        <v>2149</v>
      </c>
      <c r="L35" s="2" t="s">
        <v>2149</v>
      </c>
      <c r="M35" s="2" t="s">
        <v>775</v>
      </c>
      <c r="N35" s="272"/>
    </row>
    <row r="36" spans="1:14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2"/>
      <c r="E36" s="38"/>
      <c r="F36" s="38"/>
      <c r="G36" s="38" t="s">
        <v>2131</v>
      </c>
      <c r="H36" s="454" t="s">
        <v>424</v>
      </c>
      <c r="I36" s="39" t="s">
        <v>820</v>
      </c>
      <c r="J36" s="2" t="s">
        <v>884</v>
      </c>
      <c r="K36" s="2" t="s">
        <v>2149</v>
      </c>
      <c r="L36" s="2" t="s">
        <v>2149</v>
      </c>
      <c r="M36" s="2" t="s">
        <v>818</v>
      </c>
      <c r="N36" s="272"/>
    </row>
    <row r="37" spans="1:14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2"/>
      <c r="E37" s="38"/>
      <c r="F37" s="38"/>
      <c r="G37" s="38" t="s">
        <v>2131</v>
      </c>
      <c r="H37" s="454" t="s">
        <v>424</v>
      </c>
      <c r="I37" s="39" t="s">
        <v>820</v>
      </c>
      <c r="J37" s="2" t="s">
        <v>808</v>
      </c>
      <c r="K37" s="2" t="s">
        <v>2149</v>
      </c>
      <c r="L37" s="2" t="s">
        <v>2149</v>
      </c>
      <c r="M37" s="2" t="s">
        <v>819</v>
      </c>
      <c r="N37" s="272"/>
    </row>
    <row r="38" spans="1:14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2"/>
      <c r="E38" s="38"/>
      <c r="F38" s="38"/>
      <c r="G38" s="38" t="s">
        <v>2131</v>
      </c>
      <c r="H38" s="454" t="s">
        <v>424</v>
      </c>
      <c r="I38" s="39" t="s">
        <v>888</v>
      </c>
      <c r="J38" s="2" t="s">
        <v>902</v>
      </c>
      <c r="K38" s="2" t="s">
        <v>2149</v>
      </c>
      <c r="L38" s="2" t="s">
        <v>2146</v>
      </c>
      <c r="M38" s="2" t="s">
        <v>885</v>
      </c>
      <c r="N38" s="272">
        <v>44</v>
      </c>
    </row>
    <row r="39" spans="1:14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2"/>
      <c r="E39" s="38"/>
      <c r="F39" s="38"/>
      <c r="G39" s="38" t="s">
        <v>2131</v>
      </c>
      <c r="H39" s="454" t="s">
        <v>424</v>
      </c>
      <c r="I39" s="39" t="s">
        <v>817</v>
      </c>
      <c r="J39" s="2" t="s">
        <v>827</v>
      </c>
      <c r="K39" s="2" t="s">
        <v>2149</v>
      </c>
      <c r="L39" s="2" t="s">
        <v>2149</v>
      </c>
      <c r="M39" s="2" t="s">
        <v>775</v>
      </c>
      <c r="N39" s="272"/>
    </row>
    <row r="40" spans="1:14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2"/>
      <c r="E40" s="38"/>
      <c r="F40" s="38"/>
      <c r="G40" s="38" t="s">
        <v>2131</v>
      </c>
      <c r="H40" s="454" t="s">
        <v>424</v>
      </c>
      <c r="I40" s="39" t="s">
        <v>827</v>
      </c>
      <c r="J40" s="2" t="s">
        <v>888</v>
      </c>
      <c r="K40" s="2" t="s">
        <v>2149</v>
      </c>
      <c r="L40" s="2" t="s">
        <v>2149</v>
      </c>
      <c r="M40" s="2" t="s">
        <v>775</v>
      </c>
      <c r="N40" s="272"/>
    </row>
    <row r="41" spans="1:14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2"/>
      <c r="E41" s="38"/>
      <c r="F41" s="38"/>
      <c r="G41" s="38" t="s">
        <v>2131</v>
      </c>
      <c r="H41" s="454" t="s">
        <v>424</v>
      </c>
      <c r="I41" s="39" t="s">
        <v>881</v>
      </c>
      <c r="J41" s="2" t="s">
        <v>884</v>
      </c>
      <c r="K41" s="2" t="s">
        <v>2149</v>
      </c>
      <c r="L41" s="2" t="s">
        <v>2149</v>
      </c>
      <c r="M41" s="2" t="s">
        <v>2278</v>
      </c>
      <c r="N41" s="272"/>
    </row>
    <row r="42" spans="1:14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2"/>
      <c r="E42" s="38"/>
      <c r="F42" s="38"/>
      <c r="G42" s="38" t="s">
        <v>2131</v>
      </c>
      <c r="H42" s="454" t="s">
        <v>424</v>
      </c>
      <c r="I42" s="39" t="s">
        <v>886</v>
      </c>
      <c r="J42" s="2" t="s">
        <v>892</v>
      </c>
      <c r="K42" s="2" t="s">
        <v>2149</v>
      </c>
      <c r="L42" s="2" t="s">
        <v>2149</v>
      </c>
      <c r="M42" s="2" t="s">
        <v>2278</v>
      </c>
      <c r="N42" s="272"/>
    </row>
    <row r="43" spans="1:14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2"/>
      <c r="E43" s="38"/>
      <c r="F43" s="38"/>
      <c r="G43" s="38" t="s">
        <v>2131</v>
      </c>
      <c r="H43" s="454" t="s">
        <v>424</v>
      </c>
      <c r="I43" s="39" t="s">
        <v>886</v>
      </c>
      <c r="J43" s="2" t="s">
        <v>895</v>
      </c>
      <c r="K43" s="2" t="s">
        <v>2149</v>
      </c>
      <c r="L43" s="2" t="s">
        <v>2146</v>
      </c>
      <c r="M43" s="2" t="s">
        <v>819</v>
      </c>
      <c r="N43" s="272"/>
    </row>
    <row r="44" spans="1:14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2"/>
      <c r="E44" s="38"/>
      <c r="F44" s="38"/>
      <c r="G44" s="38" t="s">
        <v>2131</v>
      </c>
      <c r="H44" s="454" t="s">
        <v>424</v>
      </c>
      <c r="I44" s="39" t="s">
        <v>888</v>
      </c>
      <c r="J44" s="2" t="s">
        <v>898</v>
      </c>
      <c r="K44" s="2" t="s">
        <v>2149</v>
      </c>
      <c r="L44" s="2" t="s">
        <v>2146</v>
      </c>
      <c r="M44" s="2" t="s">
        <v>818</v>
      </c>
      <c r="N44" s="272"/>
    </row>
    <row r="45" spans="1:14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2"/>
      <c r="E45" s="38"/>
      <c r="F45" s="38"/>
      <c r="G45" s="38" t="s">
        <v>2131</v>
      </c>
      <c r="H45" s="454" t="s">
        <v>424</v>
      </c>
      <c r="I45" s="39" t="s">
        <v>889</v>
      </c>
      <c r="J45" s="2" t="s">
        <v>894</v>
      </c>
      <c r="K45" s="2" t="s">
        <v>2149</v>
      </c>
      <c r="L45" s="2" t="s">
        <v>2146</v>
      </c>
      <c r="M45" s="2" t="s">
        <v>775</v>
      </c>
      <c r="N45" s="272"/>
    </row>
    <row r="46" spans="1:14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2"/>
      <c r="E46" s="38"/>
      <c r="F46" s="38"/>
      <c r="G46" s="38" t="s">
        <v>2131</v>
      </c>
      <c r="H46" s="454" t="s">
        <v>424</v>
      </c>
      <c r="I46" s="39" t="s">
        <v>891</v>
      </c>
      <c r="J46" s="2" t="s">
        <v>898</v>
      </c>
      <c r="K46" s="2" t="s">
        <v>2146</v>
      </c>
      <c r="L46" s="2" t="s">
        <v>2146</v>
      </c>
      <c r="M46" s="2" t="s">
        <v>2278</v>
      </c>
      <c r="N46" s="272"/>
    </row>
    <row r="47" spans="1:14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2"/>
      <c r="E47" s="38"/>
      <c r="F47" s="38"/>
      <c r="G47" s="38" t="s">
        <v>2131</v>
      </c>
      <c r="H47" s="454" t="s">
        <v>424</v>
      </c>
      <c r="I47" s="39" t="s">
        <v>903</v>
      </c>
      <c r="J47" s="2" t="s">
        <v>911</v>
      </c>
      <c r="K47" s="2" t="s">
        <v>2146</v>
      </c>
      <c r="L47" s="2" t="s">
        <v>2146</v>
      </c>
      <c r="M47" s="2" t="s">
        <v>818</v>
      </c>
      <c r="N47" s="272"/>
    </row>
    <row r="48" spans="1:14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2"/>
      <c r="E48" s="38"/>
      <c r="F48" s="38"/>
      <c r="G48" s="38" t="s">
        <v>2131</v>
      </c>
      <c r="H48" s="454" t="s">
        <v>424</v>
      </c>
      <c r="I48" s="39" t="s">
        <v>895</v>
      </c>
      <c r="J48" s="2" t="s">
        <v>909</v>
      </c>
      <c r="K48" s="2" t="s">
        <v>2146</v>
      </c>
      <c r="L48" s="2" t="s">
        <v>2146</v>
      </c>
      <c r="M48" s="2" t="s">
        <v>819</v>
      </c>
      <c r="N48" s="272"/>
    </row>
    <row r="49" spans="1:14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2"/>
      <c r="E49" s="38"/>
      <c r="F49" s="38"/>
      <c r="G49" s="38" t="s">
        <v>2131</v>
      </c>
      <c r="H49" s="454" t="s">
        <v>424</v>
      </c>
      <c r="I49" s="39" t="s">
        <v>900</v>
      </c>
      <c r="J49" s="2" t="s">
        <v>908</v>
      </c>
      <c r="K49" s="2" t="s">
        <v>2146</v>
      </c>
      <c r="L49" s="2" t="s">
        <v>2146</v>
      </c>
      <c r="M49" s="2" t="s">
        <v>2278</v>
      </c>
      <c r="N49" s="272"/>
    </row>
    <row r="50" spans="1:14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2"/>
      <c r="E50" s="38"/>
      <c r="F50" s="38"/>
      <c r="G50" s="38" t="s">
        <v>2131</v>
      </c>
      <c r="H50" s="454" t="s">
        <v>424</v>
      </c>
      <c r="I50" s="39" t="s">
        <v>898</v>
      </c>
      <c r="J50" s="2" t="s">
        <v>913</v>
      </c>
      <c r="K50" s="2" t="s">
        <v>2146</v>
      </c>
      <c r="L50" s="2" t="s">
        <v>2146</v>
      </c>
      <c r="M50" s="2" t="s">
        <v>775</v>
      </c>
      <c r="N50" s="272"/>
    </row>
    <row r="51" spans="1:14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2"/>
      <c r="E51" s="38"/>
      <c r="F51" s="38"/>
      <c r="G51" s="38" t="s">
        <v>2131</v>
      </c>
      <c r="H51" s="454" t="s">
        <v>424</v>
      </c>
      <c r="I51" s="39" t="s">
        <v>908</v>
      </c>
      <c r="J51" s="2" t="s">
        <v>916</v>
      </c>
      <c r="K51" s="2" t="s">
        <v>2146</v>
      </c>
      <c r="L51" s="2" t="s">
        <v>2146</v>
      </c>
      <c r="M51" s="2" t="s">
        <v>819</v>
      </c>
      <c r="N51" s="272"/>
    </row>
    <row r="52" spans="1:14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2"/>
      <c r="E52" s="38"/>
      <c r="F52" s="38"/>
      <c r="G52" s="38" t="s">
        <v>2133</v>
      </c>
      <c r="H52" s="454" t="s">
        <v>424</v>
      </c>
      <c r="I52" s="39" t="s">
        <v>908</v>
      </c>
      <c r="J52" s="2" t="s">
        <v>915</v>
      </c>
      <c r="K52" s="2" t="s">
        <v>2146</v>
      </c>
      <c r="L52" s="2" t="s">
        <v>2146</v>
      </c>
      <c r="M52" s="2" t="s">
        <v>905</v>
      </c>
      <c r="N52" s="272"/>
    </row>
    <row r="53" spans="1:14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2"/>
      <c r="E53" s="38"/>
      <c r="F53" s="38"/>
      <c r="G53" s="38" t="s">
        <v>2131</v>
      </c>
      <c r="H53" s="454" t="s">
        <v>424</v>
      </c>
      <c r="I53" s="39" t="s">
        <v>909</v>
      </c>
      <c r="J53" s="2" t="s">
        <v>913</v>
      </c>
      <c r="K53" s="2" t="s">
        <v>2146</v>
      </c>
      <c r="L53" s="2" t="s">
        <v>2146</v>
      </c>
      <c r="M53" s="2" t="s">
        <v>2278</v>
      </c>
      <c r="N53" s="272"/>
    </row>
    <row r="54" spans="1:14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2"/>
      <c r="E54" s="38"/>
      <c r="F54" s="38"/>
      <c r="G54" s="38" t="s">
        <v>2131</v>
      </c>
      <c r="H54" s="454" t="s">
        <v>424</v>
      </c>
      <c r="I54" s="39" t="s">
        <v>912</v>
      </c>
      <c r="J54" s="2" t="s">
        <v>934</v>
      </c>
      <c r="K54" s="2" t="s">
        <v>2146</v>
      </c>
      <c r="L54" s="2" t="s">
        <v>2145</v>
      </c>
      <c r="M54" s="2" t="s">
        <v>885</v>
      </c>
      <c r="N54" s="272"/>
    </row>
    <row r="55" spans="1:14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2"/>
      <c r="E55" s="38"/>
      <c r="F55" s="38"/>
      <c r="G55" s="38" t="s">
        <v>2131</v>
      </c>
      <c r="H55" s="454" t="s">
        <v>424</v>
      </c>
      <c r="I55" s="39" t="s">
        <v>913</v>
      </c>
      <c r="J55" s="2" t="s">
        <v>921</v>
      </c>
      <c r="K55" s="2" t="s">
        <v>2146</v>
      </c>
      <c r="L55" s="2" t="s">
        <v>2146</v>
      </c>
      <c r="M55" s="2" t="s">
        <v>818</v>
      </c>
      <c r="N55" s="272"/>
    </row>
    <row r="56" spans="1:14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2"/>
      <c r="E56" s="38"/>
      <c r="F56" s="38"/>
      <c r="G56" s="38" t="s">
        <v>2131</v>
      </c>
      <c r="H56" s="454" t="s">
        <v>424</v>
      </c>
      <c r="I56" s="39" t="s">
        <v>915</v>
      </c>
      <c r="J56" s="2" t="s">
        <v>919</v>
      </c>
      <c r="K56" s="2" t="s">
        <v>2146</v>
      </c>
      <c r="L56" s="2" t="s">
        <v>2146</v>
      </c>
      <c r="M56" s="2" t="s">
        <v>2278</v>
      </c>
      <c r="N56" s="272"/>
    </row>
    <row r="57" spans="1:14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2"/>
      <c r="E57" s="38"/>
      <c r="F57" s="38"/>
      <c r="G57" s="38" t="s">
        <v>2131</v>
      </c>
      <c r="H57" s="454" t="s">
        <v>424</v>
      </c>
      <c r="I57" s="39" t="s">
        <v>917</v>
      </c>
      <c r="J57" s="2" t="s">
        <v>920</v>
      </c>
      <c r="K57" s="2" t="s">
        <v>2146</v>
      </c>
      <c r="L57" s="2" t="s">
        <v>2146</v>
      </c>
      <c r="M57" s="2" t="s">
        <v>775</v>
      </c>
      <c r="N57" s="272"/>
    </row>
    <row r="58" spans="1:14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2"/>
      <c r="E58" s="38"/>
      <c r="F58" s="38"/>
      <c r="G58" s="38" t="s">
        <v>2133</v>
      </c>
      <c r="H58" s="454" t="s">
        <v>424</v>
      </c>
      <c r="I58" s="39" t="s">
        <v>916</v>
      </c>
      <c r="J58" s="2" t="s">
        <v>926</v>
      </c>
      <c r="K58" s="2" t="s">
        <v>2146</v>
      </c>
      <c r="L58" s="2" t="s">
        <v>2146</v>
      </c>
      <c r="M58" s="2" t="s">
        <v>905</v>
      </c>
      <c r="N58" s="272"/>
    </row>
    <row r="59" spans="1:14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2"/>
      <c r="E59" s="38"/>
      <c r="F59" s="38"/>
      <c r="G59" s="38" t="s">
        <v>2131</v>
      </c>
      <c r="H59" s="454" t="s">
        <v>424</v>
      </c>
      <c r="I59" s="39" t="s">
        <v>919</v>
      </c>
      <c r="J59" s="2" t="s">
        <v>927</v>
      </c>
      <c r="K59" s="2" t="s">
        <v>2146</v>
      </c>
      <c r="L59" s="2" t="s">
        <v>2146</v>
      </c>
      <c r="M59" s="2" t="s">
        <v>819</v>
      </c>
      <c r="N59" s="272"/>
    </row>
    <row r="60" spans="1:14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2"/>
      <c r="E60" s="38"/>
      <c r="F60" s="38"/>
      <c r="G60" s="38" t="s">
        <v>2131</v>
      </c>
      <c r="H60" s="454" t="s">
        <v>424</v>
      </c>
      <c r="I60" s="39" t="s">
        <v>920</v>
      </c>
      <c r="J60" s="2" t="s">
        <v>925</v>
      </c>
      <c r="K60" s="2" t="s">
        <v>2146</v>
      </c>
      <c r="L60" s="2" t="s">
        <v>2146</v>
      </c>
      <c r="M60" s="2" t="s">
        <v>2278</v>
      </c>
      <c r="N60" s="272"/>
    </row>
    <row r="61" spans="1:14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2"/>
      <c r="E61" s="38"/>
      <c r="F61" s="38"/>
      <c r="G61" s="38" t="s">
        <v>2131</v>
      </c>
      <c r="H61" s="454" t="s">
        <v>424</v>
      </c>
      <c r="I61" s="39" t="s">
        <v>921</v>
      </c>
      <c r="J61" s="2" t="s">
        <v>926</v>
      </c>
      <c r="K61" s="2" t="s">
        <v>2146</v>
      </c>
      <c r="L61" s="2" t="s">
        <v>2146</v>
      </c>
      <c r="M61" s="2" t="s">
        <v>775</v>
      </c>
      <c r="N61" s="272"/>
    </row>
    <row r="62" spans="1:14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2"/>
      <c r="E62" s="38"/>
      <c r="F62" s="38"/>
      <c r="G62" s="38" t="s">
        <v>2131</v>
      </c>
      <c r="H62" s="454" t="s">
        <v>424</v>
      </c>
      <c r="I62" s="39" t="s">
        <v>922</v>
      </c>
      <c r="J62" s="2" t="s">
        <v>924</v>
      </c>
      <c r="K62" s="2" t="s">
        <v>2146</v>
      </c>
      <c r="L62" s="2" t="s">
        <v>2146</v>
      </c>
      <c r="M62" s="2" t="s">
        <v>818</v>
      </c>
      <c r="N62" s="272"/>
    </row>
    <row r="63" spans="1:14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2"/>
      <c r="E63" s="38"/>
      <c r="F63" s="38"/>
      <c r="G63" s="38" t="s">
        <v>2131</v>
      </c>
      <c r="H63" s="454" t="s">
        <v>424</v>
      </c>
      <c r="I63" s="39" t="s">
        <v>924</v>
      </c>
      <c r="J63" s="2" t="s">
        <v>932</v>
      </c>
      <c r="K63" s="2" t="s">
        <v>2146</v>
      </c>
      <c r="L63" s="2" t="s">
        <v>2145</v>
      </c>
      <c r="M63" s="2" t="s">
        <v>2278</v>
      </c>
      <c r="N63" s="272"/>
    </row>
    <row r="64" spans="1:14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2"/>
      <c r="E64" s="38"/>
      <c r="F64" s="38"/>
      <c r="G64" s="38" t="s">
        <v>2131</v>
      </c>
      <c r="H64" s="454" t="s">
        <v>424</v>
      </c>
      <c r="I64" s="39" t="s">
        <v>924</v>
      </c>
      <c r="J64" s="2" t="s">
        <v>931</v>
      </c>
      <c r="K64" s="2" t="s">
        <v>2146</v>
      </c>
      <c r="L64" s="2" t="s">
        <v>2145</v>
      </c>
      <c r="M64" s="2" t="s">
        <v>775</v>
      </c>
      <c r="N64" s="272"/>
    </row>
    <row r="65" spans="1:14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2"/>
      <c r="E65" s="38"/>
      <c r="F65" s="38"/>
      <c r="G65" s="38" t="s">
        <v>2131</v>
      </c>
      <c r="H65" s="454" t="s">
        <v>424</v>
      </c>
      <c r="I65" s="39" t="s">
        <v>929</v>
      </c>
      <c r="J65" s="2" t="s">
        <v>939</v>
      </c>
      <c r="K65" s="2" t="s">
        <v>2145</v>
      </c>
      <c r="L65" s="2" t="s">
        <v>2145</v>
      </c>
      <c r="M65" s="2" t="s">
        <v>819</v>
      </c>
      <c r="N65" s="272"/>
    </row>
    <row r="66" spans="1:14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2"/>
      <c r="E66" s="38"/>
      <c r="F66" s="38"/>
      <c r="G66" s="38" t="s">
        <v>2133</v>
      </c>
      <c r="H66" s="454" t="s">
        <v>424</v>
      </c>
      <c r="I66" s="39" t="s">
        <v>927</v>
      </c>
      <c r="J66" s="2" t="s">
        <v>937</v>
      </c>
      <c r="K66" s="2" t="s">
        <v>2146</v>
      </c>
      <c r="L66" s="2" t="s">
        <v>2145</v>
      </c>
      <c r="M66" s="2" t="s">
        <v>905</v>
      </c>
      <c r="N66" s="272"/>
    </row>
    <row r="67" spans="1:14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2"/>
      <c r="E67" s="38"/>
      <c r="F67" s="38"/>
      <c r="G67" s="38" t="s">
        <v>2131</v>
      </c>
      <c r="H67" s="454" t="s">
        <v>424</v>
      </c>
      <c r="I67" s="39" t="s">
        <v>927</v>
      </c>
      <c r="J67" s="2" t="s">
        <v>934</v>
      </c>
      <c r="K67" s="2" t="s">
        <v>2146</v>
      </c>
      <c r="L67" s="2" t="s">
        <v>2145</v>
      </c>
      <c r="M67" s="2" t="s">
        <v>818</v>
      </c>
      <c r="N67" s="272"/>
    </row>
    <row r="68" spans="1:14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2"/>
      <c r="E68" s="38"/>
      <c r="F68" s="38"/>
      <c r="G68" s="38" t="s">
        <v>2131</v>
      </c>
      <c r="H68" s="454" t="s">
        <v>424</v>
      </c>
      <c r="I68" s="39" t="s">
        <v>932</v>
      </c>
      <c r="J68" s="2" t="s">
        <v>937</v>
      </c>
      <c r="K68" s="2" t="s">
        <v>2145</v>
      </c>
      <c r="L68" s="2" t="s">
        <v>2145</v>
      </c>
      <c r="M68" s="2" t="s">
        <v>775</v>
      </c>
      <c r="N68" s="272"/>
    </row>
    <row r="69" spans="1:14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2"/>
      <c r="E69" s="38"/>
      <c r="F69" s="38"/>
      <c r="G69" s="38" t="s">
        <v>2131</v>
      </c>
      <c r="H69" s="454" t="s">
        <v>424</v>
      </c>
      <c r="I69" s="39" t="s">
        <v>935</v>
      </c>
      <c r="J69" s="2" t="s">
        <v>938</v>
      </c>
      <c r="K69" s="2" t="s">
        <v>2145</v>
      </c>
      <c r="L69" s="2" t="s">
        <v>2145</v>
      </c>
      <c r="M69" s="2" t="s">
        <v>2278</v>
      </c>
      <c r="N69" s="272"/>
    </row>
    <row r="70" spans="1:14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2"/>
      <c r="E70" s="38"/>
      <c r="F70" s="38"/>
      <c r="G70" s="38" t="s">
        <v>2131</v>
      </c>
      <c r="H70" s="454" t="s">
        <v>424</v>
      </c>
      <c r="I70" s="39" t="s">
        <v>941</v>
      </c>
      <c r="J70" s="2" t="s">
        <v>942</v>
      </c>
      <c r="K70" s="2" t="s">
        <v>2145</v>
      </c>
      <c r="L70" s="2" t="s">
        <v>2145</v>
      </c>
      <c r="M70" s="2" t="s">
        <v>819</v>
      </c>
      <c r="N70" s="272"/>
    </row>
    <row r="71" spans="1:14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2"/>
      <c r="E71" s="38"/>
      <c r="F71" s="38"/>
      <c r="G71" s="38" t="s">
        <v>2131</v>
      </c>
      <c r="H71" s="454" t="s">
        <v>424</v>
      </c>
      <c r="I71" s="39" t="s">
        <v>940</v>
      </c>
      <c r="J71" s="2" t="s">
        <v>945</v>
      </c>
      <c r="K71" s="2" t="s">
        <v>2145</v>
      </c>
      <c r="L71" s="2" t="s">
        <v>2145</v>
      </c>
      <c r="M71" s="2" t="s">
        <v>775</v>
      </c>
      <c r="N71" s="272"/>
    </row>
    <row r="72" spans="1:14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2"/>
      <c r="E72" s="38"/>
      <c r="F72" s="38"/>
      <c r="G72" s="38" t="s">
        <v>2133</v>
      </c>
      <c r="H72" s="454" t="s">
        <v>424</v>
      </c>
      <c r="I72" s="39" t="s">
        <v>939</v>
      </c>
      <c r="J72" s="2" t="s">
        <v>949</v>
      </c>
      <c r="K72" s="2" t="s">
        <v>2145</v>
      </c>
      <c r="L72" s="2" t="s">
        <v>2145</v>
      </c>
      <c r="M72" s="2" t="s">
        <v>905</v>
      </c>
      <c r="N72" s="272"/>
    </row>
    <row r="73" spans="1:14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2"/>
      <c r="E73" s="38"/>
      <c r="F73" s="38"/>
      <c r="G73" s="38" t="s">
        <v>2131</v>
      </c>
      <c r="H73" s="454" t="s">
        <v>424</v>
      </c>
      <c r="I73" s="39" t="s">
        <v>940</v>
      </c>
      <c r="J73" s="2" t="s">
        <v>943</v>
      </c>
      <c r="K73" s="2" t="s">
        <v>2145</v>
      </c>
      <c r="L73" s="2" t="s">
        <v>2145</v>
      </c>
      <c r="M73" s="2" t="s">
        <v>2278</v>
      </c>
      <c r="N73" s="272"/>
    </row>
    <row r="74" spans="1:14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2"/>
      <c r="E74" s="38"/>
      <c r="F74" s="38"/>
      <c r="G74" s="38" t="s">
        <v>2131</v>
      </c>
      <c r="H74" s="454" t="s">
        <v>424</v>
      </c>
      <c r="I74" s="39" t="s">
        <v>943</v>
      </c>
      <c r="J74" s="2" t="s">
        <v>946</v>
      </c>
      <c r="K74" s="2" t="s">
        <v>2145</v>
      </c>
      <c r="L74" s="2" t="s">
        <v>2145</v>
      </c>
      <c r="M74" s="2" t="s">
        <v>819</v>
      </c>
      <c r="N74" s="272"/>
    </row>
    <row r="75" spans="1:14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2"/>
      <c r="E75" s="38"/>
      <c r="F75" s="38"/>
      <c r="G75" s="38" t="s">
        <v>2131</v>
      </c>
      <c r="H75" s="454" t="s">
        <v>424</v>
      </c>
      <c r="I75" s="39" t="s">
        <v>944</v>
      </c>
      <c r="J75" s="2" t="s">
        <v>945</v>
      </c>
      <c r="K75" s="2" t="s">
        <v>2145</v>
      </c>
      <c r="L75" s="2" t="s">
        <v>2145</v>
      </c>
      <c r="M75" s="2" t="s">
        <v>2278</v>
      </c>
      <c r="N75" s="272"/>
    </row>
    <row r="76" spans="1:14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2"/>
      <c r="E76" s="38"/>
      <c r="F76" s="38"/>
      <c r="G76" s="38" t="s">
        <v>2133</v>
      </c>
      <c r="H76" s="454" t="s">
        <v>424</v>
      </c>
      <c r="I76" s="39" t="s">
        <v>945</v>
      </c>
      <c r="J76" s="2" t="s">
        <v>950</v>
      </c>
      <c r="K76" s="2" t="s">
        <v>2145</v>
      </c>
      <c r="L76" s="2" t="s">
        <v>2145</v>
      </c>
      <c r="M76" s="2" t="s">
        <v>775</v>
      </c>
      <c r="N76" s="272"/>
    </row>
    <row r="77" spans="1:14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2"/>
      <c r="E77" s="38"/>
      <c r="F77" s="38"/>
      <c r="G77" s="38" t="s">
        <v>2131</v>
      </c>
      <c r="H77" s="454" t="s">
        <v>424</v>
      </c>
      <c r="I77" s="39" t="s">
        <v>949</v>
      </c>
      <c r="J77" s="2" t="s">
        <v>959</v>
      </c>
      <c r="K77" s="2" t="s">
        <v>2145</v>
      </c>
      <c r="L77" s="2" t="s">
        <v>2144</v>
      </c>
      <c r="M77" s="2" t="s">
        <v>947</v>
      </c>
      <c r="N77" s="272"/>
    </row>
    <row r="78" spans="1:14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2"/>
      <c r="E78" s="38"/>
      <c r="F78" s="38"/>
      <c r="G78" s="38" t="s">
        <v>2131</v>
      </c>
      <c r="H78" s="454" t="s">
        <v>424</v>
      </c>
      <c r="I78" s="39" t="s">
        <v>946</v>
      </c>
      <c r="J78" s="2" t="s">
        <v>949</v>
      </c>
      <c r="K78" s="2" t="s">
        <v>2145</v>
      </c>
      <c r="L78" s="2" t="s">
        <v>2145</v>
      </c>
      <c r="M78" s="2" t="s">
        <v>2278</v>
      </c>
      <c r="N78" s="272"/>
    </row>
    <row r="79" spans="1:14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2"/>
      <c r="E79" s="38"/>
      <c r="F79" s="38"/>
      <c r="G79" s="38" t="s">
        <v>2131</v>
      </c>
      <c r="H79" s="454" t="s">
        <v>424</v>
      </c>
      <c r="I79" s="39" t="s">
        <v>948</v>
      </c>
      <c r="J79" s="2" t="s">
        <v>951</v>
      </c>
      <c r="K79" s="2" t="s">
        <v>2145</v>
      </c>
      <c r="L79" s="2" t="s">
        <v>2145</v>
      </c>
      <c r="M79" s="2" t="s">
        <v>775</v>
      </c>
      <c r="N79" s="272"/>
    </row>
    <row r="80" spans="1:14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2"/>
      <c r="E80" s="38"/>
      <c r="F80" s="38"/>
      <c r="G80" s="38" t="s">
        <v>2131</v>
      </c>
      <c r="H80" s="454" t="s">
        <v>424</v>
      </c>
      <c r="I80" s="39" t="s">
        <v>948</v>
      </c>
      <c r="J80" s="2" t="s">
        <v>953</v>
      </c>
      <c r="K80" s="2" t="s">
        <v>2145</v>
      </c>
      <c r="L80" s="2" t="s">
        <v>2145</v>
      </c>
      <c r="M80" s="2" t="s">
        <v>2278</v>
      </c>
      <c r="N80" s="272"/>
    </row>
    <row r="81" spans="1:15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2"/>
      <c r="E81" s="38"/>
      <c r="F81" s="38"/>
      <c r="G81" s="38" t="s">
        <v>2131</v>
      </c>
      <c r="H81" s="454" t="s">
        <v>424</v>
      </c>
      <c r="I81" s="39" t="s">
        <v>948</v>
      </c>
      <c r="J81" s="2" t="s">
        <v>951</v>
      </c>
      <c r="K81" s="2" t="s">
        <v>2145</v>
      </c>
      <c r="L81" s="2" t="s">
        <v>2145</v>
      </c>
      <c r="M81" s="2" t="s">
        <v>818</v>
      </c>
      <c r="N81" s="272"/>
    </row>
    <row r="82" spans="1:15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2"/>
      <c r="E82" s="38"/>
      <c r="F82" s="38"/>
      <c r="G82" s="38" t="s">
        <v>2131</v>
      </c>
      <c r="H82" s="454" t="s">
        <v>424</v>
      </c>
      <c r="I82" s="39" t="s">
        <v>949</v>
      </c>
      <c r="J82" s="2" t="s">
        <v>959</v>
      </c>
      <c r="K82" s="2" t="s">
        <v>2145</v>
      </c>
      <c r="L82" s="2" t="s">
        <v>2144</v>
      </c>
      <c r="M82" s="2" t="s">
        <v>818</v>
      </c>
      <c r="N82" s="272"/>
    </row>
    <row r="83" spans="1:15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2"/>
      <c r="E83" s="38"/>
      <c r="F83" s="38"/>
      <c r="G83" s="38" t="s">
        <v>2132</v>
      </c>
      <c r="H83" s="454" t="s">
        <v>424</v>
      </c>
      <c r="I83" s="39" t="s">
        <v>951</v>
      </c>
      <c r="J83" s="2" t="s">
        <v>959</v>
      </c>
      <c r="K83" s="2" t="s">
        <v>2145</v>
      </c>
      <c r="L83" s="2" t="s">
        <v>2144</v>
      </c>
      <c r="M83" s="2" t="s">
        <v>952</v>
      </c>
      <c r="N83" s="272"/>
    </row>
    <row r="84" spans="1:15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2"/>
      <c r="E84" s="38"/>
      <c r="F84" s="38"/>
      <c r="G84" s="38" t="s">
        <v>2133</v>
      </c>
      <c r="H84" s="454" t="s">
        <v>424</v>
      </c>
      <c r="I84" s="39" t="s">
        <v>951</v>
      </c>
      <c r="J84" s="2" t="s">
        <v>973</v>
      </c>
      <c r="K84" s="2" t="s">
        <v>2145</v>
      </c>
      <c r="L84" s="2" t="s">
        <v>2144</v>
      </c>
      <c r="M84" s="2" t="s">
        <v>905</v>
      </c>
      <c r="N84" s="272"/>
    </row>
    <row r="85" spans="1:15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2"/>
      <c r="E85" s="38"/>
      <c r="F85" s="38"/>
      <c r="G85" s="38" t="s">
        <v>2133</v>
      </c>
      <c r="H85" s="454" t="s">
        <v>424</v>
      </c>
      <c r="I85" s="39" t="s">
        <v>949</v>
      </c>
      <c r="J85" s="2" t="s">
        <v>956</v>
      </c>
      <c r="K85" s="2" t="s">
        <v>2145</v>
      </c>
      <c r="L85" s="2" t="s">
        <v>2145</v>
      </c>
      <c r="M85" s="2" t="s">
        <v>957</v>
      </c>
      <c r="N85" s="272"/>
    </row>
    <row r="86" spans="1:15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2"/>
      <c r="E86" s="38"/>
      <c r="F86" s="38"/>
      <c r="G86" s="38" t="s">
        <v>2131</v>
      </c>
      <c r="H86" s="454" t="s">
        <v>424</v>
      </c>
      <c r="I86" s="39" t="s">
        <v>953</v>
      </c>
      <c r="J86" s="2" t="s">
        <v>968</v>
      </c>
      <c r="K86" s="2" t="s">
        <v>2145</v>
      </c>
      <c r="L86" s="2" t="s">
        <v>2144</v>
      </c>
      <c r="M86" s="2" t="s">
        <v>819</v>
      </c>
      <c r="N86" s="272"/>
    </row>
    <row r="87" spans="1:15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2"/>
      <c r="E87" s="38"/>
      <c r="F87" s="38"/>
      <c r="G87" s="38" t="s">
        <v>2131</v>
      </c>
      <c r="H87" s="454" t="s">
        <v>424</v>
      </c>
      <c r="I87" s="39" t="s">
        <v>951</v>
      </c>
      <c r="J87" s="2" t="s">
        <v>956</v>
      </c>
      <c r="K87" s="2" t="s">
        <v>2145</v>
      </c>
      <c r="L87" s="2" t="s">
        <v>2145</v>
      </c>
      <c r="M87" s="2" t="s">
        <v>2278</v>
      </c>
      <c r="N87" s="272"/>
    </row>
    <row r="88" spans="1:15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2"/>
      <c r="E88" s="38"/>
      <c r="F88" s="38"/>
      <c r="G88" s="38" t="s">
        <v>2131</v>
      </c>
      <c r="H88" s="454" t="s">
        <v>424</v>
      </c>
      <c r="I88" s="39" t="s">
        <v>953</v>
      </c>
      <c r="J88" s="2" t="s">
        <v>958</v>
      </c>
      <c r="K88" s="2" t="s">
        <v>2145</v>
      </c>
      <c r="L88" s="2" t="s">
        <v>2144</v>
      </c>
      <c r="M88" s="2" t="s">
        <v>775</v>
      </c>
      <c r="N88" s="272"/>
    </row>
    <row r="89" spans="1:15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2"/>
      <c r="E89" s="38"/>
      <c r="F89" s="38"/>
      <c r="G89" s="38" t="s">
        <v>2131</v>
      </c>
      <c r="H89" s="454" t="s">
        <v>424</v>
      </c>
      <c r="I89" s="39" t="s">
        <v>970</v>
      </c>
      <c r="J89" s="2" t="s">
        <v>959</v>
      </c>
      <c r="K89" s="2" t="s">
        <v>2145</v>
      </c>
      <c r="L89" s="2" t="s">
        <v>2144</v>
      </c>
      <c r="M89" s="2" t="s">
        <v>2278</v>
      </c>
      <c r="N89" s="272"/>
    </row>
    <row r="90" spans="1:15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2"/>
      <c r="E90" s="38"/>
      <c r="F90" s="38"/>
      <c r="G90" s="38" t="s">
        <v>2133</v>
      </c>
      <c r="H90" s="454" t="s">
        <v>424</v>
      </c>
      <c r="I90" s="39" t="s">
        <v>970</v>
      </c>
      <c r="J90" s="2" t="s">
        <v>959</v>
      </c>
      <c r="K90" s="2" t="s">
        <v>2145</v>
      </c>
      <c r="L90" s="2" t="s">
        <v>2144</v>
      </c>
      <c r="M90" s="2" t="s">
        <v>957</v>
      </c>
      <c r="N90" s="272"/>
    </row>
    <row r="91" spans="1:15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2"/>
      <c r="E91" s="38"/>
      <c r="F91" s="38"/>
      <c r="G91" s="38" t="s">
        <v>2131</v>
      </c>
      <c r="H91" s="454" t="s">
        <v>424</v>
      </c>
      <c r="I91" s="39" t="s">
        <v>958</v>
      </c>
      <c r="J91" s="2" t="s">
        <v>967</v>
      </c>
      <c r="K91" s="2" t="s">
        <v>2144</v>
      </c>
      <c r="L91" s="2" t="s">
        <v>2144</v>
      </c>
      <c r="M91" s="2" t="s">
        <v>2278</v>
      </c>
      <c r="N91" s="272"/>
    </row>
    <row r="92" spans="1:15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2"/>
      <c r="E92" s="38"/>
      <c r="F92" s="38"/>
      <c r="G92" s="38" t="s">
        <v>2131</v>
      </c>
      <c r="H92" s="454" t="s">
        <v>424</v>
      </c>
      <c r="I92" s="39" t="s">
        <v>969</v>
      </c>
      <c r="J92" s="2" t="s">
        <v>971</v>
      </c>
      <c r="K92" s="2" t="s">
        <v>2144</v>
      </c>
      <c r="L92" s="2" t="s">
        <v>2144</v>
      </c>
      <c r="M92" s="2" t="s">
        <v>775</v>
      </c>
      <c r="N92" s="272"/>
    </row>
    <row r="93" spans="1:15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2"/>
      <c r="E93" s="38"/>
      <c r="F93" s="38"/>
      <c r="G93" s="38" t="s">
        <v>2131</v>
      </c>
      <c r="H93" s="454" t="s">
        <v>424</v>
      </c>
      <c r="I93" s="39" t="s">
        <v>968</v>
      </c>
      <c r="J93" s="2" t="s">
        <v>975</v>
      </c>
      <c r="K93" s="2" t="s">
        <v>2144</v>
      </c>
      <c r="L93" s="2" t="s">
        <v>2144</v>
      </c>
      <c r="M93" s="2" t="s">
        <v>983</v>
      </c>
      <c r="N93" s="272"/>
    </row>
    <row r="94" spans="1:15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2"/>
      <c r="E94" s="38"/>
      <c r="F94" s="38"/>
      <c r="G94" s="38" t="s">
        <v>2131</v>
      </c>
      <c r="H94" s="454" t="s">
        <v>424</v>
      </c>
      <c r="I94" s="39" t="s">
        <v>972</v>
      </c>
      <c r="J94" s="2" t="s">
        <v>976</v>
      </c>
      <c r="K94" s="2" t="s">
        <v>2144</v>
      </c>
      <c r="L94" s="2" t="s">
        <v>2144</v>
      </c>
      <c r="M94" s="2" t="s">
        <v>984</v>
      </c>
      <c r="N94" s="272"/>
    </row>
    <row r="95" spans="1:15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2"/>
      <c r="E95" s="38"/>
      <c r="F95" s="38"/>
      <c r="G95" s="38" t="s">
        <v>2131</v>
      </c>
      <c r="H95" s="454" t="s">
        <v>424</v>
      </c>
      <c r="I95" s="39" t="s">
        <v>972</v>
      </c>
      <c r="J95" s="2" t="s">
        <v>978</v>
      </c>
      <c r="K95" s="2" t="s">
        <v>2144</v>
      </c>
      <c r="L95" s="2" t="s">
        <v>2144</v>
      </c>
      <c r="M95" s="2" t="s">
        <v>2278</v>
      </c>
      <c r="N95" s="272"/>
    </row>
    <row r="96" spans="1:15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2"/>
      <c r="E96" s="38"/>
      <c r="F96" s="38"/>
      <c r="G96" s="38" t="s">
        <v>2131</v>
      </c>
      <c r="H96" s="454" t="s">
        <v>424</v>
      </c>
      <c r="I96" s="39" t="s">
        <v>982</v>
      </c>
      <c r="J96" s="2" t="s">
        <v>1985</v>
      </c>
      <c r="K96" s="2" t="s">
        <v>2144</v>
      </c>
      <c r="L96" s="2" t="s">
        <v>2143</v>
      </c>
      <c r="M96" s="2" t="s">
        <v>2278</v>
      </c>
      <c r="N96" s="272"/>
      <c r="O96" s="56"/>
    </row>
    <row r="97" spans="1:15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2"/>
      <c r="E97" s="38"/>
      <c r="F97" s="38"/>
      <c r="G97" s="38" t="s">
        <v>2131</v>
      </c>
      <c r="H97" s="454" t="s">
        <v>424</v>
      </c>
      <c r="I97" s="39" t="s">
        <v>971</v>
      </c>
      <c r="J97" s="2" t="s">
        <v>976</v>
      </c>
      <c r="K97" s="2" t="s">
        <v>2144</v>
      </c>
      <c r="L97" s="2" t="s">
        <v>2144</v>
      </c>
      <c r="M97" s="2" t="s">
        <v>2278</v>
      </c>
      <c r="N97" s="272"/>
      <c r="O97" s="56"/>
    </row>
    <row r="98" spans="1:15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2"/>
      <c r="E98" s="38"/>
      <c r="F98" s="38"/>
      <c r="G98" s="38" t="s">
        <v>2132</v>
      </c>
      <c r="H98" s="454" t="s">
        <v>424</v>
      </c>
      <c r="I98" s="39" t="s">
        <v>971</v>
      </c>
      <c r="J98" s="2" t="s">
        <v>979</v>
      </c>
      <c r="K98" s="2" t="s">
        <v>2144</v>
      </c>
      <c r="L98" s="2" t="s">
        <v>2144</v>
      </c>
      <c r="M98" s="2" t="s">
        <v>952</v>
      </c>
      <c r="N98" s="272"/>
      <c r="O98" s="56"/>
    </row>
    <row r="99" spans="1:15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/>
      <c r="E99" s="38"/>
      <c r="F99" s="38"/>
      <c r="G99" s="38" t="s">
        <v>2131</v>
      </c>
      <c r="H99" s="454" t="s">
        <v>424</v>
      </c>
      <c r="I99" s="39" t="s">
        <v>971</v>
      </c>
      <c r="J99" s="2" t="s">
        <v>961</v>
      </c>
      <c r="K99" s="2" t="s">
        <v>2144</v>
      </c>
      <c r="L99" s="2" t="s">
        <v>2144</v>
      </c>
      <c r="M99" s="2" t="s">
        <v>2278</v>
      </c>
      <c r="N99" s="272"/>
      <c r="O99" s="56"/>
    </row>
    <row r="100" spans="1:15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2"/>
      <c r="E100" s="38"/>
      <c r="F100" s="38"/>
      <c r="G100" s="38" t="s">
        <v>2132</v>
      </c>
      <c r="H100" s="454" t="s">
        <v>424</v>
      </c>
      <c r="I100" s="39" t="s">
        <v>972</v>
      </c>
      <c r="J100" s="2" t="s">
        <v>961</v>
      </c>
      <c r="K100" s="2" t="s">
        <v>2144</v>
      </c>
      <c r="L100" s="2" t="s">
        <v>2144</v>
      </c>
      <c r="M100" s="2" t="s">
        <v>957</v>
      </c>
      <c r="N100" s="272"/>
      <c r="O100" s="56"/>
    </row>
    <row r="101" spans="1:15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/>
      <c r="E101" s="38"/>
      <c r="F101" s="38"/>
      <c r="G101" s="38" t="s">
        <v>2131</v>
      </c>
      <c r="H101" s="454" t="s">
        <v>424</v>
      </c>
      <c r="I101" s="39" t="s">
        <v>974</v>
      </c>
      <c r="J101" s="2" t="s">
        <v>975</v>
      </c>
      <c r="K101" s="2" t="s">
        <v>2144</v>
      </c>
      <c r="L101" s="2" t="s">
        <v>2144</v>
      </c>
      <c r="M101" s="2" t="s">
        <v>775</v>
      </c>
      <c r="N101" s="272"/>
      <c r="O101" s="56"/>
    </row>
    <row r="102" spans="1:15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2"/>
      <c r="E102" s="38"/>
      <c r="F102" s="38"/>
      <c r="G102" s="38" t="s">
        <v>2133</v>
      </c>
      <c r="H102" s="454" t="s">
        <v>424</v>
      </c>
      <c r="I102" s="39" t="s">
        <v>974</v>
      </c>
      <c r="J102" s="2" t="s">
        <v>978</v>
      </c>
      <c r="K102" s="2" t="s">
        <v>2144</v>
      </c>
      <c r="L102" s="2" t="s">
        <v>2144</v>
      </c>
      <c r="M102" s="2" t="s">
        <v>905</v>
      </c>
      <c r="N102" s="272"/>
      <c r="O102" s="56"/>
    </row>
    <row r="103" spans="1:15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2"/>
      <c r="E103" s="38"/>
      <c r="F103" s="38"/>
      <c r="G103" s="38" t="s">
        <v>2131</v>
      </c>
      <c r="H103" s="454" t="s">
        <v>424</v>
      </c>
      <c r="I103" s="39" t="s">
        <v>975</v>
      </c>
      <c r="J103" s="2" t="s">
        <v>979</v>
      </c>
      <c r="K103" s="2" t="s">
        <v>2144</v>
      </c>
      <c r="L103" s="2" t="s">
        <v>2144</v>
      </c>
      <c r="M103" s="2" t="s">
        <v>2278</v>
      </c>
      <c r="N103" s="272"/>
      <c r="O103" s="56"/>
    </row>
    <row r="104" spans="1:15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2"/>
      <c r="E104" s="38"/>
      <c r="F104" s="38"/>
      <c r="G104" s="38" t="s">
        <v>2133</v>
      </c>
      <c r="H104" s="454" t="s">
        <v>424</v>
      </c>
      <c r="I104" s="39" t="s">
        <v>976</v>
      </c>
      <c r="J104" s="2" t="s">
        <v>963</v>
      </c>
      <c r="K104" s="2" t="s">
        <v>2144</v>
      </c>
      <c r="L104" s="2" t="s">
        <v>2144</v>
      </c>
      <c r="M104" s="2" t="s">
        <v>957</v>
      </c>
      <c r="N104" s="272"/>
      <c r="O104" s="56"/>
    </row>
    <row r="105" spans="1:15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2"/>
      <c r="E105" s="38"/>
      <c r="F105" s="38"/>
      <c r="G105" s="38" t="s">
        <v>2131</v>
      </c>
      <c r="H105" s="454" t="s">
        <v>424</v>
      </c>
      <c r="I105" s="39" t="s">
        <v>977</v>
      </c>
      <c r="J105" s="2" t="s">
        <v>965</v>
      </c>
      <c r="K105" s="2" t="s">
        <v>2144</v>
      </c>
      <c r="L105" s="2" t="s">
        <v>2144</v>
      </c>
      <c r="M105" s="2" t="s">
        <v>983</v>
      </c>
      <c r="N105" s="272"/>
      <c r="O105" s="56"/>
    </row>
    <row r="106" spans="1:15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2"/>
      <c r="E106" s="38"/>
      <c r="F106" s="38"/>
      <c r="G106" s="38" t="s">
        <v>2131</v>
      </c>
      <c r="H106" s="454" t="s">
        <v>424</v>
      </c>
      <c r="I106" s="39" t="s">
        <v>977</v>
      </c>
      <c r="J106" s="2" t="s">
        <v>987</v>
      </c>
      <c r="K106" s="2" t="s">
        <v>2144</v>
      </c>
      <c r="L106" s="2" t="s">
        <v>2144</v>
      </c>
      <c r="M106" s="2" t="s">
        <v>775</v>
      </c>
      <c r="N106" s="272"/>
      <c r="O106" s="56"/>
    </row>
    <row r="107" spans="1:15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40"/>
      <c r="E107" s="38"/>
      <c r="F107" s="38"/>
      <c r="G107" s="38" t="s">
        <v>2133</v>
      </c>
      <c r="H107" s="454" t="s">
        <v>424</v>
      </c>
      <c r="I107" s="39" t="s">
        <v>977</v>
      </c>
      <c r="J107" s="2" t="s">
        <v>965</v>
      </c>
      <c r="K107" s="2" t="s">
        <v>2144</v>
      </c>
      <c r="L107" s="2" t="s">
        <v>2144</v>
      </c>
      <c r="M107" s="2" t="s">
        <v>984</v>
      </c>
      <c r="N107" s="272"/>
      <c r="O107" s="56"/>
    </row>
    <row r="108" spans="1:15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/>
      <c r="E108" s="38"/>
      <c r="F108" s="38"/>
      <c r="G108" s="38" t="s">
        <v>2131</v>
      </c>
      <c r="H108" s="454" t="s">
        <v>424</v>
      </c>
      <c r="I108" s="39" t="s">
        <v>977</v>
      </c>
      <c r="J108" s="2" t="s">
        <v>988</v>
      </c>
      <c r="K108" s="2" t="s">
        <v>2144</v>
      </c>
      <c r="L108" s="2" t="s">
        <v>2144</v>
      </c>
      <c r="M108" s="2" t="s">
        <v>985</v>
      </c>
      <c r="N108" s="272"/>
      <c r="O108" s="56"/>
    </row>
    <row r="109" spans="1:15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/>
      <c r="E109" s="38"/>
      <c r="F109" s="38"/>
      <c r="G109" s="38" t="s">
        <v>2131</v>
      </c>
      <c r="H109" s="454" t="s">
        <v>424</v>
      </c>
      <c r="I109" s="39" t="s">
        <v>979</v>
      </c>
      <c r="J109" s="2" t="s">
        <v>966</v>
      </c>
      <c r="K109" s="2" t="s">
        <v>2144</v>
      </c>
      <c r="L109" s="2" t="s">
        <v>2144</v>
      </c>
      <c r="M109" s="2" t="s">
        <v>2279</v>
      </c>
      <c r="N109" s="272"/>
      <c r="O109" s="56"/>
    </row>
    <row r="110" spans="1:15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/>
      <c r="E110" s="38"/>
      <c r="F110" s="38"/>
      <c r="G110" s="38" t="s">
        <v>2133</v>
      </c>
      <c r="H110" s="454" t="s">
        <v>424</v>
      </c>
      <c r="I110" s="39" t="s">
        <v>979</v>
      </c>
      <c r="J110" s="2" t="s">
        <v>965</v>
      </c>
      <c r="K110" s="2" t="s">
        <v>2144</v>
      </c>
      <c r="L110" s="2" t="s">
        <v>2144</v>
      </c>
      <c r="M110" s="2" t="s">
        <v>905</v>
      </c>
      <c r="N110" s="272"/>
      <c r="O110" s="56"/>
    </row>
    <row r="111" spans="1:15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40"/>
      <c r="E111" s="38"/>
      <c r="F111" s="38"/>
      <c r="G111" s="38" t="s">
        <v>2132</v>
      </c>
      <c r="H111" s="454" t="s">
        <v>424</v>
      </c>
      <c r="I111" s="39" t="s">
        <v>981</v>
      </c>
      <c r="J111" s="2" t="s">
        <v>987</v>
      </c>
      <c r="K111" s="2" t="s">
        <v>2144</v>
      </c>
      <c r="L111" s="2" t="s">
        <v>2144</v>
      </c>
      <c r="M111" s="2" t="s">
        <v>952</v>
      </c>
      <c r="N111" s="272"/>
      <c r="O111" s="56"/>
    </row>
    <row r="112" spans="1:15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/>
      <c r="E112" s="38"/>
      <c r="F112" s="38"/>
      <c r="G112" s="38" t="s">
        <v>2131</v>
      </c>
      <c r="H112" s="454" t="s">
        <v>424</v>
      </c>
      <c r="I112" s="39" t="s">
        <v>980</v>
      </c>
      <c r="J112" s="2" t="s">
        <v>963</v>
      </c>
      <c r="K112" s="2" t="s">
        <v>2144</v>
      </c>
      <c r="L112" s="2" t="s">
        <v>2144</v>
      </c>
      <c r="M112" s="2" t="s">
        <v>2278</v>
      </c>
      <c r="N112" s="272"/>
      <c r="O112" s="56"/>
    </row>
    <row r="113" spans="1:14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2"/>
      <c r="E113" s="38"/>
      <c r="F113" s="38"/>
      <c r="G113" s="38" t="s">
        <v>2133</v>
      </c>
      <c r="H113" s="454" t="s">
        <v>424</v>
      </c>
      <c r="I113" s="39" t="s">
        <v>964</v>
      </c>
      <c r="J113" s="2" t="s">
        <v>988</v>
      </c>
      <c r="K113" s="2" t="s">
        <v>2144</v>
      </c>
      <c r="L113" s="2" t="s">
        <v>2144</v>
      </c>
      <c r="M113" s="2" t="s">
        <v>957</v>
      </c>
      <c r="N113" s="272"/>
    </row>
    <row r="114" spans="1:14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2"/>
      <c r="E114" s="38"/>
      <c r="F114" s="38"/>
      <c r="G114" s="38" t="s">
        <v>2131</v>
      </c>
      <c r="H114" s="454" t="s">
        <v>424</v>
      </c>
      <c r="I114" s="39" t="s">
        <v>964</v>
      </c>
      <c r="J114" s="2" t="s">
        <v>987</v>
      </c>
      <c r="K114" s="2" t="s">
        <v>2144</v>
      </c>
      <c r="L114" s="2" t="s">
        <v>2144</v>
      </c>
      <c r="M114" s="2" t="s">
        <v>2278</v>
      </c>
      <c r="N114" s="272"/>
    </row>
    <row r="115" spans="1:14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2"/>
      <c r="E115" s="38"/>
      <c r="F115" s="38"/>
      <c r="G115" s="38" t="s">
        <v>2133</v>
      </c>
      <c r="H115" s="454" t="s">
        <v>424</v>
      </c>
      <c r="I115" s="39" t="s">
        <v>988</v>
      </c>
      <c r="J115" s="2" t="s">
        <v>1981</v>
      </c>
      <c r="K115" s="2" t="s">
        <v>2144</v>
      </c>
      <c r="L115" s="2" t="s">
        <v>2143</v>
      </c>
      <c r="M115" s="2" t="s">
        <v>905</v>
      </c>
      <c r="N115" s="272"/>
    </row>
    <row r="116" spans="1:14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2"/>
      <c r="E116" s="38"/>
      <c r="F116" s="38"/>
      <c r="G116" s="38" t="s">
        <v>2133</v>
      </c>
      <c r="H116" s="454" t="s">
        <v>424</v>
      </c>
      <c r="I116" s="39" t="s">
        <v>987</v>
      </c>
      <c r="J116" s="2" t="s">
        <v>1984</v>
      </c>
      <c r="K116" s="2" t="s">
        <v>2144</v>
      </c>
      <c r="L116" s="2" t="s">
        <v>2143</v>
      </c>
      <c r="M116" s="2" t="s">
        <v>984</v>
      </c>
      <c r="N116" s="272"/>
    </row>
    <row r="117" spans="1:14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2"/>
      <c r="E117" s="38"/>
      <c r="F117" s="38"/>
      <c r="G117" s="38" t="s">
        <v>2131</v>
      </c>
      <c r="H117" s="454" t="s">
        <v>424</v>
      </c>
      <c r="I117" s="39" t="s">
        <v>988</v>
      </c>
      <c r="J117" s="2" t="s">
        <v>1981</v>
      </c>
      <c r="K117" s="2" t="s">
        <v>2144</v>
      </c>
      <c r="L117" s="2" t="s">
        <v>2143</v>
      </c>
      <c r="M117" s="2" t="s">
        <v>2279</v>
      </c>
      <c r="N117" s="272"/>
    </row>
    <row r="118" spans="1:14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2"/>
      <c r="E118" s="38"/>
      <c r="F118" s="38"/>
      <c r="G118" s="38" t="s">
        <v>2132</v>
      </c>
      <c r="H118" s="454" t="s">
        <v>424</v>
      </c>
      <c r="I118" s="39" t="s">
        <v>990</v>
      </c>
      <c r="J118" s="2" t="s">
        <v>1981</v>
      </c>
      <c r="K118" s="2" t="s">
        <v>2143</v>
      </c>
      <c r="L118" s="2" t="s">
        <v>2143</v>
      </c>
      <c r="M118" s="2" t="s">
        <v>952</v>
      </c>
      <c r="N118" s="272"/>
    </row>
    <row r="119" spans="1:14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2"/>
      <c r="E119" s="38"/>
      <c r="F119" s="38"/>
      <c r="G119" s="38" t="s">
        <v>2131</v>
      </c>
      <c r="H119" s="454" t="s">
        <v>424</v>
      </c>
      <c r="I119" s="39" t="s">
        <v>990</v>
      </c>
      <c r="J119" s="2" t="s">
        <v>1988</v>
      </c>
      <c r="K119" s="2" t="s">
        <v>2143</v>
      </c>
      <c r="L119" s="2" t="s">
        <v>2143</v>
      </c>
      <c r="M119" s="2" t="s">
        <v>775</v>
      </c>
      <c r="N119" s="272"/>
    </row>
    <row r="120" spans="1:14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2"/>
      <c r="E120" s="38"/>
      <c r="F120" s="38"/>
      <c r="G120" s="38" t="s">
        <v>2133</v>
      </c>
      <c r="H120" s="454" t="s">
        <v>424</v>
      </c>
      <c r="I120" s="39" t="s">
        <v>989</v>
      </c>
      <c r="J120" s="2" t="s">
        <v>1982</v>
      </c>
      <c r="K120" s="2" t="s">
        <v>2143</v>
      </c>
      <c r="L120" s="2" t="s">
        <v>2143</v>
      </c>
      <c r="M120" s="2" t="s">
        <v>957</v>
      </c>
      <c r="N120" s="272"/>
    </row>
    <row r="121" spans="1:14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2"/>
      <c r="E121" s="38"/>
      <c r="F121" s="674">
        <v>65.872484</v>
      </c>
      <c r="G121" s="38" t="s">
        <v>2131</v>
      </c>
      <c r="H121" s="454" t="s">
        <v>424</v>
      </c>
      <c r="I121" s="39" t="s">
        <v>1990</v>
      </c>
      <c r="J121" s="439" t="s">
        <v>2028</v>
      </c>
      <c r="K121" s="2" t="s">
        <v>2143</v>
      </c>
      <c r="L121" s="439" t="s">
        <v>2138</v>
      </c>
      <c r="M121" s="2" t="s">
        <v>985</v>
      </c>
      <c r="N121" s="272"/>
    </row>
    <row r="122" spans="1:14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2"/>
      <c r="E122" s="38"/>
      <c r="F122" s="38"/>
      <c r="G122" s="38" t="s">
        <v>2133</v>
      </c>
      <c r="H122" s="454" t="s">
        <v>424</v>
      </c>
      <c r="I122" s="39" t="s">
        <v>1984</v>
      </c>
      <c r="J122" s="2" t="s">
        <v>1989</v>
      </c>
      <c r="K122" s="2" t="s">
        <v>2143</v>
      </c>
      <c r="L122" s="2" t="s">
        <v>2143</v>
      </c>
      <c r="M122" s="2" t="s">
        <v>905</v>
      </c>
      <c r="N122" s="272"/>
    </row>
    <row r="123" spans="1:14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2"/>
      <c r="E123" s="38"/>
      <c r="F123" s="38"/>
      <c r="G123" s="38" t="s">
        <v>2132</v>
      </c>
      <c r="H123" s="454" t="s">
        <v>424</v>
      </c>
      <c r="I123" s="39" t="s">
        <v>1982</v>
      </c>
      <c r="J123" s="2" t="s">
        <v>1988</v>
      </c>
      <c r="K123" s="2" t="s">
        <v>2143</v>
      </c>
      <c r="L123" s="2" t="s">
        <v>2143</v>
      </c>
      <c r="M123" s="2" t="s">
        <v>952</v>
      </c>
      <c r="N123" s="272"/>
    </row>
    <row r="124" spans="1:14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2"/>
      <c r="E124" s="38"/>
      <c r="F124" s="38"/>
      <c r="G124" s="38" t="s">
        <v>2132</v>
      </c>
      <c r="H124" s="454" t="s">
        <v>424</v>
      </c>
      <c r="I124" s="39" t="s">
        <v>1983</v>
      </c>
      <c r="J124" s="2" t="s">
        <v>1985</v>
      </c>
      <c r="K124" s="2" t="s">
        <v>2143</v>
      </c>
      <c r="L124" s="2" t="s">
        <v>2143</v>
      </c>
      <c r="M124" s="2" t="s">
        <v>2279</v>
      </c>
      <c r="N124" s="272"/>
    </row>
    <row r="125" spans="1:14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2"/>
      <c r="E125" s="38"/>
      <c r="F125" s="38"/>
      <c r="G125" s="38" t="s">
        <v>2133</v>
      </c>
      <c r="H125" s="454" t="s">
        <v>424</v>
      </c>
      <c r="I125" s="39" t="s">
        <v>1984</v>
      </c>
      <c r="J125" s="2" t="s">
        <v>1985</v>
      </c>
      <c r="K125" s="2" t="s">
        <v>2143</v>
      </c>
      <c r="L125" s="2" t="s">
        <v>2143</v>
      </c>
      <c r="M125" s="2" t="s">
        <v>957</v>
      </c>
      <c r="N125" s="272"/>
    </row>
    <row r="126" spans="1:14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2"/>
      <c r="E126" s="38"/>
      <c r="F126" s="38"/>
      <c r="G126" s="38" t="s">
        <v>2133</v>
      </c>
      <c r="H126" s="454" t="s">
        <v>424</v>
      </c>
      <c r="I126" s="39" t="s">
        <v>1988</v>
      </c>
      <c r="J126" s="2" t="s">
        <v>2025</v>
      </c>
      <c r="K126" s="2" t="s">
        <v>2143</v>
      </c>
      <c r="L126" s="2" t="s">
        <v>2143</v>
      </c>
      <c r="M126" s="2" t="s">
        <v>984</v>
      </c>
      <c r="N126" s="272"/>
    </row>
    <row r="127" spans="1:14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2"/>
      <c r="E127" s="38"/>
      <c r="F127" s="38"/>
      <c r="G127" s="38" t="s">
        <v>2131</v>
      </c>
      <c r="H127" s="454" t="s">
        <v>424</v>
      </c>
      <c r="I127" s="39" t="s">
        <v>1989</v>
      </c>
      <c r="J127" s="2" t="s">
        <v>1994</v>
      </c>
      <c r="K127" s="2" t="s">
        <v>2143</v>
      </c>
      <c r="L127" s="2" t="s">
        <v>2143</v>
      </c>
      <c r="M127" s="2" t="s">
        <v>775</v>
      </c>
      <c r="N127" s="272"/>
    </row>
    <row r="128" spans="1:14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2"/>
      <c r="E128" s="38"/>
      <c r="F128" s="38"/>
      <c r="G128" s="38" t="s">
        <v>2132</v>
      </c>
      <c r="H128" s="454" t="s">
        <v>424</v>
      </c>
      <c r="I128" s="39" t="s">
        <v>1989</v>
      </c>
      <c r="J128" s="2" t="s">
        <v>1987</v>
      </c>
      <c r="K128" s="2" t="s">
        <v>2143</v>
      </c>
      <c r="L128" s="2" t="s">
        <v>2143</v>
      </c>
      <c r="M128" s="2" t="s">
        <v>952</v>
      </c>
      <c r="N128" s="272"/>
    </row>
    <row r="129" spans="1:15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2"/>
      <c r="E129" s="38"/>
      <c r="F129" s="38"/>
      <c r="G129" s="38" t="s">
        <v>2133</v>
      </c>
      <c r="H129" s="454" t="s">
        <v>424</v>
      </c>
      <c r="I129" s="39" t="s">
        <v>1992</v>
      </c>
      <c r="J129" s="2" t="s">
        <v>1994</v>
      </c>
      <c r="K129" s="2" t="s">
        <v>2143</v>
      </c>
      <c r="L129" s="2" t="s">
        <v>2143</v>
      </c>
      <c r="M129" s="2" t="s">
        <v>957</v>
      </c>
      <c r="N129" s="272"/>
    </row>
    <row r="130" spans="1:15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2"/>
      <c r="E130" s="38"/>
      <c r="F130" s="38"/>
      <c r="G130" s="38" t="s">
        <v>2132</v>
      </c>
      <c r="H130" s="454" t="s">
        <v>424</v>
      </c>
      <c r="I130" s="39" t="s">
        <v>1989</v>
      </c>
      <c r="J130" s="2" t="s">
        <v>1993</v>
      </c>
      <c r="K130" s="2" t="s">
        <v>2143</v>
      </c>
      <c r="L130" s="2" t="s">
        <v>2143</v>
      </c>
      <c r="M130" s="2" t="s">
        <v>2279</v>
      </c>
      <c r="N130" s="272"/>
    </row>
    <row r="131" spans="1:15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2"/>
      <c r="E131" s="38"/>
      <c r="F131" s="38"/>
      <c r="G131" s="38" t="s">
        <v>2131</v>
      </c>
      <c r="H131" s="454" t="s">
        <v>424</v>
      </c>
      <c r="I131" s="39" t="s">
        <v>1989</v>
      </c>
      <c r="J131" s="2" t="s">
        <v>1987</v>
      </c>
      <c r="K131" s="2" t="s">
        <v>2143</v>
      </c>
      <c r="L131" s="2" t="s">
        <v>2143</v>
      </c>
      <c r="M131" s="2" t="s">
        <v>2278</v>
      </c>
      <c r="N131" s="272"/>
    </row>
    <row r="132" spans="1:15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2"/>
      <c r="E132" s="38"/>
      <c r="F132" s="38"/>
      <c r="G132" s="38" t="s">
        <v>2133</v>
      </c>
      <c r="H132" s="454" t="s">
        <v>424</v>
      </c>
      <c r="I132" s="39" t="s">
        <v>1993</v>
      </c>
      <c r="J132" s="2" t="s">
        <v>1994</v>
      </c>
      <c r="K132" s="2" t="s">
        <v>2143</v>
      </c>
      <c r="L132" s="2" t="s">
        <v>2143</v>
      </c>
      <c r="M132" s="2" t="s">
        <v>905</v>
      </c>
      <c r="N132" s="272"/>
    </row>
    <row r="133" spans="1:15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2"/>
      <c r="E133" s="38"/>
      <c r="F133" s="38"/>
      <c r="G133" s="38" t="s">
        <v>2131</v>
      </c>
      <c r="H133" s="454" t="s">
        <v>424</v>
      </c>
      <c r="I133" s="39" t="s">
        <v>1991</v>
      </c>
      <c r="J133" s="2" t="s">
        <v>2026</v>
      </c>
      <c r="K133" s="2" t="s">
        <v>2143</v>
      </c>
      <c r="L133" s="2" t="s">
        <v>2143</v>
      </c>
      <c r="M133" s="2" t="s">
        <v>2279</v>
      </c>
      <c r="N133" s="272"/>
    </row>
    <row r="134" spans="1:15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2"/>
      <c r="E134" s="38"/>
      <c r="F134" s="38"/>
      <c r="G134" s="38" t="s">
        <v>2132</v>
      </c>
      <c r="H134" s="454" t="s">
        <v>424</v>
      </c>
      <c r="I134" s="39" t="s">
        <v>1994</v>
      </c>
      <c r="J134" s="2" t="s">
        <v>2023</v>
      </c>
      <c r="K134" s="2" t="s">
        <v>2143</v>
      </c>
      <c r="L134" s="2" t="s">
        <v>2143</v>
      </c>
      <c r="M134" s="2" t="s">
        <v>952</v>
      </c>
      <c r="N134" s="272"/>
    </row>
    <row r="135" spans="1:15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2"/>
      <c r="E135" s="38"/>
      <c r="F135" s="38"/>
      <c r="G135" s="38" t="s">
        <v>2131</v>
      </c>
      <c r="H135" s="454" t="s">
        <v>424</v>
      </c>
      <c r="I135" s="39" t="s">
        <v>1994</v>
      </c>
      <c r="J135" s="2" t="s">
        <v>2023</v>
      </c>
      <c r="K135" s="2" t="s">
        <v>2143</v>
      </c>
      <c r="L135" s="2" t="s">
        <v>2143</v>
      </c>
      <c r="M135" s="2" t="s">
        <v>2278</v>
      </c>
      <c r="N135" s="272"/>
      <c r="O135" s="291"/>
    </row>
    <row r="136" spans="1:15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2"/>
      <c r="E136" s="38"/>
      <c r="F136" s="38"/>
      <c r="G136" s="38" t="s">
        <v>2131</v>
      </c>
      <c r="H136" s="454" t="s">
        <v>424</v>
      </c>
      <c r="I136" s="39" t="s">
        <v>1994</v>
      </c>
      <c r="J136" s="2" t="s">
        <v>2022</v>
      </c>
      <c r="K136" s="2" t="s">
        <v>2143</v>
      </c>
      <c r="L136" s="2" t="s">
        <v>2143</v>
      </c>
      <c r="M136" s="2" t="s">
        <v>1995</v>
      </c>
      <c r="N136" s="272"/>
    </row>
    <row r="137" spans="1:15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2"/>
      <c r="E137" s="38"/>
      <c r="F137" s="674">
        <v>37.931088000000003</v>
      </c>
      <c r="G137" s="38" t="s">
        <v>2132</v>
      </c>
      <c r="H137" s="454" t="s">
        <v>424</v>
      </c>
      <c r="I137" s="39" t="s">
        <v>1998</v>
      </c>
      <c r="J137" s="39">
        <v>46121</v>
      </c>
      <c r="K137" s="39" t="s">
        <v>2143</v>
      </c>
      <c r="L137" s="39" t="s">
        <v>2138</v>
      </c>
      <c r="M137" s="2" t="s">
        <v>1996</v>
      </c>
      <c r="N137" s="272"/>
    </row>
    <row r="138" spans="1:15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2"/>
      <c r="E138" s="38"/>
      <c r="F138" s="674">
        <v>34.789809999999996</v>
      </c>
      <c r="G138" s="38" t="s">
        <v>2131</v>
      </c>
      <c r="H138" s="454" t="s">
        <v>424</v>
      </c>
      <c r="I138" s="39" t="s">
        <v>1999</v>
      </c>
      <c r="J138" s="439" t="s">
        <v>2027</v>
      </c>
      <c r="K138" s="2" t="s">
        <v>2143</v>
      </c>
      <c r="L138" s="439" t="s">
        <v>2138</v>
      </c>
      <c r="M138" s="2" t="s">
        <v>775</v>
      </c>
      <c r="N138" s="272"/>
    </row>
    <row r="139" spans="1:15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2"/>
      <c r="E139" s="38"/>
      <c r="F139" s="38"/>
      <c r="G139" s="38" t="s">
        <v>2133</v>
      </c>
      <c r="H139" s="454" t="s">
        <v>424</v>
      </c>
      <c r="I139" s="39" t="s">
        <v>2020</v>
      </c>
      <c r="J139" s="2" t="s">
        <v>2023</v>
      </c>
      <c r="K139" s="2" t="s">
        <v>2143</v>
      </c>
      <c r="L139" s="2" t="s">
        <v>2143</v>
      </c>
      <c r="M139" s="2" t="s">
        <v>905</v>
      </c>
      <c r="N139" s="272"/>
    </row>
    <row r="140" spans="1:15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2"/>
      <c r="E140" s="38"/>
      <c r="F140" s="38"/>
      <c r="G140" s="38" t="s">
        <v>2133</v>
      </c>
      <c r="H140" s="454" t="s">
        <v>424</v>
      </c>
      <c r="I140" s="39" t="s">
        <v>1999</v>
      </c>
      <c r="J140" s="2" t="s">
        <v>2026</v>
      </c>
      <c r="K140" s="2" t="s">
        <v>2143</v>
      </c>
      <c r="L140" s="2" t="s">
        <v>2143</v>
      </c>
      <c r="M140" s="2" t="s">
        <v>957</v>
      </c>
      <c r="N140" s="272"/>
    </row>
    <row r="141" spans="1:15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2"/>
      <c r="E141" s="38"/>
      <c r="F141" s="674">
        <v>37.138328000000001</v>
      </c>
      <c r="G141" s="38" t="s">
        <v>2131</v>
      </c>
      <c r="H141" s="454" t="s">
        <v>424</v>
      </c>
      <c r="I141" s="39" t="s">
        <v>1999</v>
      </c>
      <c r="J141" s="2" t="s">
        <v>2030</v>
      </c>
      <c r="K141" s="2" t="s">
        <v>2143</v>
      </c>
      <c r="L141" s="439" t="s">
        <v>2138</v>
      </c>
      <c r="M141" s="2" t="s">
        <v>1997</v>
      </c>
      <c r="N141" s="272"/>
    </row>
    <row r="142" spans="1:15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2"/>
      <c r="E142" s="38"/>
      <c r="F142" s="674">
        <v>37.138328000000001</v>
      </c>
      <c r="G142" s="38" t="s">
        <v>2131</v>
      </c>
      <c r="H142" s="454" t="s">
        <v>424</v>
      </c>
      <c r="I142" s="39" t="s">
        <v>2025</v>
      </c>
      <c r="J142" s="2" t="s">
        <v>2031</v>
      </c>
      <c r="K142" s="2" t="s">
        <v>2143</v>
      </c>
      <c r="L142" s="439" t="s">
        <v>2138</v>
      </c>
      <c r="M142" s="2" t="s">
        <v>1995</v>
      </c>
      <c r="N142" s="272"/>
    </row>
    <row r="143" spans="1:15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2"/>
      <c r="E143" s="38"/>
      <c r="F143" s="674">
        <v>36.159756000000002</v>
      </c>
      <c r="G143" s="38" t="s">
        <v>2131</v>
      </c>
      <c r="H143" s="454" t="s">
        <v>424</v>
      </c>
      <c r="I143" s="39" t="s">
        <v>2025</v>
      </c>
      <c r="J143" s="2" t="s">
        <v>2028</v>
      </c>
      <c r="K143" s="2" t="s">
        <v>2143</v>
      </c>
      <c r="L143" s="439" t="s">
        <v>2138</v>
      </c>
      <c r="M143" s="2" t="s">
        <v>2278</v>
      </c>
      <c r="N143" s="272"/>
      <c r="O143" s="80"/>
    </row>
    <row r="144" spans="1:15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2"/>
      <c r="E144" s="38"/>
      <c r="F144" s="674">
        <v>36.159756000000002</v>
      </c>
      <c r="G144" s="38" t="s">
        <v>2132</v>
      </c>
      <c r="H144" s="454" t="s">
        <v>424</v>
      </c>
      <c r="I144" s="39" t="s">
        <v>2026</v>
      </c>
      <c r="J144" s="2" t="s">
        <v>2030</v>
      </c>
      <c r="K144" s="2" t="s">
        <v>2143</v>
      </c>
      <c r="L144" s="439" t="s">
        <v>2138</v>
      </c>
      <c r="M144" s="2" t="s">
        <v>952</v>
      </c>
      <c r="N144" s="272"/>
    </row>
    <row r="145" spans="1:15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2"/>
      <c r="E145" s="38"/>
      <c r="F145" s="674">
        <v>34.789809999999996</v>
      </c>
      <c r="G145" s="38" t="s">
        <v>2133</v>
      </c>
      <c r="H145" s="454" t="s">
        <v>424</v>
      </c>
      <c r="I145" s="39" t="s">
        <v>2026</v>
      </c>
      <c r="J145" s="2" t="s">
        <v>2030</v>
      </c>
      <c r="K145" s="2" t="s">
        <v>2143</v>
      </c>
      <c r="L145" s="439" t="s">
        <v>2138</v>
      </c>
      <c r="M145" s="2" t="s">
        <v>905</v>
      </c>
      <c r="N145" s="272"/>
    </row>
    <row r="146" spans="1:15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2"/>
      <c r="E146" s="38"/>
      <c r="F146" s="674">
        <v>37.931088000000003</v>
      </c>
      <c r="G146" s="38" t="s">
        <v>2133</v>
      </c>
      <c r="H146" s="454" t="s">
        <v>424</v>
      </c>
      <c r="I146" s="39" t="s">
        <v>2027</v>
      </c>
      <c r="J146" s="39">
        <v>46119</v>
      </c>
      <c r="K146" s="39" t="s">
        <v>2138</v>
      </c>
      <c r="L146" s="39" t="s">
        <v>2138</v>
      </c>
      <c r="M146" s="2" t="s">
        <v>984</v>
      </c>
      <c r="N146" s="272"/>
      <c r="O146" s="292"/>
    </row>
    <row r="147" spans="1:15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2"/>
      <c r="E147" s="38"/>
      <c r="F147" s="674">
        <v>34.789809999999996</v>
      </c>
      <c r="G147" s="38" t="s">
        <v>2131</v>
      </c>
      <c r="H147" s="454" t="s">
        <v>424</v>
      </c>
      <c r="I147" s="39" t="s">
        <v>2028</v>
      </c>
      <c r="J147" s="2" t="s">
        <v>2031</v>
      </c>
      <c r="K147" s="39" t="s">
        <v>2138</v>
      </c>
      <c r="L147" s="439" t="s">
        <v>2138</v>
      </c>
      <c r="M147" s="2" t="s">
        <v>2279</v>
      </c>
      <c r="N147" s="272"/>
    </row>
    <row r="148" spans="1:15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2"/>
      <c r="E148" s="38"/>
      <c r="F148" s="674">
        <v>36.159756000000002</v>
      </c>
      <c r="G148" s="38" t="s">
        <v>2133</v>
      </c>
      <c r="H148" s="454" t="s">
        <v>424</v>
      </c>
      <c r="I148" s="39" t="s">
        <v>2028</v>
      </c>
      <c r="J148" s="39">
        <v>46119</v>
      </c>
      <c r="K148" s="39" t="s">
        <v>2138</v>
      </c>
      <c r="L148" s="39" t="s">
        <v>2138</v>
      </c>
      <c r="M148" s="2" t="s">
        <v>957</v>
      </c>
      <c r="N148" s="272"/>
    </row>
    <row r="149" spans="1:15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2"/>
      <c r="E149" s="38"/>
      <c r="F149" s="674">
        <v>35.601762000000001</v>
      </c>
      <c r="G149" s="38" t="s">
        <v>2131</v>
      </c>
      <c r="H149" s="454" t="s">
        <v>424</v>
      </c>
      <c r="I149" s="39" t="s">
        <v>2029</v>
      </c>
      <c r="J149" s="39">
        <v>46121</v>
      </c>
      <c r="K149" s="39" t="s">
        <v>2138</v>
      </c>
      <c r="L149" s="39" t="s">
        <v>2138</v>
      </c>
      <c r="M149" s="2" t="s">
        <v>775</v>
      </c>
      <c r="N149" s="272"/>
    </row>
    <row r="150" spans="1:15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2"/>
      <c r="E150" s="38"/>
      <c r="F150" s="674">
        <v>36.159756000000002</v>
      </c>
      <c r="G150" s="38" t="s">
        <v>2131</v>
      </c>
      <c r="H150" s="454" t="s">
        <v>424</v>
      </c>
      <c r="I150" s="39" t="s">
        <v>2029</v>
      </c>
      <c r="J150" s="2" t="s">
        <v>2032</v>
      </c>
      <c r="K150" s="39" t="s">
        <v>2138</v>
      </c>
      <c r="L150" s="439" t="s">
        <v>2138</v>
      </c>
      <c r="M150" s="2" t="s">
        <v>2278</v>
      </c>
      <c r="N150" s="272"/>
    </row>
    <row r="151" spans="1:15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2"/>
      <c r="E151" s="38"/>
      <c r="F151" s="674">
        <v>37.138328000000001</v>
      </c>
      <c r="G151" s="38" t="s">
        <v>2131</v>
      </c>
      <c r="H151" s="454" t="s">
        <v>424</v>
      </c>
      <c r="I151" s="39" t="s">
        <v>2029</v>
      </c>
      <c r="J151" s="39">
        <v>46122</v>
      </c>
      <c r="K151" s="39" t="s">
        <v>2138</v>
      </c>
      <c r="L151" s="39" t="s">
        <v>2138</v>
      </c>
      <c r="M151" s="2" t="s">
        <v>985</v>
      </c>
      <c r="N151" s="272"/>
    </row>
    <row r="152" spans="1:15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2"/>
      <c r="E152" s="38"/>
      <c r="F152" s="674">
        <v>37.138328000000001</v>
      </c>
      <c r="G152" s="38" t="s">
        <v>2131</v>
      </c>
      <c r="H152" s="454" t="s">
        <v>424</v>
      </c>
      <c r="I152" s="39" t="s">
        <v>2032</v>
      </c>
      <c r="J152" s="39">
        <v>46125</v>
      </c>
      <c r="K152" s="39" t="s">
        <v>2138</v>
      </c>
      <c r="L152" s="39" t="s">
        <v>2138</v>
      </c>
      <c r="M152" s="2" t="s">
        <v>1997</v>
      </c>
      <c r="N152" s="272"/>
    </row>
    <row r="153" spans="1:15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2"/>
      <c r="E153" s="38"/>
      <c r="F153" s="674">
        <v>34.789809999999996</v>
      </c>
      <c r="G153" s="38" t="s">
        <v>2132</v>
      </c>
      <c r="H153" s="454" t="s">
        <v>424</v>
      </c>
      <c r="I153" s="39" t="s">
        <v>2032</v>
      </c>
      <c r="J153" s="39">
        <v>46121</v>
      </c>
      <c r="K153" s="39" t="s">
        <v>2138</v>
      </c>
      <c r="L153" s="39" t="s">
        <v>2138</v>
      </c>
      <c r="M153" s="2" t="s">
        <v>952</v>
      </c>
      <c r="N153" s="272"/>
    </row>
    <row r="154" spans="1:15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2"/>
      <c r="E154" s="38"/>
      <c r="F154" s="674">
        <v>69.375960000000006</v>
      </c>
      <c r="G154" s="38" t="s">
        <v>2133</v>
      </c>
      <c r="H154" s="454" t="s">
        <v>424</v>
      </c>
      <c r="I154" s="39" t="s">
        <v>2032</v>
      </c>
      <c r="J154" s="39">
        <v>46127</v>
      </c>
      <c r="K154" s="39" t="s">
        <v>2138</v>
      </c>
      <c r="L154" s="39" t="s">
        <v>2138</v>
      </c>
      <c r="M154" s="2" t="s">
        <v>905</v>
      </c>
      <c r="N154" s="272"/>
      <c r="O154" s="80"/>
    </row>
    <row r="155" spans="1:15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2"/>
      <c r="E155" s="38"/>
      <c r="F155" s="674">
        <v>62.443705999999999</v>
      </c>
      <c r="G155" s="38" t="s">
        <v>2131</v>
      </c>
      <c r="H155" s="455" t="s">
        <v>492</v>
      </c>
      <c r="I155" s="39" t="s">
        <v>2032</v>
      </c>
      <c r="J155" s="39">
        <v>46128</v>
      </c>
      <c r="K155" s="39" t="s">
        <v>2138</v>
      </c>
      <c r="L155" s="39" t="s">
        <v>2138</v>
      </c>
      <c r="M155" s="2" t="s">
        <v>1995</v>
      </c>
      <c r="N155" s="272"/>
    </row>
    <row r="156" spans="1:15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2"/>
      <c r="E156" s="38"/>
      <c r="F156" s="674">
        <v>37.931088000000003</v>
      </c>
      <c r="G156" s="38" t="s">
        <v>2131</v>
      </c>
      <c r="H156" s="454" t="s">
        <v>424</v>
      </c>
      <c r="I156" s="39" t="s">
        <v>2032</v>
      </c>
      <c r="J156" s="39">
        <v>46121</v>
      </c>
      <c r="K156" s="39" t="s">
        <v>2138</v>
      </c>
      <c r="L156" s="39" t="s">
        <v>2138</v>
      </c>
      <c r="M156" s="2" t="s">
        <v>2279</v>
      </c>
      <c r="N156" s="272"/>
    </row>
    <row r="157" spans="1:15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2"/>
      <c r="E157" s="38"/>
      <c r="F157" s="674">
        <v>37.931088000000003</v>
      </c>
      <c r="G157" s="38" t="s">
        <v>2131</v>
      </c>
      <c r="H157" s="454" t="s">
        <v>424</v>
      </c>
      <c r="I157" s="39">
        <v>46120</v>
      </c>
      <c r="J157" s="39">
        <v>46123</v>
      </c>
      <c r="K157" s="39" t="s">
        <v>2138</v>
      </c>
      <c r="L157" s="39" t="s">
        <v>2138</v>
      </c>
      <c r="M157" s="2" t="s">
        <v>2278</v>
      </c>
      <c r="N157" s="272"/>
    </row>
    <row r="158" spans="1:15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2"/>
      <c r="E158" s="38"/>
      <c r="F158" s="674">
        <v>37.138328000000001</v>
      </c>
      <c r="G158" s="38" t="s">
        <v>2133</v>
      </c>
      <c r="H158" s="454" t="s">
        <v>424</v>
      </c>
      <c r="I158" s="39">
        <v>46121</v>
      </c>
      <c r="J158" s="39">
        <v>46126</v>
      </c>
      <c r="K158" s="39" t="s">
        <v>2138</v>
      </c>
      <c r="L158" s="39" t="s">
        <v>2138</v>
      </c>
      <c r="M158" s="2" t="s">
        <v>984</v>
      </c>
      <c r="N158" s="272"/>
    </row>
    <row r="159" spans="1:15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2"/>
      <c r="E159" s="38"/>
      <c r="F159" s="674">
        <v>43.804423999999997</v>
      </c>
      <c r="G159" s="38" t="s">
        <v>2131</v>
      </c>
      <c r="H159" s="454" t="s">
        <v>424</v>
      </c>
      <c r="I159" s="39">
        <v>46120</v>
      </c>
      <c r="J159" s="39">
        <v>46141</v>
      </c>
      <c r="K159" s="39" t="s">
        <v>2138</v>
      </c>
      <c r="L159" s="39" t="s">
        <v>2138</v>
      </c>
      <c r="M159" s="2" t="s">
        <v>2033</v>
      </c>
      <c r="N159" s="272"/>
    </row>
    <row r="160" spans="1:15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2"/>
      <c r="E160" s="38"/>
      <c r="F160" s="674">
        <v>36.159756000000002</v>
      </c>
      <c r="G160" s="38" t="s">
        <v>2131</v>
      </c>
      <c r="H160" s="454" t="s">
        <v>424</v>
      </c>
      <c r="I160" s="39">
        <v>46123</v>
      </c>
      <c r="J160" s="39">
        <v>46126</v>
      </c>
      <c r="K160" s="39" t="s">
        <v>2138</v>
      </c>
      <c r="L160" s="39" t="s">
        <v>2138</v>
      </c>
      <c r="M160" s="2" t="s">
        <v>775</v>
      </c>
      <c r="N160" s="272"/>
    </row>
    <row r="161" spans="1:14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2"/>
      <c r="E161" s="38"/>
      <c r="F161" s="674">
        <v>36.159756000000002</v>
      </c>
      <c r="G161" s="38" t="s">
        <v>2132</v>
      </c>
      <c r="H161" s="454" t="s">
        <v>424</v>
      </c>
      <c r="I161" s="39">
        <v>46124</v>
      </c>
      <c r="J161" s="39">
        <v>46133</v>
      </c>
      <c r="K161" s="39" t="s">
        <v>2138</v>
      </c>
      <c r="L161" s="39" t="s">
        <v>2138</v>
      </c>
      <c r="M161" s="2" t="s">
        <v>1996</v>
      </c>
      <c r="N161" s="272"/>
    </row>
    <row r="162" spans="1:14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2"/>
      <c r="E162" s="38"/>
      <c r="F162" s="674">
        <v>35.601762000000001</v>
      </c>
      <c r="G162" s="38" t="s">
        <v>2131</v>
      </c>
      <c r="H162" s="454" t="s">
        <v>424</v>
      </c>
      <c r="I162" s="39">
        <v>46122</v>
      </c>
      <c r="J162" s="39">
        <v>46125</v>
      </c>
      <c r="K162" s="39" t="s">
        <v>2138</v>
      </c>
      <c r="L162" s="39" t="s">
        <v>2138</v>
      </c>
      <c r="M162" s="2" t="s">
        <v>2279</v>
      </c>
      <c r="N162" s="272"/>
    </row>
    <row r="163" spans="1:14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2"/>
      <c r="E163" s="38"/>
      <c r="F163" s="674">
        <v>37.138328000000001</v>
      </c>
      <c r="G163" s="38" t="s">
        <v>2132</v>
      </c>
      <c r="H163" s="454" t="s">
        <v>424</v>
      </c>
      <c r="I163" s="39">
        <v>46122</v>
      </c>
      <c r="J163" s="39">
        <v>46127</v>
      </c>
      <c r="K163" s="39" t="s">
        <v>2138</v>
      </c>
      <c r="L163" s="39" t="s">
        <v>2138</v>
      </c>
      <c r="M163" s="2" t="s">
        <v>952</v>
      </c>
      <c r="N163" s="272"/>
    </row>
    <row r="164" spans="1:14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2"/>
      <c r="E164" s="38"/>
      <c r="F164" s="674">
        <v>43.804423999999997</v>
      </c>
      <c r="G164" s="38" t="s">
        <v>2131</v>
      </c>
      <c r="H164" s="454" t="s">
        <v>424</v>
      </c>
      <c r="I164" s="39">
        <v>46124</v>
      </c>
      <c r="J164" s="39">
        <v>46130</v>
      </c>
      <c r="K164" s="39" t="s">
        <v>2138</v>
      </c>
      <c r="L164" s="39" t="s">
        <v>2138</v>
      </c>
      <c r="M164" s="2" t="s">
        <v>985</v>
      </c>
      <c r="N164" s="272"/>
    </row>
    <row r="165" spans="1:14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2"/>
      <c r="E165" s="38"/>
      <c r="F165" s="674">
        <v>34.789809999999996</v>
      </c>
      <c r="G165" s="38" t="s">
        <v>2131</v>
      </c>
      <c r="H165" s="454" t="s">
        <v>424</v>
      </c>
      <c r="I165" s="39">
        <v>46125</v>
      </c>
      <c r="J165" s="39">
        <v>46133</v>
      </c>
      <c r="K165" s="39" t="s">
        <v>2138</v>
      </c>
      <c r="L165" s="39" t="s">
        <v>2138</v>
      </c>
      <c r="M165" s="2" t="s">
        <v>1997</v>
      </c>
      <c r="N165" s="272"/>
    </row>
    <row r="166" spans="1:14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2"/>
      <c r="E166" s="38"/>
      <c r="F166" s="674">
        <v>43.804423999999997</v>
      </c>
      <c r="G166" s="38" t="s">
        <v>2131</v>
      </c>
      <c r="H166" s="454" t="s">
        <v>424</v>
      </c>
      <c r="I166" s="39">
        <v>46125</v>
      </c>
      <c r="J166" s="39">
        <v>46128</v>
      </c>
      <c r="K166" s="39" t="s">
        <v>2138</v>
      </c>
      <c r="L166" s="39" t="s">
        <v>2138</v>
      </c>
      <c r="M166" s="2" t="s">
        <v>2279</v>
      </c>
      <c r="N166" s="272"/>
    </row>
    <row r="167" spans="1:14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2"/>
      <c r="E167" s="38"/>
      <c r="F167" s="674">
        <v>99.778859999999995</v>
      </c>
      <c r="G167" s="38" t="s">
        <v>2131</v>
      </c>
      <c r="H167" s="454" t="s">
        <v>424</v>
      </c>
      <c r="I167" s="39">
        <v>46128</v>
      </c>
      <c r="J167" s="39">
        <v>46141</v>
      </c>
      <c r="K167" s="39" t="s">
        <v>2138</v>
      </c>
      <c r="L167" s="39" t="s">
        <v>2138</v>
      </c>
      <c r="M167" s="2" t="s">
        <v>2126</v>
      </c>
      <c r="N167" s="272"/>
    </row>
    <row r="168" spans="1:14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2"/>
      <c r="E168" s="38"/>
      <c r="F168" s="674">
        <v>37.931088000000003</v>
      </c>
      <c r="G168" s="38" t="s">
        <v>2133</v>
      </c>
      <c r="H168" s="454" t="s">
        <v>424</v>
      </c>
      <c r="I168" s="39">
        <v>46126</v>
      </c>
      <c r="J168" s="39">
        <v>46135</v>
      </c>
      <c r="K168" s="39" t="s">
        <v>2138</v>
      </c>
      <c r="L168" s="39" t="s">
        <v>2138</v>
      </c>
      <c r="M168" s="2" t="s">
        <v>2127</v>
      </c>
      <c r="N168" s="272"/>
    </row>
    <row r="169" spans="1:14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2"/>
      <c r="E169" s="38"/>
      <c r="F169" s="674">
        <v>67.261728000000005</v>
      </c>
      <c r="G169" s="38" t="s">
        <v>2131</v>
      </c>
      <c r="H169" s="454" t="s">
        <v>424</v>
      </c>
      <c r="I169" s="39">
        <v>46124</v>
      </c>
      <c r="J169" s="39">
        <v>46130</v>
      </c>
      <c r="K169" s="39" t="s">
        <v>2138</v>
      </c>
      <c r="L169" s="39" t="s">
        <v>2138</v>
      </c>
      <c r="M169" s="2" t="s">
        <v>2128</v>
      </c>
      <c r="N169" s="272"/>
    </row>
    <row r="170" spans="1:14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2"/>
      <c r="E170" s="38"/>
      <c r="F170" s="674">
        <v>37.931088000000003</v>
      </c>
      <c r="G170" s="38" t="s">
        <v>2132</v>
      </c>
      <c r="H170" s="454" t="s">
        <v>424</v>
      </c>
      <c r="I170" s="39">
        <v>46128</v>
      </c>
      <c r="J170" s="39">
        <v>46134</v>
      </c>
      <c r="K170" s="39" t="s">
        <v>2138</v>
      </c>
      <c r="L170" s="39" t="s">
        <v>2138</v>
      </c>
      <c r="M170" s="2" t="s">
        <v>952</v>
      </c>
      <c r="N170" s="272"/>
    </row>
    <row r="171" spans="1:14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2"/>
      <c r="E171" s="38"/>
      <c r="F171" s="674">
        <v>34.789809999999996</v>
      </c>
      <c r="G171" s="38" t="s">
        <v>2133</v>
      </c>
      <c r="H171" s="454" t="s">
        <v>424</v>
      </c>
      <c r="I171" s="39">
        <v>46129</v>
      </c>
      <c r="J171" s="39">
        <v>46134</v>
      </c>
      <c r="K171" s="39" t="s">
        <v>2138</v>
      </c>
      <c r="L171" s="39" t="s">
        <v>2138</v>
      </c>
      <c r="M171" s="2" t="s">
        <v>905</v>
      </c>
      <c r="N171" s="272"/>
    </row>
    <row r="172" spans="1:14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2"/>
      <c r="E172" s="38"/>
      <c r="F172" s="674">
        <v>37.931088000000003</v>
      </c>
      <c r="G172" s="38" t="s">
        <v>2131</v>
      </c>
      <c r="H172" s="454" t="s">
        <v>424</v>
      </c>
      <c r="I172" s="39">
        <v>46130</v>
      </c>
      <c r="J172" s="39">
        <v>46133</v>
      </c>
      <c r="K172" s="39" t="s">
        <v>2138</v>
      </c>
      <c r="L172" s="39" t="s">
        <v>2138</v>
      </c>
      <c r="M172" s="2" t="s">
        <v>2279</v>
      </c>
      <c r="N172" s="272"/>
    </row>
    <row r="173" spans="1:14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"/>
      <c r="E173" s="38"/>
      <c r="F173" s="674">
        <v>37.138328000000001</v>
      </c>
      <c r="G173" s="263" t="s">
        <v>2131</v>
      </c>
      <c r="H173" s="454" t="s">
        <v>424</v>
      </c>
      <c r="I173" s="39">
        <v>46131</v>
      </c>
      <c r="J173" s="39">
        <v>46134</v>
      </c>
      <c r="K173" s="39" t="s">
        <v>2138</v>
      </c>
      <c r="L173" s="39" t="s">
        <v>2138</v>
      </c>
      <c r="M173" s="2" t="s">
        <v>2128</v>
      </c>
      <c r="N173" s="272"/>
    </row>
    <row r="174" spans="1:14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"/>
      <c r="E174" s="38"/>
      <c r="F174" s="674">
        <v>37.931088000000003</v>
      </c>
      <c r="G174" s="263" t="s">
        <v>2131</v>
      </c>
      <c r="H174" s="454" t="s">
        <v>424</v>
      </c>
      <c r="I174" s="39">
        <v>46131</v>
      </c>
      <c r="J174" s="39">
        <v>46140</v>
      </c>
      <c r="K174" s="39" t="s">
        <v>2138</v>
      </c>
      <c r="L174" s="39" t="s">
        <v>2138</v>
      </c>
      <c r="M174" s="2" t="s">
        <v>985</v>
      </c>
      <c r="N174" s="272"/>
    </row>
    <row r="175" spans="1:14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/>
      <c r="E175" s="38"/>
      <c r="F175" s="674">
        <v>36.159756000000002</v>
      </c>
      <c r="G175" s="2" t="s">
        <v>2132</v>
      </c>
      <c r="H175" s="454" t="s">
        <v>424</v>
      </c>
      <c r="I175" s="39">
        <v>46133</v>
      </c>
      <c r="J175" s="39">
        <v>46138</v>
      </c>
      <c r="K175" s="39" t="s">
        <v>2138</v>
      </c>
      <c r="L175" s="2" t="s">
        <v>2138</v>
      </c>
      <c r="M175" s="2" t="s">
        <v>2152</v>
      </c>
      <c r="N175" s="272"/>
    </row>
    <row r="176" spans="1:14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2"/>
      <c r="E176" s="38"/>
      <c r="F176" s="674">
        <v>43.804423999999997</v>
      </c>
      <c r="G176" s="38" t="s">
        <v>2131</v>
      </c>
      <c r="H176" s="454" t="s">
        <v>424</v>
      </c>
      <c r="I176" s="39">
        <v>46134</v>
      </c>
      <c r="J176" s="39">
        <v>46142</v>
      </c>
      <c r="K176" s="39" t="s">
        <v>2138</v>
      </c>
      <c r="L176" s="2" t="s">
        <v>2138</v>
      </c>
      <c r="M176" s="2" t="s">
        <v>1997</v>
      </c>
      <c r="N176" s="272"/>
    </row>
    <row r="177" spans="1:14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"/>
      <c r="E177" s="38"/>
      <c r="F177" s="674">
        <v>36.159756000000002</v>
      </c>
      <c r="G177" s="263" t="s">
        <v>2131</v>
      </c>
      <c r="H177" s="454" t="s">
        <v>424</v>
      </c>
      <c r="I177" s="39">
        <v>46134</v>
      </c>
      <c r="J177" s="39">
        <v>46137</v>
      </c>
      <c r="K177" s="39" t="s">
        <v>2138</v>
      </c>
      <c r="L177" s="39" t="s">
        <v>2138</v>
      </c>
      <c r="M177" s="2" t="s">
        <v>2279</v>
      </c>
      <c r="N177" s="272"/>
    </row>
    <row r="178" spans="1:14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2266</v>
      </c>
      <c r="E178" s="665">
        <f>736844.7/100000</f>
        <v>7.3684469999999997</v>
      </c>
      <c r="F178" s="665">
        <f>73244.548/1000</f>
        <v>73.244547999999995</v>
      </c>
      <c r="G178" s="2" t="s">
        <v>2132</v>
      </c>
      <c r="H178" s="454" t="s">
        <v>424</v>
      </c>
      <c r="I178" s="39">
        <v>46134</v>
      </c>
      <c r="J178" s="39">
        <v>46163</v>
      </c>
      <c r="K178" s="39" t="s">
        <v>2138</v>
      </c>
      <c r="L178" s="2" t="s">
        <v>2154</v>
      </c>
      <c r="M178" s="2" t="s">
        <v>1996</v>
      </c>
      <c r="N178" s="272"/>
    </row>
    <row r="179" spans="1:14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"/>
      <c r="E179" s="38"/>
      <c r="F179" s="674">
        <v>36.159756000000002</v>
      </c>
      <c r="G179" s="263" t="s">
        <v>2131</v>
      </c>
      <c r="H179" s="454" t="s">
        <v>424</v>
      </c>
      <c r="I179" s="39">
        <v>46135</v>
      </c>
      <c r="J179" s="39">
        <v>46138</v>
      </c>
      <c r="K179" s="39" t="s">
        <v>2138</v>
      </c>
      <c r="L179" s="39" t="s">
        <v>2138</v>
      </c>
      <c r="M179" s="2" t="s">
        <v>2128</v>
      </c>
      <c r="N179" s="272"/>
    </row>
    <row r="180" spans="1:14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/>
      <c r="E180" s="38"/>
      <c r="F180" s="674">
        <v>37.931088000000003</v>
      </c>
      <c r="G180" s="2" t="s">
        <v>2132</v>
      </c>
      <c r="H180" s="454" t="s">
        <v>424</v>
      </c>
      <c r="I180" s="39">
        <v>46135</v>
      </c>
      <c r="J180" s="39">
        <v>46140</v>
      </c>
      <c r="K180" s="2" t="s">
        <v>2138</v>
      </c>
      <c r="L180" s="2" t="s">
        <v>2138</v>
      </c>
      <c r="M180" s="2" t="s">
        <v>952</v>
      </c>
      <c r="N180" s="272"/>
    </row>
    <row r="181" spans="1:14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2"/>
      <c r="E181" s="38"/>
      <c r="F181" s="674">
        <v>34.789809999999996</v>
      </c>
      <c r="G181" s="38" t="s">
        <v>2133</v>
      </c>
      <c r="H181" s="454" t="s">
        <v>424</v>
      </c>
      <c r="I181" s="39">
        <v>46135</v>
      </c>
      <c r="J181" s="39">
        <v>46140</v>
      </c>
      <c r="K181" s="2" t="s">
        <v>2138</v>
      </c>
      <c r="L181" s="2" t="s">
        <v>2138</v>
      </c>
      <c r="M181" s="2" t="s">
        <v>905</v>
      </c>
      <c r="N181" s="272"/>
    </row>
    <row r="182" spans="1:14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"/>
      <c r="E182" s="38"/>
      <c r="F182" s="674">
        <v>36.159756000000002</v>
      </c>
      <c r="G182" s="263" t="s">
        <v>2131</v>
      </c>
      <c r="H182" s="454" t="s">
        <v>424</v>
      </c>
      <c r="I182" s="39">
        <v>46138</v>
      </c>
      <c r="J182" s="39">
        <v>46140</v>
      </c>
      <c r="K182" s="2" t="s">
        <v>2138</v>
      </c>
      <c r="L182" s="2" t="s">
        <v>2138</v>
      </c>
      <c r="M182" s="2" t="s">
        <v>2279</v>
      </c>
      <c r="N182" s="272"/>
    </row>
    <row r="183" spans="1:14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2"/>
      <c r="E183" s="38"/>
      <c r="F183" s="674">
        <v>34.789809999999996</v>
      </c>
      <c r="G183" s="38" t="s">
        <v>2133</v>
      </c>
      <c r="H183" s="454" t="s">
        <v>424</v>
      </c>
      <c r="I183" s="39">
        <v>46138</v>
      </c>
      <c r="J183" s="39">
        <v>46142</v>
      </c>
      <c r="K183" s="2" t="s">
        <v>2138</v>
      </c>
      <c r="L183" s="2" t="s">
        <v>2138</v>
      </c>
      <c r="M183" s="2" t="s">
        <v>984</v>
      </c>
      <c r="N183" s="272"/>
    </row>
    <row r="184" spans="1:14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" t="s">
        <v>2264</v>
      </c>
      <c r="E184" s="665">
        <f>VLOOKUP(B:B,[4]Erection!$F:$J,5,0)</f>
        <v>5.5783706000000004</v>
      </c>
      <c r="F184" s="665">
        <f>VLOOKUP(B184,[4]Erection!$F:$H,3,0)</f>
        <v>55.4</v>
      </c>
      <c r="G184" s="263" t="s">
        <v>2131</v>
      </c>
      <c r="H184" s="454" t="s">
        <v>424</v>
      </c>
      <c r="I184" s="39">
        <v>46138</v>
      </c>
      <c r="J184" s="39">
        <v>46144</v>
      </c>
      <c r="K184" s="2" t="s">
        <v>2138</v>
      </c>
      <c r="L184" s="2" t="s">
        <v>2154</v>
      </c>
      <c r="M184" s="2" t="s">
        <v>2128</v>
      </c>
      <c r="N184" s="272"/>
    </row>
    <row r="185" spans="1:14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" t="s">
        <v>2265</v>
      </c>
      <c r="E185" s="665">
        <f>VLOOKUP(B:B,[4]Erection!$F:$J,5,0)</f>
        <v>11.128875000000001</v>
      </c>
      <c r="F185" s="665">
        <f>VLOOKUP(B185,[4]Erection!$F:$H,3,0)</f>
        <v>110.62602199999999</v>
      </c>
      <c r="G185" s="263" t="s">
        <v>2131</v>
      </c>
      <c r="H185" s="454" t="s">
        <v>424</v>
      </c>
      <c r="I185" s="39">
        <v>46142</v>
      </c>
      <c r="J185" s="39">
        <v>46156</v>
      </c>
      <c r="K185" s="2" t="s">
        <v>2138</v>
      </c>
      <c r="L185" s="2" t="s">
        <v>2154</v>
      </c>
      <c r="M185" s="2" t="s">
        <v>2126</v>
      </c>
    </row>
    <row r="186" spans="1:14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" t="s">
        <v>2265</v>
      </c>
      <c r="E186" s="665">
        <f>VLOOKUP(B:B,[4]Erection!$F:$J,5,0)</f>
        <v>10.2564718</v>
      </c>
      <c r="F186" s="665">
        <f>VLOOKUP(B186,[4]Erection!$F:$H,3,0)</f>
        <v>101.95259200000001</v>
      </c>
      <c r="G186" s="263" t="s">
        <v>2131</v>
      </c>
      <c r="H186" s="454" t="s">
        <v>424</v>
      </c>
      <c r="I186" s="39">
        <v>46142</v>
      </c>
      <c r="J186" s="39">
        <v>46154</v>
      </c>
      <c r="K186" s="2" t="s">
        <v>2138</v>
      </c>
      <c r="L186" s="2" t="s">
        <v>2154</v>
      </c>
      <c r="M186" s="2" t="s">
        <v>985</v>
      </c>
    </row>
    <row r="187" spans="1:14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" t="s">
        <v>2264</v>
      </c>
      <c r="E187" s="665">
        <f>VLOOKUP(B:B,[4]Erection!$F:$J,5,0)</f>
        <v>3.6376959999999996</v>
      </c>
      <c r="F187" s="665">
        <v>36.159756000000002</v>
      </c>
      <c r="G187" s="263" t="s">
        <v>2131</v>
      </c>
      <c r="H187" s="454" t="s">
        <v>424</v>
      </c>
      <c r="I187" s="39">
        <v>46141</v>
      </c>
      <c r="J187" s="39">
        <v>46144</v>
      </c>
      <c r="K187" s="2" t="s">
        <v>2138</v>
      </c>
      <c r="L187" s="2" t="s">
        <v>2154</v>
      </c>
      <c r="M187" s="2" t="s">
        <v>2279</v>
      </c>
    </row>
    <row r="188" spans="1:14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" t="s">
        <v>2265</v>
      </c>
      <c r="E188" s="665">
        <f>381585.86/100000</f>
        <v>3.8158585999999999</v>
      </c>
      <c r="F188" s="665">
        <f>37931.088/1000</f>
        <v>37.931088000000003</v>
      </c>
      <c r="G188" s="263" t="s">
        <v>2131</v>
      </c>
      <c r="H188" s="454" t="s">
        <v>424</v>
      </c>
      <c r="I188" s="39">
        <v>46142</v>
      </c>
      <c r="J188" s="39">
        <v>46153</v>
      </c>
      <c r="K188" s="2" t="s">
        <v>2138</v>
      </c>
      <c r="L188" s="2" t="s">
        <v>2154</v>
      </c>
      <c r="M188" s="2" t="s">
        <v>2033</v>
      </c>
    </row>
    <row r="189" spans="1:14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2265</v>
      </c>
      <c r="E189" s="665">
        <f>VLOOKUP(B:B,[4]Erection!$F:$J,5,0)</f>
        <v>6.2818664000000002</v>
      </c>
      <c r="F189" s="665">
        <f>VLOOKUP(B189,[4]Erection!$F:$H,3,0)</f>
        <v>62.44</v>
      </c>
      <c r="G189" s="2" t="s">
        <v>2132</v>
      </c>
      <c r="H189" s="454" t="s">
        <v>424</v>
      </c>
      <c r="I189" s="39">
        <v>46141</v>
      </c>
      <c r="J189" s="39">
        <v>46150</v>
      </c>
      <c r="K189" s="2" t="s">
        <v>2138</v>
      </c>
      <c r="L189" s="2" t="s">
        <v>2154</v>
      </c>
      <c r="M189" s="2" t="s">
        <v>952</v>
      </c>
    </row>
    <row r="190" spans="1:14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2" t="s">
        <v>2264</v>
      </c>
      <c r="E190" s="665">
        <f>358156.12/100000</f>
        <v>3.5815611999999999</v>
      </c>
      <c r="F190" s="665">
        <v>35.6</v>
      </c>
      <c r="G190" s="38" t="s">
        <v>2133</v>
      </c>
      <c r="H190" s="454" t="s">
        <v>424</v>
      </c>
      <c r="I190" s="39">
        <v>46142</v>
      </c>
      <c r="J190" s="39">
        <v>46148</v>
      </c>
      <c r="K190" s="2" t="s">
        <v>2138</v>
      </c>
      <c r="L190" s="2" t="s">
        <v>2154</v>
      </c>
      <c r="M190" s="2" t="s">
        <v>905</v>
      </c>
    </row>
    <row r="191" spans="1:14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" t="s">
        <v>2265</v>
      </c>
      <c r="E191" s="665">
        <f>VLOOKUP(B:B,[4]Erection!$F:$J,5,0)</f>
        <v>8.3632804000000007</v>
      </c>
      <c r="F191" s="665">
        <f>VLOOKUP(B191,[4]Erection!$F:$H,3,0)</f>
        <v>83.13</v>
      </c>
      <c r="G191" s="263" t="s">
        <v>2131</v>
      </c>
      <c r="H191" s="454" t="s">
        <v>424</v>
      </c>
      <c r="I191" s="39">
        <v>46142</v>
      </c>
      <c r="J191" s="39">
        <v>46154</v>
      </c>
      <c r="K191" s="2" t="s">
        <v>2138</v>
      </c>
      <c r="L191" s="2" t="s">
        <v>2154</v>
      </c>
      <c r="M191" s="2" t="s">
        <v>1997</v>
      </c>
    </row>
    <row r="192" spans="1:14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" t="s">
        <v>2264</v>
      </c>
      <c r="E192" s="665">
        <f>VLOOKUP(B:B,[4]Erection!$F:$J,5,0)</f>
        <v>3.4998739999999997</v>
      </c>
      <c r="F192" s="665">
        <f>VLOOKUP(B192,[4]Erection!$F:$H,3,0)</f>
        <v>34.79</v>
      </c>
      <c r="G192" s="263" t="s">
        <v>2131</v>
      </c>
      <c r="H192" s="454" t="s">
        <v>424</v>
      </c>
      <c r="I192" s="39">
        <v>46145</v>
      </c>
      <c r="J192" s="39">
        <v>46148</v>
      </c>
      <c r="K192" s="2" t="s">
        <v>2154</v>
      </c>
      <c r="L192" s="2" t="s">
        <v>2154</v>
      </c>
      <c r="M192" s="2" t="s">
        <v>2279</v>
      </c>
    </row>
    <row r="193" spans="1:13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2" t="s">
        <v>2266</v>
      </c>
      <c r="E193" s="665">
        <f>363769.6/100000</f>
        <v>3.6376959999999996</v>
      </c>
      <c r="F193" s="665">
        <v>36.159756000000002</v>
      </c>
      <c r="G193" s="38" t="s">
        <v>2133</v>
      </c>
      <c r="H193" s="454" t="s">
        <v>424</v>
      </c>
      <c r="I193" s="39">
        <v>46145</v>
      </c>
      <c r="J193" s="39">
        <v>46159</v>
      </c>
      <c r="K193" s="38" t="s">
        <v>2154</v>
      </c>
      <c r="L193" s="38" t="s">
        <v>2154</v>
      </c>
      <c r="M193" s="2" t="s">
        <v>984</v>
      </c>
    </row>
    <row r="194" spans="1:13" x14ac:dyDescent="0.35">
      <c r="A194" s="2">
        <v>193</v>
      </c>
      <c r="B194" s="2" t="s">
        <v>124</v>
      </c>
      <c r="C194" s="2" t="s">
        <v>23</v>
      </c>
      <c r="D194" s="2" t="s">
        <v>2264</v>
      </c>
      <c r="E194" s="665">
        <f>VLOOKUP(B:B,[4]Erection!$F:$J,5,0)</f>
        <v>3.4998739999999997</v>
      </c>
      <c r="F194" s="665">
        <f>VLOOKUP(B194,[4]Erection!$F:$H,3,0)</f>
        <v>34.79</v>
      </c>
      <c r="G194" s="263" t="s">
        <v>2131</v>
      </c>
      <c r="H194" s="454" t="s">
        <v>424</v>
      </c>
      <c r="I194" s="39">
        <v>46146</v>
      </c>
      <c r="J194" s="39">
        <v>46149</v>
      </c>
      <c r="K194" s="38" t="s">
        <v>2154</v>
      </c>
      <c r="L194" s="2" t="s">
        <v>2154</v>
      </c>
      <c r="M194" s="2" t="s">
        <v>2128</v>
      </c>
    </row>
    <row r="195" spans="1:13" x14ac:dyDescent="0.35">
      <c r="A195" s="2">
        <v>194</v>
      </c>
      <c r="B195" s="2" t="s">
        <v>205</v>
      </c>
      <c r="C195" s="2" t="s">
        <v>31</v>
      </c>
      <c r="D195" s="2" t="s">
        <v>2265</v>
      </c>
      <c r="E195" s="665">
        <f>363769.6/100000</f>
        <v>3.6376959999999996</v>
      </c>
      <c r="F195" s="665">
        <v>36.159756000000002</v>
      </c>
      <c r="G195" s="263" t="s">
        <v>2131</v>
      </c>
      <c r="H195" s="454" t="s">
        <v>424</v>
      </c>
      <c r="I195" s="39">
        <v>46149</v>
      </c>
      <c r="J195" s="39">
        <v>46153</v>
      </c>
      <c r="K195" s="2" t="s">
        <v>2154</v>
      </c>
      <c r="L195" s="2" t="s">
        <v>2154</v>
      </c>
      <c r="M195" s="2" t="s">
        <v>2156</v>
      </c>
    </row>
    <row r="196" spans="1:13" x14ac:dyDescent="0.35">
      <c r="A196" s="2">
        <v>195</v>
      </c>
      <c r="B196" s="2" t="s">
        <v>344</v>
      </c>
      <c r="C196" s="2" t="s">
        <v>23</v>
      </c>
      <c r="D196" s="2" t="s">
        <v>2265</v>
      </c>
      <c r="E196" s="665">
        <f>VLOOKUP(B:B,[4]Erection!$F:$J,5,0)</f>
        <v>3.4998739999999997</v>
      </c>
      <c r="F196" s="665">
        <f>VLOOKUP(B196,[4]Erection!$F:$H,3,0)</f>
        <v>34.79</v>
      </c>
      <c r="G196" s="38" t="s">
        <v>2133</v>
      </c>
      <c r="H196" s="454" t="s">
        <v>424</v>
      </c>
      <c r="I196" s="39">
        <v>46149</v>
      </c>
      <c r="J196" s="39">
        <v>46156</v>
      </c>
      <c r="K196" s="2" t="s">
        <v>2154</v>
      </c>
      <c r="L196" s="2" t="s">
        <v>2154</v>
      </c>
      <c r="M196" s="2" t="s">
        <v>905</v>
      </c>
    </row>
    <row r="197" spans="1:13" x14ac:dyDescent="0.35">
      <c r="A197" s="2">
        <v>196</v>
      </c>
      <c r="B197" s="2" t="s">
        <v>125</v>
      </c>
      <c r="C197" s="2" t="s">
        <v>31</v>
      </c>
      <c r="D197" s="2" t="s">
        <v>2265</v>
      </c>
      <c r="E197" s="665">
        <f>VLOOKUP(B:B,[4]Erection!$F:$J,5,0)</f>
        <v>3.6376959999999996</v>
      </c>
      <c r="F197" s="665">
        <v>36.159756000000002</v>
      </c>
      <c r="G197" s="263" t="s">
        <v>2131</v>
      </c>
      <c r="H197" s="454" t="s">
        <v>424</v>
      </c>
      <c r="I197" s="39">
        <v>46150</v>
      </c>
      <c r="J197" s="39">
        <v>46153</v>
      </c>
      <c r="K197" s="2" t="s">
        <v>2154</v>
      </c>
      <c r="L197" s="2" t="s">
        <v>2154</v>
      </c>
      <c r="M197" s="2" t="s">
        <v>2128</v>
      </c>
    </row>
    <row r="198" spans="1:13" x14ac:dyDescent="0.35">
      <c r="A198" s="2">
        <v>197</v>
      </c>
      <c r="B198" s="2" t="s">
        <v>254</v>
      </c>
      <c r="C198" s="2" t="s">
        <v>23</v>
      </c>
      <c r="D198" s="2" t="s">
        <v>2266</v>
      </c>
      <c r="E198" s="665">
        <f>VLOOKUP(B:B,[4]Erection!$F:$J,5,0)</f>
        <v>3.4998739999999997</v>
      </c>
      <c r="F198" s="665">
        <f>VLOOKUP(B198,[4]Erection!$F:$H,3,0)</f>
        <v>34.79</v>
      </c>
      <c r="G198" s="2" t="s">
        <v>2132</v>
      </c>
      <c r="H198" s="454" t="s">
        <v>424</v>
      </c>
      <c r="I198" s="39">
        <v>46151</v>
      </c>
      <c r="J198" s="39">
        <v>46158</v>
      </c>
      <c r="K198" s="2" t="s">
        <v>2154</v>
      </c>
      <c r="L198" s="2" t="s">
        <v>2154</v>
      </c>
      <c r="M198" s="2" t="s">
        <v>952</v>
      </c>
    </row>
    <row r="199" spans="1:13" x14ac:dyDescent="0.35">
      <c r="A199" s="2">
        <v>198</v>
      </c>
      <c r="B199" s="38" t="s">
        <v>136</v>
      </c>
      <c r="C199" s="38" t="s">
        <v>16</v>
      </c>
      <c r="D199" s="2" t="s">
        <v>2266</v>
      </c>
      <c r="E199" s="665">
        <f>VLOOKUP(B:B,[4]Erection!$F:$J,5,0)</f>
        <v>4.4066824000000002</v>
      </c>
      <c r="F199" s="665">
        <f>VLOOKUP(B199,[4]Erection!$F:$H,3,0)</f>
        <v>43.8</v>
      </c>
      <c r="G199" s="263" t="s">
        <v>2131</v>
      </c>
      <c r="H199" s="454" t="s">
        <v>424</v>
      </c>
      <c r="I199" s="39">
        <v>46154</v>
      </c>
      <c r="J199" s="39">
        <v>46158</v>
      </c>
      <c r="K199" s="2" t="s">
        <v>2154</v>
      </c>
      <c r="L199" s="2" t="s">
        <v>2154</v>
      </c>
      <c r="M199" s="2" t="s">
        <v>2128</v>
      </c>
    </row>
    <row r="200" spans="1:13" x14ac:dyDescent="0.35">
      <c r="A200" s="2">
        <v>199</v>
      </c>
      <c r="B200" s="2" t="s">
        <v>212</v>
      </c>
      <c r="C200" s="38" t="s">
        <v>31</v>
      </c>
      <c r="D200" s="2" t="s">
        <v>2266</v>
      </c>
      <c r="E200" s="665">
        <f>VLOOKUP(B:B,[4]Erection!$F:$J,5,0)</f>
        <v>3.6376959999999996</v>
      </c>
      <c r="F200" s="665">
        <v>36.159756000000002</v>
      </c>
      <c r="G200" s="2" t="s">
        <v>2132</v>
      </c>
      <c r="H200" s="454" t="s">
        <v>424</v>
      </c>
      <c r="I200" s="39">
        <v>46154</v>
      </c>
      <c r="J200" s="39">
        <v>46158</v>
      </c>
      <c r="K200" s="2" t="s">
        <v>2154</v>
      </c>
      <c r="L200" s="2" t="s">
        <v>2154</v>
      </c>
      <c r="M200" s="2" t="s">
        <v>2156</v>
      </c>
    </row>
    <row r="201" spans="1:13" x14ac:dyDescent="0.35">
      <c r="A201" s="2">
        <v>200</v>
      </c>
      <c r="B201" s="36" t="s">
        <v>184</v>
      </c>
      <c r="C201" s="286" t="s">
        <v>23</v>
      </c>
      <c r="D201" s="2" t="s">
        <v>2266</v>
      </c>
      <c r="E201" s="665">
        <f>VLOOKUP(B:B,[4]Erection!$F:$J,5,0)</f>
        <v>3.4998739999999997</v>
      </c>
      <c r="F201" s="665">
        <f>VLOOKUP(B201,[4]Erection!$F:$H,3,0)</f>
        <v>34.79</v>
      </c>
      <c r="G201" s="263" t="s">
        <v>2131</v>
      </c>
      <c r="H201" s="454" t="s">
        <v>424</v>
      </c>
      <c r="I201" s="39">
        <v>46157</v>
      </c>
      <c r="J201" s="39">
        <v>46160</v>
      </c>
      <c r="K201" s="2" t="s">
        <v>2154</v>
      </c>
      <c r="L201" s="2" t="s">
        <v>2154</v>
      </c>
      <c r="M201" s="2" t="s">
        <v>985</v>
      </c>
    </row>
    <row r="202" spans="1:13" x14ac:dyDescent="0.35">
      <c r="A202" s="2">
        <v>201</v>
      </c>
      <c r="B202" s="2" t="s">
        <v>161</v>
      </c>
      <c r="C202" s="286" t="s">
        <v>162</v>
      </c>
      <c r="D202" s="2" t="s">
        <v>2267</v>
      </c>
      <c r="E202" s="665">
        <f>VLOOKUP(B:B,[4]Erection!$F:$J,5,0)</f>
        <v>8.8998808</v>
      </c>
      <c r="F202" s="665">
        <f>VLOOKUP(B202,[4]Erection!$F:$H,3,0)</f>
        <v>85.506823999999995</v>
      </c>
      <c r="G202" s="263" t="s">
        <v>2131</v>
      </c>
      <c r="H202" s="454" t="s">
        <v>424</v>
      </c>
      <c r="I202" s="39">
        <v>46158</v>
      </c>
      <c r="J202" s="39">
        <v>46166</v>
      </c>
      <c r="K202" s="2" t="s">
        <v>2154</v>
      </c>
      <c r="L202" s="2" t="s">
        <v>2154</v>
      </c>
      <c r="M202" s="2" t="s">
        <v>2126</v>
      </c>
    </row>
    <row r="203" spans="1:13" x14ac:dyDescent="0.35">
      <c r="A203" s="2">
        <v>202</v>
      </c>
      <c r="B203" s="2" t="s">
        <v>343</v>
      </c>
      <c r="C203" s="286" t="s">
        <v>23</v>
      </c>
      <c r="D203" s="2" t="s">
        <v>2266</v>
      </c>
      <c r="E203" s="665">
        <f>VLOOKUP(B:B,[4]Erection!$F:$J,5,0)</f>
        <v>3.4998739999999997</v>
      </c>
      <c r="F203" s="665">
        <f>VLOOKUP(B203,[4]Erection!$F:$H,3,0)</f>
        <v>34.79</v>
      </c>
      <c r="G203" s="38" t="s">
        <v>2133</v>
      </c>
      <c r="H203" s="454" t="s">
        <v>424</v>
      </c>
      <c r="I203" s="39">
        <v>46157</v>
      </c>
      <c r="J203" s="39">
        <v>46162</v>
      </c>
      <c r="K203" s="2" t="s">
        <v>2154</v>
      </c>
      <c r="L203" s="2" t="s">
        <v>2154</v>
      </c>
      <c r="M203" s="2" t="s">
        <v>905</v>
      </c>
    </row>
    <row r="204" spans="1:13" x14ac:dyDescent="0.35">
      <c r="A204" s="2">
        <v>203</v>
      </c>
      <c r="B204" s="40" t="s">
        <v>131</v>
      </c>
      <c r="C204" s="286" t="s">
        <v>33</v>
      </c>
      <c r="D204" s="2" t="s">
        <v>2267</v>
      </c>
      <c r="E204" s="665">
        <f>381585.86/100000</f>
        <v>3.8158585999999999</v>
      </c>
      <c r="F204" s="665">
        <f>37931.088/1000</f>
        <v>37.931088000000003</v>
      </c>
      <c r="G204" s="263" t="s">
        <v>2131</v>
      </c>
      <c r="H204" s="454" t="s">
        <v>424</v>
      </c>
      <c r="I204" s="39">
        <v>46160</v>
      </c>
      <c r="J204" s="39">
        <v>46164</v>
      </c>
      <c r="K204" s="2" t="s">
        <v>2154</v>
      </c>
      <c r="L204" s="2" t="s">
        <v>2154</v>
      </c>
      <c r="M204" s="2" t="s">
        <v>2128</v>
      </c>
    </row>
    <row r="205" spans="1:13" x14ac:dyDescent="0.35">
      <c r="A205" s="2">
        <v>204</v>
      </c>
      <c r="B205" s="2" t="s">
        <v>268</v>
      </c>
      <c r="C205" s="286" t="s">
        <v>31</v>
      </c>
      <c r="D205" s="2" t="s">
        <v>2266</v>
      </c>
      <c r="E205" s="665">
        <f>363769.6/100000</f>
        <v>3.6376959999999996</v>
      </c>
      <c r="F205" s="665">
        <v>36.159756000000002</v>
      </c>
      <c r="G205" s="38" t="s">
        <v>2133</v>
      </c>
      <c r="H205" s="454" t="s">
        <v>424</v>
      </c>
      <c r="I205" s="39">
        <v>46160</v>
      </c>
      <c r="J205" s="39">
        <v>46163</v>
      </c>
      <c r="K205" s="2" t="s">
        <v>2154</v>
      </c>
      <c r="L205" s="2" t="s">
        <v>2154</v>
      </c>
      <c r="M205" s="2" t="s">
        <v>2156</v>
      </c>
    </row>
    <row r="206" spans="1:13" x14ac:dyDescent="0.35">
      <c r="A206" s="2">
        <v>205</v>
      </c>
      <c r="B206" s="41" t="s">
        <v>253</v>
      </c>
      <c r="C206" s="286" t="s">
        <v>23</v>
      </c>
      <c r="D206" s="2" t="s">
        <v>2267</v>
      </c>
      <c r="E206" s="665">
        <f>VLOOKUP(B:B,[4]Erection!$F:$J,5,0)</f>
        <v>3.4998739999999997</v>
      </c>
      <c r="F206" s="665">
        <f>VLOOKUP(B206,[4]Erection!$F:$H,3,0)</f>
        <v>34.79</v>
      </c>
      <c r="G206" s="2" t="s">
        <v>2132</v>
      </c>
      <c r="H206" s="454" t="s">
        <v>424</v>
      </c>
      <c r="I206" s="39">
        <v>46160</v>
      </c>
      <c r="J206" s="39">
        <v>46167</v>
      </c>
      <c r="K206" s="2" t="s">
        <v>2154</v>
      </c>
      <c r="L206" s="2" t="s">
        <v>2154</v>
      </c>
      <c r="M206" s="2" t="s">
        <v>952</v>
      </c>
    </row>
    <row r="207" spans="1:13" x14ac:dyDescent="0.35">
      <c r="A207" s="2">
        <v>206</v>
      </c>
      <c r="B207" s="41" t="s">
        <v>279</v>
      </c>
      <c r="C207" s="286" t="s">
        <v>31</v>
      </c>
      <c r="D207" s="2" t="s">
        <v>2267</v>
      </c>
      <c r="E207" s="666">
        <f>363769.6/100000</f>
        <v>3.6376959999999996</v>
      </c>
      <c r="F207" s="666">
        <f>36159.756/1000</f>
        <v>36.159756000000002</v>
      </c>
      <c r="G207" s="38" t="s">
        <v>2133</v>
      </c>
      <c r="H207" s="454" t="s">
        <v>424</v>
      </c>
      <c r="I207" s="39">
        <v>46161</v>
      </c>
      <c r="J207" s="39">
        <v>46169</v>
      </c>
      <c r="K207" s="2" t="s">
        <v>2154</v>
      </c>
      <c r="L207" s="2" t="s">
        <v>2154</v>
      </c>
      <c r="M207" s="2" t="s">
        <v>984</v>
      </c>
    </row>
    <row r="208" spans="1:13" x14ac:dyDescent="0.35">
      <c r="A208" s="2">
        <v>207</v>
      </c>
      <c r="B208" s="41" t="s">
        <v>276</v>
      </c>
      <c r="C208" s="286" t="s">
        <v>33</v>
      </c>
      <c r="D208" s="2" t="s">
        <v>2267</v>
      </c>
      <c r="E208" s="665">
        <f>381585.86/100000</f>
        <v>3.8158585999999999</v>
      </c>
      <c r="F208" s="665">
        <f>37931.088/1000</f>
        <v>37.931088000000003</v>
      </c>
      <c r="G208" s="38" t="s">
        <v>2133</v>
      </c>
      <c r="H208" s="454" t="s">
        <v>424</v>
      </c>
      <c r="I208" s="39">
        <v>46165</v>
      </c>
      <c r="J208" s="39">
        <v>46168</v>
      </c>
      <c r="K208" s="2" t="s">
        <v>2154</v>
      </c>
      <c r="L208" s="2" t="s">
        <v>2154</v>
      </c>
      <c r="M208" s="2" t="s">
        <v>2156</v>
      </c>
    </row>
    <row r="209" spans="1:13" x14ac:dyDescent="0.35">
      <c r="A209" s="2">
        <v>208</v>
      </c>
      <c r="B209" s="662" t="s">
        <v>135</v>
      </c>
      <c r="C209" s="286" t="s">
        <v>31</v>
      </c>
      <c r="D209" s="2" t="s">
        <v>2267</v>
      </c>
      <c r="E209" s="665">
        <f>VLOOKUP(B:B,[4]Erection!$F:$J,5,0)</f>
        <v>3.6376959999999996</v>
      </c>
      <c r="F209" s="665">
        <v>36.159756000000002</v>
      </c>
      <c r="G209" s="263" t="s">
        <v>2131</v>
      </c>
      <c r="H209" s="454" t="s">
        <v>424</v>
      </c>
      <c r="I209" s="39">
        <v>46164</v>
      </c>
      <c r="J209" s="39">
        <v>46168</v>
      </c>
      <c r="K209" s="2" t="s">
        <v>2154</v>
      </c>
      <c r="L209" s="2" t="s">
        <v>2154</v>
      </c>
      <c r="M209" s="2" t="s">
        <v>2128</v>
      </c>
    </row>
    <row r="210" spans="1:13" ht="22" customHeight="1" x14ac:dyDescent="0.35">
      <c r="A210" s="2">
        <v>209</v>
      </c>
      <c r="B210" s="2" t="s">
        <v>123</v>
      </c>
      <c r="C210" s="2" t="s">
        <v>40</v>
      </c>
      <c r="D210" s="2"/>
      <c r="E210" s="668">
        <f>676655.72/100000</f>
        <v>6.7665571999999994</v>
      </c>
      <c r="F210" s="668">
        <f>67261.728/1000</f>
        <v>67.261728000000005</v>
      </c>
      <c r="G210" s="263" t="s">
        <v>2131</v>
      </c>
      <c r="H210" s="454" t="s">
        <v>424</v>
      </c>
      <c r="I210" s="39">
        <v>46168</v>
      </c>
      <c r="J210" s="39">
        <v>46175</v>
      </c>
      <c r="K210" s="2" t="s">
        <v>2154</v>
      </c>
      <c r="L210" s="2" t="s">
        <v>2275</v>
      </c>
      <c r="M210" s="2" t="s">
        <v>2261</v>
      </c>
    </row>
    <row r="211" spans="1:13" x14ac:dyDescent="0.35">
      <c r="A211" s="2">
        <v>210</v>
      </c>
      <c r="B211" s="2" t="s">
        <v>273</v>
      </c>
      <c r="C211" s="2" t="s">
        <v>33</v>
      </c>
      <c r="D211" s="2" t="s">
        <v>2267</v>
      </c>
      <c r="E211" s="668">
        <f>381585.86/100000</f>
        <v>3.8158585999999999</v>
      </c>
      <c r="F211" s="668">
        <f>37931.088/1000</f>
        <v>37.931088000000003</v>
      </c>
      <c r="G211" s="38" t="s">
        <v>2133</v>
      </c>
      <c r="H211" s="454" t="s">
        <v>424</v>
      </c>
      <c r="I211" s="39">
        <v>46169</v>
      </c>
      <c r="J211" s="39">
        <v>46173</v>
      </c>
      <c r="K211" s="2" t="s">
        <v>2154</v>
      </c>
      <c r="L211" s="2" t="s">
        <v>2154</v>
      </c>
      <c r="M211" s="2" t="s">
        <v>2260</v>
      </c>
    </row>
    <row r="212" spans="1:13" ht="16.5" customHeight="1" x14ac:dyDescent="0.35">
      <c r="A212" s="2">
        <v>211</v>
      </c>
      <c r="B212" s="2" t="s">
        <v>224</v>
      </c>
      <c r="C212" s="2" t="s">
        <v>40</v>
      </c>
      <c r="D212" s="2"/>
      <c r="E212" s="668">
        <v>6.7665571999999994</v>
      </c>
      <c r="F212" s="668">
        <v>67.261728000000005</v>
      </c>
      <c r="G212" s="2" t="s">
        <v>2132</v>
      </c>
      <c r="H212" s="454" t="s">
        <v>424</v>
      </c>
      <c r="I212" s="39">
        <v>45804</v>
      </c>
      <c r="J212" s="39">
        <v>46180</v>
      </c>
      <c r="K212" s="2" t="s">
        <v>2154</v>
      </c>
      <c r="L212" s="2" t="s">
        <v>2275</v>
      </c>
      <c r="M212" s="2" t="s">
        <v>952</v>
      </c>
    </row>
    <row r="213" spans="1:13" x14ac:dyDescent="0.35">
      <c r="A213" s="2">
        <v>212</v>
      </c>
      <c r="B213" s="2" t="s">
        <v>138</v>
      </c>
      <c r="C213" s="2" t="s">
        <v>23</v>
      </c>
      <c r="D213" s="2"/>
      <c r="E213" s="2"/>
      <c r="F213" s="2"/>
      <c r="G213" s="263" t="s">
        <v>2131</v>
      </c>
      <c r="H213" s="454" t="s">
        <v>424</v>
      </c>
      <c r="I213" s="39">
        <v>46176</v>
      </c>
      <c r="J213" s="39">
        <v>46181</v>
      </c>
      <c r="K213" s="2" t="s">
        <v>2275</v>
      </c>
      <c r="L213" s="2" t="s">
        <v>2275</v>
      </c>
      <c r="M213" s="2" t="s">
        <v>2276</v>
      </c>
    </row>
    <row r="214" spans="1:13" x14ac:dyDescent="0.35">
      <c r="A214" s="2">
        <v>213</v>
      </c>
      <c r="B214" s="2" t="s">
        <v>217</v>
      </c>
      <c r="C214" s="2" t="s">
        <v>31</v>
      </c>
      <c r="D214" s="2"/>
      <c r="E214" s="2"/>
      <c r="F214" s="2"/>
      <c r="G214" s="2" t="s">
        <v>2132</v>
      </c>
      <c r="H214" s="454" t="s">
        <v>424</v>
      </c>
      <c r="I214" s="39">
        <v>46176</v>
      </c>
      <c r="J214" s="39">
        <v>46181</v>
      </c>
      <c r="K214" s="2" t="s">
        <v>2275</v>
      </c>
      <c r="L214" s="2" t="s">
        <v>2275</v>
      </c>
      <c r="M214" s="2" t="s">
        <v>2277</v>
      </c>
    </row>
    <row r="215" spans="1:13" x14ac:dyDescent="0.35">
      <c r="A215" s="2">
        <v>214</v>
      </c>
      <c r="B215" s="2" t="s">
        <v>137</v>
      </c>
      <c r="C215" s="2" t="s">
        <v>23</v>
      </c>
      <c r="D215" s="2"/>
      <c r="E215" s="2"/>
      <c r="F215" s="2"/>
      <c r="G215" s="263" t="s">
        <v>2131</v>
      </c>
      <c r="H215" s="454" t="s">
        <v>424</v>
      </c>
      <c r="I215" s="39">
        <v>46181</v>
      </c>
      <c r="J215" s="39">
        <v>46186</v>
      </c>
      <c r="K215" s="2" t="s">
        <v>2275</v>
      </c>
      <c r="L215" s="2" t="s">
        <v>2275</v>
      </c>
      <c r="M215" s="2" t="s">
        <v>2128</v>
      </c>
    </row>
    <row r="216" spans="1:13" x14ac:dyDescent="0.35">
      <c r="A216" s="2">
        <v>215</v>
      </c>
      <c r="B216" s="2" t="s">
        <v>225</v>
      </c>
      <c r="C216" s="2" t="s">
        <v>14</v>
      </c>
      <c r="D216" s="2"/>
      <c r="E216" s="2"/>
      <c r="F216" s="2"/>
      <c r="G216" s="2" t="s">
        <v>2132</v>
      </c>
      <c r="H216" s="454" t="s">
        <v>424</v>
      </c>
      <c r="I216" s="39">
        <v>46181</v>
      </c>
      <c r="J216" s="39">
        <v>46186</v>
      </c>
      <c r="K216" s="2" t="s">
        <v>2275</v>
      </c>
      <c r="L216" s="2" t="s">
        <v>2275</v>
      </c>
      <c r="M216" s="2" t="s">
        <v>952</v>
      </c>
    </row>
    <row r="217" spans="1:13" x14ac:dyDescent="0.35">
      <c r="A217" s="2">
        <v>216</v>
      </c>
      <c r="B217" s="2" t="s">
        <v>214</v>
      </c>
      <c r="C217" s="2" t="s">
        <v>31</v>
      </c>
      <c r="D217" s="2"/>
      <c r="E217" s="2"/>
      <c r="F217" s="2"/>
      <c r="G217" s="2" t="s">
        <v>2132</v>
      </c>
      <c r="H217" s="454" t="s">
        <v>424</v>
      </c>
      <c r="I217" s="39">
        <v>46181</v>
      </c>
      <c r="J217" s="39">
        <v>46186</v>
      </c>
      <c r="K217" s="2" t="s">
        <v>2275</v>
      </c>
      <c r="L217" s="2" t="s">
        <v>2275</v>
      </c>
      <c r="M217" s="2" t="s">
        <v>2260</v>
      </c>
    </row>
    <row r="218" spans="1:13" x14ac:dyDescent="0.35">
      <c r="A218" s="2">
        <v>217</v>
      </c>
      <c r="B218" s="264" t="s">
        <v>11</v>
      </c>
      <c r="C218" s="2" t="s">
        <v>12</v>
      </c>
      <c r="D218" s="2"/>
      <c r="E218" s="2"/>
      <c r="F218" s="2"/>
      <c r="G218" s="263" t="s">
        <v>2131</v>
      </c>
      <c r="H218" s="684" t="s">
        <v>2290</v>
      </c>
      <c r="I218" s="39">
        <v>46187</v>
      </c>
      <c r="J218" s="2"/>
      <c r="K218" s="2" t="s">
        <v>2275</v>
      </c>
      <c r="L218" s="2"/>
      <c r="M218" s="2" t="s">
        <v>2128</v>
      </c>
    </row>
    <row r="219" spans="1:13" x14ac:dyDescent="0.35">
      <c r="A219" s="2">
        <v>218</v>
      </c>
      <c r="B219" s="2" t="s">
        <v>226</v>
      </c>
      <c r="C219" s="2" t="s">
        <v>35</v>
      </c>
      <c r="D219" s="2"/>
      <c r="E219" s="2"/>
      <c r="F219" s="2"/>
      <c r="G219" s="2" t="s">
        <v>2132</v>
      </c>
      <c r="H219" s="454" t="s">
        <v>424</v>
      </c>
      <c r="I219" s="39">
        <v>46187</v>
      </c>
      <c r="J219" s="39">
        <v>46193</v>
      </c>
      <c r="K219" s="2" t="s">
        <v>2275</v>
      </c>
      <c r="L219" s="2" t="s">
        <v>2275</v>
      </c>
      <c r="M219" s="2" t="s">
        <v>952</v>
      </c>
    </row>
    <row r="220" spans="1:13" x14ac:dyDescent="0.35">
      <c r="A220" s="2">
        <v>219</v>
      </c>
      <c r="B220" s="2" t="s">
        <v>218</v>
      </c>
      <c r="C220" s="2" t="s">
        <v>33</v>
      </c>
      <c r="D220" s="2"/>
      <c r="E220" s="2"/>
      <c r="F220" s="2"/>
      <c r="G220" s="2" t="s">
        <v>2132</v>
      </c>
      <c r="H220" s="454" t="s">
        <v>424</v>
      </c>
      <c r="I220" s="39">
        <v>46187</v>
      </c>
      <c r="J220" s="39">
        <v>46191</v>
      </c>
      <c r="K220" s="2" t="s">
        <v>2275</v>
      </c>
      <c r="L220" s="2" t="s">
        <v>2275</v>
      </c>
      <c r="M220" s="2" t="s">
        <v>2260</v>
      </c>
    </row>
    <row r="221" spans="1:13" x14ac:dyDescent="0.35">
      <c r="A221" s="2">
        <v>220</v>
      </c>
      <c r="B221" s="2" t="s">
        <v>213</v>
      </c>
      <c r="C221" s="2" t="s">
        <v>40</v>
      </c>
      <c r="D221" s="2"/>
      <c r="E221" s="2"/>
      <c r="F221" s="2"/>
      <c r="G221" s="2" t="s">
        <v>2132</v>
      </c>
      <c r="H221" s="684" t="s">
        <v>2286</v>
      </c>
      <c r="I221" s="39">
        <v>46192</v>
      </c>
      <c r="J221" s="2"/>
      <c r="K221" s="2" t="s">
        <v>2275</v>
      </c>
      <c r="L221" s="2"/>
      <c r="M221" s="2" t="s">
        <v>2260</v>
      </c>
    </row>
    <row r="222" spans="1:13" x14ac:dyDescent="0.35">
      <c r="A222" s="2">
        <v>221</v>
      </c>
      <c r="B222" s="2" t="s">
        <v>227</v>
      </c>
      <c r="C222" s="2" t="s">
        <v>33</v>
      </c>
      <c r="D222" s="2"/>
      <c r="E222" s="2"/>
      <c r="F222" s="2"/>
      <c r="G222" s="2" t="s">
        <v>2132</v>
      </c>
      <c r="H222" s="684" t="s">
        <v>2291</v>
      </c>
      <c r="I222" s="39">
        <v>46193</v>
      </c>
      <c r="J222" s="2"/>
      <c r="K222" s="2" t="s">
        <v>2275</v>
      </c>
      <c r="L222" s="2"/>
      <c r="M222" s="2" t="s">
        <v>952</v>
      </c>
    </row>
  </sheetData>
  <autoFilter ref="A2:N217" xr:uid="{00000000-0001-0000-0300-000000000000}"/>
  <phoneticPr fontId="33" type="noConversion"/>
  <conditionalFormatting sqref="B1:C172 G175:G176 G178 G180:G181 G183 C4:C183 G205:G208 G203 G200 G198 G196 G193 G189:G190 B174:C1048576 G211:G212 G1:G172 E1:F1048576 G214 G216:G217 G219:G1048576">
    <cfRule type="duplicateValues" dxfId="71" priority="53"/>
    <cfRule type="duplicateValues" dxfId="70" priority="54"/>
  </conditionalFormatting>
  <conditionalFormatting sqref="G173">
    <cfRule type="duplicateValues" dxfId="69" priority="49"/>
    <cfRule type="duplicateValues" dxfId="68" priority="50"/>
  </conditionalFormatting>
  <conditionalFormatting sqref="G174">
    <cfRule type="duplicateValues" dxfId="67" priority="47"/>
    <cfRule type="duplicateValues" dxfId="66" priority="48"/>
  </conditionalFormatting>
  <conditionalFormatting sqref="G177">
    <cfRule type="duplicateValues" dxfId="65" priority="45"/>
    <cfRule type="duplicateValues" dxfId="64" priority="46"/>
  </conditionalFormatting>
  <conditionalFormatting sqref="G179">
    <cfRule type="duplicateValues" dxfId="63" priority="43"/>
    <cfRule type="duplicateValues" dxfId="62" priority="44"/>
  </conditionalFormatting>
  <conditionalFormatting sqref="G182">
    <cfRule type="duplicateValues" dxfId="61" priority="41"/>
    <cfRule type="duplicateValues" dxfId="60" priority="42"/>
  </conditionalFormatting>
  <conditionalFormatting sqref="G184">
    <cfRule type="duplicateValues" dxfId="59" priority="39"/>
    <cfRule type="duplicateValues" dxfId="58" priority="40"/>
  </conditionalFormatting>
  <conditionalFormatting sqref="G185">
    <cfRule type="duplicateValues" dxfId="57" priority="37"/>
    <cfRule type="duplicateValues" dxfId="56" priority="38"/>
  </conditionalFormatting>
  <conditionalFormatting sqref="G186">
    <cfRule type="duplicateValues" dxfId="55" priority="34"/>
    <cfRule type="duplicateValues" dxfId="54" priority="35"/>
  </conditionalFormatting>
  <conditionalFormatting sqref="G187">
    <cfRule type="duplicateValues" dxfId="53" priority="32"/>
    <cfRule type="duplicateValues" dxfId="52" priority="33"/>
  </conditionalFormatting>
  <conditionalFormatting sqref="G188">
    <cfRule type="duplicateValues" dxfId="51" priority="30"/>
    <cfRule type="duplicateValues" dxfId="50" priority="31"/>
  </conditionalFormatting>
  <conditionalFormatting sqref="G191">
    <cfRule type="duplicateValues" dxfId="49" priority="28"/>
    <cfRule type="duplicateValues" dxfId="48" priority="29"/>
  </conditionalFormatting>
  <conditionalFormatting sqref="G192">
    <cfRule type="duplicateValues" dxfId="47" priority="26"/>
    <cfRule type="duplicateValues" dxfId="46" priority="27"/>
  </conditionalFormatting>
  <conditionalFormatting sqref="G194">
    <cfRule type="duplicateValues" dxfId="45" priority="23"/>
    <cfRule type="duplicateValues" dxfId="44" priority="24"/>
  </conditionalFormatting>
  <conditionalFormatting sqref="G195">
    <cfRule type="duplicateValues" dxfId="43" priority="21"/>
    <cfRule type="duplicateValues" dxfId="42" priority="22"/>
  </conditionalFormatting>
  <conditionalFormatting sqref="G197">
    <cfRule type="duplicateValues" dxfId="41" priority="19"/>
    <cfRule type="duplicateValues" dxfId="40" priority="20"/>
  </conditionalFormatting>
  <conditionalFormatting sqref="G199">
    <cfRule type="duplicateValues" dxfId="39" priority="17"/>
    <cfRule type="duplicateValues" dxfId="38" priority="18"/>
  </conditionalFormatting>
  <conditionalFormatting sqref="G201:G202">
    <cfRule type="duplicateValues" dxfId="37" priority="15"/>
    <cfRule type="duplicateValues" dxfId="36" priority="16"/>
  </conditionalFormatting>
  <conditionalFormatting sqref="G204">
    <cfRule type="duplicateValues" dxfId="35" priority="13"/>
    <cfRule type="duplicateValues" dxfId="34" priority="14"/>
  </conditionalFormatting>
  <conditionalFormatting sqref="G209">
    <cfRule type="duplicateValues" dxfId="33" priority="11"/>
    <cfRule type="duplicateValues" dxfId="32" priority="12"/>
  </conditionalFormatting>
  <conditionalFormatting sqref="G210">
    <cfRule type="duplicateValues" dxfId="31" priority="9"/>
    <cfRule type="duplicateValues" dxfId="30" priority="10"/>
  </conditionalFormatting>
  <conditionalFormatting sqref="B1:C172 C4:C183 B174:C1048576 E1:F1048576">
    <cfRule type="duplicateValues" dxfId="29" priority="2388"/>
    <cfRule type="duplicateValues" dxfId="28" priority="2389"/>
  </conditionalFormatting>
  <conditionalFormatting sqref="B1:C1048576 E1:F1048576">
    <cfRule type="duplicateValues" dxfId="27" priority="2396"/>
    <cfRule type="duplicateValues" dxfId="26" priority="2397"/>
  </conditionalFormatting>
  <conditionalFormatting sqref="G213">
    <cfRule type="duplicateValues" dxfId="25" priority="7"/>
    <cfRule type="duplicateValues" dxfId="24" priority="8"/>
  </conditionalFormatting>
  <conditionalFormatting sqref="G215">
    <cfRule type="duplicateValues" dxfId="23" priority="5"/>
    <cfRule type="duplicateValues" dxfId="22" priority="6"/>
  </conditionalFormatting>
  <conditionalFormatting sqref="G218">
    <cfRule type="duplicateValues" dxfId="21" priority="3"/>
    <cfRule type="duplicateValues" dxfId="20" priority="4"/>
  </conditionalFormatting>
  <conditionalFormatting sqref="B1:B1048576">
    <cfRule type="duplicateValues" dxfId="19" priority="2"/>
    <cfRule type="duplicateValues" dxfId="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2D-AC26-462A-8FF2-6FEB26A56BE6}">
  <dimension ref="B2:M43"/>
  <sheetViews>
    <sheetView workbookViewId="0">
      <selection activeCell="I2" sqref="I2"/>
    </sheetView>
  </sheetViews>
  <sheetFormatPr defaultRowHeight="14.5" x14ac:dyDescent="0.35"/>
  <cols>
    <col min="8" max="8" width="12.36328125" bestFit="1" customWidth="1"/>
    <col min="9" max="10" width="11.81640625" bestFit="1" customWidth="1"/>
  </cols>
  <sheetData>
    <row r="2" spans="2:11" x14ac:dyDescent="0.35">
      <c r="B2" t="s">
        <v>412</v>
      </c>
      <c r="C2" t="s">
        <v>6</v>
      </c>
      <c r="E2" t="s">
        <v>2263</v>
      </c>
      <c r="F2" t="s">
        <v>2262</v>
      </c>
      <c r="I2" s="670" t="s">
        <v>2139</v>
      </c>
    </row>
    <row r="3" spans="2:11" x14ac:dyDescent="0.35">
      <c r="B3" t="s">
        <v>223</v>
      </c>
      <c r="C3" t="e">
        <f>VLOOKUP(B3,#REF!,2,0)</f>
        <v>#REF!</v>
      </c>
      <c r="E3" t="s">
        <v>2265</v>
      </c>
      <c r="F3">
        <v>5.4959937183199994</v>
      </c>
      <c r="I3" s="671" t="s">
        <v>2269</v>
      </c>
      <c r="J3" s="3" t="s">
        <v>2268</v>
      </c>
    </row>
    <row r="4" spans="2:11" x14ac:dyDescent="0.35">
      <c r="B4" t="s">
        <v>27</v>
      </c>
      <c r="C4" t="e">
        <f>VLOOKUP(B4,#REF!,2,0)</f>
        <v>#REF!</v>
      </c>
      <c r="E4" t="s">
        <v>2264</v>
      </c>
      <c r="F4">
        <v>16.938269999999999</v>
      </c>
      <c r="I4" s="672" t="s">
        <v>2264</v>
      </c>
      <c r="J4" s="673">
        <v>16.938269999999999</v>
      </c>
    </row>
    <row r="5" spans="2:11" x14ac:dyDescent="0.35">
      <c r="B5" t="s">
        <v>163</v>
      </c>
      <c r="C5" t="e">
        <f>VLOOKUP(B5,#REF!,2,0)</f>
        <v>#REF!</v>
      </c>
      <c r="E5" t="s">
        <v>2267</v>
      </c>
      <c r="F5">
        <v>26.745646600000001</v>
      </c>
      <c r="I5" s="672" t="s">
        <v>2265</v>
      </c>
      <c r="J5" s="673">
        <v>32.240620618320001</v>
      </c>
    </row>
    <row r="6" spans="2:11" x14ac:dyDescent="0.35">
      <c r="B6" t="s">
        <v>171</v>
      </c>
      <c r="C6" t="e">
        <f>VLOOKUP(B6,#REF!,2,0)</f>
        <v>#REF!</v>
      </c>
      <c r="E6" t="s">
        <v>2265</v>
      </c>
      <c r="F6">
        <v>26.7446269</v>
      </c>
      <c r="I6" s="672" t="s">
        <v>2266</v>
      </c>
      <c r="J6" s="673">
        <v>38.918885710000005</v>
      </c>
    </row>
    <row r="7" spans="2:11" x14ac:dyDescent="0.35">
      <c r="B7" t="s">
        <v>195</v>
      </c>
      <c r="C7" t="e">
        <f>VLOOKUP(B7,#REF!,2,0)</f>
        <v>#REF!</v>
      </c>
      <c r="E7" t="s">
        <v>2266</v>
      </c>
      <c r="F7">
        <v>31.681715710000002</v>
      </c>
      <c r="I7" s="672" t="s">
        <v>2267</v>
      </c>
      <c r="J7" s="673">
        <v>63.329765039999998</v>
      </c>
    </row>
    <row r="8" spans="2:11" x14ac:dyDescent="0.35">
      <c r="B8" t="s">
        <v>202</v>
      </c>
      <c r="C8" t="e">
        <f>VLOOKUP(B8,#REF!,2,0)</f>
        <v>#REF!</v>
      </c>
      <c r="E8" t="s">
        <v>2267</v>
      </c>
      <c r="F8">
        <v>19.31312149</v>
      </c>
      <c r="I8" s="672" t="s">
        <v>2135</v>
      </c>
      <c r="J8" s="673">
        <v>151.42754136832002</v>
      </c>
    </row>
    <row r="9" spans="2:11" x14ac:dyDescent="0.35">
      <c r="B9" t="s">
        <v>251</v>
      </c>
      <c r="C9" t="e">
        <f>VLOOKUP(B9,#REF!,2,0)</f>
        <v>#REF!</v>
      </c>
      <c r="E9" t="s">
        <v>2267</v>
      </c>
      <c r="F9">
        <v>17.270996950000001</v>
      </c>
    </row>
    <row r="10" spans="2:11" x14ac:dyDescent="0.35">
      <c r="B10" t="s">
        <v>335</v>
      </c>
      <c r="C10" t="e">
        <f>VLOOKUP(B10,#REF!,2,0)</f>
        <v>#REF!</v>
      </c>
      <c r="E10" t="s">
        <v>2266</v>
      </c>
      <c r="F10">
        <v>7.2371699999999999</v>
      </c>
    </row>
    <row r="11" spans="2:11" x14ac:dyDescent="0.35">
      <c r="B11" t="s">
        <v>170</v>
      </c>
      <c r="C11" t="e">
        <f>VLOOKUP(B11,#REF!,2,0)</f>
        <v>#REF!</v>
      </c>
    </row>
    <row r="12" spans="2:11" x14ac:dyDescent="0.35">
      <c r="B12" t="s">
        <v>204</v>
      </c>
      <c r="C12" t="e">
        <f>VLOOKUP(B12,#REF!,2,0)</f>
        <v>#REF!</v>
      </c>
      <c r="K12">
        <v>292.92365460000002</v>
      </c>
    </row>
    <row r="13" spans="2:11" x14ac:dyDescent="0.35">
      <c r="B13" t="s">
        <v>281</v>
      </c>
      <c r="C13" t="e">
        <f>VLOOKUP(B13,#REF!,2,0)</f>
        <v>#REF!</v>
      </c>
      <c r="I13" s="670" t="s">
        <v>2</v>
      </c>
    </row>
    <row r="14" spans="2:11" x14ac:dyDescent="0.35">
      <c r="B14" t="s">
        <v>124</v>
      </c>
      <c r="C14" t="e">
        <f>VLOOKUP(B14,#REF!,2,0)</f>
        <v>#REF!</v>
      </c>
      <c r="E14" t="s">
        <v>2263</v>
      </c>
      <c r="F14" t="s">
        <v>2262</v>
      </c>
      <c r="G14" t="s">
        <v>2248</v>
      </c>
      <c r="I14" s="671" t="s">
        <v>2269</v>
      </c>
      <c r="J14" s="3" t="s">
        <v>2268</v>
      </c>
    </row>
    <row r="15" spans="2:11" x14ac:dyDescent="0.35">
      <c r="B15" t="s">
        <v>205</v>
      </c>
      <c r="C15" t="e">
        <f>VLOOKUP(B15,#REF!,2,0)</f>
        <v>#REF!</v>
      </c>
      <c r="E15" t="s">
        <v>2266</v>
      </c>
      <c r="F15">
        <v>7.3684469999999997</v>
      </c>
      <c r="G15">
        <v>73.244547999999995</v>
      </c>
      <c r="I15" s="672" t="s">
        <v>2264</v>
      </c>
      <c r="J15" s="673">
        <v>19.797375799999998</v>
      </c>
    </row>
    <row r="16" spans="2:11" x14ac:dyDescent="0.35">
      <c r="B16" t="s">
        <v>344</v>
      </c>
      <c r="C16" t="e">
        <f>VLOOKUP(B16,#REF!,2,0)</f>
        <v>#REF!</v>
      </c>
      <c r="E16" t="s">
        <v>2264</v>
      </c>
      <c r="F16">
        <v>5.5783706000000004</v>
      </c>
      <c r="G16">
        <v>55.4</v>
      </c>
      <c r="I16" s="672" t="s">
        <v>2265</v>
      </c>
      <c r="J16" s="673">
        <v>50.621618199999993</v>
      </c>
    </row>
    <row r="17" spans="2:13" x14ac:dyDescent="0.35">
      <c r="B17" t="s">
        <v>125</v>
      </c>
      <c r="C17" t="e">
        <f>VLOOKUP(B17,#REF!,2,0)</f>
        <v>#REF!</v>
      </c>
      <c r="E17" t="s">
        <v>2265</v>
      </c>
      <c r="F17">
        <v>11.128875000000001</v>
      </c>
      <c r="G17">
        <v>110.62602199999999</v>
      </c>
      <c r="I17" s="672" t="s">
        <v>2266</v>
      </c>
      <c r="J17" s="673">
        <v>33.187839399999994</v>
      </c>
    </row>
    <row r="18" spans="2:13" x14ac:dyDescent="0.35">
      <c r="B18" t="s">
        <v>254</v>
      </c>
      <c r="C18" t="e">
        <f>VLOOKUP(B18,#REF!,2,0)</f>
        <v>#REF!</v>
      </c>
      <c r="E18" t="s">
        <v>2265</v>
      </c>
      <c r="F18">
        <v>10.2564718</v>
      </c>
      <c r="G18">
        <v>101.95259200000001</v>
      </c>
      <c r="I18" s="672" t="s">
        <v>2267</v>
      </c>
      <c r="J18" s="673">
        <v>37.88927979999999</v>
      </c>
    </row>
    <row r="19" spans="2:13" x14ac:dyDescent="0.35">
      <c r="B19" t="s">
        <v>136</v>
      </c>
      <c r="C19" t="e">
        <f>VLOOKUP(B19,#REF!,2,0)</f>
        <v>#REF!</v>
      </c>
      <c r="E19" t="s">
        <v>2264</v>
      </c>
      <c r="F19">
        <v>3.6376959999999996</v>
      </c>
      <c r="G19">
        <v>36.159756000000002</v>
      </c>
      <c r="I19" s="672" t="s">
        <v>2135</v>
      </c>
      <c r="J19" s="673">
        <v>141.4961132</v>
      </c>
    </row>
    <row r="20" spans="2:13" x14ac:dyDescent="0.35">
      <c r="B20" t="s">
        <v>212</v>
      </c>
      <c r="C20" t="e">
        <f>VLOOKUP(B20,#REF!,2,0)</f>
        <v>#REF!</v>
      </c>
      <c r="E20" t="s">
        <v>2265</v>
      </c>
      <c r="F20">
        <v>3.8158585999999999</v>
      </c>
      <c r="G20">
        <v>37.931088000000003</v>
      </c>
    </row>
    <row r="21" spans="2:13" x14ac:dyDescent="0.35">
      <c r="B21" t="s">
        <v>184</v>
      </c>
      <c r="C21" t="e">
        <f>VLOOKUP(B21,#REF!,2,0)</f>
        <v>#REF!</v>
      </c>
      <c r="E21" t="s">
        <v>2265</v>
      </c>
      <c r="F21">
        <v>6.2818664000000002</v>
      </c>
      <c r="G21">
        <v>62.44</v>
      </c>
    </row>
    <row r="22" spans="2:13" x14ac:dyDescent="0.35">
      <c r="B22" t="s">
        <v>161</v>
      </c>
      <c r="C22" t="e">
        <f>VLOOKUP(B22,#REF!,2,0)</f>
        <v>#REF!</v>
      </c>
      <c r="E22" t="s">
        <v>2264</v>
      </c>
      <c r="F22">
        <v>3.5815611999999999</v>
      </c>
      <c r="G22">
        <v>35.6</v>
      </c>
      <c r="M22">
        <v>88.1</v>
      </c>
    </row>
    <row r="23" spans="2:13" x14ac:dyDescent="0.35">
      <c r="B23" t="s">
        <v>343</v>
      </c>
      <c r="C23" t="e">
        <f>VLOOKUP(B23,#REF!,2,0)</f>
        <v>#REF!</v>
      </c>
      <c r="E23" t="s">
        <v>2265</v>
      </c>
      <c r="F23">
        <v>8.3632804000000007</v>
      </c>
      <c r="G23">
        <v>83.13</v>
      </c>
      <c r="M23">
        <v>127</v>
      </c>
    </row>
    <row r="24" spans="2:13" x14ac:dyDescent="0.35">
      <c r="B24" t="s">
        <v>131</v>
      </c>
      <c r="C24" t="e">
        <f>VLOOKUP(B24,#REF!,2,0)</f>
        <v>#REF!</v>
      </c>
      <c r="E24" t="s">
        <v>2264</v>
      </c>
      <c r="F24">
        <v>3.4998739999999997</v>
      </c>
      <c r="G24">
        <v>34.79</v>
      </c>
    </row>
    <row r="25" spans="2:13" x14ac:dyDescent="0.35">
      <c r="B25" t="s">
        <v>268</v>
      </c>
      <c r="C25" t="e">
        <f>VLOOKUP(B25,#REF!,2,0)</f>
        <v>#REF!</v>
      </c>
      <c r="E25" t="s">
        <v>2266</v>
      </c>
      <c r="F25">
        <v>3.6376959999999996</v>
      </c>
      <c r="G25">
        <v>36.159756000000002</v>
      </c>
    </row>
    <row r="26" spans="2:13" x14ac:dyDescent="0.35">
      <c r="B26" t="s">
        <v>253</v>
      </c>
      <c r="C26" t="e">
        <f>VLOOKUP(B26,#REF!,2,0)</f>
        <v>#REF!</v>
      </c>
      <c r="E26" t="s">
        <v>2264</v>
      </c>
      <c r="F26">
        <v>3.4998739999999997</v>
      </c>
      <c r="G26">
        <v>34.79</v>
      </c>
    </row>
    <row r="27" spans="2:13" x14ac:dyDescent="0.35">
      <c r="B27" t="s">
        <v>276</v>
      </c>
      <c r="C27" t="e">
        <f>VLOOKUP(B27,#REF!,2,0)</f>
        <v>#REF!</v>
      </c>
      <c r="E27" t="s">
        <v>2265</v>
      </c>
      <c r="F27">
        <v>3.6376959999999996</v>
      </c>
      <c r="G27">
        <v>36.159756000000002</v>
      </c>
    </row>
    <row r="28" spans="2:13" x14ac:dyDescent="0.35">
      <c r="B28" t="s">
        <v>135</v>
      </c>
      <c r="C28" t="e">
        <f>VLOOKUP(B28,#REF!,2,0)</f>
        <v>#REF!</v>
      </c>
      <c r="E28" t="s">
        <v>2265</v>
      </c>
      <c r="F28">
        <v>3.4998739999999997</v>
      </c>
      <c r="G28">
        <v>34.79</v>
      </c>
    </row>
    <row r="29" spans="2:13" x14ac:dyDescent="0.35">
      <c r="E29" t="s">
        <v>2265</v>
      </c>
      <c r="F29">
        <v>3.6376959999999996</v>
      </c>
      <c r="G29">
        <v>36.159756000000002</v>
      </c>
    </row>
    <row r="30" spans="2:13" x14ac:dyDescent="0.35">
      <c r="E30" t="s">
        <v>2266</v>
      </c>
      <c r="F30">
        <v>3.4998739999999997</v>
      </c>
      <c r="G30">
        <v>34.79</v>
      </c>
    </row>
    <row r="31" spans="2:13" x14ac:dyDescent="0.35">
      <c r="E31" t="s">
        <v>2266</v>
      </c>
      <c r="F31">
        <v>4.4066824000000002</v>
      </c>
      <c r="G31">
        <v>43.8</v>
      </c>
    </row>
    <row r="32" spans="2:13" x14ac:dyDescent="0.35">
      <c r="E32" t="s">
        <v>2266</v>
      </c>
      <c r="F32">
        <v>3.6376959999999996</v>
      </c>
      <c r="G32">
        <v>36.159756000000002</v>
      </c>
    </row>
    <row r="33" spans="5:7" x14ac:dyDescent="0.35">
      <c r="E33" t="s">
        <v>2266</v>
      </c>
      <c r="F33">
        <v>3.4998739999999997</v>
      </c>
      <c r="G33">
        <v>34.79</v>
      </c>
    </row>
    <row r="34" spans="5:7" x14ac:dyDescent="0.35">
      <c r="E34" t="s">
        <v>2267</v>
      </c>
      <c r="F34">
        <v>8.8998808</v>
      </c>
      <c r="G34">
        <v>85.506823999999995</v>
      </c>
    </row>
    <row r="35" spans="5:7" x14ac:dyDescent="0.35">
      <c r="E35" t="s">
        <v>2266</v>
      </c>
      <c r="F35">
        <v>3.4998739999999997</v>
      </c>
      <c r="G35">
        <v>34.79</v>
      </c>
    </row>
    <row r="36" spans="5:7" x14ac:dyDescent="0.35">
      <c r="E36" t="s">
        <v>2267</v>
      </c>
      <c r="F36">
        <v>3.8158585999999999</v>
      </c>
      <c r="G36">
        <v>37.931088000000003</v>
      </c>
    </row>
    <row r="37" spans="5:7" x14ac:dyDescent="0.35">
      <c r="E37" t="s">
        <v>2266</v>
      </c>
      <c r="F37">
        <v>3.6376959999999996</v>
      </c>
      <c r="G37">
        <v>36.159756000000002</v>
      </c>
    </row>
    <row r="38" spans="5:7" x14ac:dyDescent="0.35">
      <c r="E38" t="s">
        <v>2267</v>
      </c>
      <c r="F38">
        <v>3.4998739999999997</v>
      </c>
      <c r="G38">
        <v>34.79</v>
      </c>
    </row>
    <row r="39" spans="5:7" x14ac:dyDescent="0.35">
      <c r="E39" t="s">
        <v>2267</v>
      </c>
      <c r="F39">
        <v>3.6376959999999996</v>
      </c>
      <c r="G39">
        <v>36.159756000000002</v>
      </c>
    </row>
    <row r="40" spans="5:7" x14ac:dyDescent="0.35">
      <c r="E40" t="s">
        <v>2267</v>
      </c>
      <c r="F40">
        <v>3.8158585999999999</v>
      </c>
      <c r="G40">
        <v>37.931088000000003</v>
      </c>
    </row>
    <row r="41" spans="5:7" x14ac:dyDescent="0.35">
      <c r="E41" t="s">
        <v>2267</v>
      </c>
      <c r="F41">
        <v>3.6376959999999996</v>
      </c>
      <c r="G41">
        <v>36.159756000000002</v>
      </c>
    </row>
    <row r="42" spans="5:7" x14ac:dyDescent="0.35">
      <c r="E42" t="s">
        <v>2267</v>
      </c>
      <c r="F42">
        <v>6.7665571999999994</v>
      </c>
      <c r="G42">
        <v>67.261728000000005</v>
      </c>
    </row>
    <row r="43" spans="5:7" x14ac:dyDescent="0.35">
      <c r="E43" t="s">
        <v>2267</v>
      </c>
      <c r="F43">
        <v>3.8158585999999999</v>
      </c>
      <c r="G43">
        <v>37.931088000000003</v>
      </c>
    </row>
  </sheetData>
  <autoFilter ref="B2:C28" xr:uid="{A716322D-AC26-462A-8FF2-6FEB26A56BE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687</v>
      </c>
      <c r="C2" s="184" t="s">
        <v>688</v>
      </c>
      <c r="D2" s="184" t="s">
        <v>689</v>
      </c>
      <c r="E2" s="184" t="s">
        <v>690</v>
      </c>
      <c r="F2" s="184" t="s">
        <v>691</v>
      </c>
      <c r="G2" s="184" t="s">
        <v>6</v>
      </c>
      <c r="H2" s="184" t="s">
        <v>692</v>
      </c>
      <c r="I2" s="184" t="s">
        <v>693</v>
      </c>
      <c r="J2" s="184" t="s">
        <v>694</v>
      </c>
      <c r="K2" s="184" t="s">
        <v>695</v>
      </c>
      <c r="L2" s="184" t="s">
        <v>696</v>
      </c>
      <c r="M2" s="184" t="s">
        <v>697</v>
      </c>
      <c r="N2" s="184" t="s">
        <v>371</v>
      </c>
    </row>
    <row r="3" spans="1:15" ht="38.25" customHeight="1" thickBot="1" x14ac:dyDescent="0.4">
      <c r="A3" s="185">
        <v>1</v>
      </c>
      <c r="B3" s="901" t="s">
        <v>408</v>
      </c>
      <c r="C3" s="902"/>
      <c r="D3" s="902"/>
      <c r="E3" s="902"/>
      <c r="F3" s="902"/>
      <c r="G3" s="902"/>
      <c r="H3" s="902"/>
      <c r="I3" s="902"/>
      <c r="J3" s="902"/>
      <c r="K3" s="902"/>
      <c r="L3" s="902"/>
      <c r="M3" s="902"/>
      <c r="N3" s="903"/>
    </row>
    <row r="4" spans="1:15" ht="66.75" customHeight="1" thickBot="1" x14ac:dyDescent="0.4">
      <c r="A4" s="186" t="s">
        <v>698</v>
      </c>
      <c r="B4" s="187" t="s">
        <v>699</v>
      </c>
      <c r="C4" s="187">
        <v>2</v>
      </c>
      <c r="D4" s="187" t="s">
        <v>700</v>
      </c>
      <c r="E4" s="187" t="s">
        <v>597</v>
      </c>
      <c r="F4" s="187" t="s">
        <v>598</v>
      </c>
      <c r="G4" s="187" t="s">
        <v>701</v>
      </c>
      <c r="H4" s="187" t="s">
        <v>454</v>
      </c>
      <c r="I4" s="187" t="s">
        <v>702</v>
      </c>
      <c r="J4" s="187" t="s">
        <v>703</v>
      </c>
      <c r="K4" s="188" t="s">
        <v>704</v>
      </c>
      <c r="L4" s="904" t="s">
        <v>705</v>
      </c>
      <c r="M4" s="907" t="s">
        <v>706</v>
      </c>
      <c r="N4" s="187"/>
      <c r="O4" s="189"/>
    </row>
    <row r="5" spans="1:15" ht="63.75" customHeight="1" thickBot="1" x14ac:dyDescent="0.4">
      <c r="A5" s="188" t="s">
        <v>707</v>
      </c>
      <c r="B5" s="188" t="s">
        <v>708</v>
      </c>
      <c r="C5" s="190">
        <v>2</v>
      </c>
      <c r="D5" s="907" t="s">
        <v>709</v>
      </c>
      <c r="E5" s="191" t="s">
        <v>603</v>
      </c>
      <c r="F5" s="192" t="s">
        <v>598</v>
      </c>
      <c r="G5" s="193" t="s">
        <v>701</v>
      </c>
      <c r="H5" s="193" t="s">
        <v>651</v>
      </c>
      <c r="I5" s="193" t="s">
        <v>710</v>
      </c>
      <c r="J5" s="907" t="s">
        <v>711</v>
      </c>
      <c r="K5" s="188" t="s">
        <v>712</v>
      </c>
      <c r="L5" s="905"/>
      <c r="M5" s="908"/>
      <c r="N5" s="193"/>
      <c r="O5" s="189"/>
    </row>
    <row r="6" spans="1:15" ht="63.75" customHeight="1" thickBot="1" x14ac:dyDescent="0.4">
      <c r="A6" s="188" t="s">
        <v>713</v>
      </c>
      <c r="B6" s="188" t="s">
        <v>714</v>
      </c>
      <c r="C6" s="188">
        <v>2</v>
      </c>
      <c r="D6" s="908"/>
      <c r="E6" s="188" t="s">
        <v>605</v>
      </c>
      <c r="F6" s="188" t="s">
        <v>598</v>
      </c>
      <c r="G6" s="188" t="s">
        <v>701</v>
      </c>
      <c r="H6" s="188" t="s">
        <v>715</v>
      </c>
      <c r="I6" s="188" t="s">
        <v>710</v>
      </c>
      <c r="J6" s="908"/>
      <c r="K6" s="188" t="s">
        <v>712</v>
      </c>
      <c r="L6" s="905"/>
      <c r="M6" s="908"/>
      <c r="N6" s="188"/>
      <c r="O6" s="189"/>
    </row>
    <row r="7" spans="1:15" ht="61.5" customHeight="1" thickBot="1" x14ac:dyDescent="0.4">
      <c r="A7" s="188" t="s">
        <v>716</v>
      </c>
      <c r="B7" s="188" t="s">
        <v>717</v>
      </c>
      <c r="C7" s="188">
        <v>2</v>
      </c>
      <c r="D7" s="908"/>
      <c r="E7" s="188" t="s">
        <v>606</v>
      </c>
      <c r="F7" s="188" t="s">
        <v>598</v>
      </c>
      <c r="G7" s="188" t="s">
        <v>701</v>
      </c>
      <c r="H7" s="188" t="s">
        <v>651</v>
      </c>
      <c r="I7" s="188" t="s">
        <v>710</v>
      </c>
      <c r="J7" s="908"/>
      <c r="K7" s="188" t="s">
        <v>712</v>
      </c>
      <c r="L7" s="905"/>
      <c r="M7" s="908"/>
      <c r="N7" s="188"/>
      <c r="O7" s="189"/>
    </row>
    <row r="8" spans="1:15" ht="60.75" customHeight="1" thickBot="1" x14ac:dyDescent="0.4">
      <c r="A8" s="188" t="s">
        <v>718</v>
      </c>
      <c r="B8" s="188" t="s">
        <v>719</v>
      </c>
      <c r="C8" s="188">
        <v>2</v>
      </c>
      <c r="D8" s="908"/>
      <c r="E8" s="188" t="s">
        <v>607</v>
      </c>
      <c r="F8" s="188" t="s">
        <v>598</v>
      </c>
      <c r="G8" s="188" t="s">
        <v>701</v>
      </c>
      <c r="H8" s="188" t="s">
        <v>651</v>
      </c>
      <c r="I8" s="188" t="s">
        <v>710</v>
      </c>
      <c r="J8" s="909"/>
      <c r="K8" s="188" t="s">
        <v>712</v>
      </c>
      <c r="L8" s="906"/>
      <c r="M8" s="909"/>
      <c r="N8" s="188"/>
      <c r="O8" s="189"/>
    </row>
    <row r="9" spans="1:15" ht="60.75" customHeight="1" thickBot="1" x14ac:dyDescent="0.4">
      <c r="A9" s="188" t="s">
        <v>720</v>
      </c>
      <c r="B9" s="188" t="s">
        <v>721</v>
      </c>
      <c r="C9" s="188">
        <v>2</v>
      </c>
      <c r="D9" s="908"/>
      <c r="E9" s="188" t="s">
        <v>616</v>
      </c>
      <c r="F9" s="188" t="s">
        <v>598</v>
      </c>
      <c r="G9" s="188" t="s">
        <v>701</v>
      </c>
      <c r="H9" s="188" t="s">
        <v>759</v>
      </c>
      <c r="I9" s="188" t="s">
        <v>722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723</v>
      </c>
      <c r="B10" s="196" t="s">
        <v>724</v>
      </c>
      <c r="C10" s="196">
        <v>2</v>
      </c>
      <c r="D10" s="909"/>
      <c r="E10" s="196" t="s">
        <v>620</v>
      </c>
      <c r="F10" s="196" t="s">
        <v>598</v>
      </c>
      <c r="G10" s="196" t="s">
        <v>701</v>
      </c>
      <c r="H10" s="196" t="s">
        <v>651</v>
      </c>
      <c r="I10" s="196" t="s">
        <v>725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726</v>
      </c>
      <c r="B11" s="190" t="s">
        <v>727</v>
      </c>
      <c r="C11" s="190">
        <v>2</v>
      </c>
      <c r="D11" s="190" t="s">
        <v>728</v>
      </c>
      <c r="E11" s="188" t="s">
        <v>608</v>
      </c>
      <c r="F11" s="190" t="s">
        <v>598</v>
      </c>
      <c r="G11" s="190" t="s">
        <v>701</v>
      </c>
      <c r="H11" s="190" t="s">
        <v>454</v>
      </c>
      <c r="I11" s="190" t="s">
        <v>729</v>
      </c>
      <c r="J11" s="190" t="s">
        <v>730</v>
      </c>
      <c r="K11" s="190" t="s">
        <v>729</v>
      </c>
      <c r="L11" s="197" t="s">
        <v>705</v>
      </c>
      <c r="M11" s="198" t="s">
        <v>706</v>
      </c>
      <c r="N11" s="190"/>
      <c r="O11" s="189"/>
    </row>
    <row r="12" spans="1:15" ht="64.5" customHeight="1" thickBot="1" x14ac:dyDescent="0.4">
      <c r="A12" s="188" t="s">
        <v>731</v>
      </c>
      <c r="B12" s="188" t="s">
        <v>732</v>
      </c>
      <c r="C12" s="188">
        <v>2</v>
      </c>
      <c r="D12" s="188" t="s">
        <v>733</v>
      </c>
      <c r="E12" s="188" t="s">
        <v>612</v>
      </c>
      <c r="F12" s="188" t="s">
        <v>598</v>
      </c>
      <c r="G12" s="188" t="s">
        <v>701</v>
      </c>
      <c r="H12" s="188" t="s">
        <v>651</v>
      </c>
      <c r="I12" s="196" t="s">
        <v>725</v>
      </c>
      <c r="J12" s="190" t="s">
        <v>734</v>
      </c>
      <c r="K12" s="190"/>
      <c r="L12" s="197" t="s">
        <v>705</v>
      </c>
      <c r="M12" s="198" t="s">
        <v>706</v>
      </c>
      <c r="N12" s="188"/>
      <c r="O12" s="189"/>
    </row>
    <row r="13" spans="1:15" ht="39.75" customHeight="1" thickBot="1" x14ac:dyDescent="0.4">
      <c r="A13" s="185">
        <v>2</v>
      </c>
      <c r="B13" s="901" t="s">
        <v>735</v>
      </c>
      <c r="C13" s="902"/>
      <c r="D13" s="902"/>
      <c r="E13" s="902"/>
      <c r="F13" s="902"/>
      <c r="G13" s="902"/>
      <c r="H13" s="902"/>
      <c r="I13" s="902"/>
      <c r="J13" s="902"/>
      <c r="K13" s="902"/>
      <c r="L13" s="902"/>
      <c r="M13" s="902"/>
      <c r="N13" s="903"/>
      <c r="O13" s="189"/>
    </row>
    <row r="14" spans="1:15" ht="61.5" customHeight="1" thickBot="1" x14ac:dyDescent="0.4">
      <c r="A14" s="194" t="s">
        <v>698</v>
      </c>
      <c r="B14" s="199" t="s">
        <v>736</v>
      </c>
      <c r="C14" s="199">
        <v>2</v>
      </c>
      <c r="D14" s="199" t="s">
        <v>737</v>
      </c>
      <c r="E14" s="187" t="s">
        <v>622</v>
      </c>
      <c r="F14" s="199" t="s">
        <v>598</v>
      </c>
      <c r="G14" s="199" t="s">
        <v>701</v>
      </c>
      <c r="H14" s="199" t="s">
        <v>474</v>
      </c>
      <c r="I14" s="199" t="s">
        <v>738</v>
      </c>
      <c r="J14" s="199" t="s">
        <v>739</v>
      </c>
      <c r="K14" s="199" t="s">
        <v>828</v>
      </c>
      <c r="L14" s="199" t="s">
        <v>705</v>
      </c>
      <c r="M14" s="198" t="s">
        <v>706</v>
      </c>
      <c r="N14" s="187"/>
      <c r="O14" s="189"/>
    </row>
    <row r="15" spans="1:15" ht="61.5" customHeight="1" thickBot="1" x14ac:dyDescent="0.4">
      <c r="A15" s="190" t="s">
        <v>707</v>
      </c>
      <c r="B15" s="188" t="s">
        <v>740</v>
      </c>
      <c r="C15" s="188">
        <v>2</v>
      </c>
      <c r="D15" s="190" t="s">
        <v>737</v>
      </c>
      <c r="E15" s="188" t="s">
        <v>624</v>
      </c>
      <c r="F15" s="188" t="s">
        <v>598</v>
      </c>
      <c r="G15" s="188" t="s">
        <v>701</v>
      </c>
      <c r="H15" s="188" t="s">
        <v>474</v>
      </c>
      <c r="I15" s="188" t="s">
        <v>741</v>
      </c>
      <c r="J15" s="188" t="s">
        <v>739</v>
      </c>
      <c r="K15" s="188" t="s">
        <v>617</v>
      </c>
      <c r="L15" s="188" t="s">
        <v>705</v>
      </c>
      <c r="M15" s="198" t="s">
        <v>706</v>
      </c>
      <c r="N15" s="188"/>
      <c r="O15" s="189"/>
    </row>
    <row r="16" spans="1:15" ht="61.5" customHeight="1" thickBot="1" x14ac:dyDescent="0.4">
      <c r="A16" s="195" t="s">
        <v>713</v>
      </c>
      <c r="B16" s="188" t="s">
        <v>742</v>
      </c>
      <c r="C16" s="188">
        <v>2</v>
      </c>
      <c r="D16" s="199" t="s">
        <v>737</v>
      </c>
      <c r="E16" s="188" t="s">
        <v>625</v>
      </c>
      <c r="F16" s="188" t="s">
        <v>598</v>
      </c>
      <c r="G16" s="188" t="s">
        <v>701</v>
      </c>
      <c r="H16" s="188" t="s">
        <v>474</v>
      </c>
      <c r="I16" s="188" t="s">
        <v>725</v>
      </c>
      <c r="J16" s="188" t="s">
        <v>739</v>
      </c>
      <c r="K16" s="188" t="s">
        <v>617</v>
      </c>
      <c r="L16" s="188" t="s">
        <v>705</v>
      </c>
      <c r="M16" s="198" t="s">
        <v>706</v>
      </c>
      <c r="N16" s="188"/>
      <c r="O16" s="189"/>
    </row>
    <row r="17" spans="1:15" ht="42" customHeight="1" thickBot="1" x14ac:dyDescent="0.4">
      <c r="A17" s="185">
        <v>3</v>
      </c>
      <c r="B17" s="901" t="s">
        <v>743</v>
      </c>
      <c r="C17" s="902"/>
      <c r="D17" s="902"/>
      <c r="E17" s="902"/>
      <c r="F17" s="902"/>
      <c r="G17" s="902"/>
      <c r="H17" s="902"/>
      <c r="I17" s="902"/>
      <c r="J17" s="902"/>
      <c r="K17" s="902"/>
      <c r="L17" s="902"/>
      <c r="M17" s="902"/>
      <c r="N17" s="903"/>
      <c r="O17" s="189"/>
    </row>
    <row r="18" spans="1:15" ht="59.25" customHeight="1" thickBot="1" x14ac:dyDescent="0.4">
      <c r="A18" s="195" t="s">
        <v>698</v>
      </c>
      <c r="B18" s="200" t="s">
        <v>744</v>
      </c>
      <c r="C18" s="200">
        <v>2</v>
      </c>
      <c r="D18" s="200" t="s">
        <v>745</v>
      </c>
      <c r="E18" s="191" t="s">
        <v>628</v>
      </c>
      <c r="F18" s="192" t="s">
        <v>598</v>
      </c>
      <c r="G18" s="193" t="s">
        <v>701</v>
      </c>
      <c r="H18" s="193" t="s">
        <v>746</v>
      </c>
      <c r="I18" s="193" t="s">
        <v>747</v>
      </c>
      <c r="J18" s="193" t="s">
        <v>739</v>
      </c>
      <c r="K18" s="201" t="s">
        <v>907</v>
      </c>
      <c r="L18" s="193" t="s">
        <v>705</v>
      </c>
      <c r="M18" s="198" t="s">
        <v>706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5"/>
  <sheetViews>
    <sheetView zoomScale="85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K226" sqref="K226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911" t="s">
        <v>419</v>
      </c>
      <c r="B1" s="912"/>
      <c r="C1" s="912"/>
      <c r="D1" s="912"/>
      <c r="E1" s="912"/>
      <c r="F1" s="912"/>
      <c r="G1" s="912"/>
      <c r="H1" s="912"/>
      <c r="I1" s="912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910" t="s">
        <v>421</v>
      </c>
      <c r="E3" s="910"/>
      <c r="F3" s="910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910" t="s">
        <v>421</v>
      </c>
      <c r="E4" s="910"/>
      <c r="F4" s="910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910" t="s">
        <v>421</v>
      </c>
      <c r="E5" s="910"/>
      <c r="F5" s="910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910" t="s">
        <v>421</v>
      </c>
      <c r="E6" s="910"/>
      <c r="F6" s="910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910" t="s">
        <v>421</v>
      </c>
      <c r="E7" s="910"/>
      <c r="F7" s="910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910" t="s">
        <v>421</v>
      </c>
      <c r="E8" s="910"/>
      <c r="F8" s="910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910" t="s">
        <v>421</v>
      </c>
      <c r="E9" s="910"/>
      <c r="F9" s="910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910" t="s">
        <v>421</v>
      </c>
      <c r="E10" s="910"/>
      <c r="F10" s="910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910" t="s">
        <v>421</v>
      </c>
      <c r="E11" s="910"/>
      <c r="F11" s="910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910" t="s">
        <v>421</v>
      </c>
      <c r="E12" s="910"/>
      <c r="F12" s="910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910" t="s">
        <v>421</v>
      </c>
      <c r="E13" s="910"/>
      <c r="F13" s="910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910" t="s">
        <v>421</v>
      </c>
      <c r="E14" s="910"/>
      <c r="F14" s="910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910" t="s">
        <v>421</v>
      </c>
      <c r="E15" s="910"/>
      <c r="F15" s="910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910" t="s">
        <v>421</v>
      </c>
      <c r="E16" s="910"/>
      <c r="F16" s="910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910" t="s">
        <v>421</v>
      </c>
      <c r="E17" s="910"/>
      <c r="F17" s="910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910" t="s">
        <v>421</v>
      </c>
      <c r="E18" s="910"/>
      <c r="F18" s="910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910" t="s">
        <v>421</v>
      </c>
      <c r="E19" s="910"/>
      <c r="F19" s="910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910" t="s">
        <v>421</v>
      </c>
      <c r="E20" s="910"/>
      <c r="F20" s="910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910" t="s">
        <v>421</v>
      </c>
      <c r="E21" s="910"/>
      <c r="F21" s="910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910" t="s">
        <v>421</v>
      </c>
      <c r="E22" s="910"/>
      <c r="F22" s="910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910" t="s">
        <v>421</v>
      </c>
      <c r="E23" s="910"/>
      <c r="F23" s="910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910" t="s">
        <v>421</v>
      </c>
      <c r="E24" s="910"/>
      <c r="F24" s="910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910" t="s">
        <v>421</v>
      </c>
      <c r="E25" s="910"/>
      <c r="F25" s="910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910" t="s">
        <v>421</v>
      </c>
      <c r="E26" s="910"/>
      <c r="F26" s="910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910" t="s">
        <v>421</v>
      </c>
      <c r="E27" s="910"/>
      <c r="F27" s="910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910" t="s">
        <v>421</v>
      </c>
      <c r="E28" s="910"/>
      <c r="F28" s="910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910" t="s">
        <v>421</v>
      </c>
      <c r="E29" s="910"/>
      <c r="F29" s="910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910" t="s">
        <v>421</v>
      </c>
      <c r="E30" s="910"/>
      <c r="F30" s="910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910" t="s">
        <v>421</v>
      </c>
      <c r="E31" s="910"/>
      <c r="F31" s="910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910" t="s">
        <v>421</v>
      </c>
      <c r="E32" s="910"/>
      <c r="F32" s="910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910" t="s">
        <v>421</v>
      </c>
      <c r="E33" s="910"/>
      <c r="F33" s="910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910" t="s">
        <v>421</v>
      </c>
      <c r="E34" s="910"/>
      <c r="F34" s="910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910" t="s">
        <v>421</v>
      </c>
      <c r="E35" s="910"/>
      <c r="F35" s="910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910" t="s">
        <v>421</v>
      </c>
      <c r="E36" s="910"/>
      <c r="F36" s="910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910" t="s">
        <v>421</v>
      </c>
      <c r="E37" s="910"/>
      <c r="F37" s="910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910" t="s">
        <v>421</v>
      </c>
      <c r="E38" s="910"/>
      <c r="F38" s="910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910" t="s">
        <v>421</v>
      </c>
      <c r="E39" s="910"/>
      <c r="F39" s="910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910" t="s">
        <v>421</v>
      </c>
      <c r="E40" s="910"/>
      <c r="F40" s="910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910" t="s">
        <v>421</v>
      </c>
      <c r="E41" s="910"/>
      <c r="F41" s="910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910" t="s">
        <v>421</v>
      </c>
      <c r="E42" s="910"/>
      <c r="F42" s="910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910" t="s">
        <v>421</v>
      </c>
      <c r="E43" s="910"/>
      <c r="F43" s="910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910" t="s">
        <v>421</v>
      </c>
      <c r="E44" s="910"/>
      <c r="F44" s="910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910" t="s">
        <v>421</v>
      </c>
      <c r="E45" s="910"/>
      <c r="F45" s="910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910" t="s">
        <v>421</v>
      </c>
      <c r="E46" s="910"/>
      <c r="F46" s="910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910" t="s">
        <v>421</v>
      </c>
      <c r="E47" s="910"/>
      <c r="F47" s="910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910" t="s">
        <v>421</v>
      </c>
      <c r="E48" s="910"/>
      <c r="F48" s="910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910" t="s">
        <v>421</v>
      </c>
      <c r="E49" s="910"/>
      <c r="F49" s="910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910" t="s">
        <v>421</v>
      </c>
      <c r="E50" s="910"/>
      <c r="F50" s="910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910" t="s">
        <v>421</v>
      </c>
      <c r="E51" s="910"/>
      <c r="F51" s="910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910" t="s">
        <v>421</v>
      </c>
      <c r="E52" s="910"/>
      <c r="F52" s="910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910" t="s">
        <v>421</v>
      </c>
      <c r="E53" s="910"/>
      <c r="F53" s="910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910" t="s">
        <v>421</v>
      </c>
      <c r="E54" s="910"/>
      <c r="F54" s="910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910" t="s">
        <v>421</v>
      </c>
      <c r="E55" s="910"/>
      <c r="F55" s="910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910" t="s">
        <v>421</v>
      </c>
      <c r="E56" s="910"/>
      <c r="F56" s="910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910" t="s">
        <v>421</v>
      </c>
      <c r="E57" s="910"/>
      <c r="F57" s="910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910" t="s">
        <v>421</v>
      </c>
      <c r="E58" s="910"/>
      <c r="F58" s="910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910" t="s">
        <v>421</v>
      </c>
      <c r="E59" s="910"/>
      <c r="F59" s="910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910" t="s">
        <v>421</v>
      </c>
      <c r="E60" s="910"/>
      <c r="F60" s="910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910" t="s">
        <v>421</v>
      </c>
      <c r="E61" s="910"/>
      <c r="F61" s="910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910" t="s">
        <v>421</v>
      </c>
      <c r="E62" s="910"/>
      <c r="F62" s="910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910" t="s">
        <v>421</v>
      </c>
      <c r="E63" s="910"/>
      <c r="F63" s="910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910" t="s">
        <v>421</v>
      </c>
      <c r="E64" s="910"/>
      <c r="F64" s="910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910" t="s">
        <v>421</v>
      </c>
      <c r="E65" s="910"/>
      <c r="F65" s="910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910" t="s">
        <v>421</v>
      </c>
      <c r="E66" s="910"/>
      <c r="F66" s="910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910" t="s">
        <v>421</v>
      </c>
      <c r="E67" s="910"/>
      <c r="F67" s="910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910" t="s">
        <v>421</v>
      </c>
      <c r="E68" s="910"/>
      <c r="F68" s="910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910" t="s">
        <v>421</v>
      </c>
      <c r="E69" s="910"/>
      <c r="F69" s="910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910" t="s">
        <v>421</v>
      </c>
      <c r="E70" s="910"/>
      <c r="F70" s="910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910" t="s">
        <v>421</v>
      </c>
      <c r="E71" s="910"/>
      <c r="F71" s="910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910" t="s">
        <v>421</v>
      </c>
      <c r="E72" s="910"/>
      <c r="F72" s="910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910" t="s">
        <v>421</v>
      </c>
      <c r="E73" s="910"/>
      <c r="F73" s="910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910" t="s">
        <v>421</v>
      </c>
      <c r="E74" s="910"/>
      <c r="F74" s="910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910" t="s">
        <v>421</v>
      </c>
      <c r="E75" s="910"/>
      <c r="F75" s="910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910" t="s">
        <v>421</v>
      </c>
      <c r="E76" s="910"/>
      <c r="F76" s="910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910" t="s">
        <v>421</v>
      </c>
      <c r="E77" s="910"/>
      <c r="F77" s="910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910" t="s">
        <v>421</v>
      </c>
      <c r="E78" s="910"/>
      <c r="F78" s="910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910" t="s">
        <v>421</v>
      </c>
      <c r="E79" s="910"/>
      <c r="F79" s="910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910" t="s">
        <v>421</v>
      </c>
      <c r="E80" s="910"/>
      <c r="F80" s="910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910" t="s">
        <v>421</v>
      </c>
      <c r="E81" s="910"/>
      <c r="F81" s="910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910" t="s">
        <v>421</v>
      </c>
      <c r="E82" s="910"/>
      <c r="F82" s="910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910" t="s">
        <v>421</v>
      </c>
      <c r="E83" s="910"/>
      <c r="F83" s="910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910" t="s">
        <v>421</v>
      </c>
      <c r="E84" s="910"/>
      <c r="F84" s="910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910" t="s">
        <v>421</v>
      </c>
      <c r="E85" s="910"/>
      <c r="F85" s="910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910" t="s">
        <v>421</v>
      </c>
      <c r="E86" s="910"/>
      <c r="F86" s="910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910" t="s">
        <v>421</v>
      </c>
      <c r="E87" s="910"/>
      <c r="F87" s="910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910" t="s">
        <v>421</v>
      </c>
      <c r="E88" s="910"/>
      <c r="F88" s="910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910" t="s">
        <v>421</v>
      </c>
      <c r="E89" s="910"/>
      <c r="F89" s="910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910" t="s">
        <v>421</v>
      </c>
      <c r="E90" s="910"/>
      <c r="F90" s="910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910" t="s">
        <v>421</v>
      </c>
      <c r="E91" s="910"/>
      <c r="F91" s="910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910" t="s">
        <v>421</v>
      </c>
      <c r="E92" s="910"/>
      <c r="F92" s="910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910" t="s">
        <v>421</v>
      </c>
      <c r="E93" s="910"/>
      <c r="F93" s="910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910" t="s">
        <v>421</v>
      </c>
      <c r="E94" s="910"/>
      <c r="F94" s="910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910" t="s">
        <v>421</v>
      </c>
      <c r="E95" s="910"/>
      <c r="F95" s="910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910" t="s">
        <v>421</v>
      </c>
      <c r="E96" s="910"/>
      <c r="F96" s="910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910" t="s">
        <v>421</v>
      </c>
      <c r="E97" s="910"/>
      <c r="F97" s="910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910" t="s">
        <v>421</v>
      </c>
      <c r="E98" s="910"/>
      <c r="F98" s="910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910" t="s">
        <v>421</v>
      </c>
      <c r="E99" s="910"/>
      <c r="F99" s="910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910" t="s">
        <v>421</v>
      </c>
      <c r="E100" s="910"/>
      <c r="F100" s="910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910" t="s">
        <v>421</v>
      </c>
      <c r="E101" s="910"/>
      <c r="F101" s="910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910" t="s">
        <v>421</v>
      </c>
      <c r="E102" s="910"/>
      <c r="F102" s="910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910" t="s">
        <v>421</v>
      </c>
      <c r="E103" s="910"/>
      <c r="F103" s="910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910" t="s">
        <v>421</v>
      </c>
      <c r="E104" s="910"/>
      <c r="F104" s="910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910" t="s">
        <v>421</v>
      </c>
      <c r="E105" s="910"/>
      <c r="F105" s="910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910" t="s">
        <v>421</v>
      </c>
      <c r="E106" s="910"/>
      <c r="F106" s="910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910" t="s">
        <v>421</v>
      </c>
      <c r="E107" s="910"/>
      <c r="F107" s="910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910" t="s">
        <v>421</v>
      </c>
      <c r="E108" s="910"/>
      <c r="F108" s="910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910" t="s">
        <v>421</v>
      </c>
      <c r="E109" s="910"/>
      <c r="F109" s="910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910" t="s">
        <v>421</v>
      </c>
      <c r="E110" s="910"/>
      <c r="F110" s="910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910" t="s">
        <v>421</v>
      </c>
      <c r="E111" s="910"/>
      <c r="F111" s="910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910" t="s">
        <v>421</v>
      </c>
      <c r="E112" s="910"/>
      <c r="F112" s="910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910" t="s">
        <v>421</v>
      </c>
      <c r="E113" s="910"/>
      <c r="F113" s="910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910" t="s">
        <v>421</v>
      </c>
      <c r="E114" s="910"/>
      <c r="F114" s="910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910" t="s">
        <v>421</v>
      </c>
      <c r="E115" s="910"/>
      <c r="F115" s="910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910" t="s">
        <v>421</v>
      </c>
      <c r="E116" s="910"/>
      <c r="F116" s="910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910" t="s">
        <v>421</v>
      </c>
      <c r="E117" s="910"/>
      <c r="F117" s="910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910" t="s">
        <v>421</v>
      </c>
      <c r="E118" s="910"/>
      <c r="F118" s="910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910" t="s">
        <v>421</v>
      </c>
      <c r="E119" s="910"/>
      <c r="F119" s="910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910" t="s">
        <v>421</v>
      </c>
      <c r="E120" s="910"/>
      <c r="F120" s="910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910" t="s">
        <v>421</v>
      </c>
      <c r="E121" s="910"/>
      <c r="F121" s="910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910" t="s">
        <v>421</v>
      </c>
      <c r="E122" s="910"/>
      <c r="F122" s="910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910" t="s">
        <v>421</v>
      </c>
      <c r="E123" s="910"/>
      <c r="F123" s="910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910" t="s">
        <v>421</v>
      </c>
      <c r="E124" s="910"/>
      <c r="F124" s="910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910" t="s">
        <v>421</v>
      </c>
      <c r="E125" s="910"/>
      <c r="F125" s="910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910" t="s">
        <v>421</v>
      </c>
      <c r="E126" s="910"/>
      <c r="F126" s="910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910" t="s">
        <v>421</v>
      </c>
      <c r="E127" s="910"/>
      <c r="F127" s="910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910" t="s">
        <v>421</v>
      </c>
      <c r="E128" s="910"/>
      <c r="F128" s="910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910" t="s">
        <v>421</v>
      </c>
      <c r="E129" s="910"/>
      <c r="F129" s="910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910" t="s">
        <v>421</v>
      </c>
      <c r="E130" s="910"/>
      <c r="F130" s="910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910" t="s">
        <v>421</v>
      </c>
      <c r="E131" s="910"/>
      <c r="F131" s="910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910" t="s">
        <v>421</v>
      </c>
      <c r="E132" s="910"/>
      <c r="F132" s="910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910" t="s">
        <v>421</v>
      </c>
      <c r="E133" s="910"/>
      <c r="F133" s="910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910" t="s">
        <v>421</v>
      </c>
      <c r="E134" s="910"/>
      <c r="F134" s="910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910" t="s">
        <v>421</v>
      </c>
      <c r="E135" s="910"/>
      <c r="F135" s="910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910" t="s">
        <v>421</v>
      </c>
      <c r="E136" s="910"/>
      <c r="F136" s="910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910" t="s">
        <v>421</v>
      </c>
      <c r="E137" s="910"/>
      <c r="F137" s="910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910" t="s">
        <v>421</v>
      </c>
      <c r="E138" s="910"/>
      <c r="F138" s="910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910" t="s">
        <v>421</v>
      </c>
      <c r="E139" s="910"/>
      <c r="F139" s="910"/>
    </row>
    <row r="140" spans="1:11" x14ac:dyDescent="0.35">
      <c r="A140" s="1">
        <v>138</v>
      </c>
      <c r="B140" s="44" t="s">
        <v>44</v>
      </c>
      <c r="C140" s="1" t="s">
        <v>40</v>
      </c>
      <c r="D140" s="910" t="s">
        <v>421</v>
      </c>
      <c r="E140" s="910"/>
      <c r="F140" s="910"/>
    </row>
    <row r="141" spans="1:11" x14ac:dyDescent="0.35">
      <c r="A141" s="1">
        <v>139</v>
      </c>
      <c r="B141" s="44" t="s">
        <v>58</v>
      </c>
      <c r="C141" s="1" t="s">
        <v>23</v>
      </c>
      <c r="D141" s="910" t="s">
        <v>421</v>
      </c>
      <c r="E141" s="910"/>
      <c r="F141" s="910"/>
    </row>
    <row r="142" spans="1:11" x14ac:dyDescent="0.35">
      <c r="A142" s="1">
        <v>140</v>
      </c>
      <c r="B142" s="44" t="s">
        <v>250</v>
      </c>
      <c r="C142" s="1" t="s">
        <v>23</v>
      </c>
      <c r="D142" s="910" t="s">
        <v>421</v>
      </c>
      <c r="E142" s="910"/>
      <c r="F142" s="910"/>
    </row>
    <row r="143" spans="1:11" x14ac:dyDescent="0.35">
      <c r="A143" s="1">
        <v>141</v>
      </c>
      <c r="B143" s="44" t="s">
        <v>49</v>
      </c>
      <c r="C143" s="1" t="s">
        <v>28</v>
      </c>
      <c r="D143" s="910" t="s">
        <v>421</v>
      </c>
      <c r="E143" s="910"/>
      <c r="F143" s="910"/>
    </row>
    <row r="144" spans="1:11" x14ac:dyDescent="0.35">
      <c r="A144" s="1">
        <v>142</v>
      </c>
      <c r="B144" s="44" t="s">
        <v>89</v>
      </c>
      <c r="C144" s="1" t="s">
        <v>31</v>
      </c>
      <c r="D144" s="910" t="s">
        <v>421</v>
      </c>
      <c r="E144" s="910"/>
      <c r="F144" s="910"/>
    </row>
    <row r="145" spans="1:6" x14ac:dyDescent="0.35">
      <c r="A145" s="1">
        <v>143</v>
      </c>
      <c r="B145" s="1" t="s">
        <v>252</v>
      </c>
      <c r="C145" s="1" t="s">
        <v>33</v>
      </c>
      <c r="D145" s="910" t="s">
        <v>421</v>
      </c>
      <c r="E145" s="910"/>
      <c r="F145" s="910"/>
    </row>
    <row r="146" spans="1:6" x14ac:dyDescent="0.35">
      <c r="A146" s="1">
        <v>144</v>
      </c>
      <c r="B146" s="44" t="s">
        <v>65</v>
      </c>
      <c r="C146" s="1" t="s">
        <v>28</v>
      </c>
      <c r="D146" s="910" t="s">
        <v>421</v>
      </c>
      <c r="E146" s="910"/>
      <c r="F146" s="910"/>
    </row>
    <row r="147" spans="1:6" x14ac:dyDescent="0.35">
      <c r="A147" s="1">
        <v>145</v>
      </c>
      <c r="B147" s="1" t="s">
        <v>251</v>
      </c>
      <c r="C147" s="1" t="s">
        <v>18</v>
      </c>
      <c r="D147" s="910" t="s">
        <v>421</v>
      </c>
      <c r="E147" s="910"/>
      <c r="F147" s="910"/>
    </row>
    <row r="148" spans="1:6" x14ac:dyDescent="0.35">
      <c r="A148" s="1">
        <v>146</v>
      </c>
      <c r="B148" s="1" t="s">
        <v>319</v>
      </c>
      <c r="C148" s="1" t="s">
        <v>115</v>
      </c>
      <c r="D148" s="910" t="s">
        <v>421</v>
      </c>
      <c r="E148" s="910"/>
      <c r="F148" s="910"/>
    </row>
    <row r="149" spans="1:6" x14ac:dyDescent="0.35">
      <c r="A149" s="1">
        <v>147</v>
      </c>
      <c r="B149" s="45" t="s">
        <v>126</v>
      </c>
      <c r="C149" s="1" t="s">
        <v>800</v>
      </c>
      <c r="D149" s="910" t="s">
        <v>421</v>
      </c>
      <c r="E149" s="910"/>
      <c r="F149" s="910"/>
    </row>
    <row r="150" spans="1:6" x14ac:dyDescent="0.35">
      <c r="A150" s="1">
        <v>148</v>
      </c>
      <c r="B150" s="44" t="s">
        <v>127</v>
      </c>
      <c r="C150" s="1" t="s">
        <v>799</v>
      </c>
      <c r="D150" s="910" t="s">
        <v>421</v>
      </c>
      <c r="E150" s="910"/>
      <c r="F150" s="910"/>
    </row>
    <row r="151" spans="1:6" x14ac:dyDescent="0.35">
      <c r="A151" s="1">
        <v>149</v>
      </c>
      <c r="B151" s="44" t="s">
        <v>60</v>
      </c>
      <c r="C151" s="1" t="s">
        <v>801</v>
      </c>
      <c r="D151" s="910" t="s">
        <v>421</v>
      </c>
      <c r="E151" s="910"/>
      <c r="F151" s="910"/>
    </row>
    <row r="152" spans="1:6" x14ac:dyDescent="0.35">
      <c r="A152" s="1">
        <v>150</v>
      </c>
      <c r="B152" s="44" t="s">
        <v>62</v>
      </c>
      <c r="C152" s="1" t="s">
        <v>799</v>
      </c>
      <c r="D152" s="910" t="s">
        <v>421</v>
      </c>
      <c r="E152" s="910"/>
      <c r="F152" s="910"/>
    </row>
    <row r="153" spans="1:6" x14ac:dyDescent="0.35">
      <c r="A153" s="1">
        <v>151</v>
      </c>
      <c r="B153" s="44" t="s">
        <v>66</v>
      </c>
      <c r="C153" s="1" t="s">
        <v>800</v>
      </c>
      <c r="D153" s="910" t="s">
        <v>421</v>
      </c>
      <c r="E153" s="910"/>
      <c r="F153" s="910"/>
    </row>
    <row r="154" spans="1:6" x14ac:dyDescent="0.35">
      <c r="A154" s="1">
        <v>152</v>
      </c>
      <c r="B154" s="44" t="s">
        <v>67</v>
      </c>
      <c r="C154" s="1" t="s">
        <v>23</v>
      </c>
      <c r="D154" s="910" t="s">
        <v>421</v>
      </c>
      <c r="E154" s="910"/>
      <c r="F154" s="910"/>
    </row>
    <row r="155" spans="1:6" x14ac:dyDescent="0.35">
      <c r="A155" s="1">
        <v>153</v>
      </c>
      <c r="B155" s="1" t="s">
        <v>245</v>
      </c>
      <c r="C155" s="1" t="s">
        <v>35</v>
      </c>
      <c r="D155" s="910" t="s">
        <v>421</v>
      </c>
      <c r="E155" s="910"/>
      <c r="F155" s="910"/>
    </row>
    <row r="156" spans="1:6" x14ac:dyDescent="0.35">
      <c r="A156" s="1">
        <v>154</v>
      </c>
      <c r="B156" s="1" t="s">
        <v>254</v>
      </c>
      <c r="C156" s="1" t="s">
        <v>23</v>
      </c>
      <c r="D156" s="910" t="s">
        <v>421</v>
      </c>
      <c r="E156" s="910"/>
      <c r="F156" s="910"/>
    </row>
    <row r="157" spans="1:6" x14ac:dyDescent="0.35">
      <c r="A157" s="1">
        <v>155</v>
      </c>
      <c r="B157" s="1" t="s">
        <v>112</v>
      </c>
      <c r="C157" s="1" t="s">
        <v>113</v>
      </c>
      <c r="D157" s="910" t="s">
        <v>421</v>
      </c>
      <c r="E157" s="910"/>
      <c r="F157" s="910"/>
    </row>
    <row r="158" spans="1:6" x14ac:dyDescent="0.35">
      <c r="A158" s="1">
        <v>156</v>
      </c>
      <c r="B158" s="45" t="s">
        <v>64</v>
      </c>
      <c r="C158" s="1" t="s">
        <v>16</v>
      </c>
      <c r="D158" s="910" t="s">
        <v>421</v>
      </c>
      <c r="E158" s="910"/>
      <c r="F158" s="910"/>
    </row>
    <row r="159" spans="1:6" x14ac:dyDescent="0.35">
      <c r="A159" s="1">
        <v>157</v>
      </c>
      <c r="B159" s="44" t="s">
        <v>104</v>
      </c>
      <c r="C159" s="1" t="s">
        <v>31</v>
      </c>
      <c r="D159" s="910" t="s">
        <v>421</v>
      </c>
      <c r="E159" s="910"/>
      <c r="F159" s="910"/>
    </row>
    <row r="160" spans="1:6" x14ac:dyDescent="0.35">
      <c r="A160" s="1">
        <v>158</v>
      </c>
      <c r="B160" s="44" t="s">
        <v>253</v>
      </c>
      <c r="C160" s="1" t="s">
        <v>31</v>
      </c>
      <c r="D160" s="910" t="s">
        <v>421</v>
      </c>
      <c r="E160" s="910"/>
      <c r="F160" s="910"/>
    </row>
    <row r="161" spans="1:6" x14ac:dyDescent="0.35">
      <c r="A161" s="1">
        <v>159</v>
      </c>
      <c r="B161" s="44" t="s">
        <v>333</v>
      </c>
      <c r="C161" s="1" t="s">
        <v>28</v>
      </c>
      <c r="D161" s="910" t="s">
        <v>421</v>
      </c>
      <c r="E161" s="910"/>
      <c r="F161" s="910"/>
    </row>
    <row r="162" spans="1:6" x14ac:dyDescent="0.35">
      <c r="A162" s="1">
        <v>160</v>
      </c>
      <c r="B162" s="44" t="s">
        <v>100</v>
      </c>
      <c r="C162" s="1" t="s">
        <v>28</v>
      </c>
      <c r="D162" s="910" t="s">
        <v>421</v>
      </c>
      <c r="E162" s="910"/>
      <c r="F162" s="910"/>
    </row>
    <row r="163" spans="1:6" x14ac:dyDescent="0.35">
      <c r="A163" s="1">
        <v>161</v>
      </c>
      <c r="B163" s="1" t="s">
        <v>318</v>
      </c>
      <c r="C163" s="1" t="s">
        <v>23</v>
      </c>
      <c r="D163" s="910" t="s">
        <v>421</v>
      </c>
      <c r="E163" s="910"/>
      <c r="F163" s="910"/>
    </row>
    <row r="164" spans="1:6" x14ac:dyDescent="0.35">
      <c r="A164" s="1">
        <v>162</v>
      </c>
      <c r="B164" s="1" t="s">
        <v>320</v>
      </c>
      <c r="C164" s="1" t="s">
        <v>16</v>
      </c>
      <c r="D164" s="910" t="s">
        <v>421</v>
      </c>
      <c r="E164" s="910"/>
      <c r="F164" s="910"/>
    </row>
    <row r="165" spans="1:6" x14ac:dyDescent="0.35">
      <c r="A165" s="1">
        <v>163</v>
      </c>
      <c r="B165" s="44" t="s">
        <v>256</v>
      </c>
      <c r="C165" s="1" t="s">
        <v>31</v>
      </c>
      <c r="D165" s="910" t="s">
        <v>421</v>
      </c>
      <c r="E165" s="910"/>
      <c r="F165" s="910"/>
    </row>
    <row r="166" spans="1:6" x14ac:dyDescent="0.35">
      <c r="A166" s="1">
        <v>164</v>
      </c>
      <c r="B166" s="44" t="s">
        <v>258</v>
      </c>
      <c r="C166" s="1" t="s">
        <v>31</v>
      </c>
      <c r="D166" s="910" t="s">
        <v>421</v>
      </c>
      <c r="E166" s="910"/>
      <c r="F166" s="910"/>
    </row>
    <row r="167" spans="1:6" x14ac:dyDescent="0.35">
      <c r="A167" s="1">
        <v>165</v>
      </c>
      <c r="B167" s="44" t="s">
        <v>329</v>
      </c>
      <c r="C167" s="1" t="s">
        <v>35</v>
      </c>
      <c r="D167" s="910" t="s">
        <v>421</v>
      </c>
      <c r="E167" s="910"/>
      <c r="F167" s="910"/>
    </row>
    <row r="168" spans="1:6" x14ac:dyDescent="0.35">
      <c r="A168" s="1">
        <v>166</v>
      </c>
      <c r="B168" s="44" t="s">
        <v>114</v>
      </c>
      <c r="C168" s="1" t="s">
        <v>115</v>
      </c>
      <c r="D168" s="910" t="s">
        <v>421</v>
      </c>
      <c r="E168" s="910"/>
      <c r="F168" s="910"/>
    </row>
    <row r="169" spans="1:6" x14ac:dyDescent="0.35">
      <c r="A169" s="1">
        <v>167</v>
      </c>
      <c r="B169" s="44" t="s">
        <v>336</v>
      </c>
      <c r="C169" s="1" t="s">
        <v>16</v>
      </c>
      <c r="D169" s="910" t="s">
        <v>421</v>
      </c>
      <c r="E169" s="910"/>
      <c r="F169" s="910"/>
    </row>
    <row r="170" spans="1:6" x14ac:dyDescent="0.35">
      <c r="A170" s="1">
        <v>168</v>
      </c>
      <c r="B170" s="44" t="s">
        <v>241</v>
      </c>
      <c r="C170" s="1" t="s">
        <v>18</v>
      </c>
      <c r="D170" s="910" t="s">
        <v>421</v>
      </c>
      <c r="E170" s="910"/>
      <c r="F170" s="910"/>
    </row>
    <row r="171" spans="1:6" x14ac:dyDescent="0.35">
      <c r="A171" s="1">
        <v>169</v>
      </c>
      <c r="B171" s="44" t="s">
        <v>326</v>
      </c>
      <c r="C171" s="1" t="s">
        <v>23</v>
      </c>
      <c r="D171" s="910" t="s">
        <v>421</v>
      </c>
      <c r="E171" s="910"/>
      <c r="F171" s="910"/>
    </row>
    <row r="172" spans="1:6" x14ac:dyDescent="0.35">
      <c r="A172" s="1">
        <v>170</v>
      </c>
      <c r="B172" s="44" t="s">
        <v>337</v>
      </c>
      <c r="C172" s="1" t="s">
        <v>23</v>
      </c>
      <c r="D172" s="910" t="s">
        <v>421</v>
      </c>
      <c r="E172" s="910"/>
      <c r="F172" s="910"/>
    </row>
    <row r="173" spans="1:6" x14ac:dyDescent="0.35">
      <c r="A173" s="1">
        <v>171</v>
      </c>
      <c r="B173" s="44" t="s">
        <v>39</v>
      </c>
      <c r="C173" s="1" t="s">
        <v>40</v>
      </c>
      <c r="D173" s="910" t="s">
        <v>421</v>
      </c>
      <c r="E173" s="910"/>
      <c r="F173" s="910"/>
    </row>
    <row r="174" spans="1:6" x14ac:dyDescent="0.35">
      <c r="A174" s="1">
        <v>172</v>
      </c>
      <c r="B174" s="44" t="s">
        <v>130</v>
      </c>
      <c r="C174" s="1" t="s">
        <v>12</v>
      </c>
      <c r="D174" s="910" t="s">
        <v>421</v>
      </c>
      <c r="E174" s="910"/>
      <c r="F174" s="910"/>
    </row>
    <row r="175" spans="1:6" x14ac:dyDescent="0.35">
      <c r="A175" s="1">
        <v>173</v>
      </c>
      <c r="B175" s="44" t="s">
        <v>321</v>
      </c>
      <c r="C175" s="1" t="s">
        <v>40</v>
      </c>
      <c r="D175" s="910" t="s">
        <v>421</v>
      </c>
      <c r="E175" s="910"/>
      <c r="F175" s="910"/>
    </row>
    <row r="176" spans="1:6" x14ac:dyDescent="0.35">
      <c r="A176" s="1">
        <v>174</v>
      </c>
      <c r="B176" s="1" t="s">
        <v>290</v>
      </c>
      <c r="C176" s="1" t="s">
        <v>35</v>
      </c>
      <c r="D176" s="910" t="s">
        <v>421</v>
      </c>
      <c r="E176" s="910"/>
      <c r="F176" s="910"/>
    </row>
    <row r="177" spans="1:6" x14ac:dyDescent="0.35">
      <c r="A177" s="1">
        <v>175</v>
      </c>
      <c r="B177" s="1" t="s">
        <v>342</v>
      </c>
      <c r="C177" s="1" t="s">
        <v>236</v>
      </c>
      <c r="D177" s="910" t="s">
        <v>421</v>
      </c>
      <c r="E177" s="910"/>
      <c r="F177" s="910"/>
    </row>
    <row r="178" spans="1:6" x14ac:dyDescent="0.35">
      <c r="A178" s="1">
        <v>176</v>
      </c>
      <c r="B178" s="1" t="s">
        <v>219</v>
      </c>
      <c r="C178" s="1" t="s">
        <v>18</v>
      </c>
      <c r="D178" s="910" t="s">
        <v>421</v>
      </c>
      <c r="E178" s="910"/>
      <c r="F178" s="910"/>
    </row>
    <row r="179" spans="1:6" x14ac:dyDescent="0.35">
      <c r="A179" s="1">
        <v>177</v>
      </c>
      <c r="B179" s="44" t="s">
        <v>291</v>
      </c>
      <c r="C179" s="1" t="s">
        <v>113</v>
      </c>
      <c r="D179" s="910" t="s">
        <v>421</v>
      </c>
      <c r="E179" s="910"/>
      <c r="F179" s="910"/>
    </row>
    <row r="180" spans="1:6" x14ac:dyDescent="0.35">
      <c r="A180" s="1">
        <v>178</v>
      </c>
      <c r="B180" s="44" t="s">
        <v>295</v>
      </c>
      <c r="C180" s="1" t="s">
        <v>16</v>
      </c>
      <c r="D180" s="910" t="s">
        <v>421</v>
      </c>
      <c r="E180" s="910"/>
      <c r="F180" s="910"/>
    </row>
    <row r="181" spans="1:6" x14ac:dyDescent="0.35">
      <c r="A181" s="1">
        <v>179</v>
      </c>
      <c r="B181" s="44" t="s">
        <v>300</v>
      </c>
      <c r="C181" s="1" t="s">
        <v>390</v>
      </c>
      <c r="D181" s="910" t="s">
        <v>421</v>
      </c>
      <c r="E181" s="910"/>
      <c r="F181" s="910"/>
    </row>
    <row r="182" spans="1:6" x14ac:dyDescent="0.35">
      <c r="A182" s="1">
        <v>180</v>
      </c>
      <c r="B182" s="1" t="s">
        <v>145</v>
      </c>
      <c r="C182" s="1" t="s">
        <v>146</v>
      </c>
      <c r="D182" s="910" t="s">
        <v>421</v>
      </c>
      <c r="E182" s="910"/>
      <c r="F182" s="910"/>
    </row>
    <row r="183" spans="1:6" x14ac:dyDescent="0.35">
      <c r="A183" s="1">
        <v>181</v>
      </c>
      <c r="B183" s="1" t="s">
        <v>153</v>
      </c>
      <c r="C183" s="1" t="s">
        <v>154</v>
      </c>
      <c r="D183" s="910" t="s">
        <v>421</v>
      </c>
      <c r="E183" s="910"/>
      <c r="F183" s="910"/>
    </row>
    <row r="184" spans="1:6" x14ac:dyDescent="0.35">
      <c r="A184" s="1">
        <v>182</v>
      </c>
      <c r="B184" s="1" t="s">
        <v>84</v>
      </c>
      <c r="C184" s="1" t="s">
        <v>18</v>
      </c>
      <c r="D184" s="910" t="s">
        <v>421</v>
      </c>
      <c r="E184" s="910"/>
      <c r="F184" s="910"/>
    </row>
    <row r="185" spans="1:6" x14ac:dyDescent="0.35">
      <c r="A185" s="1">
        <v>183</v>
      </c>
      <c r="B185" s="1" t="s">
        <v>173</v>
      </c>
      <c r="C185" s="1" t="s">
        <v>156</v>
      </c>
      <c r="D185" s="910" t="s">
        <v>421</v>
      </c>
      <c r="E185" s="910"/>
      <c r="F185" s="910"/>
    </row>
    <row r="186" spans="1:6" x14ac:dyDescent="0.35">
      <c r="A186" s="1">
        <v>184</v>
      </c>
      <c r="B186" s="1" t="s">
        <v>69</v>
      </c>
      <c r="C186" s="1" t="s">
        <v>70</v>
      </c>
      <c r="D186" s="910" t="s">
        <v>421</v>
      </c>
      <c r="E186" s="910"/>
      <c r="F186" s="910"/>
    </row>
    <row r="187" spans="1:6" x14ac:dyDescent="0.35">
      <c r="A187" s="1">
        <v>185</v>
      </c>
      <c r="B187" s="1" t="s">
        <v>163</v>
      </c>
      <c r="C187" s="1" t="s">
        <v>164</v>
      </c>
      <c r="D187" s="910" t="s">
        <v>421</v>
      </c>
      <c r="E187" s="910"/>
      <c r="F187" s="910"/>
    </row>
    <row r="188" spans="1:6" x14ac:dyDescent="0.35">
      <c r="A188" s="1">
        <v>186</v>
      </c>
      <c r="B188" s="1" t="s">
        <v>271</v>
      </c>
      <c r="C188" s="1" t="s">
        <v>14</v>
      </c>
      <c r="D188" s="910" t="s">
        <v>421</v>
      </c>
      <c r="E188" s="910"/>
      <c r="F188" s="910"/>
    </row>
    <row r="189" spans="1:6" x14ac:dyDescent="0.35">
      <c r="A189" s="1">
        <v>187</v>
      </c>
      <c r="B189" s="1" t="s">
        <v>207</v>
      </c>
      <c r="C189" s="1" t="s">
        <v>18</v>
      </c>
      <c r="D189" s="910" t="s">
        <v>421</v>
      </c>
      <c r="E189" s="910"/>
      <c r="F189" s="910"/>
    </row>
    <row r="190" spans="1:6" x14ac:dyDescent="0.35">
      <c r="A190" s="1">
        <v>188</v>
      </c>
      <c r="B190" s="1" t="s">
        <v>392</v>
      </c>
      <c r="C190" s="1" t="s">
        <v>33</v>
      </c>
      <c r="D190" s="910" t="s">
        <v>421</v>
      </c>
      <c r="E190" s="910"/>
      <c r="F190" s="910"/>
    </row>
    <row r="191" spans="1:6" x14ac:dyDescent="0.35">
      <c r="A191" s="1">
        <v>189</v>
      </c>
      <c r="B191" s="44" t="s">
        <v>169</v>
      </c>
      <c r="C191" s="1" t="s">
        <v>31</v>
      </c>
      <c r="D191" s="910" t="s">
        <v>421</v>
      </c>
      <c r="E191" s="910"/>
      <c r="F191" s="910"/>
    </row>
    <row r="192" spans="1:6" x14ac:dyDescent="0.35">
      <c r="A192" s="1">
        <v>190</v>
      </c>
      <c r="B192" s="44" t="s">
        <v>270</v>
      </c>
      <c r="C192" s="1" t="s">
        <v>33</v>
      </c>
      <c r="D192" s="910" t="s">
        <v>421</v>
      </c>
      <c r="E192" s="910"/>
      <c r="F192" s="910"/>
    </row>
    <row r="193" spans="1:6" x14ac:dyDescent="0.35">
      <c r="A193" s="1">
        <v>191</v>
      </c>
      <c r="B193" s="44" t="s">
        <v>198</v>
      </c>
      <c r="C193" s="1" t="s">
        <v>118</v>
      </c>
      <c r="D193" s="910" t="s">
        <v>421</v>
      </c>
      <c r="E193" s="910"/>
      <c r="F193" s="910"/>
    </row>
    <row r="194" spans="1:6" x14ac:dyDescent="0.35">
      <c r="A194" s="1">
        <v>192</v>
      </c>
      <c r="B194" s="44" t="s">
        <v>43</v>
      </c>
      <c r="C194" s="1" t="s">
        <v>35</v>
      </c>
      <c r="D194" s="910" t="s">
        <v>421</v>
      </c>
      <c r="E194" s="910"/>
      <c r="F194" s="910"/>
    </row>
    <row r="195" spans="1:6" x14ac:dyDescent="0.35">
      <c r="A195" s="1">
        <v>193</v>
      </c>
      <c r="B195" s="44" t="s">
        <v>42</v>
      </c>
      <c r="C195" s="1" t="s">
        <v>35</v>
      </c>
      <c r="D195" s="910" t="s">
        <v>421</v>
      </c>
      <c r="E195" s="910"/>
      <c r="F195" s="910"/>
    </row>
    <row r="196" spans="1:6" x14ac:dyDescent="0.35">
      <c r="A196" s="1">
        <v>194</v>
      </c>
      <c r="B196" s="44" t="s">
        <v>116</v>
      </c>
      <c r="C196" s="1" t="s">
        <v>16</v>
      </c>
      <c r="D196" s="910" t="s">
        <v>421</v>
      </c>
      <c r="E196" s="910"/>
      <c r="F196" s="910"/>
    </row>
    <row r="197" spans="1:6" x14ac:dyDescent="0.35">
      <c r="A197" s="1">
        <v>195</v>
      </c>
      <c r="B197" s="1" t="s">
        <v>187</v>
      </c>
      <c r="C197" s="1" t="s">
        <v>40</v>
      </c>
      <c r="D197" s="910" t="s">
        <v>421</v>
      </c>
      <c r="E197" s="910"/>
      <c r="F197" s="910"/>
    </row>
    <row r="198" spans="1:6" x14ac:dyDescent="0.35">
      <c r="A198" s="1">
        <v>196</v>
      </c>
      <c r="B198" s="1" t="s">
        <v>167</v>
      </c>
      <c r="C198" s="1" t="s">
        <v>18</v>
      </c>
      <c r="D198" s="910" t="s">
        <v>421</v>
      </c>
      <c r="E198" s="910"/>
      <c r="F198" s="910"/>
    </row>
    <row r="199" spans="1:6" x14ac:dyDescent="0.35">
      <c r="A199" s="1">
        <v>199</v>
      </c>
      <c r="B199" s="1" t="s">
        <v>289</v>
      </c>
      <c r="C199" s="1" t="s">
        <v>40</v>
      </c>
      <c r="D199" s="910" t="s">
        <v>421</v>
      </c>
      <c r="E199" s="910"/>
      <c r="F199" s="910"/>
    </row>
    <row r="200" spans="1:6" x14ac:dyDescent="0.35">
      <c r="A200" s="1">
        <v>200</v>
      </c>
      <c r="B200" s="1" t="s">
        <v>268</v>
      </c>
      <c r="C200" s="1" t="s">
        <v>986</v>
      </c>
      <c r="D200" s="910" t="s">
        <v>421</v>
      </c>
      <c r="E200" s="910"/>
      <c r="F200" s="910"/>
    </row>
    <row r="201" spans="1:6" x14ac:dyDescent="0.35">
      <c r="A201" s="1">
        <v>201</v>
      </c>
      <c r="B201" s="1" t="s">
        <v>272</v>
      </c>
      <c r="C201" s="1" t="s">
        <v>31</v>
      </c>
      <c r="D201" s="910" t="s">
        <v>421</v>
      </c>
      <c r="E201" s="910"/>
      <c r="F201" s="910"/>
    </row>
    <row r="202" spans="1:6" x14ac:dyDescent="0.35">
      <c r="A202" s="1">
        <v>202</v>
      </c>
      <c r="B202" s="1" t="s">
        <v>196</v>
      </c>
      <c r="C202" s="1" t="s">
        <v>197</v>
      </c>
      <c r="D202" s="910" t="s">
        <v>421</v>
      </c>
      <c r="E202" s="910"/>
      <c r="F202" s="910"/>
    </row>
    <row r="203" spans="1:6" x14ac:dyDescent="0.35">
      <c r="A203" s="1">
        <v>203</v>
      </c>
      <c r="B203" s="1" t="s">
        <v>170</v>
      </c>
      <c r="C203" s="1" t="s">
        <v>9</v>
      </c>
      <c r="D203" s="910" t="s">
        <v>421</v>
      </c>
      <c r="E203" s="910"/>
      <c r="F203" s="910"/>
    </row>
    <row r="204" spans="1:6" x14ac:dyDescent="0.35">
      <c r="A204" s="1">
        <v>204</v>
      </c>
      <c r="B204" s="1" t="s">
        <v>171</v>
      </c>
      <c r="C204" s="1" t="s">
        <v>40</v>
      </c>
      <c r="D204" s="910" t="s">
        <v>421</v>
      </c>
      <c r="E204" s="910"/>
      <c r="F204" s="910"/>
    </row>
    <row r="205" spans="1:6" x14ac:dyDescent="0.35">
      <c r="A205" s="1">
        <v>205</v>
      </c>
      <c r="B205" s="1" t="s">
        <v>292</v>
      </c>
      <c r="C205" s="1" t="s">
        <v>803</v>
      </c>
      <c r="D205" s="910" t="s">
        <v>421</v>
      </c>
      <c r="E205" s="910"/>
      <c r="F205" s="910"/>
    </row>
    <row r="206" spans="1:6" x14ac:dyDescent="0.35">
      <c r="A206" s="1">
        <v>206</v>
      </c>
      <c r="B206" s="1" t="s">
        <v>213</v>
      </c>
      <c r="C206" s="1" t="s">
        <v>40</v>
      </c>
      <c r="D206" s="910" t="s">
        <v>421</v>
      </c>
      <c r="E206" s="910"/>
      <c r="F206" s="910"/>
    </row>
    <row r="207" spans="1:6" x14ac:dyDescent="0.35">
      <c r="A207" s="1">
        <v>207</v>
      </c>
      <c r="B207" s="45" t="s">
        <v>36</v>
      </c>
      <c r="C207" s="1" t="s">
        <v>31</v>
      </c>
      <c r="D207" s="910" t="s">
        <v>421</v>
      </c>
      <c r="E207" s="910"/>
      <c r="F207" s="910"/>
    </row>
    <row r="208" spans="1:6" x14ac:dyDescent="0.35">
      <c r="A208" s="1">
        <v>208</v>
      </c>
      <c r="B208" s="1" t="s">
        <v>230</v>
      </c>
      <c r="C208" s="1" t="s">
        <v>16</v>
      </c>
      <c r="D208" s="910" t="s">
        <v>421</v>
      </c>
      <c r="E208" s="910"/>
      <c r="F208" s="910"/>
    </row>
    <row r="209" spans="1:6" x14ac:dyDescent="0.35">
      <c r="A209" s="1">
        <v>209</v>
      </c>
      <c r="B209" s="44" t="s">
        <v>161</v>
      </c>
      <c r="C209" s="1" t="s">
        <v>162</v>
      </c>
      <c r="D209" s="910" t="s">
        <v>421</v>
      </c>
      <c r="E209" s="910"/>
      <c r="F209" s="910"/>
    </row>
    <row r="210" spans="1:6" x14ac:dyDescent="0.35">
      <c r="A210" s="1">
        <v>210</v>
      </c>
      <c r="B210" s="1" t="s">
        <v>267</v>
      </c>
      <c r="C210" s="1" t="s">
        <v>28</v>
      </c>
      <c r="D210" s="910" t="s">
        <v>421</v>
      </c>
      <c r="E210" s="910"/>
      <c r="F210" s="910"/>
    </row>
    <row r="211" spans="1:6" x14ac:dyDescent="0.35">
      <c r="A211" s="1">
        <v>211</v>
      </c>
      <c r="B211" s="45" t="s">
        <v>85</v>
      </c>
      <c r="C211" s="1" t="s">
        <v>31</v>
      </c>
      <c r="D211" s="910" t="s">
        <v>421</v>
      </c>
      <c r="E211" s="910"/>
      <c r="F211" s="910"/>
    </row>
    <row r="212" spans="1:6" x14ac:dyDescent="0.35">
      <c r="A212" s="1">
        <v>212</v>
      </c>
      <c r="B212" s="44" t="s">
        <v>82</v>
      </c>
      <c r="C212" s="1" t="s">
        <v>23</v>
      </c>
      <c r="D212" s="910" t="s">
        <v>421</v>
      </c>
      <c r="E212" s="910"/>
      <c r="F212" s="910"/>
    </row>
    <row r="213" spans="1:6" x14ac:dyDescent="0.35">
      <c r="A213" s="1">
        <v>213</v>
      </c>
      <c r="B213" s="44" t="s">
        <v>86</v>
      </c>
      <c r="C213" s="1" t="s">
        <v>31</v>
      </c>
      <c r="D213" s="910" t="s">
        <v>421</v>
      </c>
      <c r="E213" s="910"/>
      <c r="F213" s="910"/>
    </row>
    <row r="214" spans="1:6" x14ac:dyDescent="0.35">
      <c r="A214" s="1">
        <v>214</v>
      </c>
      <c r="B214" s="44" t="s">
        <v>87</v>
      </c>
      <c r="C214" s="1" t="s">
        <v>23</v>
      </c>
      <c r="D214" s="910" t="s">
        <v>421</v>
      </c>
      <c r="E214" s="910"/>
      <c r="F214" s="910"/>
    </row>
    <row r="215" spans="1:6" x14ac:dyDescent="0.35">
      <c r="A215" s="1">
        <v>215</v>
      </c>
      <c r="B215" s="1" t="s">
        <v>186</v>
      </c>
      <c r="C215" s="1" t="s">
        <v>113</v>
      </c>
      <c r="D215" s="910" t="s">
        <v>421</v>
      </c>
      <c r="E215" s="910"/>
      <c r="F215" s="910"/>
    </row>
    <row r="216" spans="1:6" x14ac:dyDescent="0.35">
      <c r="A216" s="1">
        <v>216</v>
      </c>
      <c r="B216" s="44" t="s">
        <v>81</v>
      </c>
      <c r="C216" s="1" t="s">
        <v>31</v>
      </c>
      <c r="D216" s="910" t="s">
        <v>421</v>
      </c>
      <c r="E216" s="910"/>
      <c r="F216" s="910"/>
    </row>
    <row r="217" spans="1:6" x14ac:dyDescent="0.35">
      <c r="A217" s="1">
        <v>217</v>
      </c>
      <c r="B217" s="44" t="s">
        <v>83</v>
      </c>
      <c r="C217" s="1" t="s">
        <v>31</v>
      </c>
      <c r="D217" s="910" t="s">
        <v>421</v>
      </c>
      <c r="E217" s="910"/>
      <c r="F217" s="910"/>
    </row>
    <row r="218" spans="1:6" x14ac:dyDescent="0.35">
      <c r="A218" s="1">
        <v>218</v>
      </c>
      <c r="B218" s="1" t="s">
        <v>226</v>
      </c>
      <c r="C218" s="1" t="s">
        <v>35</v>
      </c>
      <c r="D218" s="913" t="s">
        <v>421</v>
      </c>
      <c r="E218" s="914"/>
      <c r="F218" s="915"/>
    </row>
    <row r="219" spans="1:6" x14ac:dyDescent="0.35">
      <c r="A219" s="1">
        <v>219</v>
      </c>
      <c r="B219" s="434" t="s">
        <v>59</v>
      </c>
      <c r="C219" s="407" t="s">
        <v>31</v>
      </c>
      <c r="D219" s="913" t="s">
        <v>421</v>
      </c>
      <c r="E219" s="914"/>
      <c r="F219" s="915"/>
    </row>
    <row r="220" spans="1:6" x14ac:dyDescent="0.35">
      <c r="A220" s="1">
        <v>220</v>
      </c>
      <c r="B220" s="435" t="s">
        <v>74</v>
      </c>
      <c r="C220" s="408" t="s">
        <v>31</v>
      </c>
      <c r="D220" s="913" t="s">
        <v>421</v>
      </c>
      <c r="E220" s="914"/>
      <c r="F220" s="915"/>
    </row>
    <row r="221" spans="1:6" x14ac:dyDescent="0.35">
      <c r="A221" s="1">
        <v>221</v>
      </c>
      <c r="B221" s="435" t="s">
        <v>75</v>
      </c>
      <c r="C221" s="408" t="s">
        <v>35</v>
      </c>
      <c r="D221" s="913" t="s">
        <v>421</v>
      </c>
      <c r="E221" s="914"/>
      <c r="F221" s="915"/>
    </row>
    <row r="222" spans="1:6" x14ac:dyDescent="0.35">
      <c r="A222" s="1">
        <v>222</v>
      </c>
      <c r="B222" s="435" t="s">
        <v>76</v>
      </c>
      <c r="C222" s="408" t="s">
        <v>31</v>
      </c>
      <c r="D222" s="913" t="s">
        <v>421</v>
      </c>
      <c r="E222" s="914"/>
      <c r="F222" s="915"/>
    </row>
    <row r="223" spans="1:6" x14ac:dyDescent="0.35">
      <c r="A223" s="1">
        <v>223</v>
      </c>
      <c r="B223" s="436" t="s">
        <v>140</v>
      </c>
      <c r="C223" s="407" t="s">
        <v>31</v>
      </c>
      <c r="D223" s="913" t="s">
        <v>421</v>
      </c>
      <c r="E223" s="914"/>
      <c r="F223" s="915"/>
    </row>
    <row r="224" spans="1:6" x14ac:dyDescent="0.35">
      <c r="A224" s="1">
        <v>224</v>
      </c>
      <c r="B224" s="437" t="s">
        <v>147</v>
      </c>
      <c r="C224" s="409" t="s">
        <v>148</v>
      </c>
      <c r="D224" s="913" t="s">
        <v>421</v>
      </c>
      <c r="E224" s="914"/>
      <c r="F224" s="915"/>
    </row>
    <row r="225" spans="1:8" x14ac:dyDescent="0.35">
      <c r="A225" s="1">
        <v>225</v>
      </c>
      <c r="B225" s="437" t="s">
        <v>155</v>
      </c>
      <c r="C225" s="409" t="s">
        <v>156</v>
      </c>
      <c r="D225" s="910" t="s">
        <v>421</v>
      </c>
      <c r="E225" s="910"/>
      <c r="F225" s="910"/>
    </row>
    <row r="226" spans="1:8" x14ac:dyDescent="0.35">
      <c r="A226" s="1">
        <v>226</v>
      </c>
      <c r="B226" s="436" t="s">
        <v>165</v>
      </c>
      <c r="C226" s="407" t="s">
        <v>35</v>
      </c>
      <c r="D226" s="910" t="s">
        <v>421</v>
      </c>
      <c r="E226" s="910"/>
      <c r="F226" s="910"/>
    </row>
    <row r="227" spans="1:8" x14ac:dyDescent="0.35">
      <c r="A227" s="1">
        <v>227</v>
      </c>
      <c r="B227" s="45" t="s">
        <v>24</v>
      </c>
      <c r="C227" s="1" t="s">
        <v>16</v>
      </c>
      <c r="D227" s="910" t="s">
        <v>421</v>
      </c>
      <c r="E227" s="910"/>
      <c r="F227" s="910"/>
    </row>
    <row r="228" spans="1:8" x14ac:dyDescent="0.35">
      <c r="A228" s="1">
        <v>228</v>
      </c>
      <c r="B228" s="1" t="s">
        <v>216</v>
      </c>
      <c r="C228" s="1" t="s">
        <v>33</v>
      </c>
      <c r="D228" s="910" t="s">
        <v>421</v>
      </c>
      <c r="E228" s="910"/>
      <c r="F228" s="910"/>
    </row>
    <row r="229" spans="1:8" x14ac:dyDescent="0.35">
      <c r="A229" s="1">
        <v>229</v>
      </c>
      <c r="B229" s="45" t="s">
        <v>13</v>
      </c>
      <c r="C229" s="1" t="s">
        <v>14</v>
      </c>
      <c r="D229" s="910" t="s">
        <v>421</v>
      </c>
      <c r="E229" s="910"/>
      <c r="F229" s="910"/>
    </row>
    <row r="230" spans="1:8" x14ac:dyDescent="0.35">
      <c r="A230" s="1">
        <v>230</v>
      </c>
      <c r="B230" s="45" t="s">
        <v>22</v>
      </c>
      <c r="C230" s="1" t="s">
        <v>23</v>
      </c>
      <c r="D230" s="910" t="s">
        <v>421</v>
      </c>
      <c r="E230" s="910"/>
      <c r="F230" s="910"/>
    </row>
    <row r="231" spans="1:8" x14ac:dyDescent="0.35">
      <c r="A231" s="1">
        <v>231</v>
      </c>
      <c r="B231" s="1" t="s">
        <v>243</v>
      </c>
      <c r="C231" s="1" t="s">
        <v>31</v>
      </c>
      <c r="D231" s="910" t="s">
        <v>421</v>
      </c>
      <c r="E231" s="910"/>
      <c r="F231" s="910"/>
      <c r="H231" s="553">
        <v>46147</v>
      </c>
    </row>
    <row r="232" spans="1:8" x14ac:dyDescent="0.35">
      <c r="A232" s="1">
        <v>232</v>
      </c>
      <c r="B232" s="1" t="s">
        <v>284</v>
      </c>
      <c r="C232" s="1" t="s">
        <v>146</v>
      </c>
      <c r="D232" s="910" t="s">
        <v>421</v>
      </c>
      <c r="E232" s="910"/>
      <c r="F232" s="910"/>
    </row>
    <row r="233" spans="1:8" x14ac:dyDescent="0.35">
      <c r="A233" s="1">
        <v>233</v>
      </c>
      <c r="B233" s="661" t="s">
        <v>17</v>
      </c>
      <c r="C233" s="660" t="s">
        <v>18</v>
      </c>
      <c r="D233" s="910" t="s">
        <v>421</v>
      </c>
      <c r="E233" s="910"/>
      <c r="F233" s="910"/>
    </row>
    <row r="234" spans="1:8" x14ac:dyDescent="0.35">
      <c r="A234" s="1">
        <v>234</v>
      </c>
      <c r="B234" s="1" t="s">
        <v>265</v>
      </c>
      <c r="C234" s="286" t="s">
        <v>33</v>
      </c>
      <c r="D234" s="910" t="s">
        <v>421</v>
      </c>
      <c r="E234" s="910"/>
      <c r="F234" s="910"/>
    </row>
    <row r="235" spans="1:8" x14ac:dyDescent="0.35">
      <c r="A235" s="1"/>
      <c r="B235" s="1"/>
      <c r="C235" s="1"/>
      <c r="D235" s="1"/>
      <c r="E235" s="1"/>
      <c r="F235" s="1"/>
    </row>
  </sheetData>
  <autoFilter ref="A2:F226" xr:uid="{00000000-0009-0000-0000-000004000000}"/>
  <mergeCells count="233"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154:F154"/>
    <mergeCell ref="D184:F184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234:F234"/>
    <mergeCell ref="D233:F233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</mergeCells>
  <conditionalFormatting sqref="B1:B1048576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4"/>
  <sheetViews>
    <sheetView zoomScale="76" workbookViewId="0">
      <selection activeCell="I14" sqref="I14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2" ht="15" thickBot="1" x14ac:dyDescent="0.4"/>
    <row r="2" spans="2:12" ht="31.5" customHeight="1" x14ac:dyDescent="0.35">
      <c r="B2" s="178" t="s">
        <v>652</v>
      </c>
      <c r="C2" s="922" t="s">
        <v>653</v>
      </c>
      <c r="D2" s="923"/>
      <c r="E2" s="923"/>
      <c r="F2" s="923"/>
      <c r="G2" s="923"/>
      <c r="H2" s="923"/>
      <c r="I2" s="923"/>
      <c r="J2" s="924"/>
      <c r="K2" s="181"/>
      <c r="L2" s="159"/>
    </row>
    <row r="3" spans="2:12" ht="15.5" x14ac:dyDescent="0.35">
      <c r="B3" s="179" t="s">
        <v>654</v>
      </c>
      <c r="C3" s="925" t="s">
        <v>655</v>
      </c>
      <c r="D3" s="926"/>
      <c r="E3" s="926"/>
      <c r="F3" s="926"/>
      <c r="G3" s="926"/>
      <c r="H3" s="926"/>
      <c r="I3" s="926"/>
      <c r="J3" s="927"/>
      <c r="K3" s="181"/>
      <c r="L3" s="159"/>
    </row>
    <row r="4" spans="2:12" ht="15.75" customHeight="1" x14ac:dyDescent="0.35">
      <c r="B4" s="179" t="s">
        <v>656</v>
      </c>
      <c r="C4" s="925" t="s">
        <v>657</v>
      </c>
      <c r="D4" s="926"/>
      <c r="E4" s="926"/>
      <c r="F4" s="926"/>
      <c r="G4" s="926"/>
      <c r="H4" s="926"/>
      <c r="I4" s="926"/>
      <c r="J4" s="927"/>
      <c r="K4" s="181"/>
      <c r="L4" s="159"/>
    </row>
    <row r="5" spans="2:12" ht="31.5" thickBot="1" x14ac:dyDescent="0.4">
      <c r="B5" s="180" t="s">
        <v>658</v>
      </c>
      <c r="C5" s="919">
        <v>46107</v>
      </c>
      <c r="D5" s="920"/>
      <c r="E5" s="920"/>
      <c r="F5" s="920"/>
      <c r="G5" s="920"/>
      <c r="H5" s="920"/>
      <c r="I5" s="920"/>
      <c r="J5" s="921"/>
      <c r="K5" s="182"/>
      <c r="L5" s="159"/>
    </row>
    <row r="6" spans="2:12" ht="19" thickBot="1" x14ac:dyDescent="0.4">
      <c r="B6" s="916" t="s">
        <v>659</v>
      </c>
      <c r="C6" s="917"/>
      <c r="D6" s="917"/>
      <c r="E6" s="917"/>
      <c r="F6" s="917"/>
      <c r="G6" s="917"/>
      <c r="H6" s="917"/>
      <c r="I6" s="917"/>
      <c r="J6" s="918"/>
      <c r="K6" s="161"/>
      <c r="L6" s="159"/>
    </row>
    <row r="7" spans="2:12" ht="78" thickBot="1" x14ac:dyDescent="0.4">
      <c r="B7" s="259" t="s">
        <v>660</v>
      </c>
      <c r="C7" s="260" t="s">
        <v>661</v>
      </c>
      <c r="D7" s="260" t="s">
        <v>662</v>
      </c>
      <c r="E7" s="260" t="s">
        <v>663</v>
      </c>
      <c r="F7" s="260" t="s">
        <v>930</v>
      </c>
      <c r="G7" s="260" t="s">
        <v>664</v>
      </c>
      <c r="H7" s="260" t="s">
        <v>665</v>
      </c>
      <c r="I7" s="260" t="s">
        <v>666</v>
      </c>
      <c r="J7" s="261" t="s">
        <v>371</v>
      </c>
      <c r="K7" s="159"/>
      <c r="L7" s="159"/>
    </row>
    <row r="8" spans="2:12" ht="15.5" x14ac:dyDescent="0.35">
      <c r="B8" s="254">
        <v>1</v>
      </c>
      <c r="C8" s="255" t="s">
        <v>667</v>
      </c>
      <c r="D8" s="256" t="s">
        <v>668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2" ht="15.5" x14ac:dyDescent="0.35">
      <c r="B9" s="172">
        <v>2</v>
      </c>
      <c r="C9" s="163" t="s">
        <v>669</v>
      </c>
      <c r="D9" s="160" t="s">
        <v>668</v>
      </c>
      <c r="E9" s="164">
        <v>309</v>
      </c>
      <c r="F9" s="164">
        <v>230</v>
      </c>
      <c r="G9" s="164">
        <v>271</v>
      </c>
      <c r="H9" s="164"/>
      <c r="I9" s="164">
        <f t="shared" si="0"/>
        <v>38</v>
      </c>
      <c r="J9" s="246"/>
      <c r="K9" s="162"/>
      <c r="L9" s="162"/>
    </row>
    <row r="10" spans="2:12" ht="31" x14ac:dyDescent="0.35">
      <c r="B10" s="172">
        <v>3</v>
      </c>
      <c r="C10" s="163" t="s">
        <v>670</v>
      </c>
      <c r="D10" s="160" t="s">
        <v>686</v>
      </c>
      <c r="E10" s="164">
        <v>4343</v>
      </c>
      <c r="F10" s="160">
        <v>3900</v>
      </c>
      <c r="G10" s="164">
        <v>4300.4179999999997</v>
      </c>
      <c r="H10" s="457"/>
      <c r="I10" s="164">
        <f t="shared" si="0"/>
        <v>42.582000000000335</v>
      </c>
      <c r="J10" s="247" t="s">
        <v>671</v>
      </c>
      <c r="K10" s="162"/>
      <c r="L10" s="162"/>
    </row>
    <row r="11" spans="2:12" ht="31.5" thickBot="1" x14ac:dyDescent="0.4">
      <c r="B11" s="172">
        <v>4</v>
      </c>
      <c r="C11" s="163" t="s">
        <v>672</v>
      </c>
      <c r="D11" s="167" t="s">
        <v>673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674</v>
      </c>
      <c r="K11" s="162"/>
      <c r="L11" s="162"/>
    </row>
    <row r="12" spans="2:12" ht="31.5" thickBot="1" x14ac:dyDescent="0.4">
      <c r="B12" s="172">
        <v>5</v>
      </c>
      <c r="C12" s="163" t="s">
        <v>675</v>
      </c>
      <c r="D12" s="160" t="s">
        <v>685</v>
      </c>
      <c r="E12" s="160">
        <v>13552</v>
      </c>
      <c r="F12" s="160">
        <v>11388</v>
      </c>
      <c r="G12" s="441">
        <v>12832</v>
      </c>
      <c r="H12" s="160"/>
      <c r="I12" s="164">
        <f t="shared" si="0"/>
        <v>720</v>
      </c>
      <c r="J12" s="247" t="s">
        <v>676</v>
      </c>
      <c r="K12" s="252" t="s">
        <v>2000</v>
      </c>
      <c r="L12" s="253" t="s">
        <v>2129</v>
      </c>
    </row>
    <row r="13" spans="2:12" ht="31" x14ac:dyDescent="0.35">
      <c r="B13" s="172">
        <v>6</v>
      </c>
      <c r="C13" s="163" t="s">
        <v>677</v>
      </c>
      <c r="D13" s="160" t="s">
        <v>678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679</v>
      </c>
      <c r="K13" s="166"/>
      <c r="L13" s="162"/>
    </row>
    <row r="14" spans="2:12" ht="31.5" thickBot="1" x14ac:dyDescent="0.4">
      <c r="B14" s="174">
        <v>7</v>
      </c>
      <c r="C14" s="248" t="s">
        <v>386</v>
      </c>
      <c r="D14" s="249" t="s">
        <v>2130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680</v>
      </c>
      <c r="K14" s="162"/>
      <c r="L14" s="162"/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zoomScale="55" zoomScaleNormal="55" workbookViewId="0">
      <pane ySplit="7" topLeftCell="A545" activePane="bottomLeft" state="frozen"/>
      <selection pane="bottomLeft" activeCell="D558" sqref="D558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79" t="s">
        <v>992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1"/>
    </row>
    <row r="2" spans="1:30" s="299" customFormat="1" ht="15" customHeight="1" x14ac:dyDescent="0.35">
      <c r="A2" s="482" t="s">
        <v>993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4"/>
    </row>
    <row r="3" spans="1:30" s="299" customFormat="1" ht="15" customHeight="1" x14ac:dyDescent="0.35">
      <c r="A3" s="482" t="s">
        <v>994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4"/>
    </row>
    <row r="4" spans="1:30" s="299" customFormat="1" ht="14.25" customHeight="1" x14ac:dyDescent="0.35">
      <c r="A4" s="482" t="s">
        <v>2034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4"/>
    </row>
    <row r="5" spans="1:30" s="299" customFormat="1" ht="15.5" thickBot="1" x14ac:dyDescent="0.4">
      <c r="A5" s="485" t="s">
        <v>2035</v>
      </c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7"/>
    </row>
    <row r="6" spans="1:30" s="299" customFormat="1" ht="36.75" customHeight="1" x14ac:dyDescent="0.35">
      <c r="A6" s="488" t="s">
        <v>995</v>
      </c>
      <c r="B6" s="458" t="s">
        <v>996</v>
      </c>
      <c r="C6" s="458" t="s">
        <v>997</v>
      </c>
      <c r="D6" s="458" t="s">
        <v>508</v>
      </c>
      <c r="E6" s="458" t="s">
        <v>998</v>
      </c>
      <c r="F6" s="458" t="s">
        <v>999</v>
      </c>
      <c r="G6" s="458" t="s">
        <v>1000</v>
      </c>
      <c r="H6" s="458" t="s">
        <v>1001</v>
      </c>
      <c r="I6" s="458" t="s">
        <v>1002</v>
      </c>
      <c r="J6" s="463" t="s">
        <v>1003</v>
      </c>
      <c r="K6" s="476" t="s">
        <v>1004</v>
      </c>
      <c r="L6" s="458" t="s">
        <v>1005</v>
      </c>
      <c r="M6" s="458" t="s">
        <v>1006</v>
      </c>
      <c r="N6" s="458"/>
      <c r="O6" s="458"/>
      <c r="P6" s="458" t="s">
        <v>1007</v>
      </c>
      <c r="Q6" s="458"/>
      <c r="R6" s="458"/>
      <c r="S6" s="475" t="s">
        <v>1008</v>
      </c>
      <c r="T6" s="475"/>
      <c r="U6" s="458" t="s">
        <v>1009</v>
      </c>
      <c r="V6" s="458"/>
      <c r="W6" s="468" t="s">
        <v>1010</v>
      </c>
      <c r="X6" s="458" t="s">
        <v>1011</v>
      </c>
      <c r="Y6" s="458" t="s">
        <v>1012</v>
      </c>
      <c r="Z6" s="460" t="s">
        <v>1013</v>
      </c>
      <c r="AA6" s="462" t="s">
        <v>1014</v>
      </c>
      <c r="AB6" s="463"/>
      <c r="AC6" s="463"/>
      <c r="AD6" s="464"/>
    </row>
    <row r="7" spans="1:30" s="301" customFormat="1" ht="36.75" customHeight="1" thickBot="1" x14ac:dyDescent="0.4">
      <c r="A7" s="489"/>
      <c r="B7" s="459"/>
      <c r="C7" s="459"/>
      <c r="D7" s="459"/>
      <c r="E7" s="459"/>
      <c r="F7" s="459"/>
      <c r="G7" s="459"/>
      <c r="H7" s="459"/>
      <c r="I7" s="459"/>
      <c r="J7" s="478"/>
      <c r="K7" s="477"/>
      <c r="L7" s="459"/>
      <c r="M7" s="295" t="s">
        <v>1015</v>
      </c>
      <c r="N7" s="295" t="s">
        <v>1016</v>
      </c>
      <c r="O7" s="295" t="s">
        <v>7</v>
      </c>
      <c r="P7" s="295" t="s">
        <v>1015</v>
      </c>
      <c r="Q7" s="295" t="s">
        <v>1016</v>
      </c>
      <c r="R7" s="295" t="s">
        <v>7</v>
      </c>
      <c r="S7" s="300" t="s">
        <v>1017</v>
      </c>
      <c r="T7" s="300" t="s">
        <v>1018</v>
      </c>
      <c r="U7" s="295" t="s">
        <v>1019</v>
      </c>
      <c r="V7" s="295" t="s">
        <v>1020</v>
      </c>
      <c r="W7" s="469"/>
      <c r="X7" s="459"/>
      <c r="Y7" s="459"/>
      <c r="Z7" s="461"/>
      <c r="AA7" s="277" t="s">
        <v>1021</v>
      </c>
      <c r="AB7" s="296" t="s">
        <v>1022</v>
      </c>
      <c r="AC7" s="296" t="s">
        <v>1023</v>
      </c>
      <c r="AD7" s="278" t="s">
        <v>1024</v>
      </c>
    </row>
    <row r="8" spans="1:30" s="313" customFormat="1" ht="24.75" customHeight="1" x14ac:dyDescent="0.35">
      <c r="A8" s="302">
        <v>0</v>
      </c>
      <c r="B8" s="303" t="s">
        <v>1025</v>
      </c>
      <c r="C8" s="304" t="s">
        <v>1026</v>
      </c>
      <c r="D8" s="303" t="s">
        <v>1027</v>
      </c>
      <c r="E8" s="303" t="s">
        <v>1025</v>
      </c>
      <c r="F8" s="303"/>
      <c r="G8" s="303" t="s">
        <v>1025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2036</v>
      </c>
      <c r="T8" s="303" t="s">
        <v>2037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2001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1028</v>
      </c>
      <c r="C10" s="315" t="s">
        <v>8</v>
      </c>
      <c r="D10" s="315" t="s">
        <v>9</v>
      </c>
      <c r="E10" s="315" t="s">
        <v>1029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2038</v>
      </c>
      <c r="T10" s="315" t="s">
        <v>2039</v>
      </c>
      <c r="U10" s="318">
        <v>517540.723</v>
      </c>
      <c r="V10" s="319">
        <v>2676852.389</v>
      </c>
      <c r="W10" s="320" t="s">
        <v>2002</v>
      </c>
      <c r="X10" s="323" t="s">
        <v>1030</v>
      </c>
      <c r="Y10" s="323" t="s">
        <v>1031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1032</v>
      </c>
      <c r="C12" s="315" t="s">
        <v>10</v>
      </c>
      <c r="D12" s="315" t="s">
        <v>9</v>
      </c>
      <c r="E12" s="315" t="s">
        <v>2003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2040</v>
      </c>
      <c r="T12" s="315" t="s">
        <v>2041</v>
      </c>
      <c r="U12" s="318">
        <v>517437.804</v>
      </c>
      <c r="V12" s="319">
        <v>2676745.3679999998</v>
      </c>
      <c r="W12" s="320"/>
      <c r="X12" s="323" t="s">
        <v>1030</v>
      </c>
      <c r="Y12" s="323" t="s">
        <v>1031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2004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1033</v>
      </c>
      <c r="C14" s="315" t="s">
        <v>11</v>
      </c>
      <c r="D14" s="315" t="s">
        <v>12</v>
      </c>
      <c r="E14" s="315" t="s">
        <v>2005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2042</v>
      </c>
      <c r="T14" s="315" t="s">
        <v>2043</v>
      </c>
      <c r="U14" s="318">
        <v>517542.14299999998</v>
      </c>
      <c r="V14" s="319">
        <v>2676350.074</v>
      </c>
      <c r="W14" s="320"/>
      <c r="X14" s="323" t="s">
        <v>1030</v>
      </c>
      <c r="Y14" s="323" t="s">
        <v>1031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2006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1025</v>
      </c>
      <c r="C16" s="315" t="s">
        <v>13</v>
      </c>
      <c r="D16" s="315" t="s">
        <v>14</v>
      </c>
      <c r="E16" s="315" t="s">
        <v>1025</v>
      </c>
      <c r="F16" s="316"/>
      <c r="G16" s="315" t="s">
        <v>1025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2044</v>
      </c>
      <c r="T16" s="315" t="s">
        <v>2045</v>
      </c>
      <c r="U16" s="318">
        <v>517862.804</v>
      </c>
      <c r="V16" s="319">
        <v>2676146.17</v>
      </c>
      <c r="W16" s="320"/>
      <c r="X16" s="323" t="s">
        <v>1030</v>
      </c>
      <c r="Y16" s="323" t="s">
        <v>1031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2007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1025</v>
      </c>
      <c r="C18" s="315" t="s">
        <v>15</v>
      </c>
      <c r="D18" s="315" t="s">
        <v>16</v>
      </c>
      <c r="E18" s="315" t="s">
        <v>1025</v>
      </c>
      <c r="F18" s="316"/>
      <c r="G18" s="315" t="s">
        <v>1025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2046</v>
      </c>
      <c r="T18" s="315" t="s">
        <v>2047</v>
      </c>
      <c r="U18" s="318">
        <v>518218.90600000002</v>
      </c>
      <c r="V18" s="319">
        <v>2675919.73</v>
      </c>
      <c r="W18" s="320"/>
      <c r="X18" s="323" t="s">
        <v>1030</v>
      </c>
      <c r="Y18" s="323" t="s">
        <v>1031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2008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1034</v>
      </c>
      <c r="C20" s="315" t="s">
        <v>17</v>
      </c>
      <c r="D20" s="315" t="s">
        <v>18</v>
      </c>
      <c r="E20" s="315" t="s">
        <v>2009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2048</v>
      </c>
      <c r="T20" s="315" t="s">
        <v>2049</v>
      </c>
      <c r="U20" s="318">
        <v>518563.49099999998</v>
      </c>
      <c r="V20" s="319">
        <v>2675700.6129999999</v>
      </c>
      <c r="W20" s="320"/>
      <c r="X20" s="323" t="s">
        <v>1035</v>
      </c>
      <c r="Y20" s="323" t="s">
        <v>1031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1036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1025</v>
      </c>
      <c r="C22" s="315" t="s">
        <v>19</v>
      </c>
      <c r="D22" s="315" t="s">
        <v>20</v>
      </c>
      <c r="E22" s="315" t="s">
        <v>1025</v>
      </c>
      <c r="F22" s="316"/>
      <c r="G22" s="315" t="s">
        <v>1025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2050</v>
      </c>
      <c r="T22" s="315" t="s">
        <v>2051</v>
      </c>
      <c r="U22" s="318">
        <v>518971.67</v>
      </c>
      <c r="V22" s="319">
        <v>2675604.017</v>
      </c>
      <c r="W22" s="327" t="s">
        <v>1810</v>
      </c>
      <c r="X22" s="323" t="s">
        <v>1035</v>
      </c>
      <c r="Y22" s="323" t="s">
        <v>1031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1037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1025</v>
      </c>
      <c r="C24" s="315" t="s">
        <v>21</v>
      </c>
      <c r="D24" s="315" t="s">
        <v>20</v>
      </c>
      <c r="E24" s="315" t="s">
        <v>1025</v>
      </c>
      <c r="F24" s="316"/>
      <c r="G24" s="315" t="s">
        <v>1025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2052</v>
      </c>
      <c r="T24" s="315" t="s">
        <v>2053</v>
      </c>
      <c r="U24" s="318">
        <v>519342.43</v>
      </c>
      <c r="V24" s="319">
        <v>2675516.2749999999</v>
      </c>
      <c r="W24" s="327" t="s">
        <v>1810</v>
      </c>
      <c r="X24" s="323" t="s">
        <v>1035</v>
      </c>
      <c r="Y24" s="323" t="s">
        <v>1031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1025</v>
      </c>
      <c r="C26" s="315" t="s">
        <v>22</v>
      </c>
      <c r="D26" s="315" t="s">
        <v>23</v>
      </c>
      <c r="E26" s="315" t="s">
        <v>1025</v>
      </c>
      <c r="F26" s="316"/>
      <c r="G26" s="315" t="s">
        <v>1025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2054</v>
      </c>
      <c r="T26" s="315" t="s">
        <v>2055</v>
      </c>
      <c r="U26" s="318">
        <v>519748.223</v>
      </c>
      <c r="V26" s="319">
        <v>2675420.2429999998</v>
      </c>
      <c r="W26" s="320"/>
      <c r="X26" s="323" t="s">
        <v>1038</v>
      </c>
      <c r="Y26" s="323" t="s">
        <v>1031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1039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1025</v>
      </c>
      <c r="C28" s="315" t="s">
        <v>24</v>
      </c>
      <c r="D28" s="315" t="s">
        <v>16</v>
      </c>
      <c r="E28" s="315" t="s">
        <v>1025</v>
      </c>
      <c r="F28" s="316"/>
      <c r="G28" s="315" t="s">
        <v>1025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2056</v>
      </c>
      <c r="T28" s="315" t="s">
        <v>2057</v>
      </c>
      <c r="U28" s="318">
        <v>520154.016</v>
      </c>
      <c r="V28" s="319">
        <v>2675324.2110000001</v>
      </c>
      <c r="W28" s="320"/>
      <c r="X28" s="323" t="s">
        <v>1038</v>
      </c>
      <c r="Y28" s="323" t="s">
        <v>1031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1040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1025</v>
      </c>
      <c r="C30" s="315" t="s">
        <v>25</v>
      </c>
      <c r="D30" s="315" t="s">
        <v>23</v>
      </c>
      <c r="E30" s="315" t="s">
        <v>1025</v>
      </c>
      <c r="F30" s="316"/>
      <c r="G30" s="315" t="s">
        <v>1025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2058</v>
      </c>
      <c r="T30" s="315" t="s">
        <v>2059</v>
      </c>
      <c r="U30" s="318">
        <v>520559.81</v>
      </c>
      <c r="V30" s="319">
        <v>2675228.179</v>
      </c>
      <c r="W30" s="320"/>
      <c r="X30" s="323" t="s">
        <v>1038</v>
      </c>
      <c r="Y30" s="323" t="s">
        <v>1031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1037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1025</v>
      </c>
      <c r="C32" s="315" t="s">
        <v>26</v>
      </c>
      <c r="D32" s="315" t="s">
        <v>16</v>
      </c>
      <c r="E32" s="315" t="s">
        <v>1025</v>
      </c>
      <c r="F32" s="316"/>
      <c r="G32" s="315" t="s">
        <v>1025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2060</v>
      </c>
      <c r="T32" s="315" t="s">
        <v>2061</v>
      </c>
      <c r="U32" s="318">
        <v>520937.38299999997</v>
      </c>
      <c r="V32" s="319">
        <v>2675138.8259999999</v>
      </c>
      <c r="W32" s="320"/>
      <c r="X32" s="323" t="s">
        <v>1038</v>
      </c>
      <c r="Y32" s="323" t="s">
        <v>1031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2010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1041</v>
      </c>
      <c r="C34" s="315" t="s">
        <v>27</v>
      </c>
      <c r="D34" s="315" t="s">
        <v>28</v>
      </c>
      <c r="E34" s="315" t="s">
        <v>2062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2063</v>
      </c>
      <c r="T34" s="315" t="s">
        <v>2064</v>
      </c>
      <c r="U34" s="318">
        <v>521377.56800000003</v>
      </c>
      <c r="V34" s="319">
        <v>2675034.6549999998</v>
      </c>
      <c r="W34" s="320"/>
      <c r="X34" s="329" t="s">
        <v>1042</v>
      </c>
      <c r="Y34" s="329" t="s">
        <v>1043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1044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1025</v>
      </c>
      <c r="C36" s="331" t="s">
        <v>29</v>
      </c>
      <c r="D36" s="331" t="s">
        <v>23</v>
      </c>
      <c r="E36" s="331" t="s">
        <v>1025</v>
      </c>
      <c r="F36" s="331"/>
      <c r="G36" s="331" t="s">
        <v>1025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2065</v>
      </c>
      <c r="T36" s="332" t="s">
        <v>2066</v>
      </c>
      <c r="U36" s="333">
        <v>521769.25699999998</v>
      </c>
      <c r="V36" s="333">
        <v>2674948.7439999999</v>
      </c>
      <c r="W36" s="334"/>
      <c r="X36" s="315" t="s">
        <v>1042</v>
      </c>
      <c r="Y36" s="315" t="s">
        <v>1043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1045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1025</v>
      </c>
      <c r="C38" s="331" t="s">
        <v>30</v>
      </c>
      <c r="D38" s="331" t="s">
        <v>31</v>
      </c>
      <c r="E38" s="331" t="s">
        <v>1025</v>
      </c>
      <c r="F38" s="331"/>
      <c r="G38" s="331" t="s">
        <v>1025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1046</v>
      </c>
      <c r="T38" s="332" t="s">
        <v>1047</v>
      </c>
      <c r="U38" s="333">
        <v>522091.59499999997</v>
      </c>
      <c r="V38" s="333">
        <v>2674878.0449999999</v>
      </c>
      <c r="W38" s="334"/>
      <c r="X38" s="315" t="s">
        <v>1048</v>
      </c>
      <c r="Y38" s="315" t="s">
        <v>1043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1049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1025</v>
      </c>
      <c r="C40" s="331" t="s">
        <v>32</v>
      </c>
      <c r="D40" s="331" t="s">
        <v>33</v>
      </c>
      <c r="E40" s="331" t="s">
        <v>1025</v>
      </c>
      <c r="F40" s="331"/>
      <c r="G40" s="331" t="s">
        <v>1025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1050</v>
      </c>
      <c r="T40" s="332" t="s">
        <v>1051</v>
      </c>
      <c r="U40" s="333">
        <v>522495.005</v>
      </c>
      <c r="V40" s="333">
        <v>2674789.5630000001</v>
      </c>
      <c r="W40" s="334"/>
      <c r="X40" s="315" t="s">
        <v>1048</v>
      </c>
      <c r="Y40" s="315" t="s">
        <v>1043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1052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1025</v>
      </c>
      <c r="C42" s="331" t="s">
        <v>34</v>
      </c>
      <c r="D42" s="331" t="s">
        <v>35</v>
      </c>
      <c r="E42" s="331" t="s">
        <v>1025</v>
      </c>
      <c r="F42" s="331"/>
      <c r="G42" s="331" t="s">
        <v>1025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1053</v>
      </c>
      <c r="T42" s="332" t="s">
        <v>1054</v>
      </c>
      <c r="U42" s="333">
        <v>522907.20699999999</v>
      </c>
      <c r="V42" s="333">
        <v>2674699.1529999999</v>
      </c>
      <c r="W42" s="334"/>
      <c r="X42" s="315" t="s">
        <v>1048</v>
      </c>
      <c r="Y42" s="315" t="s">
        <v>1043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1055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1025</v>
      </c>
      <c r="C44" s="331" t="s">
        <v>36</v>
      </c>
      <c r="D44" s="331" t="s">
        <v>31</v>
      </c>
      <c r="E44" s="331" t="s">
        <v>1025</v>
      </c>
      <c r="F44" s="331"/>
      <c r="G44" s="331" t="s">
        <v>1025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1056</v>
      </c>
      <c r="T44" s="332" t="s">
        <v>1057</v>
      </c>
      <c r="U44" s="333">
        <v>523294.01</v>
      </c>
      <c r="V44" s="333">
        <v>2674614.31</v>
      </c>
      <c r="W44" s="334"/>
      <c r="X44" s="315" t="s">
        <v>1048</v>
      </c>
      <c r="Y44" s="315" t="s">
        <v>1043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1058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1025</v>
      </c>
      <c r="C46" s="331" t="s">
        <v>37</v>
      </c>
      <c r="D46" s="331" t="s">
        <v>31</v>
      </c>
      <c r="E46" s="331" t="s">
        <v>1025</v>
      </c>
      <c r="F46" s="331"/>
      <c r="G46" s="331" t="s">
        <v>1025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1059</v>
      </c>
      <c r="T46" s="332" t="s">
        <v>1060</v>
      </c>
      <c r="U46" s="333">
        <v>523670.07299999997</v>
      </c>
      <c r="V46" s="333">
        <v>2674531.8309999998</v>
      </c>
      <c r="W46" s="334"/>
      <c r="X46" s="315" t="s">
        <v>1048</v>
      </c>
      <c r="Y46" s="315" t="s">
        <v>1043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1061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1025</v>
      </c>
      <c r="C48" s="331" t="s">
        <v>38</v>
      </c>
      <c r="D48" s="331" t="s">
        <v>23</v>
      </c>
      <c r="E48" s="331" t="s">
        <v>1025</v>
      </c>
      <c r="F48" s="331"/>
      <c r="G48" s="331" t="s">
        <v>1025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1062</v>
      </c>
      <c r="T48" s="332" t="s">
        <v>1063</v>
      </c>
      <c r="U48" s="333">
        <v>524000.22399999999</v>
      </c>
      <c r="V48" s="333">
        <v>2674459.4180000001</v>
      </c>
      <c r="W48" s="334"/>
      <c r="X48" s="315" t="s">
        <v>1048</v>
      </c>
      <c r="Y48" s="315" t="s">
        <v>1043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1064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1065</v>
      </c>
      <c r="C50" s="331" t="s">
        <v>39</v>
      </c>
      <c r="D50" s="331" t="s">
        <v>40</v>
      </c>
      <c r="E50" s="331" t="s">
        <v>1066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1067</v>
      </c>
      <c r="T50" s="332" t="s">
        <v>1068</v>
      </c>
      <c r="U50" s="333">
        <v>524316.57999999996</v>
      </c>
      <c r="V50" s="333">
        <v>2674390.0299999998</v>
      </c>
      <c r="W50" s="334"/>
      <c r="X50" s="315" t="s">
        <v>1048</v>
      </c>
      <c r="Y50" s="315" t="s">
        <v>1043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1069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1025</v>
      </c>
      <c r="C52" s="331" t="s">
        <v>41</v>
      </c>
      <c r="D52" s="331" t="s">
        <v>14</v>
      </c>
      <c r="E52" s="331" t="s">
        <v>1025</v>
      </c>
      <c r="F52" s="331"/>
      <c r="G52" s="331" t="s">
        <v>1025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1070</v>
      </c>
      <c r="T52" s="332" t="s">
        <v>1071</v>
      </c>
      <c r="U52" s="333">
        <v>524602.22400000005</v>
      </c>
      <c r="V52" s="333">
        <v>2674139.4160000002</v>
      </c>
      <c r="W52" s="334"/>
      <c r="X52" s="315" t="s">
        <v>1048</v>
      </c>
      <c r="Y52" s="315" t="s">
        <v>1043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1072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1025</v>
      </c>
      <c r="C54" s="331" t="s">
        <v>42</v>
      </c>
      <c r="D54" s="331" t="s">
        <v>35</v>
      </c>
      <c r="E54" s="331" t="s">
        <v>1025</v>
      </c>
      <c r="F54" s="331"/>
      <c r="G54" s="331" t="s">
        <v>1025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1073</v>
      </c>
      <c r="T54" s="332" t="s">
        <v>1074</v>
      </c>
      <c r="U54" s="333">
        <v>524883.36</v>
      </c>
      <c r="V54" s="333">
        <v>2673892.7599999998</v>
      </c>
      <c r="W54" s="334"/>
      <c r="X54" s="315" t="s">
        <v>1048</v>
      </c>
      <c r="Y54" s="315" t="s">
        <v>1043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1075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1025</v>
      </c>
      <c r="C56" s="331" t="s">
        <v>43</v>
      </c>
      <c r="D56" s="331" t="s">
        <v>35</v>
      </c>
      <c r="E56" s="331" t="s">
        <v>1025</v>
      </c>
      <c r="F56" s="331"/>
      <c r="G56" s="331" t="s">
        <v>1025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1076</v>
      </c>
      <c r="T56" s="332" t="s">
        <v>1077</v>
      </c>
      <c r="U56" s="333">
        <v>525195.31299999997</v>
      </c>
      <c r="V56" s="333">
        <v>2673619.0630000001</v>
      </c>
      <c r="W56" s="334"/>
      <c r="X56" s="315" t="s">
        <v>1048</v>
      </c>
      <c r="Y56" s="315" t="s">
        <v>1043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1078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1079</v>
      </c>
      <c r="C58" s="331" t="s">
        <v>44</v>
      </c>
      <c r="D58" s="331" t="s">
        <v>40</v>
      </c>
      <c r="E58" s="331" t="s">
        <v>1080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1081</v>
      </c>
      <c r="T58" s="332" t="s">
        <v>1082</v>
      </c>
      <c r="U58" s="333">
        <v>525485.46200000006</v>
      </c>
      <c r="V58" s="333">
        <v>2673364.497</v>
      </c>
      <c r="W58" s="334"/>
      <c r="X58" s="315" t="s">
        <v>1083</v>
      </c>
      <c r="Y58" s="315" t="s">
        <v>1043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1084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1025</v>
      </c>
      <c r="C60" s="331" t="s">
        <v>45</v>
      </c>
      <c r="D60" s="331" t="s">
        <v>31</v>
      </c>
      <c r="E60" s="331" t="s">
        <v>1025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1085</v>
      </c>
      <c r="T60" s="331" t="s">
        <v>1086</v>
      </c>
      <c r="U60" s="331">
        <v>525817.81000000006</v>
      </c>
      <c r="V60" s="331">
        <v>2673248.52</v>
      </c>
      <c r="W60" s="331"/>
      <c r="X60" s="315" t="s">
        <v>1083</v>
      </c>
      <c r="Y60" s="315" t="s">
        <v>1043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1087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1025</v>
      </c>
      <c r="C62" s="331" t="s">
        <v>46</v>
      </c>
      <c r="D62" s="331" t="s">
        <v>31</v>
      </c>
      <c r="E62" s="331" t="s">
        <v>1025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1088</v>
      </c>
      <c r="T62" s="331" t="s">
        <v>1089</v>
      </c>
      <c r="U62" s="331">
        <v>526187.92000000004</v>
      </c>
      <c r="V62" s="331">
        <v>2673119.37</v>
      </c>
      <c r="W62" s="331"/>
      <c r="X62" s="315" t="s">
        <v>1083</v>
      </c>
      <c r="Y62" s="315" t="s">
        <v>1043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1090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1025</v>
      </c>
      <c r="C64" s="331" t="s">
        <v>47</v>
      </c>
      <c r="D64" s="331" t="s">
        <v>31</v>
      </c>
      <c r="E64" s="331" t="s">
        <v>1025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1091</v>
      </c>
      <c r="T64" s="331" t="s">
        <v>1092</v>
      </c>
      <c r="U64" s="331">
        <v>526547.65</v>
      </c>
      <c r="V64" s="331">
        <v>2672993.84</v>
      </c>
      <c r="W64" s="331"/>
      <c r="X64" s="315" t="s">
        <v>1083</v>
      </c>
      <c r="Y64" s="315" t="s">
        <v>1043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1093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1025</v>
      </c>
      <c r="C66" s="331" t="s">
        <v>48</v>
      </c>
      <c r="D66" s="331" t="s">
        <v>31</v>
      </c>
      <c r="E66" s="331" t="s">
        <v>1025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1094</v>
      </c>
      <c r="T66" s="331" t="s">
        <v>1095</v>
      </c>
      <c r="U66" s="331">
        <v>526915.87</v>
      </c>
      <c r="V66" s="331">
        <v>2672865.34</v>
      </c>
      <c r="W66" s="331"/>
      <c r="X66" s="315" t="s">
        <v>1083</v>
      </c>
      <c r="Y66" s="315" t="s">
        <v>1043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1096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1097</v>
      </c>
      <c r="C68" s="331" t="s">
        <v>49</v>
      </c>
      <c r="D68" s="331" t="s">
        <v>28</v>
      </c>
      <c r="E68" s="331" t="s">
        <v>1098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1099</v>
      </c>
      <c r="T68" s="331" t="s">
        <v>1100</v>
      </c>
      <c r="U68" s="331">
        <v>527284.93999999994</v>
      </c>
      <c r="V68" s="331">
        <v>2672736.5499999998</v>
      </c>
      <c r="W68" s="331"/>
      <c r="X68" s="315" t="s">
        <v>1083</v>
      </c>
      <c r="Y68" s="315" t="s">
        <v>1043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1101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1025</v>
      </c>
      <c r="C70" s="331" t="s">
        <v>50</v>
      </c>
      <c r="D70" s="331" t="s">
        <v>31</v>
      </c>
      <c r="E70" s="331" t="s">
        <v>1025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1102</v>
      </c>
      <c r="T70" s="331" t="s">
        <v>1103</v>
      </c>
      <c r="U70" s="331">
        <v>527593.43999999994</v>
      </c>
      <c r="V70" s="331">
        <v>2672616.6</v>
      </c>
      <c r="W70" s="331"/>
      <c r="X70" s="315" t="s">
        <v>1083</v>
      </c>
      <c r="Y70" s="315" t="s">
        <v>1043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1084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1025</v>
      </c>
      <c r="C72" s="331" t="s">
        <v>51</v>
      </c>
      <c r="D72" s="331" t="s">
        <v>33</v>
      </c>
      <c r="E72" s="331" t="s">
        <v>1025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1104</v>
      </c>
      <c r="T72" s="331" t="s">
        <v>1105</v>
      </c>
      <c r="U72" s="331">
        <v>527969.98</v>
      </c>
      <c r="V72" s="331">
        <v>2672470.2000000002</v>
      </c>
      <c r="W72" s="331"/>
      <c r="X72" s="315" t="s">
        <v>1083</v>
      </c>
      <c r="Y72" s="315" t="s">
        <v>1043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1096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1025</v>
      </c>
      <c r="C74" s="331" t="s">
        <v>52</v>
      </c>
      <c r="D74" s="331" t="s">
        <v>33</v>
      </c>
      <c r="E74" s="331" t="s">
        <v>1025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1106</v>
      </c>
      <c r="T74" s="331" t="s">
        <v>1107</v>
      </c>
      <c r="U74" s="331">
        <v>528352.12</v>
      </c>
      <c r="V74" s="331">
        <v>2672321.62</v>
      </c>
      <c r="W74" s="331"/>
      <c r="X74" s="315" t="s">
        <v>1083</v>
      </c>
      <c r="Y74" s="315" t="s">
        <v>1043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1084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1025</v>
      </c>
      <c r="C76" s="331" t="s">
        <v>53</v>
      </c>
      <c r="D76" s="331" t="s">
        <v>33</v>
      </c>
      <c r="E76" s="331" t="s">
        <v>1025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1108</v>
      </c>
      <c r="T76" s="331" t="s">
        <v>1109</v>
      </c>
      <c r="U76" s="331">
        <v>528723.06000000006</v>
      </c>
      <c r="V76" s="331">
        <v>2672177.4</v>
      </c>
      <c r="W76" s="331"/>
      <c r="X76" s="315" t="s">
        <v>1083</v>
      </c>
      <c r="Y76" s="315" t="s">
        <v>1043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1110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1025</v>
      </c>
      <c r="C78" s="331" t="s">
        <v>54</v>
      </c>
      <c r="D78" s="331" t="s">
        <v>31</v>
      </c>
      <c r="E78" s="331" t="s">
        <v>1025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1111</v>
      </c>
      <c r="T78" s="331" t="s">
        <v>1112</v>
      </c>
      <c r="U78" s="331">
        <v>529125.69999999995</v>
      </c>
      <c r="V78" s="331">
        <v>2672020.85</v>
      </c>
      <c r="W78" s="331"/>
      <c r="X78" s="315" t="s">
        <v>1113</v>
      </c>
      <c r="Y78" s="315" t="s">
        <v>1043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1090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1025</v>
      </c>
      <c r="C80" s="331" t="s">
        <v>55</v>
      </c>
      <c r="D80" s="331" t="s">
        <v>31</v>
      </c>
      <c r="E80" s="331" t="s">
        <v>1025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1114</v>
      </c>
      <c r="T80" s="331" t="s">
        <v>1115</v>
      </c>
      <c r="U80" s="331">
        <v>529457.5</v>
      </c>
      <c r="V80" s="331">
        <v>2671891.84</v>
      </c>
      <c r="W80" s="331"/>
      <c r="X80" s="332" t="s">
        <v>1116</v>
      </c>
      <c r="Y80" s="315" t="s">
        <v>1043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1087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1025</v>
      </c>
      <c r="C82" s="331" t="s">
        <v>56</v>
      </c>
      <c r="D82" s="331" t="s">
        <v>31</v>
      </c>
      <c r="E82" s="331" t="s">
        <v>1025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1117</v>
      </c>
      <c r="T82" s="331" t="s">
        <v>1118</v>
      </c>
      <c r="U82" s="331">
        <v>529837.77</v>
      </c>
      <c r="V82" s="331">
        <v>2671743.9900000002</v>
      </c>
      <c r="W82" s="331"/>
      <c r="X82" s="332" t="s">
        <v>1116</v>
      </c>
      <c r="Y82" s="315" t="s">
        <v>1043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1119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1025</v>
      </c>
      <c r="C84" s="331" t="s">
        <v>57</v>
      </c>
      <c r="D84" s="331" t="s">
        <v>33</v>
      </c>
      <c r="E84" s="331" t="s">
        <v>1025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1120</v>
      </c>
      <c r="T84" s="331" t="s">
        <v>1121</v>
      </c>
      <c r="U84" s="331">
        <v>530224.56999999995</v>
      </c>
      <c r="V84" s="331">
        <v>2671593.6</v>
      </c>
      <c r="W84" s="331"/>
      <c r="X84" s="332" t="s">
        <v>1116</v>
      </c>
      <c r="Y84" s="315" t="s">
        <v>1043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1122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1025</v>
      </c>
      <c r="C86" s="331" t="s">
        <v>58</v>
      </c>
      <c r="D86" s="331" t="s">
        <v>23</v>
      </c>
      <c r="E86" s="331" t="s">
        <v>1025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1123</v>
      </c>
      <c r="T86" s="331" t="s">
        <v>1124</v>
      </c>
      <c r="U86" s="331">
        <v>530570.35</v>
      </c>
      <c r="V86" s="331">
        <v>2671459.16</v>
      </c>
      <c r="W86" s="331"/>
      <c r="X86" s="332" t="s">
        <v>1116</v>
      </c>
      <c r="Y86" s="315" t="s">
        <v>1043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1087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1025</v>
      </c>
      <c r="C88" s="331" t="s">
        <v>59</v>
      </c>
      <c r="D88" s="331" t="s">
        <v>31</v>
      </c>
      <c r="E88" s="331" t="s">
        <v>1025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1125</v>
      </c>
      <c r="T88" s="331" t="s">
        <v>1126</v>
      </c>
      <c r="U88" s="331">
        <v>530909.61</v>
      </c>
      <c r="V88" s="331">
        <v>2671327.25</v>
      </c>
      <c r="W88" s="331"/>
      <c r="X88" s="332" t="s">
        <v>1116</v>
      </c>
      <c r="Y88" s="315" t="s">
        <v>1043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1127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1128</v>
      </c>
      <c r="C90" s="331" t="s">
        <v>60</v>
      </c>
      <c r="D90" s="331" t="s">
        <v>61</v>
      </c>
      <c r="E90" s="331" t="s">
        <v>1129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1130</v>
      </c>
      <c r="T90" s="331" t="s">
        <v>1131</v>
      </c>
      <c r="U90" s="331">
        <v>531296.31000000006</v>
      </c>
      <c r="V90" s="331">
        <v>2671176.9</v>
      </c>
      <c r="W90" s="331"/>
      <c r="X90" s="315" t="s">
        <v>1132</v>
      </c>
      <c r="Y90" s="315" t="s">
        <v>1043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1133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1025</v>
      </c>
      <c r="C92" s="331" t="s">
        <v>62</v>
      </c>
      <c r="D92" s="331" t="s">
        <v>33</v>
      </c>
      <c r="E92" s="331" t="s">
        <v>1025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1134</v>
      </c>
      <c r="T92" s="331" t="s">
        <v>1135</v>
      </c>
      <c r="U92" s="331">
        <v>531677.04</v>
      </c>
      <c r="V92" s="331">
        <v>2671097.15</v>
      </c>
      <c r="W92" s="331"/>
      <c r="X92" s="315" t="s">
        <v>1132</v>
      </c>
      <c r="Y92" s="315" t="s">
        <v>1043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1122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1025</v>
      </c>
      <c r="C94" s="331" t="s">
        <v>63</v>
      </c>
      <c r="D94" s="331" t="s">
        <v>31</v>
      </c>
      <c r="E94" s="331" t="s">
        <v>1025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1136</v>
      </c>
      <c r="T94" s="331" t="s">
        <v>1137</v>
      </c>
      <c r="U94" s="331">
        <v>532064.63</v>
      </c>
      <c r="V94" s="331">
        <v>2671015.96</v>
      </c>
      <c r="W94" s="331"/>
      <c r="X94" s="315" t="s">
        <v>1132</v>
      </c>
      <c r="Y94" s="315" t="s">
        <v>1043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1138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1025</v>
      </c>
      <c r="C96" s="331" t="s">
        <v>64</v>
      </c>
      <c r="D96" s="331" t="s">
        <v>16</v>
      </c>
      <c r="E96" s="331" t="s">
        <v>1025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1139</v>
      </c>
      <c r="T96" s="331" t="s">
        <v>1140</v>
      </c>
      <c r="U96" s="331">
        <v>532494.30000000005</v>
      </c>
      <c r="V96" s="331">
        <v>2670925.96</v>
      </c>
      <c r="W96" s="331"/>
      <c r="X96" s="315" t="s">
        <v>1141</v>
      </c>
      <c r="Y96" s="315" t="s">
        <v>1043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1138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1142</v>
      </c>
      <c r="C98" s="331" t="s">
        <v>65</v>
      </c>
      <c r="D98" s="331" t="s">
        <v>28</v>
      </c>
      <c r="E98" s="331" t="s">
        <v>1143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1144</v>
      </c>
      <c r="T98" s="331" t="s">
        <v>1145</v>
      </c>
      <c r="U98" s="331">
        <v>532867.52399999998</v>
      </c>
      <c r="V98" s="331">
        <v>2670847.7790000001</v>
      </c>
      <c r="W98" s="331"/>
      <c r="X98" s="315" t="s">
        <v>1141</v>
      </c>
      <c r="Y98" s="315" t="s">
        <v>1043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1146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1025</v>
      </c>
      <c r="C100" s="331" t="s">
        <v>66</v>
      </c>
      <c r="D100" s="331" t="s">
        <v>31</v>
      </c>
      <c r="E100" s="331" t="s">
        <v>1025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1147</v>
      </c>
      <c r="T100" s="331" t="s">
        <v>1148</v>
      </c>
      <c r="U100" s="331">
        <v>533237.91599999997</v>
      </c>
      <c r="V100" s="331">
        <v>2670739.1230000001</v>
      </c>
      <c r="W100" s="331"/>
      <c r="X100" s="315" t="s">
        <v>1141</v>
      </c>
      <c r="Y100" s="315" t="s">
        <v>1043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1149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1025</v>
      </c>
      <c r="C102" s="331" t="s">
        <v>67</v>
      </c>
      <c r="D102" s="331" t="s">
        <v>23</v>
      </c>
      <c r="E102" s="331" t="s">
        <v>1025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1150</v>
      </c>
      <c r="T102" s="331" t="s">
        <v>1151</v>
      </c>
      <c r="U102" s="331">
        <v>533579.52000000002</v>
      </c>
      <c r="V102" s="331">
        <v>2670638.912</v>
      </c>
      <c r="W102" s="331"/>
      <c r="X102" s="315" t="s">
        <v>1141</v>
      </c>
      <c r="Y102" s="315" t="s">
        <v>1043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1152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1025</v>
      </c>
      <c r="C104" s="331" t="s">
        <v>68</v>
      </c>
      <c r="D104" s="331" t="s">
        <v>33</v>
      </c>
      <c r="E104" s="331" t="s">
        <v>1025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1153</v>
      </c>
      <c r="T104" s="331" t="s">
        <v>1154</v>
      </c>
      <c r="U104" s="331">
        <v>533929.76100000006</v>
      </c>
      <c r="V104" s="331">
        <v>2670536.1669999999</v>
      </c>
      <c r="W104" s="331"/>
      <c r="X104" s="315" t="s">
        <v>1155</v>
      </c>
      <c r="Y104" s="315" t="s">
        <v>1043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1156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1157</v>
      </c>
      <c r="C106" s="331" t="s">
        <v>69</v>
      </c>
      <c r="D106" s="331" t="s">
        <v>70</v>
      </c>
      <c r="E106" s="331" t="s">
        <v>1158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1159</v>
      </c>
      <c r="T106" s="331" t="s">
        <v>1160</v>
      </c>
      <c r="U106" s="331">
        <v>534385.65099999995</v>
      </c>
      <c r="V106" s="331">
        <v>2670402.4300000002</v>
      </c>
      <c r="W106" s="331"/>
      <c r="X106" s="315" t="s">
        <v>1155</v>
      </c>
      <c r="Y106" s="315" t="s">
        <v>1043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1161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1162</v>
      </c>
      <c r="C108" s="331" t="s">
        <v>388</v>
      </c>
      <c r="D108" s="331" t="s">
        <v>70</v>
      </c>
      <c r="E108" s="331" t="s">
        <v>1163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1164</v>
      </c>
      <c r="T108" s="331" t="s">
        <v>1165</v>
      </c>
      <c r="U108" s="331">
        <v>534579.16299999994</v>
      </c>
      <c r="V108" s="331">
        <v>2670433.5060000001</v>
      </c>
      <c r="W108" s="339" t="s">
        <v>1166</v>
      </c>
      <c r="X108" s="315" t="s">
        <v>1155</v>
      </c>
      <c r="Y108" s="315" t="s">
        <v>1043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1152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1025</v>
      </c>
      <c r="C110" s="331" t="s">
        <v>71</v>
      </c>
      <c r="D110" s="331" t="s">
        <v>33</v>
      </c>
      <c r="E110" s="331" t="s">
        <v>1025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1167</v>
      </c>
      <c r="T110" s="331" t="s">
        <v>1168</v>
      </c>
      <c r="U110" s="331">
        <v>535032.75800000003</v>
      </c>
      <c r="V110" s="331">
        <v>2670285.9219999998</v>
      </c>
      <c r="W110" s="331"/>
      <c r="X110" s="315" t="s">
        <v>1155</v>
      </c>
      <c r="Y110" s="315" t="s">
        <v>1043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1119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1025</v>
      </c>
      <c r="C112" s="331" t="s">
        <v>72</v>
      </c>
      <c r="D112" s="331" t="s">
        <v>23</v>
      </c>
      <c r="E112" s="331" t="s">
        <v>1025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1169</v>
      </c>
      <c r="T112" s="331" t="s">
        <v>1170</v>
      </c>
      <c r="U112" s="331">
        <v>535377.946</v>
      </c>
      <c r="V112" s="331">
        <v>2670173.61</v>
      </c>
      <c r="W112" s="331"/>
      <c r="X112" s="315" t="s">
        <v>1155</v>
      </c>
      <c r="Y112" s="315" t="s">
        <v>1043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1025</v>
      </c>
      <c r="C114" s="331" t="s">
        <v>73</v>
      </c>
      <c r="D114" s="331" t="s">
        <v>23</v>
      </c>
      <c r="E114" s="331" t="s">
        <v>1025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1171</v>
      </c>
      <c r="T114" s="331" t="s">
        <v>1172</v>
      </c>
      <c r="U114" s="331">
        <v>535689.85100000002</v>
      </c>
      <c r="V114" s="331">
        <v>2670072.1260000002</v>
      </c>
      <c r="W114" s="331"/>
      <c r="X114" s="315" t="s">
        <v>1155</v>
      </c>
      <c r="Y114" s="315" t="s">
        <v>1043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1101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1025</v>
      </c>
      <c r="C116" s="331" t="s">
        <v>74</v>
      </c>
      <c r="D116" s="331" t="s">
        <v>31</v>
      </c>
      <c r="E116" s="331" t="s">
        <v>1025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1173</v>
      </c>
      <c r="T116" s="331" t="s">
        <v>1174</v>
      </c>
      <c r="U116" s="331">
        <v>536047.402</v>
      </c>
      <c r="V116" s="331">
        <v>2669955.7919999999</v>
      </c>
      <c r="W116" s="331"/>
      <c r="X116" s="315" t="s">
        <v>1155</v>
      </c>
      <c r="Y116" s="315" t="s">
        <v>1043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1087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1025</v>
      </c>
      <c r="C118" s="331" t="s">
        <v>75</v>
      </c>
      <c r="D118" s="331" t="s">
        <v>35</v>
      </c>
      <c r="E118" s="331" t="s">
        <v>1025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1175</v>
      </c>
      <c r="T118" s="331" t="s">
        <v>1176</v>
      </c>
      <c r="U118" s="331">
        <v>536421.11800000002</v>
      </c>
      <c r="V118" s="331">
        <v>2669834.1970000002</v>
      </c>
      <c r="W118" s="331"/>
      <c r="X118" s="315" t="s">
        <v>1177</v>
      </c>
      <c r="Y118" s="315" t="s">
        <v>1043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1133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1025</v>
      </c>
      <c r="C120" s="331" t="s">
        <v>76</v>
      </c>
      <c r="D120" s="331" t="s">
        <v>31</v>
      </c>
      <c r="E120" s="331" t="s">
        <v>1025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1178</v>
      </c>
      <c r="T120" s="331" t="s">
        <v>1179</v>
      </c>
      <c r="U120" s="331">
        <v>536798.63800000004</v>
      </c>
      <c r="V120" s="331">
        <v>2669711.3650000002</v>
      </c>
      <c r="W120" s="331"/>
      <c r="X120" s="315" t="s">
        <v>1177</v>
      </c>
      <c r="Y120" s="315" t="s">
        <v>1043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1180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1025</v>
      </c>
      <c r="C122" s="331" t="s">
        <v>77</v>
      </c>
      <c r="D122" s="331" t="s">
        <v>31</v>
      </c>
      <c r="E122" s="331" t="s">
        <v>1025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1181</v>
      </c>
      <c r="T122" s="331" t="s">
        <v>1182</v>
      </c>
      <c r="U122" s="331">
        <v>537173.30500000005</v>
      </c>
      <c r="V122" s="331">
        <v>2669589.4619999998</v>
      </c>
      <c r="W122" s="331"/>
      <c r="X122" s="315" t="s">
        <v>1177</v>
      </c>
      <c r="Y122" s="315" t="s">
        <v>1043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1087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1183</v>
      </c>
      <c r="C124" s="331" t="s">
        <v>78</v>
      </c>
      <c r="D124" s="331" t="s">
        <v>61</v>
      </c>
      <c r="E124" s="331" t="s">
        <v>1184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1185</v>
      </c>
      <c r="T124" s="331" t="s">
        <v>1186</v>
      </c>
      <c r="U124" s="331">
        <v>537527.99100000004</v>
      </c>
      <c r="V124" s="331">
        <v>2669474.0589999999</v>
      </c>
      <c r="W124" s="331"/>
      <c r="X124" s="315" t="s">
        <v>1177</v>
      </c>
      <c r="Y124" s="315" t="s">
        <v>1043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1187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1025</v>
      </c>
      <c r="C126" s="331" t="s">
        <v>79</v>
      </c>
      <c r="D126" s="331" t="s">
        <v>14</v>
      </c>
      <c r="E126" s="331" t="s">
        <v>1025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1188</v>
      </c>
      <c r="T126" s="331" t="s">
        <v>1189</v>
      </c>
      <c r="U126" s="331">
        <v>537844.80299999996</v>
      </c>
      <c r="V126" s="331">
        <v>2669309.4989999998</v>
      </c>
      <c r="W126" s="331"/>
      <c r="X126" s="315" t="s">
        <v>1177</v>
      </c>
      <c r="Y126" s="315" t="s">
        <v>1043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1190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1025</v>
      </c>
      <c r="C128" s="331" t="s">
        <v>80</v>
      </c>
      <c r="D128" s="331" t="s">
        <v>31</v>
      </c>
      <c r="E128" s="331" t="s">
        <v>1025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1191</v>
      </c>
      <c r="T128" s="331" t="s">
        <v>1192</v>
      </c>
      <c r="U128" s="331">
        <v>538176.69999999995</v>
      </c>
      <c r="V128" s="331">
        <v>2669137.1039999998</v>
      </c>
      <c r="W128" s="331"/>
      <c r="X128" s="315" t="s">
        <v>1193</v>
      </c>
      <c r="Y128" s="315" t="s">
        <v>1043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1194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1025</v>
      </c>
      <c r="C130" s="331" t="s">
        <v>81</v>
      </c>
      <c r="D130" s="331" t="s">
        <v>31</v>
      </c>
      <c r="E130" s="331" t="s">
        <v>1025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1195</v>
      </c>
      <c r="T130" s="331" t="s">
        <v>1196</v>
      </c>
      <c r="U130" s="331">
        <v>538513.92200000002</v>
      </c>
      <c r="V130" s="331">
        <v>2668961.943</v>
      </c>
      <c r="W130" s="331"/>
      <c r="X130" s="315" t="s">
        <v>1193</v>
      </c>
      <c r="Y130" s="315" t="s">
        <v>1043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1101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1025</v>
      </c>
      <c r="C132" s="331" t="s">
        <v>82</v>
      </c>
      <c r="D132" s="331" t="s">
        <v>23</v>
      </c>
      <c r="E132" s="331" t="s">
        <v>1025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1197</v>
      </c>
      <c r="T132" s="331" t="s">
        <v>1198</v>
      </c>
      <c r="U132" s="331">
        <v>538819.19700000004</v>
      </c>
      <c r="V132" s="331">
        <v>2668803.3760000002</v>
      </c>
      <c r="W132" s="331"/>
      <c r="X132" s="315" t="s">
        <v>1193</v>
      </c>
      <c r="Y132" s="315" t="s">
        <v>1043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1087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1025</v>
      </c>
      <c r="C134" s="331" t="s">
        <v>83</v>
      </c>
      <c r="D134" s="331" t="s">
        <v>31</v>
      </c>
      <c r="E134" s="331" t="s">
        <v>1025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1199</v>
      </c>
      <c r="T134" s="331" t="s">
        <v>1200</v>
      </c>
      <c r="U134" s="331">
        <v>539112.04700000002</v>
      </c>
      <c r="V134" s="331">
        <v>2668651.2620000001</v>
      </c>
      <c r="W134" s="331"/>
      <c r="X134" s="315" t="s">
        <v>1193</v>
      </c>
      <c r="Y134" s="315" t="s">
        <v>1043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1090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1201</v>
      </c>
      <c r="C136" s="331" t="s">
        <v>84</v>
      </c>
      <c r="D136" s="331" t="s">
        <v>18</v>
      </c>
      <c r="E136" s="331" t="s">
        <v>1202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1203</v>
      </c>
      <c r="T136" s="331" t="s">
        <v>1204</v>
      </c>
      <c r="U136" s="331">
        <v>539437.951</v>
      </c>
      <c r="V136" s="331">
        <v>2668481.98</v>
      </c>
      <c r="W136" s="331"/>
      <c r="X136" s="315" t="s">
        <v>1193</v>
      </c>
      <c r="Y136" s="315" t="s">
        <v>1043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1205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1025</v>
      </c>
      <c r="C138" s="331" t="s">
        <v>85</v>
      </c>
      <c r="D138" s="331" t="s">
        <v>31</v>
      </c>
      <c r="E138" s="331" t="s">
        <v>1025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1206</v>
      </c>
      <c r="T138" s="331" t="s">
        <v>1207</v>
      </c>
      <c r="U138" s="331">
        <v>539818.51899999997</v>
      </c>
      <c r="V138" s="331">
        <v>2668423.73</v>
      </c>
      <c r="W138" s="331"/>
      <c r="X138" s="315" t="s">
        <v>1193</v>
      </c>
      <c r="Y138" s="315" t="s">
        <v>1043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1090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1025</v>
      </c>
      <c r="C140" s="331" t="s">
        <v>86</v>
      </c>
      <c r="D140" s="331" t="s">
        <v>31</v>
      </c>
      <c r="E140" s="331" t="s">
        <v>1025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1208</v>
      </c>
      <c r="T140" s="331" t="s">
        <v>1209</v>
      </c>
      <c r="U140" s="331">
        <v>540169.43200000003</v>
      </c>
      <c r="V140" s="331">
        <v>2668370.02</v>
      </c>
      <c r="W140" s="331"/>
      <c r="X140" s="315" t="s">
        <v>1193</v>
      </c>
      <c r="Y140" s="315" t="s">
        <v>1043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1210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1025</v>
      </c>
      <c r="C142" s="331" t="s">
        <v>87</v>
      </c>
      <c r="D142" s="331" t="s">
        <v>23</v>
      </c>
      <c r="E142" s="331" t="s">
        <v>1025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1211</v>
      </c>
      <c r="T142" s="331" t="s">
        <v>1212</v>
      </c>
      <c r="U142" s="331">
        <v>540522.32299999997</v>
      </c>
      <c r="V142" s="331">
        <v>2668316.0060000001</v>
      </c>
      <c r="W142" s="331"/>
      <c r="X142" s="315" t="s">
        <v>1213</v>
      </c>
      <c r="Y142" s="315" t="s">
        <v>1043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1087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1025</v>
      </c>
      <c r="C144" s="331" t="s">
        <v>88</v>
      </c>
      <c r="D144" s="331" t="s">
        <v>33</v>
      </c>
      <c r="E144" s="331" t="s">
        <v>1025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1214</v>
      </c>
      <c r="T144" s="331" t="s">
        <v>1215</v>
      </c>
      <c r="U144" s="331">
        <v>540910.79799999995</v>
      </c>
      <c r="V144" s="331">
        <v>2668256.5460000001</v>
      </c>
      <c r="W144" s="331"/>
      <c r="X144" s="315" t="s">
        <v>1213</v>
      </c>
      <c r="Y144" s="315" t="s">
        <v>1043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1084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1025</v>
      </c>
      <c r="C146" s="331" t="s">
        <v>89</v>
      </c>
      <c r="D146" s="331" t="s">
        <v>31</v>
      </c>
      <c r="E146" s="331" t="s">
        <v>1025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1216</v>
      </c>
      <c r="T146" s="331" t="s">
        <v>1217</v>
      </c>
      <c r="U146" s="331">
        <v>541289.38899999997</v>
      </c>
      <c r="V146" s="331">
        <v>2668198.5989999999</v>
      </c>
      <c r="W146" s="331"/>
      <c r="X146" s="315" t="s">
        <v>1213</v>
      </c>
      <c r="Y146" s="315" t="s">
        <v>1043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1218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1219</v>
      </c>
      <c r="C148" s="331" t="s">
        <v>90</v>
      </c>
      <c r="D148" s="331" t="s">
        <v>61</v>
      </c>
      <c r="E148" s="331" t="s">
        <v>1220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1221</v>
      </c>
      <c r="T148" s="331" t="s">
        <v>1222</v>
      </c>
      <c r="U148" s="331">
        <v>541673.01</v>
      </c>
      <c r="V148" s="331">
        <v>2668139.8820000002</v>
      </c>
      <c r="W148" s="331"/>
      <c r="X148" s="315" t="s">
        <v>1213</v>
      </c>
      <c r="Y148" s="315" t="s">
        <v>1043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1122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1025</v>
      </c>
      <c r="C150" s="331" t="s">
        <v>91</v>
      </c>
      <c r="D150" s="331" t="s">
        <v>31</v>
      </c>
      <c r="E150" s="331" t="s">
        <v>1025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1223</v>
      </c>
      <c r="T150" s="331" t="s">
        <v>1224</v>
      </c>
      <c r="U150" s="331">
        <v>542016.86499999999</v>
      </c>
      <c r="V150" s="331">
        <v>2668008.781</v>
      </c>
      <c r="W150" s="331"/>
      <c r="X150" s="315" t="s">
        <v>1213</v>
      </c>
      <c r="Y150" s="315" t="s">
        <v>1043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1152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1025</v>
      </c>
      <c r="C152" s="331" t="s">
        <v>92</v>
      </c>
      <c r="D152" s="331" t="s">
        <v>33</v>
      </c>
      <c r="E152" s="331" t="s">
        <v>1025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1225</v>
      </c>
      <c r="T152" s="331" t="s">
        <v>1226</v>
      </c>
      <c r="U152" s="331">
        <v>542401.83400000003</v>
      </c>
      <c r="V152" s="331">
        <v>2667862.0049999999</v>
      </c>
      <c r="W152" s="331"/>
      <c r="X152" s="315" t="s">
        <v>1213</v>
      </c>
      <c r="Y152" s="315" t="s">
        <v>1043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1025</v>
      </c>
      <c r="C154" s="331" t="s">
        <v>93</v>
      </c>
      <c r="D154" s="331" t="s">
        <v>31</v>
      </c>
      <c r="E154" s="331" t="s">
        <v>1025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1227</v>
      </c>
      <c r="T154" s="331" t="s">
        <v>1228</v>
      </c>
      <c r="U154" s="331">
        <v>542790.54</v>
      </c>
      <c r="V154" s="331">
        <v>2667713.804</v>
      </c>
      <c r="W154" s="331"/>
      <c r="X154" s="315" t="s">
        <v>1213</v>
      </c>
      <c r="Y154" s="315" t="s">
        <v>1043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1090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1025</v>
      </c>
      <c r="C156" s="331" t="s">
        <v>94</v>
      </c>
      <c r="D156" s="331" t="s">
        <v>16</v>
      </c>
      <c r="E156" s="331" t="s">
        <v>1025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1229</v>
      </c>
      <c r="T156" s="331" t="s">
        <v>1230</v>
      </c>
      <c r="U156" s="331">
        <v>543170.83700000006</v>
      </c>
      <c r="V156" s="331">
        <v>2667568.81</v>
      </c>
      <c r="W156" s="331"/>
      <c r="X156" s="315" t="s">
        <v>1213</v>
      </c>
      <c r="Y156" s="315" t="s">
        <v>1043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1122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1025</v>
      </c>
      <c r="C158" s="331" t="s">
        <v>95</v>
      </c>
      <c r="D158" s="331" t="s">
        <v>23</v>
      </c>
      <c r="E158" s="331" t="s">
        <v>1025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1231</v>
      </c>
      <c r="T158" s="331" t="s">
        <v>1232</v>
      </c>
      <c r="U158" s="331">
        <v>543567.95299999998</v>
      </c>
      <c r="V158" s="331">
        <v>2667417.4029999999</v>
      </c>
      <c r="W158" s="331"/>
      <c r="X158" s="315" t="s">
        <v>1233</v>
      </c>
      <c r="Y158" s="315" t="s">
        <v>1043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1152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1025</v>
      </c>
      <c r="C160" s="334" t="s">
        <v>96</v>
      </c>
      <c r="D160" s="331" t="s">
        <v>31</v>
      </c>
      <c r="E160" s="331" t="s">
        <v>1025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1234</v>
      </c>
      <c r="T160" s="331" t="s">
        <v>1235</v>
      </c>
      <c r="U160" s="331">
        <v>543928.62699999998</v>
      </c>
      <c r="V160" s="331">
        <v>2667279.889</v>
      </c>
      <c r="W160" s="341" t="s">
        <v>1236</v>
      </c>
      <c r="X160" s="315" t="s">
        <v>1233</v>
      </c>
      <c r="Y160" s="315" t="s">
        <v>1043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1090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1025</v>
      </c>
      <c r="C162" s="331" t="s">
        <v>97</v>
      </c>
      <c r="D162" s="331" t="s">
        <v>31</v>
      </c>
      <c r="E162" s="331" t="s">
        <v>1025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1237</v>
      </c>
      <c r="T162" s="331" t="s">
        <v>1238</v>
      </c>
      <c r="U162" s="331">
        <v>544264.07299999997</v>
      </c>
      <c r="V162" s="331">
        <v>2667151.9950000001</v>
      </c>
      <c r="W162" s="331"/>
      <c r="X162" s="315" t="s">
        <v>1233</v>
      </c>
      <c r="Y162" s="315" t="s">
        <v>1043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1090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1025</v>
      </c>
      <c r="C164" s="331" t="s">
        <v>98</v>
      </c>
      <c r="D164" s="331" t="s">
        <v>31</v>
      </c>
      <c r="E164" s="331" t="s">
        <v>1025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1239</v>
      </c>
      <c r="T164" s="331" t="s">
        <v>1240</v>
      </c>
      <c r="U164" s="331">
        <v>544607.929</v>
      </c>
      <c r="V164" s="331">
        <v>2667020.8939999999</v>
      </c>
      <c r="W164" s="331"/>
      <c r="X164" s="315" t="s">
        <v>1233</v>
      </c>
      <c r="Y164" s="315" t="s">
        <v>1043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1090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1025</v>
      </c>
      <c r="C166" s="331" t="s">
        <v>99</v>
      </c>
      <c r="D166" s="331" t="s">
        <v>33</v>
      </c>
      <c r="E166" s="331" t="s">
        <v>1025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1241</v>
      </c>
      <c r="T166" s="331" t="s">
        <v>1242</v>
      </c>
      <c r="U166" s="331">
        <v>544972.34100000001</v>
      </c>
      <c r="V166" s="331">
        <v>2666881.9559999998</v>
      </c>
      <c r="W166" s="331"/>
      <c r="X166" s="315" t="s">
        <v>1243</v>
      </c>
      <c r="Y166" s="315" t="s">
        <v>1043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1090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1244</v>
      </c>
      <c r="C168" s="331" t="s">
        <v>100</v>
      </c>
      <c r="D168" s="331" t="s">
        <v>28</v>
      </c>
      <c r="E168" s="331" t="s">
        <v>1245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1246</v>
      </c>
      <c r="T168" s="331" t="s">
        <v>1247</v>
      </c>
      <c r="U168" s="331">
        <v>545355.05000000005</v>
      </c>
      <c r="V168" s="331">
        <v>2666736.04</v>
      </c>
      <c r="W168" s="331"/>
      <c r="X168" s="315" t="s">
        <v>1243</v>
      </c>
      <c r="Y168" s="315" t="s">
        <v>1043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1248</v>
      </c>
      <c r="T170" s="331" t="s">
        <v>1249</v>
      </c>
      <c r="U170" s="331">
        <v>545711</v>
      </c>
      <c r="V170" s="331">
        <v>2666603</v>
      </c>
      <c r="W170" s="331"/>
      <c r="X170" s="315" t="s">
        <v>1243</v>
      </c>
      <c r="Y170" s="315" t="s">
        <v>1043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1250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1251</v>
      </c>
      <c r="T172" s="331" t="s">
        <v>1252</v>
      </c>
      <c r="U172" s="331">
        <v>546054.77</v>
      </c>
      <c r="V172" s="331">
        <v>2666474.5099999998</v>
      </c>
      <c r="W172" s="331"/>
      <c r="X172" s="315" t="s">
        <v>1243</v>
      </c>
      <c r="Y172" s="315" t="s">
        <v>1043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1253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1254</v>
      </c>
      <c r="T174" s="331" t="s">
        <v>1255</v>
      </c>
      <c r="U174" s="331">
        <v>546460.37</v>
      </c>
      <c r="V174" s="331">
        <v>2666322.91</v>
      </c>
      <c r="W174" s="331"/>
      <c r="X174" s="315" t="s">
        <v>1243</v>
      </c>
      <c r="Y174" s="315" t="s">
        <v>1043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1256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1257</v>
      </c>
      <c r="T176" s="331" t="s">
        <v>1258</v>
      </c>
      <c r="U176" s="331">
        <v>546835.05000000005</v>
      </c>
      <c r="V176" s="331">
        <v>2666182.87</v>
      </c>
      <c r="W176" s="331"/>
      <c r="X176" s="315" t="s">
        <v>1243</v>
      </c>
      <c r="Y176" s="315" t="s">
        <v>1043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1259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1260</v>
      </c>
      <c r="T178" s="331" t="s">
        <v>1261</v>
      </c>
      <c r="U178" s="331">
        <v>547205.99</v>
      </c>
      <c r="V178" s="331">
        <v>2666044.23</v>
      </c>
      <c r="W178" s="331"/>
      <c r="X178" s="315" t="s">
        <v>1243</v>
      </c>
      <c r="Y178" s="315" t="s">
        <v>1043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1262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1263</v>
      </c>
      <c r="T180" s="331" t="s">
        <v>1264</v>
      </c>
      <c r="U180" s="331">
        <v>547599.4</v>
      </c>
      <c r="V180" s="331">
        <v>2665897.1800000002</v>
      </c>
      <c r="W180" s="331"/>
      <c r="X180" s="315" t="s">
        <v>1265</v>
      </c>
      <c r="Y180" s="315" t="s">
        <v>1043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1266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1267</v>
      </c>
      <c r="T182" s="331" t="s">
        <v>1268</v>
      </c>
      <c r="U182" s="331">
        <v>547931</v>
      </c>
      <c r="V182" s="331">
        <v>2665773.25</v>
      </c>
      <c r="W182" s="331"/>
      <c r="X182" s="315" t="s">
        <v>1265</v>
      </c>
      <c r="Y182" s="315" t="s">
        <v>1043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1269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1270</v>
      </c>
      <c r="T184" s="331" t="s">
        <v>1271</v>
      </c>
      <c r="U184" s="331">
        <v>548256.97</v>
      </c>
      <c r="V184" s="331">
        <v>2665651.41</v>
      </c>
      <c r="W184" s="331"/>
      <c r="X184" s="315" t="s">
        <v>1265</v>
      </c>
      <c r="Y184" s="315" t="s">
        <v>1043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1266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1272</v>
      </c>
      <c r="T186" s="331" t="s">
        <v>1273</v>
      </c>
      <c r="U186" s="331">
        <v>548555.78</v>
      </c>
      <c r="V186" s="331">
        <v>2665539.7200000002</v>
      </c>
      <c r="W186" s="331"/>
      <c r="X186" s="315" t="s">
        <v>1265</v>
      </c>
      <c r="Y186" s="315" t="s">
        <v>1043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1274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1275</v>
      </c>
      <c r="T188" s="331" t="s">
        <v>1276</v>
      </c>
      <c r="U188" s="331">
        <v>548910.80000000005</v>
      </c>
      <c r="V188" s="331">
        <v>2665407.0299999998</v>
      </c>
      <c r="W188" s="331"/>
      <c r="X188" s="315" t="s">
        <v>1265</v>
      </c>
      <c r="Y188" s="315" t="s">
        <v>1043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1277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1278</v>
      </c>
      <c r="T190" s="331" t="s">
        <v>1279</v>
      </c>
      <c r="U190" s="331">
        <v>549311.71</v>
      </c>
      <c r="V190" s="331">
        <v>2665257.19</v>
      </c>
      <c r="W190" s="331"/>
      <c r="X190" s="315" t="s">
        <v>1265</v>
      </c>
      <c r="Y190" s="315" t="s">
        <v>1043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1280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1281</v>
      </c>
      <c r="C192" s="331" t="s">
        <v>112</v>
      </c>
      <c r="D192" s="331" t="s">
        <v>113</v>
      </c>
      <c r="E192" s="331" t="s">
        <v>1282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1283</v>
      </c>
      <c r="T192" s="331" t="s">
        <v>1284</v>
      </c>
      <c r="U192" s="331">
        <v>549683.4</v>
      </c>
      <c r="V192" s="331">
        <v>2665118.2599999998</v>
      </c>
      <c r="W192" s="331"/>
      <c r="X192" s="315" t="s">
        <v>1285</v>
      </c>
      <c r="Y192" s="315" t="s">
        <v>1043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2067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1286</v>
      </c>
      <c r="C194" s="331" t="s">
        <v>114</v>
      </c>
      <c r="D194" s="331" t="s">
        <v>115</v>
      </c>
      <c r="E194" s="331" t="s">
        <v>1287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1288</v>
      </c>
      <c r="T194" s="331" t="s">
        <v>1289</v>
      </c>
      <c r="U194" s="331">
        <v>549890.06999999995</v>
      </c>
      <c r="V194" s="331">
        <v>2664983.1120000002</v>
      </c>
      <c r="W194" s="331"/>
      <c r="X194" s="315" t="s">
        <v>1285</v>
      </c>
      <c r="Y194" s="315" t="s">
        <v>1043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1025</v>
      </c>
      <c r="C196" s="331" t="s">
        <v>116</v>
      </c>
      <c r="D196" s="331" t="s">
        <v>16</v>
      </c>
      <c r="E196" s="331" t="s">
        <v>1025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1290</v>
      </c>
      <c r="T196" s="331" t="s">
        <v>1291</v>
      </c>
      <c r="U196" s="331">
        <v>550312.69499999995</v>
      </c>
      <c r="V196" s="331">
        <v>2665000.909</v>
      </c>
      <c r="W196" s="331"/>
      <c r="X196" s="315" t="s">
        <v>1285</v>
      </c>
      <c r="Y196" s="315" t="s">
        <v>1043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1292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1293</v>
      </c>
      <c r="C198" s="331" t="s">
        <v>117</v>
      </c>
      <c r="D198" s="331" t="s">
        <v>118</v>
      </c>
      <c r="E198" s="331" t="s">
        <v>1294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1295</v>
      </c>
      <c r="T198" s="331" t="s">
        <v>1296</v>
      </c>
      <c r="U198" s="331">
        <v>550707.29299999995</v>
      </c>
      <c r="V198" s="331">
        <v>2665017.5249999999</v>
      </c>
      <c r="W198" s="331" t="s">
        <v>2068</v>
      </c>
      <c r="X198" s="315" t="s">
        <v>1285</v>
      </c>
      <c r="Y198" s="315" t="s">
        <v>1043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2069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1297</v>
      </c>
      <c r="C200" s="331" t="s">
        <v>119</v>
      </c>
      <c r="D200" s="331" t="s">
        <v>120</v>
      </c>
      <c r="E200" s="331" t="s">
        <v>1298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1299</v>
      </c>
      <c r="T200" s="331" t="s">
        <v>1300</v>
      </c>
      <c r="U200" s="331">
        <v>551091.52</v>
      </c>
      <c r="V200" s="331">
        <v>2665336.02</v>
      </c>
      <c r="W200" s="341" t="s">
        <v>1236</v>
      </c>
      <c r="X200" s="315" t="s">
        <v>1301</v>
      </c>
      <c r="Y200" s="315" t="s">
        <v>1302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1303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1025</v>
      </c>
      <c r="C202" s="331" t="s">
        <v>121</v>
      </c>
      <c r="D202" s="331" t="s">
        <v>23</v>
      </c>
      <c r="E202" s="331" t="s">
        <v>1025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1304</v>
      </c>
      <c r="T202" s="331" t="s">
        <v>1305</v>
      </c>
      <c r="U202" s="331">
        <v>551459.57999999996</v>
      </c>
      <c r="V202" s="331">
        <v>2665254.4300000002</v>
      </c>
      <c r="W202" s="331"/>
      <c r="X202" s="315" t="s">
        <v>1301</v>
      </c>
      <c r="Y202" s="315" t="s">
        <v>1302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1306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1025</v>
      </c>
      <c r="C204" s="331" t="s">
        <v>122</v>
      </c>
      <c r="D204" s="331" t="s">
        <v>23</v>
      </c>
      <c r="E204" s="331" t="s">
        <v>1025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1307</v>
      </c>
      <c r="T204" s="331" t="s">
        <v>1308</v>
      </c>
      <c r="U204" s="331">
        <v>551892.07999999996</v>
      </c>
      <c r="V204" s="331">
        <v>2665158.56</v>
      </c>
      <c r="W204" s="331"/>
      <c r="X204" s="315" t="s">
        <v>1301</v>
      </c>
      <c r="Y204" s="315" t="s">
        <v>1302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1309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1310</v>
      </c>
      <c r="C206" s="331" t="s">
        <v>123</v>
      </c>
      <c r="D206" s="331" t="s">
        <v>40</v>
      </c>
      <c r="E206" s="331" t="s">
        <v>1311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1312</v>
      </c>
      <c r="T206" s="331" t="s">
        <v>1313</v>
      </c>
      <c r="U206" s="331">
        <v>552227.86399999994</v>
      </c>
      <c r="V206" s="331">
        <v>2665084.1209999998</v>
      </c>
      <c r="W206" s="331"/>
      <c r="X206" s="315" t="s">
        <v>1301</v>
      </c>
      <c r="Y206" s="315" t="s">
        <v>1302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1314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1025</v>
      </c>
      <c r="C208" s="331" t="s">
        <v>124</v>
      </c>
      <c r="D208" s="331" t="s">
        <v>23</v>
      </c>
      <c r="E208" s="331" t="s">
        <v>1025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1315</v>
      </c>
      <c r="T208" s="331" t="s">
        <v>1316</v>
      </c>
      <c r="U208" s="331">
        <v>552537.73</v>
      </c>
      <c r="V208" s="331">
        <v>2664847.3020000001</v>
      </c>
      <c r="W208" s="331"/>
      <c r="X208" s="315" t="s">
        <v>1317</v>
      </c>
      <c r="Y208" s="315" t="s">
        <v>1302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1037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1025</v>
      </c>
      <c r="C210" s="331" t="s">
        <v>125</v>
      </c>
      <c r="D210" s="331" t="s">
        <v>31</v>
      </c>
      <c r="E210" s="331" t="s">
        <v>1025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1318</v>
      </c>
      <c r="T210" s="331" t="s">
        <v>1319</v>
      </c>
      <c r="U210" s="331">
        <v>552817.40399999998</v>
      </c>
      <c r="V210" s="331">
        <v>2664633.5580000002</v>
      </c>
      <c r="W210" s="331"/>
      <c r="X210" s="315" t="s">
        <v>1317</v>
      </c>
      <c r="Y210" s="315" t="s">
        <v>1302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1266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1025</v>
      </c>
      <c r="C212" s="323" t="s">
        <v>126</v>
      </c>
      <c r="D212" s="323" t="s">
        <v>31</v>
      </c>
      <c r="E212" s="323" t="s">
        <v>1025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1320</v>
      </c>
      <c r="T212" s="323" t="s">
        <v>1321</v>
      </c>
      <c r="U212" s="323">
        <v>553155.87300000002</v>
      </c>
      <c r="V212" s="323">
        <v>2664374.8790000002</v>
      </c>
      <c r="W212" s="323"/>
      <c r="X212" s="315" t="s">
        <v>1317</v>
      </c>
      <c r="Y212" s="315" t="s">
        <v>1302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1037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1025</v>
      </c>
      <c r="C214" s="323" t="s">
        <v>127</v>
      </c>
      <c r="D214" s="323" t="s">
        <v>33</v>
      </c>
      <c r="E214" s="323" t="s">
        <v>1025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1322</v>
      </c>
      <c r="T214" s="323" t="s">
        <v>1323</v>
      </c>
      <c r="U214" s="323">
        <v>553468.91700000002</v>
      </c>
      <c r="V214" s="323">
        <v>2664135.6320000002</v>
      </c>
      <c r="W214" s="323"/>
      <c r="X214" s="315" t="s">
        <v>1317</v>
      </c>
      <c r="Y214" s="315" t="s">
        <v>1302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1037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1324</v>
      </c>
      <c r="C216" s="323" t="s">
        <v>128</v>
      </c>
      <c r="D216" s="323" t="s">
        <v>115</v>
      </c>
      <c r="E216" s="323" t="s">
        <v>1325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1326</v>
      </c>
      <c r="T216" s="323" t="s">
        <v>1327</v>
      </c>
      <c r="U216" s="323">
        <v>553792.88300000003</v>
      </c>
      <c r="V216" s="323">
        <v>2663888.037</v>
      </c>
      <c r="W216" s="353" t="s">
        <v>1236</v>
      </c>
      <c r="X216" s="315" t="s">
        <v>1317</v>
      </c>
      <c r="Y216" s="315" t="s">
        <v>1302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1277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1025</v>
      </c>
      <c r="C218" s="323" t="s">
        <v>129</v>
      </c>
      <c r="D218" s="323" t="s">
        <v>16</v>
      </c>
      <c r="E218" s="323" t="s">
        <v>1025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1328</v>
      </c>
      <c r="T218" s="323" t="s">
        <v>1329</v>
      </c>
      <c r="U218" s="323">
        <v>554165.63399999996</v>
      </c>
      <c r="V218" s="323">
        <v>2663874.4070000001</v>
      </c>
      <c r="W218" s="323"/>
      <c r="X218" s="315" t="s">
        <v>1317</v>
      </c>
      <c r="Y218" s="315" t="s">
        <v>1302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1330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1331</v>
      </c>
      <c r="C220" s="323" t="s">
        <v>130</v>
      </c>
      <c r="D220" s="323" t="s">
        <v>12</v>
      </c>
      <c r="E220" s="323" t="s">
        <v>1332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1333</v>
      </c>
      <c r="T220" s="323" t="s">
        <v>1334</v>
      </c>
      <c r="U220" s="323">
        <v>554573.39300000004</v>
      </c>
      <c r="V220" s="323">
        <v>2663859.497</v>
      </c>
      <c r="W220" s="323"/>
      <c r="X220" s="315" t="s">
        <v>1317</v>
      </c>
      <c r="Y220" s="315" t="s">
        <v>1302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1335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1025</v>
      </c>
      <c r="C222" s="331" t="s">
        <v>131</v>
      </c>
      <c r="D222" s="331" t="s">
        <v>33</v>
      </c>
      <c r="E222" s="331" t="s">
        <v>1025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1336</v>
      </c>
      <c r="T222" s="331" t="s">
        <v>1337</v>
      </c>
      <c r="U222" s="331">
        <v>554855.75</v>
      </c>
      <c r="V222" s="331">
        <v>2663606.682</v>
      </c>
      <c r="W222" s="331"/>
      <c r="X222" s="315" t="s">
        <v>1317</v>
      </c>
      <c r="Y222" s="315" t="s">
        <v>1302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1338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1339</v>
      </c>
      <c r="C224" s="331" t="s">
        <v>132</v>
      </c>
      <c r="D224" s="331" t="s">
        <v>133</v>
      </c>
      <c r="E224" s="331" t="s">
        <v>1340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1341</v>
      </c>
      <c r="T224" s="331" t="s">
        <v>1342</v>
      </c>
      <c r="U224" s="331">
        <v>555157.95799999998</v>
      </c>
      <c r="V224" s="331">
        <v>2663336.0920000002</v>
      </c>
      <c r="W224" s="341" t="s">
        <v>1236</v>
      </c>
      <c r="X224" s="315" t="s">
        <v>1317</v>
      </c>
      <c r="Y224" s="315" t="s">
        <v>1302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1343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1025</v>
      </c>
      <c r="C226" s="331" t="s">
        <v>134</v>
      </c>
      <c r="D226" s="331" t="s">
        <v>31</v>
      </c>
      <c r="E226" s="331" t="s">
        <v>1025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1344</v>
      </c>
      <c r="T226" s="331" t="s">
        <v>1345</v>
      </c>
      <c r="U226" s="331">
        <v>555522.41099999996</v>
      </c>
      <c r="V226" s="331">
        <v>2663211.9980000001</v>
      </c>
      <c r="W226" s="331"/>
      <c r="X226" s="315" t="s">
        <v>1317</v>
      </c>
      <c r="Y226" s="315" t="s">
        <v>1302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1346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1025</v>
      </c>
      <c r="C228" s="331" t="s">
        <v>135</v>
      </c>
      <c r="D228" s="331" t="s">
        <v>31</v>
      </c>
      <c r="E228" s="331" t="s">
        <v>1025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1347</v>
      </c>
      <c r="T228" s="331" t="s">
        <v>1348</v>
      </c>
      <c r="U228" s="331">
        <v>555901.06299999997</v>
      </c>
      <c r="V228" s="331">
        <v>2663083.0690000001</v>
      </c>
      <c r="W228" s="331"/>
      <c r="X228" s="315" t="s">
        <v>1317</v>
      </c>
      <c r="Y228" s="315" t="s">
        <v>1302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1349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1025</v>
      </c>
      <c r="C230" s="331" t="s">
        <v>136</v>
      </c>
      <c r="D230" s="331" t="s">
        <v>16</v>
      </c>
      <c r="E230" s="331" t="s">
        <v>1025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1350</v>
      </c>
      <c r="T230" s="331" t="s">
        <v>1351</v>
      </c>
      <c r="U230" s="331">
        <v>556316.63300000003</v>
      </c>
      <c r="V230" s="331">
        <v>2662941.5690000001</v>
      </c>
      <c r="W230" s="331"/>
      <c r="X230" s="315" t="s">
        <v>1317</v>
      </c>
      <c r="Y230" s="315" t="s">
        <v>1302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1352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1025</v>
      </c>
      <c r="C232" s="331" t="s">
        <v>137</v>
      </c>
      <c r="D232" s="331" t="s">
        <v>23</v>
      </c>
      <c r="E232" s="331" t="s">
        <v>1025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1353</v>
      </c>
      <c r="T232" s="331" t="s">
        <v>1354</v>
      </c>
      <c r="U232" s="331">
        <v>556695.28500000003</v>
      </c>
      <c r="V232" s="331">
        <v>2662812.64</v>
      </c>
      <c r="W232" s="331"/>
      <c r="X232" s="315" t="s">
        <v>1317</v>
      </c>
      <c r="Y232" s="315" t="s">
        <v>1302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2070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1025</v>
      </c>
      <c r="C234" s="331" t="s">
        <v>138</v>
      </c>
      <c r="D234" s="331" t="s">
        <v>23</v>
      </c>
      <c r="E234" s="331" t="s">
        <v>1025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1355</v>
      </c>
      <c r="T234" s="331" t="s">
        <v>1356</v>
      </c>
      <c r="U234" s="331">
        <v>556970.75399999996</v>
      </c>
      <c r="V234" s="331">
        <v>2662718.844</v>
      </c>
      <c r="W234" s="331"/>
      <c r="X234" s="315" t="s">
        <v>1317</v>
      </c>
      <c r="Y234" s="315" t="s">
        <v>1302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1357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1025</v>
      </c>
      <c r="C236" s="331" t="s">
        <v>139</v>
      </c>
      <c r="D236" s="331" t="s">
        <v>33</v>
      </c>
      <c r="E236" s="331" t="s">
        <v>1025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1358</v>
      </c>
      <c r="T236" s="331" t="s">
        <v>1359</v>
      </c>
      <c r="U236" s="331">
        <v>557339.93999999994</v>
      </c>
      <c r="V236" s="331">
        <v>2662593.1379999998</v>
      </c>
      <c r="W236" s="331"/>
      <c r="X236" s="315" t="s">
        <v>1317</v>
      </c>
      <c r="Y236" s="315" t="s">
        <v>1302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1360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1025</v>
      </c>
      <c r="C238" s="331" t="s">
        <v>140</v>
      </c>
      <c r="D238" s="331" t="s">
        <v>31</v>
      </c>
      <c r="E238" s="331" t="s">
        <v>1025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1361</v>
      </c>
      <c r="T238" s="331" t="s">
        <v>1362</v>
      </c>
      <c r="U238" s="331">
        <v>557721.43200000003</v>
      </c>
      <c r="V238" s="331">
        <v>2662463.2420000001</v>
      </c>
      <c r="W238" s="331"/>
      <c r="X238" s="315" t="s">
        <v>1317</v>
      </c>
      <c r="Y238" s="315" t="s">
        <v>1302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1363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1025</v>
      </c>
      <c r="C240" s="331" t="s">
        <v>141</v>
      </c>
      <c r="D240" s="331" t="s">
        <v>16</v>
      </c>
      <c r="E240" s="331" t="s">
        <v>1025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1364</v>
      </c>
      <c r="T240" s="331" t="s">
        <v>1365</v>
      </c>
      <c r="U240" s="331">
        <v>558120.91</v>
      </c>
      <c r="V240" s="331">
        <v>2662327.2220000001</v>
      </c>
      <c r="W240" s="331"/>
      <c r="X240" s="315" t="s">
        <v>1366</v>
      </c>
      <c r="Y240" s="315" t="s">
        <v>1302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1367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1025</v>
      </c>
      <c r="C242" s="331" t="s">
        <v>142</v>
      </c>
      <c r="D242" s="331" t="s">
        <v>14</v>
      </c>
      <c r="E242" s="331" t="s">
        <v>1025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1368</v>
      </c>
      <c r="T242" s="331" t="s">
        <v>1369</v>
      </c>
      <c r="U242" s="331">
        <v>558489.14899999998</v>
      </c>
      <c r="V242" s="331">
        <v>2662201.8390000002</v>
      </c>
      <c r="W242" s="331"/>
      <c r="X242" s="315" t="s">
        <v>1366</v>
      </c>
      <c r="Y242" s="315" t="s">
        <v>1302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1370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1025</v>
      </c>
      <c r="C244" s="331" t="s">
        <v>143</v>
      </c>
      <c r="D244" s="331" t="s">
        <v>35</v>
      </c>
      <c r="E244" s="331" t="s">
        <v>1025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1371</v>
      </c>
      <c r="T244" s="331" t="s">
        <v>1372</v>
      </c>
      <c r="U244" s="331">
        <v>558901.87899999996</v>
      </c>
      <c r="V244" s="331">
        <v>2662061.3059999999</v>
      </c>
      <c r="W244" s="331"/>
      <c r="X244" s="315" t="s">
        <v>1366</v>
      </c>
      <c r="Y244" s="315" t="s">
        <v>1302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1373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1025</v>
      </c>
      <c r="C246" s="331" t="s">
        <v>144</v>
      </c>
      <c r="D246" s="331" t="s">
        <v>31</v>
      </c>
      <c r="E246" s="331" t="s">
        <v>1025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1374</v>
      </c>
      <c r="T246" s="331" t="s">
        <v>1375</v>
      </c>
      <c r="U246" s="331">
        <v>559261.59900000005</v>
      </c>
      <c r="V246" s="331">
        <v>2661938.8229999999</v>
      </c>
      <c r="W246" s="331"/>
      <c r="X246" s="315" t="s">
        <v>1366</v>
      </c>
      <c r="Y246" s="315" t="s">
        <v>1302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1376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1377</v>
      </c>
      <c r="C248" s="331" t="s">
        <v>145</v>
      </c>
      <c r="D248" s="331" t="s">
        <v>146</v>
      </c>
      <c r="E248" s="331" t="s">
        <v>1378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1379</v>
      </c>
      <c r="T248" s="331" t="s">
        <v>1380</v>
      </c>
      <c r="U248" s="331">
        <v>559683.14800000004</v>
      </c>
      <c r="V248" s="331">
        <v>2661795.2880000002</v>
      </c>
      <c r="W248" s="331"/>
      <c r="X248" s="315" t="s">
        <v>1366</v>
      </c>
      <c r="Y248" s="315" t="s">
        <v>1302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1381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1382</v>
      </c>
      <c r="C250" s="331" t="s">
        <v>147</v>
      </c>
      <c r="D250" s="331" t="s">
        <v>148</v>
      </c>
      <c r="E250" s="331" t="s">
        <v>1383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1384</v>
      </c>
      <c r="T250" s="331" t="s">
        <v>1385</v>
      </c>
      <c r="U250" s="331">
        <v>559871.04500000004</v>
      </c>
      <c r="V250" s="331">
        <v>2661681.2519999999</v>
      </c>
      <c r="W250" s="331"/>
      <c r="X250" s="315" t="s">
        <v>1366</v>
      </c>
      <c r="Y250" s="315" t="s">
        <v>1302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1386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1025</v>
      </c>
      <c r="C252" s="331" t="s">
        <v>149</v>
      </c>
      <c r="D252" s="331" t="s">
        <v>35</v>
      </c>
      <c r="E252" s="331" t="s">
        <v>1025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1387</v>
      </c>
      <c r="T252" s="331" t="s">
        <v>1388</v>
      </c>
      <c r="U252" s="331">
        <v>560297.29799999995</v>
      </c>
      <c r="V252" s="331">
        <v>2661594.4559999998</v>
      </c>
      <c r="W252" s="331"/>
      <c r="X252" s="315" t="s">
        <v>1389</v>
      </c>
      <c r="Y252" s="315" t="s">
        <v>1302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1390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1025</v>
      </c>
      <c r="C254" s="331" t="s">
        <v>150</v>
      </c>
      <c r="D254" s="331" t="s">
        <v>16</v>
      </c>
      <c r="E254" s="331" t="s">
        <v>1025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1391</v>
      </c>
      <c r="T254" s="331" t="s">
        <v>1392</v>
      </c>
      <c r="U254" s="331">
        <v>560694.15399999998</v>
      </c>
      <c r="V254" s="331">
        <v>2661513.645</v>
      </c>
      <c r="W254" s="331"/>
      <c r="X254" s="315" t="s">
        <v>1389</v>
      </c>
      <c r="Y254" s="315" t="s">
        <v>1302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1393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1025</v>
      </c>
      <c r="C256" s="331" t="s">
        <v>151</v>
      </c>
      <c r="D256" s="331" t="s">
        <v>16</v>
      </c>
      <c r="E256" s="331" t="s">
        <v>1025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1394</v>
      </c>
      <c r="T256" s="331" t="s">
        <v>1395</v>
      </c>
      <c r="U256" s="331">
        <v>561119.42700000003</v>
      </c>
      <c r="V256" s="331">
        <v>2661427.0490000001</v>
      </c>
      <c r="W256" s="331"/>
      <c r="X256" s="315" t="s">
        <v>1389</v>
      </c>
      <c r="Y256" s="315" t="s">
        <v>1302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1396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1025</v>
      </c>
      <c r="C258" s="331" t="s">
        <v>152</v>
      </c>
      <c r="D258" s="331" t="s">
        <v>23</v>
      </c>
      <c r="E258" s="331" t="s">
        <v>1025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1397</v>
      </c>
      <c r="T258" s="331" t="s">
        <v>1398</v>
      </c>
      <c r="U258" s="331">
        <v>561491.78500000003</v>
      </c>
      <c r="V258" s="331">
        <v>2661351.227</v>
      </c>
      <c r="W258" s="331"/>
      <c r="X258" s="315" t="s">
        <v>1389</v>
      </c>
      <c r="Y258" s="315" t="s">
        <v>1302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1399</v>
      </c>
      <c r="C260" s="331" t="s">
        <v>153</v>
      </c>
      <c r="D260" s="331" t="s">
        <v>154</v>
      </c>
      <c r="E260" s="331" t="s">
        <v>1400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1401</v>
      </c>
      <c r="T260" s="331" t="s">
        <v>1402</v>
      </c>
      <c r="U260" s="331">
        <v>561863.01699999999</v>
      </c>
      <c r="V260" s="331">
        <v>2661275.6340000001</v>
      </c>
      <c r="W260" s="331"/>
      <c r="X260" s="315" t="s">
        <v>1403</v>
      </c>
      <c r="Y260" s="315" t="s">
        <v>1302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1404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1025</v>
      </c>
      <c r="C262" s="331" t="s">
        <v>155</v>
      </c>
      <c r="D262" s="331" t="s">
        <v>156</v>
      </c>
      <c r="E262" s="331" t="s">
        <v>1025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2071</v>
      </c>
      <c r="T262" s="331" t="s">
        <v>2072</v>
      </c>
      <c r="U262" s="331">
        <v>562296.78399999999</v>
      </c>
      <c r="V262" s="331">
        <v>2661074.8130000001</v>
      </c>
      <c r="W262" s="331"/>
      <c r="X262" s="315" t="s">
        <v>1403</v>
      </c>
      <c r="Y262" s="315" t="s">
        <v>1302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1405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1025</v>
      </c>
      <c r="C264" s="331" t="s">
        <v>157</v>
      </c>
      <c r="D264" s="331" t="s">
        <v>31</v>
      </c>
      <c r="E264" s="331" t="s">
        <v>1025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1406</v>
      </c>
      <c r="T264" s="331" t="s">
        <v>1407</v>
      </c>
      <c r="U264" s="331">
        <v>562717.84900000005</v>
      </c>
      <c r="V264" s="331">
        <v>2660879.8739999998</v>
      </c>
      <c r="W264" s="331"/>
      <c r="X264" s="315" t="s">
        <v>1403</v>
      </c>
      <c r="Y264" s="315" t="s">
        <v>1302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1408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1025</v>
      </c>
      <c r="C266" s="331" t="s">
        <v>158</v>
      </c>
      <c r="D266" s="331" t="s">
        <v>35</v>
      </c>
      <c r="E266" s="331" t="s">
        <v>1025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1409</v>
      </c>
      <c r="T266" s="331" t="s">
        <v>1410</v>
      </c>
      <c r="U266" s="331">
        <v>563059.05599999998</v>
      </c>
      <c r="V266" s="331">
        <v>2660721.906</v>
      </c>
      <c r="W266" s="331"/>
      <c r="X266" s="315" t="s">
        <v>1403</v>
      </c>
      <c r="Y266" s="315" t="s">
        <v>1302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1411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1025</v>
      </c>
      <c r="C268" s="331" t="s">
        <v>159</v>
      </c>
      <c r="D268" s="331" t="s">
        <v>23</v>
      </c>
      <c r="E268" s="331" t="s">
        <v>1025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1412</v>
      </c>
      <c r="T268" s="331" t="s">
        <v>1413</v>
      </c>
      <c r="U268" s="331">
        <v>563403.89300000004</v>
      </c>
      <c r="V268" s="331">
        <v>2660562.2570000002</v>
      </c>
      <c r="W268" s="331"/>
      <c r="X268" s="315" t="s">
        <v>1403</v>
      </c>
      <c r="Y268" s="315" t="s">
        <v>1302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1414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1025</v>
      </c>
      <c r="C270" s="331" t="s">
        <v>160</v>
      </c>
      <c r="D270" s="331" t="s">
        <v>14</v>
      </c>
      <c r="E270" s="331" t="s">
        <v>1025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1415</v>
      </c>
      <c r="T270" s="331" t="s">
        <v>1416</v>
      </c>
      <c r="U270" s="331">
        <v>563723.31999999995</v>
      </c>
      <c r="V270" s="331">
        <v>2660414.37</v>
      </c>
      <c r="W270" s="331"/>
      <c r="X270" s="315" t="s">
        <v>1403</v>
      </c>
      <c r="Y270" s="315" t="s">
        <v>1302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1417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1418</v>
      </c>
      <c r="C272" s="332" t="s">
        <v>161</v>
      </c>
      <c r="D272" s="332" t="s">
        <v>162</v>
      </c>
      <c r="E272" s="332" t="s">
        <v>1419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1420</v>
      </c>
      <c r="T272" s="332" t="s">
        <v>1421</v>
      </c>
      <c r="U272" s="358">
        <v>564050.78099999996</v>
      </c>
      <c r="V272" s="358">
        <v>2660262.7680000002</v>
      </c>
      <c r="W272" s="361"/>
      <c r="X272" s="315" t="s">
        <v>1403</v>
      </c>
      <c r="Y272" s="315" t="s">
        <v>1302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1422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1423</v>
      </c>
      <c r="C274" s="332" t="s">
        <v>163</v>
      </c>
      <c r="D274" s="332" t="s">
        <v>164</v>
      </c>
      <c r="E274" s="332" t="s">
        <v>1424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1425</v>
      </c>
      <c r="T274" s="332" t="s">
        <v>1426</v>
      </c>
      <c r="U274" s="358">
        <v>564150.63199999998</v>
      </c>
      <c r="V274" s="358">
        <v>2660031.4900000002</v>
      </c>
      <c r="W274" s="361"/>
      <c r="X274" s="315" t="s">
        <v>1403</v>
      </c>
      <c r="Y274" s="315" t="s">
        <v>1302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1427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1025</v>
      </c>
      <c r="C276" s="332" t="s">
        <v>165</v>
      </c>
      <c r="D276" s="332" t="s">
        <v>35</v>
      </c>
      <c r="E276" s="332" t="s">
        <v>1025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1428</v>
      </c>
      <c r="T276" s="332" t="s">
        <v>1429</v>
      </c>
      <c r="U276" s="358">
        <v>564484.75600000005</v>
      </c>
      <c r="V276" s="358">
        <v>2659822.69</v>
      </c>
      <c r="W276" s="361"/>
      <c r="X276" s="315" t="s">
        <v>1403</v>
      </c>
      <c r="Y276" s="315" t="s">
        <v>1302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1430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1025</v>
      </c>
      <c r="C278" s="332" t="s">
        <v>166</v>
      </c>
      <c r="D278" s="332" t="s">
        <v>35</v>
      </c>
      <c r="E278" s="332" t="s">
        <v>1025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1431</v>
      </c>
      <c r="T278" s="332" t="s">
        <v>1432</v>
      </c>
      <c r="U278" s="358">
        <v>564814.63899999997</v>
      </c>
      <c r="V278" s="358">
        <v>2659616.54</v>
      </c>
      <c r="W278" s="361"/>
      <c r="X278" s="315" t="s">
        <v>1433</v>
      </c>
      <c r="Y278" s="315" t="s">
        <v>1302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1434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1435</v>
      </c>
      <c r="C280" s="332" t="s">
        <v>167</v>
      </c>
      <c r="D280" s="332" t="s">
        <v>18</v>
      </c>
      <c r="E280" s="332" t="s">
        <v>1436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1437</v>
      </c>
      <c r="T280" s="332" t="s">
        <v>1438</v>
      </c>
      <c r="U280" s="358">
        <v>565152.81299999997</v>
      </c>
      <c r="V280" s="358">
        <v>2659405.21</v>
      </c>
      <c r="W280" s="361"/>
      <c r="X280" s="315" t="s">
        <v>1433</v>
      </c>
      <c r="Y280" s="315" t="s">
        <v>1302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1439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1025</v>
      </c>
      <c r="C282" s="332" t="s">
        <v>168</v>
      </c>
      <c r="D282" s="332" t="s">
        <v>35</v>
      </c>
      <c r="E282" s="332" t="s">
        <v>1025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1440</v>
      </c>
      <c r="T282" s="332" t="s">
        <v>1441</v>
      </c>
      <c r="U282" s="358">
        <v>565418.73899999994</v>
      </c>
      <c r="V282" s="358">
        <v>2659117.2050000001</v>
      </c>
      <c r="W282" s="361"/>
      <c r="X282" s="315" t="s">
        <v>1433</v>
      </c>
      <c r="Y282" s="315" t="s">
        <v>1302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1442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1025</v>
      </c>
      <c r="C284" s="332" t="s">
        <v>169</v>
      </c>
      <c r="D284" s="332" t="s">
        <v>31</v>
      </c>
      <c r="E284" s="315" t="s">
        <v>1025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2073</v>
      </c>
      <c r="T284" s="332" t="s">
        <v>2074</v>
      </c>
      <c r="U284" s="332">
        <v>565664.99399999995</v>
      </c>
      <c r="V284" s="332">
        <v>2658850.5040000002</v>
      </c>
      <c r="W284" s="361"/>
      <c r="X284" s="315" t="s">
        <v>1433</v>
      </c>
      <c r="Y284" s="315" t="s">
        <v>1302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1443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1444</v>
      </c>
      <c r="C286" s="332" t="s">
        <v>170</v>
      </c>
      <c r="D286" s="332" t="s">
        <v>9</v>
      </c>
      <c r="E286" s="332" t="s">
        <v>1445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1446</v>
      </c>
      <c r="T286" s="332" t="s">
        <v>1447</v>
      </c>
      <c r="U286" s="358">
        <v>565921.93500000006</v>
      </c>
      <c r="V286" s="358">
        <v>2658572.2310000001</v>
      </c>
      <c r="W286" s="361"/>
      <c r="X286" s="315" t="s">
        <v>1433</v>
      </c>
      <c r="Y286" s="315" t="s">
        <v>1302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1448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1449</v>
      </c>
      <c r="C288" s="332" t="s">
        <v>171</v>
      </c>
      <c r="D288" s="332" t="s">
        <v>172</v>
      </c>
      <c r="E288" s="332" t="s">
        <v>1450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1451</v>
      </c>
      <c r="T288" s="332" t="s">
        <v>1452</v>
      </c>
      <c r="U288" s="358">
        <v>566147.57999999996</v>
      </c>
      <c r="V288" s="358">
        <v>2658558.659</v>
      </c>
      <c r="W288" s="361"/>
      <c r="X288" s="315" t="s">
        <v>1433</v>
      </c>
      <c r="Y288" s="315" t="s">
        <v>1302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1453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1025</v>
      </c>
      <c r="C290" s="332" t="s">
        <v>173</v>
      </c>
      <c r="D290" s="332" t="s">
        <v>156</v>
      </c>
      <c r="E290" s="332" t="s">
        <v>1025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1454</v>
      </c>
      <c r="T290" s="332" t="s">
        <v>1455</v>
      </c>
      <c r="U290" s="358">
        <v>566596.71</v>
      </c>
      <c r="V290" s="358">
        <v>2658341.213</v>
      </c>
      <c r="W290" s="361"/>
      <c r="X290" s="315" t="s">
        <v>1456</v>
      </c>
      <c r="Y290" s="315" t="s">
        <v>1302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1457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1025</v>
      </c>
      <c r="C292" s="332" t="s">
        <v>174</v>
      </c>
      <c r="D292" s="332" t="s">
        <v>35</v>
      </c>
      <c r="E292" s="332" t="s">
        <v>1025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1458</v>
      </c>
      <c r="T292" s="332" t="s">
        <v>1459</v>
      </c>
      <c r="U292" s="358">
        <v>566998.13800000004</v>
      </c>
      <c r="V292" s="358">
        <v>2658146.8629999999</v>
      </c>
      <c r="W292" s="361"/>
      <c r="X292" s="315" t="s">
        <v>1456</v>
      </c>
      <c r="Y292" s="315" t="s">
        <v>1302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1460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1025</v>
      </c>
      <c r="C294" s="332" t="s">
        <v>175</v>
      </c>
      <c r="D294" s="332" t="s">
        <v>35</v>
      </c>
      <c r="E294" s="332" t="s">
        <v>1025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1461</v>
      </c>
      <c r="T294" s="332" t="s">
        <v>1462</v>
      </c>
      <c r="U294" s="358">
        <v>567352.76199999999</v>
      </c>
      <c r="V294" s="358">
        <v>2657975.1719999998</v>
      </c>
      <c r="W294" s="361"/>
      <c r="X294" s="315" t="s">
        <v>1463</v>
      </c>
      <c r="Y294" s="315" t="s">
        <v>1302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1464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1025</v>
      </c>
      <c r="C296" s="332" t="s">
        <v>176</v>
      </c>
      <c r="D296" s="332" t="s">
        <v>31</v>
      </c>
      <c r="E296" s="332" t="s">
        <v>1025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1465</v>
      </c>
      <c r="T296" s="332" t="s">
        <v>1466</v>
      </c>
      <c r="U296" s="358">
        <v>567704.68599999999</v>
      </c>
      <c r="V296" s="358">
        <v>2657804.7889999999</v>
      </c>
      <c r="W296" s="361"/>
      <c r="X296" s="315" t="s">
        <v>1463</v>
      </c>
      <c r="Y296" s="315" t="s">
        <v>1302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1467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1025</v>
      </c>
      <c r="C298" s="332" t="s">
        <v>177</v>
      </c>
      <c r="D298" s="332" t="s">
        <v>35</v>
      </c>
      <c r="E298" s="332" t="s">
        <v>1025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1468</v>
      </c>
      <c r="T298" s="332" t="s">
        <v>1469</v>
      </c>
      <c r="U298" s="358">
        <v>568072.81099999999</v>
      </c>
      <c r="V298" s="358">
        <v>2657626.5619999999</v>
      </c>
      <c r="W298" s="361"/>
      <c r="X298" s="315" t="s">
        <v>1463</v>
      </c>
      <c r="Y298" s="315" t="s">
        <v>1302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1470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1025</v>
      </c>
      <c r="C300" s="332" t="s">
        <v>178</v>
      </c>
      <c r="D300" s="332" t="s">
        <v>31</v>
      </c>
      <c r="E300" s="332" t="s">
        <v>1025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1471</v>
      </c>
      <c r="T300" s="332" t="s">
        <v>1472</v>
      </c>
      <c r="U300" s="358">
        <v>568413.93400000001</v>
      </c>
      <c r="V300" s="358">
        <v>2657461.4070000001</v>
      </c>
      <c r="W300" s="361"/>
      <c r="X300" s="315" t="s">
        <v>1463</v>
      </c>
      <c r="Y300" s="315" t="s">
        <v>1302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1473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1025</v>
      </c>
      <c r="C302" s="332" t="s">
        <v>179</v>
      </c>
      <c r="D302" s="332" t="s">
        <v>14</v>
      </c>
      <c r="E302" s="332" t="s">
        <v>1025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1474</v>
      </c>
      <c r="T302" s="332" t="s">
        <v>1475</v>
      </c>
      <c r="U302" s="358">
        <v>568741.55700000003</v>
      </c>
      <c r="V302" s="358">
        <v>2657302.79</v>
      </c>
      <c r="W302" s="361"/>
      <c r="X302" s="315" t="s">
        <v>1463</v>
      </c>
      <c r="Y302" s="315" t="s">
        <v>1302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1476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1477</v>
      </c>
      <c r="C304" s="332" t="s">
        <v>180</v>
      </c>
      <c r="D304" s="332" t="s">
        <v>118</v>
      </c>
      <c r="E304" s="332" t="s">
        <v>1478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1479</v>
      </c>
      <c r="T304" s="332" t="s">
        <v>1480</v>
      </c>
      <c r="U304" s="358">
        <v>569143.62300000002</v>
      </c>
      <c r="V304" s="358">
        <v>2657108.13</v>
      </c>
      <c r="W304" s="361"/>
      <c r="X304" s="315" t="s">
        <v>1481</v>
      </c>
      <c r="Y304" s="315" t="s">
        <v>1302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1482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1483</v>
      </c>
      <c r="C306" s="332" t="s">
        <v>181</v>
      </c>
      <c r="D306" s="332" t="s">
        <v>182</v>
      </c>
      <c r="E306" s="332" t="s">
        <v>1484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1485</v>
      </c>
      <c r="T306" s="332" t="s">
        <v>1486</v>
      </c>
      <c r="U306" s="358">
        <v>569399.84600000002</v>
      </c>
      <c r="V306" s="358">
        <v>2657128.6910000001</v>
      </c>
      <c r="W306" s="361"/>
      <c r="X306" s="315" t="s">
        <v>1481</v>
      </c>
      <c r="Y306" s="315" t="s">
        <v>1302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1487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1025</v>
      </c>
      <c r="C308" s="332" t="s">
        <v>183</v>
      </c>
      <c r="D308" s="332" t="s">
        <v>33</v>
      </c>
      <c r="E308" s="332" t="s">
        <v>1025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1488</v>
      </c>
      <c r="T308" s="332" t="s">
        <v>1489</v>
      </c>
      <c r="U308" s="358">
        <v>569625.23499999999</v>
      </c>
      <c r="V308" s="358">
        <v>2657073.702</v>
      </c>
      <c r="W308" s="361"/>
      <c r="X308" s="315" t="s">
        <v>1481</v>
      </c>
      <c r="Y308" s="315" t="s">
        <v>1302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1490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1025</v>
      </c>
      <c r="C310" s="332" t="s">
        <v>184</v>
      </c>
      <c r="D310" s="332" t="s">
        <v>23</v>
      </c>
      <c r="E310" s="332" t="s">
        <v>1025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1491</v>
      </c>
      <c r="T310" s="332" t="s">
        <v>1492</v>
      </c>
      <c r="U310" s="358">
        <v>569979.83499999996</v>
      </c>
      <c r="V310" s="358">
        <v>2656987.1889999998</v>
      </c>
      <c r="W310" s="361"/>
      <c r="X310" s="315" t="s">
        <v>1481</v>
      </c>
      <c r="Y310" s="315" t="s">
        <v>1302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1493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1025</v>
      </c>
      <c r="C312" s="332" t="s">
        <v>185</v>
      </c>
      <c r="D312" s="332" t="s">
        <v>16</v>
      </c>
      <c r="E312" s="332" t="s">
        <v>1025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1494</v>
      </c>
      <c r="T312" s="332" t="s">
        <v>1495</v>
      </c>
      <c r="U312" s="358">
        <v>570348.03500000003</v>
      </c>
      <c r="V312" s="358">
        <v>2656897.3569999998</v>
      </c>
      <c r="W312" s="361"/>
      <c r="X312" s="315" t="s">
        <v>1481</v>
      </c>
      <c r="Y312" s="315" t="s">
        <v>1302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1496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1497</v>
      </c>
      <c r="C314" s="332" t="s">
        <v>186</v>
      </c>
      <c r="D314" s="332" t="s">
        <v>113</v>
      </c>
      <c r="E314" s="332" t="s">
        <v>1498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1499</v>
      </c>
      <c r="T314" s="332" t="s">
        <v>1500</v>
      </c>
      <c r="U314" s="358">
        <v>570775.33100000001</v>
      </c>
      <c r="V314" s="358">
        <v>2656793.108</v>
      </c>
      <c r="W314" s="361"/>
      <c r="X314" s="315" t="s">
        <v>1501</v>
      </c>
      <c r="Y314" s="315" t="s">
        <v>1302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1502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1503</v>
      </c>
      <c r="C316" s="332" t="s">
        <v>187</v>
      </c>
      <c r="D316" s="332" t="s">
        <v>40</v>
      </c>
      <c r="E316" s="332" t="s">
        <v>1504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1505</v>
      </c>
      <c r="T316" s="332" t="s">
        <v>1506</v>
      </c>
      <c r="U316" s="333">
        <v>570996.14</v>
      </c>
      <c r="V316" s="333">
        <v>2656783.42</v>
      </c>
      <c r="W316" s="334"/>
      <c r="X316" s="315" t="s">
        <v>1501</v>
      </c>
      <c r="Y316" s="315" t="s">
        <v>1302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1507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1025</v>
      </c>
      <c r="C318" s="332" t="s">
        <v>188</v>
      </c>
      <c r="D318" s="332" t="s">
        <v>31</v>
      </c>
      <c r="E318" s="332" t="s">
        <v>1025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1508</v>
      </c>
      <c r="T318" s="332" t="s">
        <v>1509</v>
      </c>
      <c r="U318" s="333">
        <v>571354.28700000001</v>
      </c>
      <c r="V318" s="333">
        <v>2656616.8080000002</v>
      </c>
      <c r="W318" s="334"/>
      <c r="X318" s="315" t="s">
        <v>1501</v>
      </c>
      <c r="Y318" s="315" t="s">
        <v>1302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1069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1025</v>
      </c>
      <c r="C320" s="332" t="s">
        <v>189</v>
      </c>
      <c r="D320" s="332" t="s">
        <v>31</v>
      </c>
      <c r="E320" s="332" t="s">
        <v>1025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1510</v>
      </c>
      <c r="T320" s="332" t="s">
        <v>1511</v>
      </c>
      <c r="U320" s="333">
        <v>571677.06900000002</v>
      </c>
      <c r="V320" s="333">
        <v>2656466.6490000002</v>
      </c>
      <c r="W320" s="334"/>
      <c r="X320" s="315" t="s">
        <v>1512</v>
      </c>
      <c r="Y320" s="315" t="s">
        <v>1302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1513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1025</v>
      </c>
      <c r="C322" s="332" t="s">
        <v>190</v>
      </c>
      <c r="D322" s="332" t="s">
        <v>31</v>
      </c>
      <c r="E322" s="332" t="s">
        <v>1025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1514</v>
      </c>
      <c r="T322" s="332" t="s">
        <v>1515</v>
      </c>
      <c r="U322" s="333">
        <v>572043.37300000002</v>
      </c>
      <c r="V322" s="333">
        <v>2656296.2450000001</v>
      </c>
      <c r="W322" s="334"/>
      <c r="X322" s="315" t="s">
        <v>1512</v>
      </c>
      <c r="Y322" s="315" t="s">
        <v>1302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1516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1025</v>
      </c>
      <c r="C324" s="332" t="s">
        <v>191</v>
      </c>
      <c r="D324" s="332" t="s">
        <v>33</v>
      </c>
      <c r="E324" s="332" t="s">
        <v>1025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1517</v>
      </c>
      <c r="T324" s="332" t="s">
        <v>1518</v>
      </c>
      <c r="U324" s="333">
        <v>572387.91599999997</v>
      </c>
      <c r="V324" s="333">
        <v>2656135.9640000002</v>
      </c>
      <c r="W324" s="334"/>
      <c r="X324" s="315" t="s">
        <v>1512</v>
      </c>
      <c r="Y324" s="315" t="s">
        <v>1302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1519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1025</v>
      </c>
      <c r="C326" s="332" t="s">
        <v>192</v>
      </c>
      <c r="D326" s="332" t="s">
        <v>16</v>
      </c>
      <c r="E326" s="332" t="s">
        <v>1025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1520</v>
      </c>
      <c r="T326" s="332" t="s">
        <v>1521</v>
      </c>
      <c r="U326" s="333">
        <v>572804.995</v>
      </c>
      <c r="V326" s="333">
        <v>2655941.9389999998</v>
      </c>
      <c r="W326" s="334"/>
      <c r="X326" s="315" t="s">
        <v>1512</v>
      </c>
      <c r="Y326" s="315" t="s">
        <v>1302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1277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1025</v>
      </c>
      <c r="C328" s="332" t="s">
        <v>193</v>
      </c>
      <c r="D328" s="332" t="s">
        <v>14</v>
      </c>
      <c r="E328" s="332" t="s">
        <v>1025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1522</v>
      </c>
      <c r="T328" s="332" t="s">
        <v>1523</v>
      </c>
      <c r="U328" s="333">
        <v>573149.53799999994</v>
      </c>
      <c r="V328" s="333">
        <v>2655781.6579999998</v>
      </c>
      <c r="W328" s="334"/>
      <c r="X328" s="315" t="s">
        <v>1512</v>
      </c>
      <c r="Y328" s="315" t="s">
        <v>1302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1524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1025</v>
      </c>
      <c r="C330" s="332" t="s">
        <v>194</v>
      </c>
      <c r="D330" s="332" t="s">
        <v>33</v>
      </c>
      <c r="E330" s="332" t="s">
        <v>1025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1525</v>
      </c>
      <c r="T330" s="332" t="s">
        <v>1526</v>
      </c>
      <c r="U330" s="333">
        <v>573524.00199999998</v>
      </c>
      <c r="V330" s="333">
        <v>2655607.4580000001</v>
      </c>
      <c r="W330" s="334"/>
      <c r="X330" s="315" t="s">
        <v>1512</v>
      </c>
      <c r="Y330" s="315" t="s">
        <v>1302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1277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1025</v>
      </c>
      <c r="C332" s="332" t="s">
        <v>195</v>
      </c>
      <c r="D332" s="332" t="s">
        <v>31</v>
      </c>
      <c r="E332" s="332" t="s">
        <v>1025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1527</v>
      </c>
      <c r="T332" s="332" t="s">
        <v>1528</v>
      </c>
      <c r="U332" s="333">
        <v>573898.46600000001</v>
      </c>
      <c r="V332" s="333">
        <v>2655433.2570000002</v>
      </c>
      <c r="W332" s="334"/>
      <c r="X332" s="315" t="s">
        <v>1529</v>
      </c>
      <c r="Y332" s="315" t="s">
        <v>1302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1530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1531</v>
      </c>
      <c r="C334" s="332" t="s">
        <v>196</v>
      </c>
      <c r="D334" s="332" t="s">
        <v>197</v>
      </c>
      <c r="E334" s="332" t="s">
        <v>1532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1533</v>
      </c>
      <c r="T334" s="332" t="s">
        <v>1534</v>
      </c>
      <c r="U334" s="333">
        <v>574285.62300000002</v>
      </c>
      <c r="V334" s="333">
        <v>2655253.1519999998</v>
      </c>
      <c r="W334" s="334"/>
      <c r="X334" s="315" t="s">
        <v>1529</v>
      </c>
      <c r="Y334" s="315" t="s">
        <v>1302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1535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1536</v>
      </c>
      <c r="C336" s="332" t="s">
        <v>198</v>
      </c>
      <c r="D336" s="332" t="s">
        <v>118</v>
      </c>
      <c r="E336" s="332" t="s">
        <v>1537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1538</v>
      </c>
      <c r="T336" s="332" t="s">
        <v>1539</v>
      </c>
      <c r="U336" s="333">
        <v>574496.58499999996</v>
      </c>
      <c r="V336" s="333">
        <v>2655315.5630000001</v>
      </c>
      <c r="W336" s="334"/>
      <c r="X336" s="315" t="s">
        <v>1529</v>
      </c>
      <c r="Y336" s="315" t="s">
        <v>1302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1540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1025</v>
      </c>
      <c r="C338" s="332" t="s">
        <v>199</v>
      </c>
      <c r="D338" s="332" t="s">
        <v>23</v>
      </c>
      <c r="E338" s="332" t="s">
        <v>1025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1541</v>
      </c>
      <c r="T338" s="332" t="s">
        <v>1542</v>
      </c>
      <c r="U338" s="333">
        <v>574897.53500000003</v>
      </c>
      <c r="V338" s="333">
        <v>2655160.1940000001</v>
      </c>
      <c r="W338" s="334"/>
      <c r="X338" s="315" t="s">
        <v>1529</v>
      </c>
      <c r="Y338" s="315" t="s">
        <v>1302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1069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1025</v>
      </c>
      <c r="C340" s="332" t="s">
        <v>200</v>
      </c>
      <c r="D340" s="332" t="s">
        <v>31</v>
      </c>
      <c r="E340" s="332" t="s">
        <v>1025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1543</v>
      </c>
      <c r="T340" s="332" t="s">
        <v>1544</v>
      </c>
      <c r="U340" s="333">
        <v>575218.29399999999</v>
      </c>
      <c r="V340" s="333">
        <v>2655035.8990000002</v>
      </c>
      <c r="W340" s="334"/>
      <c r="X340" s="315" t="s">
        <v>1545</v>
      </c>
      <c r="Y340" s="315" t="s">
        <v>1302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1546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1025</v>
      </c>
      <c r="C342" s="332" t="s">
        <v>201</v>
      </c>
      <c r="D342" s="332" t="s">
        <v>23</v>
      </c>
      <c r="E342" s="332" t="s">
        <v>1025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1547</v>
      </c>
      <c r="T342" s="332" t="s">
        <v>1548</v>
      </c>
      <c r="U342" s="333">
        <v>575566.09499999997</v>
      </c>
      <c r="V342" s="333">
        <v>2654901.1260000002</v>
      </c>
      <c r="W342" s="334"/>
      <c r="X342" s="315" t="s">
        <v>1545</v>
      </c>
      <c r="Y342" s="315" t="s">
        <v>1302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1549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1025</v>
      </c>
      <c r="C344" s="332" t="s">
        <v>202</v>
      </c>
      <c r="D344" s="332" t="s">
        <v>33</v>
      </c>
      <c r="E344" s="332" t="s">
        <v>1025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1550</v>
      </c>
      <c r="T344" s="332" t="s">
        <v>1551</v>
      </c>
      <c r="U344" s="333">
        <v>575928.81400000001</v>
      </c>
      <c r="V344" s="333">
        <v>2654760.571</v>
      </c>
      <c r="W344" s="334"/>
      <c r="X344" s="315" t="s">
        <v>1545</v>
      </c>
      <c r="Y344" s="315" t="s">
        <v>1302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1552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1025</v>
      </c>
      <c r="C346" s="332" t="s">
        <v>203</v>
      </c>
      <c r="D346" s="332" t="s">
        <v>16</v>
      </c>
      <c r="E346" s="332" t="s">
        <v>1025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1553</v>
      </c>
      <c r="T346" s="332" t="s">
        <v>1554</v>
      </c>
      <c r="U346" s="333">
        <v>576342.81799999997</v>
      </c>
      <c r="V346" s="333">
        <v>2654600.1439999999</v>
      </c>
      <c r="W346" s="341" t="s">
        <v>1236</v>
      </c>
      <c r="X346" s="315" t="s">
        <v>1545</v>
      </c>
      <c r="Y346" s="315" t="s">
        <v>1302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1555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1025</v>
      </c>
      <c r="C348" s="332" t="s">
        <v>204</v>
      </c>
      <c r="D348" s="332" t="s">
        <v>23</v>
      </c>
      <c r="E348" s="332" t="s">
        <v>1025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1556</v>
      </c>
      <c r="T348" s="332" t="s">
        <v>1557</v>
      </c>
      <c r="U348" s="333">
        <v>576630.00899999996</v>
      </c>
      <c r="V348" s="333">
        <v>2654488.8560000001</v>
      </c>
      <c r="W348" s="334"/>
      <c r="X348" s="315" t="s">
        <v>1545</v>
      </c>
      <c r="Y348" s="315" t="s">
        <v>1302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1558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1025</v>
      </c>
      <c r="C350" s="332" t="s">
        <v>205</v>
      </c>
      <c r="D350" s="332" t="s">
        <v>31</v>
      </c>
      <c r="E350" s="332" t="s">
        <v>1025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1559</v>
      </c>
      <c r="T350" s="332" t="s">
        <v>1560</v>
      </c>
      <c r="U350" s="333">
        <v>576951.701</v>
      </c>
      <c r="V350" s="333">
        <v>2654364.2000000002</v>
      </c>
      <c r="W350" s="334"/>
      <c r="X350" s="315" t="s">
        <v>1545</v>
      </c>
      <c r="Y350" s="315" t="s">
        <v>1302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1561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1025</v>
      </c>
      <c r="C352" s="332" t="s">
        <v>206</v>
      </c>
      <c r="D352" s="332" t="s">
        <v>16</v>
      </c>
      <c r="E352" s="332" t="s">
        <v>1025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1562</v>
      </c>
      <c r="T352" s="332" t="s">
        <v>1563</v>
      </c>
      <c r="U352" s="333">
        <v>577347.98899999994</v>
      </c>
      <c r="V352" s="333">
        <v>2654210.6379999998</v>
      </c>
      <c r="W352" s="334"/>
      <c r="X352" s="315" t="s">
        <v>1545</v>
      </c>
      <c r="Y352" s="315" t="s">
        <v>1302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1564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1565</v>
      </c>
      <c r="C354" s="332" t="s">
        <v>207</v>
      </c>
      <c r="D354" s="332" t="s">
        <v>18</v>
      </c>
      <c r="E354" s="332" t="s">
        <v>1566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1567</v>
      </c>
      <c r="T354" s="332" t="s">
        <v>1568</v>
      </c>
      <c r="U354" s="333">
        <v>577732.02399999998</v>
      </c>
      <c r="V354" s="333">
        <v>2654061.8229999999</v>
      </c>
      <c r="W354" s="334"/>
      <c r="X354" s="315" t="s">
        <v>1545</v>
      </c>
      <c r="Y354" s="315" t="s">
        <v>1302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1569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1025</v>
      </c>
      <c r="C356" s="331" t="s">
        <v>208</v>
      </c>
      <c r="D356" s="332" t="s">
        <v>33</v>
      </c>
      <c r="E356" s="331" t="s">
        <v>1025</v>
      </c>
      <c r="F356" s="331"/>
      <c r="G356" s="331" t="s">
        <v>1025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1570</v>
      </c>
      <c r="T356" s="331" t="s">
        <v>1571</v>
      </c>
      <c r="U356" s="331">
        <v>578043.28899999999</v>
      </c>
      <c r="V356" s="331">
        <v>2653812.193</v>
      </c>
      <c r="W356" s="331"/>
      <c r="X356" s="315" t="s">
        <v>1572</v>
      </c>
      <c r="Y356" s="315" t="s">
        <v>1573</v>
      </c>
      <c r="Z356" s="335" t="s">
        <v>1574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1575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1025</v>
      </c>
      <c r="C358" s="331" t="s">
        <v>209</v>
      </c>
      <c r="D358" s="332" t="s">
        <v>31</v>
      </c>
      <c r="E358" s="331" t="s">
        <v>1025</v>
      </c>
      <c r="F358" s="331"/>
      <c r="G358" s="331" t="s">
        <v>1025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1576</v>
      </c>
      <c r="T358" s="331" t="s">
        <v>1577</v>
      </c>
      <c r="U358" s="331">
        <v>578370.93599999999</v>
      </c>
      <c r="V358" s="331">
        <v>2653549.4240000001</v>
      </c>
      <c r="W358" s="331"/>
      <c r="X358" s="315" t="s">
        <v>1572</v>
      </c>
      <c r="Y358" s="315" t="s">
        <v>1573</v>
      </c>
      <c r="Z358" s="335" t="s">
        <v>1574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1122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1025</v>
      </c>
      <c r="C360" s="331" t="s">
        <v>210</v>
      </c>
      <c r="D360" s="332" t="s">
        <v>31</v>
      </c>
      <c r="E360" s="331" t="s">
        <v>1025</v>
      </c>
      <c r="F360" s="331"/>
      <c r="G360" s="331" t="s">
        <v>1025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1578</v>
      </c>
      <c r="T360" s="331" t="s">
        <v>1579</v>
      </c>
      <c r="U360" s="331">
        <v>578657.23699999996</v>
      </c>
      <c r="V360" s="331">
        <v>2653319.8139999998</v>
      </c>
      <c r="W360" s="331"/>
      <c r="X360" s="315" t="s">
        <v>1572</v>
      </c>
      <c r="Y360" s="315" t="s">
        <v>1573</v>
      </c>
      <c r="Z360" s="335" t="s">
        <v>1574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1090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1025</v>
      </c>
      <c r="C362" s="331" t="s">
        <v>211</v>
      </c>
      <c r="D362" s="332" t="s">
        <v>31</v>
      </c>
      <c r="E362" s="331" t="s">
        <v>1025</v>
      </c>
      <c r="F362" s="331"/>
      <c r="G362" s="331" t="s">
        <v>1025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1580</v>
      </c>
      <c r="T362" s="331" t="s">
        <v>1581</v>
      </c>
      <c r="U362" s="331">
        <v>578933.39599999995</v>
      </c>
      <c r="V362" s="331">
        <v>2653098.3369999998</v>
      </c>
      <c r="W362" s="331"/>
      <c r="X362" s="315" t="s">
        <v>1572</v>
      </c>
      <c r="Y362" s="315" t="s">
        <v>1573</v>
      </c>
      <c r="Z362" s="335" t="s">
        <v>1574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1090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1025</v>
      </c>
      <c r="C364" s="331" t="s">
        <v>212</v>
      </c>
      <c r="D364" s="332" t="s">
        <v>31</v>
      </c>
      <c r="E364" s="331" t="s">
        <v>1025</v>
      </c>
      <c r="F364" s="331"/>
      <c r="G364" s="331" t="s">
        <v>1025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1582</v>
      </c>
      <c r="T364" s="331" t="s">
        <v>1583</v>
      </c>
      <c r="U364" s="331">
        <v>579244.66099999996</v>
      </c>
      <c r="V364" s="331">
        <v>2652848.7069999999</v>
      </c>
      <c r="W364" s="331"/>
      <c r="X364" s="315" t="s">
        <v>1572</v>
      </c>
      <c r="Y364" s="315" t="s">
        <v>1573</v>
      </c>
      <c r="Z364" s="335" t="s">
        <v>1574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1133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1025</v>
      </c>
      <c r="C366" s="323" t="s">
        <v>213</v>
      </c>
      <c r="D366" s="315" t="s">
        <v>40</v>
      </c>
      <c r="E366" s="323" t="s">
        <v>1584</v>
      </c>
      <c r="F366" s="331"/>
      <c r="G366" s="331" t="s">
        <v>1025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1585</v>
      </c>
      <c r="T366" s="331" t="s">
        <v>1586</v>
      </c>
      <c r="U366" s="331">
        <v>579537.20299999998</v>
      </c>
      <c r="V366" s="331">
        <v>2652614.0920000002</v>
      </c>
      <c r="W366" s="331"/>
      <c r="X366" s="315" t="s">
        <v>1572</v>
      </c>
      <c r="Y366" s="315" t="s">
        <v>1573</v>
      </c>
      <c r="Z366" s="335" t="s">
        <v>1574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1138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1025</v>
      </c>
      <c r="C368" s="331" t="s">
        <v>214</v>
      </c>
      <c r="D368" s="332" t="s">
        <v>31</v>
      </c>
      <c r="E368" s="331" t="s">
        <v>1025</v>
      </c>
      <c r="F368" s="331"/>
      <c r="G368" s="331" t="s">
        <v>1025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1587</v>
      </c>
      <c r="T368" s="331" t="s">
        <v>1588</v>
      </c>
      <c r="U368" s="331">
        <v>579833.64500000002</v>
      </c>
      <c r="V368" s="331">
        <v>2652376.3489999999</v>
      </c>
      <c r="W368" s="331"/>
      <c r="X368" s="315" t="s">
        <v>1589</v>
      </c>
      <c r="Y368" s="315" t="s">
        <v>1573</v>
      </c>
      <c r="Z368" s="335" t="s">
        <v>1574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1138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1025</v>
      </c>
      <c r="C370" s="331" t="s">
        <v>215</v>
      </c>
      <c r="D370" s="332" t="s">
        <v>33</v>
      </c>
      <c r="E370" s="331" t="s">
        <v>1025</v>
      </c>
      <c r="F370" s="331"/>
      <c r="G370" s="331" t="s">
        <v>1025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1590</v>
      </c>
      <c r="T370" s="331" t="s">
        <v>1591</v>
      </c>
      <c r="U370" s="331">
        <v>580149.59100000001</v>
      </c>
      <c r="V370" s="331">
        <v>2652122.9649999999</v>
      </c>
      <c r="W370" s="331"/>
      <c r="X370" s="315" t="s">
        <v>1592</v>
      </c>
      <c r="Y370" s="315" t="s">
        <v>1573</v>
      </c>
      <c r="Z370" s="335" t="s">
        <v>1574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1025</v>
      </c>
      <c r="C372" s="331" t="s">
        <v>216</v>
      </c>
      <c r="D372" s="332" t="s">
        <v>33</v>
      </c>
      <c r="E372" s="331" t="s">
        <v>1025</v>
      </c>
      <c r="F372" s="331"/>
      <c r="G372" s="331" t="s">
        <v>1025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1593</v>
      </c>
      <c r="T372" s="331" t="s">
        <v>1594</v>
      </c>
      <c r="U372" s="331">
        <v>580477.23800000001</v>
      </c>
      <c r="V372" s="331">
        <v>2651860.196</v>
      </c>
      <c r="W372" s="331"/>
      <c r="X372" s="315" t="s">
        <v>1592</v>
      </c>
      <c r="Y372" s="315" t="s">
        <v>1573</v>
      </c>
      <c r="Z372" s="335" t="s">
        <v>1574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1138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1025</v>
      </c>
      <c r="C374" s="331" t="s">
        <v>217</v>
      </c>
      <c r="D374" s="332" t="s">
        <v>31</v>
      </c>
      <c r="E374" s="331" t="s">
        <v>1025</v>
      </c>
      <c r="F374" s="331"/>
      <c r="G374" s="331" t="s">
        <v>1025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1595</v>
      </c>
      <c r="T374" s="331" t="s">
        <v>1596</v>
      </c>
      <c r="U374" s="331">
        <v>580788.50199999998</v>
      </c>
      <c r="V374" s="331">
        <v>2651610.5649999999</v>
      </c>
      <c r="W374" s="331"/>
      <c r="X374" s="315" t="s">
        <v>1592</v>
      </c>
      <c r="Y374" s="315" t="s">
        <v>1573</v>
      </c>
      <c r="Z374" s="335" t="s">
        <v>1574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1096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1025</v>
      </c>
      <c r="C376" s="331" t="s">
        <v>218</v>
      </c>
      <c r="D376" s="332" t="s">
        <v>33</v>
      </c>
      <c r="E376" s="331" t="s">
        <v>1025</v>
      </c>
      <c r="F376" s="331"/>
      <c r="G376" s="331" t="s">
        <v>1025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1597</v>
      </c>
      <c r="T376" s="331" t="s">
        <v>1598</v>
      </c>
      <c r="U376" s="331">
        <v>581084.94499999995</v>
      </c>
      <c r="V376" s="331">
        <v>2651372.8220000002</v>
      </c>
      <c r="W376" s="331"/>
      <c r="X376" s="315" t="s">
        <v>1592</v>
      </c>
      <c r="Y376" s="315" t="s">
        <v>1573</v>
      </c>
      <c r="Z376" s="335" t="s">
        <v>1574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1575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1599</v>
      </c>
      <c r="C378" s="331" t="s">
        <v>219</v>
      </c>
      <c r="D378" s="332" t="s">
        <v>18</v>
      </c>
      <c r="E378" s="331" t="s">
        <v>1600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1601</v>
      </c>
      <c r="T378" s="331" t="s">
        <v>1602</v>
      </c>
      <c r="U378" s="331">
        <v>581408.91299999994</v>
      </c>
      <c r="V378" s="331">
        <v>2651113.0040000002</v>
      </c>
      <c r="W378" s="331"/>
      <c r="X378" s="315" t="s">
        <v>1592</v>
      </c>
      <c r="Y378" s="315" t="s">
        <v>1573</v>
      </c>
      <c r="Z378" s="335" t="s">
        <v>1574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1603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1025</v>
      </c>
      <c r="C380" s="331" t="s">
        <v>220</v>
      </c>
      <c r="D380" s="332" t="s">
        <v>33</v>
      </c>
      <c r="E380" s="331" t="s">
        <v>1025</v>
      </c>
      <c r="F380" s="331"/>
      <c r="G380" s="331" t="s">
        <v>1025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1604</v>
      </c>
      <c r="T380" s="331" t="s">
        <v>1605</v>
      </c>
      <c r="U380" s="331">
        <v>581636.16</v>
      </c>
      <c r="V380" s="331">
        <v>2650783.8250000002</v>
      </c>
      <c r="W380" s="331"/>
      <c r="X380" s="315" t="s">
        <v>1592</v>
      </c>
      <c r="Y380" s="315" t="s">
        <v>1573</v>
      </c>
      <c r="Z380" s="335" t="s">
        <v>1574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1133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1025</v>
      </c>
      <c r="C382" s="331" t="s">
        <v>221</v>
      </c>
      <c r="D382" s="332" t="s">
        <v>31</v>
      </c>
      <c r="E382" s="331" t="s">
        <v>1025</v>
      </c>
      <c r="F382" s="331"/>
      <c r="G382" s="331" t="s">
        <v>1025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1606</v>
      </c>
      <c r="T382" s="331" t="s">
        <v>1607</v>
      </c>
      <c r="U382" s="331">
        <v>581858.86199999996</v>
      </c>
      <c r="V382" s="331">
        <v>2650461.2289999998</v>
      </c>
      <c r="W382" s="331"/>
      <c r="X382" s="315" t="s">
        <v>1592</v>
      </c>
      <c r="Y382" s="315" t="s">
        <v>1573</v>
      </c>
      <c r="Z382" s="335" t="s">
        <v>1574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1608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1025</v>
      </c>
      <c r="C384" s="331" t="s">
        <v>222</v>
      </c>
      <c r="D384" s="332" t="s">
        <v>31</v>
      </c>
      <c r="E384" s="331" t="s">
        <v>1025</v>
      </c>
      <c r="F384" s="331"/>
      <c r="G384" s="331" t="s">
        <v>1025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1609</v>
      </c>
      <c r="T384" s="331" t="s">
        <v>1610</v>
      </c>
      <c r="U384" s="331">
        <v>582078.723</v>
      </c>
      <c r="V384" s="331">
        <v>2650142.7480000001</v>
      </c>
      <c r="W384" s="331"/>
      <c r="X384" s="315" t="s">
        <v>1611</v>
      </c>
      <c r="Y384" s="315" t="s">
        <v>1573</v>
      </c>
      <c r="Z384" s="335" t="s">
        <v>1574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1612</v>
      </c>
      <c r="C386" s="331" t="s">
        <v>223</v>
      </c>
      <c r="D386" s="332" t="s">
        <v>115</v>
      </c>
      <c r="E386" s="331" t="s">
        <v>1613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1614</v>
      </c>
      <c r="T386" s="331" t="s">
        <v>1615</v>
      </c>
      <c r="U386" s="331">
        <v>582275.36199999996</v>
      </c>
      <c r="V386" s="331">
        <v>2649857.906</v>
      </c>
      <c r="W386" s="331"/>
      <c r="X386" s="315" t="s">
        <v>1611</v>
      </c>
      <c r="Y386" s="315" t="s">
        <v>1573</v>
      </c>
      <c r="Z386" s="335" t="s">
        <v>1574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1616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1025</v>
      </c>
      <c r="C388" s="331" t="s">
        <v>224</v>
      </c>
      <c r="D388" s="332" t="s">
        <v>16</v>
      </c>
      <c r="E388" s="331" t="s">
        <v>1025</v>
      </c>
      <c r="F388" s="331"/>
      <c r="G388" s="331" t="s">
        <v>1025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1617</v>
      </c>
      <c r="T388" s="331" t="s">
        <v>1618</v>
      </c>
      <c r="U388" s="331">
        <v>582664.16399999999</v>
      </c>
      <c r="V388" s="331">
        <v>2649763.92</v>
      </c>
      <c r="W388" s="331"/>
      <c r="X388" s="315" t="s">
        <v>1611</v>
      </c>
      <c r="Y388" s="315" t="s">
        <v>1573</v>
      </c>
      <c r="Z388" s="335" t="s">
        <v>1574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1619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1025</v>
      </c>
      <c r="C390" s="331" t="s">
        <v>225</v>
      </c>
      <c r="D390" s="332" t="s">
        <v>14</v>
      </c>
      <c r="E390" s="331" t="s">
        <v>1025</v>
      </c>
      <c r="F390" s="331"/>
      <c r="G390" s="331" t="s">
        <v>1025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1620</v>
      </c>
      <c r="T390" s="331" t="s">
        <v>1621</v>
      </c>
      <c r="U390" s="331">
        <v>583070.46100000001</v>
      </c>
      <c r="V390" s="331">
        <v>2649665.7050000001</v>
      </c>
      <c r="W390" s="331"/>
      <c r="X390" s="315" t="s">
        <v>1611</v>
      </c>
      <c r="Y390" s="315" t="s">
        <v>1573</v>
      </c>
      <c r="Z390" s="335" t="s">
        <v>1574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1622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1025</v>
      </c>
      <c r="C392" s="331" t="s">
        <v>226</v>
      </c>
      <c r="D392" s="332" t="s">
        <v>35</v>
      </c>
      <c r="E392" s="331"/>
      <c r="F392" s="331"/>
      <c r="G392" s="331" t="s">
        <v>1025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1623</v>
      </c>
      <c r="T392" s="331" t="s">
        <v>1624</v>
      </c>
      <c r="U392" s="331">
        <v>583411.63500000001</v>
      </c>
      <c r="V392" s="331">
        <v>2649583.233</v>
      </c>
      <c r="W392" s="331"/>
      <c r="X392" s="315" t="s">
        <v>1611</v>
      </c>
      <c r="Y392" s="315" t="s">
        <v>1573</v>
      </c>
      <c r="Z392" s="335" t="s">
        <v>1574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1625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1025</v>
      </c>
      <c r="C394" s="331" t="s">
        <v>227</v>
      </c>
      <c r="D394" s="332" t="s">
        <v>33</v>
      </c>
      <c r="E394" s="331" t="s">
        <v>1025</v>
      </c>
      <c r="F394" s="331"/>
      <c r="G394" s="331" t="s">
        <v>1025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1626</v>
      </c>
      <c r="T394" s="331" t="s">
        <v>1627</v>
      </c>
      <c r="U394" s="331">
        <v>583828.62399999995</v>
      </c>
      <c r="V394" s="331">
        <v>2649482.4330000002</v>
      </c>
      <c r="W394" s="331"/>
      <c r="X394" s="315" t="s">
        <v>1628</v>
      </c>
      <c r="Y394" s="315" t="s">
        <v>1573</v>
      </c>
      <c r="Z394" s="335" t="s">
        <v>1574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1629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1025</v>
      </c>
      <c r="C396" s="331" t="s">
        <v>228</v>
      </c>
      <c r="D396" s="332" t="s">
        <v>31</v>
      </c>
      <c r="E396" s="331" t="s">
        <v>1025</v>
      </c>
      <c r="F396" s="331"/>
      <c r="G396" s="331" t="s">
        <v>1025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1630</v>
      </c>
      <c r="T396" s="331" t="s">
        <v>1631</v>
      </c>
      <c r="U396" s="331">
        <v>584228.11800000002</v>
      </c>
      <c r="V396" s="331">
        <v>2649385.8629999999</v>
      </c>
      <c r="W396" s="331"/>
      <c r="X396" s="315" t="s">
        <v>1628</v>
      </c>
      <c r="Y396" s="315" t="s">
        <v>1573</v>
      </c>
      <c r="Z396" s="335" t="s">
        <v>1574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1632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1025</v>
      </c>
      <c r="C398" s="331" t="s">
        <v>229</v>
      </c>
      <c r="D398" s="332" t="s">
        <v>16</v>
      </c>
      <c r="E398" s="331" t="s">
        <v>1025</v>
      </c>
      <c r="F398" s="331"/>
      <c r="G398" s="331" t="s">
        <v>1025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1633</v>
      </c>
      <c r="T398" s="331" t="s">
        <v>1634</v>
      </c>
      <c r="U398" s="331">
        <v>584598.45200000005</v>
      </c>
      <c r="V398" s="331">
        <v>2649296.341</v>
      </c>
      <c r="W398" s="331"/>
      <c r="X398" s="315" t="s">
        <v>1628</v>
      </c>
      <c r="Y398" s="315" t="s">
        <v>1573</v>
      </c>
      <c r="Z398" s="335" t="s">
        <v>1574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1635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1025</v>
      </c>
      <c r="C400" s="331" t="s">
        <v>230</v>
      </c>
      <c r="D400" s="332" t="s">
        <v>16</v>
      </c>
      <c r="E400" s="331" t="s">
        <v>1025</v>
      </c>
      <c r="F400" s="331"/>
      <c r="G400" s="331" t="s">
        <v>1025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1636</v>
      </c>
      <c r="T400" s="331" t="s">
        <v>1637</v>
      </c>
      <c r="U400" s="331">
        <v>585044.60100000002</v>
      </c>
      <c r="V400" s="331">
        <v>2649188.4929999998</v>
      </c>
      <c r="W400" s="331"/>
      <c r="X400" s="315" t="s">
        <v>1573</v>
      </c>
      <c r="Y400" s="315" t="s">
        <v>1573</v>
      </c>
      <c r="Z400" s="335" t="s">
        <v>1574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1087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1025</v>
      </c>
      <c r="C402" s="331" t="s">
        <v>231</v>
      </c>
      <c r="D402" s="332" t="s">
        <v>33</v>
      </c>
      <c r="E402" s="331" t="s">
        <v>1025</v>
      </c>
      <c r="F402" s="331"/>
      <c r="G402" s="331" t="s">
        <v>1025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1638</v>
      </c>
      <c r="T402" s="331" t="s">
        <v>1639</v>
      </c>
      <c r="U402" s="331">
        <v>585404.24300000002</v>
      </c>
      <c r="V402" s="331">
        <v>2649101.5559999999</v>
      </c>
      <c r="W402" s="331"/>
      <c r="X402" s="315" t="s">
        <v>1573</v>
      </c>
      <c r="Y402" s="315" t="s">
        <v>1573</v>
      </c>
      <c r="Z402" s="335" t="s">
        <v>1574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1640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1641</v>
      </c>
      <c r="C404" s="323" t="s">
        <v>232</v>
      </c>
      <c r="D404" s="315" t="s">
        <v>182</v>
      </c>
      <c r="E404" s="323" t="s">
        <v>1642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1643</v>
      </c>
      <c r="T404" s="323" t="s">
        <v>1644</v>
      </c>
      <c r="U404" s="323">
        <v>585817.67599999998</v>
      </c>
      <c r="V404" s="323">
        <v>2649001.6159999999</v>
      </c>
      <c r="W404" s="323"/>
      <c r="X404" s="315" t="s">
        <v>1573</v>
      </c>
      <c r="Y404" s="315" t="s">
        <v>1573</v>
      </c>
      <c r="Z404" s="322" t="s">
        <v>1574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2075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1645</v>
      </c>
      <c r="C406" s="323" t="s">
        <v>233</v>
      </c>
      <c r="D406" s="315" t="s">
        <v>234</v>
      </c>
      <c r="E406" s="323" t="s">
        <v>1646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1647</v>
      </c>
      <c r="T406" s="323" t="s">
        <v>1648</v>
      </c>
      <c r="U406" s="323">
        <v>586026.87</v>
      </c>
      <c r="V406" s="323">
        <v>2648854.1179999998</v>
      </c>
      <c r="W406" s="323"/>
      <c r="X406" s="315" t="s">
        <v>1573</v>
      </c>
      <c r="Y406" s="315" t="s">
        <v>1573</v>
      </c>
      <c r="Z406" s="322" t="s">
        <v>1574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1649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1650</v>
      </c>
      <c r="C408" s="323" t="s">
        <v>235</v>
      </c>
      <c r="D408" s="315" t="s">
        <v>236</v>
      </c>
      <c r="E408" s="323" t="s">
        <v>1651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1652</v>
      </c>
      <c r="T408" s="323" t="s">
        <v>1653</v>
      </c>
      <c r="U408" s="323">
        <v>586457.28300000005</v>
      </c>
      <c r="V408" s="323">
        <v>2648749.003</v>
      </c>
      <c r="W408" s="323"/>
      <c r="X408" s="315" t="s">
        <v>1573</v>
      </c>
      <c r="Y408" s="315" t="s">
        <v>1573</v>
      </c>
      <c r="Z408" s="322" t="s">
        <v>1574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1575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1025</v>
      </c>
      <c r="C410" s="323" t="s">
        <v>237</v>
      </c>
      <c r="D410" s="315" t="s">
        <v>238</v>
      </c>
      <c r="E410" s="323" t="s">
        <v>1025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1654</v>
      </c>
      <c r="T410" s="323" t="s">
        <v>1655</v>
      </c>
      <c r="U410" s="323">
        <v>586865.07400000002</v>
      </c>
      <c r="V410" s="323">
        <v>2648556.3689999999</v>
      </c>
      <c r="W410" s="323"/>
      <c r="X410" s="315" t="s">
        <v>1573</v>
      </c>
      <c r="Y410" s="315" t="s">
        <v>1573</v>
      </c>
      <c r="Z410" s="322" t="s">
        <v>1574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1575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1025</v>
      </c>
      <c r="C412" s="323" t="s">
        <v>239</v>
      </c>
      <c r="D412" s="315" t="s">
        <v>33</v>
      </c>
      <c r="E412" s="323" t="s">
        <v>1025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1656</v>
      </c>
      <c r="T412" s="323" t="s">
        <v>1657</v>
      </c>
      <c r="U412" s="323">
        <v>587244.83499999996</v>
      </c>
      <c r="V412" s="323">
        <v>2648376.977</v>
      </c>
      <c r="W412" s="323"/>
      <c r="X412" s="315" t="s">
        <v>1573</v>
      </c>
      <c r="Y412" s="315" t="s">
        <v>1573</v>
      </c>
      <c r="Z412" s="322" t="s">
        <v>1574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1090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1025</v>
      </c>
      <c r="C414" s="331" t="s">
        <v>240</v>
      </c>
      <c r="D414" s="332" t="s">
        <v>31</v>
      </c>
      <c r="E414" s="331" t="s">
        <v>1025</v>
      </c>
      <c r="F414" s="331"/>
      <c r="G414" s="331" t="s">
        <v>1025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1658</v>
      </c>
      <c r="T414" s="331" t="s">
        <v>1659</v>
      </c>
      <c r="U414" s="331">
        <v>587622.78700000001</v>
      </c>
      <c r="V414" s="331">
        <v>2648198.4380000001</v>
      </c>
      <c r="W414" s="331"/>
      <c r="X414" s="315" t="s">
        <v>1573</v>
      </c>
      <c r="Y414" s="315" t="s">
        <v>1573</v>
      </c>
      <c r="Z414" s="335" t="s">
        <v>1574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1087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1660</v>
      </c>
      <c r="C416" s="315" t="s">
        <v>241</v>
      </c>
      <c r="D416" s="315" t="s">
        <v>18</v>
      </c>
      <c r="E416" s="315" t="s">
        <v>1661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2076</v>
      </c>
      <c r="T416" s="315" t="s">
        <v>2077</v>
      </c>
      <c r="U416" s="318">
        <v>587938.36399999994</v>
      </c>
      <c r="V416" s="318">
        <v>2648049.3650000002</v>
      </c>
      <c r="W416" s="320"/>
      <c r="X416" s="315" t="s">
        <v>1573</v>
      </c>
      <c r="Y416" s="315" t="s">
        <v>1573</v>
      </c>
      <c r="Z416" s="335" t="s">
        <v>1574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1662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1025</v>
      </c>
      <c r="C418" s="315" t="s">
        <v>242</v>
      </c>
      <c r="D418" s="315" t="s">
        <v>23</v>
      </c>
      <c r="E418" s="315" t="s">
        <v>1025</v>
      </c>
      <c r="F418" s="363"/>
      <c r="G418" s="315" t="s">
        <v>1025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2078</v>
      </c>
      <c r="T418" s="315" t="s">
        <v>2079</v>
      </c>
      <c r="U418" s="318">
        <v>588215.74399999995</v>
      </c>
      <c r="V418" s="318">
        <v>2647751.5240000002</v>
      </c>
      <c r="W418" s="320"/>
      <c r="X418" s="315" t="s">
        <v>1663</v>
      </c>
      <c r="Y418" s="315" t="s">
        <v>1573</v>
      </c>
      <c r="Z418" s="335" t="s">
        <v>1574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1025</v>
      </c>
      <c r="C420" s="315" t="s">
        <v>243</v>
      </c>
      <c r="D420" s="315" t="s">
        <v>31</v>
      </c>
      <c r="E420" s="315" t="s">
        <v>1025</v>
      </c>
      <c r="F420" s="363"/>
      <c r="G420" s="315" t="s">
        <v>1025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2080</v>
      </c>
      <c r="T420" s="315" t="s">
        <v>2081</v>
      </c>
      <c r="U420" s="318">
        <v>588435.87600000005</v>
      </c>
      <c r="V420" s="318">
        <v>2647515.1529999999</v>
      </c>
      <c r="W420" s="320"/>
      <c r="X420" s="315" t="s">
        <v>1663</v>
      </c>
      <c r="Y420" s="315" t="s">
        <v>1573</v>
      </c>
      <c r="Z420" s="335" t="s">
        <v>1574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1664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1025</v>
      </c>
      <c r="C422" s="315" t="s">
        <v>244</v>
      </c>
      <c r="D422" s="315" t="s">
        <v>31</v>
      </c>
      <c r="E422" s="315" t="s">
        <v>1025</v>
      </c>
      <c r="F422" s="363"/>
      <c r="G422" s="315" t="s">
        <v>1025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2082</v>
      </c>
      <c r="T422" s="315" t="s">
        <v>2083</v>
      </c>
      <c r="U422" s="318">
        <v>588721.43400000001</v>
      </c>
      <c r="V422" s="318">
        <v>2647208.531</v>
      </c>
      <c r="W422" s="320"/>
      <c r="X422" s="315" t="s">
        <v>1663</v>
      </c>
      <c r="Y422" s="315" t="s">
        <v>1573</v>
      </c>
      <c r="Z422" s="335" t="s">
        <v>1574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1665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1025</v>
      </c>
      <c r="C424" s="315" t="s">
        <v>245</v>
      </c>
      <c r="D424" s="315" t="s">
        <v>35</v>
      </c>
      <c r="E424" s="315" t="s">
        <v>1025</v>
      </c>
      <c r="F424" s="316"/>
      <c r="G424" s="315" t="s">
        <v>1025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2084</v>
      </c>
      <c r="T424" s="315" t="s">
        <v>2085</v>
      </c>
      <c r="U424" s="318">
        <v>588995.40599999996</v>
      </c>
      <c r="V424" s="318">
        <v>2646914.3480000002</v>
      </c>
      <c r="W424" s="320"/>
      <c r="X424" s="315" t="s">
        <v>1666</v>
      </c>
      <c r="Y424" s="315" t="s">
        <v>1573</v>
      </c>
      <c r="Z424" s="335" t="s">
        <v>1574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1667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1668</v>
      </c>
      <c r="C426" s="315" t="s">
        <v>246</v>
      </c>
      <c r="D426" s="315" t="s">
        <v>40</v>
      </c>
      <c r="E426" s="315" t="s">
        <v>1669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2086</v>
      </c>
      <c r="T426" s="315" t="s">
        <v>2087</v>
      </c>
      <c r="U426" s="318">
        <v>589269.58700000006</v>
      </c>
      <c r="V426" s="318">
        <v>2646619.9419999998</v>
      </c>
      <c r="W426" s="320"/>
      <c r="X426" s="315" t="s">
        <v>1670</v>
      </c>
      <c r="Y426" s="315" t="s">
        <v>1573</v>
      </c>
      <c r="Z426" s="335" t="s">
        <v>1574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1671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1025</v>
      </c>
      <c r="C428" s="315" t="s">
        <v>247</v>
      </c>
      <c r="D428" s="315" t="s">
        <v>35</v>
      </c>
      <c r="E428" s="315" t="s">
        <v>1025</v>
      </c>
      <c r="F428" s="363"/>
      <c r="G428" s="315" t="s">
        <v>1025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2088</v>
      </c>
      <c r="T428" s="315" t="s">
        <v>2089</v>
      </c>
      <c r="U428" s="318">
        <v>589652.54</v>
      </c>
      <c r="V428" s="318">
        <v>2646457.4509999999</v>
      </c>
      <c r="W428" s="366" t="s">
        <v>1672</v>
      </c>
      <c r="X428" s="315" t="s">
        <v>1670</v>
      </c>
      <c r="Y428" s="315" t="s">
        <v>1573</v>
      </c>
      <c r="Z428" s="335" t="s">
        <v>1574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1673</v>
      </c>
      <c r="C430" s="315" t="s">
        <v>248</v>
      </c>
      <c r="D430" s="315" t="s">
        <v>115</v>
      </c>
      <c r="E430" s="315" t="s">
        <v>1674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2090</v>
      </c>
      <c r="T430" s="315" t="s">
        <v>2091</v>
      </c>
      <c r="U430" s="318">
        <v>590038.02599999995</v>
      </c>
      <c r="V430" s="318">
        <v>2646293.8859999999</v>
      </c>
      <c r="W430" s="366"/>
      <c r="X430" s="315" t="s">
        <v>1573</v>
      </c>
      <c r="Y430" s="315" t="s">
        <v>1573</v>
      </c>
      <c r="Z430" s="335" t="s">
        <v>1574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1025</v>
      </c>
      <c r="C432" s="315" t="s">
        <v>249</v>
      </c>
      <c r="D432" s="315" t="s">
        <v>35</v>
      </c>
      <c r="E432" s="315" t="s">
        <v>1025</v>
      </c>
      <c r="F432" s="363"/>
      <c r="G432" s="315" t="s">
        <v>1025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2092</v>
      </c>
      <c r="T432" s="315" t="s">
        <v>2093</v>
      </c>
      <c r="U432" s="318">
        <v>590411.35600000003</v>
      </c>
      <c r="V432" s="318">
        <v>2646346.3650000002</v>
      </c>
      <c r="W432" s="366" t="s">
        <v>1672</v>
      </c>
      <c r="X432" s="315" t="s">
        <v>1573</v>
      </c>
      <c r="Y432" s="315" t="s">
        <v>1573</v>
      </c>
      <c r="Z432" s="335" t="s">
        <v>1574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1025</v>
      </c>
      <c r="C434" s="315" t="s">
        <v>250</v>
      </c>
      <c r="D434" s="315" t="s">
        <v>33</v>
      </c>
      <c r="E434" s="315" t="s">
        <v>1025</v>
      </c>
      <c r="F434" s="363"/>
      <c r="G434" s="315" t="s">
        <v>1025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2094</v>
      </c>
      <c r="T434" s="315" t="s">
        <v>2095</v>
      </c>
      <c r="U434" s="318">
        <v>590847.07200000004</v>
      </c>
      <c r="V434" s="318">
        <v>2646407.6129999999</v>
      </c>
      <c r="W434" s="320"/>
      <c r="X434" s="315" t="s">
        <v>1675</v>
      </c>
      <c r="Y434" s="315" t="s">
        <v>1573</v>
      </c>
      <c r="Z434" s="335" t="s">
        <v>1574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1676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1677</v>
      </c>
      <c r="C436" s="315" t="s">
        <v>251</v>
      </c>
      <c r="D436" s="315" t="s">
        <v>18</v>
      </c>
      <c r="E436" s="315" t="s">
        <v>1678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2096</v>
      </c>
      <c r="T436" s="315" t="s">
        <v>2097</v>
      </c>
      <c r="U436" s="318">
        <v>591243.45499999996</v>
      </c>
      <c r="V436" s="318">
        <v>2646463.3330000001</v>
      </c>
      <c r="W436" s="320"/>
      <c r="X436" s="315" t="s">
        <v>1675</v>
      </c>
      <c r="Y436" s="315" t="s">
        <v>1573</v>
      </c>
      <c r="Z436" s="335" t="s">
        <v>1574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1025</v>
      </c>
      <c r="C438" s="315" t="s">
        <v>252</v>
      </c>
      <c r="D438" s="315" t="s">
        <v>33</v>
      </c>
      <c r="E438" s="315" t="s">
        <v>1025</v>
      </c>
      <c r="F438" s="363"/>
      <c r="G438" s="315" t="s">
        <v>1025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2098</v>
      </c>
      <c r="T438" s="315" t="s">
        <v>2099</v>
      </c>
      <c r="U438" s="318">
        <v>591626.31299999997</v>
      </c>
      <c r="V438" s="318">
        <v>2646414.1860000002</v>
      </c>
      <c r="W438" s="320"/>
      <c r="X438" s="315" t="s">
        <v>1675</v>
      </c>
      <c r="Y438" s="315" t="s">
        <v>1573</v>
      </c>
      <c r="Z438" s="335" t="s">
        <v>1574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1152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1025</v>
      </c>
      <c r="C440" s="315" t="s">
        <v>253</v>
      </c>
      <c r="D440" s="315" t="s">
        <v>23</v>
      </c>
      <c r="E440" s="315" t="s">
        <v>1025</v>
      </c>
      <c r="F440" s="363"/>
      <c r="G440" s="315" t="s">
        <v>1025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2100</v>
      </c>
      <c r="T440" s="315" t="s">
        <v>2101</v>
      </c>
      <c r="U440" s="318">
        <v>592042.89500000002</v>
      </c>
      <c r="V440" s="318">
        <v>2646360.71</v>
      </c>
      <c r="W440" s="320"/>
      <c r="X440" s="315" t="s">
        <v>1675</v>
      </c>
      <c r="Y440" s="315" t="s">
        <v>1573</v>
      </c>
      <c r="Z440" s="335" t="s">
        <v>1574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1122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1025</v>
      </c>
      <c r="C442" s="315" t="s">
        <v>254</v>
      </c>
      <c r="D442" s="315" t="s">
        <v>23</v>
      </c>
      <c r="E442" s="315" t="s">
        <v>1025</v>
      </c>
      <c r="F442" s="363"/>
      <c r="G442" s="315" t="s">
        <v>1025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2102</v>
      </c>
      <c r="T442" s="315" t="s">
        <v>2103</v>
      </c>
      <c r="U442" s="318">
        <v>592377.152</v>
      </c>
      <c r="V442" s="318">
        <v>2646317.8020000001</v>
      </c>
      <c r="W442" s="320"/>
      <c r="X442" s="315" t="s">
        <v>1675</v>
      </c>
      <c r="Y442" s="315" t="s">
        <v>1573</v>
      </c>
      <c r="Z442" s="335" t="s">
        <v>1574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1679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1680</v>
      </c>
      <c r="C444" s="315" t="s">
        <v>255</v>
      </c>
      <c r="D444" s="315" t="s">
        <v>182</v>
      </c>
      <c r="E444" s="315" t="s">
        <v>1681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2104</v>
      </c>
      <c r="T444" s="315" t="s">
        <v>2105</v>
      </c>
      <c r="U444" s="318">
        <v>592710.92599999998</v>
      </c>
      <c r="V444" s="318">
        <v>2646274.9559999998</v>
      </c>
      <c r="W444" s="320"/>
      <c r="X444" s="315" t="s">
        <v>1675</v>
      </c>
      <c r="Y444" s="315" t="s">
        <v>1573</v>
      </c>
      <c r="Z444" s="335" t="s">
        <v>1574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1122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1025</v>
      </c>
      <c r="C446" s="323" t="s">
        <v>256</v>
      </c>
      <c r="D446" s="332" t="s">
        <v>31</v>
      </c>
      <c r="E446" s="331" t="s">
        <v>1025</v>
      </c>
      <c r="F446" s="331"/>
      <c r="G446" s="331" t="s">
        <v>1025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1682</v>
      </c>
      <c r="T446" s="331" t="s">
        <v>1683</v>
      </c>
      <c r="U446" s="331">
        <v>593091.10400000005</v>
      </c>
      <c r="V446" s="331">
        <v>2646116.1830000002</v>
      </c>
      <c r="W446" s="331"/>
      <c r="X446" s="315" t="s">
        <v>1684</v>
      </c>
      <c r="Y446" s="315" t="s">
        <v>1573</v>
      </c>
      <c r="Z446" s="335" t="s">
        <v>1574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1101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1025</v>
      </c>
      <c r="C448" s="323" t="s">
        <v>257</v>
      </c>
      <c r="D448" s="332" t="s">
        <v>16</v>
      </c>
      <c r="E448" s="331" t="s">
        <v>1025</v>
      </c>
      <c r="F448" s="331"/>
      <c r="G448" s="331" t="s">
        <v>1025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1685</v>
      </c>
      <c r="T448" s="331" t="s">
        <v>1686</v>
      </c>
      <c r="U448" s="331">
        <v>593467.59100000001</v>
      </c>
      <c r="V448" s="331">
        <v>2645958.952</v>
      </c>
      <c r="W448" s="331"/>
      <c r="X448" s="315" t="s">
        <v>1684</v>
      </c>
      <c r="Y448" s="315" t="s">
        <v>1573</v>
      </c>
      <c r="Z448" s="335" t="s">
        <v>1574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1101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1025</v>
      </c>
      <c r="C450" s="323" t="s">
        <v>258</v>
      </c>
      <c r="D450" s="332" t="s">
        <v>31</v>
      </c>
      <c r="E450" s="331" t="s">
        <v>1025</v>
      </c>
      <c r="F450" s="331"/>
      <c r="G450" s="331" t="s">
        <v>1025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1687</v>
      </c>
      <c r="T450" s="331" t="s">
        <v>1688</v>
      </c>
      <c r="U450" s="331">
        <v>593848.69200000004</v>
      </c>
      <c r="V450" s="331">
        <v>2645799.7940000002</v>
      </c>
      <c r="W450" s="331"/>
      <c r="X450" s="315" t="s">
        <v>1666</v>
      </c>
      <c r="Y450" s="315" t="s">
        <v>1573</v>
      </c>
      <c r="Z450" s="335" t="s">
        <v>1574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1138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1025</v>
      </c>
      <c r="C452" s="323" t="s">
        <v>259</v>
      </c>
      <c r="D452" s="332" t="s">
        <v>33</v>
      </c>
      <c r="E452" s="331" t="s">
        <v>1025</v>
      </c>
      <c r="F452" s="331"/>
      <c r="G452" s="331" t="s">
        <v>1025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1689</v>
      </c>
      <c r="T452" s="331" t="s">
        <v>1690</v>
      </c>
      <c r="U452" s="331">
        <v>594227.02399999998</v>
      </c>
      <c r="V452" s="331">
        <v>2645641.7919999999</v>
      </c>
      <c r="W452" s="331"/>
      <c r="X452" s="315" t="s">
        <v>1666</v>
      </c>
      <c r="Y452" s="315" t="s">
        <v>1573</v>
      </c>
      <c r="Z452" s="335" t="s">
        <v>1574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1122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1025</v>
      </c>
      <c r="C454" s="323" t="s">
        <v>260</v>
      </c>
      <c r="D454" s="332" t="s">
        <v>33</v>
      </c>
      <c r="E454" s="331" t="s">
        <v>1025</v>
      </c>
      <c r="F454" s="331"/>
      <c r="G454" s="331" t="s">
        <v>1025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1691</v>
      </c>
      <c r="T454" s="331" t="s">
        <v>1692</v>
      </c>
      <c r="U454" s="331">
        <v>594601.66500000004</v>
      </c>
      <c r="V454" s="331">
        <v>2645485.3319999999</v>
      </c>
      <c r="W454" s="331"/>
      <c r="X454" s="315" t="s">
        <v>1666</v>
      </c>
      <c r="Y454" s="315" t="s">
        <v>1573</v>
      </c>
      <c r="Z454" s="335" t="s">
        <v>1574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1138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1025</v>
      </c>
      <c r="C456" s="323" t="s">
        <v>261</v>
      </c>
      <c r="D456" s="332" t="s">
        <v>33</v>
      </c>
      <c r="E456" s="331" t="s">
        <v>1025</v>
      </c>
      <c r="F456" s="331"/>
      <c r="G456" s="331" t="s">
        <v>1025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1693</v>
      </c>
      <c r="T456" s="331" t="s">
        <v>1694</v>
      </c>
      <c r="U456" s="331">
        <v>594980.92000000004</v>
      </c>
      <c r="V456" s="331">
        <v>2645326.9449999998</v>
      </c>
      <c r="W456" s="331"/>
      <c r="X456" s="315" t="s">
        <v>1666</v>
      </c>
      <c r="Y456" s="315" t="s">
        <v>1573</v>
      </c>
      <c r="Z456" s="335" t="s">
        <v>1574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1122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1025</v>
      </c>
      <c r="C458" s="323" t="s">
        <v>262</v>
      </c>
      <c r="D458" s="332" t="s">
        <v>31</v>
      </c>
      <c r="E458" s="331" t="s">
        <v>1025</v>
      </c>
      <c r="F458" s="331"/>
      <c r="G458" s="331" t="s">
        <v>1025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1695</v>
      </c>
      <c r="T458" s="331" t="s">
        <v>1696</v>
      </c>
      <c r="U458" s="331">
        <v>595324.18799999997</v>
      </c>
      <c r="V458" s="331">
        <v>2645183.5869999998</v>
      </c>
      <c r="W458" s="331"/>
      <c r="X458" s="315" t="s">
        <v>1666</v>
      </c>
      <c r="Y458" s="315" t="s">
        <v>1573</v>
      </c>
      <c r="Z458" s="335" t="s">
        <v>1574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1087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1025</v>
      </c>
      <c r="C460" s="323" t="s">
        <v>263</v>
      </c>
      <c r="D460" s="332" t="s">
        <v>31</v>
      </c>
      <c r="E460" s="331" t="s">
        <v>1025</v>
      </c>
      <c r="F460" s="331"/>
      <c r="G460" s="331" t="s">
        <v>1025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1697</v>
      </c>
      <c r="T460" s="331" t="s">
        <v>1698</v>
      </c>
      <c r="U460" s="331">
        <v>595680.37399999995</v>
      </c>
      <c r="V460" s="331">
        <v>2645034.8339999998</v>
      </c>
      <c r="W460" s="331"/>
      <c r="X460" s="315" t="s">
        <v>1666</v>
      </c>
      <c r="Y460" s="315" t="s">
        <v>1573</v>
      </c>
      <c r="Z460" s="335" t="s">
        <v>1574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1090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1025</v>
      </c>
      <c r="C462" s="323" t="s">
        <v>264</v>
      </c>
      <c r="D462" s="332" t="s">
        <v>31</v>
      </c>
      <c r="E462" s="331" t="s">
        <v>1025</v>
      </c>
      <c r="F462" s="331"/>
      <c r="G462" s="331" t="s">
        <v>1025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1699</v>
      </c>
      <c r="T462" s="331" t="s">
        <v>1700</v>
      </c>
      <c r="U462" s="331">
        <v>596021.79599999997</v>
      </c>
      <c r="V462" s="331">
        <v>2644892.247</v>
      </c>
      <c r="W462" s="331"/>
      <c r="X462" s="315" t="s">
        <v>1666</v>
      </c>
      <c r="Y462" s="315" t="s">
        <v>1573</v>
      </c>
      <c r="Z462" s="335" t="s">
        <v>1574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1087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1025</v>
      </c>
      <c r="C464" s="323" t="s">
        <v>265</v>
      </c>
      <c r="D464" s="332" t="s">
        <v>33</v>
      </c>
      <c r="E464" s="331" t="s">
        <v>1025</v>
      </c>
      <c r="F464" s="331"/>
      <c r="G464" s="331" t="s">
        <v>1025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1701</v>
      </c>
      <c r="T464" s="331" t="s">
        <v>1702</v>
      </c>
      <c r="U464" s="331">
        <v>596374.29099999997</v>
      </c>
      <c r="V464" s="331">
        <v>2644745.0359999998</v>
      </c>
      <c r="W464" s="331"/>
      <c r="X464" s="315" t="s">
        <v>1666</v>
      </c>
      <c r="Y464" s="315" t="s">
        <v>1573</v>
      </c>
      <c r="Z464" s="335" t="s">
        <v>1574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1122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1025</v>
      </c>
      <c r="C466" s="323" t="s">
        <v>266</v>
      </c>
      <c r="D466" s="332" t="s">
        <v>16</v>
      </c>
      <c r="E466" s="331" t="s">
        <v>1025</v>
      </c>
      <c r="F466" s="331"/>
      <c r="G466" s="331" t="s">
        <v>1025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1703</v>
      </c>
      <c r="T466" s="331" t="s">
        <v>1704</v>
      </c>
      <c r="U466" s="331">
        <v>596728.63199999998</v>
      </c>
      <c r="V466" s="331">
        <v>2644597.0529999998</v>
      </c>
      <c r="W466" s="331"/>
      <c r="X466" s="315" t="s">
        <v>1705</v>
      </c>
      <c r="Y466" s="315" t="s">
        <v>1706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1087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1707</v>
      </c>
      <c r="C468" s="315" t="s">
        <v>267</v>
      </c>
      <c r="D468" s="332" t="s">
        <v>28</v>
      </c>
      <c r="E468" s="332" t="s">
        <v>1708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1709</v>
      </c>
      <c r="T468" s="332" t="s">
        <v>1710</v>
      </c>
      <c r="U468" s="333">
        <v>597081.15300000005</v>
      </c>
      <c r="V468" s="333">
        <v>2644449.8309999998</v>
      </c>
      <c r="W468" s="334"/>
      <c r="X468" s="315" t="s">
        <v>1705</v>
      </c>
      <c r="Y468" s="315" t="s">
        <v>1706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1711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1025</v>
      </c>
      <c r="C470" s="332" t="s">
        <v>268</v>
      </c>
      <c r="D470" s="332" t="s">
        <v>31</v>
      </c>
      <c r="E470" s="332" t="s">
        <v>1025</v>
      </c>
      <c r="F470" s="362"/>
      <c r="G470" s="332" t="s">
        <v>1025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1712</v>
      </c>
      <c r="T470" s="332" t="s">
        <v>1713</v>
      </c>
      <c r="U470" s="333">
        <v>597422.68700000003</v>
      </c>
      <c r="V470" s="333">
        <v>2644345.89</v>
      </c>
      <c r="W470" s="334"/>
      <c r="X470" s="315" t="s">
        <v>1705</v>
      </c>
      <c r="Y470" s="315" t="s">
        <v>1706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1714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1025</v>
      </c>
      <c r="C472" s="332" t="s">
        <v>269</v>
      </c>
      <c r="D472" s="332" t="s">
        <v>14</v>
      </c>
      <c r="E472" s="332" t="s">
        <v>1025</v>
      </c>
      <c r="F472" s="362"/>
      <c r="G472" s="332" t="s">
        <v>1025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1715</v>
      </c>
      <c r="T472" s="332" t="s">
        <v>1716</v>
      </c>
      <c r="U472" s="333">
        <v>597758.48</v>
      </c>
      <c r="V472" s="333">
        <v>2644243.696</v>
      </c>
      <c r="W472" s="334"/>
      <c r="X472" s="315" t="s">
        <v>1705</v>
      </c>
      <c r="Y472" s="315" t="s">
        <v>1706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1717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1025</v>
      </c>
      <c r="C474" s="332" t="s">
        <v>270</v>
      </c>
      <c r="D474" s="332" t="s">
        <v>33</v>
      </c>
      <c r="E474" s="332" t="s">
        <v>1025</v>
      </c>
      <c r="F474" s="362"/>
      <c r="G474" s="332" t="s">
        <v>1025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1718</v>
      </c>
      <c r="T474" s="332" t="s">
        <v>1719</v>
      </c>
      <c r="U474" s="333">
        <v>598153.58799999999</v>
      </c>
      <c r="V474" s="333">
        <v>2644123.4509999999</v>
      </c>
      <c r="W474" s="334"/>
      <c r="X474" s="315" t="s">
        <v>1705</v>
      </c>
      <c r="Y474" s="315" t="s">
        <v>1706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1720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1025</v>
      </c>
      <c r="C476" s="332" t="s">
        <v>271</v>
      </c>
      <c r="D476" s="332" t="s">
        <v>14</v>
      </c>
      <c r="E476" s="332" t="s">
        <v>1025</v>
      </c>
      <c r="F476" s="362"/>
      <c r="G476" s="332" t="s">
        <v>1025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1721</v>
      </c>
      <c r="T476" s="332" t="s">
        <v>1722</v>
      </c>
      <c r="U476" s="333">
        <v>598558.26199999999</v>
      </c>
      <c r="V476" s="333">
        <v>2644000.2940000002</v>
      </c>
      <c r="W476" s="334"/>
      <c r="X476" s="315" t="s">
        <v>1705</v>
      </c>
      <c r="Y476" s="315" t="s">
        <v>1706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1723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1025</v>
      </c>
      <c r="C478" s="332" t="s">
        <v>272</v>
      </c>
      <c r="D478" s="332" t="s">
        <v>31</v>
      </c>
      <c r="E478" s="332" t="s">
        <v>1025</v>
      </c>
      <c r="F478" s="362"/>
      <c r="G478" s="332" t="s">
        <v>1025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1724</v>
      </c>
      <c r="T478" s="332" t="s">
        <v>1725</v>
      </c>
      <c r="U478" s="333">
        <v>598931.36699999997</v>
      </c>
      <c r="V478" s="333">
        <v>2643886.7450000001</v>
      </c>
      <c r="W478" s="334"/>
      <c r="X478" s="315" t="s">
        <v>1705</v>
      </c>
      <c r="Y478" s="315" t="s">
        <v>1706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1025</v>
      </c>
      <c r="C480" s="332" t="s">
        <v>273</v>
      </c>
      <c r="D480" s="332" t="s">
        <v>33</v>
      </c>
      <c r="E480" s="332" t="s">
        <v>1025</v>
      </c>
      <c r="F480" s="362"/>
      <c r="G480" s="332" t="s">
        <v>1025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1726</v>
      </c>
      <c r="T480" s="332" t="s">
        <v>1727</v>
      </c>
      <c r="U480" s="333">
        <v>599319.777</v>
      </c>
      <c r="V480" s="333">
        <v>2643768.5380000002</v>
      </c>
      <c r="W480" s="334"/>
      <c r="X480" s="315" t="s">
        <v>1705</v>
      </c>
      <c r="Y480" s="315" t="s">
        <v>1706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1728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1025</v>
      </c>
      <c r="C482" s="332" t="s">
        <v>274</v>
      </c>
      <c r="D482" s="332" t="s">
        <v>14</v>
      </c>
      <c r="E482" s="332" t="s">
        <v>1025</v>
      </c>
      <c r="F482" s="362"/>
      <c r="G482" s="332" t="s">
        <v>1025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1729</v>
      </c>
      <c r="T482" s="332" t="s">
        <v>1730</v>
      </c>
      <c r="U482" s="333">
        <v>599692.88199999998</v>
      </c>
      <c r="V482" s="333">
        <v>2643654.9890000001</v>
      </c>
      <c r="W482" s="341" t="s">
        <v>1236</v>
      </c>
      <c r="X482" s="315" t="s">
        <v>1731</v>
      </c>
      <c r="Y482" s="315" t="s">
        <v>1706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1037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1025</v>
      </c>
      <c r="C484" s="332" t="s">
        <v>275</v>
      </c>
      <c r="D484" s="332" t="s">
        <v>31</v>
      </c>
      <c r="E484" s="332" t="s">
        <v>1025</v>
      </c>
      <c r="F484" s="362"/>
      <c r="G484" s="332" t="s">
        <v>1025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1732</v>
      </c>
      <c r="T484" s="332" t="s">
        <v>1733</v>
      </c>
      <c r="U484" s="333">
        <v>600068.85600000003</v>
      </c>
      <c r="V484" s="333">
        <v>2643540.5669999998</v>
      </c>
      <c r="W484" s="334"/>
      <c r="X484" s="315" t="s">
        <v>1731</v>
      </c>
      <c r="Y484" s="315" t="s">
        <v>1706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1734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1025</v>
      </c>
      <c r="C486" s="332" t="s">
        <v>276</v>
      </c>
      <c r="D486" s="332" t="s">
        <v>33</v>
      </c>
      <c r="E486" s="332" t="s">
        <v>1025</v>
      </c>
      <c r="F486" s="362"/>
      <c r="G486" s="332" t="s">
        <v>1025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1735</v>
      </c>
      <c r="T486" s="332" t="s">
        <v>1736</v>
      </c>
      <c r="U486" s="333">
        <v>600476.4</v>
      </c>
      <c r="V486" s="333">
        <v>2643416.5359999998</v>
      </c>
      <c r="W486" s="334"/>
      <c r="X486" s="315" t="s">
        <v>1737</v>
      </c>
      <c r="Y486" s="315" t="s">
        <v>1706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1738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1739</v>
      </c>
      <c r="C488" s="332" t="s">
        <v>277</v>
      </c>
      <c r="D488" s="332" t="s">
        <v>28</v>
      </c>
      <c r="E488" s="332" t="s">
        <v>1740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1741</v>
      </c>
      <c r="T488" s="332" t="s">
        <v>1742</v>
      </c>
      <c r="U488" s="333">
        <v>600865.78399999999</v>
      </c>
      <c r="V488" s="333">
        <v>2643298.0329999998</v>
      </c>
      <c r="W488" s="334"/>
      <c r="X488" s="315" t="s">
        <v>1737</v>
      </c>
      <c r="Y488" s="315" t="s">
        <v>1706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1743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1025</v>
      </c>
      <c r="C490" s="332" t="s">
        <v>278</v>
      </c>
      <c r="D490" s="332" t="s">
        <v>16</v>
      </c>
      <c r="E490" s="332" t="s">
        <v>1025</v>
      </c>
      <c r="F490" s="362"/>
      <c r="G490" s="362" t="s">
        <v>1025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1744</v>
      </c>
      <c r="T490" s="332" t="s">
        <v>1745</v>
      </c>
      <c r="U490" s="333">
        <v>601239.1</v>
      </c>
      <c r="V490" s="333">
        <v>2643143.594</v>
      </c>
      <c r="W490" s="334"/>
      <c r="X490" s="315" t="s">
        <v>1737</v>
      </c>
      <c r="Y490" s="315" t="s">
        <v>1706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1037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1025</v>
      </c>
      <c r="C492" s="332" t="s">
        <v>279</v>
      </c>
      <c r="D492" s="332" t="s">
        <v>31</v>
      </c>
      <c r="E492" s="332" t="s">
        <v>1025</v>
      </c>
      <c r="F492" s="362"/>
      <c r="G492" s="362" t="s">
        <v>1025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1746</v>
      </c>
      <c r="T492" s="332" t="s">
        <v>1747</v>
      </c>
      <c r="U492" s="333">
        <v>601625.35199999996</v>
      </c>
      <c r="V492" s="333">
        <v>2642983.804</v>
      </c>
      <c r="W492" s="334"/>
      <c r="X492" s="315" t="s">
        <v>1737</v>
      </c>
      <c r="Y492" s="315" t="s">
        <v>1706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1748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1025</v>
      </c>
      <c r="C494" s="332" t="s">
        <v>280</v>
      </c>
      <c r="D494" s="332" t="s">
        <v>33</v>
      </c>
      <c r="E494" s="332" t="s">
        <v>1025</v>
      </c>
      <c r="F494" s="362"/>
      <c r="G494" s="362" t="s">
        <v>1025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1749</v>
      </c>
      <c r="T494" s="332" t="s">
        <v>1750</v>
      </c>
      <c r="U494" s="333">
        <v>602006.98499999999</v>
      </c>
      <c r="V494" s="333">
        <v>2642825.9249999998</v>
      </c>
      <c r="W494" s="334"/>
      <c r="X494" s="315" t="s">
        <v>1737</v>
      </c>
      <c r="Y494" s="315" t="s">
        <v>1706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1751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1025</v>
      </c>
      <c r="C496" s="332" t="s">
        <v>281</v>
      </c>
      <c r="D496" s="332" t="s">
        <v>31</v>
      </c>
      <c r="E496" s="332" t="s">
        <v>1025</v>
      </c>
      <c r="F496" s="362"/>
      <c r="G496" s="362" t="s">
        <v>1025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1752</v>
      </c>
      <c r="T496" s="332" t="s">
        <v>1753</v>
      </c>
      <c r="U496" s="333">
        <v>602385.84499999997</v>
      </c>
      <c r="V496" s="333">
        <v>2642669.1919999998</v>
      </c>
      <c r="W496" s="334"/>
      <c r="X496" s="315" t="s">
        <v>1737</v>
      </c>
      <c r="Y496" s="315" t="s">
        <v>1706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1277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1025</v>
      </c>
      <c r="C498" s="332" t="s">
        <v>282</v>
      </c>
      <c r="D498" s="332" t="s">
        <v>31</v>
      </c>
      <c r="E498" s="332" t="s">
        <v>1025</v>
      </c>
      <c r="F498" s="362"/>
      <c r="G498" s="362" t="s">
        <v>1025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1754</v>
      </c>
      <c r="T498" s="332" t="s">
        <v>1755</v>
      </c>
      <c r="U498" s="333">
        <v>602779.49</v>
      </c>
      <c r="V498" s="333">
        <v>2642506.344</v>
      </c>
      <c r="W498" s="334"/>
      <c r="X498" s="315" t="s">
        <v>1756</v>
      </c>
      <c r="Y498" s="315" t="s">
        <v>1706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1757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1025</v>
      </c>
      <c r="C500" s="332" t="s">
        <v>283</v>
      </c>
      <c r="D500" s="332" t="s">
        <v>16</v>
      </c>
      <c r="E500" s="332" t="s">
        <v>1025</v>
      </c>
      <c r="F500" s="362"/>
      <c r="G500" s="362" t="s">
        <v>1025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1758</v>
      </c>
      <c r="R500" s="332">
        <v>358</v>
      </c>
      <c r="S500" s="332" t="s">
        <v>1759</v>
      </c>
      <c r="T500" s="332" t="s">
        <v>1760</v>
      </c>
      <c r="U500" s="333">
        <v>603146.33700000006</v>
      </c>
      <c r="V500" s="333">
        <v>2642354.5809999998</v>
      </c>
      <c r="W500" s="334"/>
      <c r="X500" s="315" t="s">
        <v>1761</v>
      </c>
      <c r="Y500" s="315" t="s">
        <v>1706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1464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1762</v>
      </c>
      <c r="C502" s="332" t="s">
        <v>284</v>
      </c>
      <c r="D502" s="332" t="s">
        <v>146</v>
      </c>
      <c r="E502" s="332" t="s">
        <v>1763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1764</v>
      </c>
      <c r="T502" s="332" t="s">
        <v>1765</v>
      </c>
      <c r="U502" s="333">
        <v>603519.99399999995</v>
      </c>
      <c r="V502" s="333">
        <v>2642200.0010000002</v>
      </c>
      <c r="W502" s="334"/>
      <c r="X502" s="315" t="s">
        <v>1761</v>
      </c>
      <c r="Y502" s="315" t="s">
        <v>1706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1766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1767</v>
      </c>
      <c r="C504" s="332" t="s">
        <v>285</v>
      </c>
      <c r="D504" s="332" t="s">
        <v>118</v>
      </c>
      <c r="E504" s="332" t="s">
        <v>1768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1769</v>
      </c>
      <c r="T504" s="332" t="s">
        <v>1770</v>
      </c>
      <c r="U504" s="333">
        <v>603743.63100000005</v>
      </c>
      <c r="V504" s="333">
        <v>2642190.9309999999</v>
      </c>
      <c r="W504" s="334"/>
      <c r="X504" s="315" t="s">
        <v>1761</v>
      </c>
      <c r="Y504" s="315" t="s">
        <v>1706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1277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1025</v>
      </c>
      <c r="C506" s="332" t="s">
        <v>286</v>
      </c>
      <c r="D506" s="332" t="s">
        <v>31</v>
      </c>
      <c r="E506" s="332" t="s">
        <v>1025</v>
      </c>
      <c r="F506" s="362"/>
      <c r="G506" s="362" t="s">
        <v>1025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1771</v>
      </c>
      <c r="T506" s="332" t="s">
        <v>1772</v>
      </c>
      <c r="U506" s="333">
        <v>604093.49899999995</v>
      </c>
      <c r="V506" s="333">
        <v>2641954.9730000002</v>
      </c>
      <c r="W506" s="334"/>
      <c r="X506" s="315" t="s">
        <v>1761</v>
      </c>
      <c r="Y506" s="315" t="s">
        <v>1706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1773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1025</v>
      </c>
      <c r="C508" s="332" t="s">
        <v>287</v>
      </c>
      <c r="D508" s="332" t="s">
        <v>23</v>
      </c>
      <c r="E508" s="332" t="s">
        <v>1025</v>
      </c>
      <c r="F508" s="362"/>
      <c r="G508" s="362" t="s">
        <v>1025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1774</v>
      </c>
      <c r="T508" s="332" t="s">
        <v>1775</v>
      </c>
      <c r="U508" s="333">
        <v>604377.87100000004</v>
      </c>
      <c r="V508" s="333">
        <v>2641763.1869999999</v>
      </c>
      <c r="W508" s="334"/>
      <c r="X508" s="315" t="s">
        <v>1761</v>
      </c>
      <c r="Y508" s="315" t="s">
        <v>1706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1314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1025</v>
      </c>
      <c r="C510" s="332" t="s">
        <v>288</v>
      </c>
      <c r="D510" s="332" t="s">
        <v>23</v>
      </c>
      <c r="E510" s="332" t="s">
        <v>1025</v>
      </c>
      <c r="F510" s="363"/>
      <c r="G510" s="362" t="s">
        <v>1025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2106</v>
      </c>
      <c r="T510" s="332" t="s">
        <v>2107</v>
      </c>
      <c r="U510" s="332">
        <v>604676.33400000003</v>
      </c>
      <c r="V510" s="332">
        <v>2641561.8969999999</v>
      </c>
      <c r="W510" s="334"/>
      <c r="X510" s="315" t="s">
        <v>1776</v>
      </c>
      <c r="Y510" s="315" t="s">
        <v>1706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1777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1778</v>
      </c>
      <c r="C512" s="315" t="s">
        <v>289</v>
      </c>
      <c r="D512" s="315" t="s">
        <v>40</v>
      </c>
      <c r="E512" s="315" t="s">
        <v>1779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2108</v>
      </c>
      <c r="T512" s="315" t="s">
        <v>2109</v>
      </c>
      <c r="U512" s="318">
        <v>604957.95700000005</v>
      </c>
      <c r="V512" s="318">
        <v>2641371.9649999999</v>
      </c>
      <c r="W512" s="320"/>
      <c r="X512" s="315" t="s">
        <v>1776</v>
      </c>
      <c r="Y512" s="315" t="s">
        <v>1706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1780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1025</v>
      </c>
      <c r="C514" s="315" t="s">
        <v>290</v>
      </c>
      <c r="D514" s="315" t="s">
        <v>35</v>
      </c>
      <c r="E514" s="315" t="s">
        <v>1025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2110</v>
      </c>
      <c r="T514" s="315" t="s">
        <v>2111</v>
      </c>
      <c r="U514" s="318">
        <v>605361.56299999997</v>
      </c>
      <c r="V514" s="318">
        <v>2641305.7590000001</v>
      </c>
      <c r="W514" s="320"/>
      <c r="X514" s="315" t="s">
        <v>1776</v>
      </c>
      <c r="Y514" s="315" t="s">
        <v>1706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1069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1781</v>
      </c>
      <c r="C516" s="315" t="s">
        <v>291</v>
      </c>
      <c r="D516" s="315" t="s">
        <v>113</v>
      </c>
      <c r="E516" s="315" t="s">
        <v>1782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2112</v>
      </c>
      <c r="T516" s="315" t="s">
        <v>2113</v>
      </c>
      <c r="U516" s="318">
        <v>605747.46799999999</v>
      </c>
      <c r="V516" s="318">
        <v>2641242.4559999998</v>
      </c>
      <c r="W516" s="320"/>
      <c r="X516" s="315" t="s">
        <v>1776</v>
      </c>
      <c r="Y516" s="315" t="s">
        <v>1706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1783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1784</v>
      </c>
      <c r="C518" s="315" t="s">
        <v>292</v>
      </c>
      <c r="D518" s="315" t="s">
        <v>803</v>
      </c>
      <c r="E518" s="315" t="s">
        <v>1785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2114</v>
      </c>
      <c r="T518" s="315" t="s">
        <v>2115</v>
      </c>
      <c r="U518" s="318">
        <v>606109</v>
      </c>
      <c r="V518" s="318">
        <v>2641107</v>
      </c>
      <c r="W518" s="320"/>
      <c r="X518" s="315" t="s">
        <v>1786</v>
      </c>
      <c r="Y518" s="315" t="s">
        <v>1706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1787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1788</v>
      </c>
      <c r="C520" s="315" t="s">
        <v>391</v>
      </c>
      <c r="D520" s="315" t="s">
        <v>804</v>
      </c>
      <c r="E520" s="315" t="s">
        <v>1789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2116</v>
      </c>
      <c r="T520" s="315" t="s">
        <v>2117</v>
      </c>
      <c r="U520" s="318">
        <v>606446.73</v>
      </c>
      <c r="V520" s="318">
        <v>2640948.9389999998</v>
      </c>
      <c r="W520" s="320"/>
      <c r="X520" s="315" t="s">
        <v>1786</v>
      </c>
      <c r="Y520" s="315" t="s">
        <v>1706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1069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1025</v>
      </c>
      <c r="C522" s="315" t="s">
        <v>392</v>
      </c>
      <c r="D522" s="315" t="s">
        <v>33</v>
      </c>
      <c r="E522" s="315" t="s">
        <v>1025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2118</v>
      </c>
      <c r="T522" s="315" t="s">
        <v>2119</v>
      </c>
      <c r="U522" s="318">
        <v>606704.12</v>
      </c>
      <c r="V522" s="318">
        <v>2640737.6579999998</v>
      </c>
      <c r="W522" s="320"/>
      <c r="X522" s="315" t="s">
        <v>1786</v>
      </c>
      <c r="Y522" s="315" t="s">
        <v>1706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1790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1791</v>
      </c>
      <c r="C524" s="315" t="s">
        <v>293</v>
      </c>
      <c r="D524" s="315" t="s">
        <v>146</v>
      </c>
      <c r="E524" s="315" t="s">
        <v>1792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2120</v>
      </c>
      <c r="T524" s="315" t="s">
        <v>2121</v>
      </c>
      <c r="U524" s="318">
        <v>606980.17000000004</v>
      </c>
      <c r="V524" s="318">
        <v>2640511.06</v>
      </c>
      <c r="W524" s="320"/>
      <c r="X524" s="315" t="s">
        <v>1793</v>
      </c>
      <c r="Y524" s="315" t="s">
        <v>1706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1794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1795</v>
      </c>
      <c r="C526" s="315" t="s">
        <v>294</v>
      </c>
      <c r="D526" s="315" t="s">
        <v>172</v>
      </c>
      <c r="E526" s="315" t="s">
        <v>1796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1797</v>
      </c>
      <c r="T526" s="315" t="s">
        <v>1798</v>
      </c>
      <c r="U526" s="315">
        <v>607070.10199999996</v>
      </c>
      <c r="V526" s="315">
        <v>2640294.8459999999</v>
      </c>
      <c r="W526" s="366" t="s">
        <v>1799</v>
      </c>
      <c r="X526" s="315" t="s">
        <v>1793</v>
      </c>
      <c r="Y526" s="315" t="s">
        <v>1706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1800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1025</v>
      </c>
      <c r="C528" s="315" t="s">
        <v>295</v>
      </c>
      <c r="D528" s="315" t="s">
        <v>16</v>
      </c>
      <c r="E528" s="315" t="s">
        <v>1025</v>
      </c>
      <c r="F528" s="315"/>
      <c r="G528" s="315" t="s">
        <v>1025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1801</v>
      </c>
      <c r="T528" s="315" t="s">
        <v>1802</v>
      </c>
      <c r="U528" s="315">
        <v>607403.304</v>
      </c>
      <c r="V528" s="315">
        <v>2640181.355</v>
      </c>
      <c r="W528" s="320"/>
      <c r="X528" s="315" t="s">
        <v>1793</v>
      </c>
      <c r="Y528" s="315" t="s">
        <v>1706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1025</v>
      </c>
      <c r="C530" s="315" t="s">
        <v>296</v>
      </c>
      <c r="D530" s="315" t="s">
        <v>33</v>
      </c>
      <c r="E530" s="315" t="s">
        <v>1025</v>
      </c>
      <c r="F530" s="315"/>
      <c r="G530" s="315" t="s">
        <v>1025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1803</v>
      </c>
      <c r="T530" s="315" t="s">
        <v>1804</v>
      </c>
      <c r="U530" s="315">
        <v>607737.45299999998</v>
      </c>
      <c r="V530" s="315">
        <v>2640067.5410000002</v>
      </c>
      <c r="W530" s="369"/>
      <c r="X530" s="315" t="s">
        <v>1793</v>
      </c>
      <c r="Y530" s="315" t="s">
        <v>1706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1805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1806</v>
      </c>
      <c r="C532" s="315" t="s">
        <v>297</v>
      </c>
      <c r="D532" s="315" t="s">
        <v>154</v>
      </c>
      <c r="E532" s="315" t="s">
        <v>1807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1808</v>
      </c>
      <c r="T532" s="315" t="s">
        <v>1809</v>
      </c>
      <c r="U532" s="315">
        <v>608071.22900000005</v>
      </c>
      <c r="V532" s="315">
        <v>2639953.855</v>
      </c>
      <c r="W532" s="366" t="s">
        <v>1810</v>
      </c>
      <c r="X532" s="315" t="s">
        <v>1811</v>
      </c>
      <c r="Y532" s="315" t="s">
        <v>1706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1812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1025</v>
      </c>
      <c r="C534" s="315" t="s">
        <v>298</v>
      </c>
      <c r="D534" s="315" t="s">
        <v>299</v>
      </c>
      <c r="E534" s="315" t="s">
        <v>1025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1813</v>
      </c>
      <c r="T534" s="315" t="s">
        <v>1814</v>
      </c>
      <c r="U534" s="315">
        <v>608336.17000000004</v>
      </c>
      <c r="V534" s="315">
        <v>2639913.4789999998</v>
      </c>
      <c r="W534" s="366" t="s">
        <v>1810</v>
      </c>
      <c r="X534" s="315" t="s">
        <v>1811</v>
      </c>
      <c r="Y534" s="315" t="s">
        <v>1706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1815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1025</v>
      </c>
      <c r="C536" s="315" t="s">
        <v>300</v>
      </c>
      <c r="D536" s="315" t="s">
        <v>390</v>
      </c>
      <c r="E536" s="315" t="s">
        <v>1025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1816</v>
      </c>
      <c r="T536" s="315" t="s">
        <v>1817</v>
      </c>
      <c r="U536" s="315">
        <v>608638.67700000003</v>
      </c>
      <c r="V536" s="315">
        <v>2639867.3769999999</v>
      </c>
      <c r="W536" s="320"/>
      <c r="X536" s="315" t="s">
        <v>1811</v>
      </c>
      <c r="Y536" s="315" t="s">
        <v>1706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1266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1025</v>
      </c>
      <c r="C538" s="315" t="s">
        <v>301</v>
      </c>
      <c r="D538" s="315" t="s">
        <v>23</v>
      </c>
      <c r="E538" s="315" t="s">
        <v>1025</v>
      </c>
      <c r="F538" s="315"/>
      <c r="G538" s="315" t="s">
        <v>1025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1818</v>
      </c>
      <c r="T538" s="315" t="s">
        <v>1819</v>
      </c>
      <c r="U538" s="315">
        <v>608932.28700000001</v>
      </c>
      <c r="V538" s="315">
        <v>2639822.6320000002</v>
      </c>
      <c r="W538" s="366" t="s">
        <v>1810</v>
      </c>
      <c r="X538" s="315" t="s">
        <v>1811</v>
      </c>
      <c r="Y538" s="315" t="s">
        <v>1706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1820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1821</v>
      </c>
      <c r="C540" s="315" t="s">
        <v>302</v>
      </c>
      <c r="D540" s="315" t="s">
        <v>61</v>
      </c>
      <c r="E540" s="315" t="s">
        <v>1822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1823</v>
      </c>
      <c r="T540" s="315" t="s">
        <v>1824</v>
      </c>
      <c r="U540" s="315">
        <v>609341.96</v>
      </c>
      <c r="V540" s="315">
        <v>2639760.199</v>
      </c>
      <c r="W540" s="366" t="s">
        <v>1810</v>
      </c>
      <c r="X540" s="315" t="s">
        <v>1811</v>
      </c>
      <c r="Y540" s="315" t="s">
        <v>1706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1825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1025</v>
      </c>
      <c r="C542" s="315" t="s">
        <v>303</v>
      </c>
      <c r="D542" s="315" t="s">
        <v>238</v>
      </c>
      <c r="E542" s="315" t="s">
        <v>1025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1826</v>
      </c>
      <c r="T542" s="315" t="s">
        <v>1827</v>
      </c>
      <c r="U542" s="315">
        <v>609659.03599999996</v>
      </c>
      <c r="V542" s="315">
        <v>2639661.7779999999</v>
      </c>
      <c r="W542" s="320"/>
      <c r="X542" s="315" t="s">
        <v>1811</v>
      </c>
      <c r="Y542" s="315" t="s">
        <v>1706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1069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1025</v>
      </c>
      <c r="C544" s="315" t="s">
        <v>304</v>
      </c>
      <c r="D544" s="315" t="s">
        <v>35</v>
      </c>
      <c r="E544" s="315" t="s">
        <v>1025</v>
      </c>
      <c r="F544" s="315"/>
      <c r="G544" s="315" t="s">
        <v>1025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1828</v>
      </c>
      <c r="T544" s="315" t="s">
        <v>1829</v>
      </c>
      <c r="U544" s="315">
        <v>610050.60600000003</v>
      </c>
      <c r="V544" s="315">
        <v>2639540.233</v>
      </c>
      <c r="W544" s="320"/>
      <c r="X544" s="315" t="s">
        <v>1811</v>
      </c>
      <c r="Y544" s="315" t="s">
        <v>1706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1830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1025</v>
      </c>
      <c r="C546" s="315" t="s">
        <v>305</v>
      </c>
      <c r="D546" s="315" t="s">
        <v>33</v>
      </c>
      <c r="E546" s="315" t="s">
        <v>1025</v>
      </c>
      <c r="F546" s="315"/>
      <c r="G546" s="315" t="s">
        <v>1025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1831</v>
      </c>
      <c r="T546" s="315" t="s">
        <v>1832</v>
      </c>
      <c r="U546" s="315">
        <v>610445.99600000004</v>
      </c>
      <c r="V546" s="315">
        <v>2639417.503</v>
      </c>
      <c r="W546" s="320"/>
      <c r="X546" s="315" t="s">
        <v>1811</v>
      </c>
      <c r="Y546" s="315" t="s">
        <v>1706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1833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1025</v>
      </c>
      <c r="C548" s="315" t="s">
        <v>306</v>
      </c>
      <c r="D548" s="315" t="s">
        <v>31</v>
      </c>
      <c r="E548" s="315" t="s">
        <v>1025</v>
      </c>
      <c r="F548" s="315"/>
      <c r="G548" s="315" t="s">
        <v>1025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1834</v>
      </c>
      <c r="T548" s="315" t="s">
        <v>1835</v>
      </c>
      <c r="U548" s="315">
        <v>610834.701</v>
      </c>
      <c r="V548" s="315">
        <v>2639296.8470000001</v>
      </c>
      <c r="W548" s="320"/>
      <c r="X548" s="315" t="s">
        <v>1811</v>
      </c>
      <c r="Y548" s="315" t="s">
        <v>1706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1836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1837</v>
      </c>
      <c r="C550" s="315" t="s">
        <v>307</v>
      </c>
      <c r="D550" s="315" t="s">
        <v>234</v>
      </c>
      <c r="E550" s="315" t="s">
        <v>1838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1839</v>
      </c>
      <c r="T550" s="315" t="s">
        <v>1840</v>
      </c>
      <c r="U550" s="315">
        <v>611237.62</v>
      </c>
      <c r="V550" s="315">
        <v>2639171.7799999998</v>
      </c>
      <c r="W550" s="366" t="s">
        <v>2122</v>
      </c>
      <c r="X550" s="315" t="s">
        <v>1811</v>
      </c>
      <c r="Y550" s="315" t="s">
        <v>1706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1841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1842</v>
      </c>
      <c r="C552" s="332" t="s">
        <v>308</v>
      </c>
      <c r="D552" s="315" t="s">
        <v>164</v>
      </c>
      <c r="E552" s="332" t="s">
        <v>1843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1844</v>
      </c>
      <c r="T552" s="332" t="s">
        <v>1845</v>
      </c>
      <c r="U552" s="333">
        <v>611681.46400000004</v>
      </c>
      <c r="V552" s="333">
        <v>2638878.1260000002</v>
      </c>
      <c r="W552" s="339" t="s">
        <v>1236</v>
      </c>
      <c r="X552" s="315" t="s">
        <v>1811</v>
      </c>
      <c r="Y552" s="315" t="s">
        <v>1706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1846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1025</v>
      </c>
      <c r="C554" s="332" t="s">
        <v>309</v>
      </c>
      <c r="D554" s="332" t="s">
        <v>20</v>
      </c>
      <c r="E554" s="332" t="s">
        <v>1025</v>
      </c>
      <c r="F554" s="362"/>
      <c r="G554" s="332" t="s">
        <v>1025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2011</v>
      </c>
      <c r="T554" s="315" t="s">
        <v>2012</v>
      </c>
      <c r="U554" s="318">
        <v>612091.07400000002</v>
      </c>
      <c r="V554" s="318">
        <v>2638811.4559999998</v>
      </c>
      <c r="W554" s="331"/>
      <c r="X554" s="315" t="s">
        <v>1847</v>
      </c>
      <c r="Y554" s="315" t="s">
        <v>1848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1849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1850</v>
      </c>
      <c r="C556" s="332" t="s">
        <v>310</v>
      </c>
      <c r="D556" s="315" t="s">
        <v>2013</v>
      </c>
      <c r="E556" s="332" t="s">
        <v>1851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2014</v>
      </c>
      <c r="T556" s="315" t="s">
        <v>2015</v>
      </c>
      <c r="U556" s="318">
        <v>612436.39</v>
      </c>
      <c r="V556" s="318">
        <v>2638755.25</v>
      </c>
      <c r="W556" s="331"/>
      <c r="X556" s="315" t="s">
        <v>1847</v>
      </c>
      <c r="Y556" s="315" t="s">
        <v>1848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1852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1853</v>
      </c>
      <c r="C558" s="332" t="s">
        <v>311</v>
      </c>
      <c r="D558" s="315" t="s">
        <v>156</v>
      </c>
      <c r="E558" s="332" t="s">
        <v>1854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2016</v>
      </c>
      <c r="T558" s="315" t="s">
        <v>2017</v>
      </c>
      <c r="U558" s="318">
        <v>612639.11</v>
      </c>
      <c r="V558" s="318">
        <v>2638610.64</v>
      </c>
      <c r="W558" s="331"/>
      <c r="X558" s="315" t="s">
        <v>1847</v>
      </c>
      <c r="Y558" s="315" t="s">
        <v>1848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1855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1025</v>
      </c>
      <c r="C560" s="332" t="s">
        <v>312</v>
      </c>
      <c r="D560" s="332" t="s">
        <v>16</v>
      </c>
      <c r="E560" s="332" t="s">
        <v>1025</v>
      </c>
      <c r="F560" s="362"/>
      <c r="G560" s="332" t="s">
        <v>1025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2018</v>
      </c>
      <c r="T560" s="315" t="s">
        <v>2019</v>
      </c>
      <c r="U560" s="318">
        <v>612934.94799999997</v>
      </c>
      <c r="V560" s="318">
        <v>2638421.7450000001</v>
      </c>
      <c r="W560" s="331"/>
      <c r="X560" s="315" t="s">
        <v>1847</v>
      </c>
      <c r="Y560" s="315" t="s">
        <v>1848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1856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1857</v>
      </c>
      <c r="C562" s="332" t="s">
        <v>313</v>
      </c>
      <c r="D562" s="332" t="s">
        <v>314</v>
      </c>
      <c r="E562" s="332" t="s">
        <v>1858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1859</v>
      </c>
      <c r="T562" s="332" t="s">
        <v>1860</v>
      </c>
      <c r="U562" s="333">
        <v>613193.92000000004</v>
      </c>
      <c r="V562" s="333">
        <v>2638256.39</v>
      </c>
      <c r="W562" s="331"/>
      <c r="X562" s="315" t="s">
        <v>1847</v>
      </c>
      <c r="Y562" s="315" t="s">
        <v>1848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1861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1862</v>
      </c>
      <c r="C564" s="332" t="s">
        <v>315</v>
      </c>
      <c r="D564" s="332" t="s">
        <v>148</v>
      </c>
      <c r="E564" s="332" t="s">
        <v>1863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1864</v>
      </c>
      <c r="T564" s="332" t="s">
        <v>1865</v>
      </c>
      <c r="U564" s="333">
        <v>613410.22</v>
      </c>
      <c r="V564" s="333">
        <v>2638129.9270000001</v>
      </c>
      <c r="W564" s="331"/>
      <c r="X564" s="315" t="s">
        <v>1847</v>
      </c>
      <c r="Y564" s="315" t="s">
        <v>1848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1122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1025</v>
      </c>
      <c r="C566" s="332" t="s">
        <v>316</v>
      </c>
      <c r="D566" s="332" t="s">
        <v>23</v>
      </c>
      <c r="E566" s="332" t="s">
        <v>1025</v>
      </c>
      <c r="F566" s="362"/>
      <c r="G566" s="332" t="s">
        <v>1025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1866</v>
      </c>
      <c r="T566" s="332" t="s">
        <v>1867</v>
      </c>
      <c r="U566" s="333">
        <v>613831.07499999995</v>
      </c>
      <c r="V566" s="333">
        <v>2638087.3829999999</v>
      </c>
      <c r="W566" s="331"/>
      <c r="X566" s="315" t="s">
        <v>1847</v>
      </c>
      <c r="Y566" s="315" t="s">
        <v>1848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1868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1025</v>
      </c>
      <c r="C568" s="332" t="s">
        <v>317</v>
      </c>
      <c r="D568" s="332" t="s">
        <v>23</v>
      </c>
      <c r="E568" s="332" t="s">
        <v>1025</v>
      </c>
      <c r="F568" s="362"/>
      <c r="G568" s="332" t="s">
        <v>1025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1869</v>
      </c>
      <c r="T568" s="332" t="s">
        <v>1870</v>
      </c>
      <c r="U568" s="333">
        <v>614168.35600000003</v>
      </c>
      <c r="V568" s="333">
        <v>2638053.2880000002</v>
      </c>
      <c r="W568" s="331"/>
      <c r="X568" s="315" t="s">
        <v>1847</v>
      </c>
      <c r="Y568" s="315" t="s">
        <v>1848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1871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1025</v>
      </c>
      <c r="C570" s="332" t="s">
        <v>318</v>
      </c>
      <c r="D570" s="332" t="s">
        <v>23</v>
      </c>
      <c r="E570" s="332" t="s">
        <v>1025</v>
      </c>
      <c r="F570" s="362"/>
      <c r="G570" s="332" t="s">
        <v>1025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1872</v>
      </c>
      <c r="T570" s="332" t="s">
        <v>1873</v>
      </c>
      <c r="U570" s="333">
        <v>614506.63199999998</v>
      </c>
      <c r="V570" s="333">
        <v>2638019.0920000002</v>
      </c>
      <c r="W570" s="331"/>
      <c r="X570" s="315" t="s">
        <v>1874</v>
      </c>
      <c r="Y570" s="315" t="s">
        <v>1848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1875</v>
      </c>
      <c r="C572" s="332" t="s">
        <v>319</v>
      </c>
      <c r="D572" s="332" t="s">
        <v>115</v>
      </c>
      <c r="E572" s="332" t="s">
        <v>1876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1877</v>
      </c>
      <c r="T572" s="332" t="s">
        <v>1878</v>
      </c>
      <c r="U572" s="333">
        <v>614843.97400000005</v>
      </c>
      <c r="V572" s="333">
        <v>2637984.9909999999</v>
      </c>
      <c r="W572" s="334"/>
      <c r="X572" s="315" t="s">
        <v>1874</v>
      </c>
      <c r="Y572" s="315" t="s">
        <v>1848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1122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1025</v>
      </c>
      <c r="C574" s="332" t="s">
        <v>320</v>
      </c>
      <c r="D574" s="332" t="s">
        <v>16</v>
      </c>
      <c r="E574" s="332" t="s">
        <v>1025</v>
      </c>
      <c r="F574" s="362"/>
      <c r="G574" s="332" t="s">
        <v>1025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1879</v>
      </c>
      <c r="T574" s="332" t="s">
        <v>1880</v>
      </c>
      <c r="U574" s="333">
        <v>615102.804</v>
      </c>
      <c r="V574" s="333">
        <v>2637702.6860000002</v>
      </c>
      <c r="W574" s="331"/>
      <c r="X574" s="315" t="s">
        <v>1874</v>
      </c>
      <c r="Y574" s="315" t="s">
        <v>1848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1881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1882</v>
      </c>
      <c r="C576" s="332" t="s">
        <v>321</v>
      </c>
      <c r="D576" s="332" t="s">
        <v>40</v>
      </c>
      <c r="E576" s="332" t="s">
        <v>1883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1884</v>
      </c>
      <c r="T576" s="332" t="s">
        <v>1885</v>
      </c>
      <c r="U576" s="333">
        <v>615372.95400000003</v>
      </c>
      <c r="V576" s="333">
        <v>2637408.0359999998</v>
      </c>
      <c r="W576" s="331"/>
      <c r="X576" s="315" t="s">
        <v>1874</v>
      </c>
      <c r="Y576" s="315" t="s">
        <v>1848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1886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1025</v>
      </c>
      <c r="C578" s="332" t="s">
        <v>322</v>
      </c>
      <c r="D578" s="332" t="s">
        <v>14</v>
      </c>
      <c r="E578" s="332" t="s">
        <v>1025</v>
      </c>
      <c r="F578" s="362"/>
      <c r="G578" s="332" t="s">
        <v>1025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1887</v>
      </c>
      <c r="T578" s="332" t="s">
        <v>1888</v>
      </c>
      <c r="U578" s="333">
        <v>615722.85900000005</v>
      </c>
      <c r="V578" s="333">
        <v>2637245.0559999999</v>
      </c>
      <c r="W578" s="331"/>
      <c r="X578" s="315" t="s">
        <v>1874</v>
      </c>
      <c r="Y578" s="315" t="s">
        <v>1848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1122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1025</v>
      </c>
      <c r="C580" s="332" t="s">
        <v>323</v>
      </c>
      <c r="D580" s="332" t="s">
        <v>31</v>
      </c>
      <c r="E580" s="332" t="s">
        <v>1025</v>
      </c>
      <c r="F580" s="362"/>
      <c r="G580" s="332" t="s">
        <v>1025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1889</v>
      </c>
      <c r="T580" s="332" t="s">
        <v>1890</v>
      </c>
      <c r="U580" s="333">
        <v>616079.11</v>
      </c>
      <c r="V580" s="333">
        <v>2637079.1209999998</v>
      </c>
      <c r="W580" s="331"/>
      <c r="X580" s="315" t="s">
        <v>1874</v>
      </c>
      <c r="Y580" s="315" t="s">
        <v>1848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1891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1025</v>
      </c>
      <c r="C582" s="332" t="s">
        <v>324</v>
      </c>
      <c r="D582" s="332" t="s">
        <v>16</v>
      </c>
      <c r="E582" s="332" t="s">
        <v>1025</v>
      </c>
      <c r="F582" s="362"/>
      <c r="G582" s="332" t="s">
        <v>1025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1892</v>
      </c>
      <c r="T582" s="332" t="s">
        <v>1893</v>
      </c>
      <c r="U582" s="333">
        <v>616461.64899999998</v>
      </c>
      <c r="V582" s="333">
        <v>2636900.9410000001</v>
      </c>
      <c r="W582" s="331"/>
      <c r="X582" s="315" t="s">
        <v>1894</v>
      </c>
      <c r="Y582" s="315" t="s">
        <v>1848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1025</v>
      </c>
      <c r="C584" s="332" t="s">
        <v>325</v>
      </c>
      <c r="D584" s="332" t="s">
        <v>14</v>
      </c>
      <c r="E584" s="332" t="s">
        <v>1025</v>
      </c>
      <c r="F584" s="362"/>
      <c r="G584" s="332" t="s">
        <v>1025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1895</v>
      </c>
      <c r="T584" s="332" t="s">
        <v>1896</v>
      </c>
      <c r="U584" s="333">
        <v>616831.49699999997</v>
      </c>
      <c r="V584" s="333">
        <v>2636728.673</v>
      </c>
      <c r="W584" s="331"/>
      <c r="X584" s="315" t="s">
        <v>1894</v>
      </c>
      <c r="Y584" s="315" t="s">
        <v>1848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1897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1025</v>
      </c>
      <c r="C586" s="332" t="s">
        <v>326</v>
      </c>
      <c r="D586" s="332" t="s">
        <v>23</v>
      </c>
      <c r="E586" s="332" t="s">
        <v>1025</v>
      </c>
      <c r="F586" s="362"/>
      <c r="G586" s="332" t="s">
        <v>1025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1898</v>
      </c>
      <c r="T586" s="332" t="s">
        <v>1899</v>
      </c>
      <c r="U586" s="333">
        <v>617166.89800000004</v>
      </c>
      <c r="V586" s="333">
        <v>2636572.449</v>
      </c>
      <c r="W586" s="331"/>
      <c r="X586" s="315" t="s">
        <v>1894</v>
      </c>
      <c r="Y586" s="315" t="s">
        <v>1848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1122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1025</v>
      </c>
      <c r="C588" s="332" t="s">
        <v>327</v>
      </c>
      <c r="D588" s="332" t="s">
        <v>31</v>
      </c>
      <c r="E588" s="332" t="s">
        <v>1025</v>
      </c>
      <c r="F588" s="362"/>
      <c r="G588" s="332" t="s">
        <v>1025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1900</v>
      </c>
      <c r="T588" s="332" t="s">
        <v>1901</v>
      </c>
      <c r="U588" s="333">
        <v>617479.63699999999</v>
      </c>
      <c r="V588" s="333">
        <v>2636426.7799999998</v>
      </c>
      <c r="W588" s="331"/>
      <c r="X588" s="315" t="s">
        <v>1894</v>
      </c>
      <c r="Y588" s="315" t="s">
        <v>1848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1025</v>
      </c>
      <c r="C590" s="332" t="s">
        <v>328</v>
      </c>
      <c r="D590" s="332" t="s">
        <v>23</v>
      </c>
      <c r="E590" s="332" t="s">
        <v>1025</v>
      </c>
      <c r="F590" s="362"/>
      <c r="G590" s="332" t="s">
        <v>1025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1902</v>
      </c>
      <c r="T590" s="332" t="s">
        <v>1903</v>
      </c>
      <c r="U590" s="333">
        <v>617798.72199999995</v>
      </c>
      <c r="V590" s="333">
        <v>2636278.156</v>
      </c>
      <c r="W590" s="334"/>
      <c r="X590" s="315" t="s">
        <v>1894</v>
      </c>
      <c r="Y590" s="315" t="s">
        <v>1848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1025</v>
      </c>
      <c r="C592" s="332" t="s">
        <v>329</v>
      </c>
      <c r="D592" s="332" t="s">
        <v>35</v>
      </c>
      <c r="E592" s="332" t="s">
        <v>1025</v>
      </c>
      <c r="F592" s="362"/>
      <c r="G592" s="332" t="s">
        <v>1025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1904</v>
      </c>
      <c r="T592" s="332" t="s">
        <v>1905</v>
      </c>
      <c r="U592" s="333">
        <v>618197.57700000005</v>
      </c>
      <c r="V592" s="333">
        <v>2636092.3760000002</v>
      </c>
      <c r="W592" s="331"/>
      <c r="X592" s="315" t="s">
        <v>1894</v>
      </c>
      <c r="Y592" s="315" t="s">
        <v>1848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1868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1025</v>
      </c>
      <c r="C594" s="332" t="s">
        <v>330</v>
      </c>
      <c r="D594" s="332" t="s">
        <v>23</v>
      </c>
      <c r="E594" s="332" t="s">
        <v>1025</v>
      </c>
      <c r="F594" s="362"/>
      <c r="G594" s="332" t="s">
        <v>1025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1906</v>
      </c>
      <c r="T594" s="332" t="s">
        <v>1907</v>
      </c>
      <c r="U594" s="333">
        <v>618542.04299999995</v>
      </c>
      <c r="V594" s="333">
        <v>2635931.9300000002</v>
      </c>
      <c r="W594" s="331"/>
      <c r="X594" s="315" t="s">
        <v>1894</v>
      </c>
      <c r="Y594" s="315" t="s">
        <v>1848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1908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1025</v>
      </c>
      <c r="C596" s="332" t="s">
        <v>331</v>
      </c>
      <c r="D596" s="332" t="s">
        <v>20</v>
      </c>
      <c r="E596" s="332" t="s">
        <v>1025</v>
      </c>
      <c r="F596" s="362"/>
      <c r="G596" s="332" t="s">
        <v>1025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1909</v>
      </c>
      <c r="T596" s="332" t="s">
        <v>1910</v>
      </c>
      <c r="U596" s="333">
        <v>618919.14300000004</v>
      </c>
      <c r="V596" s="333">
        <v>2635756.284</v>
      </c>
      <c r="W596" s="339" t="s">
        <v>1236</v>
      </c>
      <c r="X596" s="315" t="s">
        <v>1911</v>
      </c>
      <c r="Y596" s="315" t="s">
        <v>1848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1569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1025</v>
      </c>
      <c r="C598" s="332" t="s">
        <v>332</v>
      </c>
      <c r="D598" s="332" t="s">
        <v>16</v>
      </c>
      <c r="E598" s="332" t="s">
        <v>1025</v>
      </c>
      <c r="F598" s="362"/>
      <c r="G598" s="332" t="s">
        <v>1025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1912</v>
      </c>
      <c r="T598" s="332" t="s">
        <v>1913</v>
      </c>
      <c r="U598" s="333">
        <v>619287.17799999996</v>
      </c>
      <c r="V598" s="333">
        <v>2635584.86</v>
      </c>
      <c r="X598" s="315" t="s">
        <v>1911</v>
      </c>
      <c r="Y598" s="315" t="s">
        <v>1848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1914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1915</v>
      </c>
      <c r="C600" s="332" t="s">
        <v>333</v>
      </c>
      <c r="D600" s="332" t="s">
        <v>28</v>
      </c>
      <c r="E600" s="332" t="s">
        <v>1916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1917</v>
      </c>
      <c r="T600" s="332" t="s">
        <v>1918</v>
      </c>
      <c r="U600" s="333">
        <v>619679.85</v>
      </c>
      <c r="V600" s="333">
        <v>2635401.96</v>
      </c>
      <c r="W600" s="334"/>
      <c r="X600" s="315" t="s">
        <v>1911</v>
      </c>
      <c r="Y600" s="315" t="s">
        <v>1848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1919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1025</v>
      </c>
      <c r="C602" s="332" t="s">
        <v>334</v>
      </c>
      <c r="D602" s="332" t="s">
        <v>16</v>
      </c>
      <c r="E602" s="332" t="s">
        <v>1920</v>
      </c>
      <c r="F602" s="362"/>
      <c r="G602" s="332" t="s">
        <v>1025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1921</v>
      </c>
      <c r="T602" s="332" t="s">
        <v>1922</v>
      </c>
      <c r="U602" s="333">
        <v>619995.38899999997</v>
      </c>
      <c r="V602" s="333">
        <v>2635243.1540000001</v>
      </c>
      <c r="W602" s="339" t="s">
        <v>1236</v>
      </c>
      <c r="X602" s="315" t="s">
        <v>1923</v>
      </c>
      <c r="Y602" s="315" t="s">
        <v>1848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1924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1025</v>
      </c>
      <c r="C604" s="332" t="s">
        <v>335</v>
      </c>
      <c r="D604" s="332" t="s">
        <v>14</v>
      </c>
      <c r="E604" s="332" t="s">
        <v>1925</v>
      </c>
      <c r="F604" s="362"/>
      <c r="G604" s="332" t="s">
        <v>1025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1926</v>
      </c>
      <c r="T604" s="332" t="s">
        <v>1927</v>
      </c>
      <c r="U604" s="333">
        <v>620356.505</v>
      </c>
      <c r="V604" s="333">
        <v>2635055.5490000001</v>
      </c>
      <c r="W604" s="331"/>
      <c r="X604" s="315" t="s">
        <v>1923</v>
      </c>
      <c r="Y604" s="315" t="s">
        <v>1848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1928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1025</v>
      </c>
      <c r="C606" s="332" t="s">
        <v>336</v>
      </c>
      <c r="D606" s="332" t="s">
        <v>16</v>
      </c>
      <c r="E606" s="332" t="s">
        <v>1025</v>
      </c>
      <c r="F606" s="362"/>
      <c r="G606" s="332" t="s">
        <v>1025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1929</v>
      </c>
      <c r="T606" s="332" t="s">
        <v>1930</v>
      </c>
      <c r="U606" s="333">
        <v>620728.44700000004</v>
      </c>
      <c r="V606" s="333">
        <v>2634869.23</v>
      </c>
      <c r="W606" s="331"/>
      <c r="X606" s="315" t="s">
        <v>1923</v>
      </c>
      <c r="Y606" s="315" t="s">
        <v>1848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1931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1025</v>
      </c>
      <c r="C608" s="332" t="s">
        <v>337</v>
      </c>
      <c r="D608" s="332" t="s">
        <v>23</v>
      </c>
      <c r="E608" s="332" t="s">
        <v>1025</v>
      </c>
      <c r="F608" s="362"/>
      <c r="G608" s="332" t="s">
        <v>1025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1932</v>
      </c>
      <c r="T608" s="332" t="s">
        <v>1933</v>
      </c>
      <c r="U608" s="333">
        <v>621061.94400000002</v>
      </c>
      <c r="V608" s="333">
        <v>2634702.1690000002</v>
      </c>
      <c r="W608" s="331"/>
      <c r="X608" s="315" t="s">
        <v>1923</v>
      </c>
      <c r="Y608" s="315" t="s">
        <v>1848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1924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1025</v>
      </c>
      <c r="C610" s="332" t="s">
        <v>338</v>
      </c>
      <c r="D610" s="332" t="s">
        <v>33</v>
      </c>
      <c r="E610" s="332" t="s">
        <v>1025</v>
      </c>
      <c r="F610" s="362"/>
      <c r="G610" s="332" t="s">
        <v>1025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1934</v>
      </c>
      <c r="T610" s="332" t="s">
        <v>1935</v>
      </c>
      <c r="U610" s="333">
        <v>621409.74600000004</v>
      </c>
      <c r="V610" s="333">
        <v>2634527.943</v>
      </c>
      <c r="W610" s="331"/>
      <c r="X610" s="315" t="s">
        <v>1923</v>
      </c>
      <c r="Y610" s="315" t="s">
        <v>1848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1138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1025</v>
      </c>
      <c r="C612" s="332" t="s">
        <v>339</v>
      </c>
      <c r="D612" s="332" t="s">
        <v>14</v>
      </c>
      <c r="E612" s="332" t="s">
        <v>1025</v>
      </c>
      <c r="F612" s="362"/>
      <c r="G612" s="332" t="s">
        <v>1025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1936</v>
      </c>
      <c r="T612" s="332" t="s">
        <v>1937</v>
      </c>
      <c r="U612" s="333">
        <v>621766.48800000001</v>
      </c>
      <c r="V612" s="333">
        <v>2634349.2379999999</v>
      </c>
      <c r="W612" s="331"/>
      <c r="X612" s="315" t="s">
        <v>1923</v>
      </c>
      <c r="Y612" s="315" t="s">
        <v>1848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1938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1025</v>
      </c>
      <c r="C614" s="332" t="s">
        <v>340</v>
      </c>
      <c r="D614" s="332" t="s">
        <v>16</v>
      </c>
      <c r="E614" s="332" t="s">
        <v>1025</v>
      </c>
      <c r="F614" s="362"/>
      <c r="G614" s="332" t="s">
        <v>1025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1939</v>
      </c>
      <c r="T614" s="332" t="s">
        <v>1940</v>
      </c>
      <c r="U614" s="333">
        <v>622134.85400000005</v>
      </c>
      <c r="V614" s="333">
        <v>2634164.71</v>
      </c>
      <c r="W614" s="331"/>
      <c r="X614" s="315" t="s">
        <v>1923</v>
      </c>
      <c r="Y614" s="315" t="s">
        <v>1848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1941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1025</v>
      </c>
      <c r="C616" s="332" t="s">
        <v>341</v>
      </c>
      <c r="D616" s="332" t="s">
        <v>23</v>
      </c>
      <c r="E616" s="332" t="s">
        <v>1025</v>
      </c>
      <c r="F616" s="362"/>
      <c r="G616" s="332" t="s">
        <v>1025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1942</v>
      </c>
      <c r="T616" s="332" t="s">
        <v>1943</v>
      </c>
      <c r="U616" s="333">
        <v>622508.58499999996</v>
      </c>
      <c r="V616" s="333">
        <v>2633977.4950000001</v>
      </c>
      <c r="W616" s="331"/>
      <c r="X616" s="315" t="s">
        <v>1923</v>
      </c>
      <c r="Y616" s="315" t="s">
        <v>1848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1944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1945</v>
      </c>
      <c r="C618" s="332" t="s">
        <v>342</v>
      </c>
      <c r="D618" s="332" t="s">
        <v>236</v>
      </c>
      <c r="E618" s="332" t="s">
        <v>1946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1947</v>
      </c>
      <c r="T618" s="332" t="s">
        <v>1948</v>
      </c>
      <c r="U618" s="333">
        <v>622860.95299999998</v>
      </c>
      <c r="V618" s="333">
        <v>2633800.9810000001</v>
      </c>
      <c r="W618" s="331"/>
      <c r="X618" s="315" t="s">
        <v>1923</v>
      </c>
      <c r="Y618" s="315" t="s">
        <v>1848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1941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1025</v>
      </c>
      <c r="C620" s="332" t="s">
        <v>343</v>
      </c>
      <c r="D620" s="332" t="s">
        <v>23</v>
      </c>
      <c r="E620" s="332" t="s">
        <v>1025</v>
      </c>
      <c r="F620" s="362"/>
      <c r="G620" s="332" t="s">
        <v>1025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1949</v>
      </c>
      <c r="T620" s="332" t="s">
        <v>1950</v>
      </c>
      <c r="U620" s="333">
        <v>623185.31499999994</v>
      </c>
      <c r="V620" s="333">
        <v>2633568.6230000001</v>
      </c>
      <c r="W620" s="331"/>
      <c r="X620" s="315" t="s">
        <v>1923</v>
      </c>
      <c r="Y620" s="315" t="s">
        <v>1848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1951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1025</v>
      </c>
      <c r="C622" s="332" t="s">
        <v>344</v>
      </c>
      <c r="D622" s="332" t="s">
        <v>23</v>
      </c>
      <c r="E622" s="332" t="s">
        <v>1025</v>
      </c>
      <c r="F622" s="362"/>
      <c r="G622" s="332" t="s">
        <v>1025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1952</v>
      </c>
      <c r="T622" s="332" t="s">
        <v>1953</v>
      </c>
      <c r="U622" s="333">
        <v>623468.21699999995</v>
      </c>
      <c r="V622" s="333">
        <v>2633365.9649999999</v>
      </c>
      <c r="W622" s="331"/>
      <c r="X622" s="315" t="s">
        <v>1954</v>
      </c>
      <c r="Y622" s="315" t="s">
        <v>1848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1955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1025</v>
      </c>
      <c r="C624" s="332" t="s">
        <v>345</v>
      </c>
      <c r="D624" s="332" t="s">
        <v>20</v>
      </c>
      <c r="E624" s="332" t="s">
        <v>1025</v>
      </c>
      <c r="F624" s="362"/>
      <c r="G624" s="332" t="s">
        <v>1025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1956</v>
      </c>
      <c r="T624" s="332" t="s">
        <v>1957</v>
      </c>
      <c r="U624" s="333">
        <v>623759.24899999995</v>
      </c>
      <c r="V624" s="333">
        <v>2633157.483</v>
      </c>
      <c r="W624" s="339" t="s">
        <v>1236</v>
      </c>
      <c r="X624" s="315" t="s">
        <v>1954</v>
      </c>
      <c r="Y624" s="315" t="s">
        <v>1848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1958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1959</v>
      </c>
      <c r="C626" s="373" t="s">
        <v>346</v>
      </c>
      <c r="D626" s="373" t="s">
        <v>236</v>
      </c>
      <c r="E626" s="373" t="s">
        <v>1960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1961</v>
      </c>
      <c r="T626" s="373" t="s">
        <v>1962</v>
      </c>
      <c r="U626" s="377">
        <v>624148</v>
      </c>
      <c r="V626" s="377">
        <v>2632879</v>
      </c>
      <c r="W626" s="376"/>
      <c r="X626" s="378" t="s">
        <v>1954</v>
      </c>
      <c r="Y626" s="378" t="s">
        <v>1848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5" t="s">
        <v>1963</v>
      </c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7"/>
      <c r="AD632" s="395"/>
    </row>
    <row r="633" spans="1:30" ht="21.75" customHeight="1" x14ac:dyDescent="0.35">
      <c r="A633" s="392"/>
      <c r="H633" s="470" t="s">
        <v>508</v>
      </c>
      <c r="I633" s="472" t="s">
        <v>1964</v>
      </c>
      <c r="J633" s="473"/>
      <c r="K633" s="473"/>
      <c r="L633" s="473"/>
      <c r="M633" s="473"/>
      <c r="N633" s="473"/>
      <c r="O633" s="473"/>
      <c r="P633" s="473"/>
      <c r="Q633" s="473"/>
      <c r="R633" s="474"/>
      <c r="S633" s="470" t="s">
        <v>1965</v>
      </c>
      <c r="AD633" s="395"/>
    </row>
    <row r="634" spans="1:30" ht="22.5" customHeight="1" x14ac:dyDescent="0.35">
      <c r="A634" s="392"/>
      <c r="H634" s="471"/>
      <c r="I634" s="274">
        <v>-3</v>
      </c>
      <c r="J634" s="274">
        <v>-1.5</v>
      </c>
      <c r="K634" s="274" t="s">
        <v>1966</v>
      </c>
      <c r="L634" s="274" t="s">
        <v>1967</v>
      </c>
      <c r="M634" s="274" t="s">
        <v>1968</v>
      </c>
      <c r="N634" s="274" t="s">
        <v>1969</v>
      </c>
      <c r="O634" s="274" t="s">
        <v>1970</v>
      </c>
      <c r="P634" s="274" t="s">
        <v>1971</v>
      </c>
      <c r="Q634" s="274" t="s">
        <v>1972</v>
      </c>
      <c r="R634" s="274" t="s">
        <v>1973</v>
      </c>
      <c r="S634" s="471"/>
      <c r="AD634" s="395"/>
    </row>
    <row r="635" spans="1:30" ht="22.5" customHeight="1" x14ac:dyDescent="0.35">
      <c r="A635" s="392"/>
      <c r="H635" s="275" t="s">
        <v>1974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1975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1976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1977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1978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1979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1980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28" t="s">
        <v>646</v>
      </c>
      <c r="E3" s="928"/>
      <c r="F3" s="928"/>
      <c r="G3" s="928"/>
    </row>
    <row r="4" spans="4:7" x14ac:dyDescent="0.35">
      <c r="D4" s="928"/>
      <c r="E4" s="928"/>
      <c r="F4" s="928"/>
      <c r="G4" s="928"/>
    </row>
    <row r="5" spans="4:7" x14ac:dyDescent="0.35">
      <c r="E5" s="158" t="s">
        <v>647</v>
      </c>
    </row>
    <row r="6" spans="4:7" x14ac:dyDescent="0.35">
      <c r="E6" s="158" t="s">
        <v>648</v>
      </c>
    </row>
    <row r="7" spans="4:7" x14ac:dyDescent="0.35">
      <c r="E7" s="158" t="s">
        <v>649</v>
      </c>
    </row>
    <row r="8" spans="4:7" x14ac:dyDescent="0.35">
      <c r="E8" s="158" t="s">
        <v>650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34" t="s">
        <v>571</v>
      </c>
      <c r="B123" s="935"/>
      <c r="C123" s="935"/>
      <c r="D123" s="936" t="s">
        <v>572</v>
      </c>
      <c r="E123" s="936"/>
      <c r="F123" s="936"/>
      <c r="G123" s="936"/>
      <c r="H123" s="936"/>
      <c r="I123" s="936"/>
      <c r="J123" s="937"/>
    </row>
    <row r="124" spans="1:10" ht="14.5" customHeight="1" x14ac:dyDescent="0.35">
      <c r="A124" s="938" t="s">
        <v>573</v>
      </c>
      <c r="B124" s="938" t="s">
        <v>367</v>
      </c>
      <c r="C124" s="938" t="s">
        <v>368</v>
      </c>
      <c r="D124" s="938" t="s">
        <v>574</v>
      </c>
      <c r="E124" s="938" t="s">
        <v>575</v>
      </c>
      <c r="F124" s="112"/>
      <c r="G124" s="113"/>
      <c r="H124" s="4"/>
      <c r="I124" s="940" t="s">
        <v>371</v>
      </c>
      <c r="J124" s="941"/>
    </row>
    <row r="125" spans="1:10" ht="15.65" customHeight="1" thickBot="1" x14ac:dyDescent="0.4">
      <c r="A125" s="939"/>
      <c r="B125" s="939"/>
      <c r="C125" s="939"/>
      <c r="D125" s="939"/>
      <c r="E125" s="939"/>
      <c r="F125" s="112"/>
      <c r="G125" s="114"/>
      <c r="H125" s="4"/>
      <c r="I125" s="942"/>
      <c r="J125" s="943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29"/>
      <c r="J126" s="930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29"/>
      <c r="J127" s="930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29"/>
      <c r="J128" s="930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29" t="s">
        <v>576</v>
      </c>
      <c r="J129" s="930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929"/>
      <c r="J130" s="930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929"/>
      <c r="J135" s="930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29"/>
      <c r="J136" s="930"/>
    </row>
    <row r="137" spans="1:10" ht="15" thickBot="1" x14ac:dyDescent="0.4">
      <c r="A137" s="931" t="s">
        <v>580</v>
      </c>
      <c r="B137" s="932"/>
      <c r="C137" s="932"/>
      <c r="D137" s="932"/>
      <c r="E137" s="932"/>
      <c r="F137" s="932"/>
      <c r="G137" s="932"/>
      <c r="H137" s="932"/>
      <c r="I137" s="932"/>
      <c r="J137" s="933"/>
    </row>
    <row r="138" spans="1:10" ht="15" thickBot="1" x14ac:dyDescent="0.4">
      <c r="A138" s="931" t="s">
        <v>581</v>
      </c>
      <c r="B138" s="932"/>
      <c r="C138" s="932"/>
      <c r="D138" s="932"/>
      <c r="E138" s="932"/>
      <c r="F138" s="932"/>
      <c r="G138" s="932"/>
      <c r="H138" s="932"/>
      <c r="I138" s="932"/>
      <c r="J138" s="933"/>
    </row>
    <row r="139" spans="1:10" ht="15" thickBot="1" x14ac:dyDescent="0.4">
      <c r="A139" s="931" t="s">
        <v>582</v>
      </c>
      <c r="B139" s="932"/>
      <c r="C139" s="932"/>
      <c r="D139" s="932"/>
      <c r="E139" s="932"/>
      <c r="F139" s="932"/>
      <c r="G139" s="932"/>
      <c r="H139" s="932"/>
      <c r="I139" s="932"/>
      <c r="J139" s="933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A123:C123"/>
    <mergeCell ref="D123:J123"/>
    <mergeCell ref="A124:A125"/>
    <mergeCell ref="B124:B125"/>
    <mergeCell ref="C124:C125"/>
    <mergeCell ref="D124:D125"/>
    <mergeCell ref="E124:E125"/>
    <mergeCell ref="I124:J125"/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44" t="s">
        <v>583</v>
      </c>
      <c r="B1" s="945"/>
      <c r="C1" s="946"/>
      <c r="D1" s="946"/>
      <c r="E1" s="946"/>
      <c r="F1" s="946"/>
      <c r="G1" s="946"/>
      <c r="H1" s="946"/>
      <c r="I1" s="946"/>
      <c r="J1" s="946"/>
      <c r="K1" s="946"/>
      <c r="L1" s="946"/>
      <c r="M1" s="947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65" t="s">
        <v>832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/>
      <c r="W1" s="966"/>
      <c r="X1" s="966"/>
      <c r="Y1" s="966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  <c r="AO1" s="966"/>
    </row>
    <row r="2" spans="1:42" ht="15.5" x14ac:dyDescent="0.35">
      <c r="A2" s="967" t="s">
        <v>833</v>
      </c>
      <c r="B2" s="968"/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  <c r="O2" s="968"/>
      <c r="P2" s="968"/>
      <c r="Q2" s="968"/>
      <c r="R2" s="968"/>
      <c r="S2" s="968"/>
      <c r="T2" s="968"/>
      <c r="U2" s="968"/>
      <c r="V2" s="968"/>
      <c r="W2" s="968"/>
      <c r="X2" s="968"/>
      <c r="Y2" s="968"/>
      <c r="Z2" s="968"/>
      <c r="AA2" s="968"/>
      <c r="AB2" s="968"/>
      <c r="AC2" s="968"/>
      <c r="AD2" s="968"/>
      <c r="AE2" s="968"/>
      <c r="AF2" s="968"/>
      <c r="AG2" s="968"/>
      <c r="AH2" s="968"/>
      <c r="AI2" s="968"/>
      <c r="AJ2" s="968"/>
      <c r="AK2" s="968"/>
      <c r="AL2" s="968"/>
      <c r="AM2" s="968"/>
      <c r="AN2" s="968"/>
      <c r="AO2" s="968"/>
    </row>
    <row r="3" spans="1:42" s="227" customFormat="1" ht="14.5" customHeight="1" x14ac:dyDescent="0.35">
      <c r="A3" s="963" t="s">
        <v>834</v>
      </c>
      <c r="B3" s="963" t="s">
        <v>835</v>
      </c>
      <c r="C3" s="963" t="s">
        <v>836</v>
      </c>
      <c r="D3" s="963" t="s">
        <v>837</v>
      </c>
      <c r="E3" s="963" t="s">
        <v>838</v>
      </c>
      <c r="F3" s="963" t="s">
        <v>839</v>
      </c>
      <c r="G3" s="963" t="s">
        <v>840</v>
      </c>
      <c r="H3" s="963" t="s">
        <v>841</v>
      </c>
      <c r="I3" s="963" t="s">
        <v>842</v>
      </c>
      <c r="J3" s="963" t="s">
        <v>843</v>
      </c>
      <c r="K3" s="963" t="s">
        <v>844</v>
      </c>
      <c r="L3" s="963" t="s">
        <v>845</v>
      </c>
      <c r="M3" s="963" t="s">
        <v>846</v>
      </c>
      <c r="N3" s="963" t="s">
        <v>847</v>
      </c>
      <c r="O3" s="963" t="s">
        <v>848</v>
      </c>
      <c r="P3" s="963" t="s">
        <v>849</v>
      </c>
      <c r="Q3" s="963" t="s">
        <v>850</v>
      </c>
      <c r="R3" s="963" t="s">
        <v>851</v>
      </c>
      <c r="S3" s="963" t="s">
        <v>852</v>
      </c>
      <c r="T3" s="963" t="s">
        <v>853</v>
      </c>
      <c r="U3" s="963" t="s">
        <v>854</v>
      </c>
      <c r="V3" s="963" t="s">
        <v>855</v>
      </c>
      <c r="W3" s="963" t="s">
        <v>856</v>
      </c>
      <c r="X3" s="963" t="s">
        <v>857</v>
      </c>
      <c r="Y3" s="963" t="s">
        <v>858</v>
      </c>
      <c r="Z3" s="963" t="s">
        <v>859</v>
      </c>
      <c r="AA3" s="963" t="s">
        <v>860</v>
      </c>
      <c r="AB3" s="963" t="s">
        <v>861</v>
      </c>
      <c r="AC3" s="963" t="s">
        <v>862</v>
      </c>
      <c r="AD3" s="963" t="s">
        <v>863</v>
      </c>
      <c r="AE3" s="963" t="s">
        <v>864</v>
      </c>
      <c r="AF3" s="963" t="s">
        <v>865</v>
      </c>
      <c r="AG3" s="963" t="s">
        <v>866</v>
      </c>
      <c r="AH3" s="963" t="s">
        <v>867</v>
      </c>
      <c r="AI3" s="963" t="s">
        <v>868</v>
      </c>
      <c r="AJ3" s="963" t="s">
        <v>869</v>
      </c>
      <c r="AK3" s="963" t="s">
        <v>870</v>
      </c>
      <c r="AL3" s="963" t="s">
        <v>592</v>
      </c>
      <c r="AM3" s="948" t="s">
        <v>871</v>
      </c>
      <c r="AN3" s="949"/>
      <c r="AO3" s="950"/>
    </row>
    <row r="4" spans="1:42" s="227" customFormat="1" ht="17.149999999999999" customHeight="1" x14ac:dyDescent="0.35">
      <c r="A4" s="964"/>
      <c r="B4" s="964"/>
      <c r="C4" s="964"/>
      <c r="D4" s="964"/>
      <c r="E4" s="964"/>
      <c r="F4" s="964"/>
      <c r="G4" s="964"/>
      <c r="H4" s="964"/>
      <c r="I4" s="964"/>
      <c r="J4" s="964"/>
      <c r="K4" s="964"/>
      <c r="L4" s="964"/>
      <c r="M4" s="964"/>
      <c r="N4" s="964"/>
      <c r="O4" s="964"/>
      <c r="P4" s="964"/>
      <c r="Q4" s="964"/>
      <c r="R4" s="964"/>
      <c r="S4" s="964"/>
      <c r="T4" s="964"/>
      <c r="U4" s="964"/>
      <c r="V4" s="964"/>
      <c r="W4" s="964"/>
      <c r="X4" s="964"/>
      <c r="Y4" s="964"/>
      <c r="Z4" s="964"/>
      <c r="AA4" s="964"/>
      <c r="AB4" s="964"/>
      <c r="AC4" s="964"/>
      <c r="AD4" s="964"/>
      <c r="AE4" s="964"/>
      <c r="AF4" s="964"/>
      <c r="AG4" s="964"/>
      <c r="AH4" s="964"/>
      <c r="AI4" s="964"/>
      <c r="AJ4" s="964"/>
      <c r="AK4" s="964"/>
      <c r="AL4" s="964"/>
      <c r="AM4" s="226" t="s">
        <v>872</v>
      </c>
      <c r="AN4" s="226" t="s">
        <v>873</v>
      </c>
      <c r="AO4" s="226" t="s">
        <v>874</v>
      </c>
    </row>
    <row r="5" spans="1:42" s="236" customFormat="1" ht="15.5" x14ac:dyDescent="0.35">
      <c r="A5" s="228">
        <v>1</v>
      </c>
      <c r="B5" s="229" t="s">
        <v>875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51">
        <v>10</v>
      </c>
      <c r="AN5" s="954">
        <v>5</v>
      </c>
      <c r="AO5" s="957">
        <v>6</v>
      </c>
      <c r="AP5" s="235"/>
    </row>
    <row r="6" spans="1:42" s="236" customFormat="1" ht="15.5" x14ac:dyDescent="0.35">
      <c r="A6" s="228">
        <v>2</v>
      </c>
      <c r="B6" s="229" t="s">
        <v>875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52"/>
      <c r="AN6" s="955"/>
      <c r="AO6" s="958"/>
      <c r="AP6" s="235"/>
    </row>
    <row r="7" spans="1:42" s="236" customFormat="1" ht="15.5" x14ac:dyDescent="0.35">
      <c r="A7" s="228">
        <v>3</v>
      </c>
      <c r="B7" s="229" t="s">
        <v>875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52"/>
      <c r="AN7" s="955"/>
      <c r="AO7" s="958"/>
      <c r="AP7" s="235"/>
    </row>
    <row r="8" spans="1:42" s="236" customFormat="1" ht="15.5" x14ac:dyDescent="0.35">
      <c r="A8" s="228">
        <v>4</v>
      </c>
      <c r="B8" s="229" t="s">
        <v>875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52"/>
      <c r="AN8" s="955"/>
      <c r="AO8" s="958"/>
      <c r="AP8" s="235"/>
    </row>
    <row r="9" spans="1:42" s="236" customFormat="1" ht="15.5" x14ac:dyDescent="0.35">
      <c r="A9" s="228">
        <v>5</v>
      </c>
      <c r="B9" s="229" t="s">
        <v>875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52"/>
      <c r="AN9" s="955"/>
      <c r="AO9" s="958"/>
      <c r="AP9" s="235"/>
    </row>
    <row r="10" spans="1:42" s="236" customFormat="1" ht="15.5" x14ac:dyDescent="0.35">
      <c r="A10" s="228">
        <v>6</v>
      </c>
      <c r="B10" s="231" t="s">
        <v>876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52"/>
      <c r="AN10" s="955"/>
      <c r="AO10" s="958"/>
      <c r="AP10" s="235"/>
    </row>
    <row r="11" spans="1:42" s="236" customFormat="1" ht="15.5" x14ac:dyDescent="0.35">
      <c r="A11" s="228">
        <v>7</v>
      </c>
      <c r="B11" s="231" t="s">
        <v>877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52"/>
      <c r="AN11" s="955"/>
      <c r="AO11" s="958"/>
      <c r="AP11" s="235"/>
    </row>
    <row r="12" spans="1:42" s="236" customFormat="1" ht="15.5" x14ac:dyDescent="0.35">
      <c r="A12" s="228">
        <v>8</v>
      </c>
      <c r="B12" s="231" t="s">
        <v>878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52"/>
      <c r="AN12" s="955"/>
      <c r="AO12" s="958"/>
      <c r="AP12" s="235"/>
    </row>
    <row r="13" spans="1:42" s="236" customFormat="1" ht="15.5" x14ac:dyDescent="0.35">
      <c r="A13" s="228">
        <v>9</v>
      </c>
      <c r="B13" s="231" t="s">
        <v>880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52"/>
      <c r="AN13" s="955"/>
      <c r="AO13" s="958"/>
      <c r="AP13" s="235"/>
    </row>
    <row r="14" spans="1:42" s="236" customFormat="1" ht="15.5" x14ac:dyDescent="0.35">
      <c r="A14" s="228">
        <v>10</v>
      </c>
      <c r="B14" s="231" t="s">
        <v>819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52"/>
      <c r="AN14" s="955"/>
      <c r="AO14" s="958"/>
    </row>
    <row r="15" spans="1:42" s="236" customFormat="1" ht="15.5" x14ac:dyDescent="0.35">
      <c r="A15" s="238">
        <v>11</v>
      </c>
      <c r="B15" s="231" t="s">
        <v>818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52"/>
      <c r="AN15" s="955"/>
      <c r="AO15" s="958"/>
    </row>
    <row r="16" spans="1:42" s="236" customFormat="1" ht="15.5" x14ac:dyDescent="0.35">
      <c r="A16" s="238">
        <v>12</v>
      </c>
      <c r="B16" s="231" t="s">
        <v>775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52"/>
      <c r="AN16" s="955"/>
      <c r="AO16" s="958"/>
    </row>
    <row r="17" spans="1:41" s="236" customFormat="1" ht="15.5" x14ac:dyDescent="0.35">
      <c r="A17" s="238">
        <v>13</v>
      </c>
      <c r="B17" s="231" t="s">
        <v>880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52"/>
      <c r="AN17" s="955"/>
      <c r="AO17" s="958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52"/>
      <c r="AN18" s="955"/>
      <c r="AO18" s="958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52"/>
      <c r="AN19" s="955"/>
      <c r="AO19" s="958"/>
    </row>
    <row r="20" spans="1:41" s="236" customFormat="1" ht="15.5" x14ac:dyDescent="0.35">
      <c r="A20" s="960" t="s">
        <v>7</v>
      </c>
      <c r="B20" s="961"/>
      <c r="C20" s="961"/>
      <c r="D20" s="962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53"/>
      <c r="AN20" s="956"/>
      <c r="AO20" s="959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F3:AF4"/>
    <mergeCell ref="U3:U4"/>
    <mergeCell ref="V3:V4"/>
    <mergeCell ref="W3:W4"/>
    <mergeCell ref="X3:X4"/>
    <mergeCell ref="Y3:Y4"/>
    <mergeCell ref="Z3:Z4"/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Visual Chart</vt:lpstr>
      <vt:lpstr>VC-765kV MKTL</vt:lpstr>
      <vt:lpstr>DPR</vt:lpstr>
      <vt:lpstr>FDN pivot</vt:lpstr>
      <vt:lpstr>Erc pivot</vt:lpstr>
      <vt:lpstr>SUMMARY</vt:lpstr>
      <vt:lpstr>FOUNDATION</vt:lpstr>
      <vt:lpstr>ERECTION</vt:lpstr>
      <vt:lpstr>Sheet2</vt:lpstr>
      <vt:lpstr>XING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'Visual Chart'!Print_Area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2026-06-22T06:10:55Z</cp:lastPrinted>
  <dcterms:created xsi:type="dcterms:W3CDTF">2015-06-05T18:17:20Z</dcterms:created>
  <dcterms:modified xsi:type="dcterms:W3CDTF">2026-06-22T06:11:02Z</dcterms:modified>
</cp:coreProperties>
</file>