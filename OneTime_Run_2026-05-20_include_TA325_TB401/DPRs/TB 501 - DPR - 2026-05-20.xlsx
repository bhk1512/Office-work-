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rpgnet-my.sharepoint.com/personal/singhsak_kecrpg_com/Documents/DPR/DPR of 220kV and 132kV Neemuch Chandaria TL and SS as on 20 May 2026/"/>
    </mc:Choice>
  </mc:AlternateContent>
  <xr:revisionPtr revIDLastSave="3626" documentId="8_{16FA9FDA-04F7-4315-B5A3-F2AC902332DB}" xr6:coauthVersionLast="47" xr6:coauthVersionMax="47" xr10:uidLastSave="{9D9BBD77-1D1C-4AE7-B3F8-57A7626C3325}"/>
  <bookViews>
    <workbookView xWindow="-120" yWindow="-120" windowWidth="20730" windowHeight="11040" firstSheet="8" activeTab="13" xr2:uid="{00000000-000D-0000-FFFF-FFFF00000000}"/>
  </bookViews>
  <sheets>
    <sheet name="Detail Survey-220kV" sheetId="1" state="hidden" r:id="rId1"/>
    <sheet name="Check Survey-220kV" sheetId="2" state="hidden" r:id="rId2"/>
    <sheet name="Detail Survey-132kV" sheetId="3" state="hidden" r:id="rId3"/>
    <sheet name="Check Survey-132kV" sheetId="4" state="hidden" r:id="rId4"/>
    <sheet name="Summary" sheetId="5" r:id="rId5"/>
    <sheet name="Statutory" sheetId="6" r:id="rId6"/>
    <sheet name="Progress-132kV" sheetId="7" r:id="rId7"/>
    <sheet name="Progress-220kV" sheetId="8" r:id="rId8"/>
    <sheet name="Stringing-220kV" sheetId="9" r:id="rId9"/>
    <sheet name="Stringing-132KV" sheetId="16" r:id="rId10"/>
    <sheet name="VC-220kV" sheetId="15" r:id="rId11"/>
    <sheet name="VC-132kV" sheetId="14" r:id="rId12"/>
    <sheet name="Supply" sheetId="11" r:id="rId13"/>
    <sheet name="Mail Body" sheetId="13" r:id="rId14"/>
  </sheets>
  <externalReferences>
    <externalReference r:id="rId15"/>
  </externalReferences>
  <definedNames>
    <definedName name="\0" localSheetId="11">#REF!</definedName>
    <definedName name="\0">#REF!</definedName>
    <definedName name="\A" localSheetId="11">#REF!</definedName>
    <definedName name="\A">#REF!</definedName>
    <definedName name="\B" localSheetId="11">#REF!</definedName>
    <definedName name="\B">#REF!</definedName>
    <definedName name="\C">#REF!</definedName>
    <definedName name="\c1">#REF!</definedName>
    <definedName name="\D">#REF!</definedName>
    <definedName name="\g">#REF!</definedName>
    <definedName name="\H">#REF!</definedName>
    <definedName name="\i">#REF!</definedName>
    <definedName name="\M">#REF!</definedName>
    <definedName name="\N">#REF!</definedName>
    <definedName name="\P">#REF!</definedName>
    <definedName name="\R">#REF!</definedName>
    <definedName name="\S">#REF!</definedName>
    <definedName name="\U">#REF!</definedName>
    <definedName name="\V">#REF!</definedName>
    <definedName name="\z">#REF!</definedName>
    <definedName name="_">"tcap"</definedName>
    <definedName name="_____________A65537" localSheetId="11">#REF!</definedName>
    <definedName name="_____________A65537">#REF!</definedName>
    <definedName name="____________A655600" localSheetId="11">#REF!</definedName>
    <definedName name="____________A655600">#REF!</definedName>
    <definedName name="____________drg1" localSheetId="11">#REF!</definedName>
    <definedName name="____________drg1">#REF!</definedName>
    <definedName name="___________A65537" localSheetId="11">#REF!</definedName>
    <definedName name="___________A65537">#REF!</definedName>
    <definedName name="___________A655600" localSheetId="11">#REF!</definedName>
    <definedName name="___________A655600">#REF!</definedName>
    <definedName name="___________a655601" localSheetId="11">#REF!</definedName>
    <definedName name="___________a655601">#REF!</definedName>
    <definedName name="__________A65537" localSheetId="11">#REF!</definedName>
    <definedName name="__________A65537">#REF!</definedName>
    <definedName name="__________A655600" localSheetId="11">#REF!</definedName>
    <definedName name="__________A655600">#REF!</definedName>
    <definedName name="__________a655601" localSheetId="11">#REF!</definedName>
    <definedName name="__________a655601">#REF!</definedName>
    <definedName name="__________a999999">#REF!</definedName>
    <definedName name="__________drg1" localSheetId="11">#REF!</definedName>
    <definedName name="__________drg1">#REF!</definedName>
    <definedName name="_________A65537" localSheetId="11">#REF!</definedName>
    <definedName name="_________A65537">#REF!</definedName>
    <definedName name="_________A655600" localSheetId="11">#REF!</definedName>
    <definedName name="_________A655600">#REF!</definedName>
    <definedName name="_________a655601" localSheetId="11">#REF!</definedName>
    <definedName name="_________a655601">#REF!</definedName>
    <definedName name="_________a999999">#REF!</definedName>
    <definedName name="________A65537" localSheetId="11">#REF!</definedName>
    <definedName name="________A65537">#REF!</definedName>
    <definedName name="________A655600" localSheetId="1">#REF!</definedName>
    <definedName name="________A655600" localSheetId="0">#REF!</definedName>
    <definedName name="________A655600" localSheetId="4">#REF!</definedName>
    <definedName name="________A655600" localSheetId="11">#REF!</definedName>
    <definedName name="________A655600">#REF!</definedName>
    <definedName name="________a655601" localSheetId="1">#REF!</definedName>
    <definedName name="________a655601" localSheetId="0">#REF!</definedName>
    <definedName name="________a655601" localSheetId="4">#REF!</definedName>
    <definedName name="________a655601" localSheetId="11">#REF!</definedName>
    <definedName name="________a655601">#REF!</definedName>
    <definedName name="________a999999">#REF!</definedName>
    <definedName name="________drg1" localSheetId="11">#REF!</definedName>
    <definedName name="________drg1">#REF!</definedName>
    <definedName name="________Ki1" localSheetId="1">#REF!</definedName>
    <definedName name="________Ki1" localSheetId="0">#REF!</definedName>
    <definedName name="________Ki1" localSheetId="4">#REF!</definedName>
    <definedName name="________Ki1" localSheetId="11">#REF!</definedName>
    <definedName name="________Ki1">#REF!</definedName>
    <definedName name="________Ki2" localSheetId="1">#REF!</definedName>
    <definedName name="________Ki2" localSheetId="0">#REF!</definedName>
    <definedName name="________Ki2" localSheetId="4">#REF!</definedName>
    <definedName name="________Ki2" localSheetId="11">#REF!</definedName>
    <definedName name="________Ki2">#REF!</definedName>
    <definedName name="________SAP1" localSheetId="11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Xl1" localSheetId="1">#REF!</definedName>
    <definedName name="________Xl1" localSheetId="0">#REF!</definedName>
    <definedName name="________Xl1" localSheetId="4">#REF!</definedName>
    <definedName name="________Xl1" localSheetId="11">#REF!</definedName>
    <definedName name="________Xl1">#REF!</definedName>
    <definedName name="_______a1" localSheetId="1">#REF!</definedName>
    <definedName name="_______a1" localSheetId="0">#REF!</definedName>
    <definedName name="_______a1" localSheetId="4">#REF!</definedName>
    <definedName name="_______a1" localSheetId="11">#REF!</definedName>
    <definedName name="_______a1">#REF!</definedName>
    <definedName name="_______A2" localSheetId="11">#REF!</definedName>
    <definedName name="_______A2">#REF!</definedName>
    <definedName name="_______A65537">#REF!</definedName>
    <definedName name="_______A655600" localSheetId="1">#REF!</definedName>
    <definedName name="_______A655600" localSheetId="0">#REF!</definedName>
    <definedName name="_______A655600" localSheetId="4">#REF!</definedName>
    <definedName name="_______A655600">#REF!</definedName>
    <definedName name="_______a655601" localSheetId="1">#REF!</definedName>
    <definedName name="_______a655601" localSheetId="0">#REF!</definedName>
    <definedName name="_______a655601" localSheetId="4">#REF!</definedName>
    <definedName name="_______a655601">#REF!</definedName>
    <definedName name="_______a999999">#REF!</definedName>
    <definedName name="_______aba2">#REF!</definedName>
    <definedName name="_______bom1" localSheetId="11">#REF!</definedName>
    <definedName name="_______bom1">#REF!</definedName>
    <definedName name="_______CFB1" localSheetId="11">#REF!</definedName>
    <definedName name="_______CFB1">#REF!</definedName>
    <definedName name="_______CFB2" localSheetId="11">#REF!</definedName>
    <definedName name="_______CFB2">#REF!</definedName>
    <definedName name="_______CFB3">#REF!</definedName>
    <definedName name="_______DAT1" localSheetId="11">#REF!</definedName>
    <definedName name="_______DAT1">#REF!</definedName>
    <definedName name="_______DAT10" localSheetId="11">#REF!</definedName>
    <definedName name="_______DAT10">#REF!</definedName>
    <definedName name="_______DAT11" localSheetId="11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l1" localSheetId="1">#REF!</definedName>
    <definedName name="_______del1" localSheetId="0">#REF!</definedName>
    <definedName name="_______del1" localSheetId="4">#REF!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rg2" localSheetId="11">#REF!</definedName>
    <definedName name="_______drg2">#REF!</definedName>
    <definedName name="_______Ki1" localSheetId="1">#REF!</definedName>
    <definedName name="_______Ki1" localSheetId="0">#REF!</definedName>
    <definedName name="_______Ki1" localSheetId="4">#REF!</definedName>
    <definedName name="_______Ki1" localSheetId="11">#REF!</definedName>
    <definedName name="_______Ki1">#REF!</definedName>
    <definedName name="_______Ki2" localSheetId="1">#REF!</definedName>
    <definedName name="_______Ki2" localSheetId="0">#REF!</definedName>
    <definedName name="_______Ki2" localSheetId="4">#REF!</definedName>
    <definedName name="_______Ki2" localSheetId="11">#REF!</definedName>
    <definedName name="_______Ki2">#REF!</definedName>
    <definedName name="_______mnk1" localSheetId="11">#REF!</definedName>
    <definedName name="_______mnk1">#REF!</definedName>
    <definedName name="_______out2" localSheetId="11">#REF!</definedName>
    <definedName name="_______out2">#REF!</definedName>
    <definedName name="_______pep99" localSheetId="11">#REF!</definedName>
    <definedName name="_______pep99">#REF!</definedName>
    <definedName name="_______Re1" localSheetId="1">#REF!</definedName>
    <definedName name="_______Re1" localSheetId="0">#REF!</definedName>
    <definedName name="_______Re1" localSheetId="4">#REF!</definedName>
    <definedName name="_______Re1">#REF!</definedName>
    <definedName name="_______Rl1" localSheetId="1">#REF!</definedName>
    <definedName name="_______Rl1" localSheetId="0">#REF!</definedName>
    <definedName name="_______Rl1" localSheetId="4">#REF!</definedName>
    <definedName name="_______Rl1">#REF!</definedName>
    <definedName name="_______Rs1" localSheetId="1">#REF!</definedName>
    <definedName name="_______Rs1" localSheetId="0">#REF!</definedName>
    <definedName name="_______Rs1" localSheetId="4">#REF!</definedName>
    <definedName name="_______Rs1">#REF!</definedName>
    <definedName name="_______s41" localSheetId="11" hidden="1">{"form-D1",#N/A,FALSE,"FORM-D1";"form-D1_amt",#N/A,FALSE,"FORM-D1"}</definedName>
    <definedName name="_______s41" localSheetId="10" hidden="1">{"form-D1",#N/A,FALSE,"FORM-D1";"form-D1_amt",#N/A,FALSE,"FORM-D1"}</definedName>
    <definedName name="_______s4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k1" localSheetId="1">#REF!</definedName>
    <definedName name="_______Tk1" localSheetId="0">#REF!</definedName>
    <definedName name="_______Tk1" localSheetId="4">#REF!</definedName>
    <definedName name="_______Tk1" localSheetId="11">#REF!</definedName>
    <definedName name="_______Tk1">#REF!</definedName>
    <definedName name="_______Tkl1" localSheetId="1">#REF!</definedName>
    <definedName name="_______Tkl1" localSheetId="0">#REF!</definedName>
    <definedName name="_______Tkl1" localSheetId="4">#REF!</definedName>
    <definedName name="_______Tkl1" localSheetId="11">#REF!</definedName>
    <definedName name="_______Tkl1">#REF!</definedName>
    <definedName name="_______wp1" localSheetId="1">#REF!</definedName>
    <definedName name="_______wp1" localSheetId="0">#REF!</definedName>
    <definedName name="_______wp1" localSheetId="4">#REF!</definedName>
    <definedName name="_______wp1" localSheetId="11">#REF!</definedName>
    <definedName name="_______wp1">#REF!</definedName>
    <definedName name="_______Xl1" localSheetId="1">#REF!</definedName>
    <definedName name="_______Xl1" localSheetId="0">#REF!</definedName>
    <definedName name="_______Xl1" localSheetId="4">#REF!</definedName>
    <definedName name="_______Xl1">#REF!</definedName>
    <definedName name="______a1" localSheetId="1">#REF!</definedName>
    <definedName name="______a1" localSheetId="0">#REF!</definedName>
    <definedName name="______a1" localSheetId="4">#REF!</definedName>
    <definedName name="______a1">#REF!</definedName>
    <definedName name="______A2">#REF!</definedName>
    <definedName name="______A65537">#REF!</definedName>
    <definedName name="______A655600" localSheetId="1">#REF!</definedName>
    <definedName name="______A655600" localSheetId="0">#REF!</definedName>
    <definedName name="______A655600" localSheetId="4">#REF!</definedName>
    <definedName name="______A655600">#REF!</definedName>
    <definedName name="______a655601" localSheetId="1">#REF!</definedName>
    <definedName name="______a655601" localSheetId="0">#REF!</definedName>
    <definedName name="______a655601" localSheetId="4">#REF!</definedName>
    <definedName name="______a655601">#REF!</definedName>
    <definedName name="______a999999">#REF!</definedName>
    <definedName name="______aba2">#REF!</definedName>
    <definedName name="______bom1" localSheetId="11">#REF!</definedName>
    <definedName name="______bom1">#REF!</definedName>
    <definedName name="______CFB1" localSheetId="11">#REF!</definedName>
    <definedName name="______CFB1">#REF!</definedName>
    <definedName name="______CFB2" localSheetId="11">#REF!</definedName>
    <definedName name="______CFB2">#REF!</definedName>
    <definedName name="______CFB3">#REF!</definedName>
    <definedName name="______DAT1" localSheetId="11">#REF!</definedName>
    <definedName name="______DAT1">#REF!</definedName>
    <definedName name="______DAT10" localSheetId="11">#REF!</definedName>
    <definedName name="______DAT10">#REF!</definedName>
    <definedName name="______DAT11" localSheetId="11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l1" localSheetId="1">#REF!</definedName>
    <definedName name="______del1" localSheetId="0">#REF!</definedName>
    <definedName name="______del1" localSheetId="4">#REF!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rg1" localSheetId="11">#REF!</definedName>
    <definedName name="______drg1">#REF!</definedName>
    <definedName name="______drg2" localSheetId="11">#REF!</definedName>
    <definedName name="______drg2">#REF!</definedName>
    <definedName name="______Ki1" localSheetId="1">#REF!</definedName>
    <definedName name="______Ki1" localSheetId="0">#REF!</definedName>
    <definedName name="______Ki1" localSheetId="4">#REF!</definedName>
    <definedName name="______Ki1" localSheetId="11">#REF!</definedName>
    <definedName name="______Ki1">#REF!</definedName>
    <definedName name="______Ki2" localSheetId="1">#REF!</definedName>
    <definedName name="______Ki2" localSheetId="0">#REF!</definedName>
    <definedName name="______Ki2" localSheetId="4">#REF!</definedName>
    <definedName name="______Ki2" localSheetId="11">#REF!</definedName>
    <definedName name="______Ki2">#REF!</definedName>
    <definedName name="______mnk1" localSheetId="11">#REF!</definedName>
    <definedName name="______mnk1">#REF!</definedName>
    <definedName name="______out2" localSheetId="11">#REF!</definedName>
    <definedName name="______out2">#REF!</definedName>
    <definedName name="______pan1" localSheetId="11">#REF!</definedName>
    <definedName name="______pan1">#REF!</definedName>
    <definedName name="______PAN2">#REF!</definedName>
    <definedName name="______pep99">#REF!</definedName>
    <definedName name="______Re1" localSheetId="1">#REF!</definedName>
    <definedName name="______Re1" localSheetId="0">#REF!</definedName>
    <definedName name="______Re1" localSheetId="4">#REF!</definedName>
    <definedName name="______Re1">#REF!</definedName>
    <definedName name="______Rl1" localSheetId="1">#REF!</definedName>
    <definedName name="______Rl1" localSheetId="0">#REF!</definedName>
    <definedName name="______Rl1" localSheetId="4">#REF!</definedName>
    <definedName name="______Rl1">#REF!</definedName>
    <definedName name="______Rs1" localSheetId="1">#REF!</definedName>
    <definedName name="______Rs1" localSheetId="0">#REF!</definedName>
    <definedName name="______Rs1" localSheetId="4">#REF!</definedName>
    <definedName name="______Rs1">#REF!</definedName>
    <definedName name="______s41" localSheetId="11" hidden="1">{"form-D1",#N/A,FALSE,"FORM-D1";"form-D1_amt",#N/A,FALSE,"FORM-D1"}</definedName>
    <definedName name="______s41" localSheetId="10" hidden="1">{"form-D1",#N/A,FALSE,"FORM-D1";"form-D1_amt",#N/A,FALSE,"FORM-D1"}</definedName>
    <definedName name="______s4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k1" localSheetId="1">#REF!</definedName>
    <definedName name="______Tk1" localSheetId="0">#REF!</definedName>
    <definedName name="______Tk1" localSheetId="4">#REF!</definedName>
    <definedName name="______Tk1" localSheetId="11">#REF!</definedName>
    <definedName name="______Tk1">#REF!</definedName>
    <definedName name="______Tkl1" localSheetId="1">#REF!</definedName>
    <definedName name="______Tkl1" localSheetId="0">#REF!</definedName>
    <definedName name="______Tkl1" localSheetId="4">#REF!</definedName>
    <definedName name="______Tkl1" localSheetId="11">#REF!</definedName>
    <definedName name="______Tkl1">#REF!</definedName>
    <definedName name="______Vf1" localSheetId="1">#REF!</definedName>
    <definedName name="______Vf1" localSheetId="0">#REF!</definedName>
    <definedName name="______Vf1" localSheetId="4">#REF!</definedName>
    <definedName name="______Vf1" localSheetId="11">#REF!</definedName>
    <definedName name="______Vf1">#REF!</definedName>
    <definedName name="______Vf2" localSheetId="1">#REF!</definedName>
    <definedName name="______Vf2" localSheetId="0">#REF!</definedName>
    <definedName name="______Vf2" localSheetId="4">#REF!</definedName>
    <definedName name="______Vf2">#REF!</definedName>
    <definedName name="______wp1" localSheetId="1">#REF!</definedName>
    <definedName name="______wp1" localSheetId="0">#REF!</definedName>
    <definedName name="______wp1" localSheetId="4">#REF!</definedName>
    <definedName name="______wp1" localSheetId="11">#REF!</definedName>
    <definedName name="______wp1">#REF!</definedName>
    <definedName name="______Xl1" localSheetId="1">#REF!</definedName>
    <definedName name="______Xl1" localSheetId="0">#REF!</definedName>
    <definedName name="______Xl1" localSheetId="4">#REF!</definedName>
    <definedName name="______Xl1" localSheetId="11">#REF!</definedName>
    <definedName name="______Xl1">#REF!</definedName>
    <definedName name="______xlnm._FilterDatabase_1" localSheetId="11">#REF!</definedName>
    <definedName name="______xlnm._FilterDatabase_1">#REF!</definedName>
    <definedName name="______xlnm._FilterDatabase_2" localSheetId="11">#REF!</definedName>
    <definedName name="______xlnm._FilterDatabase_2">#REF!</definedName>
    <definedName name="______xlnm.Print_Area_1">#REF!</definedName>
    <definedName name="______xlnm.Print_Area_10">#REF!</definedName>
    <definedName name="______xlnm.Print_Area_2">#REF!</definedName>
    <definedName name="______xlnm.Print_Area_4">#REF!</definedName>
    <definedName name="______xlnm.Print_Area_6">#REF!</definedName>
    <definedName name="______xlnm.Print_Area_9">#REF!</definedName>
    <definedName name="______xlnm.Print_Titles">#REF!</definedName>
    <definedName name="_____a1" localSheetId="1">#REF!</definedName>
    <definedName name="_____a1" localSheetId="0">#REF!</definedName>
    <definedName name="_____a1" localSheetId="4">#REF!</definedName>
    <definedName name="_____a1">#REF!</definedName>
    <definedName name="_____A2">#REF!</definedName>
    <definedName name="_____A65537">#REF!</definedName>
    <definedName name="_____A655600" localSheetId="1">#REF!</definedName>
    <definedName name="_____A655600" localSheetId="0">#REF!</definedName>
    <definedName name="_____A655600" localSheetId="4">#REF!</definedName>
    <definedName name="_____A655600">#REF!</definedName>
    <definedName name="_____a655601" localSheetId="1">#REF!</definedName>
    <definedName name="_____a655601" localSheetId="0">#REF!</definedName>
    <definedName name="_____a655601" localSheetId="4">#REF!</definedName>
    <definedName name="_____a655601">#REF!</definedName>
    <definedName name="_____a999999">#REF!</definedName>
    <definedName name="_____aba2">#REF!</definedName>
    <definedName name="_____acs1" localSheetId="1">#REF!</definedName>
    <definedName name="_____acs1" localSheetId="0">#REF!</definedName>
    <definedName name="_____acs1" localSheetId="4">#REF!</definedName>
    <definedName name="_____acs1">#REF!</definedName>
    <definedName name="_____acs2" localSheetId="1">#REF!</definedName>
    <definedName name="_____acs2" localSheetId="0">#REF!</definedName>
    <definedName name="_____acs2" localSheetId="4">#REF!</definedName>
    <definedName name="_____acs2">#REF!</definedName>
    <definedName name="_____bhh2" localSheetId="1">#REF!</definedName>
    <definedName name="_____bhh2" localSheetId="0">#REF!</definedName>
    <definedName name="_____bhh2" localSheetId="4">#REF!</definedName>
    <definedName name="_____bhh2" localSheetId="11">#REF!</definedName>
    <definedName name="_____bhh2">#REF!</definedName>
    <definedName name="_____bom1" localSheetId="11">#REF!</definedName>
    <definedName name="_____bom1">#REF!</definedName>
    <definedName name="_____cdd2" localSheetId="1">#REF!</definedName>
    <definedName name="_____cdd2" localSheetId="0">#REF!</definedName>
    <definedName name="_____cdd2" localSheetId="4">#REF!</definedName>
    <definedName name="_____cdd2" localSheetId="11">#REF!</definedName>
    <definedName name="_____cdd2">#REF!</definedName>
    <definedName name="_____CFB1">#REF!</definedName>
    <definedName name="_____CFB2">#REF!</definedName>
    <definedName name="_____CFB3">#REF!</definedName>
    <definedName name="_____cff2" localSheetId="1">#REF!</definedName>
    <definedName name="_____cff2" localSheetId="0">#REF!</definedName>
    <definedName name="_____cff2" localSheetId="4">#REF!</definedName>
    <definedName name="_____cff2">#REF!</definedName>
    <definedName name="_____cth2" localSheetId="1">#REF!</definedName>
    <definedName name="_____cth2" localSheetId="0">#REF!</definedName>
    <definedName name="_____cth2" localSheetId="4">#REF!</definedName>
    <definedName name="_____cth2" localSheetId="11">#REF!</definedName>
    <definedName name="_____cth2">#REF!</definedName>
    <definedName name="_____DAT1" localSheetId="11">#REF!</definedName>
    <definedName name="_____DAT1">#REF!</definedName>
    <definedName name="_____DAT10" localSheetId="1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l1" localSheetId="1">#REF!</definedName>
    <definedName name="_____del1" localSheetId="0">#REF!</definedName>
    <definedName name="_____del1" localSheetId="4">#REF!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rg1" localSheetId="1">#REF!</definedName>
    <definedName name="_____drg1" localSheetId="0">#REF!</definedName>
    <definedName name="_____drg1" localSheetId="4">#REF!</definedName>
    <definedName name="_____drg1" localSheetId="11">#REF!</definedName>
    <definedName name="_____drg1">#REF!</definedName>
    <definedName name="_____drg2" localSheetId="11">#REF!</definedName>
    <definedName name="_____drg2">#REF!</definedName>
    <definedName name="_____eth2" localSheetId="1">#REF!</definedName>
    <definedName name="_____eth2" localSheetId="0">#REF!</definedName>
    <definedName name="_____eth2" localSheetId="4">#REF!</definedName>
    <definedName name="_____eth2" localSheetId="11">#REF!</definedName>
    <definedName name="_____eth2">#REF!</definedName>
    <definedName name="_____Fpi1" localSheetId="1">#REF!</definedName>
    <definedName name="_____Fpi1" localSheetId="0">#REF!</definedName>
    <definedName name="_____Fpi1" localSheetId="4">#REF!</definedName>
    <definedName name="_____Fpi1">#REF!</definedName>
    <definedName name="_____ifa1" localSheetId="1">#REF!</definedName>
    <definedName name="_____ifa1" localSheetId="0">#REF!</definedName>
    <definedName name="_____ifa1" localSheetId="4">#REF!</definedName>
    <definedName name="_____ifa1" localSheetId="11">#REF!</definedName>
    <definedName name="_____ifa1">#REF!</definedName>
    <definedName name="_____ifa2" localSheetId="1">#REF!</definedName>
    <definedName name="_____ifa2" localSheetId="0">#REF!</definedName>
    <definedName name="_____ifa2" localSheetId="4">#REF!</definedName>
    <definedName name="_____ifa2" localSheetId="11">#REF!</definedName>
    <definedName name="_____ifa2">#REF!</definedName>
    <definedName name="_____INT1" localSheetId="1">#REF!</definedName>
    <definedName name="_____INT1" localSheetId="0">#REF!</definedName>
    <definedName name="_____INT1" localSheetId="4">#REF!</definedName>
    <definedName name="_____INT1" localSheetId="11">#REF!</definedName>
    <definedName name="_____INT1">#REF!</definedName>
    <definedName name="_____Ki1" localSheetId="1">#REF!</definedName>
    <definedName name="_____Ki1" localSheetId="0">#REF!</definedName>
    <definedName name="_____Ki1" localSheetId="4">#REF!</definedName>
    <definedName name="_____Ki1" localSheetId="11">#REF!</definedName>
    <definedName name="_____Ki1">#REF!</definedName>
    <definedName name="_____Ki2" localSheetId="1">#REF!</definedName>
    <definedName name="_____Ki2" localSheetId="0">#REF!</definedName>
    <definedName name="_____Ki2" localSheetId="4">#REF!</definedName>
    <definedName name="_____Ki2" localSheetId="11">#REF!</definedName>
    <definedName name="_____Ki2">#REF!</definedName>
    <definedName name="_____mnk1" localSheetId="11">#REF!</definedName>
    <definedName name="_____mnk1">#REF!</definedName>
    <definedName name="_____new1" localSheetId="1">#REF!</definedName>
    <definedName name="_____new1" localSheetId="0">#REF!</definedName>
    <definedName name="_____new1" localSheetId="4">#REF!</definedName>
    <definedName name="_____new1" localSheetId="11">#REF!</definedName>
    <definedName name="_____new1">#REF!</definedName>
    <definedName name="_____out2" localSheetId="11">#REF!</definedName>
    <definedName name="_____out2">#REF!</definedName>
    <definedName name="_____pan1">#REF!</definedName>
    <definedName name="_____PAN2">#REF!</definedName>
    <definedName name="_____pep99">#REF!</definedName>
    <definedName name="_____rcu2" localSheetId="1">#REF!</definedName>
    <definedName name="_____rcu2" localSheetId="0">#REF!</definedName>
    <definedName name="_____rcu2" localSheetId="4">#REF!</definedName>
    <definedName name="_____rcu2">#REF!</definedName>
    <definedName name="_____Re1" localSheetId="1">#REF!</definedName>
    <definedName name="_____Re1" localSheetId="0">#REF!</definedName>
    <definedName name="_____Re1" localSheetId="4">#REF!</definedName>
    <definedName name="_____Re1">#REF!</definedName>
    <definedName name="_____Rl1" localSheetId="1">#REF!</definedName>
    <definedName name="_____Rl1" localSheetId="0">#REF!</definedName>
    <definedName name="_____Rl1" localSheetId="4">#REF!</definedName>
    <definedName name="_____Rl1">#REF!</definedName>
    <definedName name="_____Rs1" localSheetId="1">#REF!</definedName>
    <definedName name="_____Rs1" localSheetId="0">#REF!</definedName>
    <definedName name="_____Rs1" localSheetId="4">#REF!</definedName>
    <definedName name="_____Rs1">#REF!</definedName>
    <definedName name="_____rt1" localSheetId="1">#REF!</definedName>
    <definedName name="_____rt1" localSheetId="0">#REF!</definedName>
    <definedName name="_____rt1" localSheetId="4">#REF!</definedName>
    <definedName name="_____rt1">#REF!</definedName>
    <definedName name="_____rt2" localSheetId="1">#REF!</definedName>
    <definedName name="_____rt2" localSheetId="0">#REF!</definedName>
    <definedName name="_____rt2" localSheetId="4">#REF!</definedName>
    <definedName name="_____rt2">#REF!</definedName>
    <definedName name="_____rt3" localSheetId="1">#REF!</definedName>
    <definedName name="_____rt3" localSheetId="0">#REF!</definedName>
    <definedName name="_____rt3" localSheetId="4">#REF!</definedName>
    <definedName name="_____rt3">#REF!</definedName>
    <definedName name="_____s41" localSheetId="11" hidden="1">{"form-D1",#N/A,FALSE,"FORM-D1";"form-D1_amt",#N/A,FALSE,"FORM-D1"}</definedName>
    <definedName name="_____s41" localSheetId="10" hidden="1">{"form-D1",#N/A,FALSE,"FORM-D1";"form-D1_amt",#N/A,FALSE,"FORM-D1"}</definedName>
    <definedName name="_____s4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k1" localSheetId="1">#REF!</definedName>
    <definedName name="_____Tk1" localSheetId="0">#REF!</definedName>
    <definedName name="_____Tk1" localSheetId="4">#REF!</definedName>
    <definedName name="_____Tk1" localSheetId="11">#REF!</definedName>
    <definedName name="_____Tk1">#REF!</definedName>
    <definedName name="_____Tk11" localSheetId="1">#REF!</definedName>
    <definedName name="_____Tk11" localSheetId="0">#REF!</definedName>
    <definedName name="_____Tk11" localSheetId="4">#REF!</definedName>
    <definedName name="_____Tk11" localSheetId="11">#REF!</definedName>
    <definedName name="_____Tk11">#REF!</definedName>
    <definedName name="_____Tk2" localSheetId="1">#REF!</definedName>
    <definedName name="_____Tk2" localSheetId="0">#REF!</definedName>
    <definedName name="_____Tk2" localSheetId="4">#REF!</definedName>
    <definedName name="_____Tk2" localSheetId="11">#REF!</definedName>
    <definedName name="_____Tk2">#REF!</definedName>
    <definedName name="_____Tkl1" localSheetId="1">#REF!</definedName>
    <definedName name="_____Tkl1" localSheetId="0">#REF!</definedName>
    <definedName name="_____Tkl1" localSheetId="4">#REF!</definedName>
    <definedName name="_____Tkl1">#REF!</definedName>
    <definedName name="_____tl1" localSheetId="1">#REF!</definedName>
    <definedName name="_____tl1" localSheetId="0">#REF!</definedName>
    <definedName name="_____tl1" localSheetId="4">#REF!</definedName>
    <definedName name="_____tl1">#REF!</definedName>
    <definedName name="_____tl2" localSheetId="1">#REF!</definedName>
    <definedName name="_____tl2" localSheetId="0">#REF!</definedName>
    <definedName name="_____tl2" localSheetId="4">#REF!</definedName>
    <definedName name="_____tl2">#REF!</definedName>
    <definedName name="_____Vf1" localSheetId="1">#REF!</definedName>
    <definedName name="_____Vf1" localSheetId="0">#REF!</definedName>
    <definedName name="_____Vf1" localSheetId="4">#REF!</definedName>
    <definedName name="_____Vf1">#REF!</definedName>
    <definedName name="_____Vf2" localSheetId="1">#REF!</definedName>
    <definedName name="_____Vf2" localSheetId="0">#REF!</definedName>
    <definedName name="_____Vf2" localSheetId="4">#REF!</definedName>
    <definedName name="_____Vf2">#REF!</definedName>
    <definedName name="_____vr1" localSheetId="1">#REF!</definedName>
    <definedName name="_____vr1" localSheetId="0">#REF!</definedName>
    <definedName name="_____vr1" localSheetId="4">#REF!</definedName>
    <definedName name="_____vr1">#REF!</definedName>
    <definedName name="_____wp1" localSheetId="1">#REF!</definedName>
    <definedName name="_____wp1" localSheetId="0">#REF!</definedName>
    <definedName name="_____wp1" localSheetId="4">#REF!</definedName>
    <definedName name="_____wp1" localSheetId="11">#REF!</definedName>
    <definedName name="_____wp1">#REF!</definedName>
    <definedName name="_____Xl1" localSheetId="1">#REF!</definedName>
    <definedName name="_____Xl1" localSheetId="0">#REF!</definedName>
    <definedName name="_____Xl1" localSheetId="4">#REF!</definedName>
    <definedName name="_____Xl1" localSheetId="11">#REF!</definedName>
    <definedName name="_____Xl1">#REF!</definedName>
    <definedName name="_____xlnm._FilterDatabase_1" localSheetId="11">#REF!</definedName>
    <definedName name="_____xlnm._FilterDatabase_1">#REF!</definedName>
    <definedName name="_____xlnm._FilterDatabase_2" localSheetId="11">#REF!</definedName>
    <definedName name="_____xlnm._FilterDatabase_2">#REF!</definedName>
    <definedName name="_____xlnm._FilterDatabase_5" localSheetId="11">#N/A</definedName>
    <definedName name="_____xlnm._FilterDatabase_5" localSheetId="10">#N/A</definedName>
    <definedName name="_____xlnm._FilterDatabase_5">#REF!</definedName>
    <definedName name="_____xlnm.Print_Area_1">#REF!</definedName>
    <definedName name="_____xlnm.Print_Area_10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a1" localSheetId="1">#REF!</definedName>
    <definedName name="____a1" localSheetId="0">#REF!</definedName>
    <definedName name="____a1" localSheetId="4">#REF!</definedName>
    <definedName name="____a1">#REF!</definedName>
    <definedName name="____A2">#REF!</definedName>
    <definedName name="____A65537">#REF!</definedName>
    <definedName name="____A655600" localSheetId="1">#REF!</definedName>
    <definedName name="____A655600" localSheetId="0">#REF!</definedName>
    <definedName name="____A655600" localSheetId="4">#REF!</definedName>
    <definedName name="____A655600">#REF!</definedName>
    <definedName name="____a655601" localSheetId="1">#REF!</definedName>
    <definedName name="____a655601" localSheetId="0">#REF!</definedName>
    <definedName name="____a655601" localSheetId="4">#REF!</definedName>
    <definedName name="____a655601">#REF!</definedName>
    <definedName name="____a999999">#REF!</definedName>
    <definedName name="____aba2" localSheetId="1">#REF!</definedName>
    <definedName name="____aba2" localSheetId="0">#REF!</definedName>
    <definedName name="____aba2" localSheetId="4">#REF!</definedName>
    <definedName name="____aba2">#REF!</definedName>
    <definedName name="____acs1" localSheetId="1">#REF!</definedName>
    <definedName name="____acs1" localSheetId="0">#REF!</definedName>
    <definedName name="____acs1" localSheetId="4">#REF!</definedName>
    <definedName name="____acs1">#REF!</definedName>
    <definedName name="____acs2" localSheetId="1">#REF!</definedName>
    <definedName name="____acs2" localSheetId="0">#REF!</definedName>
    <definedName name="____acs2" localSheetId="4">#REF!</definedName>
    <definedName name="____acs2">#REF!</definedName>
    <definedName name="____bhh2" localSheetId="1">#REF!</definedName>
    <definedName name="____bhh2" localSheetId="0">#REF!</definedName>
    <definedName name="____bhh2" localSheetId="4">#REF!</definedName>
    <definedName name="____bhh2" localSheetId="11">#REF!</definedName>
    <definedName name="____bhh2">#REF!</definedName>
    <definedName name="____bom1" localSheetId="1">#REF!</definedName>
    <definedName name="____bom1" localSheetId="0">#REF!</definedName>
    <definedName name="____bom1" localSheetId="4">#REF!</definedName>
    <definedName name="____bom1" localSheetId="11">#REF!</definedName>
    <definedName name="____bom1">#REF!</definedName>
    <definedName name="____cdd2" localSheetId="1">#REF!</definedName>
    <definedName name="____cdd2" localSheetId="0">#REF!</definedName>
    <definedName name="____cdd2" localSheetId="4">#REF!</definedName>
    <definedName name="____cdd2" localSheetId="11">#REF!</definedName>
    <definedName name="____cdd2">#REF!</definedName>
    <definedName name="____CFB1" localSheetId="1">#REF!</definedName>
    <definedName name="____CFB1" localSheetId="0">#REF!</definedName>
    <definedName name="____CFB1" localSheetId="4">#REF!</definedName>
    <definedName name="____CFB1">#REF!</definedName>
    <definedName name="____CFB2" localSheetId="1">#REF!</definedName>
    <definedName name="____CFB2" localSheetId="0">#REF!</definedName>
    <definedName name="____CFB2" localSheetId="4">#REF!</definedName>
    <definedName name="____CFB2">#REF!</definedName>
    <definedName name="____CFB3" localSheetId="1">#REF!</definedName>
    <definedName name="____CFB3" localSheetId="0">#REF!</definedName>
    <definedName name="____CFB3" localSheetId="4">#REF!</definedName>
    <definedName name="____CFB3">#REF!</definedName>
    <definedName name="____cff2" localSheetId="1">#REF!</definedName>
    <definedName name="____cff2" localSheetId="0">#REF!</definedName>
    <definedName name="____cff2" localSheetId="4">#REF!</definedName>
    <definedName name="____cff2">#REF!</definedName>
    <definedName name="____col33" localSheetId="1">#REF!</definedName>
    <definedName name="____col33" localSheetId="0">#REF!</definedName>
    <definedName name="____col33" localSheetId="4">#REF!</definedName>
    <definedName name="____col33" localSheetId="11">#REF!</definedName>
    <definedName name="____col33">#REF!</definedName>
    <definedName name="____cth2" localSheetId="1">#REF!</definedName>
    <definedName name="____cth2" localSheetId="0">#REF!</definedName>
    <definedName name="____cth2" localSheetId="4">#REF!</definedName>
    <definedName name="____cth2" localSheetId="11">#REF!</definedName>
    <definedName name="____cth2">#REF!</definedName>
    <definedName name="____DAT1" localSheetId="1">#REF!</definedName>
    <definedName name="____DAT1" localSheetId="0">#REF!</definedName>
    <definedName name="____DAT1" localSheetId="4">#REF!</definedName>
    <definedName name="____DAT1" localSheetId="11">#REF!</definedName>
    <definedName name="____DAT1">#REF!</definedName>
    <definedName name="____DAT10" localSheetId="1">#REF!</definedName>
    <definedName name="____DAT10" localSheetId="0">#REF!</definedName>
    <definedName name="____DAT10" localSheetId="4">#REF!</definedName>
    <definedName name="____DAT10">#REF!</definedName>
    <definedName name="____DAT11" localSheetId="1">#REF!</definedName>
    <definedName name="____DAT11" localSheetId="0">#REF!</definedName>
    <definedName name="____DAT11" localSheetId="4">#REF!</definedName>
    <definedName name="____DAT11">#REF!</definedName>
    <definedName name="____DAT12" localSheetId="1">#REF!</definedName>
    <definedName name="____DAT12" localSheetId="0">#REF!</definedName>
    <definedName name="____DAT12" localSheetId="4">#REF!</definedName>
    <definedName name="____DAT12">#REF!</definedName>
    <definedName name="____DAT13" localSheetId="1">#REF!</definedName>
    <definedName name="____DAT13" localSheetId="0">#REF!</definedName>
    <definedName name="____DAT13" localSheetId="4">#REF!</definedName>
    <definedName name="____DAT13">#REF!</definedName>
    <definedName name="____DAT14" localSheetId="1">#REF!</definedName>
    <definedName name="____DAT14" localSheetId="0">#REF!</definedName>
    <definedName name="____DAT14" localSheetId="4">#REF!</definedName>
    <definedName name="____DAT14">#REF!</definedName>
    <definedName name="____DAT15" localSheetId="1">#REF!</definedName>
    <definedName name="____DAT15" localSheetId="0">#REF!</definedName>
    <definedName name="____DAT15" localSheetId="4">#REF!</definedName>
    <definedName name="____DAT15">#REF!</definedName>
    <definedName name="____DAT16" localSheetId="1">#REF!</definedName>
    <definedName name="____DAT16" localSheetId="0">#REF!</definedName>
    <definedName name="____DAT16" localSheetId="4">#REF!</definedName>
    <definedName name="____DAT16">#REF!</definedName>
    <definedName name="____DAT2" localSheetId="1">#REF!</definedName>
    <definedName name="____DAT2" localSheetId="0">#REF!</definedName>
    <definedName name="____DAT2" localSheetId="4">#REF!</definedName>
    <definedName name="____DAT2">#REF!</definedName>
    <definedName name="____DAT3" localSheetId="1">#REF!</definedName>
    <definedName name="____DAT3" localSheetId="0">#REF!</definedName>
    <definedName name="____DAT3" localSheetId="4">#REF!</definedName>
    <definedName name="____DAT3">#REF!</definedName>
    <definedName name="____DAT4" localSheetId="1">#REF!</definedName>
    <definedName name="____DAT4" localSheetId="0">#REF!</definedName>
    <definedName name="____DAT4" localSheetId="4">#REF!</definedName>
    <definedName name="____DAT4">#REF!</definedName>
    <definedName name="____DAT5" localSheetId="1">#REF!</definedName>
    <definedName name="____DAT5" localSheetId="0">#REF!</definedName>
    <definedName name="____DAT5" localSheetId="4">#REF!</definedName>
    <definedName name="____DAT5">#REF!</definedName>
    <definedName name="____DAT6" localSheetId="1">#REF!</definedName>
    <definedName name="____DAT6" localSheetId="0">#REF!</definedName>
    <definedName name="____DAT6" localSheetId="4">#REF!</definedName>
    <definedName name="____DAT6">#REF!</definedName>
    <definedName name="____DAT7" localSheetId="1">#REF!</definedName>
    <definedName name="____DAT7" localSheetId="0">#REF!</definedName>
    <definedName name="____DAT7" localSheetId="4">#REF!</definedName>
    <definedName name="____DAT7">#REF!</definedName>
    <definedName name="____DAT8" localSheetId="1">#REF!</definedName>
    <definedName name="____DAT8" localSheetId="0">#REF!</definedName>
    <definedName name="____DAT8" localSheetId="4">#REF!</definedName>
    <definedName name="____DAT8">#REF!</definedName>
    <definedName name="____DAT9" localSheetId="1">#REF!</definedName>
    <definedName name="____DAT9" localSheetId="0">#REF!</definedName>
    <definedName name="____DAT9" localSheetId="4">#REF!</definedName>
    <definedName name="____DAT9">#REF!</definedName>
    <definedName name="____del1" localSheetId="1">#REF!</definedName>
    <definedName name="____del1" localSheetId="0">#REF!</definedName>
    <definedName name="____del1" localSheetId="4">#REF!</definedName>
    <definedName name="____del1">#REF!</definedName>
    <definedName name="____DET1" localSheetId="1">#REF!</definedName>
    <definedName name="____DET1" localSheetId="0">#REF!</definedName>
    <definedName name="____DET1" localSheetId="4">#REF!</definedName>
    <definedName name="____DET1">#REF!</definedName>
    <definedName name="____DET2" localSheetId="1">#REF!</definedName>
    <definedName name="____DET2" localSheetId="0">#REF!</definedName>
    <definedName name="____DET2" localSheetId="4">#REF!</definedName>
    <definedName name="____DET2">#REF!</definedName>
    <definedName name="____DET3" localSheetId="1">#REF!</definedName>
    <definedName name="____DET3" localSheetId="0">#REF!</definedName>
    <definedName name="____DET3" localSheetId="4">#REF!</definedName>
    <definedName name="____DET3">#REF!</definedName>
    <definedName name="____DET4" localSheetId="1">#REF!</definedName>
    <definedName name="____DET4" localSheetId="0">#REF!</definedName>
    <definedName name="____DET4" localSheetId="4">#REF!</definedName>
    <definedName name="____DET4">#REF!</definedName>
    <definedName name="____DET5" localSheetId="1">#REF!</definedName>
    <definedName name="____DET5" localSheetId="0">#REF!</definedName>
    <definedName name="____DET5" localSheetId="4">#REF!</definedName>
    <definedName name="____DET5">#REF!</definedName>
    <definedName name="____DET6" localSheetId="1">#REF!</definedName>
    <definedName name="____DET6" localSheetId="0">#REF!</definedName>
    <definedName name="____DET6" localSheetId="4">#REF!</definedName>
    <definedName name="____DET6">#REF!</definedName>
    <definedName name="____drg1" localSheetId="1">#REF!</definedName>
    <definedName name="____drg1" localSheetId="0">#REF!</definedName>
    <definedName name="____drg1" localSheetId="4">#REF!</definedName>
    <definedName name="____drg1" localSheetId="11">#REF!</definedName>
    <definedName name="____drg1">#REF!</definedName>
    <definedName name="____drg2" localSheetId="1">#REF!</definedName>
    <definedName name="____drg2" localSheetId="0">#REF!</definedName>
    <definedName name="____drg2" localSheetId="4">#REF!</definedName>
    <definedName name="____drg2" localSheetId="11">#REF!</definedName>
    <definedName name="____drg2">#REF!</definedName>
    <definedName name="____eth2" localSheetId="1">#REF!</definedName>
    <definedName name="____eth2" localSheetId="0">#REF!</definedName>
    <definedName name="____eth2" localSheetId="4">#REF!</definedName>
    <definedName name="____eth2" localSheetId="11">#REF!</definedName>
    <definedName name="____eth2">#REF!</definedName>
    <definedName name="____f1" localSheetId="11" hidden="1">{"'PROFITABILITY'!$A$1:$F$45"}</definedName>
    <definedName name="____f1" localSheetId="10" hidden="1">{"'PROFITABILITY'!$A$1:$F$45"}</definedName>
    <definedName name="____f1">{"'PROFITABILITY'!$A$1:$F$45"}</definedName>
    <definedName name="____Fpi1" localSheetId="1">#REF!</definedName>
    <definedName name="____Fpi1" localSheetId="0">#REF!</definedName>
    <definedName name="____Fpi1" localSheetId="4">#REF!</definedName>
    <definedName name="____Fpi1">#REF!</definedName>
    <definedName name="____HCO2" localSheetId="1">#REF!</definedName>
    <definedName name="____HCO2" localSheetId="0">#REF!</definedName>
    <definedName name="____HCO2" localSheetId="4">#REF!</definedName>
    <definedName name="____HCO2">#REF!</definedName>
    <definedName name="____Hra2" localSheetId="1">#REF!</definedName>
    <definedName name="____Hra2" localSheetId="0">#REF!</definedName>
    <definedName name="____Hra2" localSheetId="4">#REF!</definedName>
    <definedName name="____Hra2" localSheetId="11">#REF!</definedName>
    <definedName name="____Hra2">#REF!</definedName>
    <definedName name="____Hso2" localSheetId="1">#REF!</definedName>
    <definedName name="____Hso2" localSheetId="0">#REF!</definedName>
    <definedName name="____Hso2" localSheetId="4">#REF!</definedName>
    <definedName name="____Hso2" localSheetId="11">#REF!</definedName>
    <definedName name="____Hso2">#REF!</definedName>
    <definedName name="____Hso3" localSheetId="1">#REF!</definedName>
    <definedName name="____Hso3" localSheetId="0">#REF!</definedName>
    <definedName name="____Hso3" localSheetId="4">#REF!</definedName>
    <definedName name="____Hso3" localSheetId="11">#REF!</definedName>
    <definedName name="____Hso3">#REF!</definedName>
    <definedName name="____hxa1" localSheetId="1">#REF!</definedName>
    <definedName name="____hxa1" localSheetId="0">#REF!</definedName>
    <definedName name="____hxa1" localSheetId="4">#REF!</definedName>
    <definedName name="____hxa1">#REF!</definedName>
    <definedName name="____hxa2" localSheetId="1">#REF!</definedName>
    <definedName name="____hxa2" localSheetId="0">#REF!</definedName>
    <definedName name="____hxa2" localSheetId="4">#REF!</definedName>
    <definedName name="____hxa2">#REF!</definedName>
    <definedName name="____hxb1" localSheetId="1">#REF!</definedName>
    <definedName name="____hxb1" localSheetId="0">#REF!</definedName>
    <definedName name="____hxb1" localSheetId="4">#REF!</definedName>
    <definedName name="____hxb1">#REF!</definedName>
    <definedName name="____hxb2" localSheetId="1">#REF!</definedName>
    <definedName name="____hxb2" localSheetId="0">#REF!</definedName>
    <definedName name="____hxb2" localSheetId="4">#REF!</definedName>
    <definedName name="____hxb2">#REF!</definedName>
    <definedName name="____hxc1" localSheetId="1">#REF!</definedName>
    <definedName name="____hxc1" localSheetId="0">#REF!</definedName>
    <definedName name="____hxc1" localSheetId="4">#REF!</definedName>
    <definedName name="____hxc1">#REF!</definedName>
    <definedName name="____hxc2" localSheetId="1">#REF!</definedName>
    <definedName name="____hxc2" localSheetId="0">#REF!</definedName>
    <definedName name="____hxc2" localSheetId="4">#REF!</definedName>
    <definedName name="____hxc2">#REF!</definedName>
    <definedName name="____ifa1" localSheetId="1">#REF!</definedName>
    <definedName name="____ifa1" localSheetId="0">#REF!</definedName>
    <definedName name="____ifa1" localSheetId="4">#REF!</definedName>
    <definedName name="____ifa1" localSheetId="11">#REF!</definedName>
    <definedName name="____ifa1">#REF!</definedName>
    <definedName name="____ifa2" localSheetId="1">#REF!</definedName>
    <definedName name="____ifa2" localSheetId="0">#REF!</definedName>
    <definedName name="____ifa2" localSheetId="4">#REF!</definedName>
    <definedName name="____ifa2" localSheetId="11">#REF!</definedName>
    <definedName name="____ifa2">#REF!</definedName>
    <definedName name="____INT1" localSheetId="1">#REF!</definedName>
    <definedName name="____INT1" localSheetId="0">#REF!</definedName>
    <definedName name="____INT1" localSheetId="4">#REF!</definedName>
    <definedName name="____INT1" localSheetId="11">#REF!</definedName>
    <definedName name="____INT1">#REF!</definedName>
    <definedName name="____Ism3" localSheetId="1">#REF!</definedName>
    <definedName name="____Ism3" localSheetId="0">#REF!</definedName>
    <definedName name="____Ism3" localSheetId="4">#REF!</definedName>
    <definedName name="____Ism3">#REF!</definedName>
    <definedName name="____kd1" localSheetId="1">#REF!</definedName>
    <definedName name="____kd1" localSheetId="0">#REF!</definedName>
    <definedName name="____kd1" localSheetId="4">#REF!</definedName>
    <definedName name="____kd1">#REF!</definedName>
    <definedName name="____kd2" localSheetId="1">#REF!</definedName>
    <definedName name="____kd2" localSheetId="0">#REF!</definedName>
    <definedName name="____kd2" localSheetId="4">#REF!</definedName>
    <definedName name="____kd2">#REF!</definedName>
    <definedName name="____kd3" localSheetId="1">#REF!</definedName>
    <definedName name="____kd3" localSheetId="0">#REF!</definedName>
    <definedName name="____kd3" localSheetId="4">#REF!</definedName>
    <definedName name="____kd3">#REF!</definedName>
    <definedName name="____Ki1" localSheetId="1">#REF!</definedName>
    <definedName name="____Ki1" localSheetId="0">#REF!</definedName>
    <definedName name="____Ki1" localSheetId="4">#REF!</definedName>
    <definedName name="____Ki1">#REF!</definedName>
    <definedName name="____Ki2" localSheetId="1">#REF!</definedName>
    <definedName name="____Ki2" localSheetId="0">#REF!</definedName>
    <definedName name="____Ki2" localSheetId="4">#REF!</definedName>
    <definedName name="____Ki2">#REF!</definedName>
    <definedName name="____LMH1" localSheetId="1">#REF!</definedName>
    <definedName name="____LMH1" localSheetId="0">#REF!</definedName>
    <definedName name="____LMH1" localSheetId="4">#REF!</definedName>
    <definedName name="____LMH1">#REF!</definedName>
    <definedName name="____LMH2" localSheetId="1">#REF!</definedName>
    <definedName name="____LMH2" localSheetId="0">#REF!</definedName>
    <definedName name="____LMH2" localSheetId="4">#REF!</definedName>
    <definedName name="____LMH2">#REF!</definedName>
    <definedName name="____MAN1" localSheetId="1">#REF!</definedName>
    <definedName name="____MAN1" localSheetId="0">#REF!</definedName>
    <definedName name="____MAN1" localSheetId="4">#REF!</definedName>
    <definedName name="____MAN1">#REF!</definedName>
    <definedName name="____mnk1" localSheetId="11">#REF!</definedName>
    <definedName name="____mnk1">#REF!</definedName>
    <definedName name="____new1" localSheetId="1">#REF!</definedName>
    <definedName name="____new1" localSheetId="0">#REF!</definedName>
    <definedName name="____new1" localSheetId="4">#REF!</definedName>
    <definedName name="____new1" localSheetId="11">#REF!</definedName>
    <definedName name="____new1">#REF!</definedName>
    <definedName name="____Nov2007" localSheetId="11" hidden="1">{"'PROFITABILITY'!$A$1:$F$45"}</definedName>
    <definedName name="____Nov2007" localSheetId="10" hidden="1">{"'PROFITABILITY'!$A$1:$F$45"}</definedName>
    <definedName name="____Nov2007">{"'PROFITABILITY'!$A$1:$F$45"}</definedName>
    <definedName name="____out2" localSheetId="1">#REF!</definedName>
    <definedName name="____out2" localSheetId="0">#REF!</definedName>
    <definedName name="____out2" localSheetId="4">#REF!</definedName>
    <definedName name="____out2">#REF!</definedName>
    <definedName name="____pan1">#REF!</definedName>
    <definedName name="____PAN2">#REF!</definedName>
    <definedName name="____PB1" localSheetId="1">#REF!</definedName>
    <definedName name="____PB1" localSheetId="0">#REF!</definedName>
    <definedName name="____PB1" localSheetId="4">#REF!</definedName>
    <definedName name="____PB1">#REF!</definedName>
    <definedName name="____pep99" localSheetId="1">#REF!</definedName>
    <definedName name="____pep99" localSheetId="0">#REF!</definedName>
    <definedName name="____pep99" localSheetId="4">#REF!</definedName>
    <definedName name="____pep99">#REF!</definedName>
    <definedName name="____rcu2" localSheetId="1">#REF!</definedName>
    <definedName name="____rcu2" localSheetId="0">#REF!</definedName>
    <definedName name="____rcu2" localSheetId="4">#REF!</definedName>
    <definedName name="____rcu2" localSheetId="11">#REF!</definedName>
    <definedName name="____rcu2">#REF!</definedName>
    <definedName name="____Re1" localSheetId="1">#REF!</definedName>
    <definedName name="____Re1" localSheetId="0">#REF!</definedName>
    <definedName name="____Re1" localSheetId="4">#REF!</definedName>
    <definedName name="____Re1" localSheetId="11">#REF!</definedName>
    <definedName name="____Re1">#REF!</definedName>
    <definedName name="____Rl1" localSheetId="1">#REF!</definedName>
    <definedName name="____Rl1" localSheetId="0">#REF!</definedName>
    <definedName name="____Rl1" localSheetId="4">#REF!</definedName>
    <definedName name="____Rl1" localSheetId="11">#REF!</definedName>
    <definedName name="____Rl1">#REF!</definedName>
    <definedName name="____Rs1" localSheetId="1">#REF!</definedName>
    <definedName name="____Rs1" localSheetId="0">#REF!</definedName>
    <definedName name="____Rs1" localSheetId="4">#REF!</definedName>
    <definedName name="____Rs1">#REF!</definedName>
    <definedName name="____rt1" localSheetId="1">#REF!</definedName>
    <definedName name="____rt1" localSheetId="0">#REF!</definedName>
    <definedName name="____rt1" localSheetId="4">#REF!</definedName>
    <definedName name="____rt1">#REF!</definedName>
    <definedName name="____rt2" localSheetId="1">#REF!</definedName>
    <definedName name="____rt2" localSheetId="0">#REF!</definedName>
    <definedName name="____rt2" localSheetId="4">#REF!</definedName>
    <definedName name="____rt2">#REF!</definedName>
    <definedName name="____rt3" localSheetId="1">#REF!</definedName>
    <definedName name="____rt3" localSheetId="0">#REF!</definedName>
    <definedName name="____rt3" localSheetId="4">#REF!</definedName>
    <definedName name="____rt3">#REF!</definedName>
    <definedName name="____run1" localSheetId="1">#REF!</definedName>
    <definedName name="____run1" localSheetId="0">#REF!</definedName>
    <definedName name="____run1" localSheetId="4">#REF!</definedName>
    <definedName name="____run1">#REF!</definedName>
    <definedName name="____run2" localSheetId="1">#REF!</definedName>
    <definedName name="____run2" localSheetId="0">#REF!</definedName>
    <definedName name="____run2" localSheetId="4">#REF!</definedName>
    <definedName name="____run2">#REF!</definedName>
    <definedName name="____run3" localSheetId="1">#REF!</definedName>
    <definedName name="____run3" localSheetId="0">#REF!</definedName>
    <definedName name="____run3" localSheetId="4">#REF!</definedName>
    <definedName name="____run3">#REF!</definedName>
    <definedName name="____s41" localSheetId="11" hidden="1">{"form-D1",#N/A,FALSE,"FORM-D1";"form-D1_amt",#N/A,FALSE,"FORM-D1"}</definedName>
    <definedName name="____s41" localSheetId="10" hidden="1">{"form-D1",#N/A,FALSE,"FORM-D1";"form-D1_amt",#N/A,FALSE,"FORM-D1"}</definedName>
    <definedName name="____s4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h2" localSheetId="1">#REF!</definedName>
    <definedName name="____sch2" localSheetId="0">#REF!</definedName>
    <definedName name="____sch2" localSheetId="4">#REF!</definedName>
    <definedName name="____sch2">#REF!</definedName>
    <definedName name="____sch9" localSheetId="1">#REF!</definedName>
    <definedName name="____sch9" localSheetId="0">#REF!</definedName>
    <definedName name="____sch9" localSheetId="4">#REF!</definedName>
    <definedName name="____sch9">#REF!</definedName>
    <definedName name="____SS402" localSheetId="1">#REF!</definedName>
    <definedName name="____SS402" localSheetId="0">#REF!</definedName>
    <definedName name="____SS402" localSheetId="4">#REF!</definedName>
    <definedName name="____SS402">#REF!</definedName>
    <definedName name="____SS403" localSheetId="1">#REF!</definedName>
    <definedName name="____SS403" localSheetId="0">#REF!</definedName>
    <definedName name="____SS403" localSheetId="4">#REF!</definedName>
    <definedName name="____SS403">#REF!</definedName>
    <definedName name="____SS404" localSheetId="1">#REF!</definedName>
    <definedName name="____SS404" localSheetId="0">#REF!</definedName>
    <definedName name="____SS404" localSheetId="4">#REF!</definedName>
    <definedName name="____SS404">#REF!</definedName>
    <definedName name="____SS405" localSheetId="1">#REF!</definedName>
    <definedName name="____SS405" localSheetId="0">#REF!</definedName>
    <definedName name="____SS405" localSheetId="4">#REF!</definedName>
    <definedName name="____SS405">#REF!</definedName>
    <definedName name="____SS406" localSheetId="1">#REF!</definedName>
    <definedName name="____SS406" localSheetId="0">#REF!</definedName>
    <definedName name="____SS406" localSheetId="4">#REF!</definedName>
    <definedName name="____SS406">#REF!</definedName>
    <definedName name="____SS407" localSheetId="1">#REF!</definedName>
    <definedName name="____SS407" localSheetId="0">#REF!</definedName>
    <definedName name="____SS407" localSheetId="4">#REF!</definedName>
    <definedName name="____SS407">#REF!</definedName>
    <definedName name="____SS408" localSheetId="1">#REF!</definedName>
    <definedName name="____SS408" localSheetId="0">#REF!</definedName>
    <definedName name="____SS408" localSheetId="4">#REF!</definedName>
    <definedName name="____SS408">#REF!</definedName>
    <definedName name="____SS409" localSheetId="1">#REF!</definedName>
    <definedName name="____SS409" localSheetId="0">#REF!</definedName>
    <definedName name="____SS409" localSheetId="4">#REF!</definedName>
    <definedName name="____SS409">#REF!</definedName>
    <definedName name="____SS423" localSheetId="1">#REF!</definedName>
    <definedName name="____SS423" localSheetId="0">#REF!</definedName>
    <definedName name="____SS423" localSheetId="4">#REF!</definedName>
    <definedName name="____SS423">#REF!</definedName>
    <definedName name="____SS424" localSheetId="1">#REF!</definedName>
    <definedName name="____SS424" localSheetId="0">#REF!</definedName>
    <definedName name="____SS424" localSheetId="4">#REF!</definedName>
    <definedName name="____SS424">#REF!</definedName>
    <definedName name="____Tk1" localSheetId="1">#REF!</definedName>
    <definedName name="____Tk1" localSheetId="0">#REF!</definedName>
    <definedName name="____Tk1" localSheetId="4">#REF!</definedName>
    <definedName name="____Tk1" localSheetId="11">#REF!</definedName>
    <definedName name="____Tk1">#REF!</definedName>
    <definedName name="____Tk11" localSheetId="1">#REF!</definedName>
    <definedName name="____Tk11" localSheetId="0">#REF!</definedName>
    <definedName name="____Tk11" localSheetId="4">#REF!</definedName>
    <definedName name="____Tk11" localSheetId="11">#REF!</definedName>
    <definedName name="____Tk11">#REF!</definedName>
    <definedName name="____Tk2" localSheetId="1">#REF!</definedName>
    <definedName name="____Tk2" localSheetId="0">#REF!</definedName>
    <definedName name="____Tk2" localSheetId="4">#REF!</definedName>
    <definedName name="____Tk2" localSheetId="11">#REF!</definedName>
    <definedName name="____Tk2">#REF!</definedName>
    <definedName name="____Tkl1" localSheetId="1">#REF!</definedName>
    <definedName name="____Tkl1" localSheetId="0">#REF!</definedName>
    <definedName name="____Tkl1" localSheetId="4">#REF!</definedName>
    <definedName name="____Tkl1">#REF!</definedName>
    <definedName name="____tl1" localSheetId="1">#REF!</definedName>
    <definedName name="____tl1" localSheetId="0">#REF!</definedName>
    <definedName name="____tl1" localSheetId="4">#REF!</definedName>
    <definedName name="____tl1">#REF!</definedName>
    <definedName name="____tl2" localSheetId="1">#REF!</definedName>
    <definedName name="____tl2" localSheetId="0">#REF!</definedName>
    <definedName name="____tl2" localSheetId="4">#REF!</definedName>
    <definedName name="____tl2">#REF!</definedName>
    <definedName name="____Vf1" localSheetId="1">#REF!</definedName>
    <definedName name="____Vf1" localSheetId="0">#REF!</definedName>
    <definedName name="____Vf1" localSheetId="4">#REF!</definedName>
    <definedName name="____Vf1">#REF!</definedName>
    <definedName name="____Vf2" localSheetId="1">#REF!</definedName>
    <definedName name="____Vf2" localSheetId="0">#REF!</definedName>
    <definedName name="____Vf2" localSheetId="4">#REF!</definedName>
    <definedName name="____Vf2">#REF!</definedName>
    <definedName name="____vr1" localSheetId="1">#REF!</definedName>
    <definedName name="____vr1" localSheetId="0">#REF!</definedName>
    <definedName name="____vr1" localSheetId="4">#REF!</definedName>
    <definedName name="____vr1">#REF!</definedName>
    <definedName name="____Wc1" localSheetId="1">#REF!</definedName>
    <definedName name="____Wc1" localSheetId="0">#REF!</definedName>
    <definedName name="____Wc1" localSheetId="4">#REF!</definedName>
    <definedName name="____Wc1">#REF!</definedName>
    <definedName name="____WC3" localSheetId="1">#REF!</definedName>
    <definedName name="____WC3" localSheetId="0">#REF!</definedName>
    <definedName name="____WC3" localSheetId="4">#REF!</definedName>
    <definedName name="____WC3">#REF!</definedName>
    <definedName name="____wp1" localSheetId="1">#REF!</definedName>
    <definedName name="____wp1" localSheetId="0">#REF!</definedName>
    <definedName name="____wp1" localSheetId="4">#REF!</definedName>
    <definedName name="____wp1">#REF!</definedName>
    <definedName name="____Wr1" localSheetId="1">#REF!</definedName>
    <definedName name="____Wr1" localSheetId="0">#REF!</definedName>
    <definedName name="____Wr1" localSheetId="4">#REF!</definedName>
    <definedName name="____Wr1">#REF!</definedName>
    <definedName name="____Wr3" localSheetId="1">#REF!</definedName>
    <definedName name="____Wr3" localSheetId="0">#REF!</definedName>
    <definedName name="____Wr3" localSheetId="4">#REF!</definedName>
    <definedName name="____Wr3">#REF!</definedName>
    <definedName name="____Xl1" localSheetId="1">#REF!</definedName>
    <definedName name="____Xl1" localSheetId="0">#REF!</definedName>
    <definedName name="____Xl1" localSheetId="4">#REF!</definedName>
    <definedName name="____Xl1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 localSheetId="11">#N/A</definedName>
    <definedName name="____xlnm._FilterDatabase_5" localSheetId="10">#N/A</definedName>
    <definedName name="____xlnm._FilterDatabase_5">#REF!</definedName>
    <definedName name="____xlnm.Print_Area_1">#REF!</definedName>
    <definedName name="____xlnm.Print_Area_10">#REF!</definedName>
    <definedName name="____xlnm.Print_Area_11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4">#REF!</definedName>
    <definedName name="____xlnm.Print_Titles_7">#REF!</definedName>
    <definedName name="___A1" localSheetId="1">#REF!</definedName>
    <definedName name="___A1" localSheetId="0">#REF!</definedName>
    <definedName name="___A1" localSheetId="4">#REF!</definedName>
    <definedName name="___A1">#REF!</definedName>
    <definedName name="___A10" localSheetId="1">#REF!</definedName>
    <definedName name="___A10" localSheetId="0">#REF!</definedName>
    <definedName name="___A10" localSheetId="4">#REF!</definedName>
    <definedName name="___A10">#REF!</definedName>
    <definedName name="___A13" localSheetId="1">#REF!</definedName>
    <definedName name="___A13" localSheetId="0">#REF!</definedName>
    <definedName name="___A13" localSheetId="4">#REF!</definedName>
    <definedName name="___A13">#REF!</definedName>
    <definedName name="___A2" localSheetId="1">#REF!</definedName>
    <definedName name="___A2" localSheetId="0">#REF!</definedName>
    <definedName name="___A2" localSheetId="4">#REF!</definedName>
    <definedName name="___A2">#REF!</definedName>
    <definedName name="___A3" localSheetId="1">#REF!</definedName>
    <definedName name="___A3" localSheetId="0">#REF!</definedName>
    <definedName name="___A3" localSheetId="4">#REF!</definedName>
    <definedName name="___A3">#REF!</definedName>
    <definedName name="___A4" localSheetId="1">#REF!</definedName>
    <definedName name="___A4" localSheetId="0">#REF!</definedName>
    <definedName name="___A4" localSheetId="4">#REF!</definedName>
    <definedName name="___A4">#REF!</definedName>
    <definedName name="___A5" localSheetId="1">#REF!</definedName>
    <definedName name="___A5" localSheetId="0">#REF!</definedName>
    <definedName name="___A5" localSheetId="4">#REF!</definedName>
    <definedName name="___A5">#REF!</definedName>
    <definedName name="___A6" localSheetId="1">#REF!</definedName>
    <definedName name="___A6" localSheetId="0">#REF!</definedName>
    <definedName name="___A6" localSheetId="4">#REF!</definedName>
    <definedName name="___A6">#REF!</definedName>
    <definedName name="___A65537">#REF!</definedName>
    <definedName name="___A655600" localSheetId="1">#REF!</definedName>
    <definedName name="___A655600" localSheetId="0">#REF!</definedName>
    <definedName name="___A655600" localSheetId="4">#REF!</definedName>
    <definedName name="___A655600">#REF!</definedName>
    <definedName name="___a655601" localSheetId="1">#REF!</definedName>
    <definedName name="___a655601" localSheetId="0">#REF!</definedName>
    <definedName name="___a655601" localSheetId="4">#REF!</definedName>
    <definedName name="___a655601">#REF!</definedName>
    <definedName name="___A7" localSheetId="1">#REF!</definedName>
    <definedName name="___A7" localSheetId="0">#REF!</definedName>
    <definedName name="___A7" localSheetId="4">#REF!</definedName>
    <definedName name="___A7">#REF!</definedName>
    <definedName name="___A8" localSheetId="1">#REF!</definedName>
    <definedName name="___A8" localSheetId="0">#REF!</definedName>
    <definedName name="___A8" localSheetId="4">#REF!</definedName>
    <definedName name="___A8">#REF!</definedName>
    <definedName name="___A9" localSheetId="1">#REF!</definedName>
    <definedName name="___A9" localSheetId="0">#REF!</definedName>
    <definedName name="___A9" localSheetId="4">#REF!</definedName>
    <definedName name="___A9">#REF!</definedName>
    <definedName name="___a999999">#REF!</definedName>
    <definedName name="___aba2" localSheetId="1">#REF!</definedName>
    <definedName name="___aba2" localSheetId="0">#REF!</definedName>
    <definedName name="___aba2" localSheetId="4">#REF!</definedName>
    <definedName name="___aba2">#REF!</definedName>
    <definedName name="___acs1" localSheetId="1">#REF!</definedName>
    <definedName name="___acs1" localSheetId="0">#REF!</definedName>
    <definedName name="___acs1" localSheetId="4">#REF!</definedName>
    <definedName name="___acs1">#REF!</definedName>
    <definedName name="___acs2" localSheetId="1">#REF!</definedName>
    <definedName name="___acs2" localSheetId="0">#REF!</definedName>
    <definedName name="___acs2" localSheetId="4">#REF!</definedName>
    <definedName name="___acs2">#REF!</definedName>
    <definedName name="___bhh2" localSheetId="1">#REF!</definedName>
    <definedName name="___bhh2" localSheetId="0">#REF!</definedName>
    <definedName name="___bhh2" localSheetId="4">#REF!</definedName>
    <definedName name="___bhh2" localSheetId="11">#REF!</definedName>
    <definedName name="___bhh2">#REF!</definedName>
    <definedName name="___bom1" localSheetId="1">#REF!</definedName>
    <definedName name="___bom1" localSheetId="0">#REF!</definedName>
    <definedName name="___bom1" localSheetId="4">#REF!</definedName>
    <definedName name="___bom1" localSheetId="11">#REF!</definedName>
    <definedName name="___bom1">#REF!</definedName>
    <definedName name="___cdd2" localSheetId="1">#REF!</definedName>
    <definedName name="___cdd2" localSheetId="0">#REF!</definedName>
    <definedName name="___cdd2" localSheetId="4">#REF!</definedName>
    <definedName name="___cdd2" localSheetId="11">#REF!</definedName>
    <definedName name="___cdd2">#REF!</definedName>
    <definedName name="___CFB1" localSheetId="1">#REF!</definedName>
    <definedName name="___CFB1" localSheetId="0">#REF!</definedName>
    <definedName name="___CFB1" localSheetId="4">#REF!</definedName>
    <definedName name="___CFB1">#REF!</definedName>
    <definedName name="___CFB2" localSheetId="1">#REF!</definedName>
    <definedName name="___CFB2" localSheetId="0">#REF!</definedName>
    <definedName name="___CFB2" localSheetId="4">#REF!</definedName>
    <definedName name="___CFB2">#REF!</definedName>
    <definedName name="___CFB3" localSheetId="1">#REF!</definedName>
    <definedName name="___CFB3" localSheetId="0">#REF!</definedName>
    <definedName name="___CFB3" localSheetId="4">#REF!</definedName>
    <definedName name="___CFB3">#REF!</definedName>
    <definedName name="___cff2" localSheetId="1">#REF!</definedName>
    <definedName name="___cff2" localSheetId="0">#REF!</definedName>
    <definedName name="___cff2" localSheetId="4">#REF!</definedName>
    <definedName name="___cff2">#REF!</definedName>
    <definedName name="___cli5" localSheetId="1">#REF!</definedName>
    <definedName name="___cli5" localSheetId="0">#REF!</definedName>
    <definedName name="___cli5" localSheetId="4">#REF!</definedName>
    <definedName name="___cli5" localSheetId="11">#REF!</definedName>
    <definedName name="___cli5">#REF!</definedName>
    <definedName name="___cth2" localSheetId="1">#REF!</definedName>
    <definedName name="___cth2" localSheetId="0">#REF!</definedName>
    <definedName name="___cth2" localSheetId="4">#REF!</definedName>
    <definedName name="___cth2" localSheetId="11">#REF!</definedName>
    <definedName name="___cth2">#REF!</definedName>
    <definedName name="___DAT1" localSheetId="1">#REF!</definedName>
    <definedName name="___DAT1" localSheetId="0">#REF!</definedName>
    <definedName name="___DAT1" localSheetId="4">#REF!</definedName>
    <definedName name="___DAT1" localSheetId="11">#REF!</definedName>
    <definedName name="___DAT1">#REF!</definedName>
    <definedName name="___DAT10" localSheetId="1">#REF!</definedName>
    <definedName name="___DAT10" localSheetId="0">#REF!</definedName>
    <definedName name="___DAT10" localSheetId="4">#REF!</definedName>
    <definedName name="___DAT10" localSheetId="11">#REF!</definedName>
    <definedName name="___DAT10">#REF!</definedName>
    <definedName name="___DAT11" localSheetId="1">#REF!</definedName>
    <definedName name="___DAT11" localSheetId="0">#REF!</definedName>
    <definedName name="___DAT11" localSheetId="4">#REF!</definedName>
    <definedName name="___DAT11">#REF!</definedName>
    <definedName name="___DAT12" localSheetId="1">#REF!</definedName>
    <definedName name="___DAT12" localSheetId="0">#REF!</definedName>
    <definedName name="___DAT12" localSheetId="4">#REF!</definedName>
    <definedName name="___DAT12">#REF!</definedName>
    <definedName name="___DAT13" localSheetId="1">#REF!</definedName>
    <definedName name="___DAT13" localSheetId="0">#REF!</definedName>
    <definedName name="___DAT13" localSheetId="4">#REF!</definedName>
    <definedName name="___DAT13">#REF!</definedName>
    <definedName name="___DAT14" localSheetId="1">#REF!</definedName>
    <definedName name="___DAT14" localSheetId="0">#REF!</definedName>
    <definedName name="___DAT14" localSheetId="4">#REF!</definedName>
    <definedName name="___DAT14">#REF!</definedName>
    <definedName name="___DAT15" localSheetId="1">#REF!</definedName>
    <definedName name="___DAT15" localSheetId="0">#REF!</definedName>
    <definedName name="___DAT15" localSheetId="4">#REF!</definedName>
    <definedName name="___DAT15">#REF!</definedName>
    <definedName name="___DAT16" localSheetId="1">#REF!</definedName>
    <definedName name="___DAT16" localSheetId="0">#REF!</definedName>
    <definedName name="___DAT16" localSheetId="4">#REF!</definedName>
    <definedName name="___DAT16">#REF!</definedName>
    <definedName name="___DAT2" localSheetId="1">#REF!</definedName>
    <definedName name="___DAT2" localSheetId="0">#REF!</definedName>
    <definedName name="___DAT2" localSheetId="4">#REF!</definedName>
    <definedName name="___DAT2">#REF!</definedName>
    <definedName name="___DAT3" localSheetId="1">#REF!</definedName>
    <definedName name="___DAT3" localSheetId="0">#REF!</definedName>
    <definedName name="___DAT3" localSheetId="4">#REF!</definedName>
    <definedName name="___DAT3">#REF!</definedName>
    <definedName name="___DAT4" localSheetId="1">#REF!</definedName>
    <definedName name="___DAT4" localSheetId="0">#REF!</definedName>
    <definedName name="___DAT4" localSheetId="4">#REF!</definedName>
    <definedName name="___DAT4">#REF!</definedName>
    <definedName name="___DAT5" localSheetId="1">#REF!</definedName>
    <definedName name="___DAT5" localSheetId="0">#REF!</definedName>
    <definedName name="___DAT5" localSheetId="4">#REF!</definedName>
    <definedName name="___DAT5">#REF!</definedName>
    <definedName name="___DAT6" localSheetId="1">#REF!</definedName>
    <definedName name="___DAT6" localSheetId="0">#REF!</definedName>
    <definedName name="___DAT6" localSheetId="4">#REF!</definedName>
    <definedName name="___DAT6">#REF!</definedName>
    <definedName name="___DAT7" localSheetId="1">#REF!</definedName>
    <definedName name="___DAT7" localSheetId="0">#REF!</definedName>
    <definedName name="___DAT7" localSheetId="4">#REF!</definedName>
    <definedName name="___DAT7">#REF!</definedName>
    <definedName name="___DAT8" localSheetId="1">#REF!</definedName>
    <definedName name="___DAT8" localSheetId="0">#REF!</definedName>
    <definedName name="___DAT8" localSheetId="4">#REF!</definedName>
    <definedName name="___DAT8">#REF!</definedName>
    <definedName name="___DAT9" localSheetId="1">#REF!</definedName>
    <definedName name="___DAT9" localSheetId="0">#REF!</definedName>
    <definedName name="___DAT9" localSheetId="4">#REF!</definedName>
    <definedName name="___DAT9">#REF!</definedName>
    <definedName name="___del1" localSheetId="1">#REF!</definedName>
    <definedName name="___del1" localSheetId="0">#REF!</definedName>
    <definedName name="___del1" localSheetId="4">#REF!</definedName>
    <definedName name="___del1">#REF!</definedName>
    <definedName name="___DET1" localSheetId="1">#REF!</definedName>
    <definedName name="___DET1" localSheetId="0">#REF!</definedName>
    <definedName name="___DET1" localSheetId="4">#REF!</definedName>
    <definedName name="___DET1">#REF!</definedName>
    <definedName name="___DET2" localSheetId="1">#REF!</definedName>
    <definedName name="___DET2" localSheetId="0">#REF!</definedName>
    <definedName name="___DET2" localSheetId="4">#REF!</definedName>
    <definedName name="___DET2">#REF!</definedName>
    <definedName name="___DET3" localSheetId="1">#REF!</definedName>
    <definedName name="___DET3" localSheetId="0">#REF!</definedName>
    <definedName name="___DET3" localSheetId="4">#REF!</definedName>
    <definedName name="___DET3">#REF!</definedName>
    <definedName name="___DET4" localSheetId="1">#REF!</definedName>
    <definedName name="___DET4" localSheetId="0">#REF!</definedName>
    <definedName name="___DET4" localSheetId="4">#REF!</definedName>
    <definedName name="___DET4">#REF!</definedName>
    <definedName name="___DET5" localSheetId="1">#REF!</definedName>
    <definedName name="___DET5" localSheetId="0">#REF!</definedName>
    <definedName name="___DET5" localSheetId="4">#REF!</definedName>
    <definedName name="___DET5">#REF!</definedName>
    <definedName name="___DET6" localSheetId="1">#REF!</definedName>
    <definedName name="___DET6" localSheetId="0">#REF!</definedName>
    <definedName name="___DET6" localSheetId="4">#REF!</definedName>
    <definedName name="___DET6">#REF!</definedName>
    <definedName name="___drg1" localSheetId="1">#REF!</definedName>
    <definedName name="___drg1" localSheetId="0">#REF!</definedName>
    <definedName name="___drg1" localSheetId="4">#REF!</definedName>
    <definedName name="___drg1" localSheetId="11">#REF!</definedName>
    <definedName name="___drg1">#REF!</definedName>
    <definedName name="___drg2" localSheetId="1">#REF!</definedName>
    <definedName name="___drg2" localSheetId="0">#REF!</definedName>
    <definedName name="___drg2" localSheetId="4">#REF!</definedName>
    <definedName name="___drg2" localSheetId="11">#REF!</definedName>
    <definedName name="___drg2">#REF!</definedName>
    <definedName name="___eth2" localSheetId="1">#REF!</definedName>
    <definedName name="___eth2" localSheetId="0">#REF!</definedName>
    <definedName name="___eth2" localSheetId="4">#REF!</definedName>
    <definedName name="___eth2" localSheetId="11">#REF!</definedName>
    <definedName name="___eth2">#REF!</definedName>
    <definedName name="___f1" localSheetId="11" hidden="1">{"'PROFITABILITY'!$A$1:$F$45"}</definedName>
    <definedName name="___f1" localSheetId="10" hidden="1">{"'PROFITABILITY'!$A$1:$F$45"}</definedName>
    <definedName name="___f1">{"'PROFITABILITY'!$A$1:$F$45"}</definedName>
    <definedName name="___Fpi1" localSheetId="1">#REF!</definedName>
    <definedName name="___Fpi1" localSheetId="0">#REF!</definedName>
    <definedName name="___Fpi1" localSheetId="4">#REF!</definedName>
    <definedName name="___Fpi1">#REF!</definedName>
    <definedName name="___HCO2" localSheetId="1">#REF!</definedName>
    <definedName name="___HCO2" localSheetId="0">#REF!</definedName>
    <definedName name="___HCO2" localSheetId="4">#REF!</definedName>
    <definedName name="___HCO2">#REF!</definedName>
    <definedName name="___Hra2" localSheetId="1">#REF!</definedName>
    <definedName name="___Hra2" localSheetId="0">#REF!</definedName>
    <definedName name="___Hra2" localSheetId="4">#REF!</definedName>
    <definedName name="___Hra2" localSheetId="11">#REF!</definedName>
    <definedName name="___Hra2">#REF!</definedName>
    <definedName name="___Hso2" localSheetId="1">#REF!</definedName>
    <definedName name="___Hso2" localSheetId="0">#REF!</definedName>
    <definedName name="___Hso2" localSheetId="4">#REF!</definedName>
    <definedName name="___Hso2" localSheetId="11">#REF!</definedName>
    <definedName name="___Hso2">#REF!</definedName>
    <definedName name="___Hso3" localSheetId="1">#REF!</definedName>
    <definedName name="___Hso3" localSheetId="0">#REF!</definedName>
    <definedName name="___Hso3" localSheetId="4">#REF!</definedName>
    <definedName name="___Hso3" localSheetId="11">#REF!</definedName>
    <definedName name="___Hso3">#REF!</definedName>
    <definedName name="___hxa1" localSheetId="1">#REF!</definedName>
    <definedName name="___hxa1" localSheetId="0">#REF!</definedName>
    <definedName name="___hxa1" localSheetId="4">#REF!</definedName>
    <definedName name="___hxa1">#REF!</definedName>
    <definedName name="___hxa2" localSheetId="1">#REF!</definedName>
    <definedName name="___hxa2" localSheetId="0">#REF!</definedName>
    <definedName name="___hxa2" localSheetId="4">#REF!</definedName>
    <definedName name="___hxa2">#REF!</definedName>
    <definedName name="___hxb1" localSheetId="1">#REF!</definedName>
    <definedName name="___hxb1" localSheetId="0">#REF!</definedName>
    <definedName name="___hxb1" localSheetId="4">#REF!</definedName>
    <definedName name="___hxb1">#REF!</definedName>
    <definedName name="___hxb2" localSheetId="1">#REF!</definedName>
    <definedName name="___hxb2" localSheetId="0">#REF!</definedName>
    <definedName name="___hxb2" localSheetId="4">#REF!</definedName>
    <definedName name="___hxb2">#REF!</definedName>
    <definedName name="___hxc1" localSheetId="1">#REF!</definedName>
    <definedName name="___hxc1" localSheetId="0">#REF!</definedName>
    <definedName name="___hxc1" localSheetId="4">#REF!</definedName>
    <definedName name="___hxc1">#REF!</definedName>
    <definedName name="___hxc2" localSheetId="1">#REF!</definedName>
    <definedName name="___hxc2" localSheetId="0">#REF!</definedName>
    <definedName name="___hxc2" localSheetId="4">#REF!</definedName>
    <definedName name="___hxc2">#REF!</definedName>
    <definedName name="___ifa1" localSheetId="1">#REF!</definedName>
    <definedName name="___ifa1" localSheetId="0">#REF!</definedName>
    <definedName name="___ifa1" localSheetId="4">#REF!</definedName>
    <definedName name="___ifa1" localSheetId="11">#REF!</definedName>
    <definedName name="___ifa1">#REF!</definedName>
    <definedName name="___ifa2" localSheetId="1">#REF!</definedName>
    <definedName name="___ifa2" localSheetId="0">#REF!</definedName>
    <definedName name="___ifa2" localSheetId="4">#REF!</definedName>
    <definedName name="___ifa2" localSheetId="11">#REF!</definedName>
    <definedName name="___ifa2">#REF!</definedName>
    <definedName name="___INT1" localSheetId="1">#REF!</definedName>
    <definedName name="___INT1" localSheetId="0">#REF!</definedName>
    <definedName name="___INT1" localSheetId="4">#REF!</definedName>
    <definedName name="___INT1" localSheetId="11">#REF!</definedName>
    <definedName name="___INT1">#REF!</definedName>
    <definedName name="___Ism3" localSheetId="1">#REF!</definedName>
    <definedName name="___Ism3" localSheetId="0">#REF!</definedName>
    <definedName name="___Ism3" localSheetId="4">#REF!</definedName>
    <definedName name="___Ism3">#REF!</definedName>
    <definedName name="___kd1" localSheetId="1">#REF!</definedName>
    <definedName name="___kd1" localSheetId="0">#REF!</definedName>
    <definedName name="___kd1" localSheetId="4">#REF!</definedName>
    <definedName name="___kd1">#REF!</definedName>
    <definedName name="___kd2" localSheetId="1">#REF!</definedName>
    <definedName name="___kd2" localSheetId="0">#REF!</definedName>
    <definedName name="___kd2" localSheetId="4">#REF!</definedName>
    <definedName name="___kd2">#REF!</definedName>
    <definedName name="___kd3" localSheetId="1">#REF!</definedName>
    <definedName name="___kd3" localSheetId="0">#REF!</definedName>
    <definedName name="___kd3" localSheetId="4">#REF!</definedName>
    <definedName name="___kd3">#REF!</definedName>
    <definedName name="___Ki1" localSheetId="1">#REF!</definedName>
    <definedName name="___Ki1" localSheetId="0">#REF!</definedName>
    <definedName name="___Ki1" localSheetId="4">#REF!</definedName>
    <definedName name="___Ki1" localSheetId="11">#REF!</definedName>
    <definedName name="___Ki1">#REF!</definedName>
    <definedName name="___Ki2" localSheetId="1">#REF!</definedName>
    <definedName name="___Ki2" localSheetId="0">#REF!</definedName>
    <definedName name="___Ki2" localSheetId="4">#REF!</definedName>
    <definedName name="___Ki2" localSheetId="11">#REF!</definedName>
    <definedName name="___Ki2">#REF!</definedName>
    <definedName name="___LMH1" localSheetId="1">#REF!</definedName>
    <definedName name="___LMH1" localSheetId="0">#REF!</definedName>
    <definedName name="___LMH1" localSheetId="4">#REF!</definedName>
    <definedName name="___LMH1" localSheetId="11">#REF!</definedName>
    <definedName name="___LMH1">#REF!</definedName>
    <definedName name="___LMH2" localSheetId="1">#REF!</definedName>
    <definedName name="___LMH2" localSheetId="0">#REF!</definedName>
    <definedName name="___LMH2" localSheetId="4">#REF!</definedName>
    <definedName name="___LMH2">#REF!</definedName>
    <definedName name="___MAN1" localSheetId="1">#REF!</definedName>
    <definedName name="___MAN1" localSheetId="0">#REF!</definedName>
    <definedName name="___MAN1" localSheetId="4">#REF!</definedName>
    <definedName name="___MAN1">#REF!</definedName>
    <definedName name="___mnk1" localSheetId="11">#REF!</definedName>
    <definedName name="___mnk1">#REF!</definedName>
    <definedName name="___new1" localSheetId="1">#REF!</definedName>
    <definedName name="___new1" localSheetId="0">#REF!</definedName>
    <definedName name="___new1" localSheetId="4">#REF!</definedName>
    <definedName name="___new1" localSheetId="11">#REF!</definedName>
    <definedName name="___new1">#REF!</definedName>
    <definedName name="___Nov2007" localSheetId="11" hidden="1">{"'PROFITABILITY'!$A$1:$F$45"}</definedName>
    <definedName name="___Nov2007" localSheetId="10" hidden="1">{"'PROFITABILITY'!$A$1:$F$45"}</definedName>
    <definedName name="___Nov2007">{"'PROFITABILITY'!$A$1:$F$45"}</definedName>
    <definedName name="___out2" localSheetId="1">#REF!</definedName>
    <definedName name="___out2" localSheetId="0">#REF!</definedName>
    <definedName name="___out2" localSheetId="4">#REF!</definedName>
    <definedName name="___out2">#REF!</definedName>
    <definedName name="___pan1">#REF!</definedName>
    <definedName name="___PAN2">#REF!</definedName>
    <definedName name="___PB1" localSheetId="1">#REF!</definedName>
    <definedName name="___PB1" localSheetId="0">#REF!</definedName>
    <definedName name="___PB1" localSheetId="4">#REF!</definedName>
    <definedName name="___PB1">#REF!</definedName>
    <definedName name="___pep99" localSheetId="1">#REF!</definedName>
    <definedName name="___pep99" localSheetId="0">#REF!</definedName>
    <definedName name="___pep99" localSheetId="4">#REF!</definedName>
    <definedName name="___pep99">#REF!</definedName>
    <definedName name="___rcu2" localSheetId="1">#REF!</definedName>
    <definedName name="___rcu2" localSheetId="0">#REF!</definedName>
    <definedName name="___rcu2" localSheetId="4">#REF!</definedName>
    <definedName name="___rcu2" localSheetId="11">#REF!</definedName>
    <definedName name="___rcu2">#REF!</definedName>
    <definedName name="___Re1" localSheetId="1">#REF!</definedName>
    <definedName name="___Re1" localSheetId="0">#REF!</definedName>
    <definedName name="___Re1" localSheetId="4">#REF!</definedName>
    <definedName name="___Re1" localSheetId="11">#REF!</definedName>
    <definedName name="___Re1">#REF!</definedName>
    <definedName name="___Rl1" localSheetId="1">#REF!</definedName>
    <definedName name="___Rl1" localSheetId="0">#REF!</definedName>
    <definedName name="___Rl1" localSheetId="4">#REF!</definedName>
    <definedName name="___Rl1" localSheetId="11">#REF!</definedName>
    <definedName name="___Rl1">#REF!</definedName>
    <definedName name="___Rs1" localSheetId="1">#REF!</definedName>
    <definedName name="___Rs1" localSheetId="0">#REF!</definedName>
    <definedName name="___Rs1" localSheetId="4">#REF!</definedName>
    <definedName name="___Rs1">#REF!</definedName>
    <definedName name="___rt1" localSheetId="1">#REF!</definedName>
    <definedName name="___rt1" localSheetId="0">#REF!</definedName>
    <definedName name="___rt1" localSheetId="4">#REF!</definedName>
    <definedName name="___rt1">#REF!</definedName>
    <definedName name="___rt2" localSheetId="1">#REF!</definedName>
    <definedName name="___rt2" localSheetId="0">#REF!</definedName>
    <definedName name="___rt2" localSheetId="4">#REF!</definedName>
    <definedName name="___rt2">#REF!</definedName>
    <definedName name="___rt3" localSheetId="1">#REF!</definedName>
    <definedName name="___rt3" localSheetId="0">#REF!</definedName>
    <definedName name="___rt3" localSheetId="4">#REF!</definedName>
    <definedName name="___rt3">#REF!</definedName>
    <definedName name="___run1" localSheetId="1">#REF!</definedName>
    <definedName name="___run1" localSheetId="0">#REF!</definedName>
    <definedName name="___run1" localSheetId="4">#REF!</definedName>
    <definedName name="___run1">#REF!</definedName>
    <definedName name="___run2" localSheetId="1">#REF!</definedName>
    <definedName name="___run2" localSheetId="0">#REF!</definedName>
    <definedName name="___run2" localSheetId="4">#REF!</definedName>
    <definedName name="___run2">#REF!</definedName>
    <definedName name="___run3" localSheetId="1">#REF!</definedName>
    <definedName name="___run3" localSheetId="0">#REF!</definedName>
    <definedName name="___run3" localSheetId="4">#REF!</definedName>
    <definedName name="___run3">#REF!</definedName>
    <definedName name="___s41" localSheetId="11" hidden="1">{"form-D1",#N/A,FALSE,"FORM-D1";"form-D1_amt",#N/A,FALSE,"FORM-D1"}</definedName>
    <definedName name="___s41" localSheetId="10" hidden="1">{"form-D1",#N/A,FALSE,"FORM-D1";"form-D1_amt",#N/A,FALSE,"FORM-D1"}</definedName>
    <definedName name="___s4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h2" localSheetId="1">#REF!</definedName>
    <definedName name="___sch2" localSheetId="0">#REF!</definedName>
    <definedName name="___sch2" localSheetId="4">#REF!</definedName>
    <definedName name="___sch2">#REF!</definedName>
    <definedName name="___sch9" localSheetId="1">#REF!</definedName>
    <definedName name="___sch9" localSheetId="0">#REF!</definedName>
    <definedName name="___sch9" localSheetId="4">#REF!</definedName>
    <definedName name="___sch9">#REF!</definedName>
    <definedName name="___SS402" localSheetId="1">#REF!</definedName>
    <definedName name="___SS402" localSheetId="0">#REF!</definedName>
    <definedName name="___SS402" localSheetId="4">#REF!</definedName>
    <definedName name="___SS402">#REF!</definedName>
    <definedName name="___SS403" localSheetId="1">#REF!</definedName>
    <definedName name="___SS403" localSheetId="0">#REF!</definedName>
    <definedName name="___SS403" localSheetId="4">#REF!</definedName>
    <definedName name="___SS403">#REF!</definedName>
    <definedName name="___SS404" localSheetId="1">#REF!</definedName>
    <definedName name="___SS404" localSheetId="0">#REF!</definedName>
    <definedName name="___SS404" localSheetId="4">#REF!</definedName>
    <definedName name="___SS404">#REF!</definedName>
    <definedName name="___SS405" localSheetId="1">#REF!</definedName>
    <definedName name="___SS405" localSheetId="0">#REF!</definedName>
    <definedName name="___SS405" localSheetId="4">#REF!</definedName>
    <definedName name="___SS405">#REF!</definedName>
    <definedName name="___SS406" localSheetId="1">#REF!</definedName>
    <definedName name="___SS406" localSheetId="0">#REF!</definedName>
    <definedName name="___SS406" localSheetId="4">#REF!</definedName>
    <definedName name="___SS406">#REF!</definedName>
    <definedName name="___SS407" localSheetId="1">#REF!</definedName>
    <definedName name="___SS407" localSheetId="0">#REF!</definedName>
    <definedName name="___SS407" localSheetId="4">#REF!</definedName>
    <definedName name="___SS407">#REF!</definedName>
    <definedName name="___SS408" localSheetId="1">#REF!</definedName>
    <definedName name="___SS408" localSheetId="0">#REF!</definedName>
    <definedName name="___SS408" localSheetId="4">#REF!</definedName>
    <definedName name="___SS408">#REF!</definedName>
    <definedName name="___SS409" localSheetId="1">#REF!</definedName>
    <definedName name="___SS409" localSheetId="0">#REF!</definedName>
    <definedName name="___SS409" localSheetId="4">#REF!</definedName>
    <definedName name="___SS409">#REF!</definedName>
    <definedName name="___SS423" localSheetId="1">#REF!</definedName>
    <definedName name="___SS423" localSheetId="0">#REF!</definedName>
    <definedName name="___SS423" localSheetId="4">#REF!</definedName>
    <definedName name="___SS423">#REF!</definedName>
    <definedName name="___SS424" localSheetId="1">#REF!</definedName>
    <definedName name="___SS424" localSheetId="0">#REF!</definedName>
    <definedName name="___SS424" localSheetId="4">#REF!</definedName>
    <definedName name="___SS424">#REF!</definedName>
    <definedName name="___Tk1" localSheetId="1">#REF!</definedName>
    <definedName name="___Tk1" localSheetId="0">#REF!</definedName>
    <definedName name="___Tk1" localSheetId="4">#REF!</definedName>
    <definedName name="___Tk1" localSheetId="11">#REF!</definedName>
    <definedName name="___Tk1">#REF!</definedName>
    <definedName name="___Tk11" localSheetId="1">#REF!</definedName>
    <definedName name="___Tk11" localSheetId="0">#REF!</definedName>
    <definedName name="___Tk11" localSheetId="4">#REF!</definedName>
    <definedName name="___Tk11" localSheetId="11">#REF!</definedName>
    <definedName name="___Tk11">#REF!</definedName>
    <definedName name="___Tk2" localSheetId="1">#REF!</definedName>
    <definedName name="___Tk2" localSheetId="0">#REF!</definedName>
    <definedName name="___Tk2" localSheetId="4">#REF!</definedName>
    <definedName name="___Tk2" localSheetId="11">#REF!</definedName>
    <definedName name="___Tk2">#REF!</definedName>
    <definedName name="___Tkl1" localSheetId="1">#REF!</definedName>
    <definedName name="___Tkl1" localSheetId="0">#REF!</definedName>
    <definedName name="___Tkl1" localSheetId="4">#REF!</definedName>
    <definedName name="___Tkl1">#REF!</definedName>
    <definedName name="___tl1" localSheetId="1">#REF!</definedName>
    <definedName name="___tl1" localSheetId="0">#REF!</definedName>
    <definedName name="___tl1" localSheetId="4">#REF!</definedName>
    <definedName name="___tl1">#REF!</definedName>
    <definedName name="___tl2" localSheetId="1">#REF!</definedName>
    <definedName name="___tl2" localSheetId="0">#REF!</definedName>
    <definedName name="___tl2" localSheetId="4">#REF!</definedName>
    <definedName name="___tl2">#REF!</definedName>
    <definedName name="___Vf1" localSheetId="1">#REF!</definedName>
    <definedName name="___Vf1" localSheetId="0">#REF!</definedName>
    <definedName name="___Vf1" localSheetId="4">#REF!</definedName>
    <definedName name="___Vf1">#REF!</definedName>
    <definedName name="___Vf2" localSheetId="1">#REF!</definedName>
    <definedName name="___Vf2" localSheetId="0">#REF!</definedName>
    <definedName name="___Vf2" localSheetId="4">#REF!</definedName>
    <definedName name="___Vf2">#REF!</definedName>
    <definedName name="___vr1" localSheetId="1">#REF!</definedName>
    <definedName name="___vr1" localSheetId="0">#REF!</definedName>
    <definedName name="___vr1" localSheetId="4">#REF!</definedName>
    <definedName name="___vr1">#REF!</definedName>
    <definedName name="___Wc1" localSheetId="1">#REF!</definedName>
    <definedName name="___Wc1" localSheetId="0">#REF!</definedName>
    <definedName name="___Wc1" localSheetId="4">#REF!</definedName>
    <definedName name="___Wc1">#REF!</definedName>
    <definedName name="___WC3" localSheetId="1">#REF!</definedName>
    <definedName name="___WC3" localSheetId="0">#REF!</definedName>
    <definedName name="___WC3" localSheetId="4">#REF!</definedName>
    <definedName name="___WC3">#REF!</definedName>
    <definedName name="___wp1" localSheetId="1">#REF!</definedName>
    <definedName name="___wp1" localSheetId="0">#REF!</definedName>
    <definedName name="___wp1" localSheetId="4">#REF!</definedName>
    <definedName name="___wp1">#REF!</definedName>
    <definedName name="___Wr1" localSheetId="1">#REF!</definedName>
    <definedName name="___Wr1" localSheetId="0">#REF!</definedName>
    <definedName name="___Wr1" localSheetId="4">#REF!</definedName>
    <definedName name="___Wr1">#REF!</definedName>
    <definedName name="___Wr3" localSheetId="1">#REF!</definedName>
    <definedName name="___Wr3" localSheetId="0">#REF!</definedName>
    <definedName name="___Wr3" localSheetId="4">#REF!</definedName>
    <definedName name="___Wr3">#REF!</definedName>
    <definedName name="___Xl1" localSheetId="1">#REF!</definedName>
    <definedName name="___Xl1" localSheetId="0">#REF!</definedName>
    <definedName name="___Xl1" localSheetId="4">#REF!</definedName>
    <definedName name="___Xl1">#REF!</definedName>
    <definedName name="___xlfn_COUNTIFS" localSheetId="11">#N/A</definedName>
    <definedName name="___xlfn_COUNTIFS" localSheetId="10">#N/A</definedName>
    <definedName name="___xlfn_COUNTIFS">#REF!</definedName>
    <definedName name="___xlfn_SUMIFS" localSheetId="11">#N/A</definedName>
    <definedName name="___xlfn_SUMIFS" localSheetId="10">#N/A</definedName>
    <definedName name="___xlfn_SUMIFS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 localSheetId="11">#N/A</definedName>
    <definedName name="___xlnm._FilterDatabase_5" localSheetId="10">#N/A</definedName>
    <definedName name="___xlnm._FilterDatabase_5">#REF!</definedName>
    <definedName name="___xlnm.Print_Area">#REF!</definedName>
    <definedName name="___xlnm.Print_Area_1">#REF!</definedName>
    <definedName name="___xlnm.Print_Area_10">#REF!</definedName>
    <definedName name="___xlnm.Print_Area_11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4">#REF!</definedName>
    <definedName name="___xlnm.Print_Titles_7">#REF!</definedName>
    <definedName name="__123Graph_A" localSheetId="11" hidden="1">#REF!</definedName>
    <definedName name="__123Graph_A">#REF!</definedName>
    <definedName name="__123Graph_C" localSheetId="11" hidden="1">#REF!</definedName>
    <definedName name="__123Graph_C">#REF!</definedName>
    <definedName name="__123Graph_D" localSheetId="11" hidden="1">#REF!</definedName>
    <definedName name="__123Graph_D">#REF!</definedName>
    <definedName name="__123Graph_E" localSheetId="11" hidden="1">#REF!</definedName>
    <definedName name="__123Graph_E">#REF!</definedName>
    <definedName name="__123Graph_F">#REF!</definedName>
    <definedName name="__123Graph_X" localSheetId="11" hidden="1">#REF!</definedName>
    <definedName name="__123Graph_X">#REF!</definedName>
    <definedName name="__A1" localSheetId="1">#REF!</definedName>
    <definedName name="__A1" localSheetId="0">#REF!</definedName>
    <definedName name="__A1" localSheetId="4">#REF!</definedName>
    <definedName name="__A1" localSheetId="11">#REF!</definedName>
    <definedName name="__A1">#REF!</definedName>
    <definedName name="__A10" localSheetId="1">#REF!</definedName>
    <definedName name="__A10" localSheetId="0">#REF!</definedName>
    <definedName name="__A10" localSheetId="4">#REF!</definedName>
    <definedName name="__A10" localSheetId="11">#REF!</definedName>
    <definedName name="__A10">#REF!</definedName>
    <definedName name="__A13" localSheetId="1">#REF!</definedName>
    <definedName name="__A13" localSheetId="0">#REF!</definedName>
    <definedName name="__A13" localSheetId="4">#REF!</definedName>
    <definedName name="__A13" localSheetId="11">#REF!</definedName>
    <definedName name="__A13">#REF!</definedName>
    <definedName name="__A14">#REF!</definedName>
    <definedName name="__A2" localSheetId="1">#REF!</definedName>
    <definedName name="__A2" localSheetId="0">#REF!</definedName>
    <definedName name="__A2" localSheetId="4">#REF!</definedName>
    <definedName name="__A2">#REF!</definedName>
    <definedName name="__A3" localSheetId="1">#REF!</definedName>
    <definedName name="__A3" localSheetId="0">#REF!</definedName>
    <definedName name="__A3" localSheetId="4">#REF!</definedName>
    <definedName name="__A3">#REF!</definedName>
    <definedName name="__A4" localSheetId="1">#REF!</definedName>
    <definedName name="__A4" localSheetId="0">#REF!</definedName>
    <definedName name="__A4" localSheetId="4">#REF!</definedName>
    <definedName name="__A4">#REF!</definedName>
    <definedName name="__A5" localSheetId="1">#REF!</definedName>
    <definedName name="__A5" localSheetId="0">#REF!</definedName>
    <definedName name="__A5" localSheetId="4">#REF!</definedName>
    <definedName name="__A5">#REF!</definedName>
    <definedName name="__A6" localSheetId="1">#REF!</definedName>
    <definedName name="__A6" localSheetId="0">#REF!</definedName>
    <definedName name="__A6" localSheetId="4">#REF!</definedName>
    <definedName name="__A6">#REF!</definedName>
    <definedName name="__A65537">#REF!</definedName>
    <definedName name="__A655600" localSheetId="1">#REF!</definedName>
    <definedName name="__A655600" localSheetId="0">#REF!</definedName>
    <definedName name="__A655600" localSheetId="4">#REF!</definedName>
    <definedName name="__A655600">#REF!</definedName>
    <definedName name="__a655601" localSheetId="1">#REF!</definedName>
    <definedName name="__a655601" localSheetId="0">#REF!</definedName>
    <definedName name="__a655601" localSheetId="4">#REF!</definedName>
    <definedName name="__a655601">#REF!</definedName>
    <definedName name="__A7" localSheetId="1">#REF!</definedName>
    <definedName name="__A7" localSheetId="0">#REF!</definedName>
    <definedName name="__A7" localSheetId="4">#REF!</definedName>
    <definedName name="__A7">#REF!</definedName>
    <definedName name="__A8" localSheetId="1">#REF!</definedName>
    <definedName name="__A8" localSheetId="0">#REF!</definedName>
    <definedName name="__A8" localSheetId="4">#REF!</definedName>
    <definedName name="__A8">#REF!</definedName>
    <definedName name="__A9" localSheetId="1">#REF!</definedName>
    <definedName name="__A9" localSheetId="0">#REF!</definedName>
    <definedName name="__A9" localSheetId="4">#REF!</definedName>
    <definedName name="__A9">#REF!</definedName>
    <definedName name="__a999999">#REF!</definedName>
    <definedName name="__aa1" localSheetId="11" hidden="1">{"'PROFITABILITY'!$A$1:$F$45"}</definedName>
    <definedName name="__aa1" localSheetId="10" hidden="1">{"'PROFITABILITY'!$A$1:$F$45"}</definedName>
    <definedName name="__aa1">{"'PROFITABILITY'!$A$1:$F$45"}</definedName>
    <definedName name="__aba2" localSheetId="1">#REF!</definedName>
    <definedName name="__aba2" localSheetId="0">#REF!</definedName>
    <definedName name="__aba2" localSheetId="4">#REF!</definedName>
    <definedName name="__aba2">#REF!</definedName>
    <definedName name="__acs1" localSheetId="1">#REF!</definedName>
    <definedName name="__acs1" localSheetId="0">#REF!</definedName>
    <definedName name="__acs1" localSheetId="4">#REF!</definedName>
    <definedName name="__acs1">#REF!</definedName>
    <definedName name="__acs2" localSheetId="1">#REF!</definedName>
    <definedName name="__acs2" localSheetId="0">#REF!</definedName>
    <definedName name="__acs2" localSheetId="4">#REF!</definedName>
    <definedName name="__acs2">#REF!</definedName>
    <definedName name="__BAA1" localSheetId="11">#REF!</definedName>
    <definedName name="__BAA1">#REF!</definedName>
    <definedName name="__bct75" localSheetId="1">#REF!</definedName>
    <definedName name="__bct75" localSheetId="0">#REF!</definedName>
    <definedName name="__bct75" localSheetId="4">#REF!</definedName>
    <definedName name="__bct75" localSheetId="11">#REF!</definedName>
    <definedName name="__bct75">#REF!</definedName>
    <definedName name="__bhh2" localSheetId="1">#REF!</definedName>
    <definedName name="__bhh2" localSheetId="0">#REF!</definedName>
    <definedName name="__bhh2" localSheetId="4">#REF!</definedName>
    <definedName name="__bhh2" localSheetId="11">#REF!</definedName>
    <definedName name="__bhh2">#REF!</definedName>
    <definedName name="__bom1" localSheetId="1">#REF!</definedName>
    <definedName name="__bom1" localSheetId="0">#REF!</definedName>
    <definedName name="__bom1" localSheetId="4">#REF!</definedName>
    <definedName name="__bom1">#REF!</definedName>
    <definedName name="__buh11" localSheetId="1">#REF!</definedName>
    <definedName name="__buh11" localSheetId="0">#REF!</definedName>
    <definedName name="__buh11" localSheetId="4">#REF!</definedName>
    <definedName name="__buh11">#REF!</definedName>
    <definedName name="__CCT220" localSheetId="1">#REF!</definedName>
    <definedName name="__CCT220" localSheetId="0">#REF!</definedName>
    <definedName name="__CCT220" localSheetId="4">#REF!</definedName>
    <definedName name="__CCT220">#REF!</definedName>
    <definedName name="__cdd2" localSheetId="1">#REF!</definedName>
    <definedName name="__cdd2" localSheetId="0">#REF!</definedName>
    <definedName name="__cdd2" localSheetId="4">#REF!</definedName>
    <definedName name="__cdd2">#REF!</definedName>
    <definedName name="__CFB1" localSheetId="1">#REF!</definedName>
    <definedName name="__CFB1" localSheetId="0">#REF!</definedName>
    <definedName name="__CFB1" localSheetId="4">#REF!</definedName>
    <definedName name="__CFB1">#REF!</definedName>
    <definedName name="__CFB2" localSheetId="1">#REF!</definedName>
    <definedName name="__CFB2" localSheetId="0">#REF!</definedName>
    <definedName name="__CFB2" localSheetId="4">#REF!</definedName>
    <definedName name="__CFB2">#REF!</definedName>
    <definedName name="__CFB3" localSheetId="1">#REF!</definedName>
    <definedName name="__CFB3" localSheetId="0">#REF!</definedName>
    <definedName name="__CFB3" localSheetId="4">#REF!</definedName>
    <definedName name="__CFB3">#REF!</definedName>
    <definedName name="__cff2" localSheetId="1">#REF!</definedName>
    <definedName name="__cff2" localSheetId="0">#REF!</definedName>
    <definedName name="__cff2" localSheetId="4">#REF!</definedName>
    <definedName name="__cff2">#REF!</definedName>
    <definedName name="__cli5" localSheetId="1">#REF!</definedName>
    <definedName name="__cli5" localSheetId="0">#REF!</definedName>
    <definedName name="__cli5" localSheetId="4">#REF!</definedName>
    <definedName name="__cli5" localSheetId="11">#REF!</definedName>
    <definedName name="__cli5">#REF!</definedName>
    <definedName name="__cth2" localSheetId="1">#REF!</definedName>
    <definedName name="__cth2" localSheetId="0">#REF!</definedName>
    <definedName name="__cth2" localSheetId="4">#REF!</definedName>
    <definedName name="__cth2" localSheetId="11">#REF!</definedName>
    <definedName name="__cth2">#REF!</definedName>
    <definedName name="__CVT220" localSheetId="1">#REF!</definedName>
    <definedName name="__CVT220" localSheetId="0">#REF!</definedName>
    <definedName name="__CVT220" localSheetId="4">#REF!</definedName>
    <definedName name="__CVT220" localSheetId="11">#REF!</definedName>
    <definedName name="__CVT220">#REF!</definedName>
    <definedName name="__DAT1" localSheetId="1">#REF!</definedName>
    <definedName name="__DAT1" localSheetId="0">#REF!</definedName>
    <definedName name="__DAT1" localSheetId="4">#REF!</definedName>
    <definedName name="__DAT1" localSheetId="11">#REF!</definedName>
    <definedName name="__DAT1">#REF!</definedName>
    <definedName name="__DAT10" localSheetId="1">#REF!</definedName>
    <definedName name="__DAT10" localSheetId="0">#REF!</definedName>
    <definedName name="__DAT10" localSheetId="4">#REF!</definedName>
    <definedName name="__DAT10">#REF!</definedName>
    <definedName name="__DAT11" localSheetId="1">#REF!</definedName>
    <definedName name="__DAT11" localSheetId="0">#REF!</definedName>
    <definedName name="__DAT11" localSheetId="4">#REF!</definedName>
    <definedName name="__DAT11">#REF!</definedName>
    <definedName name="__DAT12" localSheetId="1">#REF!</definedName>
    <definedName name="__DAT12" localSheetId="0">#REF!</definedName>
    <definedName name="__DAT12" localSheetId="4">#REF!</definedName>
    <definedName name="__DAT12">#REF!</definedName>
    <definedName name="__DAT13" localSheetId="1">#REF!</definedName>
    <definedName name="__DAT13" localSheetId="0">#REF!</definedName>
    <definedName name="__DAT13" localSheetId="4">#REF!</definedName>
    <definedName name="__DAT13">#REF!</definedName>
    <definedName name="__DAT14" localSheetId="1">#REF!</definedName>
    <definedName name="__DAT14" localSheetId="0">#REF!</definedName>
    <definedName name="__DAT14" localSheetId="4">#REF!</definedName>
    <definedName name="__DAT14">#REF!</definedName>
    <definedName name="__DAT15" localSheetId="1">#REF!</definedName>
    <definedName name="__DAT15" localSheetId="0">#REF!</definedName>
    <definedName name="__DAT15" localSheetId="4">#REF!</definedName>
    <definedName name="__DAT15">#REF!</definedName>
    <definedName name="__DAT16" localSheetId="1">#REF!</definedName>
    <definedName name="__DAT16" localSheetId="0">#REF!</definedName>
    <definedName name="__DAT16" localSheetId="4">#REF!</definedName>
    <definedName name="__DAT16">#REF!</definedName>
    <definedName name="__DAT2" localSheetId="1">#REF!</definedName>
    <definedName name="__DAT2" localSheetId="0">#REF!</definedName>
    <definedName name="__DAT2" localSheetId="4">#REF!</definedName>
    <definedName name="__DAT2">#REF!</definedName>
    <definedName name="__DAT3" localSheetId="1">#REF!</definedName>
    <definedName name="__DAT3" localSheetId="0">#REF!</definedName>
    <definedName name="__DAT3" localSheetId="4">#REF!</definedName>
    <definedName name="__DAT3">#REF!</definedName>
    <definedName name="__DAT4" localSheetId="1">#REF!</definedName>
    <definedName name="__DAT4" localSheetId="0">#REF!</definedName>
    <definedName name="__DAT4" localSheetId="4">#REF!</definedName>
    <definedName name="__DAT4">#REF!</definedName>
    <definedName name="__DAT5" localSheetId="1">#REF!</definedName>
    <definedName name="__DAT5" localSheetId="0">#REF!</definedName>
    <definedName name="__DAT5" localSheetId="4">#REF!</definedName>
    <definedName name="__DAT5">#REF!</definedName>
    <definedName name="__DAT6" localSheetId="1">#REF!</definedName>
    <definedName name="__DAT6" localSheetId="0">#REF!</definedName>
    <definedName name="__DAT6" localSheetId="4">#REF!</definedName>
    <definedName name="__DAT6">#REF!</definedName>
    <definedName name="__DAT7" localSheetId="1">#REF!</definedName>
    <definedName name="__DAT7" localSheetId="0">#REF!</definedName>
    <definedName name="__DAT7" localSheetId="4">#REF!</definedName>
    <definedName name="__DAT7">#REF!</definedName>
    <definedName name="__DAT8" localSheetId="1">#REF!</definedName>
    <definedName name="__DAT8" localSheetId="0">#REF!</definedName>
    <definedName name="__DAT8" localSheetId="4">#REF!</definedName>
    <definedName name="__DAT8">#REF!</definedName>
    <definedName name="__DAT9" localSheetId="1">#REF!</definedName>
    <definedName name="__DAT9" localSheetId="0">#REF!</definedName>
    <definedName name="__DAT9" localSheetId="4">#REF!</definedName>
    <definedName name="__DAT9">#REF!</definedName>
    <definedName name="__dec05" localSheetId="11" hidden="1">{"'Sheet1'!$A$4386:$N$4591"}</definedName>
    <definedName name="__dec05" localSheetId="10" hidden="1">{"'Sheet1'!$A$4386:$N$4591"}</definedName>
    <definedName name="__dec05">{"'Sheet1'!$A$4386:$N$4591"}</definedName>
    <definedName name="__del1" localSheetId="1">#REF!</definedName>
    <definedName name="__del1" localSheetId="0">#REF!</definedName>
    <definedName name="__del1" localSheetId="4">#REF!</definedName>
    <definedName name="__del1">#REF!</definedName>
    <definedName name="__DET1" localSheetId="1">#REF!</definedName>
    <definedName name="__DET1" localSheetId="0">#REF!</definedName>
    <definedName name="__DET1" localSheetId="4">#REF!</definedName>
    <definedName name="__DET1">#REF!</definedName>
    <definedName name="__DET2" localSheetId="1">#REF!</definedName>
    <definedName name="__DET2" localSheetId="0">#REF!</definedName>
    <definedName name="__DET2" localSheetId="4">#REF!</definedName>
    <definedName name="__DET2">#REF!</definedName>
    <definedName name="__DET3" localSheetId="1">#REF!</definedName>
    <definedName name="__DET3" localSheetId="0">#REF!</definedName>
    <definedName name="__DET3" localSheetId="4">#REF!</definedName>
    <definedName name="__DET3">#REF!</definedName>
    <definedName name="__DET4" localSheetId="1">#REF!</definedName>
    <definedName name="__DET4" localSheetId="0">#REF!</definedName>
    <definedName name="__DET4" localSheetId="4">#REF!</definedName>
    <definedName name="__DET4">#REF!</definedName>
    <definedName name="__DET5" localSheetId="1">#REF!</definedName>
    <definedName name="__DET5" localSheetId="0">#REF!</definedName>
    <definedName name="__DET5" localSheetId="4">#REF!</definedName>
    <definedName name="__DET5">#REF!</definedName>
    <definedName name="__DET6" localSheetId="1">#REF!</definedName>
    <definedName name="__DET6" localSheetId="0">#REF!</definedName>
    <definedName name="__DET6" localSheetId="4">#REF!</definedName>
    <definedName name="__DET6">#REF!</definedName>
    <definedName name="__DKT75" localSheetId="1">#REF!</definedName>
    <definedName name="__DKT75" localSheetId="0">#REF!</definedName>
    <definedName name="__DKT75" localSheetId="4">#REF!</definedName>
    <definedName name="__DKT75" localSheetId="11">#REF!</definedName>
    <definedName name="__DKT75">#REF!</definedName>
    <definedName name="__drg1" localSheetId="1">#REF!</definedName>
    <definedName name="__drg1" localSheetId="0">#REF!</definedName>
    <definedName name="__drg1" localSheetId="4">#REF!</definedName>
    <definedName name="__drg1" localSheetId="11">#REF!</definedName>
    <definedName name="__drg1">#REF!</definedName>
    <definedName name="__drg2" localSheetId="1">#REF!</definedName>
    <definedName name="__drg2" localSheetId="0">#REF!</definedName>
    <definedName name="__drg2" localSheetId="4">#REF!</definedName>
    <definedName name="__drg2" localSheetId="11">#REF!</definedName>
    <definedName name="__drg2">#REF!</definedName>
    <definedName name="__eth2" localSheetId="1">#REF!</definedName>
    <definedName name="__eth2" localSheetId="0">#REF!</definedName>
    <definedName name="__eth2" localSheetId="4">#REF!</definedName>
    <definedName name="__eth2">#REF!</definedName>
    <definedName name="__f1" localSheetId="11" hidden="1">{"'PROFITABILITY'!$A$1:$F$45"}</definedName>
    <definedName name="__f1" localSheetId="10" hidden="1">{"'PROFITABILITY'!$A$1:$F$45"}</definedName>
    <definedName name="__f1">{"'PROFITABILITY'!$A$1:$F$45"}</definedName>
    <definedName name="__Fpi1" localSheetId="1">#REF!</definedName>
    <definedName name="__Fpi1" localSheetId="0">#REF!</definedName>
    <definedName name="__Fpi1" localSheetId="4">#REF!</definedName>
    <definedName name="__Fpi1">#REF!</definedName>
    <definedName name="__HCO2" localSheetId="1">#REF!</definedName>
    <definedName name="__HCO2" localSheetId="0">#REF!</definedName>
    <definedName name="__HCO2" localSheetId="4">#REF!</definedName>
    <definedName name="__HCO2">#REF!</definedName>
    <definedName name="__Hra2" localSheetId="1">#REF!</definedName>
    <definedName name="__Hra2" localSheetId="0">#REF!</definedName>
    <definedName name="__Hra2" localSheetId="4">#REF!</definedName>
    <definedName name="__Hra2" localSheetId="11">#REF!</definedName>
    <definedName name="__Hra2">#REF!</definedName>
    <definedName name="__Hso2" localSheetId="1">#REF!</definedName>
    <definedName name="__Hso2" localSheetId="0">#REF!</definedName>
    <definedName name="__Hso2" localSheetId="4">#REF!</definedName>
    <definedName name="__Hso2" localSheetId="11">#REF!</definedName>
    <definedName name="__Hso2">#REF!</definedName>
    <definedName name="__Hso3" localSheetId="1">#REF!</definedName>
    <definedName name="__Hso3" localSheetId="0">#REF!</definedName>
    <definedName name="__Hso3" localSheetId="4">#REF!</definedName>
    <definedName name="__Hso3" localSheetId="11">#REF!</definedName>
    <definedName name="__Hso3">#REF!</definedName>
    <definedName name="__hxa1" localSheetId="1">#REF!</definedName>
    <definedName name="__hxa1" localSheetId="0">#REF!</definedName>
    <definedName name="__hxa1" localSheetId="4">#REF!</definedName>
    <definedName name="__hxa1">#REF!</definedName>
    <definedName name="__hxa2" localSheetId="1">#REF!</definedName>
    <definedName name="__hxa2" localSheetId="0">#REF!</definedName>
    <definedName name="__hxa2" localSheetId="4">#REF!</definedName>
    <definedName name="__hxa2">#REF!</definedName>
    <definedName name="__hxb1" localSheetId="1">#REF!</definedName>
    <definedName name="__hxb1" localSheetId="0">#REF!</definedName>
    <definedName name="__hxb1" localSheetId="4">#REF!</definedName>
    <definedName name="__hxb1">#REF!</definedName>
    <definedName name="__hxb2" localSheetId="1">#REF!</definedName>
    <definedName name="__hxb2" localSheetId="0">#REF!</definedName>
    <definedName name="__hxb2" localSheetId="4">#REF!</definedName>
    <definedName name="__hxb2">#REF!</definedName>
    <definedName name="__hxc1" localSheetId="1">#REF!</definedName>
    <definedName name="__hxc1" localSheetId="0">#REF!</definedName>
    <definedName name="__hxc1" localSheetId="4">#REF!</definedName>
    <definedName name="__hxc1">#REF!</definedName>
    <definedName name="__hxc2" localSheetId="1">#REF!</definedName>
    <definedName name="__hxc2" localSheetId="0">#REF!</definedName>
    <definedName name="__hxc2" localSheetId="4">#REF!</definedName>
    <definedName name="__hxc2">#REF!</definedName>
    <definedName name="__ifa1" localSheetId="1">#REF!</definedName>
    <definedName name="__ifa1" localSheetId="0">#REF!</definedName>
    <definedName name="__ifa1" localSheetId="4">#REF!</definedName>
    <definedName name="__ifa1" localSheetId="11">#REF!</definedName>
    <definedName name="__ifa1">#REF!</definedName>
    <definedName name="__ifa2" localSheetId="1">#REF!</definedName>
    <definedName name="__ifa2" localSheetId="0">#REF!</definedName>
    <definedName name="__ifa2" localSheetId="4">#REF!</definedName>
    <definedName name="__ifa2" localSheetId="11">#REF!</definedName>
    <definedName name="__ifa2">#REF!</definedName>
    <definedName name="__INT1" localSheetId="1">#REF!</definedName>
    <definedName name="__INT1" localSheetId="0">#REF!</definedName>
    <definedName name="__INT1" localSheetId="4">#REF!</definedName>
    <definedName name="__INT1" localSheetId="11">#REF!</definedName>
    <definedName name="__INT1">#REF!</definedName>
    <definedName name="__Ism3" localSheetId="1">#REF!</definedName>
    <definedName name="__Ism3" localSheetId="0">#REF!</definedName>
    <definedName name="__Ism3" localSheetId="4">#REF!</definedName>
    <definedName name="__Ism3">#REF!</definedName>
    <definedName name="__ISO220" localSheetId="1">#REF!</definedName>
    <definedName name="__ISO220" localSheetId="0">#REF!</definedName>
    <definedName name="__ISO220" localSheetId="4">#REF!</definedName>
    <definedName name="__ISO220">#REF!</definedName>
    <definedName name="__kd1" localSheetId="1">#REF!</definedName>
    <definedName name="__kd1" localSheetId="0">#REF!</definedName>
    <definedName name="__kd1" localSheetId="4">#REF!</definedName>
    <definedName name="__kd1">#REF!</definedName>
    <definedName name="__kd2" localSheetId="1">#REF!</definedName>
    <definedName name="__kd2" localSheetId="0">#REF!</definedName>
    <definedName name="__kd2" localSheetId="4">#REF!</definedName>
    <definedName name="__kd2">#REF!</definedName>
    <definedName name="__kd3" localSheetId="1">#REF!</definedName>
    <definedName name="__kd3" localSheetId="0">#REF!</definedName>
    <definedName name="__kd3" localSheetId="4">#REF!</definedName>
    <definedName name="__kd3">#REF!</definedName>
    <definedName name="__Ki1" localSheetId="1">#REF!</definedName>
    <definedName name="__Ki1" localSheetId="0">#REF!</definedName>
    <definedName name="__Ki1" localSheetId="4">#REF!</definedName>
    <definedName name="__Ki1" localSheetId="11">#REF!</definedName>
    <definedName name="__Ki1">#REF!</definedName>
    <definedName name="__Ki2" localSheetId="1">#REF!</definedName>
    <definedName name="__Ki2" localSheetId="0">#REF!</definedName>
    <definedName name="__Ki2" localSheetId="4">#REF!</definedName>
    <definedName name="__Ki2" localSheetId="11">#REF!</definedName>
    <definedName name="__Ki2">#REF!</definedName>
    <definedName name="__kvs1" localSheetId="11" hidden="1">{#N/A,#N/A,FALSE,"COVER1.XLS ";#N/A,#N/A,FALSE,"RACT1.XLS";#N/A,#N/A,FALSE,"RACT2.XLS";#N/A,#N/A,FALSE,"ECCMP";#N/A,#N/A,FALSE,"WELDER.XLS"}</definedName>
    <definedName name="__kvs1" localSheetId="10" hidden="1">{#N/A,#N/A,FALSE,"COVER1.XLS ";#N/A,#N/A,FALSE,"RACT1.XLS";#N/A,#N/A,FALSE,"RACT2.XLS";#N/A,#N/A,FALSE,"ECCMP";#N/A,#N/A,FALSE,"WELDER.XLS"}</definedName>
    <definedName name="__kvs1">{#N/A,#N/A,FALSE,"COVER1.XLS ";#N/A,#N/A,FALSE,"RACT1.XLS";#N/A,#N/A,FALSE,"RACT2.XLS";#N/A,#N/A,FALSE,"ECCMP";#N/A,#N/A,FALSE,"WELDER.XLS"}</definedName>
    <definedName name="__LMH1" localSheetId="1">#REF!</definedName>
    <definedName name="__LMH1" localSheetId="0">#REF!</definedName>
    <definedName name="__LMH1" localSheetId="4">#REF!</definedName>
    <definedName name="__LMH1" localSheetId="11">#REF!</definedName>
    <definedName name="__LMH1">#REF!</definedName>
    <definedName name="__LMH2" localSheetId="1">#REF!</definedName>
    <definedName name="__LMH2" localSheetId="0">#REF!</definedName>
    <definedName name="__LMH2" localSheetId="4">#REF!</definedName>
    <definedName name="__LMH2" localSheetId="11">#REF!</definedName>
    <definedName name="__LMH2">#REF!</definedName>
    <definedName name="__ls1" localSheetId="1">#REF!</definedName>
    <definedName name="__ls1" localSheetId="0">#REF!</definedName>
    <definedName name="__ls1" localSheetId="4">#REF!</definedName>
    <definedName name="__ls1" localSheetId="11">#REF!</definedName>
    <definedName name="__ls1">#REF!</definedName>
    <definedName name="__ls2" localSheetId="1">#REF!</definedName>
    <definedName name="__ls2" localSheetId="0">#REF!</definedName>
    <definedName name="__ls2" localSheetId="4">#REF!</definedName>
    <definedName name="__ls2">#REF!</definedName>
    <definedName name="__ls3" localSheetId="1">#REF!</definedName>
    <definedName name="__ls3" localSheetId="0">#REF!</definedName>
    <definedName name="__ls3" localSheetId="4">#REF!</definedName>
    <definedName name="__ls3">#REF!</definedName>
    <definedName name="__ls4" localSheetId="1">#REF!</definedName>
    <definedName name="__ls4" localSheetId="0">#REF!</definedName>
    <definedName name="__ls4" localSheetId="4">#REF!</definedName>
    <definedName name="__ls4">#REF!</definedName>
    <definedName name="__MAN1" localSheetId="1">#REF!</definedName>
    <definedName name="__MAN1" localSheetId="0">#REF!</definedName>
    <definedName name="__MAN1" localSheetId="4">#REF!</definedName>
    <definedName name="__MAN1">#REF!</definedName>
    <definedName name="__MMB220" localSheetId="1">#REF!</definedName>
    <definedName name="__MMB220" localSheetId="0">#REF!</definedName>
    <definedName name="__MMB220" localSheetId="4">#REF!</definedName>
    <definedName name="__MMB220" localSheetId="11">#REF!</definedName>
    <definedName name="__MMB220">#REF!</definedName>
    <definedName name="__mnk1" localSheetId="11">#REF!</definedName>
    <definedName name="__mnk1">#REF!</definedName>
    <definedName name="__new1" localSheetId="1">#REF!</definedName>
    <definedName name="__new1" localSheetId="0">#REF!</definedName>
    <definedName name="__new1" localSheetId="4">#REF!</definedName>
    <definedName name="__new1" localSheetId="11">#REF!</definedName>
    <definedName name="__new1">#REF!</definedName>
    <definedName name="__Nov2007" localSheetId="11" hidden="1">{"'PROFITABILITY'!$A$1:$F$45"}</definedName>
    <definedName name="__Nov2007" localSheetId="10" hidden="1">{"'PROFITABILITY'!$A$1:$F$45"}</definedName>
    <definedName name="__Nov2007">{"'PROFITABILITY'!$A$1:$F$45"}</definedName>
    <definedName name="__ns1" localSheetId="11" hidden="1">{#N/A,#N/A,FALSE,"COVER1.XLS ";#N/A,#N/A,FALSE,"RACT1.XLS";#N/A,#N/A,FALSE,"RACT2.XLS";#N/A,#N/A,FALSE,"ECCMP";#N/A,#N/A,FALSE,"WELDER.XLS"}</definedName>
    <definedName name="__ns1" localSheetId="10" hidden="1">{#N/A,#N/A,FALSE,"COVER1.XLS ";#N/A,#N/A,FALSE,"RACT1.XLS";#N/A,#N/A,FALSE,"RACT2.XLS";#N/A,#N/A,FALSE,"ECCMP";#N/A,#N/A,FALSE,"WELDER.XLS"}</definedName>
    <definedName name="__ns1">{#N/A,#N/A,FALSE,"COVER1.XLS ";#N/A,#N/A,FALSE,"RACT1.XLS";#N/A,#N/A,FALSE,"RACT2.XLS";#N/A,#N/A,FALSE,"ECCMP";#N/A,#N/A,FALSE,"WELDER.XLS"}</definedName>
    <definedName name="__nt75" localSheetId="1">#REF!</definedName>
    <definedName name="__nt75" localSheetId="0">#REF!</definedName>
    <definedName name="__nt75" localSheetId="4">#REF!</definedName>
    <definedName name="__nt75" localSheetId="11">#REF!</definedName>
    <definedName name="__nt75">#REF!</definedName>
    <definedName name="__out2" localSheetId="1">#REF!</definedName>
    <definedName name="__out2" localSheetId="0">#REF!</definedName>
    <definedName name="__out2" localSheetId="4">#REF!</definedName>
    <definedName name="__out2" localSheetId="11">#REF!</definedName>
    <definedName name="__out2">#REF!</definedName>
    <definedName name="__pan1" localSheetId="11">#REF!</definedName>
    <definedName name="__pan1">#REF!</definedName>
    <definedName name="__PAN2">#REF!</definedName>
    <definedName name="__PB1" localSheetId="1">#REF!</definedName>
    <definedName name="__PB1" localSheetId="0">#REF!</definedName>
    <definedName name="__PB1" localSheetId="4">#REF!</definedName>
    <definedName name="__PB1">#REF!</definedName>
    <definedName name="__pep99" localSheetId="1">#REF!</definedName>
    <definedName name="__pep99" localSheetId="0">#REF!</definedName>
    <definedName name="__pep99" localSheetId="4">#REF!</definedName>
    <definedName name="__pep99">#REF!</definedName>
    <definedName name="__rcu2" localSheetId="1">#REF!</definedName>
    <definedName name="__rcu2" localSheetId="0">#REF!</definedName>
    <definedName name="__rcu2" localSheetId="4">#REF!</definedName>
    <definedName name="__rcu2" localSheetId="11">#REF!</definedName>
    <definedName name="__rcu2">#REF!</definedName>
    <definedName name="__Re1" localSheetId="1">#REF!</definedName>
    <definedName name="__Re1" localSheetId="0">#REF!</definedName>
    <definedName name="__Re1" localSheetId="4">#REF!</definedName>
    <definedName name="__Re1" localSheetId="11">#REF!</definedName>
    <definedName name="__Re1">#REF!</definedName>
    <definedName name="__Rl1" localSheetId="1">#REF!</definedName>
    <definedName name="__Rl1" localSheetId="0">#REF!</definedName>
    <definedName name="__Rl1" localSheetId="4">#REF!</definedName>
    <definedName name="__Rl1" localSheetId="11">#REF!</definedName>
    <definedName name="__Rl1">#REF!</definedName>
    <definedName name="__Rs1" localSheetId="1">#REF!</definedName>
    <definedName name="__Rs1" localSheetId="0">#REF!</definedName>
    <definedName name="__Rs1" localSheetId="4">#REF!</definedName>
    <definedName name="__Rs1">#REF!</definedName>
    <definedName name="__rt1" localSheetId="1">#REF!</definedName>
    <definedName name="__rt1" localSheetId="0">#REF!</definedName>
    <definedName name="__rt1" localSheetId="4">#REF!</definedName>
    <definedName name="__rt1">#REF!</definedName>
    <definedName name="__rt2" localSheetId="1">#REF!</definedName>
    <definedName name="__rt2" localSheetId="0">#REF!</definedName>
    <definedName name="__rt2" localSheetId="4">#REF!</definedName>
    <definedName name="__rt2">#REF!</definedName>
    <definedName name="__rt3" localSheetId="1">#REF!</definedName>
    <definedName name="__rt3" localSheetId="0">#REF!</definedName>
    <definedName name="__rt3" localSheetId="4">#REF!</definedName>
    <definedName name="__rt3">#REF!</definedName>
    <definedName name="__run1" localSheetId="1">#REF!</definedName>
    <definedName name="__run1" localSheetId="0">#REF!</definedName>
    <definedName name="__run1" localSheetId="4">#REF!</definedName>
    <definedName name="__run1">#REF!</definedName>
    <definedName name="__run2" localSheetId="1">#REF!</definedName>
    <definedName name="__run2" localSheetId="0">#REF!</definedName>
    <definedName name="__run2" localSheetId="4">#REF!</definedName>
    <definedName name="__run2">#REF!</definedName>
    <definedName name="__run3" localSheetId="1">#REF!</definedName>
    <definedName name="__run3" localSheetId="0">#REF!</definedName>
    <definedName name="__run3" localSheetId="4">#REF!</definedName>
    <definedName name="__run3">#REF!</definedName>
    <definedName name="__s41" localSheetId="11" hidden="1">{"form-D1",#N/A,FALSE,"FORM-D1";"form-D1_amt",#N/A,FALSE,"FORM-D1"}</definedName>
    <definedName name="__s41" localSheetId="10" hidden="1">{"form-D1",#N/A,FALSE,"FORM-D1";"form-D1_amt",#N/A,FALSE,"FORM-D1"}</definedName>
    <definedName name="__s4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 localSheetId="1">#REF!</definedName>
    <definedName name="__sch2" localSheetId="0">#REF!</definedName>
    <definedName name="__sch2" localSheetId="4">#REF!</definedName>
    <definedName name="__sch2">#REF!</definedName>
    <definedName name="__sch9" localSheetId="1">#REF!</definedName>
    <definedName name="__sch9" localSheetId="0">#REF!</definedName>
    <definedName name="__sch9" localSheetId="4">#REF!</definedName>
    <definedName name="__sch9">#REF!</definedName>
    <definedName name="__sit75" localSheetId="1">#REF!</definedName>
    <definedName name="__sit75" localSheetId="0">#REF!</definedName>
    <definedName name="__sit75" localSheetId="4">#REF!</definedName>
    <definedName name="__sit75" localSheetId="11">#REF!</definedName>
    <definedName name="__sit75">#REF!</definedName>
    <definedName name="__SS402" localSheetId="1">#REF!</definedName>
    <definedName name="__SS402" localSheetId="0">#REF!</definedName>
    <definedName name="__SS402" localSheetId="4">#REF!</definedName>
    <definedName name="__SS402" localSheetId="11">#REF!</definedName>
    <definedName name="__SS402">#REF!</definedName>
    <definedName name="__SS403" localSheetId="1">#REF!</definedName>
    <definedName name="__SS403" localSheetId="0">#REF!</definedName>
    <definedName name="__SS403" localSheetId="4">#REF!</definedName>
    <definedName name="__SS403" localSheetId="11">#REF!</definedName>
    <definedName name="__SS403">#REF!</definedName>
    <definedName name="__SS404" localSheetId="1">#REF!</definedName>
    <definedName name="__SS404" localSheetId="0">#REF!</definedName>
    <definedName name="__SS404" localSheetId="4">#REF!</definedName>
    <definedName name="__SS404">#REF!</definedName>
    <definedName name="__SS405" localSheetId="1">#REF!</definedName>
    <definedName name="__SS405" localSheetId="0">#REF!</definedName>
    <definedName name="__SS405" localSheetId="4">#REF!</definedName>
    <definedName name="__SS405">#REF!</definedName>
    <definedName name="__SS406" localSheetId="1">#REF!</definedName>
    <definedName name="__SS406" localSheetId="0">#REF!</definedName>
    <definedName name="__SS406" localSheetId="4">#REF!</definedName>
    <definedName name="__SS406">#REF!</definedName>
    <definedName name="__SS407" localSheetId="1">#REF!</definedName>
    <definedName name="__SS407" localSheetId="0">#REF!</definedName>
    <definedName name="__SS407" localSheetId="4">#REF!</definedName>
    <definedName name="__SS407">#REF!</definedName>
    <definedName name="__SS408" localSheetId="1">#REF!</definedName>
    <definedName name="__SS408" localSheetId="0">#REF!</definedName>
    <definedName name="__SS408" localSheetId="4">#REF!</definedName>
    <definedName name="__SS408">#REF!</definedName>
    <definedName name="__SS409" localSheetId="1">#REF!</definedName>
    <definedName name="__SS409" localSheetId="0">#REF!</definedName>
    <definedName name="__SS409" localSheetId="4">#REF!</definedName>
    <definedName name="__SS409">#REF!</definedName>
    <definedName name="__SS423" localSheetId="1">#REF!</definedName>
    <definedName name="__SS423" localSheetId="0">#REF!</definedName>
    <definedName name="__SS423" localSheetId="4">#REF!</definedName>
    <definedName name="__SS423">#REF!</definedName>
    <definedName name="__SS424" localSheetId="1">#REF!</definedName>
    <definedName name="__SS424" localSheetId="0">#REF!</definedName>
    <definedName name="__SS424" localSheetId="4">#REF!</definedName>
    <definedName name="__SS424">#REF!</definedName>
    <definedName name="__TB2" localSheetId="1">#REF!</definedName>
    <definedName name="__TB2" localSheetId="0">#REF!</definedName>
    <definedName name="__TB2" localSheetId="4">#REF!</definedName>
    <definedName name="__TB2" localSheetId="11">#REF!</definedName>
    <definedName name="__TB2">#REF!</definedName>
    <definedName name="__Tk1" localSheetId="1">#REF!</definedName>
    <definedName name="__Tk1" localSheetId="0">#REF!</definedName>
    <definedName name="__Tk1" localSheetId="4">#REF!</definedName>
    <definedName name="__Tk1" localSheetId="11">#REF!</definedName>
    <definedName name="__Tk1">#REF!</definedName>
    <definedName name="__Tk11" localSheetId="1">#REF!</definedName>
    <definedName name="__Tk11" localSheetId="0">#REF!</definedName>
    <definedName name="__Tk11" localSheetId="4">#REF!</definedName>
    <definedName name="__Tk11" localSheetId="11">#REF!</definedName>
    <definedName name="__Tk11">#REF!</definedName>
    <definedName name="__Tk2" localSheetId="1">#REF!</definedName>
    <definedName name="__Tk2" localSheetId="0">#REF!</definedName>
    <definedName name="__Tk2" localSheetId="4">#REF!</definedName>
    <definedName name="__Tk2">#REF!</definedName>
    <definedName name="__Tkl1" localSheetId="1">#REF!</definedName>
    <definedName name="__Tkl1" localSheetId="0">#REF!</definedName>
    <definedName name="__Tkl1" localSheetId="4">#REF!</definedName>
    <definedName name="__Tkl1">#REF!</definedName>
    <definedName name="__tl1" localSheetId="1">#REF!</definedName>
    <definedName name="__tl1" localSheetId="0">#REF!</definedName>
    <definedName name="__tl1" localSheetId="4">#REF!</definedName>
    <definedName name="__tl1">#REF!</definedName>
    <definedName name="__tl2" localSheetId="1">#REF!</definedName>
    <definedName name="__tl2" localSheetId="0">#REF!</definedName>
    <definedName name="__tl2" localSheetId="4">#REF!</definedName>
    <definedName name="__tl2">#REF!</definedName>
    <definedName name="__tr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75" localSheetId="1">#REF!</definedName>
    <definedName name="__tr75" localSheetId="0">#REF!</definedName>
    <definedName name="__tr75" localSheetId="4">#REF!</definedName>
    <definedName name="__tr75" localSheetId="11">#REF!</definedName>
    <definedName name="__tr75">#REF!</definedName>
    <definedName name="__trt75" localSheetId="1">#REF!</definedName>
    <definedName name="__trt75" localSheetId="0">#REF!</definedName>
    <definedName name="__trt75" localSheetId="4">#REF!</definedName>
    <definedName name="__trt75" localSheetId="11">#REF!</definedName>
    <definedName name="__trt75">#REF!</definedName>
    <definedName name="__tt75" localSheetId="1">#REF!</definedName>
    <definedName name="__tt75" localSheetId="0">#REF!</definedName>
    <definedName name="__tt75" localSheetId="4">#REF!</definedName>
    <definedName name="__tt75" localSheetId="11">#REF!</definedName>
    <definedName name="__tt75">#REF!</definedName>
    <definedName name="__vr1" localSheetId="1">#REF!</definedName>
    <definedName name="__vr1" localSheetId="0">#REF!</definedName>
    <definedName name="__vr1" localSheetId="4">#REF!</definedName>
    <definedName name="__vr1">#REF!</definedName>
    <definedName name="__Wc1" localSheetId="1">#REF!</definedName>
    <definedName name="__Wc1" localSheetId="0">#REF!</definedName>
    <definedName name="__Wc1" localSheetId="4">#REF!</definedName>
    <definedName name="__Wc1">#REF!</definedName>
    <definedName name="__WC3" localSheetId="1">#REF!</definedName>
    <definedName name="__WC3" localSheetId="0">#REF!</definedName>
    <definedName name="__WC3" localSheetId="4">#REF!</definedName>
    <definedName name="__WC3">#REF!</definedName>
    <definedName name="__wp1" localSheetId="1">#REF!</definedName>
    <definedName name="__wp1" localSheetId="0">#REF!</definedName>
    <definedName name="__wp1" localSheetId="4">#REF!</definedName>
    <definedName name="__wp1">#REF!</definedName>
    <definedName name="__Wr1" localSheetId="1">#REF!</definedName>
    <definedName name="__Wr1" localSheetId="0">#REF!</definedName>
    <definedName name="__Wr1" localSheetId="4">#REF!</definedName>
    <definedName name="__Wr1">#REF!</definedName>
    <definedName name="__Wr3" localSheetId="1">#REF!</definedName>
    <definedName name="__Wr3" localSheetId="0">#REF!</definedName>
    <definedName name="__Wr3" localSheetId="4">#REF!</definedName>
    <definedName name="__Wr3">#REF!</definedName>
    <definedName name="__wrn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 localSheetId="1">#REF!</definedName>
    <definedName name="__Xl1" localSheetId="0">#REF!</definedName>
    <definedName name="__Xl1" localSheetId="4">#REF!</definedName>
    <definedName name="__Xl1" localSheetId="11">#REF!</definedName>
    <definedName name="__Xl1">#REF!</definedName>
    <definedName name="__xlfn_COUNTIFS" localSheetId="11">#N/A</definedName>
    <definedName name="__xlfn_COUNTIFS" localSheetId="10">#N/A</definedName>
    <definedName name="__xlfn_COUNTIFS">#REF!</definedName>
    <definedName name="__xlfn_SUMIFS" localSheetId="11">#N/A</definedName>
    <definedName name="__xlfn_SUMIFS" localSheetId="10">#N/A</definedName>
    <definedName name="__xlfn_SUMIFS">#REF!</definedName>
    <definedName name="__xlnm._FilterDatabase_1" localSheetId="11">#REF!</definedName>
    <definedName name="__xlnm._FilterDatabase_1">#REF!</definedName>
    <definedName name="__xlnm._FilterDatabase_2" localSheetId="11">#REF!</definedName>
    <definedName name="__xlnm._FilterDatabase_2">#REF!</definedName>
    <definedName name="__xlnm._FilterDatabase_3">#REF!</definedName>
    <definedName name="__xlnm._FilterDatabase_4">#REF!</definedName>
    <definedName name="__xlnm._FilterDatabase_5" localSheetId="11">#N/A</definedName>
    <definedName name="__xlnm._FilterDatabase_5" localSheetId="10">#N/A</definedName>
    <definedName name="__xlnm._FilterDatabase_5">#REF!</definedName>
    <definedName name="__xlnm.Print_Area_1">#REF!</definedName>
    <definedName name="__xlnm.Print_Area_10">#REF!</definedName>
    <definedName name="__xlnm.Print_Area_11">#REF!</definedName>
    <definedName name="__xlnm.Print_Area_2">#REF!</definedName>
    <definedName name="__xlnm.Print_Area_3">#REF!</definedName>
    <definedName name="__xlnm.Print_Area_4">#REF!</definedName>
    <definedName name="__xlnm.Print_Area_5">#REF!</definedName>
    <definedName name="__xlnm.Print_Area_6">#REF!</definedName>
    <definedName name="__xlnm.Print_Area_7">#REF!</definedName>
    <definedName name="__xlnm.Print_Area_8">#REF!</definedName>
    <definedName name="__xlnm.Print_Area_9">#REF!</definedName>
    <definedName name="__xlnm.Print_Titles">#REF!</definedName>
    <definedName name="__xlnm.Print_Titles_4">#REF!</definedName>
    <definedName name="__xlnm.Print_Titles_7">#REF!</definedName>
    <definedName name="_0" localSheetId="1">#REF!</definedName>
    <definedName name="_0" localSheetId="0">#REF!</definedName>
    <definedName name="_0" localSheetId="4">#REF!</definedName>
    <definedName name="_0">#REF!</definedName>
    <definedName name="_0___0" localSheetId="1">#REF!</definedName>
    <definedName name="_0___0" localSheetId="0">#REF!</definedName>
    <definedName name="_0___0" localSheetId="4">#REF!</definedName>
    <definedName name="_0___0">#REF!</definedName>
    <definedName name="_1" localSheetId="1">#REF!</definedName>
    <definedName name="_1" localSheetId="0">#REF!</definedName>
    <definedName name="_1" localSheetId="4">#REF!</definedName>
    <definedName name="_1">#REF!</definedName>
    <definedName name="_11BS">#REF!</definedName>
    <definedName name="_12BS">#REF!</definedName>
    <definedName name="_13BS">#REF!</definedName>
    <definedName name="_14BS">#REF!</definedName>
    <definedName name="_15BS">#REF!</definedName>
    <definedName name="_16BS">#REF!</definedName>
    <definedName name="_1Excel_BuiltIn_Print_Area_1_1" localSheetId="1">#REF!</definedName>
    <definedName name="_1Excel_BuiltIn_Print_Area_1_1" localSheetId="0">#REF!</definedName>
    <definedName name="_1Excel_BuiltIn_Print_Area_1_1" localSheetId="4">#REF!</definedName>
    <definedName name="_1Excel_BuiltIn_Print_Area_1_1">#REF!</definedName>
    <definedName name="_1Excel_BuiltIn_Print_Area_3_1">#REF!</definedName>
    <definedName name="_2Excel_BuiltIn_Print_Area_3_1" localSheetId="1">#REF!</definedName>
    <definedName name="_2Excel_BuiltIn_Print_Area_3_1" localSheetId="0">#REF!</definedName>
    <definedName name="_2Excel_BuiltIn_Print_Area_3_1" localSheetId="4">#REF!</definedName>
    <definedName name="_2Excel_BuiltIn_Print_Area_3_1">#REF!</definedName>
    <definedName name="_2Excel_BuiltIn_Print_Area_4_1">#REF!</definedName>
    <definedName name="_3Excel_BuiltIn_Print_Area_4_1_1">#REF!</definedName>
    <definedName name="_3Excel_BuiltIn_Print_Titles_3_1" localSheetId="1">#REF!</definedName>
    <definedName name="_3Excel_BuiltIn_Print_Titles_3_1" localSheetId="0">#REF!</definedName>
    <definedName name="_3Excel_BuiltIn_Print_Titles_3_1" localSheetId="4">#REF!</definedName>
    <definedName name="_3Excel_BuiltIn_Print_Titles_3_1">#REF!</definedName>
    <definedName name="_4321" localSheetId="1">#REF!</definedName>
    <definedName name="_4321" localSheetId="0">#REF!</definedName>
    <definedName name="_4321" localSheetId="4">#REF!</definedName>
    <definedName name="_4321">#REF!</definedName>
    <definedName name="_4Excel_BuiltIn_Print_Area_4_1_1_1">#REF!</definedName>
    <definedName name="_5Excel_BuiltIn_Print_Area_4_1_1_1_1">#REF!</definedName>
    <definedName name="_6382">#REF!</definedName>
    <definedName name="_6Excel_BuiltIn_Print_Area_4_1_1_1_1_1">#REF!</definedName>
    <definedName name="_7Excel_BuiltIn_Print_Titles_4_1">#REF!</definedName>
    <definedName name="_A" localSheetId="1">#REF!</definedName>
    <definedName name="_A" localSheetId="0">#REF!</definedName>
    <definedName name="_A" localSheetId="4">#REF!</definedName>
    <definedName name="_A">#REF!</definedName>
    <definedName name="_A1" localSheetId="1">#REF!</definedName>
    <definedName name="_A1" localSheetId="0">#REF!</definedName>
    <definedName name="_A1" localSheetId="4">#REF!</definedName>
    <definedName name="_A1">#REF!</definedName>
    <definedName name="_A10" localSheetId="1">#REF!</definedName>
    <definedName name="_A10" localSheetId="0">#REF!</definedName>
    <definedName name="_A10" localSheetId="4">#REF!</definedName>
    <definedName name="_A10">#REF!</definedName>
    <definedName name="_A13" localSheetId="1">#REF!</definedName>
    <definedName name="_A13" localSheetId="0">#REF!</definedName>
    <definedName name="_A13" localSheetId="4">#REF!</definedName>
    <definedName name="_A13">#REF!</definedName>
    <definedName name="_A2" localSheetId="1">#REF!</definedName>
    <definedName name="_A2" localSheetId="0">#REF!</definedName>
    <definedName name="_A2" localSheetId="4">#REF!</definedName>
    <definedName name="_A2">#REF!</definedName>
    <definedName name="_A3" localSheetId="1">#REF!</definedName>
    <definedName name="_A3" localSheetId="0">#REF!</definedName>
    <definedName name="_A3" localSheetId="4">#REF!</definedName>
    <definedName name="_A3">#REF!</definedName>
    <definedName name="_A31" localSheetId="1">#REF!</definedName>
    <definedName name="_A31" localSheetId="0">#REF!</definedName>
    <definedName name="_A31" localSheetId="4">#REF!</definedName>
    <definedName name="_A31">#REF!</definedName>
    <definedName name="_A321" localSheetId="1">#REF!</definedName>
    <definedName name="_A321" localSheetId="0">#REF!</definedName>
    <definedName name="_A321" localSheetId="4">#REF!</definedName>
    <definedName name="_A321">#REF!</definedName>
    <definedName name="_A4" localSheetId="1">#REF!</definedName>
    <definedName name="_A4" localSheetId="0">#REF!</definedName>
    <definedName name="_A4" localSheetId="4">#REF!</definedName>
    <definedName name="_A4">#REF!</definedName>
    <definedName name="_A5" localSheetId="1">#REF!</definedName>
    <definedName name="_A5" localSheetId="0">#REF!</definedName>
    <definedName name="_A5" localSheetId="4">#REF!</definedName>
    <definedName name="_A5">#REF!</definedName>
    <definedName name="_A6" localSheetId="1">#REF!</definedName>
    <definedName name="_A6" localSheetId="0">#REF!</definedName>
    <definedName name="_A6" localSheetId="4">#REF!</definedName>
    <definedName name="_A6">#REF!</definedName>
    <definedName name="_A65537">#REF!</definedName>
    <definedName name="_A655600" localSheetId="1">#REF!</definedName>
    <definedName name="_A655600" localSheetId="0">#REF!</definedName>
    <definedName name="_A655600" localSheetId="4">#REF!</definedName>
    <definedName name="_A655600">#REF!</definedName>
    <definedName name="_a655601" localSheetId="1">#REF!</definedName>
    <definedName name="_a655601" localSheetId="0">#REF!</definedName>
    <definedName name="_a655601" localSheetId="4">#REF!</definedName>
    <definedName name="_a655601">#REF!</definedName>
    <definedName name="_A7" localSheetId="1">#REF!</definedName>
    <definedName name="_A7" localSheetId="0">#REF!</definedName>
    <definedName name="_A7" localSheetId="4">#REF!</definedName>
    <definedName name="_A7">#REF!</definedName>
    <definedName name="_A8" localSheetId="1">#REF!</definedName>
    <definedName name="_A8" localSheetId="0">#REF!</definedName>
    <definedName name="_A8" localSheetId="4">#REF!</definedName>
    <definedName name="_A8">#REF!</definedName>
    <definedName name="_A81613" localSheetId="1">#REF!</definedName>
    <definedName name="_A81613" localSheetId="0">#REF!</definedName>
    <definedName name="_A81613" localSheetId="4">#REF!</definedName>
    <definedName name="_A81613">#REF!</definedName>
    <definedName name="_A9" localSheetId="1">#REF!</definedName>
    <definedName name="_A9" localSheetId="0">#REF!</definedName>
    <definedName name="_A9" localSheetId="4">#REF!</definedName>
    <definedName name="_A9">#REF!</definedName>
    <definedName name="_a999999">#REF!</definedName>
    <definedName name="_aba2" localSheetId="1">#REF!</definedName>
    <definedName name="_aba2" localSheetId="0">#REF!</definedName>
    <definedName name="_aba2" localSheetId="4">#REF!</definedName>
    <definedName name="_aba2">#REF!</definedName>
    <definedName name="_acs1" localSheetId="1">#REF!</definedName>
    <definedName name="_acs1" localSheetId="0">#REF!</definedName>
    <definedName name="_acs1" localSheetId="4">#REF!</definedName>
    <definedName name="_acs1">#REF!</definedName>
    <definedName name="_acs2" localSheetId="1">#REF!</definedName>
    <definedName name="_acs2" localSheetId="0">#REF!</definedName>
    <definedName name="_acs2" localSheetId="4">#REF!</definedName>
    <definedName name="_acs2">#REF!</definedName>
    <definedName name="_Ann1">#REF!</definedName>
    <definedName name="_B" localSheetId="1">#REF!</definedName>
    <definedName name="_B" localSheetId="0">#REF!</definedName>
    <definedName name="_B" localSheetId="4">#REF!</definedName>
    <definedName name="_B" localSheetId="11">#REF!</definedName>
    <definedName name="_B">#REF!</definedName>
    <definedName name="_B1" localSheetId="1">#REF!</definedName>
    <definedName name="_B1" localSheetId="0">#REF!</definedName>
    <definedName name="_B1" localSheetId="4">#REF!</definedName>
    <definedName name="_B1" localSheetId="11">#REF!</definedName>
    <definedName name="_B1">#REF!</definedName>
    <definedName name="_BAA1" localSheetId="11">#REF!</definedName>
    <definedName name="_BAA1">#REF!</definedName>
    <definedName name="_bct75" localSheetId="1">#REF!</definedName>
    <definedName name="_bct75" localSheetId="0">#REF!</definedName>
    <definedName name="_bct75" localSheetId="4">#REF!</definedName>
    <definedName name="_bct75" localSheetId="11">#REF!</definedName>
    <definedName name="_bct75">#REF!</definedName>
    <definedName name="_bhh2" localSheetId="1">#REF!</definedName>
    <definedName name="_bhh2" localSheetId="0">#REF!</definedName>
    <definedName name="_bhh2" localSheetId="4">#REF!</definedName>
    <definedName name="_bhh2" localSheetId="11">#REF!</definedName>
    <definedName name="_bhh2">#REF!</definedName>
    <definedName name="_bom1" localSheetId="1">#REF!</definedName>
    <definedName name="_bom1" localSheetId="0">#REF!</definedName>
    <definedName name="_bom1" localSheetId="4">#REF!</definedName>
    <definedName name="_bom1">#REF!</definedName>
    <definedName name="_buh11" localSheetId="1">#REF!</definedName>
    <definedName name="_buh11" localSheetId="0">#REF!</definedName>
    <definedName name="_buh11" localSheetId="4">#REF!</definedName>
    <definedName name="_buh11">#REF!</definedName>
    <definedName name="_C" localSheetId="1">#REF!</definedName>
    <definedName name="_C" localSheetId="0">#REF!</definedName>
    <definedName name="_C" localSheetId="4">#REF!</definedName>
    <definedName name="_C">#REF!</definedName>
    <definedName name="_C___0" localSheetId="1">#REF!</definedName>
    <definedName name="_C___0" localSheetId="0">#REF!</definedName>
    <definedName name="_C___0" localSheetId="4">#REF!</definedName>
    <definedName name="_C___0">#REF!</definedName>
    <definedName name="_C___13" localSheetId="1">#REF!</definedName>
    <definedName name="_C___13" localSheetId="0">#REF!</definedName>
    <definedName name="_C___13" localSheetId="4">#REF!</definedName>
    <definedName name="_C___13">#REF!</definedName>
    <definedName name="_CCT220" localSheetId="1">#REF!</definedName>
    <definedName name="_CCT220" localSheetId="0">#REF!</definedName>
    <definedName name="_CCT220" localSheetId="4">#REF!</definedName>
    <definedName name="_CCT220">#REF!</definedName>
    <definedName name="_cdd2" localSheetId="1">#REF!</definedName>
    <definedName name="_cdd2" localSheetId="0">#REF!</definedName>
    <definedName name="_cdd2" localSheetId="4">#REF!</definedName>
    <definedName name="_cdd2">#REF!</definedName>
    <definedName name="_CFB1" localSheetId="1">#REF!</definedName>
    <definedName name="_CFB1" localSheetId="0">#REF!</definedName>
    <definedName name="_CFB1" localSheetId="4">#REF!</definedName>
    <definedName name="_CFB1">#REF!</definedName>
    <definedName name="_CFB2" localSheetId="1">#REF!</definedName>
    <definedName name="_CFB2" localSheetId="0">#REF!</definedName>
    <definedName name="_CFB2" localSheetId="4">#REF!</definedName>
    <definedName name="_CFB2">#REF!</definedName>
    <definedName name="_CFB3" localSheetId="1">#REF!</definedName>
    <definedName name="_CFB3" localSheetId="0">#REF!</definedName>
    <definedName name="_CFB3" localSheetId="4">#REF!</definedName>
    <definedName name="_CFB3">#REF!</definedName>
    <definedName name="_cff2" localSheetId="1">#REF!</definedName>
    <definedName name="_cff2" localSheetId="0">#REF!</definedName>
    <definedName name="_cff2" localSheetId="4">#REF!</definedName>
    <definedName name="_cff2">#REF!</definedName>
    <definedName name="_cli5" localSheetId="1">#REF!</definedName>
    <definedName name="_cli5" localSheetId="0">#REF!</definedName>
    <definedName name="_cli5" localSheetId="4">#REF!</definedName>
    <definedName name="_cli5" localSheetId="11">#REF!</definedName>
    <definedName name="_cli5">#REF!</definedName>
    <definedName name="_COL1" localSheetId="1">#REF!</definedName>
    <definedName name="_COL1" localSheetId="0">#REF!</definedName>
    <definedName name="_COL1" localSheetId="4">#REF!</definedName>
    <definedName name="_COL1" localSheetId="11">#REF!</definedName>
    <definedName name="_COL1">#REF!</definedName>
    <definedName name="_cth2" localSheetId="1">#REF!</definedName>
    <definedName name="_cth2" localSheetId="0">#REF!</definedName>
    <definedName name="_cth2" localSheetId="4">#REF!</definedName>
    <definedName name="_cth2" localSheetId="11">#REF!</definedName>
    <definedName name="_cth2">#REF!</definedName>
    <definedName name="_CVT220" localSheetId="1">#REF!</definedName>
    <definedName name="_CVT220" localSheetId="0">#REF!</definedName>
    <definedName name="_CVT220" localSheetId="4">#REF!</definedName>
    <definedName name="_CVT220" localSheetId="11">#REF!</definedName>
    <definedName name="_CVT220">#REF!</definedName>
    <definedName name="_DAT1" localSheetId="1">#REF!</definedName>
    <definedName name="_DAT1" localSheetId="0">#REF!</definedName>
    <definedName name="_DAT1" localSheetId="4">#REF!</definedName>
    <definedName name="_DAT1" localSheetId="11">#REF!</definedName>
    <definedName name="_DAT1">#REF!</definedName>
    <definedName name="_DAT10" localSheetId="1">#REF!</definedName>
    <definedName name="_DAT10" localSheetId="0">#REF!</definedName>
    <definedName name="_DAT10" localSheetId="4">#REF!</definedName>
    <definedName name="_DAT10">#REF!</definedName>
    <definedName name="_DAT11" localSheetId="1">#REF!</definedName>
    <definedName name="_DAT11" localSheetId="0">#REF!</definedName>
    <definedName name="_DAT11" localSheetId="4">#REF!</definedName>
    <definedName name="_DAT11">#REF!</definedName>
    <definedName name="_DAT12" localSheetId="1">#REF!</definedName>
    <definedName name="_DAT12" localSheetId="0">#REF!</definedName>
    <definedName name="_DAT12" localSheetId="4">#REF!</definedName>
    <definedName name="_DAT12">#REF!</definedName>
    <definedName name="_DAT13" localSheetId="1">#REF!</definedName>
    <definedName name="_DAT13" localSheetId="0">#REF!</definedName>
    <definedName name="_DAT13" localSheetId="4">#REF!</definedName>
    <definedName name="_DAT13">#REF!</definedName>
    <definedName name="_DAT14" localSheetId="1">#REF!</definedName>
    <definedName name="_DAT14" localSheetId="0">#REF!</definedName>
    <definedName name="_DAT14" localSheetId="4">#REF!</definedName>
    <definedName name="_DAT14">#REF!</definedName>
    <definedName name="_DAT15" localSheetId="1">#REF!</definedName>
    <definedName name="_DAT15" localSheetId="0">#REF!</definedName>
    <definedName name="_DAT15" localSheetId="4">#REF!</definedName>
    <definedName name="_DAT15">#REF!</definedName>
    <definedName name="_DAT16" localSheetId="1">#REF!</definedName>
    <definedName name="_DAT16" localSheetId="0">#REF!</definedName>
    <definedName name="_DAT16" localSheetId="4">#REF!</definedName>
    <definedName name="_DAT16">#REF!</definedName>
    <definedName name="_DAT2" localSheetId="1">#REF!</definedName>
    <definedName name="_DAT2" localSheetId="0">#REF!</definedName>
    <definedName name="_DAT2" localSheetId="4">#REF!</definedName>
    <definedName name="_DAT2">#REF!</definedName>
    <definedName name="_DAT3" localSheetId="1">#REF!</definedName>
    <definedName name="_DAT3" localSheetId="0">#REF!</definedName>
    <definedName name="_DAT3" localSheetId="4">#REF!</definedName>
    <definedName name="_DAT3">#REF!</definedName>
    <definedName name="_DAT4" localSheetId="1">#REF!</definedName>
    <definedName name="_DAT4" localSheetId="0">#REF!</definedName>
    <definedName name="_DAT4" localSheetId="4">#REF!</definedName>
    <definedName name="_DAT4">#REF!</definedName>
    <definedName name="_DAT5" localSheetId="1">#REF!</definedName>
    <definedName name="_DAT5" localSheetId="0">#REF!</definedName>
    <definedName name="_DAT5" localSheetId="4">#REF!</definedName>
    <definedName name="_DAT5">#REF!</definedName>
    <definedName name="_DAT6" localSheetId="1">#REF!</definedName>
    <definedName name="_DAT6" localSheetId="0">#REF!</definedName>
    <definedName name="_DAT6" localSheetId="4">#REF!</definedName>
    <definedName name="_DAT6">#REF!</definedName>
    <definedName name="_DAT7" localSheetId="1">#REF!</definedName>
    <definedName name="_DAT7" localSheetId="0">#REF!</definedName>
    <definedName name="_DAT7" localSheetId="4">#REF!</definedName>
    <definedName name="_DAT7">#REF!</definedName>
    <definedName name="_DAT8" localSheetId="1">#REF!</definedName>
    <definedName name="_DAT8" localSheetId="0">#REF!</definedName>
    <definedName name="_DAT8" localSheetId="4">#REF!</definedName>
    <definedName name="_DAT8">#REF!</definedName>
    <definedName name="_DAT9" localSheetId="1">#REF!</definedName>
    <definedName name="_DAT9" localSheetId="0">#REF!</definedName>
    <definedName name="_DAT9" localSheetId="4">#REF!</definedName>
    <definedName name="_DAT9">#REF!</definedName>
    <definedName name="_dec05" localSheetId="11" hidden="1">{"'Sheet1'!$A$4386:$N$4591"}</definedName>
    <definedName name="_dec05" localSheetId="10" hidden="1">{"'Sheet1'!$A$4386:$N$4591"}</definedName>
    <definedName name="_dec05">{"'Sheet1'!$A$4386:$N$4591"}</definedName>
    <definedName name="_del1" localSheetId="1">#REF!</definedName>
    <definedName name="_del1" localSheetId="0">#REF!</definedName>
    <definedName name="_del1" localSheetId="4">#REF!</definedName>
    <definedName name="_del1">#REF!</definedName>
    <definedName name="_DET1" localSheetId="1">#REF!</definedName>
    <definedName name="_DET1" localSheetId="0">#REF!</definedName>
    <definedName name="_DET1" localSheetId="4">#REF!</definedName>
    <definedName name="_DET1">#REF!</definedName>
    <definedName name="_DET2" localSheetId="1">#REF!</definedName>
    <definedName name="_DET2" localSheetId="0">#REF!</definedName>
    <definedName name="_DET2" localSheetId="4">#REF!</definedName>
    <definedName name="_DET2">#REF!</definedName>
    <definedName name="_DET3" localSheetId="1">#REF!</definedName>
    <definedName name="_DET3" localSheetId="0">#REF!</definedName>
    <definedName name="_DET3" localSheetId="4">#REF!</definedName>
    <definedName name="_DET3">#REF!</definedName>
    <definedName name="_DET4" localSheetId="1">#REF!</definedName>
    <definedName name="_DET4" localSheetId="0">#REF!</definedName>
    <definedName name="_DET4" localSheetId="4">#REF!</definedName>
    <definedName name="_DET4">#REF!</definedName>
    <definedName name="_DET5" localSheetId="1">#REF!</definedName>
    <definedName name="_DET5" localSheetId="0">#REF!</definedName>
    <definedName name="_DET5" localSheetId="4">#REF!</definedName>
    <definedName name="_DET5">#REF!</definedName>
    <definedName name="_DET6" localSheetId="1">#REF!</definedName>
    <definedName name="_DET6" localSheetId="0">#REF!</definedName>
    <definedName name="_DET6" localSheetId="4">#REF!</definedName>
    <definedName name="_DET6">#REF!</definedName>
    <definedName name="_DKT75" localSheetId="1">#REF!</definedName>
    <definedName name="_DKT75" localSheetId="0">#REF!</definedName>
    <definedName name="_DKT75" localSheetId="4">#REF!</definedName>
    <definedName name="_DKT75" localSheetId="11">#REF!</definedName>
    <definedName name="_DKT75">#REF!</definedName>
    <definedName name="_drg1" localSheetId="1">#REF!</definedName>
    <definedName name="_drg1" localSheetId="0">#REF!</definedName>
    <definedName name="_drg1" localSheetId="4">#REF!</definedName>
    <definedName name="_drg1" localSheetId="11">#REF!</definedName>
    <definedName name="_drg1">#REF!</definedName>
    <definedName name="_drg2" localSheetId="1">#REF!</definedName>
    <definedName name="_drg2" localSheetId="0">#REF!</definedName>
    <definedName name="_drg2" localSheetId="4">#REF!</definedName>
    <definedName name="_drg2" localSheetId="11">#REF!</definedName>
    <definedName name="_drg2">#REF!</definedName>
    <definedName name="_eth2" localSheetId="1">#REF!</definedName>
    <definedName name="_eth2" localSheetId="0">#REF!</definedName>
    <definedName name="_eth2" localSheetId="4">#REF!</definedName>
    <definedName name="_eth2">#REF!</definedName>
    <definedName name="_f1" localSheetId="11" hidden="1">{"'PROFITABILITY'!$A$1:$F$45"}</definedName>
    <definedName name="_f1" localSheetId="10" hidden="1">{"'PROFITABILITY'!$A$1:$F$45"}</definedName>
    <definedName name="_f1">{"'PROFITABILITY'!$A$1:$F$45"}</definedName>
    <definedName name="_Fill" localSheetId="1">#REF!</definedName>
    <definedName name="_Fill" localSheetId="0">#REF!</definedName>
    <definedName name="_Fill" localSheetId="4">#REF!</definedName>
    <definedName name="_Fill" localSheetId="11" hidden="1">#REF!</definedName>
    <definedName name="_Fill">#REF!</definedName>
    <definedName name="_xlnm._FilterDatabase" localSheetId="1" hidden="1">'Check Survey-220kV'!$A$4:$AB$646</definedName>
    <definedName name="_xlnm._FilterDatabase" localSheetId="0" hidden="1">'Detail Survey-220kV'!$A$4:$Z$648</definedName>
    <definedName name="_xlnm._FilterDatabase" localSheetId="6" hidden="1">'Progress-132kV'!$A$5:$BA$89</definedName>
    <definedName name="_xlnm._FilterDatabase" localSheetId="7" hidden="1">'Progress-220kV'!$A$7:$BP$413</definedName>
    <definedName name="_xlnm._FilterDatabase" localSheetId="5" hidden="1">Statutory!$A$2:$S$18</definedName>
    <definedName name="_xlnm._FilterDatabase" localSheetId="9" hidden="1">'Stringing-132KV'!$A$5:$Z$52</definedName>
    <definedName name="_xlnm._FilterDatabase" localSheetId="8" hidden="1">'Stringing-220kV'!$A$5:$Y$214</definedName>
    <definedName name="_Fpi1" localSheetId="1">#REF!</definedName>
    <definedName name="_Fpi1" localSheetId="0">#REF!</definedName>
    <definedName name="_Fpi1" localSheetId="4">#REF!</definedName>
    <definedName name="_Fpi1" localSheetId="11">#REF!</definedName>
    <definedName name="_Fpi1">#REF!</definedName>
    <definedName name="_g66666" localSheetId="1">#REF!</definedName>
    <definedName name="_g66666" localSheetId="0">#REF!</definedName>
    <definedName name="_g66666" localSheetId="4">#REF!</definedName>
    <definedName name="_g66666" localSheetId="11">#REF!</definedName>
    <definedName name="_g66666">#REF!</definedName>
    <definedName name="_HCO2" localSheetId="1">#REF!</definedName>
    <definedName name="_HCO2" localSheetId="0">#REF!</definedName>
    <definedName name="_HCO2" localSheetId="4">#REF!</definedName>
    <definedName name="_HCO2" localSheetId="11">#REF!</definedName>
    <definedName name="_HCO2">#REF!</definedName>
    <definedName name="_hfi04" localSheetId="1">#REF!</definedName>
    <definedName name="_hfi04" localSheetId="0">#REF!</definedName>
    <definedName name="_hfi04" localSheetId="4">#REF!</definedName>
    <definedName name="_hfi04">#REF!</definedName>
    <definedName name="_Hra2" localSheetId="1">#REF!</definedName>
    <definedName name="_Hra2" localSheetId="0">#REF!</definedName>
    <definedName name="_Hra2" localSheetId="4">#REF!</definedName>
    <definedName name="_Hra2" localSheetId="11">#REF!</definedName>
    <definedName name="_Hra2">#REF!</definedName>
    <definedName name="_Hso2" localSheetId="1">#REF!</definedName>
    <definedName name="_Hso2" localSheetId="0">#REF!</definedName>
    <definedName name="_Hso2" localSheetId="4">#REF!</definedName>
    <definedName name="_Hso2" localSheetId="11">#REF!</definedName>
    <definedName name="_Hso2">#REF!</definedName>
    <definedName name="_Hso3" localSheetId="1">#REF!</definedName>
    <definedName name="_Hso3" localSheetId="0">#REF!</definedName>
    <definedName name="_Hso3" localSheetId="4">#REF!</definedName>
    <definedName name="_Hso3" localSheetId="11">#REF!</definedName>
    <definedName name="_Hso3">#REF!</definedName>
    <definedName name="_hxa1" localSheetId="1">#REF!</definedName>
    <definedName name="_hxa1" localSheetId="0">#REF!</definedName>
    <definedName name="_hxa1" localSheetId="4">#REF!</definedName>
    <definedName name="_hxa1">#REF!</definedName>
    <definedName name="_hxa2" localSheetId="1">#REF!</definedName>
    <definedName name="_hxa2" localSheetId="0">#REF!</definedName>
    <definedName name="_hxa2" localSheetId="4">#REF!</definedName>
    <definedName name="_hxa2">#REF!</definedName>
    <definedName name="_hxb1" localSheetId="1">#REF!</definedName>
    <definedName name="_hxb1" localSheetId="0">#REF!</definedName>
    <definedName name="_hxb1" localSheetId="4">#REF!</definedName>
    <definedName name="_hxb1">#REF!</definedName>
    <definedName name="_hxb2" localSheetId="1">#REF!</definedName>
    <definedName name="_hxb2" localSheetId="0">#REF!</definedName>
    <definedName name="_hxb2" localSheetId="4">#REF!</definedName>
    <definedName name="_hxb2">#REF!</definedName>
    <definedName name="_hxc1" localSheetId="1">#REF!</definedName>
    <definedName name="_hxc1" localSheetId="0">#REF!</definedName>
    <definedName name="_hxc1" localSheetId="4">#REF!</definedName>
    <definedName name="_hxc1">#REF!</definedName>
    <definedName name="_hxc2" localSheetId="1">#REF!</definedName>
    <definedName name="_hxc2" localSheetId="0">#REF!</definedName>
    <definedName name="_hxc2" localSheetId="4">#REF!</definedName>
    <definedName name="_hxc2">#REF!</definedName>
    <definedName name="_ifa1" localSheetId="1">#REF!</definedName>
    <definedName name="_ifa1" localSheetId="0">#REF!</definedName>
    <definedName name="_ifa1" localSheetId="4">#REF!</definedName>
    <definedName name="_ifa1" localSheetId="11">#REF!</definedName>
    <definedName name="_ifa1">#REF!</definedName>
    <definedName name="_ifa2" localSheetId="1">#REF!</definedName>
    <definedName name="_ifa2" localSheetId="0">#REF!</definedName>
    <definedName name="_ifa2" localSheetId="4">#REF!</definedName>
    <definedName name="_ifa2" localSheetId="11">#REF!</definedName>
    <definedName name="_ifa2">#REF!</definedName>
    <definedName name="_III7">"$C4.$#REF!$#REF!"</definedName>
    <definedName name="_INT1" localSheetId="1">#REF!</definedName>
    <definedName name="_INT1" localSheetId="0">#REF!</definedName>
    <definedName name="_INT1" localSheetId="4">#REF!</definedName>
    <definedName name="_INT1" localSheetId="11">#REF!</definedName>
    <definedName name="_INT1">#REF!</definedName>
    <definedName name="_Ism3" localSheetId="1">#REF!</definedName>
    <definedName name="_Ism3" localSheetId="0">#REF!</definedName>
    <definedName name="_Ism3" localSheetId="4">#REF!</definedName>
    <definedName name="_Ism3" localSheetId="11">#REF!</definedName>
    <definedName name="_Ism3">#REF!</definedName>
    <definedName name="_ISO220" localSheetId="1">#REF!</definedName>
    <definedName name="_ISO220" localSheetId="0">#REF!</definedName>
    <definedName name="_ISO220" localSheetId="4">#REF!</definedName>
    <definedName name="_ISO220" localSheetId="11">#REF!</definedName>
    <definedName name="_ISO220">#REF!</definedName>
    <definedName name="_kd1" localSheetId="1">#REF!</definedName>
    <definedName name="_kd1" localSheetId="0">#REF!</definedName>
    <definedName name="_kd1" localSheetId="4">#REF!</definedName>
    <definedName name="_kd1">#REF!</definedName>
    <definedName name="_kd2" localSheetId="1">#REF!</definedName>
    <definedName name="_kd2" localSheetId="0">#REF!</definedName>
    <definedName name="_kd2" localSheetId="4">#REF!</definedName>
    <definedName name="_kd2">#REF!</definedName>
    <definedName name="_kd3" localSheetId="1">#REF!</definedName>
    <definedName name="_kd3" localSheetId="0">#REF!</definedName>
    <definedName name="_kd3" localSheetId="4">#REF!</definedName>
    <definedName name="_kd3">#REF!</definedName>
    <definedName name="_Key1" localSheetId="1">#REF!</definedName>
    <definedName name="_Key1" localSheetId="0">#REF!</definedName>
    <definedName name="_Key1" localSheetId="4">#REF!</definedName>
    <definedName name="_Key1">#REF!</definedName>
    <definedName name="_Key2" localSheetId="1">#REF!</definedName>
    <definedName name="_Key2" localSheetId="0">#REF!</definedName>
    <definedName name="_Key2" localSheetId="4">#REF!</definedName>
    <definedName name="_Key2">#REF!</definedName>
    <definedName name="_Ki1" localSheetId="1">#REF!</definedName>
    <definedName name="_Ki1" localSheetId="0">#REF!</definedName>
    <definedName name="_Ki1" localSheetId="4">#REF!</definedName>
    <definedName name="_Ki1" localSheetId="11">#REF!</definedName>
    <definedName name="_Ki1">#REF!</definedName>
    <definedName name="_Ki2" localSheetId="1">#REF!</definedName>
    <definedName name="_Ki2" localSheetId="0">#REF!</definedName>
    <definedName name="_Ki2" localSheetId="4">#REF!</definedName>
    <definedName name="_Ki2" localSheetId="11">#REF!</definedName>
    <definedName name="_Ki2">#REF!</definedName>
    <definedName name="_klkjlo" localSheetId="11">#REF!</definedName>
    <definedName name="_klkjlo">#REF!</definedName>
    <definedName name="_LMH1" localSheetId="1">#REF!</definedName>
    <definedName name="_LMH1" localSheetId="0">#REF!</definedName>
    <definedName name="_LMH1" localSheetId="4">#REF!</definedName>
    <definedName name="_LMH1">#REF!</definedName>
    <definedName name="_LMH2" localSheetId="1">#REF!</definedName>
    <definedName name="_LMH2" localSheetId="0">#REF!</definedName>
    <definedName name="_LMH2" localSheetId="4">#REF!</definedName>
    <definedName name="_LMH2">#REF!</definedName>
    <definedName name="_ls1" localSheetId="1">#REF!</definedName>
    <definedName name="_ls1" localSheetId="0">#REF!</definedName>
    <definedName name="_ls1" localSheetId="4">#REF!</definedName>
    <definedName name="_ls1">#REF!</definedName>
    <definedName name="_ls2" localSheetId="1">#REF!</definedName>
    <definedName name="_ls2" localSheetId="0">#REF!</definedName>
    <definedName name="_ls2" localSheetId="4">#REF!</definedName>
    <definedName name="_ls2">#REF!</definedName>
    <definedName name="_ls3" localSheetId="1">#REF!</definedName>
    <definedName name="_ls3" localSheetId="0">#REF!</definedName>
    <definedName name="_ls3" localSheetId="4">#REF!</definedName>
    <definedName name="_ls3">#REF!</definedName>
    <definedName name="_ls4" localSheetId="1">#REF!</definedName>
    <definedName name="_ls4" localSheetId="0">#REF!</definedName>
    <definedName name="_ls4" localSheetId="4">#REF!</definedName>
    <definedName name="_ls4">#REF!</definedName>
    <definedName name="_lvl1">#REF!</definedName>
    <definedName name="_M" localSheetId="1">#REF!</definedName>
    <definedName name="_M" localSheetId="0">#REF!</definedName>
    <definedName name="_M" localSheetId="4">#REF!</definedName>
    <definedName name="_M">#REF!</definedName>
    <definedName name="_mac2">200</definedName>
    <definedName name="_MAN1" localSheetId="1">#REF!</definedName>
    <definedName name="_MAN1" localSheetId="0">#REF!</definedName>
    <definedName name="_MAN1" localSheetId="4">#REF!</definedName>
    <definedName name="_MAN1" localSheetId="11">#REF!</definedName>
    <definedName name="_MAN1">#REF!</definedName>
    <definedName name="_mix10">4.5</definedName>
    <definedName name="_mix15">264/50</definedName>
    <definedName name="_mix20">330/50</definedName>
    <definedName name="_mix30">352/50</definedName>
    <definedName name="_mix40">396/50</definedName>
    <definedName name="_MMB220" localSheetId="1">#REF!</definedName>
    <definedName name="_MMB220" localSheetId="0">#REF!</definedName>
    <definedName name="_MMB220" localSheetId="4">#REF!</definedName>
    <definedName name="_MMB220" localSheetId="11">#REF!</definedName>
    <definedName name="_MMB220">#REF!</definedName>
    <definedName name="_mnk1" localSheetId="1">#REF!</definedName>
    <definedName name="_mnk1" localSheetId="0">#REF!</definedName>
    <definedName name="_mnk1" localSheetId="4">#REF!</definedName>
    <definedName name="_mnk1" localSheetId="11">#REF!</definedName>
    <definedName name="_mnk1">#REF!</definedName>
    <definedName name="_N" localSheetId="1">#REF!</definedName>
    <definedName name="_N" localSheetId="0">#REF!</definedName>
    <definedName name="_N" localSheetId="4">#REF!</definedName>
    <definedName name="_N" localSheetId="11">#REF!</definedName>
    <definedName name="_N">#REF!</definedName>
    <definedName name="_new1" localSheetId="1">#REF!</definedName>
    <definedName name="_new1" localSheetId="0">#REF!</definedName>
    <definedName name="_new1" localSheetId="4">#REF!</definedName>
    <definedName name="_new1">#REF!</definedName>
    <definedName name="_Nov2007" localSheetId="11" hidden="1">{"'PROFITABILITY'!$A$1:$F$45"}</definedName>
    <definedName name="_Nov2007" localSheetId="10" hidden="1">{"'PROFITABILITY'!$A$1:$F$45"}</definedName>
    <definedName name="_Nov2007">{"'PROFITABILITY'!$A$1:$F$45"}</definedName>
    <definedName name="_nt75" localSheetId="1">#REF!</definedName>
    <definedName name="_nt75" localSheetId="0">#REF!</definedName>
    <definedName name="_nt75" localSheetId="4">#REF!</definedName>
    <definedName name="_nt75">#REF!</definedName>
    <definedName name="_Order1">255</definedName>
    <definedName name="_Order2">255</definedName>
    <definedName name="_out2" localSheetId="1">#REF!</definedName>
    <definedName name="_out2" localSheetId="0">#REF!</definedName>
    <definedName name="_out2" localSheetId="4">#REF!</definedName>
    <definedName name="_out2" localSheetId="11">#REF!</definedName>
    <definedName name="_out2">#REF!</definedName>
    <definedName name="_P" localSheetId="1">#REF!</definedName>
    <definedName name="_P" localSheetId="0">#REF!</definedName>
    <definedName name="_P" localSheetId="4">#REF!</definedName>
    <definedName name="_P" localSheetId="11">#REF!</definedName>
    <definedName name="_P">#REF!</definedName>
    <definedName name="_pan1" localSheetId="11">#REF!</definedName>
    <definedName name="_pan1">#REF!</definedName>
    <definedName name="_PAN2">#REF!</definedName>
    <definedName name="_Parse_In" localSheetId="1">#REF!</definedName>
    <definedName name="_Parse_In" localSheetId="0">#REF!</definedName>
    <definedName name="_Parse_In" localSheetId="4">#REF!</definedName>
    <definedName name="_Parse_In">#REF!</definedName>
    <definedName name="_PB1" localSheetId="1">#REF!</definedName>
    <definedName name="_PB1" localSheetId="0">#REF!</definedName>
    <definedName name="_PB1" localSheetId="4">#REF!</definedName>
    <definedName name="_PB1">#REF!</definedName>
    <definedName name="_pep99" localSheetId="1">#REF!</definedName>
    <definedName name="_pep99" localSheetId="0">#REF!</definedName>
    <definedName name="_pep99" localSheetId="4">#REF!</definedName>
    <definedName name="_pep99">#REF!</definedName>
    <definedName name="_R" localSheetId="1">#REF!</definedName>
    <definedName name="_R" localSheetId="0">#REF!</definedName>
    <definedName name="_R" localSheetId="4">#REF!</definedName>
    <definedName name="_R" localSheetId="11">#REF!</definedName>
    <definedName name="_R">#REF!</definedName>
    <definedName name="_R1" localSheetId="11">#REF!</definedName>
    <definedName name="_R1">#REF!</definedName>
    <definedName name="_rcu2" localSheetId="1">#REF!</definedName>
    <definedName name="_rcu2" localSheetId="0">#REF!</definedName>
    <definedName name="_rcu2" localSheetId="4">#REF!</definedName>
    <definedName name="_rcu2" localSheetId="11">#REF!</definedName>
    <definedName name="_rcu2">#REF!</definedName>
    <definedName name="_Re1" localSheetId="1">#REF!</definedName>
    <definedName name="_Re1" localSheetId="0">#REF!</definedName>
    <definedName name="_Re1" localSheetId="4">#REF!</definedName>
    <definedName name="_Re1">#REF!</definedName>
    <definedName name="_Rl1" localSheetId="1">#REF!</definedName>
    <definedName name="_Rl1" localSheetId="0">#REF!</definedName>
    <definedName name="_Rl1" localSheetId="4">#REF!</definedName>
    <definedName name="_Rl1">#REF!</definedName>
    <definedName name="_Rs1" localSheetId="1">#REF!</definedName>
    <definedName name="_Rs1" localSheetId="0">#REF!</definedName>
    <definedName name="_Rs1" localSheetId="4">#REF!</definedName>
    <definedName name="_Rs1">#REF!</definedName>
    <definedName name="_rt1" localSheetId="1">#REF!</definedName>
    <definedName name="_rt1" localSheetId="0">#REF!</definedName>
    <definedName name="_rt1" localSheetId="4">#REF!</definedName>
    <definedName name="_rt1">#REF!</definedName>
    <definedName name="_rt2" localSheetId="1">#REF!</definedName>
    <definedName name="_rt2" localSheetId="0">#REF!</definedName>
    <definedName name="_rt2" localSheetId="4">#REF!</definedName>
    <definedName name="_rt2">#REF!</definedName>
    <definedName name="_rt3" localSheetId="1">#REF!</definedName>
    <definedName name="_rt3" localSheetId="0">#REF!</definedName>
    <definedName name="_rt3" localSheetId="4">#REF!</definedName>
    <definedName name="_rt3">#REF!</definedName>
    <definedName name="_run1" localSheetId="1">#REF!</definedName>
    <definedName name="_run1" localSheetId="0">#REF!</definedName>
    <definedName name="_run1" localSheetId="4">#REF!</definedName>
    <definedName name="_run1">#REF!</definedName>
    <definedName name="_run2" localSheetId="1">#REF!</definedName>
    <definedName name="_run2" localSheetId="0">#REF!</definedName>
    <definedName name="_run2" localSheetId="4">#REF!</definedName>
    <definedName name="_run2">#REF!</definedName>
    <definedName name="_run3" localSheetId="1">#REF!</definedName>
    <definedName name="_run3" localSheetId="0">#REF!</definedName>
    <definedName name="_run3" localSheetId="4">#REF!</definedName>
    <definedName name="_run3">#REF!</definedName>
    <definedName name="_S">#REF!</definedName>
    <definedName name="_s41" localSheetId="11" hidden="1">{"form-D1",#N/A,FALSE,"FORM-D1";"form-D1_amt",#N/A,FALSE,"FORM-D1"}</definedName>
    <definedName name="_s41" localSheetId="10" hidden="1">{"form-D1",#N/A,FALSE,"FORM-D1";"form-D1_amt",#N/A,FALSE,"FORM-D1"}</definedName>
    <definedName name="_s41">{"form-D1",#N/A,FALSE,"FORM-D1";"form-D1_amt",#N/A,FALSE,"FORM-D1"}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h2" localSheetId="1">#REF!</definedName>
    <definedName name="_sch2" localSheetId="0">#REF!</definedName>
    <definedName name="_sch2" localSheetId="4">#REF!</definedName>
    <definedName name="_sch2">#REF!</definedName>
    <definedName name="_sch9" localSheetId="1">#REF!</definedName>
    <definedName name="_sch9" localSheetId="0">#REF!</definedName>
    <definedName name="_sch9" localSheetId="4">#REF!</definedName>
    <definedName name="_sch9">#REF!</definedName>
    <definedName name="_sh1">90</definedName>
    <definedName name="_sh2">120</definedName>
    <definedName name="_sh3">150</definedName>
    <definedName name="_sh4">180</definedName>
    <definedName name="_sit75" localSheetId="1">#REF!</definedName>
    <definedName name="_sit75" localSheetId="0">#REF!</definedName>
    <definedName name="_sit75" localSheetId="4">#REF!</definedName>
    <definedName name="_sit75" localSheetId="11">#REF!</definedName>
    <definedName name="_sit75">#REF!</definedName>
    <definedName name="_Sort" localSheetId="1">#REF!</definedName>
    <definedName name="_Sort" localSheetId="0">#REF!</definedName>
    <definedName name="_Sort" localSheetId="4">#REF!</definedName>
    <definedName name="_Sort" localSheetId="11" hidden="1">#REF!</definedName>
    <definedName name="_Sort">#REF!</definedName>
    <definedName name="_SS402" localSheetId="1">#REF!</definedName>
    <definedName name="_SS402" localSheetId="0">#REF!</definedName>
    <definedName name="_SS402" localSheetId="4">#REF!</definedName>
    <definedName name="_SS402" localSheetId="11">#REF!</definedName>
    <definedName name="_SS402">#REF!</definedName>
    <definedName name="_SS403" localSheetId="1">#REF!</definedName>
    <definedName name="_SS403" localSheetId="0">#REF!</definedName>
    <definedName name="_SS403" localSheetId="4">#REF!</definedName>
    <definedName name="_SS403">#REF!</definedName>
    <definedName name="_SS404" localSheetId="1">#REF!</definedName>
    <definedName name="_SS404" localSheetId="0">#REF!</definedName>
    <definedName name="_SS404" localSheetId="4">#REF!</definedName>
    <definedName name="_SS404">#REF!</definedName>
    <definedName name="_SS405" localSheetId="1">#REF!</definedName>
    <definedName name="_SS405" localSheetId="0">#REF!</definedName>
    <definedName name="_SS405" localSheetId="4">#REF!</definedName>
    <definedName name="_SS405">#REF!</definedName>
    <definedName name="_SS406" localSheetId="1">#REF!</definedName>
    <definedName name="_SS406" localSheetId="0">#REF!</definedName>
    <definedName name="_SS406" localSheetId="4">#REF!</definedName>
    <definedName name="_SS406">#REF!</definedName>
    <definedName name="_SS407" localSheetId="1">#REF!</definedName>
    <definedName name="_SS407" localSheetId="0">#REF!</definedName>
    <definedName name="_SS407" localSheetId="4">#REF!</definedName>
    <definedName name="_SS407">#REF!</definedName>
    <definedName name="_SS408" localSheetId="1">#REF!</definedName>
    <definedName name="_SS408" localSheetId="0">#REF!</definedName>
    <definedName name="_SS408" localSheetId="4">#REF!</definedName>
    <definedName name="_SS408">#REF!</definedName>
    <definedName name="_SS409" localSheetId="1">#REF!</definedName>
    <definedName name="_SS409" localSheetId="0">#REF!</definedName>
    <definedName name="_SS409" localSheetId="4">#REF!</definedName>
    <definedName name="_SS409">#REF!</definedName>
    <definedName name="_SS423" localSheetId="1">#REF!</definedName>
    <definedName name="_SS423" localSheetId="0">#REF!</definedName>
    <definedName name="_SS423" localSheetId="4">#REF!</definedName>
    <definedName name="_SS423">#REF!</definedName>
    <definedName name="_SS424" localSheetId="1">#REF!</definedName>
    <definedName name="_SS424" localSheetId="0">#REF!</definedName>
    <definedName name="_SS424" localSheetId="4">#REF!</definedName>
    <definedName name="_SS424">#REF!</definedName>
    <definedName name="_TB2" localSheetId="1">#REF!</definedName>
    <definedName name="_TB2" localSheetId="0">#REF!</definedName>
    <definedName name="_TB2" localSheetId="4">#REF!</definedName>
    <definedName name="_TB2" localSheetId="11">#REF!</definedName>
    <definedName name="_TB2">#REF!</definedName>
    <definedName name="_te1" localSheetId="1">#REF!</definedName>
    <definedName name="_te1" localSheetId="0">#REF!</definedName>
    <definedName name="_te1" localSheetId="4">#REF!</definedName>
    <definedName name="_te1" localSheetId="11">#REF!</definedName>
    <definedName name="_te1">#REF!</definedName>
    <definedName name="_Tk1" localSheetId="1">#REF!</definedName>
    <definedName name="_Tk1" localSheetId="0">#REF!</definedName>
    <definedName name="_Tk1" localSheetId="4">#REF!</definedName>
    <definedName name="_Tk1" localSheetId="11">#REF!</definedName>
    <definedName name="_Tk1">#REF!</definedName>
    <definedName name="_Tk11" localSheetId="1">#REF!</definedName>
    <definedName name="_Tk11" localSheetId="0">#REF!</definedName>
    <definedName name="_Tk11" localSheetId="4">#REF!</definedName>
    <definedName name="_Tk11">#REF!</definedName>
    <definedName name="_Tk2" localSheetId="1">#REF!</definedName>
    <definedName name="_Tk2" localSheetId="0">#REF!</definedName>
    <definedName name="_Tk2" localSheetId="4">#REF!</definedName>
    <definedName name="_Tk2">#REF!</definedName>
    <definedName name="_Tkl1" localSheetId="1">#REF!</definedName>
    <definedName name="_Tkl1" localSheetId="0">#REF!</definedName>
    <definedName name="_Tkl1" localSheetId="4">#REF!</definedName>
    <definedName name="_Tkl1">#REF!</definedName>
    <definedName name="_tl1" localSheetId="1">#REF!</definedName>
    <definedName name="_tl1" localSheetId="0">#REF!</definedName>
    <definedName name="_tl1" localSheetId="4">#REF!</definedName>
    <definedName name="_tl1">#REF!</definedName>
    <definedName name="_tl2" localSheetId="1">#REF!</definedName>
    <definedName name="_tl2" localSheetId="0">#REF!</definedName>
    <definedName name="_tl2" localSheetId="4">#REF!</definedName>
    <definedName name="_tl2">#REF!</definedName>
    <definedName name="_TR100" localSheetId="1">#REF!</definedName>
    <definedName name="_TR100" localSheetId="0">#REF!</definedName>
    <definedName name="_TR100" localSheetId="4">#REF!</definedName>
    <definedName name="_TR100">#REF!</definedName>
    <definedName name="_TR315" localSheetId="1">#REF!</definedName>
    <definedName name="_TR315" localSheetId="0">#REF!</definedName>
    <definedName name="_TR315" localSheetId="4">#REF!</definedName>
    <definedName name="_TR315">#REF!</definedName>
    <definedName name="_TR33" localSheetId="1">#REF!</definedName>
    <definedName name="_TR33" localSheetId="0">#REF!</definedName>
    <definedName name="_TR33" localSheetId="4">#REF!</definedName>
    <definedName name="_TR33">#REF!</definedName>
    <definedName name="_tr75" localSheetId="1">#REF!</definedName>
    <definedName name="_tr75" localSheetId="0">#REF!</definedName>
    <definedName name="_tr75" localSheetId="4">#REF!</definedName>
    <definedName name="_tr75">#REF!</definedName>
    <definedName name="_trt75" localSheetId="1">#REF!</definedName>
    <definedName name="_trt75" localSheetId="0">#REF!</definedName>
    <definedName name="_trt75" localSheetId="4">#REF!</definedName>
    <definedName name="_trt75">#REF!</definedName>
    <definedName name="_tt75" localSheetId="1">#REF!</definedName>
    <definedName name="_tt75" localSheetId="0">#REF!</definedName>
    <definedName name="_tt75" localSheetId="4">#REF!</definedName>
    <definedName name="_tt75">#REF!</definedName>
    <definedName name="_U" localSheetId="1">#REF!</definedName>
    <definedName name="_U" localSheetId="0">#REF!</definedName>
    <definedName name="_U" localSheetId="4">#REF!</definedName>
    <definedName name="_U">#REF!</definedName>
    <definedName name="_V" localSheetId="1">#REF!</definedName>
    <definedName name="_V" localSheetId="0">#REF!</definedName>
    <definedName name="_V" localSheetId="4">#REF!</definedName>
    <definedName name="_V">#REF!</definedName>
    <definedName name="_Vf1" localSheetId="1">#REF!</definedName>
    <definedName name="_Vf1" localSheetId="0">#REF!</definedName>
    <definedName name="_Vf1" localSheetId="4">#REF!</definedName>
    <definedName name="_Vf1">#REF!</definedName>
    <definedName name="_Vf2" localSheetId="1">#REF!</definedName>
    <definedName name="_Vf2" localSheetId="0">#REF!</definedName>
    <definedName name="_Vf2" localSheetId="4">#REF!</definedName>
    <definedName name="_Vf2">#REF!</definedName>
    <definedName name="_vr1" localSheetId="1">#REF!</definedName>
    <definedName name="_vr1" localSheetId="0">#REF!</definedName>
    <definedName name="_vr1" localSheetId="4">#REF!</definedName>
    <definedName name="_vr1">#REF!</definedName>
    <definedName name="_Wc1" localSheetId="1">#REF!</definedName>
    <definedName name="_Wc1" localSheetId="0">#REF!</definedName>
    <definedName name="_Wc1" localSheetId="4">#REF!</definedName>
    <definedName name="_Wc1" localSheetId="11">#REF!</definedName>
    <definedName name="_Wc1">#REF!</definedName>
    <definedName name="_WC3" localSheetId="1">#REF!</definedName>
    <definedName name="_WC3" localSheetId="0">#REF!</definedName>
    <definedName name="_WC3" localSheetId="4">#REF!</definedName>
    <definedName name="_WC3" localSheetId="11">#REF!</definedName>
    <definedName name="_WC3">#REF!</definedName>
    <definedName name="_wp1" localSheetId="1">#REF!</definedName>
    <definedName name="_wp1" localSheetId="0">#REF!</definedName>
    <definedName name="_wp1" localSheetId="4">#REF!</definedName>
    <definedName name="_wp1" localSheetId="11">#REF!</definedName>
    <definedName name="_wp1">#REF!</definedName>
    <definedName name="_Wr1" localSheetId="1">#REF!</definedName>
    <definedName name="_Wr1" localSheetId="0">#REF!</definedName>
    <definedName name="_Wr1" localSheetId="4">#REF!</definedName>
    <definedName name="_Wr1">#REF!</definedName>
    <definedName name="_Wr3" localSheetId="1">#REF!</definedName>
    <definedName name="_Wr3" localSheetId="0">#REF!</definedName>
    <definedName name="_Wr3" localSheetId="4">#REF!</definedName>
    <definedName name="_Wr3">#REF!</definedName>
    <definedName name="A" localSheetId="1">#REF!</definedName>
    <definedName name="A" localSheetId="0">#REF!</definedName>
    <definedName name="A" localSheetId="4">#REF!</definedName>
    <definedName name="A">#REF!</definedName>
    <definedName name="A.T.RAJAN" localSheetId="1">#REF!</definedName>
    <definedName name="A.T.RAJAN" localSheetId="0">#REF!</definedName>
    <definedName name="A.T.RAJAN" localSheetId="4">#REF!</definedName>
    <definedName name="A.T.RAJAN">#REF!</definedName>
    <definedName name="a___0" localSheetId="1">#REF!</definedName>
    <definedName name="a___0" localSheetId="0">#REF!</definedName>
    <definedName name="a___0" localSheetId="4">#REF!</definedName>
    <definedName name="a___0">#REF!</definedName>
    <definedName name="a___13" localSheetId="1">#REF!</definedName>
    <definedName name="a___13" localSheetId="0">#REF!</definedName>
    <definedName name="a___13" localSheetId="4">#REF!</definedName>
    <definedName name="a___13">#REF!</definedName>
    <definedName name="A_A" localSheetId="1">#REF!</definedName>
    <definedName name="A_A" localSheetId="0">#REF!</definedName>
    <definedName name="A_A" localSheetId="4">#REF!</definedName>
    <definedName name="A_A">#REF!</definedName>
    <definedName name="A_B" localSheetId="1">#REF!</definedName>
    <definedName name="A_B" localSheetId="0">#REF!</definedName>
    <definedName name="A_B" localSheetId="4">#REF!</definedName>
    <definedName name="A_B">#REF!</definedName>
    <definedName name="A_sp" localSheetId="1">#REF!</definedName>
    <definedName name="A_sp" localSheetId="0">#REF!</definedName>
    <definedName name="A_sp" localSheetId="4">#REF!</definedName>
    <definedName name="A_sp">#REF!</definedName>
    <definedName name="A0" localSheetId="11">#REF!</definedName>
    <definedName name="A0">#REF!</definedName>
    <definedName name="A1_" localSheetId="1">#REF!</definedName>
    <definedName name="A1_" localSheetId="0">#REF!</definedName>
    <definedName name="A1_" localSheetId="4">#REF!</definedName>
    <definedName name="A1_">#REF!</definedName>
    <definedName name="A1____0" localSheetId="1">#REF!</definedName>
    <definedName name="A1____0" localSheetId="0">#REF!</definedName>
    <definedName name="A1____0" localSheetId="4">#REF!</definedName>
    <definedName name="A1____0">#REF!</definedName>
    <definedName name="A1____13" localSheetId="1">#REF!</definedName>
    <definedName name="A1____13" localSheetId="0">#REF!</definedName>
    <definedName name="A1____13" localSheetId="4">#REF!</definedName>
    <definedName name="A1____13">#REF!</definedName>
    <definedName name="A10_" localSheetId="1">#REF!</definedName>
    <definedName name="A10_" localSheetId="0">#REF!</definedName>
    <definedName name="A10_" localSheetId="4">#REF!</definedName>
    <definedName name="A10_">#REF!</definedName>
    <definedName name="A10____0" localSheetId="1">#REF!</definedName>
    <definedName name="A10____0" localSheetId="0">#REF!</definedName>
    <definedName name="A10____0" localSheetId="4">#REF!</definedName>
    <definedName name="A10____0">#REF!</definedName>
    <definedName name="A10____13" localSheetId="1">#REF!</definedName>
    <definedName name="A10____13" localSheetId="0">#REF!</definedName>
    <definedName name="A10____13" localSheetId="4">#REF!</definedName>
    <definedName name="A10____13">#REF!</definedName>
    <definedName name="A13_" localSheetId="1">#REF!</definedName>
    <definedName name="A13_" localSheetId="0">#REF!</definedName>
    <definedName name="A13_" localSheetId="4">#REF!</definedName>
    <definedName name="A13_">#REF!</definedName>
    <definedName name="A13____0" localSheetId="1">#REF!</definedName>
    <definedName name="A13____0" localSheetId="0">#REF!</definedName>
    <definedName name="A13____0" localSheetId="4">#REF!</definedName>
    <definedName name="A13____0">#REF!</definedName>
    <definedName name="A13____13" localSheetId="1">#REF!</definedName>
    <definedName name="A13____13" localSheetId="0">#REF!</definedName>
    <definedName name="A13____13" localSheetId="4">#REF!</definedName>
    <definedName name="A13____13">#REF!</definedName>
    <definedName name="A2_" localSheetId="1">#REF!</definedName>
    <definedName name="A2_" localSheetId="0">#REF!</definedName>
    <definedName name="A2_" localSheetId="4">#REF!</definedName>
    <definedName name="A2_" localSheetId="11">#REF!</definedName>
    <definedName name="A2_">#REF!</definedName>
    <definedName name="A2____0" localSheetId="1">#REF!</definedName>
    <definedName name="A2____0" localSheetId="0">#REF!</definedName>
    <definedName name="A2____0" localSheetId="4">#REF!</definedName>
    <definedName name="A2____0" localSheetId="11">#REF!</definedName>
    <definedName name="A2____0">#REF!</definedName>
    <definedName name="A2____13" localSheetId="1">#REF!</definedName>
    <definedName name="A2____13" localSheetId="0">#REF!</definedName>
    <definedName name="A2____13" localSheetId="4">#REF!</definedName>
    <definedName name="A2____13" localSheetId="11">#REF!</definedName>
    <definedName name="A2____13">#REF!</definedName>
    <definedName name="A3_" localSheetId="1">#REF!</definedName>
    <definedName name="A3_" localSheetId="0">#REF!</definedName>
    <definedName name="A3_" localSheetId="4">#REF!</definedName>
    <definedName name="A3_" localSheetId="11">#REF!</definedName>
    <definedName name="A3_">#REF!</definedName>
    <definedName name="A3____0" localSheetId="1">#REF!</definedName>
    <definedName name="A3____0" localSheetId="0">#REF!</definedName>
    <definedName name="A3____0" localSheetId="4">#REF!</definedName>
    <definedName name="A3____0" localSheetId="11">#REF!</definedName>
    <definedName name="A3____0">#REF!</definedName>
    <definedName name="A3____13" localSheetId="1">#REF!</definedName>
    <definedName name="A3____13" localSheetId="0">#REF!</definedName>
    <definedName name="A3____13" localSheetId="4">#REF!</definedName>
    <definedName name="A3____13" localSheetId="11">#REF!</definedName>
    <definedName name="A3____13">#REF!</definedName>
    <definedName name="A4_" localSheetId="1">#REF!</definedName>
    <definedName name="A4_" localSheetId="0">#REF!</definedName>
    <definedName name="A4_" localSheetId="4">#REF!</definedName>
    <definedName name="A4_">#REF!</definedName>
    <definedName name="A4____0" localSheetId="1">#REF!</definedName>
    <definedName name="A4____0" localSheetId="0">#REF!</definedName>
    <definedName name="A4____0" localSheetId="4">#REF!</definedName>
    <definedName name="A4____0">#REF!</definedName>
    <definedName name="A4____13" localSheetId="1">#REF!</definedName>
    <definedName name="A4____13" localSheetId="0">#REF!</definedName>
    <definedName name="A4____13" localSheetId="4">#REF!</definedName>
    <definedName name="A4____13">#REF!</definedName>
    <definedName name="A5_" localSheetId="1">#REF!</definedName>
    <definedName name="A5_" localSheetId="0">#REF!</definedName>
    <definedName name="A5_" localSheetId="4">#REF!</definedName>
    <definedName name="A5_">#REF!</definedName>
    <definedName name="A5____0" localSheetId="1">#REF!</definedName>
    <definedName name="A5____0" localSheetId="0">#REF!</definedName>
    <definedName name="A5____0" localSheetId="4">#REF!</definedName>
    <definedName name="A5____0">#REF!</definedName>
    <definedName name="A5____13" localSheetId="1">#REF!</definedName>
    <definedName name="A5____13" localSheetId="0">#REF!</definedName>
    <definedName name="A5____13" localSheetId="4">#REF!</definedName>
    <definedName name="A5____13">#REF!</definedName>
    <definedName name="A6_" localSheetId="1">#REF!</definedName>
    <definedName name="A6_" localSheetId="0">#REF!</definedName>
    <definedName name="A6_" localSheetId="4">#REF!</definedName>
    <definedName name="A6_">#REF!</definedName>
    <definedName name="A6____0" localSheetId="1">#REF!</definedName>
    <definedName name="A6____0" localSheetId="0">#REF!</definedName>
    <definedName name="A6____0" localSheetId="4">#REF!</definedName>
    <definedName name="A6____0">#REF!</definedName>
    <definedName name="A6____13" localSheetId="1">#REF!</definedName>
    <definedName name="A6____13" localSheetId="0">#REF!</definedName>
    <definedName name="A6____13" localSheetId="4">#REF!</definedName>
    <definedName name="A6____13">#REF!</definedName>
    <definedName name="A7_" localSheetId="1">#REF!</definedName>
    <definedName name="A7_" localSheetId="0">#REF!</definedName>
    <definedName name="A7_" localSheetId="4">#REF!</definedName>
    <definedName name="A7_">#REF!</definedName>
    <definedName name="A7____0" localSheetId="1">#REF!</definedName>
    <definedName name="A7____0" localSheetId="0">#REF!</definedName>
    <definedName name="A7____0" localSheetId="4">#REF!</definedName>
    <definedName name="A7____0">#REF!</definedName>
    <definedName name="A7____13" localSheetId="1">#REF!</definedName>
    <definedName name="A7____13" localSheetId="0">#REF!</definedName>
    <definedName name="A7____13" localSheetId="4">#REF!</definedName>
    <definedName name="A7____13">#REF!</definedName>
    <definedName name="A8_" localSheetId="1">#REF!</definedName>
    <definedName name="A8_" localSheetId="0">#REF!</definedName>
    <definedName name="A8_" localSheetId="4">#REF!</definedName>
    <definedName name="A8_">#REF!</definedName>
    <definedName name="A8____0" localSheetId="1">#REF!</definedName>
    <definedName name="A8____0" localSheetId="0">#REF!</definedName>
    <definedName name="A8____0" localSheetId="4">#REF!</definedName>
    <definedName name="A8____0">#REF!</definedName>
    <definedName name="A8____13" localSheetId="1">#REF!</definedName>
    <definedName name="A8____13" localSheetId="0">#REF!</definedName>
    <definedName name="A8____13" localSheetId="4">#REF!</definedName>
    <definedName name="A8____13">#REF!</definedName>
    <definedName name="A9_" localSheetId="1">#REF!</definedName>
    <definedName name="A9_" localSheetId="0">#REF!</definedName>
    <definedName name="A9_" localSheetId="4">#REF!</definedName>
    <definedName name="A9_">#REF!</definedName>
    <definedName name="A9____0" localSheetId="1">#REF!</definedName>
    <definedName name="A9____0" localSheetId="0">#REF!</definedName>
    <definedName name="A9____0" localSheetId="4">#REF!</definedName>
    <definedName name="A9____0">#REF!</definedName>
    <definedName name="A9____13" localSheetId="1">#REF!</definedName>
    <definedName name="A9____13" localSheetId="0">#REF!</definedName>
    <definedName name="A9____13" localSheetId="4">#REF!</definedName>
    <definedName name="A9____13">#REF!</definedName>
    <definedName name="aa" localSheetId="1">#REF!</definedName>
    <definedName name="aa" localSheetId="0">#REF!</definedName>
    <definedName name="aa" localSheetId="4">#REF!</definedName>
    <definedName name="aa" localSheetId="11">#REF!</definedName>
    <definedName name="aa">#REF!</definedName>
    <definedName name="aaa" localSheetId="1">#REF!</definedName>
    <definedName name="aaa" localSheetId="0">#REF!</definedName>
    <definedName name="aaa" localSheetId="4">#REF!</definedName>
    <definedName name="aaa">#REF!</definedName>
    <definedName name="aaaa" localSheetId="1">#REF!</definedName>
    <definedName name="aaaa" localSheetId="0">#REF!</definedName>
    <definedName name="aaaa" localSheetId="4">#REF!</definedName>
    <definedName name="aaaa" localSheetId="11">#REF!</definedName>
    <definedName name="aaaa">#REF!</definedName>
    <definedName name="aaaaaaaaaaa" localSheetId="1">#REF!</definedName>
    <definedName name="aaaaaaaaaaa" localSheetId="0">#REF!</definedName>
    <definedName name="aaaaaaaaaaa" localSheetId="4">#REF!</definedName>
    <definedName name="aaaaaaaaaaa">#REF!</definedName>
    <definedName name="AAAAAAAAAAAAAAAAAAAAAAAAAAAAAAAAAAAAAAAAA" localSheetId="1">#REF!</definedName>
    <definedName name="AAAAAAAAAAAAAAAAAAAAAAAAAAAAAAAAAAAAAAAAA" localSheetId="0">#REF!</definedName>
    <definedName name="AAAAAAAAAAAAAAAAAAAAAAAAAAAAAAAAAAAAAAAAA" localSheetId="4">#REF!</definedName>
    <definedName name="AAAAAAAAAAAAAAAAAAAAAAAAAAAAAAAAAAAAAAAAA">#REF!</definedName>
    <definedName name="aac" localSheetId="11" hidden="1">{"'PROFITABILITY'!$A$1:$F$45"}</definedName>
    <definedName name="aac" localSheetId="10" hidden="1">{"'PROFITABILITY'!$A$1:$F$45"}</definedName>
    <definedName name="aac">{"'PROFITABILITY'!$A$1:$F$45"}</definedName>
    <definedName name="aaffa" localSheetId="11" hidden="1">{#N/A,#N/A,FALSE,"COVER.XLS";#N/A,#N/A,FALSE,"RACT1.XLS";#N/A,#N/A,FALSE,"RACT2.XLS";#N/A,#N/A,FALSE,"ECCMP";#N/A,#N/A,FALSE,"WELDER.XLS"}</definedName>
    <definedName name="aaffa" localSheetId="10" hidden="1">{#N/A,#N/A,FALSE,"COVER.XLS";#N/A,#N/A,FALSE,"RACT1.XLS";#N/A,#N/A,FALSE,"RACT2.XLS";#N/A,#N/A,FALSE,"ECCMP";#N/A,#N/A,FALSE,"WELDER.XLS"}</definedName>
    <definedName name="aaffa">{#N/A,#N/A,FALSE,"COVER.XLS";#N/A,#N/A,FALSE,"RACT1.XLS";#N/A,#N/A,FALSE,"RACT2.XLS";#N/A,#N/A,FALSE,"ECCMP";#N/A,#N/A,FALSE,"WELDER.XLS"}</definedName>
    <definedName name="aamin" localSheetId="1">#REF!</definedName>
    <definedName name="aamin" localSheetId="0">#REF!</definedName>
    <definedName name="aamin" localSheetId="4">#REF!</definedName>
    <definedName name="aamin" localSheetId="11">#REF!</definedName>
    <definedName name="aamin">#REF!</definedName>
    <definedName name="aas" localSheetId="1">#REF!</definedName>
    <definedName name="aas" localSheetId="0">#REF!</definedName>
    <definedName name="aas" localSheetId="4">#REF!</definedName>
    <definedName name="aas" localSheetId="11">#REF!</definedName>
    <definedName name="aas">#REF!</definedName>
    <definedName name="aav" localSheetId="11" hidden="1">{"'PROFITABILITY'!$A$1:$F$45"}</definedName>
    <definedName name="aav" localSheetId="10" hidden="1">{"'PROFITABILITY'!$A$1:$F$45"}</definedName>
    <definedName name="aav">{"'PROFITABILITY'!$A$1:$F$45"}</definedName>
    <definedName name="aAXX1" localSheetId="1">#REF!</definedName>
    <definedName name="aAXX1" localSheetId="0">#REF!</definedName>
    <definedName name="aAXX1" localSheetId="4">#REF!</definedName>
    <definedName name="aAXX1">#REF!</definedName>
    <definedName name="ab" localSheetId="1">#REF!</definedName>
    <definedName name="ab" localSheetId="0">#REF!</definedName>
    <definedName name="ab" localSheetId="4">#REF!</definedName>
    <definedName name="ab">#REF!</definedName>
    <definedName name="aba" localSheetId="11" hidden="1">{#N/A,#N/A,FALSE,"COVER1.XLS ";#N/A,#N/A,FALSE,"RACT1.XLS";#N/A,#N/A,FALSE,"RACT2.XLS";#N/A,#N/A,FALSE,"ECCMP";#N/A,#N/A,FALSE,"WELDER.XLS"}</definedName>
    <definedName name="aba" localSheetId="10" hidden="1">{#N/A,#N/A,FALSE,"COVER1.XLS ";#N/A,#N/A,FALSE,"RACT1.XLS";#N/A,#N/A,FALSE,"RACT2.XLS";#N/A,#N/A,FALSE,"ECCMP";#N/A,#N/A,FALSE,"WELDER.XLS"}</definedName>
    <definedName name="aba">{#N/A,#N/A,FALSE,"COVER1.XLS ";#N/A,#N/A,FALSE,"RACT1.XLS";#N/A,#N/A,FALSE,"RACT2.XLS";#N/A,#N/A,FALSE,"ECCMP";#N/A,#N/A,FALSE,"WELDER.XLS"}</definedName>
    <definedName name="ABACUS" localSheetId="1">#REF!</definedName>
    <definedName name="ABACUS" localSheetId="0">#REF!</definedName>
    <definedName name="ABACUS" localSheetId="4">#REF!</definedName>
    <definedName name="ABACUS" localSheetId="11">#REF!</definedName>
    <definedName name="ABACUS">#REF!</definedName>
    <definedName name="abcd" localSheetId="1">#REF!</definedName>
    <definedName name="abcd" localSheetId="0">#REF!</definedName>
    <definedName name="abcd" localSheetId="4">#REF!</definedName>
    <definedName name="abcd" localSheetId="11">#REF!</definedName>
    <definedName name="abcd">#REF!</definedName>
    <definedName name="Ac" localSheetId="1">#REF!</definedName>
    <definedName name="Ac" localSheetId="0">#REF!</definedName>
    <definedName name="Ac" localSheetId="4">#REF!</definedName>
    <definedName name="Ac" localSheetId="11">#REF!</definedName>
    <definedName name="Ac">#REF!</definedName>
    <definedName name="Accessories" localSheetId="11">#REF!</definedName>
    <definedName name="Accessories">#REF!</definedName>
    <definedName name="ad" localSheetId="11">#REF!</definedName>
    <definedName name="ad">#REF!</definedName>
    <definedName name="ada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d" localSheetId="11" hidden="1">{#N/A,#N/A,FALSE,"COVER1.XLS ";#N/A,#N/A,FALSE,"RACT1.XLS";#N/A,#N/A,FALSE,"RACT2.XLS";#N/A,#N/A,FALSE,"ECCMP";#N/A,#N/A,FALSE,"WELDER.XLS"}</definedName>
    <definedName name="adadd" localSheetId="10" hidden="1">{#N/A,#N/A,FALSE,"COVER1.XLS ";#N/A,#N/A,FALSE,"RACT1.XLS";#N/A,#N/A,FALSE,"RACT2.XLS";#N/A,#N/A,FALSE,"ECCMP";#N/A,#N/A,FALSE,"WELDER.XLS"}</definedName>
    <definedName name="adadd">{#N/A,#N/A,FALSE,"COVER1.XLS ";#N/A,#N/A,FALSE,"RACT1.XLS";#N/A,#N/A,FALSE,"RACT2.XLS";#N/A,#N/A,FALSE,"ECCMP";#N/A,#N/A,FALSE,"WELDER.XLS"}</definedName>
    <definedName name="adasdas" localSheetId="11">#REF!</definedName>
    <definedName name="adasdas">#REF!</definedName>
    <definedName name="ADD" localSheetId="1">#REF!</definedName>
    <definedName name="ADD" localSheetId="0">#REF!</definedName>
    <definedName name="ADD" localSheetId="4">#REF!</definedName>
    <definedName name="ADD" localSheetId="11">#REF!</definedName>
    <definedName name="ADD">#REF!</definedName>
    <definedName name="addf" localSheetId="1">#REF!</definedName>
    <definedName name="addf" localSheetId="0">#REF!</definedName>
    <definedName name="addf" localSheetId="4">#REF!</definedName>
    <definedName name="addf" localSheetId="11">#REF!</definedName>
    <definedName name="addf">#REF!</definedName>
    <definedName name="adfa">#REF!</definedName>
    <definedName name="ADFFG" localSheetId="1">#REF!</definedName>
    <definedName name="ADFFG" localSheetId="0">#REF!</definedName>
    <definedName name="ADFFG" localSheetId="4">#REF!</definedName>
    <definedName name="ADFFG" localSheetId="11">#REF!</definedName>
    <definedName name="ADFFG">#REF!</definedName>
    <definedName name="ADFGFG" localSheetId="1">#REF!</definedName>
    <definedName name="ADFGFG" localSheetId="0">#REF!</definedName>
    <definedName name="ADFGFG" localSheetId="4">#REF!</definedName>
    <definedName name="ADFGFG" localSheetId="11">#REF!</definedName>
    <definedName name="ADFGFG">#REF!</definedName>
    <definedName name="ADFS" localSheetId="1">#REF!</definedName>
    <definedName name="ADFS" localSheetId="0">#REF!</definedName>
    <definedName name="ADFS" localSheetId="4">#REF!</definedName>
    <definedName name="ADFS" localSheetId="11">#REF!</definedName>
    <definedName name="ADFS">#REF!</definedName>
    <definedName name="ADG" localSheetId="1">#REF!</definedName>
    <definedName name="ADG" localSheetId="0">#REF!</definedName>
    <definedName name="ADG" localSheetId="4">#REF!</definedName>
    <definedName name="ADG">#REF!</definedName>
    <definedName name="ads" localSheetId="11" hidden="1">{#N/A,#N/A,FALSE,"COVER1.XLS ";#N/A,#N/A,FALSE,"RACT1.XLS";#N/A,#N/A,FALSE,"RACT2.XLS";#N/A,#N/A,FALSE,"ECCMP";#N/A,#N/A,FALSE,"WELDER.XLS"}</definedName>
    <definedName name="ads" localSheetId="10" hidden="1">{#N/A,#N/A,FALSE,"COVER1.XLS ";#N/A,#N/A,FALSE,"RACT1.XLS";#N/A,#N/A,FALSE,"RACT2.XLS";#N/A,#N/A,FALSE,"ECCMP";#N/A,#N/A,FALSE,"WELDER.XLS"}</definedName>
    <definedName name="ads">{#N/A,#N/A,FALSE,"COVER1.XLS ";#N/A,#N/A,FALSE,"RACT1.XLS";#N/A,#N/A,FALSE,"RACT2.XLS";#N/A,#N/A,FALSE,"ECCMP";#N/A,#N/A,FALSE,"WELDER.XLS"}</definedName>
    <definedName name="ADVIK" localSheetId="1">#REF!</definedName>
    <definedName name="ADVIK" localSheetId="0">#REF!</definedName>
    <definedName name="ADVIK" localSheetId="4">#REF!</definedName>
    <definedName name="ADVIK" localSheetId="11">#REF!</definedName>
    <definedName name="ADVIK">#REF!</definedName>
    <definedName name="adwea" localSheetId="11">#REF!</definedName>
    <definedName name="adwea">#REF!</definedName>
    <definedName name="AE" localSheetId="1">#REF!</definedName>
    <definedName name="AE" localSheetId="0">#REF!</definedName>
    <definedName name="AE" localSheetId="4">#REF!</definedName>
    <definedName name="AE" localSheetId="11">#REF!</definedName>
    <definedName name="AE">#REF!</definedName>
    <definedName name="AF" localSheetId="1">#REF!</definedName>
    <definedName name="AF" localSheetId="0">#REF!</definedName>
    <definedName name="AF" localSheetId="4">#REF!</definedName>
    <definedName name="AF" localSheetId="11">#REF!</definedName>
    <definedName name="AF">#REF!</definedName>
    <definedName name="AFF" localSheetId="1">#REF!</definedName>
    <definedName name="AFF" localSheetId="0">#REF!</definedName>
    <definedName name="AFF" localSheetId="4">#REF!</definedName>
    <definedName name="AFF" localSheetId="11">#REF!</definedName>
    <definedName name="AFF">#REF!</definedName>
    <definedName name="AG" localSheetId="1">#REF!</definedName>
    <definedName name="AG" localSheetId="0">#REF!</definedName>
    <definedName name="AG" localSheetId="4">#REF!</definedName>
    <definedName name="AG" localSheetId="11">#REF!</definedName>
    <definedName name="AG">#REF!</definedName>
    <definedName name="Ag___0" localSheetId="1">#REF!</definedName>
    <definedName name="Ag___0" localSheetId="0">#REF!</definedName>
    <definedName name="Ag___0" localSheetId="4">#REF!</definedName>
    <definedName name="Ag___0" localSheetId="11">#REF!</definedName>
    <definedName name="Ag___0">#REF!</definedName>
    <definedName name="Ag___13" localSheetId="1">#REF!</definedName>
    <definedName name="Ag___13" localSheetId="0">#REF!</definedName>
    <definedName name="Ag___13" localSheetId="4">#REF!</definedName>
    <definedName name="Ag___13" localSheetId="11">#REF!</definedName>
    <definedName name="Ag___13">#REF!</definedName>
    <definedName name="ah" localSheetId="1">#REF!</definedName>
    <definedName name="ah" localSheetId="0">#REF!</definedName>
    <definedName name="ah" localSheetId="4">#REF!</definedName>
    <definedName name="ah">#REF!</definedName>
    <definedName name="ajslk" localSheetId="11" hidden="1">{"form-D1",#N/A,FALSE,"FORM-D1";"form-D1_amt",#N/A,FALSE,"FORM-D1"}</definedName>
    <definedName name="ajslk" localSheetId="10" hidden="1">{"form-D1",#N/A,FALSE,"FORM-D1";"form-D1_amt",#N/A,FALSE,"FORM-D1"}</definedName>
    <definedName name="ajslk">{"form-D1",#N/A,FALSE,"FORM-D1";"form-D1_amt",#N/A,FALSE,"FORM-D1"}</definedName>
    <definedName name="AK" localSheetId="1">#REF!</definedName>
    <definedName name="AK" localSheetId="0">#REF!</definedName>
    <definedName name="AK" localSheetId="4">#REF!</definedName>
    <definedName name="AK" localSheetId="11">#REF!</definedName>
    <definedName name="AK">#REF!</definedName>
    <definedName name="aks" localSheetId="11">#REF!</definedName>
    <definedName name="aks">#REF!</definedName>
    <definedName name="aksj" localSheetId="11" hidden="1">{"form-D1",#N/A,FALSE,"FORM-D1";"form-D1_amt",#N/A,FALSE,"FORM-D1"}</definedName>
    <definedName name="aksj" localSheetId="10" hidden="1">{"form-D1",#N/A,FALSE,"FORM-D1";"form-D1_amt",#N/A,FALSE,"FORM-D1"}</definedName>
    <definedName name="aksj">{"form-D1",#N/A,FALSE,"FORM-D1";"form-D1_amt",#N/A,FALSE,"FORM-D1"}</definedName>
    <definedName name="AL" localSheetId="1">#REF!</definedName>
    <definedName name="AL" localSheetId="0">#REF!</definedName>
    <definedName name="AL" localSheetId="4">#REF!</definedName>
    <definedName name="AL" localSheetId="11">#REF!</definedName>
    <definedName name="AL">#REF!</definedName>
    <definedName name="ALarea" localSheetId="1">#REF!</definedName>
    <definedName name="ALarea" localSheetId="0">#REF!</definedName>
    <definedName name="ALarea" localSheetId="4">#REF!</definedName>
    <definedName name="ALarea" localSheetId="11">#REF!</definedName>
    <definedName name="ALarea">#REF!</definedName>
    <definedName name="alphaa" localSheetId="1">#REF!</definedName>
    <definedName name="alphaa" localSheetId="0">#REF!</definedName>
    <definedName name="alphaa" localSheetId="4">#REF!</definedName>
    <definedName name="alphaa" localSheetId="11">#REF!</definedName>
    <definedName name="alphaa">#REF!</definedName>
    <definedName name="alphab" localSheetId="1">#REF!</definedName>
    <definedName name="alphab" localSheetId="0">#REF!</definedName>
    <definedName name="alphab" localSheetId="4">#REF!</definedName>
    <definedName name="alphab" localSheetId="11">#REF!</definedName>
    <definedName name="alphab">#REF!</definedName>
    <definedName name="Alw" localSheetId="1">#REF!</definedName>
    <definedName name="Alw" localSheetId="0">#REF!</definedName>
    <definedName name="Alw" localSheetId="4">#REF!</definedName>
    <definedName name="Alw" localSheetId="11">#REF!</definedName>
    <definedName name="Alw">#REF!</definedName>
    <definedName name="amin" localSheetId="1">#REF!</definedName>
    <definedName name="amin" localSheetId="0">#REF!</definedName>
    <definedName name="amin" localSheetId="4">#REF!</definedName>
    <definedName name="amin" localSheetId="11">#REF!</definedName>
    <definedName name="amin">#REF!</definedName>
    <definedName name="amin1" localSheetId="1">#REF!</definedName>
    <definedName name="amin1" localSheetId="0">#REF!</definedName>
    <definedName name="amin1" localSheetId="4">#REF!</definedName>
    <definedName name="amin1" localSheetId="11">#REF!</definedName>
    <definedName name="amin1">#REF!</definedName>
    <definedName name="amin2" localSheetId="1">#REF!</definedName>
    <definedName name="amin2" localSheetId="0">#REF!</definedName>
    <definedName name="amin2" localSheetId="4">#REF!</definedName>
    <definedName name="amin2" localSheetId="11">#REF!</definedName>
    <definedName name="amin2">#REF!</definedName>
    <definedName name="anb">#REF!</definedName>
    <definedName name="Angeb">#REF!</definedName>
    <definedName name="ANNEX2" localSheetId="1">#REF!</definedName>
    <definedName name="ANNEX2" localSheetId="0">#REF!</definedName>
    <definedName name="ANNEX2" localSheetId="4">#REF!</definedName>
    <definedName name="ANNEX2">#REF!</definedName>
    <definedName name="ANNEX2A" localSheetId="1">#REF!</definedName>
    <definedName name="ANNEX2A" localSheetId="0">#REF!</definedName>
    <definedName name="ANNEX2A" localSheetId="4">#REF!</definedName>
    <definedName name="ANNEX2A">#REF!</definedName>
    <definedName name="ANNEX4" localSheetId="1">#REF!</definedName>
    <definedName name="ANNEX4" localSheetId="0">#REF!</definedName>
    <definedName name="ANNEX4" localSheetId="4">#REF!</definedName>
    <definedName name="ANNEX4">#REF!</definedName>
    <definedName name="annex4.1" localSheetId="1">#REF!</definedName>
    <definedName name="annex4.1" localSheetId="0">#REF!</definedName>
    <definedName name="annex4.1" localSheetId="4">#REF!</definedName>
    <definedName name="annex4.1">#REF!</definedName>
    <definedName name="annex4.1a" localSheetId="1">#REF!</definedName>
    <definedName name="annex4.1a" localSheetId="0">#REF!</definedName>
    <definedName name="annex4.1a" localSheetId="4">#REF!</definedName>
    <definedName name="annex4.1a">#REF!</definedName>
    <definedName name="ANNEX4A" localSheetId="1">#REF!</definedName>
    <definedName name="ANNEX4A" localSheetId="0">#REF!</definedName>
    <definedName name="ANNEX4A" localSheetId="4">#REF!</definedName>
    <definedName name="ANNEX4A">#REF!</definedName>
    <definedName name="ANNEXURE4A" localSheetId="11">#REF!</definedName>
    <definedName name="ANNEXURE4A">#REF!</definedName>
    <definedName name="anscount">1</definedName>
    <definedName name="Aone" localSheetId="1">#REF!</definedName>
    <definedName name="Aone" localSheetId="0">#REF!</definedName>
    <definedName name="Aone" localSheetId="4">#REF!</definedName>
    <definedName name="Aone" localSheetId="11">#REF!</definedName>
    <definedName name="Aone">#REF!</definedName>
    <definedName name="AP" localSheetId="1">#REF!</definedName>
    <definedName name="AP" localSheetId="0">#REF!</definedName>
    <definedName name="AP" localSheetId="4">#REF!</definedName>
    <definedName name="AP" localSheetId="11">#REF!</definedName>
    <definedName name="AP">#REF!</definedName>
    <definedName name="APRIL" localSheetId="11">#REF!</definedName>
    <definedName name="APRIL">#REF!</definedName>
    <definedName name="april_qty" localSheetId="1">#REF!</definedName>
    <definedName name="april_qty" localSheetId="0">#REF!</definedName>
    <definedName name="april_qty" localSheetId="4">#REF!</definedName>
    <definedName name="april_qty">#REF!</definedName>
    <definedName name="arctanz" localSheetId="1">#REF!</definedName>
    <definedName name="arctanz" localSheetId="0">#REF!</definedName>
    <definedName name="arctanz" localSheetId="4">#REF!</definedName>
    <definedName name="arctanz" localSheetId="11">#REF!</definedName>
    <definedName name="arctanz">#REF!</definedName>
    <definedName name="arwrw" localSheetId="11">#REF!</definedName>
    <definedName name="arwrw">#REF!</definedName>
    <definedName name="AS" localSheetId="1">#REF!</definedName>
    <definedName name="AS" localSheetId="0">#REF!</definedName>
    <definedName name="AS" localSheetId="4">#REF!</definedName>
    <definedName name="AS" localSheetId="11">#REF!</definedName>
    <definedName name="AS">#REF!</definedName>
    <definedName name="ASD" localSheetId="1">#REF!</definedName>
    <definedName name="ASD" localSheetId="0">#REF!</definedName>
    <definedName name="ASD" localSheetId="4">#REF!</definedName>
    <definedName name="ASD" localSheetId="11">#REF!</definedName>
    <definedName name="ASD">#REF!</definedName>
    <definedName name="ASDGSG" localSheetId="11" hidden="1">{"'PROFITABILITY'!$A$1:$F$45"}</definedName>
    <definedName name="ASDGSG" localSheetId="10" hidden="1">{"'PROFITABILITY'!$A$1:$F$45"}</definedName>
    <definedName name="ASDGSG">{"'PROFITABILITY'!$A$1:$F$45"}</definedName>
    <definedName name="ASF" localSheetId="1">#REF!</definedName>
    <definedName name="ASF" localSheetId="0">#REF!</definedName>
    <definedName name="ASF" localSheetId="4">#REF!</definedName>
    <definedName name="ASF">#REF!</definedName>
    <definedName name="asfaff">#REF!</definedName>
    <definedName name="ASFFFF" localSheetId="1">#REF!</definedName>
    <definedName name="ASFFFF" localSheetId="0">#REF!</definedName>
    <definedName name="ASFFFF" localSheetId="4">#REF!</definedName>
    <definedName name="ASFFFF">#REF!</definedName>
    <definedName name="asfsd">#REF!</definedName>
    <definedName name="ASHOKA" localSheetId="1">#REF!</definedName>
    <definedName name="ASHOKA" localSheetId="0">#REF!</definedName>
    <definedName name="ASHOKA" localSheetId="4">#REF!</definedName>
    <definedName name="ASHOKA">#REF!</definedName>
    <definedName name="asjk" localSheetId="11" hidden="1">{"form-D1",#N/A,FALSE,"FORM-D1";"form-D1_amt",#N/A,FALSE,"FORM-D1"}</definedName>
    <definedName name="asjk" localSheetId="10" hidden="1">{"form-D1",#N/A,FALSE,"FORM-D1";"form-D1_amt",#N/A,FALSE,"FORM-D1"}</definedName>
    <definedName name="asjk">{"form-D1",#N/A,FALSE,"FORM-D1";"form-D1_amt",#N/A,FALSE,"FORM-D1"}</definedName>
    <definedName name="ass" localSheetId="1">#REF!</definedName>
    <definedName name="ass" localSheetId="0">#REF!</definedName>
    <definedName name="ass" localSheetId="4">#REF!</definedName>
    <definedName name="ass" localSheetId="11">#REF!</definedName>
    <definedName name="ass">#REF!</definedName>
    <definedName name="assa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ets" localSheetId="1">#REF!</definedName>
    <definedName name="assets" localSheetId="0">#REF!</definedName>
    <definedName name="assets" localSheetId="4">#REF!</definedName>
    <definedName name="assets" localSheetId="11">#REF!</definedName>
    <definedName name="assets">#REF!</definedName>
    <definedName name="ASSSSSSSSSSSSSSSSSSSSSSSS" localSheetId="1">#REF!</definedName>
    <definedName name="ASSSSSSSSSSSSSSSSSSSSSSSS" localSheetId="0">#REF!</definedName>
    <definedName name="ASSSSSSSSSSSSSSSSSSSSSSSS" localSheetId="4">#REF!</definedName>
    <definedName name="ASSSSSSSSSSSSSSSSSSSSSSSS" localSheetId="11">#REF!</definedName>
    <definedName name="ASSSSSSSSSSSSSSSSSSSSSSSS">#REF!</definedName>
    <definedName name="asw" localSheetId="1">#REF!</definedName>
    <definedName name="asw" localSheetId="0">#REF!</definedName>
    <definedName name="asw" localSheetId="4">#REF!</definedName>
    <definedName name="asw" localSheetId="11">#REF!</definedName>
    <definedName name="asw">#REF!</definedName>
    <definedName name="At" localSheetId="1">#REF!</definedName>
    <definedName name="At" localSheetId="0">#REF!</definedName>
    <definedName name="At" localSheetId="4">#REF!</definedName>
    <definedName name="At">#REF!</definedName>
    <definedName name="Athree" localSheetId="1">#REF!</definedName>
    <definedName name="Athree" localSheetId="0">#REF!</definedName>
    <definedName name="Athree" localSheetId="4">#REF!</definedName>
    <definedName name="Athree">#REF!</definedName>
    <definedName name="Atwo" localSheetId="1">#REF!</definedName>
    <definedName name="Atwo" localSheetId="0">#REF!</definedName>
    <definedName name="Atwo" localSheetId="4">#REF!</definedName>
    <definedName name="Atwo">#REF!</definedName>
    <definedName name="AuxRelay" localSheetId="1">#REF!</definedName>
    <definedName name="AuxRelay" localSheetId="0">#REF!</definedName>
    <definedName name="AuxRelay" localSheetId="4">#REF!</definedName>
    <definedName name="AuxRelay">#REF!</definedName>
    <definedName name="AWW" localSheetId="1">#REF!</definedName>
    <definedName name="AWW" localSheetId="0">#REF!</definedName>
    <definedName name="AWW" localSheetId="4">#REF!</definedName>
    <definedName name="AWW">#REF!</definedName>
    <definedName name="B___0" localSheetId="1">#REF!</definedName>
    <definedName name="B___0" localSheetId="0">#REF!</definedName>
    <definedName name="B___0" localSheetId="4">#REF!</definedName>
    <definedName name="B___0" localSheetId="11">#REF!</definedName>
    <definedName name="B___0">#REF!</definedName>
    <definedName name="B___13" localSheetId="1">#REF!</definedName>
    <definedName name="B___13" localSheetId="0">#REF!</definedName>
    <definedName name="B___13" localSheetId="4">#REF!</definedName>
    <definedName name="B___13" localSheetId="11">#REF!</definedName>
    <definedName name="B___13">#REF!</definedName>
    <definedName name="b1x" localSheetId="1">#REF!</definedName>
    <definedName name="b1x" localSheetId="0">#REF!</definedName>
    <definedName name="b1x" localSheetId="4">#REF!</definedName>
    <definedName name="b1x" localSheetId="11">#REF!</definedName>
    <definedName name="b1x">#REF!</definedName>
    <definedName name="b1xx" localSheetId="1">#REF!</definedName>
    <definedName name="b1xx" localSheetId="0">#REF!</definedName>
    <definedName name="b1xx" localSheetId="4">#REF!</definedName>
    <definedName name="b1xx">#REF!</definedName>
    <definedName name="b2x" localSheetId="1">#REF!</definedName>
    <definedName name="b2x" localSheetId="0">#REF!</definedName>
    <definedName name="b2x" localSheetId="4">#REF!</definedName>
    <definedName name="b2x">#REF!</definedName>
    <definedName name="b2xx" localSheetId="1">#REF!</definedName>
    <definedName name="b2xx" localSheetId="0">#REF!</definedName>
    <definedName name="b2xx" localSheetId="4">#REF!</definedName>
    <definedName name="b2xx">#REF!</definedName>
    <definedName name="ba">#REF!</definedName>
    <definedName name="BB" localSheetId="11">#REF!</definedName>
    <definedName name="BB">#REF!</definedName>
    <definedName name="bbb" localSheetId="1">#REF!</definedName>
    <definedName name="bbb" localSheetId="0">#REF!</definedName>
    <definedName name="bbb" localSheetId="4">#REF!</definedName>
    <definedName name="bbb" localSheetId="11">#REF!</definedName>
    <definedName name="bbb">#REF!</definedName>
    <definedName name="bcs" localSheetId="1">#REF!</definedName>
    <definedName name="bcs" localSheetId="0">#REF!</definedName>
    <definedName name="bcs" localSheetId="4">#REF!</definedName>
    <definedName name="bcs" localSheetId="11">#REF!</definedName>
    <definedName name="bcs">#REF!</definedName>
    <definedName name="bct" localSheetId="1">#REF!</definedName>
    <definedName name="bct" localSheetId="0">#REF!</definedName>
    <definedName name="bct" localSheetId="4">#REF!</definedName>
    <definedName name="bct" localSheetId="11">#REF!</definedName>
    <definedName name="bct">#REF!</definedName>
    <definedName name="bcv" localSheetId="11" hidden="1">{"'PROFITABILITY'!$A$1:$F$45"}</definedName>
    <definedName name="bcv" localSheetId="10" hidden="1">{"'PROFITABILITY'!$A$1:$F$45"}</definedName>
    <definedName name="bcv">{"'PROFITABILITY'!$A$1:$F$45"}</definedName>
    <definedName name="BD1_Meas1" localSheetId="1">#REF!</definedName>
    <definedName name="BD1_Meas1" localSheetId="0">#REF!</definedName>
    <definedName name="BD1_Meas1" localSheetId="4">#REF!</definedName>
    <definedName name="BD1_Meas1">#REF!</definedName>
    <definedName name="BD1_Meas2" localSheetId="1">#REF!</definedName>
    <definedName name="BD1_Meas2" localSheetId="0">#REF!</definedName>
    <definedName name="BD1_Meas2" localSheetId="4">#REF!</definedName>
    <definedName name="BD1_Meas2">#REF!</definedName>
    <definedName name="BD1_Meas3" localSheetId="1">#REF!</definedName>
    <definedName name="BD1_Meas3" localSheetId="0">#REF!</definedName>
    <definedName name="BD1_Meas3" localSheetId="4">#REF!</definedName>
    <definedName name="BD1_Meas3">#REF!</definedName>
    <definedName name="BD1CE" localSheetId="1">#REF!</definedName>
    <definedName name="BD1CE" localSheetId="0">#REF!</definedName>
    <definedName name="BD1CE" localSheetId="4">#REF!</definedName>
    <definedName name="BD1CE">#REF!</definedName>
    <definedName name="BD1CL" localSheetId="1">#REF!</definedName>
    <definedName name="BD1CL" localSheetId="0">#REF!</definedName>
    <definedName name="BD1CL" localSheetId="4">#REF!</definedName>
    <definedName name="BD1CL">#REF!</definedName>
    <definedName name="BD1DeltaT" localSheetId="1">#REF!</definedName>
    <definedName name="BD1DeltaT" localSheetId="0">#REF!</definedName>
    <definedName name="BD1DeltaT" localSheetId="4">#REF!</definedName>
    <definedName name="BD1DeltaT">#REF!</definedName>
    <definedName name="BD1EconMeasure" localSheetId="1">#REF!</definedName>
    <definedName name="BD1EconMeasure" localSheetId="0">#REF!</definedName>
    <definedName name="BD1EconMeasure" localSheetId="4">#REF!</definedName>
    <definedName name="BD1EconMeasure">#REF!</definedName>
    <definedName name="BD1Event" localSheetId="1">#REF!</definedName>
    <definedName name="BD1Event" localSheetId="0">#REF!</definedName>
    <definedName name="BD1Event" localSheetId="4">#REF!</definedName>
    <definedName name="BD1Event">#REF!</definedName>
    <definedName name="BD1EventFeas" localSheetId="1">#REF!</definedName>
    <definedName name="BD1EventFeas" localSheetId="0">#REF!</definedName>
    <definedName name="BD1EventFeas" localSheetId="4">#REF!</definedName>
    <definedName name="BD1EventFeas">#REF!</definedName>
    <definedName name="BD1EventInd" localSheetId="1">#REF!</definedName>
    <definedName name="BD1EventInd" localSheetId="0">#REF!</definedName>
    <definedName name="BD1EventInd" localSheetId="4">#REF!</definedName>
    <definedName name="BD1EventInd">#REF!</definedName>
    <definedName name="BD1EventIndMax" localSheetId="1">#REF!</definedName>
    <definedName name="BD1EventIndMax" localSheetId="0">#REF!</definedName>
    <definedName name="BD1EventIndMax" localSheetId="4">#REF!</definedName>
    <definedName name="BD1EventIndMax">#REF!</definedName>
    <definedName name="BD1EventLogic" localSheetId="1">#REF!</definedName>
    <definedName name="BD1EventLogic" localSheetId="0">#REF!</definedName>
    <definedName name="BD1EventLogic" localSheetId="4">#REF!</definedName>
    <definedName name="BD1EventLogic">#REF!</definedName>
    <definedName name="BD1EventMax" localSheetId="1">#REF!</definedName>
    <definedName name="BD1EventMax" localSheetId="0">#REF!</definedName>
    <definedName name="BD1EventMax" localSheetId="4">#REF!</definedName>
    <definedName name="BD1EventMax">#REF!</definedName>
    <definedName name="BD1EventMin" localSheetId="1">#REF!</definedName>
    <definedName name="BD1EventMin" localSheetId="0">#REF!</definedName>
    <definedName name="BD1EventMin" localSheetId="4">#REF!</definedName>
    <definedName name="BD1EventMin">#REF!</definedName>
    <definedName name="BD1EventNames" localSheetId="1">#REF!</definedName>
    <definedName name="BD1EventNames" localSheetId="0">#REF!</definedName>
    <definedName name="BD1EventNames" localSheetId="4">#REF!</definedName>
    <definedName name="BD1EventNames">#REF!</definedName>
    <definedName name="BD1EventStep" localSheetId="1">#REF!</definedName>
    <definedName name="BD1EventStep" localSheetId="0">#REF!</definedName>
    <definedName name="BD1EventStep" localSheetId="4">#REF!</definedName>
    <definedName name="BD1EventStep">#REF!</definedName>
    <definedName name="BD1HC" localSheetId="1">#REF!</definedName>
    <definedName name="BD1HC" localSheetId="0">#REF!</definedName>
    <definedName name="BD1HC" localSheetId="4">#REF!</definedName>
    <definedName name="BD1HC">#REF!</definedName>
    <definedName name="BD1Lambda" localSheetId="1">#REF!</definedName>
    <definedName name="BD1Lambda" localSheetId="0">#REF!</definedName>
    <definedName name="BD1Lambda" localSheetId="4">#REF!</definedName>
    <definedName name="BD1Lambda">#REF!</definedName>
    <definedName name="BD1Max_System" localSheetId="1">#REF!</definedName>
    <definedName name="BD1Max_System" localSheetId="0">#REF!</definedName>
    <definedName name="BD1Max_System" localSheetId="4">#REF!</definedName>
    <definedName name="BD1Max_System">#REF!</definedName>
    <definedName name="BD1Model_Params" localSheetId="1">#REF!</definedName>
    <definedName name="BD1Model_Params" localSheetId="0">#REF!</definedName>
    <definedName name="BD1Model_Params" localSheetId="4">#REF!</definedName>
    <definedName name="BD1Model_Params">#REF!</definedName>
    <definedName name="BD1Mu" localSheetId="1">#REF!</definedName>
    <definedName name="BD1Mu" localSheetId="0">#REF!</definedName>
    <definedName name="BD1Mu" localSheetId="4">#REF!</definedName>
    <definedName name="BD1Mu">#REF!</definedName>
    <definedName name="BD1Next1" localSheetId="1">#REF!</definedName>
    <definedName name="BD1Next1" localSheetId="0">#REF!</definedName>
    <definedName name="BD1Next1" localSheetId="4">#REF!</definedName>
    <definedName name="BD1Next1">#REF!</definedName>
    <definedName name="BD1Next2" localSheetId="1">#REF!</definedName>
    <definedName name="BD1Next2" localSheetId="0">#REF!</definedName>
    <definedName name="BD1Next2" localSheetId="4">#REF!</definedName>
    <definedName name="BD1Next2">#REF!</definedName>
    <definedName name="BD1P_enter" localSheetId="1">#REF!</definedName>
    <definedName name="BD1P_enter" localSheetId="0">#REF!</definedName>
    <definedName name="BD1P_enter" localSheetId="4">#REF!</definedName>
    <definedName name="BD1P_enter">#REF!</definedName>
    <definedName name="BD1P_leave" localSheetId="1">#REF!</definedName>
    <definedName name="BD1P_leave" localSheetId="0">#REF!</definedName>
    <definedName name="BD1P_leave" localSheetId="4">#REF!</definedName>
    <definedName name="BD1P_leave">#REF!</definedName>
    <definedName name="BD1ParamStore" localSheetId="1">#REF!</definedName>
    <definedName name="BD1ParamStore" localSheetId="0">#REF!</definedName>
    <definedName name="BD1ParamStore" localSheetId="4">#REF!</definedName>
    <definedName name="BD1ParamStore">#REF!</definedName>
    <definedName name="BD1State" localSheetId="1">#REF!</definedName>
    <definedName name="BD1State" localSheetId="0">#REF!</definedName>
    <definedName name="BD1State" localSheetId="4">#REF!</definedName>
    <definedName name="BD1State">#REF!</definedName>
    <definedName name="BD1StateCost" localSheetId="1">#REF!</definedName>
    <definedName name="BD1StateCost" localSheetId="0">#REF!</definedName>
    <definedName name="BD1StateCost" localSheetId="4">#REF!</definedName>
    <definedName name="BD1StateCost">#REF!</definedName>
    <definedName name="BD1StateFeas" localSheetId="1">#REF!</definedName>
    <definedName name="BD1StateFeas" localSheetId="0">#REF!</definedName>
    <definedName name="BD1StateFeas" localSheetId="4">#REF!</definedName>
    <definedName name="BD1StateFeas">#REF!</definedName>
    <definedName name="BD1StateInd" localSheetId="1">#REF!</definedName>
    <definedName name="BD1StateInd" localSheetId="0">#REF!</definedName>
    <definedName name="BD1StateInd" localSheetId="4">#REF!</definedName>
    <definedName name="BD1StateInd">#REF!</definedName>
    <definedName name="BD1StateIndMax" localSheetId="1">#REF!</definedName>
    <definedName name="BD1StateIndMax" localSheetId="0">#REF!</definedName>
    <definedName name="BD1StateIndMax" localSheetId="4">#REF!</definedName>
    <definedName name="BD1StateIndMax">#REF!</definedName>
    <definedName name="BD1StateList" localSheetId="1">#REF!</definedName>
    <definedName name="BD1StateList" localSheetId="0">#REF!</definedName>
    <definedName name="BD1StateList" localSheetId="4">#REF!</definedName>
    <definedName name="BD1StateList">#REF!</definedName>
    <definedName name="BD1StateLogic" localSheetId="1">#REF!</definedName>
    <definedName name="BD1StateLogic" localSheetId="0">#REF!</definedName>
    <definedName name="BD1StateLogic" localSheetId="4">#REF!</definedName>
    <definedName name="BD1StateLogic">#REF!</definedName>
    <definedName name="BD1StateMax" localSheetId="1">#REF!</definedName>
    <definedName name="BD1StateMax" localSheetId="0">#REF!</definedName>
    <definedName name="BD1StateMax" localSheetId="4">#REF!</definedName>
    <definedName name="BD1StateMax">#REF!</definedName>
    <definedName name="BD1StateMin" localSheetId="1">#REF!</definedName>
    <definedName name="BD1StateMin" localSheetId="0">#REF!</definedName>
    <definedName name="BD1StateMin" localSheetId="4">#REF!</definedName>
    <definedName name="BD1StateMin">#REF!</definedName>
    <definedName name="BD1StateNames" localSheetId="1">#REF!</definedName>
    <definedName name="BD1StateNames" localSheetId="0">#REF!</definedName>
    <definedName name="BD1StateNames" localSheetId="4">#REF!</definedName>
    <definedName name="BD1StateNames">#REF!</definedName>
    <definedName name="BD1StateStep" localSheetId="1">#REF!</definedName>
    <definedName name="BD1StateStep" localSheetId="0">#REF!</definedName>
    <definedName name="BD1StateStep" localSheetId="4">#REF!</definedName>
    <definedName name="BD1StateStep">#REF!</definedName>
    <definedName name="BD1TimeMeasure" localSheetId="1">#REF!</definedName>
    <definedName name="BD1TimeMeasure" localSheetId="0">#REF!</definedName>
    <definedName name="BD1TimeMeasure" localSheetId="4">#REF!</definedName>
    <definedName name="BD1TimeMeasure">#REF!</definedName>
    <definedName name="BD1TransCost1" localSheetId="1">#REF!</definedName>
    <definedName name="BD1TransCost1" localSheetId="0">#REF!</definedName>
    <definedName name="BD1TransCost1" localSheetId="4">#REF!</definedName>
    <definedName name="BD1TransCost1">#REF!</definedName>
    <definedName name="BD1TransCost2" localSheetId="1">#REF!</definedName>
    <definedName name="BD1TransCost2" localSheetId="0">#REF!</definedName>
    <definedName name="BD1TransCost2" localSheetId="4">#REF!</definedName>
    <definedName name="BD1TransCost2">#REF!</definedName>
    <definedName name="BD1TransEvent1" localSheetId="1">#REF!</definedName>
    <definedName name="BD1TransEvent1" localSheetId="0">#REF!</definedName>
    <definedName name="BD1TransEvent1" localSheetId="4">#REF!</definedName>
    <definedName name="BD1TransEvent1">#REF!</definedName>
    <definedName name="BD1TransEvent2" localSheetId="1">#REF!</definedName>
    <definedName name="BD1TransEvent2" localSheetId="0">#REF!</definedName>
    <definedName name="BD1TransEvent2" localSheetId="4">#REF!</definedName>
    <definedName name="BD1TransEvent2">#REF!</definedName>
    <definedName name="BD1TransEventLogic1" localSheetId="1">#REF!</definedName>
    <definedName name="BD1TransEventLogic1" localSheetId="0">#REF!</definedName>
    <definedName name="BD1TransEventLogic1" localSheetId="4">#REF!</definedName>
    <definedName name="BD1TransEventLogic1">#REF!</definedName>
    <definedName name="BD1TransEventLogic2" localSheetId="1">#REF!</definedName>
    <definedName name="BD1TransEventLogic2" localSheetId="0">#REF!</definedName>
    <definedName name="BD1TransEventLogic2" localSheetId="4">#REF!</definedName>
    <definedName name="BD1TransEventLogic2">#REF!</definedName>
    <definedName name="BD1TransInd1" localSheetId="1">#REF!</definedName>
    <definedName name="BD1TransInd1" localSheetId="0">#REF!</definedName>
    <definedName name="BD1TransInd1" localSheetId="4">#REF!</definedName>
    <definedName name="BD1TransInd1">#REF!</definedName>
    <definedName name="BD1TransInd2" localSheetId="1">#REF!</definedName>
    <definedName name="BD1TransInd2" localSheetId="0">#REF!</definedName>
    <definedName name="BD1TransInd2" localSheetId="4">#REF!</definedName>
    <definedName name="BD1TransInd2">#REF!</definedName>
    <definedName name="BD1TransLogic1" localSheetId="1">#REF!</definedName>
    <definedName name="BD1TransLogic1" localSheetId="0">#REF!</definedName>
    <definedName name="BD1TransLogic1" localSheetId="4">#REF!</definedName>
    <definedName name="BD1TransLogic1">#REF!</definedName>
    <definedName name="BD1TransLogic2" localSheetId="1">#REF!</definedName>
    <definedName name="BD1TransLogic2" localSheetId="0">#REF!</definedName>
    <definedName name="BD1TransLogic2" localSheetId="4">#REF!</definedName>
    <definedName name="BD1TransLogic2">#REF!</definedName>
    <definedName name="BD1TransName1" localSheetId="1">#REF!</definedName>
    <definedName name="BD1TransName1" localSheetId="0">#REF!</definedName>
    <definedName name="BD1TransName1" localSheetId="4">#REF!</definedName>
    <definedName name="BD1TransName1">#REF!</definedName>
    <definedName name="BD1TransName2" localSheetId="1">#REF!</definedName>
    <definedName name="BD1TransName2" localSheetId="0">#REF!</definedName>
    <definedName name="BD1TransName2" localSheetId="4">#REF!</definedName>
    <definedName name="BD1TransName2">#REF!</definedName>
    <definedName name="BD1TransNextState1" localSheetId="1">#REF!</definedName>
    <definedName name="BD1TransNextState1" localSheetId="0">#REF!</definedName>
    <definedName name="BD1TransNextState1" localSheetId="4">#REF!</definedName>
    <definedName name="BD1TransNextState1">#REF!</definedName>
    <definedName name="BD1TransNextState2" localSheetId="1">#REF!</definedName>
    <definedName name="BD1TransNextState2" localSheetId="0">#REF!</definedName>
    <definedName name="BD1TransNextState2" localSheetId="4">#REF!</definedName>
    <definedName name="BD1TransNextState2">#REF!</definedName>
    <definedName name="BD1TransProb1" localSheetId="1">#REF!</definedName>
    <definedName name="BD1TransProb1" localSheetId="0">#REF!</definedName>
    <definedName name="BD1TransProb1" localSheetId="4">#REF!</definedName>
    <definedName name="BD1TransProb1">#REF!</definedName>
    <definedName name="BD1TransProb2" localSheetId="1">#REF!</definedName>
    <definedName name="BD1TransProb2" localSheetId="0">#REF!</definedName>
    <definedName name="BD1TransProb2" localSheetId="4">#REF!</definedName>
    <definedName name="BD1TransProb2">#REF!</definedName>
    <definedName name="BD1TransState1" localSheetId="1">#REF!</definedName>
    <definedName name="BD1TransState1" localSheetId="0">#REF!</definedName>
    <definedName name="BD1TransState1" localSheetId="4">#REF!</definedName>
    <definedName name="BD1TransState1">#REF!</definedName>
    <definedName name="BD1TransState2" localSheetId="1">#REF!</definedName>
    <definedName name="BD1TransState2" localSheetId="0">#REF!</definedName>
    <definedName name="BD1TransState2" localSheetId="4">#REF!</definedName>
    <definedName name="BD1TransState2">#REF!</definedName>
    <definedName name="BD1TransStateLogic1" localSheetId="1">#REF!</definedName>
    <definedName name="BD1TransStateLogic1" localSheetId="0">#REF!</definedName>
    <definedName name="BD1TransStateLogic1" localSheetId="4">#REF!</definedName>
    <definedName name="BD1TransStateLogic1">#REF!</definedName>
    <definedName name="BD1TransStateLogic2" localSheetId="1">#REF!</definedName>
    <definedName name="BD1TransStateLogic2" localSheetId="0">#REF!</definedName>
    <definedName name="BD1TransStateLogic2" localSheetId="4">#REF!</definedName>
    <definedName name="BD1TransStateLogic2">#REF!</definedName>
    <definedName name="Beg_Bal" localSheetId="1">#REF!</definedName>
    <definedName name="Beg_Bal" localSheetId="0">#REF!</definedName>
    <definedName name="Beg_Bal" localSheetId="4">#REF!</definedName>
    <definedName name="Beg_Bal">#REF!</definedName>
    <definedName name="BEND" localSheetId="1">#REF!</definedName>
    <definedName name="BEND" localSheetId="0">#REF!</definedName>
    <definedName name="BEND" localSheetId="4">#REF!</definedName>
    <definedName name="BEND">#REF!</definedName>
    <definedName name="Benefits">#REF!</definedName>
    <definedName name="BENJ" localSheetId="1">#REF!</definedName>
    <definedName name="BENJ" localSheetId="0">#REF!</definedName>
    <definedName name="BENJ" localSheetId="4">#REF!</definedName>
    <definedName name="BENJ">#REF!</definedName>
    <definedName name="beta" localSheetId="1">#REF!</definedName>
    <definedName name="beta" localSheetId="0">#REF!</definedName>
    <definedName name="beta" localSheetId="4">#REF!</definedName>
    <definedName name="beta">#REF!</definedName>
    <definedName name="BID_CURR" localSheetId="11">#REF!</definedName>
    <definedName name="BID_CURR">#REF!</definedName>
    <definedName name="BOISAR_BAYWISE" localSheetId="1">#REF!</definedName>
    <definedName name="BOISAR_BAYWISE" localSheetId="0">#REF!</definedName>
    <definedName name="BOISAR_BAYWISE" localSheetId="4">#REF!</definedName>
    <definedName name="BOISAR_BAYWISE" localSheetId="11">#REF!</definedName>
    <definedName name="BOISAR_BAYWISE">#REF!</definedName>
    <definedName name="bol" localSheetId="1">#REF!</definedName>
    <definedName name="bol" localSheetId="0">#REF!</definedName>
    <definedName name="bol" localSheetId="4">#REF!</definedName>
    <definedName name="bol" localSheetId="11">#REF!</definedName>
    <definedName name="bol">#REF!</definedName>
    <definedName name="bom" localSheetId="1">#REF!</definedName>
    <definedName name="bom" localSheetId="0">#REF!</definedName>
    <definedName name="bom" localSheetId="4">#REF!</definedName>
    <definedName name="bom">#REF!</definedName>
    <definedName name="BOM_PR">#REF!</definedName>
    <definedName name="BOM_PR_TOT">#REF!</definedName>
    <definedName name="boml" localSheetId="1">#REF!</definedName>
    <definedName name="boml" localSheetId="0">#REF!</definedName>
    <definedName name="boml" localSheetId="4">#REF!</definedName>
    <definedName name="boml">#REF!</definedName>
    <definedName name="boq_type" localSheetId="11">#REF!</definedName>
    <definedName name="boq_type">#REF!</definedName>
    <definedName name="botl" localSheetId="1">#REF!</definedName>
    <definedName name="botl" localSheetId="0">#REF!</definedName>
    <definedName name="botl" localSheetId="4">#REF!</definedName>
    <definedName name="botl" localSheetId="11">#REF!</definedName>
    <definedName name="botl">#REF!</definedName>
    <definedName name="botn" localSheetId="1">#REF!</definedName>
    <definedName name="botn" localSheetId="0">#REF!</definedName>
    <definedName name="botn" localSheetId="4">#REF!</definedName>
    <definedName name="botn" localSheetId="11">#REF!</definedName>
    <definedName name="botn">#REF!</definedName>
    <definedName name="bps" localSheetId="1">#REF!</definedName>
    <definedName name="bps" localSheetId="0">#REF!</definedName>
    <definedName name="bps" localSheetId="4">#REF!</definedName>
    <definedName name="bps" localSheetId="11">#REF!</definedName>
    <definedName name="bps">#REF!</definedName>
    <definedName name="Breadth_of_base_slab" localSheetId="1">#REF!</definedName>
    <definedName name="Breadth_of_base_slab" localSheetId="0">#REF!</definedName>
    <definedName name="Breadth_of_base_slab" localSheetId="4">#REF!</definedName>
    <definedName name="Breadth_of_base_slab" localSheetId="11">#REF!</definedName>
    <definedName name="Breadth_of_base_slab">#REF!</definedName>
    <definedName name="Breadth_of_cover_slab" localSheetId="1">#REF!</definedName>
    <definedName name="Breadth_of_cover_slab" localSheetId="0">#REF!</definedName>
    <definedName name="Breadth_of_cover_slab" localSheetId="4">#REF!</definedName>
    <definedName name="Breadth_of_cover_slab" localSheetId="11">#REF!</definedName>
    <definedName name="Breadth_of_cover_slab">#REF!</definedName>
    <definedName name="Breadth_of_PCC_Layer" localSheetId="1">#REF!</definedName>
    <definedName name="Breadth_of_PCC_Layer" localSheetId="0">#REF!</definedName>
    <definedName name="Breadth_of_PCC_Layer" localSheetId="4">#REF!</definedName>
    <definedName name="Breadth_of_PCC_Layer" localSheetId="11">#REF!</definedName>
    <definedName name="Breadth_of_PCC_Layer">#REF!</definedName>
    <definedName name="Breadth_of_the_section" localSheetId="1">#REF!</definedName>
    <definedName name="Breadth_of_the_section" localSheetId="0">#REF!</definedName>
    <definedName name="Breadth_of_the_section" localSheetId="4">#REF!</definedName>
    <definedName name="Breadth_of_the_section">#REF!</definedName>
    <definedName name="Breaks" localSheetId="1">#REF!</definedName>
    <definedName name="Breaks" localSheetId="0">#REF!</definedName>
    <definedName name="Breaks" localSheetId="4">#REF!</definedName>
    <definedName name="Breaks">#REF!</definedName>
    <definedName name="BRICK" localSheetId="1">#REF!</definedName>
    <definedName name="BRICK" localSheetId="0">#REF!</definedName>
    <definedName name="BRICK" localSheetId="4">#REF!</definedName>
    <definedName name="BRICK">#REF!</definedName>
    <definedName name="bs" localSheetId="1">#REF!</definedName>
    <definedName name="bs" localSheetId="0">#REF!</definedName>
    <definedName name="bs" localSheetId="4">#REF!</definedName>
    <definedName name="bs">#REF!</definedName>
    <definedName name="bua" localSheetId="1">#REF!</definedName>
    <definedName name="bua" localSheetId="0">#REF!</definedName>
    <definedName name="bua" localSheetId="4">#REF!</definedName>
    <definedName name="bua" localSheetId="11">#REF!</definedName>
    <definedName name="bua">#REF!</definedName>
    <definedName name="BUDDHA" localSheetId="1">#REF!</definedName>
    <definedName name="BUDDHA" localSheetId="0">#REF!</definedName>
    <definedName name="BUDDHA" localSheetId="4">#REF!</definedName>
    <definedName name="BUDDHA" localSheetId="11">#REF!</definedName>
    <definedName name="BUDDHA">#REF!</definedName>
    <definedName name="building___0" localSheetId="1">#REF!</definedName>
    <definedName name="building___0" localSheetId="0">#REF!</definedName>
    <definedName name="building___0" localSheetId="4">#REF!</definedName>
    <definedName name="building___0" localSheetId="11">#REF!</definedName>
    <definedName name="building___0">#REF!</definedName>
    <definedName name="building___11" localSheetId="1">#REF!</definedName>
    <definedName name="building___11" localSheetId="0">#REF!</definedName>
    <definedName name="building___11" localSheetId="4">#REF!</definedName>
    <definedName name="building___11" localSheetId="11">#REF!</definedName>
    <definedName name="building___11">#REF!</definedName>
    <definedName name="building___12" localSheetId="1">#REF!</definedName>
    <definedName name="building___12" localSheetId="0">#REF!</definedName>
    <definedName name="building___12" localSheetId="4">#REF!</definedName>
    <definedName name="building___12" localSheetId="11">#REF!</definedName>
    <definedName name="building___12">#REF!</definedName>
    <definedName name="BuiltIn_Print_Area">#REF!</definedName>
    <definedName name="BuiltIn_Print_Area___0" localSheetId="1">#REF!</definedName>
    <definedName name="BuiltIn_Print_Area___0" localSheetId="0">#REF!</definedName>
    <definedName name="BuiltIn_Print_Area___0" localSheetId="4">#REF!</definedName>
    <definedName name="BuiltIn_Print_Area___0">#REF!</definedName>
    <definedName name="BuiltIn_Print_Titles">#REF!</definedName>
    <definedName name="BuiltIn_Print_Titles___0" localSheetId="11">#N/A</definedName>
    <definedName name="BuiltIn_Print_Titles___0" localSheetId="10">#N/A</definedName>
    <definedName name="BuiltIn_Print_Titles___0">#REF!</definedName>
    <definedName name="BuiltIn_Print_Titles___0___0" localSheetId="11">#REF!</definedName>
    <definedName name="BuiltIn_Print_Titles___0___0">#REF!</definedName>
    <definedName name="BuiltIn_Print_Titles___0___0___0" localSheetId="11">#REF!</definedName>
    <definedName name="BuiltIn_Print_Titles___0___0___0">#REF!</definedName>
    <definedName name="BVJIOJ8FYEMF8" localSheetId="11">#REF!</definedName>
    <definedName name="BVJIOJ8FYEMF8">#REF!</definedName>
    <definedName name="Bx" localSheetId="1">#REF!</definedName>
    <definedName name="Bx" localSheetId="0">#REF!</definedName>
    <definedName name="Bx" localSheetId="4">#REF!</definedName>
    <definedName name="Bx">#REF!</definedName>
    <definedName name="Bx___0" localSheetId="1">#REF!</definedName>
    <definedName name="Bx___0" localSheetId="0">#REF!</definedName>
    <definedName name="Bx___0" localSheetId="4">#REF!</definedName>
    <definedName name="Bx___0">#REF!</definedName>
    <definedName name="Bx___13" localSheetId="1">#REF!</definedName>
    <definedName name="Bx___13" localSheetId="0">#REF!</definedName>
    <definedName name="Bx___13" localSheetId="4">#REF!</definedName>
    <definedName name="Bx___13">#REF!</definedName>
    <definedName name="Bxx" localSheetId="1">#REF!</definedName>
    <definedName name="Bxx" localSheetId="0">#REF!</definedName>
    <definedName name="Bxx" localSheetId="4">#REF!</definedName>
    <definedName name="Bxx">#REF!</definedName>
    <definedName name="C_" localSheetId="1">#REF!</definedName>
    <definedName name="C_" localSheetId="0">#REF!</definedName>
    <definedName name="C_" localSheetId="4">#REF!</definedName>
    <definedName name="C_">#REF!</definedName>
    <definedName name="CA" localSheetId="1">#REF!</definedName>
    <definedName name="CA" localSheetId="0">#REF!</definedName>
    <definedName name="CA" localSheetId="4">#REF!</definedName>
    <definedName name="CA" localSheetId="11">#REF!</definedName>
    <definedName name="CA">#REF!</definedName>
    <definedName name="caa" localSheetId="11" hidden="1">{"'PROFITABILITY'!$A$1:$F$45"}</definedName>
    <definedName name="caa" localSheetId="10" hidden="1">{"'PROFITABILITY'!$A$1:$F$45"}</definedName>
    <definedName name="caa">{"'PROFITABILITY'!$A$1:$F$45"}</definedName>
    <definedName name="Cable" localSheetId="1">#REF!</definedName>
    <definedName name="Cable" localSheetId="0">#REF!</definedName>
    <definedName name="Cable" localSheetId="4">#REF!</definedName>
    <definedName name="Cable">#REF!</definedName>
    <definedName name="CAPAPR" localSheetId="11">#REF!</definedName>
    <definedName name="CAPAPR">#REF!</definedName>
    <definedName name="CAPAUG" localSheetId="11">#REF!</definedName>
    <definedName name="CAPAUG">#REF!</definedName>
    <definedName name="CAPDEC" localSheetId="11">#REF!</definedName>
    <definedName name="CAPDEC">#REF!</definedName>
    <definedName name="CAPFEB" localSheetId="11">#REF!</definedName>
    <definedName name="CAPFEB">#REF!</definedName>
    <definedName name="CAPJAN" localSheetId="11">#REF!</definedName>
    <definedName name="CAPJAN">#REF!</definedName>
    <definedName name="CAPJUL" localSheetId="11">#REF!</definedName>
    <definedName name="CAPJUL">#REF!</definedName>
    <definedName name="CAPJUN" localSheetId="11">#REF!</definedName>
    <definedName name="CAPJUN">#REF!</definedName>
    <definedName name="CAPMAR" localSheetId="11">#REF!</definedName>
    <definedName name="CAPMAR">#REF!</definedName>
    <definedName name="CAPMAY" localSheetId="11">#REF!</definedName>
    <definedName name="CAPMAY">#REF!</definedName>
    <definedName name="CAPNOV" localSheetId="11">#REF!</definedName>
    <definedName name="CAPNOV">#REF!</definedName>
    <definedName name="CAPOCT" localSheetId="11">#REF!</definedName>
    <definedName name="CAPOCT">#REF!</definedName>
    <definedName name="CAPSEP" localSheetId="11">#REF!</definedName>
    <definedName name="CAPSEP">#REF!</definedName>
    <definedName name="carpet" localSheetId="1">#REF!</definedName>
    <definedName name="carpet" localSheetId="0">#REF!</definedName>
    <definedName name="carpet" localSheetId="4">#REF!</definedName>
    <definedName name="carpet">#REF!</definedName>
    <definedName name="carpet___0" localSheetId="1">#REF!</definedName>
    <definedName name="carpet___0" localSheetId="0">#REF!</definedName>
    <definedName name="carpet___0" localSheetId="4">#REF!</definedName>
    <definedName name="carpet___0">#REF!</definedName>
    <definedName name="carpet___11" localSheetId="1">#REF!</definedName>
    <definedName name="carpet___11" localSheetId="0">#REF!</definedName>
    <definedName name="carpet___11" localSheetId="4">#REF!</definedName>
    <definedName name="carpet___11">#REF!</definedName>
    <definedName name="carpet___12" localSheetId="1">#REF!</definedName>
    <definedName name="carpet___12" localSheetId="0">#REF!</definedName>
    <definedName name="carpet___12" localSheetId="4">#REF!</definedName>
    <definedName name="carpet___12">#REF!</definedName>
    <definedName name="CARPET1" localSheetId="1">#REF!</definedName>
    <definedName name="CARPET1" localSheetId="0">#REF!</definedName>
    <definedName name="CARPET1" localSheetId="4">#REF!</definedName>
    <definedName name="CARPET1">#REF!</definedName>
    <definedName name="cash" localSheetId="11" hidden="1">{"'Sheet1'!$A$4386:$N$4591"}</definedName>
    <definedName name="cash" localSheetId="10" hidden="1">{"'Sheet1'!$A$4386:$N$4591"}</definedName>
    <definedName name="cash">{"'Sheet1'!$A$4386:$N$4591"}</definedName>
    <definedName name="CB" localSheetId="1">#REF!</definedName>
    <definedName name="CB" localSheetId="0">#REF!</definedName>
    <definedName name="CB" localSheetId="4">#REF!</definedName>
    <definedName name="CB">#REF!</definedName>
    <definedName name="cc" localSheetId="1">#REF!</definedName>
    <definedName name="cc" localSheetId="0">#REF!</definedName>
    <definedName name="cc" localSheetId="4">#REF!</definedName>
    <definedName name="cc">#REF!</definedName>
    <definedName name="CCB" localSheetId="1">#REF!</definedName>
    <definedName name="CCB" localSheetId="0">#REF!</definedName>
    <definedName name="CCB" localSheetId="4">#REF!</definedName>
    <definedName name="CCB">#REF!</definedName>
    <definedName name="CCC" localSheetId="1">#REF!</definedName>
    <definedName name="CCC" localSheetId="0">#REF!</definedName>
    <definedName name="CCC" localSheetId="4">#REF!</definedName>
    <definedName name="CCC">#REF!</definedName>
    <definedName name="CE" localSheetId="11">#REF!</definedName>
    <definedName name="CE">#REF!</definedName>
    <definedName name="cee" localSheetId="1">#REF!</definedName>
    <definedName name="cee" localSheetId="0">#REF!</definedName>
    <definedName name="cee" localSheetId="4">#REF!</definedName>
    <definedName name="cee" localSheetId="11">#REF!</definedName>
    <definedName name="cee">#REF!</definedName>
    <definedName name="cem">190</definedName>
    <definedName name="Cf" localSheetId="1">#REF!</definedName>
    <definedName name="Cf" localSheetId="0">#REF!</definedName>
    <definedName name="Cf" localSheetId="4">#REF!</definedName>
    <definedName name="Cf" localSheetId="11">#REF!</definedName>
    <definedName name="Cf">#REF!</definedName>
    <definedName name="cfre" localSheetId="11">#REF!</definedName>
    <definedName name="cfre">#REF!</definedName>
    <definedName name="chandra" localSheetId="1">#REF!</definedName>
    <definedName name="chandra" localSheetId="0">#REF!</definedName>
    <definedName name="chandra" localSheetId="4">#REF!</definedName>
    <definedName name="chandra" localSheetId="11">#REF!</definedName>
    <definedName name="chandra">#REF!</definedName>
    <definedName name="ChartData_Monthly" localSheetId="1">#REF!</definedName>
    <definedName name="ChartData_Monthly" localSheetId="0">#REF!</definedName>
    <definedName name="ChartData_Monthly" localSheetId="4">#REF!</definedName>
    <definedName name="ChartData_Monthly" localSheetId="11">#REF!</definedName>
    <definedName name="ChartData_Monthly">#REF!</definedName>
    <definedName name="ChartData_Weekly" localSheetId="1">#REF!</definedName>
    <definedName name="ChartData_Weekly" localSheetId="0">#REF!</definedName>
    <definedName name="ChartData_Weekly" localSheetId="4">#REF!</definedName>
    <definedName name="ChartData_Weekly">#REF!</definedName>
    <definedName name="civ" localSheetId="1">#REF!</definedName>
    <definedName name="civ" localSheetId="0">#REF!</definedName>
    <definedName name="civ" localSheetId="4">#REF!</definedName>
    <definedName name="civ" localSheetId="11">#REF!</definedName>
    <definedName name="civ">#REF!</definedName>
    <definedName name="civil" localSheetId="1">#REF!</definedName>
    <definedName name="civil" localSheetId="0">#REF!</definedName>
    <definedName name="civil" localSheetId="4">#REF!</definedName>
    <definedName name="civil" localSheetId="11">#REF!</definedName>
    <definedName name="civil">#REF!</definedName>
    <definedName name="CL" localSheetId="1">#REF!</definedName>
    <definedName name="CL" localSheetId="0">#REF!</definedName>
    <definedName name="CL" localSheetId="4">#REF!</definedName>
    <definedName name="CL" localSheetId="11">#REF!</definedName>
    <definedName name="CL">#REF!</definedName>
    <definedName name="clbs" localSheetId="1">#REF!</definedName>
    <definedName name="clbs" localSheetId="0">#REF!</definedName>
    <definedName name="clbs" localSheetId="4">#REF!</definedName>
    <definedName name="clbs" localSheetId="11">#REF!</definedName>
    <definedName name="clbs">#REF!</definedName>
    <definedName name="cld" localSheetId="1">#REF!</definedName>
    <definedName name="cld" localSheetId="0">#REF!</definedName>
    <definedName name="cld" localSheetId="4">#REF!</definedName>
    <definedName name="cld" localSheetId="11">#REF!</definedName>
    <definedName name="cld">#REF!</definedName>
    <definedName name="cll" localSheetId="1">#REF!</definedName>
    <definedName name="cll" localSheetId="0">#REF!</definedName>
    <definedName name="cll" localSheetId="4">#REF!</definedName>
    <definedName name="cll" localSheetId="11">#REF!</definedName>
    <definedName name="cll">#REF!</definedName>
    <definedName name="clobs" localSheetId="1">#REF!</definedName>
    <definedName name="clobs" localSheetId="0">#REF!</definedName>
    <definedName name="clobs" localSheetId="4">#REF!</definedName>
    <definedName name="clobs" localSheetId="11">#REF!</definedName>
    <definedName name="clobs">#REF!</definedName>
    <definedName name="clod" localSheetId="1">#REF!</definedName>
    <definedName name="clod" localSheetId="0">#REF!</definedName>
    <definedName name="clod" localSheetId="4">#REF!</definedName>
    <definedName name="clod" localSheetId="11">#REF!</definedName>
    <definedName name="clod">#REF!</definedName>
    <definedName name="clol" localSheetId="1">#REF!</definedName>
    <definedName name="clol" localSheetId="0">#REF!</definedName>
    <definedName name="clol" localSheetId="4">#REF!</definedName>
    <definedName name="clol" localSheetId="11">#REF!</definedName>
    <definedName name="clol">#REF!</definedName>
    <definedName name="clot" localSheetId="1">#REF!</definedName>
    <definedName name="clot" localSheetId="0">#REF!</definedName>
    <definedName name="clot" localSheetId="4">#REF!</definedName>
    <definedName name="clot">#REF!</definedName>
    <definedName name="clt" localSheetId="1">#REF!</definedName>
    <definedName name="clt" localSheetId="0">#REF!</definedName>
    <definedName name="clt" localSheetId="4">#REF!</definedName>
    <definedName name="clt">#REF!</definedName>
    <definedName name="Code" localSheetId="11" hidden="1">#REF!</definedName>
    <definedName name="Code">#REF!</definedName>
    <definedName name="col" localSheetId="1">#REF!</definedName>
    <definedName name="col" localSheetId="0">#REF!</definedName>
    <definedName name="col" localSheetId="4">#REF!</definedName>
    <definedName name="col" localSheetId="11">#REF!</definedName>
    <definedName name="col">#REF!</definedName>
    <definedName name="col___0" localSheetId="1">#REF!</definedName>
    <definedName name="col___0" localSheetId="0">#REF!</definedName>
    <definedName name="col___0" localSheetId="4">#REF!</definedName>
    <definedName name="col___0" localSheetId="11">#REF!</definedName>
    <definedName name="col___0">#REF!</definedName>
    <definedName name="col___11" localSheetId="1">#REF!</definedName>
    <definedName name="col___11" localSheetId="0">#REF!</definedName>
    <definedName name="col___11" localSheetId="4">#REF!</definedName>
    <definedName name="col___11">#REF!</definedName>
    <definedName name="col___12" localSheetId="1">#REF!</definedName>
    <definedName name="col___12" localSheetId="0">#REF!</definedName>
    <definedName name="col___12" localSheetId="4">#REF!</definedName>
    <definedName name="col___12">#REF!</definedName>
    <definedName name="collection" localSheetId="1">#REF!</definedName>
    <definedName name="collection" localSheetId="0">#REF!</definedName>
    <definedName name="collection" localSheetId="4">#REF!</definedName>
    <definedName name="collection">#REF!</definedName>
    <definedName name="COLLSTATUS" localSheetId="1">#REF!</definedName>
    <definedName name="COLLSTATUS" localSheetId="0">#REF!</definedName>
    <definedName name="COLLSTATUS" localSheetId="4">#REF!</definedName>
    <definedName name="COLLSTATUS">#REF!</definedName>
    <definedName name="collstatuspage1" localSheetId="1">#REF!</definedName>
    <definedName name="collstatuspage1" localSheetId="0">#REF!</definedName>
    <definedName name="collstatuspage1" localSheetId="4">#REF!</definedName>
    <definedName name="collstatuspage1">#REF!</definedName>
    <definedName name="collstatuspage2" localSheetId="1">#REF!</definedName>
    <definedName name="collstatuspage2" localSheetId="0">#REF!</definedName>
    <definedName name="collstatuspage2" localSheetId="4">#REF!</definedName>
    <definedName name="collstatuspage2">#REF!</definedName>
    <definedName name="Columns" localSheetId="1">#REF!</definedName>
    <definedName name="Columns" localSheetId="0">#REF!</definedName>
    <definedName name="Columns" localSheetId="4">#REF!</definedName>
    <definedName name="Columns">#REF!</definedName>
    <definedName name="Common">#REF!</definedName>
    <definedName name="COMP" localSheetId="1">#REF!</definedName>
    <definedName name="COMP" localSheetId="0">#REF!</definedName>
    <definedName name="COMP" localSheetId="4">#REF!</definedName>
    <definedName name="COMP">#REF!</definedName>
    <definedName name="company" localSheetId="1">#REF!</definedName>
    <definedName name="company" localSheetId="0">#REF!</definedName>
    <definedName name="company" localSheetId="4">#REF!</definedName>
    <definedName name="company">#REF!</definedName>
    <definedName name="con">#REF!</definedName>
    <definedName name="cond.span">#REF!</definedName>
    <definedName name="conductor">#REF!</definedName>
    <definedName name="CONS" localSheetId="1">#REF!</definedName>
    <definedName name="CONS" localSheetId="0">#REF!</definedName>
    <definedName name="CONS" localSheetId="4">#REF!</definedName>
    <definedName name="CONS" localSheetId="11">#REF!</definedName>
    <definedName name="CONS">#REF!</definedName>
    <definedName name="const" localSheetId="11" hidden="1">{"'PROFITABILITY'!$A$1:$F$45"}</definedName>
    <definedName name="const" localSheetId="10" hidden="1">{"'PROFITABILITY'!$A$1:$F$45"}</definedName>
    <definedName name="const">{"'PROFITABILITY'!$A$1:$F$45"}</definedName>
    <definedName name="control132" localSheetId="1">#REF!</definedName>
    <definedName name="control132" localSheetId="0">#REF!</definedName>
    <definedName name="control132" localSheetId="4">#REF!</definedName>
    <definedName name="control132">#REF!</definedName>
    <definedName name="cosq" localSheetId="1">#REF!</definedName>
    <definedName name="cosq" localSheetId="0">#REF!</definedName>
    <definedName name="cosq" localSheetId="4">#REF!</definedName>
    <definedName name="cosq" localSheetId="11">#REF!</definedName>
    <definedName name="cosq">#REF!</definedName>
    <definedName name="cost" localSheetId="11">#REF!</definedName>
    <definedName name="cost">#REF!</definedName>
    <definedName name="Cost_code" localSheetId="1">#REF!</definedName>
    <definedName name="Cost_code" localSheetId="0">#REF!</definedName>
    <definedName name="Cost_code" localSheetId="4">#REF!</definedName>
    <definedName name="Cost_code" localSheetId="11">#REF!</definedName>
    <definedName name="Cost_code">#REF!</definedName>
    <definedName name="Cost_Per_Manday" localSheetId="1">#REF!</definedName>
    <definedName name="Cost_Per_Manday" localSheetId="0">#REF!</definedName>
    <definedName name="Cost_Per_Manday" localSheetId="4">#REF!</definedName>
    <definedName name="Cost_Per_Manday">#REF!</definedName>
    <definedName name="COSTING" localSheetId="11">#REF!</definedName>
    <definedName name="COSTING">#REF!</definedName>
    <definedName name="COU" localSheetId="1">#REF!</definedName>
    <definedName name="COU" localSheetId="0">#REF!</definedName>
    <definedName name="COU" localSheetId="4">#REF!</definedName>
    <definedName name="COU" localSheetId="11">#REF!</definedName>
    <definedName name="COU">#REF!</definedName>
    <definedName name="COU___0" localSheetId="1">#REF!</definedName>
    <definedName name="COU___0" localSheetId="0">#REF!</definedName>
    <definedName name="COU___0" localSheetId="4">#REF!</definedName>
    <definedName name="COU___0" localSheetId="11">#REF!</definedName>
    <definedName name="COU___0">#REF!</definedName>
    <definedName name="COU___13" localSheetId="1">#REF!</definedName>
    <definedName name="COU___13" localSheetId="0">#REF!</definedName>
    <definedName name="COU___13" localSheetId="4">#REF!</definedName>
    <definedName name="COU___13">#REF!</definedName>
    <definedName name="CRB" localSheetId="1">#REF!</definedName>
    <definedName name="CRB" localSheetId="0">#REF!</definedName>
    <definedName name="CRB" localSheetId="4">#REF!</definedName>
    <definedName name="CRB" localSheetId="11">#REF!</definedName>
    <definedName name="CRB">#REF!</definedName>
    <definedName name="CRPANEL" localSheetId="1">#REF!</definedName>
    <definedName name="CRPANEL" localSheetId="0">#REF!</definedName>
    <definedName name="CRPANEL" localSheetId="4">#REF!</definedName>
    <definedName name="CRPANEL" localSheetId="11">#REF!</definedName>
    <definedName name="CRPANEL">#REF!</definedName>
    <definedName name="Cs___0" localSheetId="1">#REF!</definedName>
    <definedName name="Cs___0" localSheetId="0">#REF!</definedName>
    <definedName name="Cs___0" localSheetId="4">#REF!</definedName>
    <definedName name="Cs___0" localSheetId="11">#REF!</definedName>
    <definedName name="Cs___0">#REF!</definedName>
    <definedName name="Cs___13" localSheetId="1">#REF!</definedName>
    <definedName name="Cs___13" localSheetId="0">#REF!</definedName>
    <definedName name="Cs___13" localSheetId="4">#REF!</definedName>
    <definedName name="Cs___13" localSheetId="11">#REF!</definedName>
    <definedName name="Cs___13">#REF!</definedName>
    <definedName name="csd" localSheetId="11">#REF!</definedName>
    <definedName name="csd">#REF!</definedName>
    <definedName name="cstvat">#REF!</definedName>
    <definedName name="CT" localSheetId="1">#REF!</definedName>
    <definedName name="CT" localSheetId="0">#REF!</definedName>
    <definedName name="CT" localSheetId="4">#REF!</definedName>
    <definedName name="CT">#REF!</definedName>
    <definedName name="ctf" localSheetId="1">#REF!</definedName>
    <definedName name="ctf" localSheetId="0">#REF!</definedName>
    <definedName name="ctf" localSheetId="4">#REF!</definedName>
    <definedName name="ctf">#REF!</definedName>
    <definedName name="Cth" localSheetId="1">#REF!</definedName>
    <definedName name="Cth" localSheetId="0">#REF!</definedName>
    <definedName name="Cth" localSheetId="4">#REF!</definedName>
    <definedName name="Cth">#REF!</definedName>
    <definedName name="CTR" localSheetId="1">#REF!</definedName>
    <definedName name="CTR" localSheetId="0">#REF!</definedName>
    <definedName name="CTR" localSheetId="4">#REF!</definedName>
    <definedName name="CTR">#REF!</definedName>
    <definedName name="Ctype" localSheetId="1">#REF!</definedName>
    <definedName name="Ctype" localSheetId="0">#REF!</definedName>
    <definedName name="Ctype" localSheetId="4">#REF!</definedName>
    <definedName name="Ctype">#REF!</definedName>
    <definedName name="Cum_Int" localSheetId="1">#REF!</definedName>
    <definedName name="Cum_Int" localSheetId="0">#REF!</definedName>
    <definedName name="Cum_Int" localSheetId="4">#REF!</definedName>
    <definedName name="Cum_Int">#REF!</definedName>
    <definedName name="cummeas_may1006" localSheetId="1">#REF!</definedName>
    <definedName name="cummeas_may1006" localSheetId="0">#REF!</definedName>
    <definedName name="cummeas_may1006" localSheetId="4">#REF!</definedName>
    <definedName name="cummeas_may1006">#REF!</definedName>
    <definedName name="cummeas_up_to_mar" localSheetId="1">#REF!</definedName>
    <definedName name="cummeas_up_to_mar" localSheetId="0">#REF!</definedName>
    <definedName name="cummeas_up_to_mar" localSheetId="4">#REF!</definedName>
    <definedName name="cummeas_up_to_mar">#REF!</definedName>
    <definedName name="cur" localSheetId="1">#REF!</definedName>
    <definedName name="cur" localSheetId="0">#REF!</definedName>
    <definedName name="cur" localSheetId="4">#REF!</definedName>
    <definedName name="cur">#REF!</definedName>
    <definedName name="CURR_FCT">#REF!</definedName>
    <definedName name="CURR_LIST">#REF!</definedName>
    <definedName name="current1" localSheetId="1">#REF!</definedName>
    <definedName name="current1" localSheetId="0">#REF!</definedName>
    <definedName name="current1" localSheetId="4">#REF!</definedName>
    <definedName name="current1" localSheetId="11">#REF!</definedName>
    <definedName name="current1">#REF!</definedName>
    <definedName name="current2" localSheetId="1">#REF!</definedName>
    <definedName name="current2" localSheetId="0">#REF!</definedName>
    <definedName name="current2" localSheetId="4">#REF!</definedName>
    <definedName name="current2" localSheetId="11">#REF!</definedName>
    <definedName name="current2">#REF!</definedName>
    <definedName name="current3" localSheetId="1">#REF!</definedName>
    <definedName name="current3" localSheetId="0">#REF!</definedName>
    <definedName name="current3" localSheetId="4">#REF!</definedName>
    <definedName name="current3" localSheetId="11">#REF!</definedName>
    <definedName name="current3">#REF!</definedName>
    <definedName name="current4" localSheetId="1">#REF!</definedName>
    <definedName name="current4" localSheetId="0">#REF!</definedName>
    <definedName name="current4" localSheetId="4">#REF!</definedName>
    <definedName name="current4">#REF!</definedName>
    <definedName name="current5" localSheetId="1">#REF!</definedName>
    <definedName name="current5" localSheetId="0">#REF!</definedName>
    <definedName name="current5" localSheetId="4">#REF!</definedName>
    <definedName name="current5">#REF!</definedName>
    <definedName name="CVT" localSheetId="1">#REF!</definedName>
    <definedName name="CVT" localSheetId="0">#REF!</definedName>
    <definedName name="CVT" localSheetId="4">#REF!</definedName>
    <definedName name="CVT">#REF!</definedName>
    <definedName name="cw">10</definedName>
    <definedName name="cx" localSheetId="1">#REF!</definedName>
    <definedName name="cx" localSheetId="0">#REF!</definedName>
    <definedName name="cx" localSheetId="4">#REF!</definedName>
    <definedName name="cx" localSheetId="11">#REF!</definedName>
    <definedName name="cx">#REF!</definedName>
    <definedName name="d___0" localSheetId="1">#REF!</definedName>
    <definedName name="d___0" localSheetId="0">#REF!</definedName>
    <definedName name="d___0" localSheetId="4">#REF!</definedName>
    <definedName name="d___0" localSheetId="11">#REF!</definedName>
    <definedName name="d___0">#REF!</definedName>
    <definedName name="d___13" localSheetId="1">#REF!</definedName>
    <definedName name="d___13" localSheetId="0">#REF!</definedName>
    <definedName name="d___13" localSheetId="4">#REF!</definedName>
    <definedName name="d___13" localSheetId="11">#REF!</definedName>
    <definedName name="d___13">#REF!</definedName>
    <definedName name="d_jp" localSheetId="11" hidden="1">{"'Sheet1'!$A$4386:$N$4591"}</definedName>
    <definedName name="d_jp" localSheetId="10" hidden="1">{"'Sheet1'!$A$4386:$N$4591"}</definedName>
    <definedName name="d_jp">{"'Sheet1'!$A$4386:$N$4591"}</definedName>
    <definedName name="D8Data" localSheetId="1">#REF!</definedName>
    <definedName name="D8Data" localSheetId="0">#REF!</definedName>
    <definedName name="D8Data" localSheetId="4">#REF!</definedName>
    <definedName name="D8Data">#REF!</definedName>
    <definedName name="dam">#REF!</definedName>
    <definedName name="DASD" localSheetId="1">#REF!</definedName>
    <definedName name="DASD" localSheetId="0">#REF!</definedName>
    <definedName name="DASD" localSheetId="4">#REF!</definedName>
    <definedName name="DASD">#REF!</definedName>
    <definedName name="DATA" localSheetId="1">#REF!</definedName>
    <definedName name="DATA" localSheetId="0">#REF!</definedName>
    <definedName name="DATA" localSheetId="4">#REF!</definedName>
    <definedName name="DATA">#REF!</definedName>
    <definedName name="data1">#REF!</definedName>
    <definedName name="data2">#REF!</definedName>
    <definedName name="data3">#REF!</definedName>
    <definedName name="_xlnm.Database" localSheetId="11">#REF!</definedName>
    <definedName name="_xlnm.Database">#REF!</definedName>
    <definedName name="DATE" localSheetId="1">#REF!</definedName>
    <definedName name="DATE" localSheetId="0">#REF!</definedName>
    <definedName name="DATE" localSheetId="4">#REF!</definedName>
    <definedName name="DATE">#REF!</definedName>
    <definedName name="db" localSheetId="1">#REF!</definedName>
    <definedName name="db" localSheetId="0">#REF!</definedName>
    <definedName name="db" localSheetId="4">#REF!</definedName>
    <definedName name="db">#REF!</definedName>
    <definedName name="db___0" localSheetId="1">#REF!</definedName>
    <definedName name="db___0" localSheetId="0">#REF!</definedName>
    <definedName name="db___0" localSheetId="4">#REF!</definedName>
    <definedName name="db___0">#REF!</definedName>
    <definedName name="db___13" localSheetId="1">#REF!</definedName>
    <definedName name="db___13" localSheetId="0">#REF!</definedName>
    <definedName name="db___13" localSheetId="4">#REF!</definedName>
    <definedName name="db___13">#REF!</definedName>
    <definedName name="Dc" localSheetId="1">#REF!</definedName>
    <definedName name="Dc" localSheetId="0">#REF!</definedName>
    <definedName name="Dc" localSheetId="4">#REF!</definedName>
    <definedName name="Dc">#REF!</definedName>
    <definedName name="dd" localSheetId="1">#REF!</definedName>
    <definedName name="dd" localSheetId="0">#REF!</definedName>
    <definedName name="dd" localSheetId="4">#REF!</definedName>
    <definedName name="dd">#REF!</definedName>
    <definedName name="ddash" localSheetId="1">#REF!</definedName>
    <definedName name="ddash" localSheetId="0">#REF!</definedName>
    <definedName name="ddash" localSheetId="4">#REF!</definedName>
    <definedName name="ddash">#REF!</definedName>
    <definedName name="DDD" localSheetId="1">#REF!</definedName>
    <definedName name="DDD" localSheetId="0">#REF!</definedName>
    <definedName name="DDD" localSheetId="4">#REF!</definedName>
    <definedName name="DDD" localSheetId="11" hidden="1">#REF!</definedName>
    <definedName name="DDD">#REF!</definedName>
    <definedName name="ddddd" localSheetId="1">#REF!</definedName>
    <definedName name="ddddd" localSheetId="0">#REF!</definedName>
    <definedName name="ddddd" localSheetId="4">#REF!</definedName>
    <definedName name="ddddd" localSheetId="11">#REF!</definedName>
    <definedName name="ddddd">#REF!</definedName>
    <definedName name="ddf" localSheetId="11">#REF!</definedName>
    <definedName name="ddf">#REF!</definedName>
    <definedName name="DE" localSheetId="11" hidden="1">{"'PROFITABILITY'!$A$1:$F$45"}</definedName>
    <definedName name="DE" localSheetId="10" hidden="1">{"'PROFITABILITY'!$A$1:$F$45"}</definedName>
    <definedName name="DE">{"'PROFITABILITY'!$A$1:$F$45"}</definedName>
    <definedName name="DEBTORS" localSheetId="1">#REF!</definedName>
    <definedName name="DEBTORS" localSheetId="0">#REF!</definedName>
    <definedName name="DEBTORS" localSheetId="4">#REF!</definedName>
    <definedName name="DEBTORS">#REF!</definedName>
    <definedName name="DEHRI" localSheetId="1">#REF!</definedName>
    <definedName name="DEHRI" localSheetId="0">#REF!</definedName>
    <definedName name="DEHRI" localSheetId="4">#REF!</definedName>
    <definedName name="DEHRI" localSheetId="11">#REF!</definedName>
    <definedName name="DEHRI">#REF!</definedName>
    <definedName name="delk" localSheetId="1">#REF!</definedName>
    <definedName name="delk" localSheetId="0">#REF!</definedName>
    <definedName name="delk" localSheetId="4">#REF!</definedName>
    <definedName name="delk" localSheetId="11">#REF!</definedName>
    <definedName name="delk">#REF!</definedName>
    <definedName name="delm" localSheetId="1">#REF!</definedName>
    <definedName name="delm" localSheetId="0">#REF!</definedName>
    <definedName name="delm" localSheetId="4">#REF!</definedName>
    <definedName name="delm" localSheetId="11">#REF!</definedName>
    <definedName name="delm">#REF!</definedName>
    <definedName name="delm2" localSheetId="1">#REF!</definedName>
    <definedName name="delm2" localSheetId="0">#REF!</definedName>
    <definedName name="delm2" localSheetId="4">#REF!</definedName>
    <definedName name="delm2">#REF!</definedName>
    <definedName name="delta" localSheetId="1">#REF!</definedName>
    <definedName name="delta" localSheetId="0">#REF!</definedName>
    <definedName name="delta" localSheetId="4">#REF!</definedName>
    <definedName name="delta">#REF!</definedName>
    <definedName name="delta1" localSheetId="1">#REF!</definedName>
    <definedName name="delta1" localSheetId="0">#REF!</definedName>
    <definedName name="delta1" localSheetId="4">#REF!</definedName>
    <definedName name="delta1">#REF!</definedName>
    <definedName name="DELTA20" localSheetId="1">#REF!</definedName>
    <definedName name="DELTA20" localSheetId="0">#REF!</definedName>
    <definedName name="DELTA20" localSheetId="4">#REF!</definedName>
    <definedName name="DELTA20">#REF!</definedName>
    <definedName name="DELTA20___0" localSheetId="1">#REF!</definedName>
    <definedName name="DELTA20___0" localSheetId="0">#REF!</definedName>
    <definedName name="DELTA20___0" localSheetId="4">#REF!</definedName>
    <definedName name="DELTA20___0">#REF!</definedName>
    <definedName name="DELTA20___13" localSheetId="1">#REF!</definedName>
    <definedName name="DELTA20___13" localSheetId="0">#REF!</definedName>
    <definedName name="DELTA20___13" localSheetId="4">#REF!</definedName>
    <definedName name="DELTA20___13">#REF!</definedName>
    <definedName name="delyw" localSheetId="1">#REF!</definedName>
    <definedName name="delyw" localSheetId="0">#REF!</definedName>
    <definedName name="delyw" localSheetId="4">#REF!</definedName>
    <definedName name="delyw">#REF!</definedName>
    <definedName name="Depth_above_FGL" localSheetId="1">#REF!</definedName>
    <definedName name="Depth_above_FGL" localSheetId="0">#REF!</definedName>
    <definedName name="Depth_above_FGL" localSheetId="4">#REF!</definedName>
    <definedName name="Depth_above_FGL" localSheetId="11">#REF!</definedName>
    <definedName name="Depth_above_FGL">#REF!</definedName>
    <definedName name="Depth_below_ground_level" localSheetId="1">#REF!</definedName>
    <definedName name="Depth_below_ground_level" localSheetId="0">#REF!</definedName>
    <definedName name="Depth_below_ground_level" localSheetId="4">#REF!</definedName>
    <definedName name="Depth_below_ground_level" localSheetId="11">#REF!</definedName>
    <definedName name="Depth_below_ground_level">#REF!</definedName>
    <definedName name="Depth_of_the_section" localSheetId="1">#REF!</definedName>
    <definedName name="Depth_of_the_section" localSheetId="0">#REF!</definedName>
    <definedName name="Depth_of_the_section" localSheetId="4">#REF!</definedName>
    <definedName name="Depth_of_the_section" localSheetId="11">#REF!</definedName>
    <definedName name="Depth_of_the_section">#REF!</definedName>
    <definedName name="df" localSheetId="1">#REF!</definedName>
    <definedName name="df" localSheetId="0">#REF!</definedName>
    <definedName name="df" localSheetId="4">#REF!</definedName>
    <definedName name="df" localSheetId="11">#REF!</definedName>
    <definedName name="df">#REF!</definedName>
    <definedName name="dfaf" localSheetId="1">#REF!</definedName>
    <definedName name="dfaf" localSheetId="0">#REF!</definedName>
    <definedName name="dfaf" localSheetId="4">#REF!</definedName>
    <definedName name="dfaf" localSheetId="11">#REF!</definedName>
    <definedName name="dfaf">#REF!</definedName>
    <definedName name="dfd" localSheetId="1">#REF!</definedName>
    <definedName name="dfd" localSheetId="0">#REF!</definedName>
    <definedName name="dfd" localSheetId="4">#REF!</definedName>
    <definedName name="dfd" localSheetId="11">#REF!</definedName>
    <definedName name="dfd">#REF!</definedName>
    <definedName name="dfdfs" localSheetId="11" hidden="1">{"'Sheet1'!$A$4386:$N$4591"}</definedName>
    <definedName name="dfdfs" localSheetId="10" hidden="1">{"'Sheet1'!$A$4386:$N$4591"}</definedName>
    <definedName name="dfdfs">{"'Sheet1'!$A$4386:$N$4591"}</definedName>
    <definedName name="dff">#REF!</definedName>
    <definedName name="DFR">#REF!</definedName>
    <definedName name="dfrads" localSheetId="1">#REF!</definedName>
    <definedName name="dfrads" localSheetId="0">#REF!</definedName>
    <definedName name="dfrads" localSheetId="4">#REF!</definedName>
    <definedName name="dfrads">#REF!</definedName>
    <definedName name="dfsdf" localSheetId="1">#REF!</definedName>
    <definedName name="dfsdf" localSheetId="0">#REF!</definedName>
    <definedName name="dfsdf" localSheetId="4">#REF!</definedName>
    <definedName name="dfsdf">#REF!</definedName>
    <definedName name="dfsga">#REF!</definedName>
    <definedName name="dg" localSheetId="1">#REF!</definedName>
    <definedName name="dg" localSheetId="0">#REF!</definedName>
    <definedName name="dg" localSheetId="4">#REF!</definedName>
    <definedName name="dg" localSheetId="11">#REF!</definedName>
    <definedName name="dg">#REF!</definedName>
    <definedName name="dgfgfd" localSheetId="11" hidden="1">{#N/A,#N/A,FALSE,"COVER.XLS";#N/A,#N/A,FALSE,"RACT1.XLS";#N/A,#N/A,FALSE,"RACT2.XLS";#N/A,#N/A,FALSE,"ECCMP";#N/A,#N/A,FALSE,"WELDER.XLS"}</definedName>
    <definedName name="dgfgfd" localSheetId="10" hidden="1">{#N/A,#N/A,FALSE,"COVER.XLS";#N/A,#N/A,FALSE,"RACT1.XLS";#N/A,#N/A,FALSE,"RACT2.XLS";#N/A,#N/A,FALSE,"ECCMP";#N/A,#N/A,FALSE,"WELDER.XLS"}</definedName>
    <definedName name="dgfgfd">{#N/A,#N/A,FALSE,"COVER.XLS";#N/A,#N/A,FALSE,"RACT1.XLS";#N/A,#N/A,FALSE,"RACT2.XLS";#N/A,#N/A,FALSE,"ECCMP";#N/A,#N/A,FALSE,"WELDER.XLS"}</definedName>
    <definedName name="dgv" localSheetId="11">#REF!</definedName>
    <definedName name="dgv">#REF!</definedName>
    <definedName name="DHTML" localSheetId="11" hidden="1">{"'Sheet1'!$A$4386:$N$4591"}</definedName>
    <definedName name="DHTML" localSheetId="10" hidden="1">{"'Sheet1'!$A$4386:$N$4591"}</definedName>
    <definedName name="DHTML">{"'Sheet1'!$A$4386:$N$4591"}</definedName>
    <definedName name="Di" localSheetId="1">#REF!</definedName>
    <definedName name="Di" localSheetId="0">#REF!</definedName>
    <definedName name="Di" localSheetId="4">#REF!</definedName>
    <definedName name="Di">#REF!</definedName>
    <definedName name="Dialog5" localSheetId="11">#N/A</definedName>
    <definedName name="Dialog5" localSheetId="10">#N/A</definedName>
    <definedName name="Dialog5">#REF!</definedName>
    <definedName name="Dis" localSheetId="11" hidden="1">{"'PROFITABILITY'!$A$1:$F$45"}</definedName>
    <definedName name="Dis" localSheetId="10" hidden="1">{"'PROFITABILITY'!$A$1:$F$45"}</definedName>
    <definedName name="Dis">{"'PROFITABILITY'!$A$1:$F$45"}</definedName>
    <definedName name="Discount">#REF!</definedName>
    <definedName name="display_area_2">#REF!</definedName>
    <definedName name="DIV">1000000</definedName>
    <definedName name="dk" localSheetId="1">#REF!</definedName>
    <definedName name="dk" localSheetId="0">#REF!</definedName>
    <definedName name="dk" localSheetId="4">#REF!</definedName>
    <definedName name="dk" localSheetId="11">#REF!</definedName>
    <definedName name="dk">#REF!</definedName>
    <definedName name="dks" localSheetId="1">#REF!</definedName>
    <definedName name="dks" localSheetId="0">#REF!</definedName>
    <definedName name="dks" localSheetId="4">#REF!</definedName>
    <definedName name="dks" localSheetId="11">#REF!</definedName>
    <definedName name="dks">#REF!</definedName>
    <definedName name="dkt" localSheetId="1">#REF!</definedName>
    <definedName name="dkt" localSheetId="0">#REF!</definedName>
    <definedName name="dkt" localSheetId="4">#REF!</definedName>
    <definedName name="dkt" localSheetId="11">#REF!</definedName>
    <definedName name="dkt">#REF!</definedName>
    <definedName name="dl" localSheetId="1">#REF!</definedName>
    <definedName name="dl" localSheetId="0">#REF!</definedName>
    <definedName name="dl" localSheetId="4">#REF!</definedName>
    <definedName name="dl" localSheetId="11">#REF!</definedName>
    <definedName name="dl">#REF!</definedName>
    <definedName name="dl___0" localSheetId="1">#REF!</definedName>
    <definedName name="dl___0" localSheetId="0">#REF!</definedName>
    <definedName name="dl___0" localSheetId="4">#REF!</definedName>
    <definedName name="dl___0">#REF!</definedName>
    <definedName name="dl___13" localSheetId="1">#REF!</definedName>
    <definedName name="dl___13" localSheetId="0">#REF!</definedName>
    <definedName name="dl___13" localSheetId="4">#REF!</definedName>
    <definedName name="dl___13">#REF!</definedName>
    <definedName name="Dm" localSheetId="1">#REF!</definedName>
    <definedName name="Dm" localSheetId="0">#REF!</definedName>
    <definedName name="Dm" localSheetId="4">#REF!</definedName>
    <definedName name="Dm">#REF!</definedName>
    <definedName name="dms" localSheetId="1">#REF!</definedName>
    <definedName name="dms" localSheetId="0">#REF!</definedName>
    <definedName name="dms" localSheetId="4">#REF!</definedName>
    <definedName name="dms">#REF!</definedName>
    <definedName name="dmt" localSheetId="1">#REF!</definedName>
    <definedName name="dmt" localSheetId="0">#REF!</definedName>
    <definedName name="dmt" localSheetId="4">#REF!</definedName>
    <definedName name="dmt">#REF!</definedName>
    <definedName name="dn" localSheetId="11" hidden="1">{#N/A,#N/A,FALSE,"COVER1.XLS ";#N/A,#N/A,FALSE,"RACT1.XLS";#N/A,#N/A,FALSE,"RACT2.XLS";#N/A,#N/A,FALSE,"ECCMP";#N/A,#N/A,FALSE,"WELDER.XLS"}</definedName>
    <definedName name="dn" localSheetId="10" hidden="1">{#N/A,#N/A,FALSE,"COVER1.XLS ";#N/A,#N/A,FALSE,"RACT1.XLS";#N/A,#N/A,FALSE,"RACT2.XLS";#N/A,#N/A,FALSE,"ECCMP";#N/A,#N/A,FALSE,"WELDER.XLS"}</definedName>
    <definedName name="dn">{#N/A,#N/A,FALSE,"COVER1.XLS ";#N/A,#N/A,FALSE,"RACT1.XLS";#N/A,#N/A,FALSE,"RACT2.XLS";#N/A,#N/A,FALSE,"ECCMP";#N/A,#N/A,FALSE,"WELDER.XLS"}</definedName>
    <definedName name="Do" localSheetId="1">#REF!</definedName>
    <definedName name="Do" localSheetId="0">#REF!</definedName>
    <definedName name="Do" localSheetId="4">#REF!</definedName>
    <definedName name="Do" localSheetId="11">#REF!</definedName>
    <definedName name="Do">#REF!</definedName>
    <definedName name="DOLLARS1" localSheetId="11">#REF!</definedName>
    <definedName name="DOLLARS1">#REF!</definedName>
    <definedName name="DOLLARS2" localSheetId="11">#REF!</definedName>
    <definedName name="DOLLARS2">#REF!</definedName>
    <definedName name="domestic_global" localSheetId="11">#REF!</definedName>
    <definedName name="domestic_global">#REF!</definedName>
    <definedName name="Double" localSheetId="1">#REF!</definedName>
    <definedName name="Double" localSheetId="0">#REF!</definedName>
    <definedName name="Double" localSheetId="4">#REF!</definedName>
    <definedName name="Double" localSheetId="11">#REF!</definedName>
    <definedName name="Double">#REF!</definedName>
    <definedName name="dq" localSheetId="1">#REF!</definedName>
    <definedName name="dq" localSheetId="0">#REF!</definedName>
    <definedName name="dq" localSheetId="4">#REF!</definedName>
    <definedName name="dq" localSheetId="11">#REF!</definedName>
    <definedName name="dq">#REF!</definedName>
    <definedName name="DS" localSheetId="1">#REF!</definedName>
    <definedName name="DS" localSheetId="0">#REF!</definedName>
    <definedName name="DS" localSheetId="4">#REF!</definedName>
    <definedName name="DS" localSheetId="11">#REF!</definedName>
    <definedName name="DS">#REF!</definedName>
    <definedName name="Ds___0" localSheetId="1">#REF!</definedName>
    <definedName name="Ds___0" localSheetId="0">#REF!</definedName>
    <definedName name="Ds___0" localSheetId="4">#REF!</definedName>
    <definedName name="Ds___0">#REF!</definedName>
    <definedName name="Ds___13" localSheetId="1">#REF!</definedName>
    <definedName name="Ds___13" localSheetId="0">#REF!</definedName>
    <definedName name="Ds___13" localSheetId="4">#REF!</definedName>
    <definedName name="Ds___13">#REF!</definedName>
    <definedName name="dsat" localSheetId="1">#REF!</definedName>
    <definedName name="dsat" localSheetId="0">#REF!</definedName>
    <definedName name="dsat" localSheetId="4">#REF!</definedName>
    <definedName name="dsat">#REF!</definedName>
    <definedName name="dsdf">#REF!</definedName>
    <definedName name="dsfadsf">#REF!</definedName>
    <definedName name="Eair" localSheetId="1">#REF!</definedName>
    <definedName name="Eair" localSheetId="0">#REF!</definedName>
    <definedName name="Eair" localSheetId="4">#REF!</definedName>
    <definedName name="Eair" localSheetId="11">#REF!</definedName>
    <definedName name="Eair">#REF!</definedName>
    <definedName name="earth" localSheetId="11" hidden="1">{"'Sheet1'!$A$4386:$N$4591"}</definedName>
    <definedName name="earth" localSheetId="10" hidden="1">{"'Sheet1'!$A$4386:$N$4591"}</definedName>
    <definedName name="earth">{"'Sheet1'!$A$4386:$N$4591"}</definedName>
    <definedName name="Econd" localSheetId="1">#REF!</definedName>
    <definedName name="Econd" localSheetId="0">#REF!</definedName>
    <definedName name="Econd" localSheetId="4">#REF!</definedName>
    <definedName name="Econd" localSheetId="11">#REF!</definedName>
    <definedName name="Econd">#REF!</definedName>
    <definedName name="ecs" localSheetId="1">#REF!</definedName>
    <definedName name="ecs" localSheetId="0">#REF!</definedName>
    <definedName name="ecs" localSheetId="4">#REF!</definedName>
    <definedName name="ecs" localSheetId="11">#REF!</definedName>
    <definedName name="ecs">#REF!</definedName>
    <definedName name="ed" localSheetId="1">#REF!</definedName>
    <definedName name="ed" localSheetId="0">#REF!</definedName>
    <definedName name="ed" localSheetId="4">#REF!</definedName>
    <definedName name="ed" localSheetId="11">#REF!</definedName>
    <definedName name="ed">#REF!</definedName>
    <definedName name="ee" localSheetId="1">#REF!</definedName>
    <definedName name="ee" localSheetId="0">#REF!</definedName>
    <definedName name="ee" localSheetId="4">#REF!</definedName>
    <definedName name="ee">#REF!</definedName>
    <definedName name="eee" localSheetId="1">#REF!</definedName>
    <definedName name="eee" localSheetId="0">#REF!</definedName>
    <definedName name="eee" localSheetId="4">#REF!</definedName>
    <definedName name="eee">#REF!</definedName>
    <definedName name="Eela" localSheetId="1">#REF!</definedName>
    <definedName name="Eela" localSheetId="0">#REF!</definedName>
    <definedName name="Eela" localSheetId="4">#REF!</definedName>
    <definedName name="Eela" localSheetId="11">#REF!</definedName>
    <definedName name="Eela">#REF!</definedName>
    <definedName name="eela2" localSheetId="1">#REF!</definedName>
    <definedName name="eela2" localSheetId="0">#REF!</definedName>
    <definedName name="eela2" localSheetId="4">#REF!</definedName>
    <definedName name="eela2" localSheetId="11">#REF!</definedName>
    <definedName name="eela2">#REF!</definedName>
    <definedName name="EEpi" localSheetId="1">#REF!</definedName>
    <definedName name="EEpi" localSheetId="0">#REF!</definedName>
    <definedName name="EEpi" localSheetId="4">#REF!</definedName>
    <definedName name="EEpi" localSheetId="11">#REF!</definedName>
    <definedName name="EEpi">#REF!</definedName>
    <definedName name="EEst" localSheetId="1">#REF!</definedName>
    <definedName name="EEst" localSheetId="0">#REF!</definedName>
    <definedName name="EEst" localSheetId="4">#REF!</definedName>
    <definedName name="EEst" localSheetId="11">#REF!</definedName>
    <definedName name="EEst">#REF!</definedName>
    <definedName name="elb" localSheetId="1">#REF!</definedName>
    <definedName name="elb" localSheetId="0">#REF!</definedName>
    <definedName name="elb" localSheetId="4">#REF!</definedName>
    <definedName name="elb" localSheetId="11">#REF!</definedName>
    <definedName name="elb">#REF!</definedName>
    <definedName name="elt" localSheetId="1">#REF!</definedName>
    <definedName name="elt" localSheetId="0">#REF!</definedName>
    <definedName name="elt" localSheetId="4">#REF!</definedName>
    <definedName name="elt">#REF!</definedName>
    <definedName name="Em" localSheetId="1">#REF!</definedName>
    <definedName name="Em" localSheetId="0">#REF!</definedName>
    <definedName name="Em" localSheetId="4">#REF!</definedName>
    <definedName name="Em">#REF!</definedName>
    <definedName name="Em___0" localSheetId="1">#REF!</definedName>
    <definedName name="Em___0" localSheetId="0">#REF!</definedName>
    <definedName name="Em___0" localSheetId="4">#REF!</definedName>
    <definedName name="Em___0">#REF!</definedName>
    <definedName name="Em___13" localSheetId="1">#REF!</definedName>
    <definedName name="Em___13" localSheetId="0">#REF!</definedName>
    <definedName name="Em___13" localSheetId="4">#REF!</definedName>
    <definedName name="Em___13">#REF!</definedName>
    <definedName name="End_Bal" localSheetId="1">#REF!</definedName>
    <definedName name="End_Bal" localSheetId="0">#REF!</definedName>
    <definedName name="End_Bal" localSheetId="4">#REF!</definedName>
    <definedName name="End_Bal" localSheetId="11">#REF!</definedName>
    <definedName name="End_Bal">#REF!</definedName>
    <definedName name="ENG" localSheetId="1">#REF!</definedName>
    <definedName name="ENG" localSheetId="0">#REF!</definedName>
    <definedName name="ENG" localSheetId="4">#REF!</definedName>
    <definedName name="ENG" localSheetId="11">#REF!</definedName>
    <definedName name="ENG">#REF!</definedName>
    <definedName name="ENICL" localSheetId="11">#REF!</definedName>
    <definedName name="ENICL">#REF!</definedName>
    <definedName name="Enot" localSheetId="1">#REF!</definedName>
    <definedName name="Enot" localSheetId="0">#REF!</definedName>
    <definedName name="Enot" localSheetId="4">#REF!</definedName>
    <definedName name="Enot">#REF!</definedName>
    <definedName name="EP_Avg_WC_Key" localSheetId="11">#REF!</definedName>
    <definedName name="EP_Avg_WC_Key">#REF!</definedName>
    <definedName name="EP_Per_Key" localSheetId="11">#REF!</definedName>
    <definedName name="EP_Per_Key">#REF!</definedName>
    <definedName name="EP_Res_Key" localSheetId="11">#REF!</definedName>
    <definedName name="EP_Res_Key">#REF!</definedName>
    <definedName name="EP_Top_Key" localSheetId="11">#REF!</definedName>
    <definedName name="EP_Top_Key">#REF!</definedName>
    <definedName name="EP_WC_Key" localSheetId="11">#REF!</definedName>
    <definedName name="EP_WC_Key">#REF!</definedName>
    <definedName name="Epi" localSheetId="1">#REF!</definedName>
    <definedName name="Epi" localSheetId="0">#REF!</definedName>
    <definedName name="Epi" localSheetId="4">#REF!</definedName>
    <definedName name="Epi" localSheetId="11">#REF!</definedName>
    <definedName name="Epi">#REF!</definedName>
    <definedName name="EREBOQ132" localSheetId="11">#REF!</definedName>
    <definedName name="EREBOQ132">#REF!</definedName>
    <definedName name="EREBOQ400" localSheetId="11">#REF!</definedName>
    <definedName name="EREBOQ400">#REF!</definedName>
    <definedName name="erection" localSheetId="1">#REF!</definedName>
    <definedName name="erection" localSheetId="0">#REF!</definedName>
    <definedName name="erection" localSheetId="4">#REF!</definedName>
    <definedName name="erection" localSheetId="11">#REF!</definedName>
    <definedName name="erection">#REF!</definedName>
    <definedName name="Erection_Cost" localSheetId="1">#REF!</definedName>
    <definedName name="Erection_Cost" localSheetId="0">#REF!</definedName>
    <definedName name="Erection_Cost" localSheetId="4">#REF!</definedName>
    <definedName name="Erection_Cost" localSheetId="11">#REF!</definedName>
    <definedName name="Erection_Cost">#REF!</definedName>
    <definedName name="Erection_Sales" localSheetId="1">#REF!</definedName>
    <definedName name="Erection_Sales" localSheetId="0">#REF!</definedName>
    <definedName name="Erection_Sales" localSheetId="4">#REF!</definedName>
    <definedName name="Erection_Sales" localSheetId="11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r">#REF!</definedName>
    <definedName name="Es" localSheetId="1">#REF!</definedName>
    <definedName name="Es" localSheetId="0">#REF!</definedName>
    <definedName name="Es" localSheetId="4">#REF!</definedName>
    <definedName name="Es">#REF!</definedName>
    <definedName name="Es___0" localSheetId="1">#REF!</definedName>
    <definedName name="Es___0" localSheetId="0">#REF!</definedName>
    <definedName name="Es___0" localSheetId="4">#REF!</definedName>
    <definedName name="Es___0">#REF!</definedName>
    <definedName name="Es___13" localSheetId="1">#REF!</definedName>
    <definedName name="Es___13" localSheetId="0">#REF!</definedName>
    <definedName name="Es___13" localSheetId="4">#REF!</definedName>
    <definedName name="Es___13">#REF!</definedName>
    <definedName name="esc_1" localSheetId="1">#REF!</definedName>
    <definedName name="esc_1" localSheetId="0">#REF!</definedName>
    <definedName name="esc_1" localSheetId="4">#REF!</definedName>
    <definedName name="esc_1">#REF!</definedName>
    <definedName name="ESC_2" localSheetId="1">#REF!</definedName>
    <definedName name="ESC_2" localSheetId="0">#REF!</definedName>
    <definedName name="ESC_2" localSheetId="4">#REF!</definedName>
    <definedName name="ESC_2">#REF!</definedName>
    <definedName name="Ess" localSheetId="1">#REF!</definedName>
    <definedName name="Ess" localSheetId="0">#REF!</definedName>
    <definedName name="Ess" localSheetId="4">#REF!</definedName>
    <definedName name="Ess" localSheetId="11">#REF!</definedName>
    <definedName name="Ess">#REF!</definedName>
    <definedName name="est" localSheetId="1">#REF!</definedName>
    <definedName name="est" localSheetId="0">#REF!</definedName>
    <definedName name="est" localSheetId="4">#REF!</definedName>
    <definedName name="est" localSheetId="11">#REF!</definedName>
    <definedName name="est">#REF!</definedName>
    <definedName name="Et" localSheetId="1">#REF!</definedName>
    <definedName name="Et" localSheetId="0">#REF!</definedName>
    <definedName name="Et" localSheetId="4">#REF!</definedName>
    <definedName name="Et" localSheetId="11">#REF!</definedName>
    <definedName name="Et">#REF!</definedName>
    <definedName name="Et___0" localSheetId="1">#REF!</definedName>
    <definedName name="Et___0" localSheetId="0">#REF!</definedName>
    <definedName name="Et___0" localSheetId="4">#REF!</definedName>
    <definedName name="Et___0">#REF!</definedName>
    <definedName name="Et___13" localSheetId="1">#REF!</definedName>
    <definedName name="Et___13" localSheetId="0">#REF!</definedName>
    <definedName name="Et___13" localSheetId="4">#REF!</definedName>
    <definedName name="Et___13">#REF!</definedName>
    <definedName name="Eta" localSheetId="1">#REF!</definedName>
    <definedName name="Eta" localSheetId="0">#REF!</definedName>
    <definedName name="Eta" localSheetId="4">#REF!</definedName>
    <definedName name="Eta">#REF!</definedName>
    <definedName name="eta0">#REF!</definedName>
    <definedName name="etaa" localSheetId="1">#REF!</definedName>
    <definedName name="etaa" localSheetId="0">#REF!</definedName>
    <definedName name="etaa" localSheetId="4">#REF!</definedName>
    <definedName name="etaa">#REF!</definedName>
    <definedName name="ETC_CST_HDG">#REF!</definedName>
    <definedName name="Eth" localSheetId="1">#REF!</definedName>
    <definedName name="Eth" localSheetId="0">#REF!</definedName>
    <definedName name="Eth" localSheetId="4">#REF!</definedName>
    <definedName name="Eth">#REF!</definedName>
    <definedName name="eto" localSheetId="1">#REF!</definedName>
    <definedName name="eto" localSheetId="0">#REF!</definedName>
    <definedName name="eto" localSheetId="4">#REF!</definedName>
    <definedName name="eto">#REF!</definedName>
    <definedName name="ewre" localSheetId="11" hidden="1">#REF!</definedName>
    <definedName name="ewre">#REF!</definedName>
    <definedName name="excavtion_offset" localSheetId="1">#REF!</definedName>
    <definedName name="excavtion_offset" localSheetId="0">#REF!</definedName>
    <definedName name="excavtion_offset" localSheetId="4">#REF!</definedName>
    <definedName name="excavtion_offset" localSheetId="11">#REF!</definedName>
    <definedName name="excavtion_offset">#REF!</definedName>
    <definedName name="Excel_BuiltIn__FilterDatabase_1_16" localSheetId="11">#REF!</definedName>
    <definedName name="Excel_BuiltIn__FilterDatabase_1_16">#REF!</definedName>
    <definedName name="Excel_BuiltIn__FilterDatabase_1_18" localSheetId="11">#REF!</definedName>
    <definedName name="Excel_BuiltIn__FilterDatabase_1_18">#REF!</definedName>
    <definedName name="Excel_BuiltIn__FilterDatabase_1_18_16" localSheetId="11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23" localSheetId="11">#REF!</definedName>
    <definedName name="Excel_BuiltIn__FilterDatabase_23">#REF!</definedName>
    <definedName name="Excel_BuiltIn__FilterDatabase_50" localSheetId="11">#REF!</definedName>
    <definedName name="Excel_BuiltIn__FilterDatabase_50">#REF!</definedName>
    <definedName name="Excel_BuiltIn__FilterDatabase_50_16" localSheetId="11">#REF!</definedName>
    <definedName name="Excel_BuiltIn__FilterDatabase_50_16">#REF!</definedName>
    <definedName name="Excel_BuiltIn__FilterDatabase_50_2" localSheetId="11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Print_Area_1" localSheetId="1">#REF!</definedName>
    <definedName name="Excel_BuiltIn_Print_Area_1" localSheetId="0">#REF!</definedName>
    <definedName name="Excel_BuiltIn_Print_Area_1" localSheetId="4">#REF!</definedName>
    <definedName name="Excel_BuiltIn_Print_Area_1" localSheetId="11">#REF!</definedName>
    <definedName name="Excel_BuiltIn_Print_Area_1">#REF!</definedName>
    <definedName name="Excel_BuiltIn_Print_Area_1_1" localSheetId="11">#REF!</definedName>
    <definedName name="Excel_BuiltIn_Print_Area_1_1">#REF!</definedName>
    <definedName name="Excel_BuiltIn_Print_Area_1_1_1" localSheetId="1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_1">#REF!</definedName>
    <definedName name="Excel_BuiltIn_Print_Area_10_1_1_1_1_1" localSheetId="11">#REF!</definedName>
    <definedName name="Excel_BuiltIn_Print_Area_10_1_1_1_1_1">#REF!</definedName>
    <definedName name="Excel_BuiltIn_Print_Area_10_1_1_1_1_1_1" localSheetId="11">#REF!</definedName>
    <definedName name="Excel_BuiltIn_Print_Area_10_1_1_1_1_1_1">#REF!</definedName>
    <definedName name="Excel_BuiltIn_Print_Area_10_1_1_1_1_1_1_1" localSheetId="1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_1" localSheetId="11">#REF!</definedName>
    <definedName name="Excel_BuiltIn_Print_Area_10_1_1_16_1">#REF!</definedName>
    <definedName name="Excel_BuiltIn_Print_Area_10_1_1_2_1" localSheetId="11">#REF!</definedName>
    <definedName name="Excel_BuiltIn_Print_Area_10_1_1_2_1">#REF!</definedName>
    <definedName name="Excel_BuiltIn_Print_Area_10_1_1_4_1" localSheetId="11">#REF!</definedName>
    <definedName name="Excel_BuiltIn_Print_Area_10_1_1_4_1">#REF!</definedName>
    <definedName name="Excel_BuiltIn_Print_Area_10_1_10" localSheetId="11">#REF!</definedName>
    <definedName name="Excel_BuiltIn_Print_Area_10_1_10">#REF!</definedName>
    <definedName name="Excel_BuiltIn_Print_Area_10_1_10_16" localSheetId="11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_16" localSheetId="11">#REF!</definedName>
    <definedName name="Excel_BuiltIn_Print_Area_10_1_16_16">#REF!</definedName>
    <definedName name="Excel_BuiltIn_Print_Area_10_1_16_2" localSheetId="11">#REF!</definedName>
    <definedName name="Excel_BuiltIn_Print_Area_10_1_16_2">#REF!</definedName>
    <definedName name="Excel_BuiltIn_Print_Area_10_1_16_2_1" localSheetId="11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_16" localSheetId="11">#REF!</definedName>
    <definedName name="Excel_BuiltIn_Print_Area_10_1_2_16">#REF!</definedName>
    <definedName name="Excel_BuiltIn_Print_Area_10_1_2_2" localSheetId="11">#REF!</definedName>
    <definedName name="Excel_BuiltIn_Print_Area_10_1_2_2">#REF!</definedName>
    <definedName name="Excel_BuiltIn_Print_Area_10_1_2_2_1" localSheetId="11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3" localSheetId="11">#REF!</definedName>
    <definedName name="Excel_BuiltIn_Print_Area_10_1_3">#REF!</definedName>
    <definedName name="Excel_BuiltIn_Print_Area_10_1_3_16" localSheetId="11">#REF!</definedName>
    <definedName name="Excel_BuiltIn_Print_Area_10_1_3_16">#REF!</definedName>
    <definedName name="Excel_BuiltIn_Print_Area_10_1_3_2" localSheetId="11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5" localSheetId="11">#REF!</definedName>
    <definedName name="Excel_BuiltIn_Print_Area_10_1_5">#REF!</definedName>
    <definedName name="Excel_BuiltIn_Print_Area_10_1_5_1" localSheetId="11">#REF!</definedName>
    <definedName name="Excel_BuiltIn_Print_Area_10_1_5_1">#REF!</definedName>
    <definedName name="Excel_BuiltIn_Print_Area_10_1_5_16" localSheetId="1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1" localSheetId="11">#REF!</definedName>
    <definedName name="Excel_BuiltIn_Print_Area_11">#REF!</definedName>
    <definedName name="Excel_BuiltIn_Print_Area_11_1" localSheetId="11">#REF!</definedName>
    <definedName name="Excel_BuiltIn_Print_Area_11_1">#REF!</definedName>
    <definedName name="Excel_BuiltIn_Print_Area_11_1_1" localSheetId="1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 localSheetId="1">#REF!</definedName>
    <definedName name="Excel_BuiltIn_Print_Area_16" localSheetId="0">#REF!</definedName>
    <definedName name="Excel_BuiltIn_Print_Area_16" localSheetId="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">#REF!</definedName>
    <definedName name="Excel_BuiltIn_Print_Area_2" localSheetId="0">#REF!</definedName>
    <definedName name="Excel_BuiltIn_Print_Area_2" localSheetId="4">#REF!</definedName>
    <definedName name="Excel_BuiltIn_Print_Area_2">#REF!</definedName>
    <definedName name="Excel_BuiltIn_Print_Area_2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3" localSheetId="1">#REF!</definedName>
    <definedName name="Excel_BuiltIn_Print_Area_3" localSheetId="0">#REF!</definedName>
    <definedName name="Excel_BuiltIn_Print_Area_3" localSheetId="4">#REF!</definedName>
    <definedName name="Excel_BuiltIn_Print_Area_3" localSheetId="11">#REF!</definedName>
    <definedName name="Excel_BuiltIn_Print_Area_3">#REF!</definedName>
    <definedName name="Excel_BuiltIn_Print_Area_3_1" localSheetId="1">#REF!</definedName>
    <definedName name="Excel_BuiltIn_Print_Area_3_1" localSheetId="0">#REF!</definedName>
    <definedName name="Excel_BuiltIn_Print_Area_3_1" localSheetId="4">#REF!</definedName>
    <definedName name="Excel_BuiltIn_Print_Area_3_1" localSheetId="11">#REF!</definedName>
    <definedName name="Excel_BuiltIn_Print_Area_3_1">#REF!</definedName>
    <definedName name="Excel_BuiltIn_Print_Area_3_1_1" localSheetId="1">#REF!</definedName>
    <definedName name="Excel_BuiltIn_Print_Area_3_1_1" localSheetId="0">#REF!</definedName>
    <definedName name="Excel_BuiltIn_Print_Area_3_1_1" localSheetId="4">#REF!</definedName>
    <definedName name="Excel_BuiltIn_Print_Area_3_1_1" localSheetId="11">#REF!</definedName>
    <definedName name="Excel_BuiltIn_Print_Area_3_1_1">#REF!</definedName>
    <definedName name="Excel_BuiltIn_Print_Area_3_1_1_1" localSheetId="1">#REF!</definedName>
    <definedName name="Excel_BuiltIn_Print_Area_3_1_1_1" localSheetId="0">#REF!</definedName>
    <definedName name="Excel_BuiltIn_Print_Area_3_1_1_1" localSheetId="4">#REF!</definedName>
    <definedName name="Excel_BuiltIn_Print_Area_3_1_1_1">#REF!</definedName>
    <definedName name="Excel_BuiltIn_Print_Area_3_1_1_1_1" localSheetId="1">#REF!</definedName>
    <definedName name="Excel_BuiltIn_Print_Area_3_1_1_1_1" localSheetId="0">#REF!</definedName>
    <definedName name="Excel_BuiltIn_Print_Area_3_1_1_1_1" localSheetId="4">#REF!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 localSheetId="1">#REF!</definedName>
    <definedName name="Excel_BuiltIn_Print_Area_4_1_1_1_1" localSheetId="0">#REF!</definedName>
    <definedName name="Excel_BuiltIn_Print_Area_4_1_1_1_1" localSheetId="4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 localSheetId="1">#REF!</definedName>
    <definedName name="Excel_BuiltIn_Print_Area_5_1_1_1_1" localSheetId="0">#REF!</definedName>
    <definedName name="Excel_BuiltIn_Print_Area_5_1_1_1_1" localSheetId="4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_1" localSheetId="1">#REF!</definedName>
    <definedName name="Excel_BuiltIn_Print_Area_6_1" localSheetId="0">#REF!</definedName>
    <definedName name="Excel_BuiltIn_Print_Area_6_1" localSheetId="4">#REF!</definedName>
    <definedName name="Excel_BuiltIn_Print_Area_6_1">#REF!</definedName>
    <definedName name="Excel_BuiltIn_Print_Area_6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_1" localSheetId="1">#REF!</definedName>
    <definedName name="Excel_BuiltIn_Print_Area_7_1" localSheetId="0">#REF!</definedName>
    <definedName name="Excel_BuiltIn_Print_Area_7_1" localSheetId="4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 localSheetId="1">#REF!</definedName>
    <definedName name="Excel_BuiltIn_Print_Area_8" localSheetId="0">#REF!</definedName>
    <definedName name="Excel_BuiltIn_Print_Area_8" localSheetId="4">#REF!</definedName>
    <definedName name="Excel_BuiltIn_Print_Area_8">#REF!</definedName>
    <definedName name="Excel_BuiltIn_Print_Area_8_1" localSheetId="1">#REF!</definedName>
    <definedName name="Excel_BuiltIn_Print_Area_8_1" localSheetId="0">#REF!</definedName>
    <definedName name="Excel_BuiltIn_Print_Area_8_1" localSheetId="4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_1" localSheetId="1">#REF!</definedName>
    <definedName name="Excel_BuiltIn_Print_Titles_1" localSheetId="0">#REF!</definedName>
    <definedName name="Excel_BuiltIn_Print_Titles_1" localSheetId="4">#REF!</definedName>
    <definedName name="Excel_BuiltIn_Print_Titles_1">#REF!</definedName>
    <definedName name="Excel_BuiltIn_Print_Titles_13" localSheetId="11">#REF!</definedName>
    <definedName name="Excel_BuiltIn_Print_Titles_13">#REF!</definedName>
    <definedName name="Excel_BuiltIn_Print_Titles_14" localSheetId="11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1">#REF!,#REF!</definedName>
    <definedName name="Excel_BuiltIn_Print_Titles_16" localSheetId="2">#REF!,#REF!</definedName>
    <definedName name="Excel_BuiltIn_Print_Titles_16" localSheetId="0">#REF!,#REF!</definedName>
    <definedName name="Excel_BuiltIn_Print_Titles_16" localSheetId="11">#REF!,#REF!</definedName>
    <definedName name="Excel_BuiltIn_Print_Titles_16">#REF!,#REF!</definedName>
    <definedName name="Excel_BuiltIn_Print_Titles_17" localSheetId="1">#REF!,#REF!</definedName>
    <definedName name="Excel_BuiltIn_Print_Titles_17" localSheetId="2">#REF!,#REF!</definedName>
    <definedName name="Excel_BuiltIn_Print_Titles_17" localSheetId="0">#REF!,#REF!</definedName>
    <definedName name="Excel_BuiltIn_Print_Titles_17" localSheetId="11">#REF!,#REF!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 localSheetId="1">#REF!</definedName>
    <definedName name="Excel_BuiltIn_Print_Titles_3" localSheetId="0">#REF!</definedName>
    <definedName name="Excel_BuiltIn_Print_Titles_3" localSheetId="4">#REF!</definedName>
    <definedName name="Excel_BuiltIn_Print_Titles_3">#REF!</definedName>
    <definedName name="Excel_BuiltIn_Print_Titles_3_1_1">#REF!</definedName>
    <definedName name="Excel_BuiltIn_Print_Titles_4_1_1" localSheetId="11">#REF!</definedName>
    <definedName name="Excel_BuiltIn_Print_Titles_4_1_1">#REF!</definedName>
    <definedName name="Excel_BuiltIn_Print_Titles_4_1_1_16" localSheetId="1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_1_1_1" localSheetId="1">#REF!,#REF!</definedName>
    <definedName name="Excel_BuiltIn_Print_Titles_5_1_1_1" localSheetId="2">#REF!,#REF!</definedName>
    <definedName name="Excel_BuiltIn_Print_Titles_5_1_1_1" localSheetId="0">#REF!,#REF!</definedName>
    <definedName name="Excel_BuiltIn_Print_Titles_5_1_1_1" localSheetId="11">#REF!,#REF!</definedName>
    <definedName name="Excel_BuiltIn_Print_Titles_5_1_1_1">#REF!,#REF!</definedName>
    <definedName name="Excel_BuiltIn_Print_Titles_9" localSheetId="11">#REF!</definedName>
    <definedName name="Excel_BuiltIn_Print_Titles_9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 localSheetId="1">#REF!</definedName>
    <definedName name="Excel_BuiltIn_Recorder" localSheetId="0">#REF!</definedName>
    <definedName name="Excel_BuiltIn_Recorder" localSheetId="4">#REF!</definedName>
    <definedName name="Excel_BuiltIn_Recorder">#REF!</definedName>
    <definedName name="Excise" localSheetId="11">#REF!</definedName>
    <definedName name="Excise">#REF!</definedName>
    <definedName name="Excise_Duty" localSheetId="11">#REF!</definedName>
    <definedName name="Excise_Duty">#REF!</definedName>
    <definedName name="Excised" localSheetId="11">#REF!</definedName>
    <definedName name="Excised">#REF!</definedName>
    <definedName name="ExciseDuty">#REF!</definedName>
    <definedName name="EXF" localSheetId="11" hidden="1">{"'PROFITABILITY'!$A$1:$F$45"}</definedName>
    <definedName name="EXF" localSheetId="10" hidden="1">{"'PROFITABILITY'!$A$1:$F$45"}</definedName>
    <definedName name="EXF">{"'PROFITABILITY'!$A$1:$F$45"}</definedName>
    <definedName name="exist" localSheetId="1">#REF!</definedName>
    <definedName name="exist" localSheetId="0">#REF!</definedName>
    <definedName name="exist" localSheetId="4">#REF!</definedName>
    <definedName name="exist">#REF!</definedName>
    <definedName name="EXIT" localSheetId="1">#REF!</definedName>
    <definedName name="EXIT" localSheetId="0">#REF!</definedName>
    <definedName name="EXIT" localSheetId="4">#REF!</definedName>
    <definedName name="EXIT">#REF!</definedName>
    <definedName name="EXPHEADS" localSheetId="1">#REF!</definedName>
    <definedName name="EXPHEADS" localSheetId="0">#REF!</definedName>
    <definedName name="EXPHEADS" localSheetId="4">#REF!</definedName>
    <definedName name="EXPHEADS">#REF!</definedName>
    <definedName name="EXST" localSheetId="11" hidden="1">{"'PROFITABILITY'!$A$1:$F$45"}</definedName>
    <definedName name="EXST" localSheetId="10" hidden="1">{"'PROFITABILITY'!$A$1:$F$45"}</definedName>
    <definedName name="EXST">{"'PROFITABILITY'!$A$1:$F$45"}</definedName>
    <definedName name="external" localSheetId="1">#REF!</definedName>
    <definedName name="external" localSheetId="0">#REF!</definedName>
    <definedName name="external" localSheetId="4">#REF!</definedName>
    <definedName name="external">#REF!</definedName>
    <definedName name="Extra_Pay" localSheetId="1">#REF!</definedName>
    <definedName name="Extra_Pay" localSheetId="0">#REF!</definedName>
    <definedName name="Extra_Pay" localSheetId="4">#REF!</definedName>
    <definedName name="Extra_Pay">#REF!</definedName>
    <definedName name="exwks" localSheetId="1">#REF!</definedName>
    <definedName name="exwks" localSheetId="0">#REF!</definedName>
    <definedName name="exwks" localSheetId="4">#REF!</definedName>
    <definedName name="exwks">#REF!</definedName>
    <definedName name="F" localSheetId="1">#REF!</definedName>
    <definedName name="F" localSheetId="0">#REF!</definedName>
    <definedName name="F" localSheetId="4">#REF!</definedName>
    <definedName name="F">#REF!</definedName>
    <definedName name="fa" localSheetId="1">#REF!</definedName>
    <definedName name="fa" localSheetId="0">#REF!</definedName>
    <definedName name="fa" localSheetId="4">#REF!</definedName>
    <definedName name="fa">#REF!</definedName>
    <definedName name="fafas">#REF!</definedName>
    <definedName name="FAH" localSheetId="1">#REF!</definedName>
    <definedName name="FAH" localSheetId="0">#REF!</definedName>
    <definedName name="FAH" localSheetId="4">#REF!</definedName>
    <definedName name="FAH">#REF!</definedName>
    <definedName name="fasdfasdf" localSheetId="1">#REF!</definedName>
    <definedName name="fasdfasdf" localSheetId="0">#REF!</definedName>
    <definedName name="fasdfasdf" localSheetId="4">#REF!</definedName>
    <definedName name="fasdfasdf">#REF!</definedName>
    <definedName name="FASDFSD" localSheetId="1">#REF!</definedName>
    <definedName name="FASDFSD" localSheetId="0">#REF!</definedName>
    <definedName name="FASDFSD" localSheetId="4">#REF!</definedName>
    <definedName name="FASDFSD">#REF!</definedName>
    <definedName name="fasf">#REF!</definedName>
    <definedName name="Fb" localSheetId="1">#REF!</definedName>
    <definedName name="Fb" localSheetId="0">#REF!</definedName>
    <definedName name="Fb" localSheetId="4">#REF!</definedName>
    <definedName name="Fb">#REF!</definedName>
    <definedName name="FC" localSheetId="1">#REF!</definedName>
    <definedName name="FC" localSheetId="0">#REF!</definedName>
    <definedName name="FC" localSheetId="4">#REF!</definedName>
    <definedName name="FC">#REF!</definedName>
    <definedName name="FCode" localSheetId="11" hidden="1">#REF!</definedName>
    <definedName name="FCode">#REF!</definedName>
    <definedName name="FCR" localSheetId="1">#REF!</definedName>
    <definedName name="FCR" localSheetId="0">#REF!</definedName>
    <definedName name="FCR" localSheetId="4">#REF!</definedName>
    <definedName name="FCR" localSheetId="11">#REF!</definedName>
    <definedName name="FCR">#REF!</definedName>
    <definedName name="FD" localSheetId="1">#REF!</definedName>
    <definedName name="FD" localSheetId="0">#REF!</definedName>
    <definedName name="FD" localSheetId="4">#REF!</definedName>
    <definedName name="FD" localSheetId="11">#REF!</definedName>
    <definedName name="FD">#REF!</definedName>
    <definedName name="fda" localSheetId="1">#REF!</definedName>
    <definedName name="fda" localSheetId="0">#REF!</definedName>
    <definedName name="fda" localSheetId="4">#REF!</definedName>
    <definedName name="fda">#REF!</definedName>
    <definedName name="fdb" localSheetId="1">#REF!</definedName>
    <definedName name="fdb" localSheetId="0">#REF!</definedName>
    <definedName name="fdb" localSheetId="4">#REF!</definedName>
    <definedName name="fdb">#REF!</definedName>
    <definedName name="FDF" localSheetId="1">#REF!</definedName>
    <definedName name="FDF" localSheetId="0">#REF!</definedName>
    <definedName name="FDF" localSheetId="4">#REF!</definedName>
    <definedName name="FDF">#REF!</definedName>
    <definedName name="fdhd" localSheetId="1">#REF!</definedName>
    <definedName name="fdhd" localSheetId="0">#REF!</definedName>
    <definedName name="fdhd" localSheetId="4">#REF!</definedName>
    <definedName name="fdhd">#REF!</definedName>
    <definedName name="Fdn" localSheetId="11">#REF!</definedName>
    <definedName name="Fdn">#REF!</definedName>
    <definedName name="FDNBOQ132" localSheetId="11">#REF!</definedName>
    <definedName name="FDNBOQ132">#REF!</definedName>
    <definedName name="FDNBOQ400" localSheetId="11">#REF!</definedName>
    <definedName name="FDNBOQ400">#REF!</definedName>
    <definedName name="fdsdafas" localSheetId="11" hidden="1">{"'TP-SUMMARY'!$I$11:$K$11"}</definedName>
    <definedName name="fdsdafas" localSheetId="10" hidden="1">{"'TP-SUMMARY'!$I$11:$K$11"}</definedName>
    <definedName name="fdsdafas">{"'TP-SUMMARY'!$I$11:$K$11"}</definedName>
    <definedName name="fdsdf">#REF!</definedName>
    <definedName name="feb_qty_rev_3" localSheetId="1">#REF!</definedName>
    <definedName name="feb_qty_rev_3" localSheetId="0">#REF!</definedName>
    <definedName name="feb_qty_rev_3" localSheetId="4">#REF!</definedName>
    <definedName name="feb_qty_rev_3">#REF!</definedName>
    <definedName name="feb_rev4_qty" localSheetId="1">#REF!</definedName>
    <definedName name="feb_rev4_qty" localSheetId="0">#REF!</definedName>
    <definedName name="feb_rev4_qty" localSheetId="4">#REF!</definedName>
    <definedName name="feb_rev4_qty">#REF!</definedName>
    <definedName name="fEQAvz" localSheetId="1">#REF!</definedName>
    <definedName name="fEQAvz" localSheetId="0">#REF!</definedName>
    <definedName name="fEQAvz" localSheetId="4">#REF!</definedName>
    <definedName name="fEQAvz">#REF!</definedName>
    <definedName name="ff" localSheetId="1">#REF!</definedName>
    <definedName name="ff" localSheetId="0">#REF!</definedName>
    <definedName name="ff" localSheetId="4">#REF!</definedName>
    <definedName name="ff">#REF!</definedName>
    <definedName name="FFB" localSheetId="1">#REF!</definedName>
    <definedName name="FFB" localSheetId="0">#REF!</definedName>
    <definedName name="FFB" localSheetId="4">#REF!</definedName>
    <definedName name="FFB">#REF!</definedName>
    <definedName name="ffff" localSheetId="1">#REF!</definedName>
    <definedName name="ffff" localSheetId="0">#REF!</definedName>
    <definedName name="ffff" localSheetId="4">#REF!</definedName>
    <definedName name="ffff" localSheetId="11">#REF!</definedName>
    <definedName name="ffff">#REF!</definedName>
    <definedName name="fffffg" localSheetId="11" hidden="1">{"form-D1",#N/A,FALSE,"FORM-D1";"form-D1_amt",#N/A,FALSE,"FORM-D1"}</definedName>
    <definedName name="fffffg" localSheetId="10" hidden="1">{"form-D1",#N/A,FALSE,"FORM-D1";"form-D1_amt",#N/A,FALSE,"FORM-D1"}</definedName>
    <definedName name="fffffg">{"form-D1",#N/A,FALSE,"FORM-D1";"form-D1_amt",#N/A,FALSE,"FORM-D1"}</definedName>
    <definedName name="fgdfgg" localSheetId="11">#REF!</definedName>
    <definedName name="fgdfgg">#REF!</definedName>
    <definedName name="FGNFN" localSheetId="11">#REF!</definedName>
    <definedName name="FGNFN">#REF!</definedName>
    <definedName name="Fh" localSheetId="1">#REF!</definedName>
    <definedName name="Fh" localSheetId="0">#REF!</definedName>
    <definedName name="Fh" localSheetId="4">#REF!</definedName>
    <definedName name="Fh" localSheetId="11">#REF!</definedName>
    <definedName name="Fh">#REF!</definedName>
    <definedName name="Fha" localSheetId="1">#REF!</definedName>
    <definedName name="Fha" localSheetId="0">#REF!</definedName>
    <definedName name="Fha" localSheetId="4">#REF!</definedName>
    <definedName name="Fha">#REF!</definedName>
    <definedName name="FHH" localSheetId="1">#REF!</definedName>
    <definedName name="FHH" localSheetId="0">#REF!</definedName>
    <definedName name="FHH" localSheetId="4">#REF!</definedName>
    <definedName name="FHH">#REF!</definedName>
    <definedName name="fhhhh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 localSheetId="1">#REF!</definedName>
    <definedName name="Fhwa" localSheetId="0">#REF!</definedName>
    <definedName name="Fhwa" localSheetId="4">#REF!</definedName>
    <definedName name="Fhwa" localSheetId="11">#REF!</definedName>
    <definedName name="Fhwa">#REF!</definedName>
    <definedName name="Fhwl" localSheetId="1">#REF!</definedName>
    <definedName name="Fhwl" localSheetId="0">#REF!</definedName>
    <definedName name="Fhwl" localSheetId="4">#REF!</definedName>
    <definedName name="Fhwl" localSheetId="11">#REF!</definedName>
    <definedName name="Fhwl">#REF!</definedName>
    <definedName name="fill" localSheetId="1">#REF!</definedName>
    <definedName name="fill" localSheetId="0">#REF!</definedName>
    <definedName name="fill" localSheetId="4">#REF!</definedName>
    <definedName name="fill" localSheetId="11" hidden="1">#REF!</definedName>
    <definedName name="fill">#REF!</definedName>
    <definedName name="fill2" localSheetId="1">#REF!</definedName>
    <definedName name="fill2" localSheetId="0">#REF!</definedName>
    <definedName name="fill2" localSheetId="4">#REF!</definedName>
    <definedName name="fill2" localSheetId="11" hidden="1">#REF!</definedName>
    <definedName name="fill2">#REF!</definedName>
    <definedName name="FIM" localSheetId="11">#REF!</definedName>
    <definedName name="FIM">#REF!</definedName>
    <definedName name="FIT" localSheetId="1">#REF!</definedName>
    <definedName name="FIT" localSheetId="0">#REF!</definedName>
    <definedName name="FIT" localSheetId="4">#REF!</definedName>
    <definedName name="FIT">#REF!</definedName>
    <definedName name="FIT___0" localSheetId="1">#REF!</definedName>
    <definedName name="FIT___0" localSheetId="0">#REF!</definedName>
    <definedName name="FIT___0" localSheetId="4">#REF!</definedName>
    <definedName name="FIT___0">#REF!</definedName>
    <definedName name="FIT___13" localSheetId="1">#REF!</definedName>
    <definedName name="FIT___13" localSheetId="0">#REF!</definedName>
    <definedName name="FIT___13" localSheetId="4">#REF!</definedName>
    <definedName name="FIT___13">#REF!</definedName>
    <definedName name="fjhgfd" localSheetId="11" hidden="1">{"'Sheet1'!$A$4386:$N$4591"}</definedName>
    <definedName name="fjhgfd" localSheetId="10" hidden="1">{"'Sheet1'!$A$4386:$N$4591"}</definedName>
    <definedName name="fjhgfd">{"'Sheet1'!$A$4386:$N$4591"}</definedName>
    <definedName name="Fmg" localSheetId="1">#REF!</definedName>
    <definedName name="Fmg" localSheetId="0">#REF!</definedName>
    <definedName name="Fmg" localSheetId="4">#REF!</definedName>
    <definedName name="Fmg" localSheetId="11">#REF!</definedName>
    <definedName name="Fmg">#REF!</definedName>
    <definedName name="fn" localSheetId="1">#REF!</definedName>
    <definedName name="fn" localSheetId="0">#REF!</definedName>
    <definedName name="fn" localSheetId="4">#REF!</definedName>
    <definedName name="fn" localSheetId="11">#REF!</definedName>
    <definedName name="fn">#REF!</definedName>
    <definedName name="fo" localSheetId="1">#REF!</definedName>
    <definedName name="fo" localSheetId="0">#REF!</definedName>
    <definedName name="fo" localSheetId="4">#REF!</definedName>
    <definedName name="fo" localSheetId="11">#REF!</definedName>
    <definedName name="fo">#REF!</definedName>
    <definedName name="foa" localSheetId="1">#REF!</definedName>
    <definedName name="foa" localSheetId="0">#REF!</definedName>
    <definedName name="foa" localSheetId="4">#REF!</definedName>
    <definedName name="foa" localSheetId="11">#REF!</definedName>
    <definedName name="foa">#REF!</definedName>
    <definedName name="foreststatus">#REF!</definedName>
    <definedName name="forthemonth" localSheetId="1">#REF!</definedName>
    <definedName name="forthemonth" localSheetId="0">#REF!</definedName>
    <definedName name="forthemonth" localSheetId="4">#REF!</definedName>
    <definedName name="forthemonth" localSheetId="11">#REF!</definedName>
    <definedName name="forthemonth">#REF!</definedName>
    <definedName name="FOS.NLC" localSheetId="11">#REF!</definedName>
    <definedName name="FOS.NLC">#REF!</definedName>
    <definedName name="FOS.SCF" localSheetId="11">#REF!</definedName>
    <definedName name="FOS.SCF">#REF!</definedName>
    <definedName name="Fpi" localSheetId="1">#REF!</definedName>
    <definedName name="Fpi" localSheetId="0">#REF!</definedName>
    <definedName name="Fpi" localSheetId="4">#REF!</definedName>
    <definedName name="Fpi" localSheetId="11">#REF!</definedName>
    <definedName name="Fpi">#REF!</definedName>
    <definedName name="Fpi0" localSheetId="11">#REF!</definedName>
    <definedName name="Fpi0">#REF!</definedName>
    <definedName name="FRANCS" localSheetId="11">#REF!</definedName>
    <definedName name="FRANCS">#REF!</definedName>
    <definedName name="frierect" localSheetId="11">#REF!</definedName>
    <definedName name="frierect">#REF!</definedName>
    <definedName name="frnorms" localSheetId="1">#REF!</definedName>
    <definedName name="frnorms" localSheetId="0">#REF!</definedName>
    <definedName name="frnorms" localSheetId="4">#REF!</definedName>
    <definedName name="frnorms" localSheetId="11">#REF!</definedName>
    <definedName name="frnorms">#REF!</definedName>
    <definedName name="fsadfds" localSheetId="11">#REF!</definedName>
    <definedName name="fsadfds">#REF!</definedName>
    <definedName name="Fst" localSheetId="1">#REF!</definedName>
    <definedName name="Fst" localSheetId="0">#REF!</definedName>
    <definedName name="Fst" localSheetId="4">#REF!</definedName>
    <definedName name="Fst" localSheetId="11">#REF!</definedName>
    <definedName name="Fst">#REF!</definedName>
    <definedName name="Ft" localSheetId="1">#REF!</definedName>
    <definedName name="Ft" localSheetId="0">#REF!</definedName>
    <definedName name="Ft" localSheetId="4">#REF!</definedName>
    <definedName name="Ft" localSheetId="11">#REF!</definedName>
    <definedName name="Ft">#REF!</definedName>
    <definedName name="FT0">#REF!</definedName>
    <definedName name="fto" localSheetId="1">#REF!</definedName>
    <definedName name="fto" localSheetId="0">#REF!</definedName>
    <definedName name="fto" localSheetId="4">#REF!</definedName>
    <definedName name="fto">#REF!</definedName>
    <definedName name="Full_Print" localSheetId="1">#REF!</definedName>
    <definedName name="Full_Print" localSheetId="0">#REF!</definedName>
    <definedName name="Full_Print" localSheetId="4">#REF!</definedName>
    <definedName name="Full_Print">#REF!</definedName>
    <definedName name="funds" localSheetId="11" hidden="1">{"'Sheet1'!$A$4386:$N$4591"}</definedName>
    <definedName name="funds" localSheetId="10" hidden="1">{"'Sheet1'!$A$4386:$N$4591"}</definedName>
    <definedName name="funds">{"'Sheet1'!$A$4386:$N$4591"}</definedName>
    <definedName name="Fv" localSheetId="1">#REF!</definedName>
    <definedName name="Fv" localSheetId="0">#REF!</definedName>
    <definedName name="Fv" localSheetId="4">#REF!</definedName>
    <definedName name="Fv">#REF!</definedName>
    <definedName name="fw" localSheetId="1">#REF!</definedName>
    <definedName name="fw" localSheetId="0">#REF!</definedName>
    <definedName name="fw" localSheetId="4">#REF!</definedName>
    <definedName name="fw" localSheetId="11">#REF!</definedName>
    <definedName name="fw">#REF!</definedName>
    <definedName name="fwii" localSheetId="1">#REF!</definedName>
    <definedName name="fwii" localSheetId="0">#REF!</definedName>
    <definedName name="fwii" localSheetId="4">#REF!</definedName>
    <definedName name="fwii" localSheetId="11">#REF!</definedName>
    <definedName name="fwii">#REF!</definedName>
    <definedName name="fwio" localSheetId="1">#REF!</definedName>
    <definedName name="fwio" localSheetId="0">#REF!</definedName>
    <definedName name="fwio" localSheetId="4">#REF!</definedName>
    <definedName name="fwio" localSheetId="11">#REF!</definedName>
    <definedName name="fwio">#REF!</definedName>
    <definedName name="fww" localSheetId="1">#REF!</definedName>
    <definedName name="fww" localSheetId="0">#REF!</definedName>
    <definedName name="fww" localSheetId="4">#REF!</definedName>
    <definedName name="fww" localSheetId="11">#REF!</definedName>
    <definedName name="fww">#REF!</definedName>
    <definedName name="gama" localSheetId="1">#REF!</definedName>
    <definedName name="gama" localSheetId="0">#REF!</definedName>
    <definedName name="gama" localSheetId="4">#REF!</definedName>
    <definedName name="gama" localSheetId="11">#REF!</definedName>
    <definedName name="gama">#REF!</definedName>
    <definedName name="gamah" localSheetId="1">#REF!</definedName>
    <definedName name="gamah" localSheetId="0">#REF!</definedName>
    <definedName name="gamah" localSheetId="4">#REF!</definedName>
    <definedName name="gamah" localSheetId="11">#REF!</definedName>
    <definedName name="gamah">#REF!</definedName>
    <definedName name="gamma" localSheetId="1">#REF!</definedName>
    <definedName name="gamma" localSheetId="0">#REF!</definedName>
    <definedName name="gamma" localSheetId="4">#REF!</definedName>
    <definedName name="gamma" localSheetId="11">#REF!</definedName>
    <definedName name="gamma">#REF!</definedName>
    <definedName name="GATE" localSheetId="1">#REF!</definedName>
    <definedName name="GATE" localSheetId="0">#REF!</definedName>
    <definedName name="GATE" localSheetId="4">#REF!</definedName>
    <definedName name="GATE">#REF!</definedName>
    <definedName name="GBDFG">#REF!</definedName>
    <definedName name="GDGSDGG" localSheetId="1">#REF!</definedName>
    <definedName name="GDGSDGG" localSheetId="0">#REF!</definedName>
    <definedName name="GDGSDGG" localSheetId="4">#REF!</definedName>
    <definedName name="GDGSDGG" localSheetId="11">#REF!</definedName>
    <definedName name="GDGSDGG">#REF!</definedName>
    <definedName name="ge" localSheetId="1">#REF!</definedName>
    <definedName name="ge" localSheetId="0">#REF!</definedName>
    <definedName name="ge" localSheetId="4">#REF!</definedName>
    <definedName name="ge" localSheetId="11">#REF!</definedName>
    <definedName name="ge">#REF!</definedName>
    <definedName name="gfiopbhg" localSheetId="11">#REF!</definedName>
    <definedName name="gfiopbhg">#REF!</definedName>
    <definedName name="GG" localSheetId="1">#REF!</definedName>
    <definedName name="GG" localSheetId="0">#REF!</definedName>
    <definedName name="GG" localSheetId="4">#REF!</definedName>
    <definedName name="GG" localSheetId="11">#REF!</definedName>
    <definedName name="GG">#REF!</definedName>
    <definedName name="GGF" localSheetId="1">#REF!</definedName>
    <definedName name="GGF" localSheetId="0">#REF!</definedName>
    <definedName name="GGF" localSheetId="4">#REF!</definedName>
    <definedName name="GGF" localSheetId="11">#REF!</definedName>
    <definedName name="GGF">#REF!</definedName>
    <definedName name="GGG" localSheetId="1">#REF!</definedName>
    <definedName name="GGG" localSheetId="0">#REF!</definedName>
    <definedName name="GGG" localSheetId="4">#REF!</definedName>
    <definedName name="GGG">#REF!</definedName>
    <definedName name="GH" localSheetId="1">#REF!</definedName>
    <definedName name="GH" localSheetId="0">#REF!</definedName>
    <definedName name="GH" localSheetId="4">#REF!</definedName>
    <definedName name="GH">#REF!</definedName>
    <definedName name="ghmgm" localSheetId="11" hidden="1">{"'PROFITABILITY'!$A$1:$F$45"}</definedName>
    <definedName name="ghmgm" localSheetId="10" hidden="1">{"'PROFITABILITY'!$A$1:$F$45"}</definedName>
    <definedName name="ghmgm">{"'PROFITABILITY'!$A$1:$F$45"}</definedName>
    <definedName name="girder.span" localSheetId="11">#REF!</definedName>
    <definedName name="girder.span">#REF!</definedName>
    <definedName name="gn" localSheetId="1">#REF!</definedName>
    <definedName name="gn" localSheetId="0">#REF!</definedName>
    <definedName name="gn" localSheetId="4">#REF!</definedName>
    <definedName name="gn" localSheetId="11">#REF!</definedName>
    <definedName name="gn">#REF!</definedName>
    <definedName name="GPTL" localSheetId="11">#REF!</definedName>
    <definedName name="GPTL">#REF!</definedName>
    <definedName name="GRGRREG" localSheetId="11">#REF!</definedName>
    <definedName name="GRGRREG">#REF!</definedName>
    <definedName name="gross" localSheetId="1">#REF!</definedName>
    <definedName name="gross" localSheetId="0">#REF!</definedName>
    <definedName name="gross" localSheetId="4">#REF!</definedName>
    <definedName name="gross" localSheetId="11">#REF!</definedName>
    <definedName name="gross">#REF!</definedName>
    <definedName name="GROUP1">#REF!</definedName>
    <definedName name="GROUPIIE">#REF!</definedName>
    <definedName name="GROUPIIP">#REF!</definedName>
    <definedName name="GROUPX">#REF!</definedName>
    <definedName name="GROUPXI">#REF!</definedName>
    <definedName name="gs" localSheetId="1">#REF!</definedName>
    <definedName name="gs" localSheetId="0">#REF!</definedName>
    <definedName name="gs" localSheetId="4">#REF!</definedName>
    <definedName name="gs">#REF!</definedName>
    <definedName name="GSDFGFHGH" localSheetId="1">#REF!</definedName>
    <definedName name="GSDFGFHGH" localSheetId="0">#REF!</definedName>
    <definedName name="GSDFGFHGH" localSheetId="4">#REF!</definedName>
    <definedName name="GSDFGFHGH">#REF!</definedName>
    <definedName name="GSDGG" localSheetId="1">#REF!</definedName>
    <definedName name="GSDGG" localSheetId="0">#REF!</definedName>
    <definedName name="GSDGG" localSheetId="4">#REF!</definedName>
    <definedName name="GSDGG">#REF!</definedName>
    <definedName name="gtst">#REF!</definedName>
    <definedName name="GTTPL">#REF!</definedName>
    <definedName name="Gw" localSheetId="1">#REF!</definedName>
    <definedName name="Gw" localSheetId="0">#REF!</definedName>
    <definedName name="Gw" localSheetId="4">#REF!</definedName>
    <definedName name="Gw">#REF!</definedName>
    <definedName name="H" localSheetId="1">#REF!</definedName>
    <definedName name="H" localSheetId="0">#REF!</definedName>
    <definedName name="H" localSheetId="4">#REF!</definedName>
    <definedName name="H">#REF!</definedName>
    <definedName name="H___0" localSheetId="1">#REF!</definedName>
    <definedName name="H___0" localSheetId="0">#REF!</definedName>
    <definedName name="H___0" localSheetId="4">#REF!</definedName>
    <definedName name="H___0">#REF!</definedName>
    <definedName name="H___13" localSheetId="1">#REF!</definedName>
    <definedName name="H___13" localSheetId="0">#REF!</definedName>
    <definedName name="H___13" localSheetId="4">#REF!</definedName>
    <definedName name="H___13">#REF!</definedName>
    <definedName name="H0">#REF!</definedName>
    <definedName name="H0___0" localSheetId="1">#REF!</definedName>
    <definedName name="H0___0" localSheetId="0">#REF!</definedName>
    <definedName name="H0___0" localSheetId="4">#REF!</definedName>
    <definedName name="H0___0">#REF!</definedName>
    <definedName name="H0___13" localSheetId="1">#REF!</definedName>
    <definedName name="H0___13" localSheetId="0">#REF!</definedName>
    <definedName name="H0___13" localSheetId="4">#REF!</definedName>
    <definedName name="H0___13">#REF!</definedName>
    <definedName name="hai">#REF!</definedName>
    <definedName name="Hcbdw" localSheetId="1">#REF!</definedName>
    <definedName name="Hcbdw" localSheetId="0">#REF!</definedName>
    <definedName name="Hcbdw" localSheetId="4">#REF!</definedName>
    <definedName name="Hcbdw" localSheetId="11">#REF!</definedName>
    <definedName name="Hcbdw">#REF!</definedName>
    <definedName name="Hcw" localSheetId="1">#REF!</definedName>
    <definedName name="Hcw" localSheetId="0">#REF!</definedName>
    <definedName name="Hcw" localSheetId="4">#REF!</definedName>
    <definedName name="Hcw" localSheetId="11">#REF!</definedName>
    <definedName name="Hcw">#REF!</definedName>
    <definedName name="Header_Row" localSheetId="1">ROW(#REF!)</definedName>
    <definedName name="Header_Row" localSheetId="2">ROW(#REF!)</definedName>
    <definedName name="Header_Row">ROW(#REF!)</definedName>
    <definedName name="hf" localSheetId="1">#REF!</definedName>
    <definedName name="hf" localSheetId="0">#REF!</definedName>
    <definedName name="hf" localSheetId="4">#REF!</definedName>
    <definedName name="hf" localSheetId="11">#REF!</definedName>
    <definedName name="hf">#REF!</definedName>
    <definedName name="hfh" localSheetId="11" hidden="1">{"'PROFITABILITY'!$A$1:$F$45"}</definedName>
    <definedName name="hfh" localSheetId="10" hidden="1">{"'PROFITABILITY'!$A$1:$F$45"}</definedName>
    <definedName name="hfh">{"'PROFITABILITY'!$A$1:$F$45"}</definedName>
    <definedName name="hfi" localSheetId="1">#REF!</definedName>
    <definedName name="hfi" localSheetId="0">#REF!</definedName>
    <definedName name="hfi" localSheetId="4">#REF!</definedName>
    <definedName name="hfi">#REF!</definedName>
    <definedName name="hfjtyu" localSheetId="11" hidden="1">{"'PROFITABILITY'!$A$1:$F$45"}</definedName>
    <definedName name="hfjtyu" localSheetId="10" hidden="1">{"'PROFITABILITY'!$A$1:$F$45"}</definedName>
    <definedName name="hfjtyu">{"'PROFITABILITY'!$A$1:$F$45"}</definedName>
    <definedName name="hg">#REF!</definedName>
    <definedName name="hgr" localSheetId="1">#REF!</definedName>
    <definedName name="hgr" localSheetId="0">#REF!</definedName>
    <definedName name="hgr" localSheetId="4">#REF!</definedName>
    <definedName name="hgr" localSheetId="11">#REF!</definedName>
    <definedName name="hgr">#REF!</definedName>
    <definedName name="hh" localSheetId="1">#REF!</definedName>
    <definedName name="hh" localSheetId="0">#REF!</definedName>
    <definedName name="hh" localSheetId="4">#REF!</definedName>
    <definedName name="hh" localSheetId="11">#REF!</definedName>
    <definedName name="hh">#REF!</definedName>
    <definedName name="hh___0" localSheetId="1">#REF!</definedName>
    <definedName name="hh___0" localSheetId="0">#REF!</definedName>
    <definedName name="hh___0" localSheetId="4">#REF!</definedName>
    <definedName name="hh___0" localSheetId="11">#REF!</definedName>
    <definedName name="hh___0">#REF!</definedName>
    <definedName name="hh___13" localSheetId="1">#REF!</definedName>
    <definedName name="hh___13" localSheetId="0">#REF!</definedName>
    <definedName name="hh___13" localSheetId="4">#REF!</definedName>
    <definedName name="hh___13">#REF!</definedName>
    <definedName name="hhhhhhh" localSheetId="11">#REF!</definedName>
    <definedName name="hhhhhhh">#REF!</definedName>
    <definedName name="Hhpc" localSheetId="1">#REF!</definedName>
    <definedName name="Hhpc" localSheetId="0">#REF!</definedName>
    <definedName name="Hhpc" localSheetId="4">#REF!</definedName>
    <definedName name="Hhpc" localSheetId="11">#REF!</definedName>
    <definedName name="Hhpc">#REF!</definedName>
    <definedName name="hhs" localSheetId="1">#REF!</definedName>
    <definedName name="hhs" localSheetId="0">#REF!</definedName>
    <definedName name="hhs" localSheetId="4">#REF!</definedName>
    <definedName name="hhs" localSheetId="11">#REF!</definedName>
    <definedName name="hhs">#REF!</definedName>
    <definedName name="HiddenRows" localSheetId="11" hidden="1">#REF!</definedName>
    <definedName name="HiddenRows">#REF!</definedName>
    <definedName name="HINDHUSTAN" localSheetId="1">#REF!</definedName>
    <definedName name="HINDHUSTAN" localSheetId="0">#REF!</definedName>
    <definedName name="HINDHUSTAN" localSheetId="4">#REF!</definedName>
    <definedName name="HINDHUSTAN" localSheetId="11">#REF!</definedName>
    <definedName name="HINDHUSTAN">#REF!</definedName>
    <definedName name="HINDI" localSheetId="1">#REF!</definedName>
    <definedName name="HINDI" localSheetId="0">#REF!</definedName>
    <definedName name="HINDI" localSheetId="4">#REF!</definedName>
    <definedName name="HINDI" localSheetId="11">#REF!</definedName>
    <definedName name="HINDI">#REF!</definedName>
    <definedName name="Hipc" localSheetId="1">#REF!</definedName>
    <definedName name="Hipc" localSheetId="0">#REF!</definedName>
    <definedName name="Hipc" localSheetId="4">#REF!</definedName>
    <definedName name="Hipc" localSheetId="11">#REF!</definedName>
    <definedName name="Hipc">#REF!</definedName>
    <definedName name="hiuhiuhpoho" localSheetId="1">#REF!</definedName>
    <definedName name="hiuhiuhpoho" localSheetId="0">#REF!</definedName>
    <definedName name="hiuhiuhpoho" localSheetId="4">#REF!</definedName>
    <definedName name="hiuhiuhpoho" localSheetId="11">#REF!</definedName>
    <definedName name="hiuhiuhpoho">#REF!</definedName>
    <definedName name="HJ" localSheetId="1">#REF!</definedName>
    <definedName name="HJ" localSheetId="0">#REF!</definedName>
    <definedName name="HJ" localSheetId="4">#REF!</definedName>
    <definedName name="HJ" localSheetId="11">#REF!</definedName>
    <definedName name="HJ">#REF!</definedName>
    <definedName name="hjjjjjj" localSheetId="11" hidden="1">{"form-D1",#N/A,FALSE,"FORM-D1";"form-D1_amt",#N/A,FALSE,"FORM-D1"}</definedName>
    <definedName name="hjjjjjj" localSheetId="10" hidden="1">{"form-D1",#N/A,FALSE,"FORM-D1";"form-D1_amt",#N/A,FALSE,"FORM-D1"}</definedName>
    <definedName name="hjjjjjj">{"form-D1",#N/A,FALSE,"FORM-D1";"form-D1_amt",#N/A,FALSE,"FORM-D1"}</definedName>
    <definedName name="hkg" localSheetId="1">#REF!</definedName>
    <definedName name="hkg" localSheetId="0">#REF!</definedName>
    <definedName name="hkg" localSheetId="4">#REF!</definedName>
    <definedName name="hkg" localSheetId="11">#REF!</definedName>
    <definedName name="hkg">#REF!</definedName>
    <definedName name="hleft" localSheetId="1">#REF!</definedName>
    <definedName name="hleft" localSheetId="0">#REF!</definedName>
    <definedName name="hleft" localSheetId="4">#REF!</definedName>
    <definedName name="hleft" localSheetId="11">#REF!</definedName>
    <definedName name="hleft">#REF!</definedName>
    <definedName name="Hlp" localSheetId="1">#REF!</definedName>
    <definedName name="Hlp" localSheetId="0">#REF!</definedName>
    <definedName name="Hlp" localSheetId="4">#REF!</definedName>
    <definedName name="Hlp" localSheetId="11">#REF!</definedName>
    <definedName name="Hlp">#REF!</definedName>
    <definedName name="ho" localSheetId="1">#REF!</definedName>
    <definedName name="ho" localSheetId="0">#REF!</definedName>
    <definedName name="ho" localSheetId="4">#REF!</definedName>
    <definedName name="ho" localSheetId="11">#REF!</definedName>
    <definedName name="ho">#REF!</definedName>
    <definedName name="ho___0" localSheetId="1">#REF!</definedName>
    <definedName name="ho___0" localSheetId="0">#REF!</definedName>
    <definedName name="ho___0" localSheetId="4">#REF!</definedName>
    <definedName name="ho___0">#REF!</definedName>
    <definedName name="ho___13" localSheetId="1">#REF!</definedName>
    <definedName name="ho___13" localSheetId="0">#REF!</definedName>
    <definedName name="ho___13" localSheetId="4">#REF!</definedName>
    <definedName name="ho___13">#REF!</definedName>
    <definedName name="hone" localSheetId="1">#REF!</definedName>
    <definedName name="hone" localSheetId="0">#REF!</definedName>
    <definedName name="hone" localSheetId="4">#REF!</definedName>
    <definedName name="hone" localSheetId="11">#REF!</definedName>
    <definedName name="hone">#REF!</definedName>
    <definedName name="hotwo" localSheetId="1">#REF!</definedName>
    <definedName name="hotwo" localSheetId="0">#REF!</definedName>
    <definedName name="hotwo" localSheetId="4">#REF!</definedName>
    <definedName name="hotwo" localSheetId="11">#REF!</definedName>
    <definedName name="hotwo">#REF!</definedName>
    <definedName name="HP" localSheetId="11" hidden="1">{"form-D1",#N/A,FALSE,"FORM-D1";"form-D1_amt",#N/A,FALSE,"FORM-D1"}</definedName>
    <definedName name="HP" localSheetId="10" hidden="1">{"form-D1",#N/A,FALSE,"FORM-D1";"form-D1_amt",#N/A,FALSE,"FORM-D1"}</definedName>
    <definedName name="HP">{"form-D1",#N/A,FALSE,"FORM-D1";"form-D1_amt",#N/A,FALSE,"FORM-D1"}</definedName>
    <definedName name="hright" localSheetId="1">#REF!</definedName>
    <definedName name="hright" localSheetId="0">#REF!</definedName>
    <definedName name="hright" localSheetId="4">#REF!</definedName>
    <definedName name="hright" localSheetId="11">#REF!</definedName>
    <definedName name="hright">#REF!</definedName>
    <definedName name="hS" localSheetId="1">#REF!</definedName>
    <definedName name="hS" localSheetId="0">#REF!</definedName>
    <definedName name="hS" localSheetId="4">#REF!</definedName>
    <definedName name="hS" localSheetId="11">#REF!</definedName>
    <definedName name="hS">#REF!</definedName>
    <definedName name="hS___0" localSheetId="1">#REF!</definedName>
    <definedName name="hS___0" localSheetId="0">#REF!</definedName>
    <definedName name="hS___0" localSheetId="4">#REF!</definedName>
    <definedName name="hS___0" localSheetId="11">#REF!</definedName>
    <definedName name="hS___0">#REF!</definedName>
    <definedName name="hS___13" localSheetId="1">#REF!</definedName>
    <definedName name="hS___13" localSheetId="0">#REF!</definedName>
    <definedName name="hS___13" localSheetId="4">#REF!</definedName>
    <definedName name="hS___13">#REF!</definedName>
    <definedName name="Hs_atm" localSheetId="1">#REF!</definedName>
    <definedName name="Hs_atm" localSheetId="0">#REF!</definedName>
    <definedName name="Hs_atm" localSheetId="4">#REF!</definedName>
    <definedName name="Hs_atm">#REF!</definedName>
    <definedName name="HSS" localSheetId="1">#REF!</definedName>
    <definedName name="HSS" localSheetId="0">#REF!</definedName>
    <definedName name="HSS" localSheetId="4">#REF!</definedName>
    <definedName name="HSS">#REF!</definedName>
    <definedName name="hthree" localSheetId="1">#REF!</definedName>
    <definedName name="hthree" localSheetId="0">#REF!</definedName>
    <definedName name="hthree" localSheetId="4">#REF!</definedName>
    <definedName name="hthree" localSheetId="11">#REF!</definedName>
    <definedName name="hthree">#REF!</definedName>
    <definedName name="HTML_CodePage">1252</definedName>
    <definedName name="HTML_Control" localSheetId="1">{"'TP-SUMMARY'!$I$11:$K$11"}</definedName>
    <definedName name="HTML_Control" localSheetId="2">{"'TP-SUMMARY'!$I$11:$K$11"}</definedName>
    <definedName name="HTML_Control" localSheetId="0">{"'TP-SUMMARY'!$I$11:$K$11"}</definedName>
    <definedName name="HTML_Control" localSheetId="11" hidden="1">{"'TP-SUMMARY'!$I$11:$K$11"}</definedName>
    <definedName name="HTML_Control" localSheetId="10" hidden="1">{"'TP-SUMMARY'!$I$11:$K$11"}</definedName>
    <definedName name="HTML_Control">{"'TP-SUMMARY'!$I$11:$K$11"}</definedName>
    <definedName name="HTML_control2" localSheetId="11" hidden="1">{"'Sheet1'!$A$4386:$N$4591"}</definedName>
    <definedName name="HTML_control2" localSheetId="10" hidden="1">{"'Sheet1'!$A$4386:$N$4591"}</definedName>
    <definedName name="HTML_control2">{"'Sheet1'!$A$4386:$N$4591"}</definedName>
    <definedName name="HTML_Description">""</definedName>
    <definedName name="HTML_Email">""</definedName>
    <definedName name="HTML_Header">"TP-SUMMARY"</definedName>
    <definedName name="HTML_LastUpdate">"12/10/04"</definedName>
    <definedName name="HTML_LineAfter">FALSE</definedName>
    <definedName name="HTML_LineBefore">FALSE</definedName>
    <definedName name="HTML_Name">"DEEPAK"</definedName>
    <definedName name="HTML_OBDlg2">TRUE</definedName>
    <definedName name="HTML_OBDlg4">TRUE</definedName>
    <definedName name="HTML_OS">0</definedName>
    <definedName name="HTML_PathFile">"C:\My Documents\TATA RECORD\TLTS 2385 TATA  POWER\NEW TATA\tata\MyHTML.htm"</definedName>
    <definedName name="HTML_Title">"JEERAT - SG INSP"</definedName>
    <definedName name="Hu" localSheetId="1">#REF!</definedName>
    <definedName name="Hu" localSheetId="0">#REF!</definedName>
    <definedName name="Hu" localSheetId="4">#REF!</definedName>
    <definedName name="Hu" localSheetId="11">#REF!</definedName>
    <definedName name="Hu">#REF!</definedName>
    <definedName name="Hu___0" localSheetId="1">#REF!</definedName>
    <definedName name="Hu___0" localSheetId="0">#REF!</definedName>
    <definedName name="Hu___0" localSheetId="4">#REF!</definedName>
    <definedName name="Hu___0" localSheetId="11">#REF!</definedName>
    <definedName name="Hu___0">#REF!</definedName>
    <definedName name="Hu___13" localSheetId="1">#REF!</definedName>
    <definedName name="Hu___13" localSheetId="0">#REF!</definedName>
    <definedName name="Hu___13" localSheetId="4">#REF!</definedName>
    <definedName name="Hu___13" localSheetId="11">#REF!</definedName>
    <definedName name="Hu___13">#REF!</definedName>
    <definedName name="Hw_atm" localSheetId="1">#REF!</definedName>
    <definedName name="Hw_atm" localSheetId="0">#REF!</definedName>
    <definedName name="Hw_atm" localSheetId="4">#REF!</definedName>
    <definedName name="Hw_atm">#REF!</definedName>
    <definedName name="hxc" localSheetId="1">#REF!</definedName>
    <definedName name="hxc" localSheetId="0">#REF!</definedName>
    <definedName name="hxc" localSheetId="4">#REF!</definedName>
    <definedName name="hxc" localSheetId="11">#REF!</definedName>
    <definedName name="hxc">#REF!</definedName>
    <definedName name="hxe" localSheetId="1">#REF!</definedName>
    <definedName name="hxe" localSheetId="0">#REF!</definedName>
    <definedName name="hxe" localSheetId="4">#REF!</definedName>
    <definedName name="hxe" localSheetId="11">#REF!</definedName>
    <definedName name="hxe">#REF!</definedName>
    <definedName name="hxf" localSheetId="1">#REF!</definedName>
    <definedName name="hxf" localSheetId="0">#REF!</definedName>
    <definedName name="hxf" localSheetId="4">#REF!</definedName>
    <definedName name="hxf" localSheetId="11">#REF!</definedName>
    <definedName name="hxf">#REF!</definedName>
    <definedName name="hyio" localSheetId="1">#REF!</definedName>
    <definedName name="hyio" localSheetId="0">#REF!</definedName>
    <definedName name="hyio" localSheetId="4">#REF!</definedName>
    <definedName name="hyio" localSheetId="11">#REF!</definedName>
    <definedName name="hyio">#REF!</definedName>
    <definedName name="Hz" localSheetId="1">#REF!</definedName>
    <definedName name="Hz" localSheetId="0">#REF!</definedName>
    <definedName name="Hz" localSheetId="4">#REF!</definedName>
    <definedName name="Hz" localSheetId="11">#REF!</definedName>
    <definedName name="Hz">#REF!</definedName>
    <definedName name="I" localSheetId="1">#REF!</definedName>
    <definedName name="I" localSheetId="0">#REF!</definedName>
    <definedName name="I" localSheetId="4">#REF!</definedName>
    <definedName name="I" localSheetId="11">#REF!</definedName>
    <definedName name="I">#REF!</definedName>
    <definedName name="I___0" localSheetId="1">#REF!</definedName>
    <definedName name="I___0" localSheetId="0">#REF!</definedName>
    <definedName name="I___0" localSheetId="4">#REF!</definedName>
    <definedName name="I___0">#REF!</definedName>
    <definedName name="I___13" localSheetId="1">#REF!</definedName>
    <definedName name="I___13" localSheetId="0">#REF!</definedName>
    <definedName name="I___13" localSheetId="4">#REF!</definedName>
    <definedName name="I___13">#REF!</definedName>
    <definedName name="i3phf" localSheetId="1">#REF!</definedName>
    <definedName name="i3phf" localSheetId="0">#REF!</definedName>
    <definedName name="i3phf" localSheetId="4">#REF!</definedName>
    <definedName name="i3phf" localSheetId="11">#REF!</definedName>
    <definedName name="i3phf">#REF!</definedName>
    <definedName name="IAH" localSheetId="1">#REF!</definedName>
    <definedName name="IAH" localSheetId="0">#REF!</definedName>
    <definedName name="IAH" localSheetId="4">#REF!</definedName>
    <definedName name="IAH" localSheetId="11">#REF!</definedName>
    <definedName name="IAH">#REF!</definedName>
    <definedName name="IAM" localSheetId="11" hidden="1">{"'Sheet1'!$A$4386:$N$4591"}</definedName>
    <definedName name="IAM" localSheetId="10" hidden="1">{"'Sheet1'!$A$4386:$N$4591"}</definedName>
    <definedName name="IAM">{"'Sheet1'!$A$4386:$N$4591"}</definedName>
    <definedName name="ic">5%</definedName>
    <definedName name="idb" localSheetId="1">#REF!</definedName>
    <definedName name="idb" localSheetId="0">#REF!</definedName>
    <definedName name="idb" localSheetId="4">#REF!</definedName>
    <definedName name="idb" localSheetId="11">#REF!</definedName>
    <definedName name="idb">#REF!</definedName>
    <definedName name="idt" localSheetId="1">#REF!</definedName>
    <definedName name="idt" localSheetId="0">#REF!</definedName>
    <definedName name="idt" localSheetId="4">#REF!</definedName>
    <definedName name="idt" localSheetId="11">#REF!</definedName>
    <definedName name="idt">#REF!</definedName>
    <definedName name="idyn" localSheetId="1">#REF!</definedName>
    <definedName name="idyn" localSheetId="0">#REF!</definedName>
    <definedName name="idyn" localSheetId="4">#REF!</definedName>
    <definedName name="idyn" localSheetId="11">#REF!</definedName>
    <definedName name="idyn">#REF!</definedName>
    <definedName name="IE_Avg_WC_Key" localSheetId="11">#REF!</definedName>
    <definedName name="IE_Avg_WC_Key">#REF!</definedName>
    <definedName name="IE_Per_Key" localSheetId="11">#REF!</definedName>
    <definedName name="IE_Per_Key">#REF!</definedName>
    <definedName name="IE_Res_Key" localSheetId="11">#REF!</definedName>
    <definedName name="IE_Res_Key">#REF!</definedName>
    <definedName name="IE_Top_Key" localSheetId="11">#REF!</definedName>
    <definedName name="IE_Top_Key">#REF!</definedName>
    <definedName name="IE_WC_Key" localSheetId="11">#REF!</definedName>
    <definedName name="IE_WC_Key">#REF!</definedName>
    <definedName name="If" localSheetId="1">#REF!</definedName>
    <definedName name="If" localSheetId="0">#REF!</definedName>
    <definedName name="If" localSheetId="4">#REF!</definedName>
    <definedName name="If" localSheetId="11">#REF!</definedName>
    <definedName name="If">#REF!</definedName>
    <definedName name="Ig" localSheetId="1">#REF!</definedName>
    <definedName name="Ig" localSheetId="0">#REF!</definedName>
    <definedName name="Ig" localSheetId="4">#REF!</definedName>
    <definedName name="Ig" localSheetId="11">#REF!</definedName>
    <definedName name="Ig">#REF!</definedName>
    <definedName name="Ig___0" localSheetId="1">#REF!</definedName>
    <definedName name="Ig___0" localSheetId="0">#REF!</definedName>
    <definedName name="Ig___0" localSheetId="4">#REF!</definedName>
    <definedName name="Ig___0" localSheetId="11">#REF!</definedName>
    <definedName name="Ig___0">#REF!</definedName>
    <definedName name="Ig___13" localSheetId="1">#REF!</definedName>
    <definedName name="Ig___13" localSheetId="0">#REF!</definedName>
    <definedName name="Ig___13" localSheetId="4">#REF!</definedName>
    <definedName name="Ig___13" localSheetId="11">#REF!</definedName>
    <definedName name="Ig___13">#REF!</definedName>
    <definedName name="IGP_M" localSheetId="1">#REF!</definedName>
    <definedName name="IGP_M" localSheetId="0">#REF!</definedName>
    <definedName name="IGP_M" localSheetId="4">#REF!</definedName>
    <definedName name="IGP_M">#REF!</definedName>
    <definedName name="ijui">#REF!</definedName>
    <definedName name="Ik" localSheetId="1">#REF!</definedName>
    <definedName name="Ik" localSheetId="0">#REF!</definedName>
    <definedName name="Ik" localSheetId="4">#REF!</definedName>
    <definedName name="Ik">#REF!</definedName>
    <definedName name="ikmax" localSheetId="1">#REF!</definedName>
    <definedName name="ikmax" localSheetId="0">#REF!</definedName>
    <definedName name="ikmax" localSheetId="4">#REF!</definedName>
    <definedName name="ikmax">#REF!</definedName>
    <definedName name="ilgf" localSheetId="1">#REF!</definedName>
    <definedName name="ilgf" localSheetId="0">#REF!</definedName>
    <definedName name="ilgf" localSheetId="4">#REF!</definedName>
    <definedName name="ilgf" localSheetId="11">#REF!</definedName>
    <definedName name="ilgf">#REF!</definedName>
    <definedName name="illgf" localSheetId="1">#REF!</definedName>
    <definedName name="illgf" localSheetId="0">#REF!</definedName>
    <definedName name="illgf" localSheetId="4">#REF!</definedName>
    <definedName name="illgf" localSheetId="11">#REF!</definedName>
    <definedName name="illgf">#REF!</definedName>
    <definedName name="Im" localSheetId="1">#REF!</definedName>
    <definedName name="Im" localSheetId="0">#REF!</definedName>
    <definedName name="Im" localSheetId="4">#REF!</definedName>
    <definedName name="Im" localSheetId="11">#REF!</definedName>
    <definedName name="Im">#REF!</definedName>
    <definedName name="INDEX" localSheetId="11">#REF!</definedName>
    <definedName name="INDEX">#REF!</definedName>
    <definedName name="insertplate_and_exp_joint" localSheetId="1">#REF!</definedName>
    <definedName name="insertplate_and_exp_joint" localSheetId="0">#REF!</definedName>
    <definedName name="insertplate_and_exp_joint" localSheetId="4">#REF!</definedName>
    <definedName name="insertplate_and_exp_joint" localSheetId="11">#REF!</definedName>
    <definedName name="insertplate_and_exp_joint">#REF!</definedName>
    <definedName name="Insurance" localSheetId="11">#REF!</definedName>
    <definedName name="Insurance">#REF!</definedName>
    <definedName name="INT" localSheetId="1">#REF!</definedName>
    <definedName name="INT" localSheetId="0">#REF!</definedName>
    <definedName name="INT" localSheetId="4">#REF!</definedName>
    <definedName name="INT" localSheetId="11">#REF!</definedName>
    <definedName name="INT">#REF!</definedName>
    <definedName name="Interest_Rate" localSheetId="1">#REF!</definedName>
    <definedName name="Interest_Rate" localSheetId="0">#REF!</definedName>
    <definedName name="Interest_Rate" localSheetId="4">#REF!</definedName>
    <definedName name="Interest_Rate">#REF!</definedName>
    <definedName name="ip" localSheetId="1">#REF!</definedName>
    <definedName name="ip" localSheetId="0">#REF!</definedName>
    <definedName name="ip" localSheetId="4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n" localSheetId="1">#REF!</definedName>
    <definedName name="ipn" localSheetId="0">#REF!</definedName>
    <definedName name="ipn" localSheetId="4">#REF!</definedName>
    <definedName name="ipn">#REF!</definedName>
    <definedName name="ipu" localSheetId="1">#REF!</definedName>
    <definedName name="ipu" localSheetId="0">#REF!</definedName>
    <definedName name="ipu" localSheetId="4">#REF!</definedName>
    <definedName name="ipu">#REF!</definedName>
    <definedName name="ipu___0" localSheetId="1">#REF!</definedName>
    <definedName name="ipu___0" localSheetId="0">#REF!</definedName>
    <definedName name="ipu___0" localSheetId="4">#REF!</definedName>
    <definedName name="ipu___0">#REF!</definedName>
    <definedName name="ipu___13" localSheetId="1">#REF!</definedName>
    <definedName name="ipu___13" localSheetId="0">#REF!</definedName>
    <definedName name="ipu___13" localSheetId="4">#REF!</definedName>
    <definedName name="ipu___13">#REF!</definedName>
    <definedName name="ir" localSheetId="1">#REF!</definedName>
    <definedName name="ir" localSheetId="0">#REF!</definedName>
    <definedName name="ir" localSheetId="4">#REF!</definedName>
    <definedName name="ir">#REF!</definedName>
    <definedName name="Is" localSheetId="1">#REF!</definedName>
    <definedName name="Is" localSheetId="0">#REF!</definedName>
    <definedName name="Is" localSheetId="4">#REF!</definedName>
    <definedName name="Is" localSheetId="11">#REF!</definedName>
    <definedName name="Is">#REF!</definedName>
    <definedName name="Isc" localSheetId="1">#REF!</definedName>
    <definedName name="Isc" localSheetId="0">#REF!</definedName>
    <definedName name="Isc" localSheetId="4">#REF!</definedName>
    <definedName name="Isc" localSheetId="11">#REF!</definedName>
    <definedName name="Isc">#REF!</definedName>
    <definedName name="isn" localSheetId="1">#REF!</definedName>
    <definedName name="isn" localSheetId="0">#REF!</definedName>
    <definedName name="isn" localSheetId="4">#REF!</definedName>
    <definedName name="isn" localSheetId="11">#REF!</definedName>
    <definedName name="isn">#REF!</definedName>
    <definedName name="ISO" localSheetId="1">#REF!</definedName>
    <definedName name="ISO" localSheetId="0">#REF!</definedName>
    <definedName name="ISO" localSheetId="4">#REF!</definedName>
    <definedName name="ISO">#REF!</definedName>
    <definedName name="itmax" localSheetId="1">#REF!</definedName>
    <definedName name="itmax" localSheetId="0">#REF!</definedName>
    <definedName name="itmax" localSheetId="4">#REF!</definedName>
    <definedName name="itmax" localSheetId="11">#REF!</definedName>
    <definedName name="itmax">#REF!</definedName>
    <definedName name="J" localSheetId="1">#REF!</definedName>
    <definedName name="J" localSheetId="0">#REF!</definedName>
    <definedName name="J" localSheetId="4">#REF!</definedName>
    <definedName name="J" localSheetId="11">#REF!</definedName>
    <definedName name="J">#REF!</definedName>
    <definedName name="jddd" localSheetId="11" hidden="1">{"form-D1",#N/A,FALSE,"FORM-D1";"form-D1_amt",#N/A,FALSE,"FORM-D1"}</definedName>
    <definedName name="jddd" localSheetId="10" hidden="1">{"form-D1",#N/A,FALSE,"FORM-D1";"form-D1_amt",#N/A,FALSE,"FORM-D1"}</definedName>
    <definedName name="jddd">{"form-D1",#N/A,FALSE,"FORM-D1";"form-D1_amt",#N/A,FALSE,"FORM-D1"}</definedName>
    <definedName name="JEJS" localSheetId="1">#REF!</definedName>
    <definedName name="JEJS" localSheetId="0">#REF!</definedName>
    <definedName name="JEJS" localSheetId="4">#REF!</definedName>
    <definedName name="JEJS" localSheetId="11">#REF!</definedName>
    <definedName name="JEJS">#REF!</definedName>
    <definedName name="JEJS___0" localSheetId="1">#REF!</definedName>
    <definedName name="JEJS___0" localSheetId="0">#REF!</definedName>
    <definedName name="JEJS___0" localSheetId="4">#REF!</definedName>
    <definedName name="JEJS___0" localSheetId="11">#REF!</definedName>
    <definedName name="JEJS___0">#REF!</definedName>
    <definedName name="JEJS___11" localSheetId="1">#REF!</definedName>
    <definedName name="JEJS___11" localSheetId="0">#REF!</definedName>
    <definedName name="JEJS___11" localSheetId="4">#REF!</definedName>
    <definedName name="JEJS___11" localSheetId="11">#REF!</definedName>
    <definedName name="JEJS___11">#REF!</definedName>
    <definedName name="JEJS___12" localSheetId="1">#REF!</definedName>
    <definedName name="JEJS___12" localSheetId="0">#REF!</definedName>
    <definedName name="JEJS___12" localSheetId="4">#REF!</definedName>
    <definedName name="JEJS___12">#REF!</definedName>
    <definedName name="JEJS___13" localSheetId="1">#REF!</definedName>
    <definedName name="JEJS___13" localSheetId="0">#REF!</definedName>
    <definedName name="JEJS___13" localSheetId="4">#REF!</definedName>
    <definedName name="JEJS___13">#REF!</definedName>
    <definedName name="JEJS___4" localSheetId="1">#REF!</definedName>
    <definedName name="JEJS___4" localSheetId="0">#REF!</definedName>
    <definedName name="JEJS___4" localSheetId="4">#REF!</definedName>
    <definedName name="JEJS___4">#REF!</definedName>
    <definedName name="jgjg" localSheetId="11" hidden="1">{"'PROFITABILITY'!$A$1:$F$45"}</definedName>
    <definedName name="jgjg" localSheetId="10" hidden="1">{"'PROFITABILITY'!$A$1:$F$45"}</definedName>
    <definedName name="jgjg">{"'PROFITABILITY'!$A$1:$F$45"}</definedName>
    <definedName name="JH" localSheetId="1">#REF!</definedName>
    <definedName name="JH" localSheetId="0">#REF!</definedName>
    <definedName name="JH" localSheetId="4">#REF!</definedName>
    <definedName name="JH">#REF!</definedName>
    <definedName name="jj" localSheetId="1">#REF!</definedName>
    <definedName name="jj" localSheetId="0">#REF!</definedName>
    <definedName name="jj" localSheetId="4">#REF!</definedName>
    <definedName name="jj">#REF!</definedName>
    <definedName name="jjdzjjklb6f6e8f7f">#REF!</definedName>
    <definedName name="jjj" localSheetId="11" hidden="1">{"form-D1",#N/A,FALSE,"FORM-D1";"form-D1_amt",#N/A,FALSE,"FORM-D1"}</definedName>
    <definedName name="jjj" localSheetId="10" hidden="1">{"form-D1",#N/A,FALSE,"FORM-D1";"form-D1_amt",#N/A,FALSE,"FORM-D1"}</definedName>
    <definedName name="jjj">{"form-D1",#N/A,FALSE,"FORM-D1";"form-D1_amt",#N/A,FALSE,"FORM-D1"}</definedName>
    <definedName name="jjjjjj" localSheetId="11" hidden="1">{"form-D1",#N/A,FALSE,"FORM-D1";"form-D1_amt",#N/A,FALSE,"FORM-D1"}</definedName>
    <definedName name="jjjjjj" localSheetId="10" hidden="1">{"form-D1",#N/A,FALSE,"FORM-D1";"form-D1_amt",#N/A,FALSE,"FORM-D1"}</definedName>
    <definedName name="jjjjjj">{"form-D1",#N/A,FALSE,"FORM-D1";"form-D1_amt",#N/A,FALSE,"FORM-D1"}</definedName>
    <definedName name="jjjjjjjjj" localSheetId="11" hidden="1">{"form-D1",#N/A,FALSE,"FORM-D1";"form-D1_amt",#N/A,FALSE,"FORM-D1"}</definedName>
    <definedName name="jjjjjjjjj" localSheetId="10" hidden="1">{"form-D1",#N/A,FALSE,"FORM-D1";"form-D1_amt",#N/A,FALSE,"FORM-D1"}</definedName>
    <definedName name="jjjjjjjjj">{"form-D1",#N/A,FALSE,"FORM-D1";"form-D1_amt",#N/A,FALSE,"FORM-D1"}</definedName>
    <definedName name="jjjjjjjjjjjj" localSheetId="11" hidden="1">{"form-D1",#N/A,FALSE,"FORM-D1";"form-D1_amt",#N/A,FALSE,"FORM-D1"}</definedName>
    <definedName name="jjjjjjjjjjjj" localSheetId="10" hidden="1">{"form-D1",#N/A,FALSE,"FORM-D1";"form-D1_amt",#N/A,FALSE,"FORM-D1"}</definedName>
    <definedName name="jjjjjjjjjjjj">{"form-D1",#N/A,FALSE,"FORM-D1";"form-D1_amt",#N/A,FALSE,"FORM-D1"}</definedName>
    <definedName name="jk" localSheetId="1">#REF!</definedName>
    <definedName name="jk" localSheetId="0">#REF!</definedName>
    <definedName name="jk" localSheetId="4">#REF!</definedName>
    <definedName name="jk" localSheetId="11">#REF!</definedName>
    <definedName name="jk">#REF!</definedName>
    <definedName name="job___0" localSheetId="1">#REF!</definedName>
    <definedName name="job___0" localSheetId="0">#REF!</definedName>
    <definedName name="job___0" localSheetId="4">#REF!</definedName>
    <definedName name="job___0" localSheetId="11">#REF!</definedName>
    <definedName name="job___0">#REF!</definedName>
    <definedName name="job___11" localSheetId="1">#REF!</definedName>
    <definedName name="job___11" localSheetId="0">#REF!</definedName>
    <definedName name="job___11" localSheetId="4">#REF!</definedName>
    <definedName name="job___11" localSheetId="11">#REF!</definedName>
    <definedName name="job___11">#REF!</definedName>
    <definedName name="job___12" localSheetId="1">#REF!</definedName>
    <definedName name="job___12" localSheetId="0">#REF!</definedName>
    <definedName name="job___12" localSheetId="4">#REF!</definedName>
    <definedName name="job___12" localSheetId="11">#REF!</definedName>
    <definedName name="job___12">#REF!</definedName>
    <definedName name="JobID" localSheetId="1">#REF!</definedName>
    <definedName name="JobID" localSheetId="0">#REF!</definedName>
    <definedName name="JobID" localSheetId="4">#REF!</definedName>
    <definedName name="JobID">#REF!</definedName>
    <definedName name="JR_Line" localSheetId="11">#REF!</definedName>
    <definedName name="JR_Line">#REF!</definedName>
    <definedName name="K" localSheetId="1">#REF!</definedName>
    <definedName name="K" localSheetId="0">#REF!</definedName>
    <definedName name="K" localSheetId="4">#REF!</definedName>
    <definedName name="K" localSheetId="11">#REF!</definedName>
    <definedName name="K">#REF!</definedName>
    <definedName name="K___0" localSheetId="1">#REF!</definedName>
    <definedName name="K___0" localSheetId="0">#REF!</definedName>
    <definedName name="K___0" localSheetId="4">#REF!</definedName>
    <definedName name="K___0" localSheetId="11">#REF!</definedName>
    <definedName name="K___0">#REF!</definedName>
    <definedName name="K___13" localSheetId="1">#REF!</definedName>
    <definedName name="K___13" localSheetId="0">#REF!</definedName>
    <definedName name="K___13" localSheetId="4">#REF!</definedName>
    <definedName name="K___13">#REF!</definedName>
    <definedName name="K_a" localSheetId="1">#REF!</definedName>
    <definedName name="K_a" localSheetId="0">#REF!</definedName>
    <definedName name="K_a" localSheetId="4">#REF!</definedName>
    <definedName name="K_a" localSheetId="11">#REF!</definedName>
    <definedName name="K_a">#REF!</definedName>
    <definedName name="K_b" localSheetId="1">#REF!</definedName>
    <definedName name="K_b" localSheetId="0">#REF!</definedName>
    <definedName name="K_b" localSheetId="4">#REF!</definedName>
    <definedName name="K_b" localSheetId="11">#REF!</definedName>
    <definedName name="K_b">#REF!</definedName>
    <definedName name="k0" localSheetId="11">#REF!</definedName>
    <definedName name="k0">#REF!</definedName>
    <definedName name="k1_table" localSheetId="1">#REF!</definedName>
    <definedName name="k1_table" localSheetId="0">#REF!</definedName>
    <definedName name="k1_table" localSheetId="4">#REF!</definedName>
    <definedName name="k1_table">#REF!</definedName>
    <definedName name="k1l" localSheetId="1">#REF!</definedName>
    <definedName name="k1l" localSheetId="0">#REF!</definedName>
    <definedName name="k1l" localSheetId="4">#REF!</definedName>
    <definedName name="k1l">#REF!</definedName>
    <definedName name="k1s" localSheetId="1">#REF!</definedName>
    <definedName name="k1s" localSheetId="0">#REF!</definedName>
    <definedName name="k1s" localSheetId="4">#REF!</definedName>
    <definedName name="k1s">#REF!</definedName>
    <definedName name="K1V" localSheetId="1">#REF!</definedName>
    <definedName name="K1V" localSheetId="0">#REF!</definedName>
    <definedName name="K1V" localSheetId="4">#REF!</definedName>
    <definedName name="K1V">#REF!</definedName>
    <definedName name="k2s" localSheetId="1">#REF!</definedName>
    <definedName name="k2s" localSheetId="0">#REF!</definedName>
    <definedName name="k2s" localSheetId="4">#REF!</definedName>
    <definedName name="k2s" localSheetId="11">#REF!</definedName>
    <definedName name="k2s">#REF!</definedName>
    <definedName name="K2v" localSheetId="1">#REF!</definedName>
    <definedName name="K2v" localSheetId="0">#REF!</definedName>
    <definedName name="K2v" localSheetId="4">#REF!</definedName>
    <definedName name="K2v" localSheetId="11">#REF!</definedName>
    <definedName name="K2v">#REF!</definedName>
    <definedName name="K3V" localSheetId="1">#REF!</definedName>
    <definedName name="K3V" localSheetId="0">#REF!</definedName>
    <definedName name="K3V" localSheetId="4">#REF!</definedName>
    <definedName name="K3V" localSheetId="11">#REF!</definedName>
    <definedName name="K3V">#REF!</definedName>
    <definedName name="ka" localSheetId="1">#REF!</definedName>
    <definedName name="ka" localSheetId="0">#REF!</definedName>
    <definedName name="ka" localSheetId="4">#REF!</definedName>
    <definedName name="ka" localSheetId="11">#REF!</definedName>
    <definedName name="ka">#REF!</definedName>
    <definedName name="KAMAL" localSheetId="11" hidden="1">{"form-D1",#N/A,FALSE,"FORM-D1";"form-D1_amt",#N/A,FALSE,"FORM-D1"}</definedName>
    <definedName name="KAMAL" localSheetId="10" hidden="1">{"form-D1",#N/A,FALSE,"FORM-D1";"form-D1_amt",#N/A,FALSE,"FORM-D1"}</definedName>
    <definedName name="KAMAL">{"form-D1",#N/A,FALSE,"FORM-D1";"form-D1_amt",#N/A,FALSE,"FORM-D1"}</definedName>
    <definedName name="kaml" localSheetId="11" hidden="1">{"form-D1",#N/A,FALSE,"FORM-D1";"form-D1_amt",#N/A,FALSE,"FORM-D1"}</definedName>
    <definedName name="kaml" localSheetId="10" hidden="1">{"form-D1",#N/A,FALSE,"FORM-D1";"form-D1_amt",#N/A,FALSE,"FORM-D1"}</definedName>
    <definedName name="kaml">{"form-D1",#N/A,FALSE,"FORM-D1";"form-D1_amt",#N/A,FALSE,"FORM-D1"}</definedName>
    <definedName name="kb" localSheetId="1">#REF!</definedName>
    <definedName name="kb" localSheetId="0">#REF!</definedName>
    <definedName name="kb" localSheetId="4">#REF!</definedName>
    <definedName name="kb" localSheetId="11">#REF!</definedName>
    <definedName name="kb">#REF!</definedName>
    <definedName name="kc" localSheetId="1">#REF!</definedName>
    <definedName name="kc" localSheetId="0">#REF!</definedName>
    <definedName name="kc" localSheetId="4">#REF!</definedName>
    <definedName name="kc" localSheetId="11">#REF!</definedName>
    <definedName name="kc">#REF!</definedName>
    <definedName name="key" localSheetId="1">#REF!</definedName>
    <definedName name="key" localSheetId="0">#REF!</definedName>
    <definedName name="key" localSheetId="4">#REF!</definedName>
    <definedName name="key" localSheetId="11" hidden="1">#REF!</definedName>
    <definedName name="key">#REF!</definedName>
    <definedName name="Kh" localSheetId="1">#REF!</definedName>
    <definedName name="Kh" localSheetId="0">#REF!</definedName>
    <definedName name="Kh" localSheetId="4">#REF!</definedName>
    <definedName name="Kh" localSheetId="11">#REF!</definedName>
    <definedName name="Kh">#REF!</definedName>
    <definedName name="Kh___0" localSheetId="1">#REF!</definedName>
    <definedName name="Kh___0" localSheetId="0">#REF!</definedName>
    <definedName name="Kh___0" localSheetId="4">#REF!</definedName>
    <definedName name="Kh___0" localSheetId="11">#REF!</definedName>
    <definedName name="Kh___0">#REF!</definedName>
    <definedName name="Kh___13" localSheetId="1">#REF!</definedName>
    <definedName name="Kh___13" localSheetId="0">#REF!</definedName>
    <definedName name="Kh___13" localSheetId="4">#REF!</definedName>
    <definedName name="Kh___13" localSheetId="11">#REF!</definedName>
    <definedName name="Kh___13">#REF!</definedName>
    <definedName name="Ki" localSheetId="1">#REF!</definedName>
    <definedName name="Ki" localSheetId="0">#REF!</definedName>
    <definedName name="Ki" localSheetId="4">#REF!</definedName>
    <definedName name="Ki">#REF!</definedName>
    <definedName name="Ki___0" localSheetId="1">#REF!</definedName>
    <definedName name="Ki___0" localSheetId="0">#REF!</definedName>
    <definedName name="Ki___0" localSheetId="4">#REF!</definedName>
    <definedName name="Ki___0">#REF!</definedName>
    <definedName name="Ki___13" localSheetId="1">#REF!</definedName>
    <definedName name="Ki___13" localSheetId="0">#REF!</definedName>
    <definedName name="Ki___13" localSheetId="4">#REF!</definedName>
    <definedName name="Ki___13">#REF!</definedName>
    <definedName name="Ki1___0" localSheetId="1">#REF!</definedName>
    <definedName name="Ki1___0" localSheetId="0">#REF!</definedName>
    <definedName name="Ki1___0" localSheetId="4">#REF!</definedName>
    <definedName name="Ki1___0">#REF!</definedName>
    <definedName name="Ki1___13" localSheetId="1">#REF!</definedName>
    <definedName name="Ki1___13" localSheetId="0">#REF!</definedName>
    <definedName name="Ki1___13" localSheetId="4">#REF!</definedName>
    <definedName name="Ki1___13">#REF!</definedName>
    <definedName name="Ki2___0" localSheetId="1">#REF!</definedName>
    <definedName name="Ki2___0" localSheetId="0">#REF!</definedName>
    <definedName name="Ki2___0" localSheetId="4">#REF!</definedName>
    <definedName name="Ki2___0">#REF!</definedName>
    <definedName name="Ki2___13" localSheetId="1">#REF!</definedName>
    <definedName name="Ki2___13" localSheetId="0">#REF!</definedName>
    <definedName name="Ki2___13" localSheetId="4">#REF!</definedName>
    <definedName name="Ki2___13">#REF!</definedName>
    <definedName name="Kii" localSheetId="1">#REF!</definedName>
    <definedName name="Kii" localSheetId="0">#REF!</definedName>
    <definedName name="Kii" localSheetId="4">#REF!</definedName>
    <definedName name="Kii">#REF!</definedName>
    <definedName name="Kii___0" localSheetId="1">#REF!</definedName>
    <definedName name="Kii___0" localSheetId="0">#REF!</definedName>
    <definedName name="Kii___0" localSheetId="4">#REF!</definedName>
    <definedName name="Kii___0">#REF!</definedName>
    <definedName name="Kii___13" localSheetId="1">#REF!</definedName>
    <definedName name="Kii___13" localSheetId="0">#REF!</definedName>
    <definedName name="Kii___13" localSheetId="4">#REF!</definedName>
    <definedName name="Kii___13">#REF!</definedName>
    <definedName name="kjlk">#REF!</definedName>
    <definedName name="kjnol">#REF!</definedName>
    <definedName name="KK" localSheetId="1">#REF!</definedName>
    <definedName name="KK" localSheetId="0">#REF!</definedName>
    <definedName name="KK" localSheetId="4">#REF!</definedName>
    <definedName name="KK">#REF!</definedName>
    <definedName name="kklhl" localSheetId="11" hidden="1">{"'PROFITABILITY'!$A$1:$F$45"}</definedName>
    <definedName name="kklhl" localSheetId="10" hidden="1">{"'PROFITABILITY'!$A$1:$F$45"}</definedName>
    <definedName name="kklhl">{"'PROFITABILITY'!$A$1:$F$45"}</definedName>
    <definedName name="kl" localSheetId="1">#REF!</definedName>
    <definedName name="kl" localSheetId="0">#REF!</definedName>
    <definedName name="kl" localSheetId="4">#REF!</definedName>
    <definedName name="kl">#REF!</definedName>
    <definedName name="klkml">#REF!</definedName>
    <definedName name="klmkl">#REF!</definedName>
    <definedName name="klsasK" localSheetId="1">#REF!</definedName>
    <definedName name="klsasK" localSheetId="0">#REF!</definedName>
    <definedName name="klsasK" localSheetId="4">#REF!</definedName>
    <definedName name="klsasK">#REF!</definedName>
    <definedName name="kltp" localSheetId="11" hidden="1">{"'PROFITABILITY'!$A$1:$F$45"}</definedName>
    <definedName name="kltp" localSheetId="10" hidden="1">{"'PROFITABILITY'!$A$1:$F$45"}</definedName>
    <definedName name="kltp">{"'PROFITABILITY'!$A$1:$F$45"}</definedName>
    <definedName name="Km" localSheetId="1">#REF!</definedName>
    <definedName name="Km" localSheetId="0">#REF!</definedName>
    <definedName name="Km" localSheetId="4">#REF!</definedName>
    <definedName name="Km">#REF!</definedName>
    <definedName name="Km___0" localSheetId="1">#REF!</definedName>
    <definedName name="Km___0" localSheetId="0">#REF!</definedName>
    <definedName name="Km___0" localSheetId="4">#REF!</definedName>
    <definedName name="Km___0">#REF!</definedName>
    <definedName name="Km___13" localSheetId="1">#REF!</definedName>
    <definedName name="Km___13" localSheetId="0">#REF!</definedName>
    <definedName name="Km___13" localSheetId="4">#REF!</definedName>
    <definedName name="Km___13">#REF!</definedName>
    <definedName name="ko" localSheetId="1">#REF!</definedName>
    <definedName name="ko" localSheetId="0">#REF!</definedName>
    <definedName name="ko" localSheetId="4">#REF!</definedName>
    <definedName name="ko">#REF!</definedName>
    <definedName name="Kone" localSheetId="1">#REF!</definedName>
    <definedName name="Kone" localSheetId="0">#REF!</definedName>
    <definedName name="Kone" localSheetId="4">#REF!</definedName>
    <definedName name="Kone">#REF!</definedName>
    <definedName name="kr" localSheetId="1">#REF!</definedName>
    <definedName name="kr" localSheetId="0">#REF!</definedName>
    <definedName name="kr" localSheetId="4">#REF!</definedName>
    <definedName name="kr">#REF!</definedName>
    <definedName name="Ks" localSheetId="1">#REF!</definedName>
    <definedName name="Ks" localSheetId="0">#REF!</definedName>
    <definedName name="Ks" localSheetId="4">#REF!</definedName>
    <definedName name="Ks">#REF!</definedName>
    <definedName name="Ks___0" localSheetId="1">#REF!</definedName>
    <definedName name="Ks___0" localSheetId="0">#REF!</definedName>
    <definedName name="Ks___0" localSheetId="4">#REF!</definedName>
    <definedName name="Ks___0">#REF!</definedName>
    <definedName name="Ks___13" localSheetId="1">#REF!</definedName>
    <definedName name="Ks___13" localSheetId="0">#REF!</definedName>
    <definedName name="Ks___13" localSheetId="4">#REF!</definedName>
    <definedName name="Ks___13">#REF!</definedName>
    <definedName name="kscc" localSheetId="1">#REF!</definedName>
    <definedName name="kscc" localSheetId="0">#REF!</definedName>
    <definedName name="kscc" localSheetId="4">#REF!</definedName>
    <definedName name="kscc">#REF!</definedName>
    <definedName name="kskk" localSheetId="11" hidden="1">{#N/A,#N/A,FALSE,"COVER.XLS";#N/A,#N/A,FALSE,"RACT1.XLS";#N/A,#N/A,FALSE,"RACT2.XLS";#N/A,#N/A,FALSE,"ECCMP";#N/A,#N/A,FALSE,"WELDER.XLS"}</definedName>
    <definedName name="kskk" localSheetId="10" hidden="1">{#N/A,#N/A,FALSE,"COVER.XLS";#N/A,#N/A,FALSE,"RACT1.XLS";#N/A,#N/A,FALSE,"RACT2.XLS";#N/A,#N/A,FALSE,"ECCMP";#N/A,#N/A,FALSE,"WELDER.XLS"}</definedName>
    <definedName name="kskk">{#N/A,#N/A,FALSE,"COVER.XLS";#N/A,#N/A,FALSE,"RACT1.XLS";#N/A,#N/A,FALSE,"RACT2.XLS";#N/A,#N/A,FALSE,"ECCMP";#N/A,#N/A,FALSE,"WELDER.XLS"}</definedName>
    <definedName name="kt" localSheetId="1">#REF!</definedName>
    <definedName name="kt" localSheetId="0">#REF!</definedName>
    <definedName name="kt" localSheetId="4">#REF!</definedName>
    <definedName name="kt" localSheetId="11">#REF!</definedName>
    <definedName name="kt">#REF!</definedName>
    <definedName name="ktd" localSheetId="1">#REF!</definedName>
    <definedName name="ktd" localSheetId="0">#REF!</definedName>
    <definedName name="ktd" localSheetId="4">#REF!</definedName>
    <definedName name="ktd" localSheetId="11">#REF!</definedName>
    <definedName name="ktd">#REF!</definedName>
    <definedName name="KTL" localSheetId="11">#REF!</definedName>
    <definedName name="KTL">#REF!</definedName>
    <definedName name="KUKULE_GANGA_HYDROPOWER_PROJECT" localSheetId="11">#REF!,#REF!,#REF!,#REF!,#REF!,#REF!,#REF!,#REF!,#REF!</definedName>
    <definedName name="KUKULE_GANGA_HYDROPOWER_PROJECT">#REF!,#REF!,#REF!,#REF!,#REF!,#REF!,#REF!,#REF!,#REF!</definedName>
    <definedName name="kvs" localSheetId="11" hidden="1">{#N/A,#N/A,FALSE,"COVER1.XLS ";#N/A,#N/A,FALSE,"RACT1.XLS";#N/A,#N/A,FALSE,"RACT2.XLS";#N/A,#N/A,FALSE,"ECCMP";#N/A,#N/A,FALSE,"WELDER.XLS"}</definedName>
    <definedName name="kvs" localSheetId="10" hidden="1">{#N/A,#N/A,FALSE,"COVER1.XLS ";#N/A,#N/A,FALSE,"RACT1.XLS";#N/A,#N/A,FALSE,"RACT2.XLS";#N/A,#N/A,FALSE,"ECCMP";#N/A,#N/A,FALSE,"WELDER.XLS"}</definedName>
    <definedName name="kvs">{#N/A,#N/A,FALSE,"COVER1.XLS ";#N/A,#N/A,FALSE,"RACT1.XLS";#N/A,#N/A,FALSE,"RACT2.XLS";#N/A,#N/A,FALSE,"ECCMP";#N/A,#N/A,FALSE,"WELDER.XLS"}</definedName>
    <definedName name="L" localSheetId="1">#REF!</definedName>
    <definedName name="L" localSheetId="0">#REF!</definedName>
    <definedName name="L" localSheetId="4">#REF!</definedName>
    <definedName name="L" localSheetId="11">#REF!</definedName>
    <definedName name="L">#REF!</definedName>
    <definedName name="L___0" localSheetId="1">#REF!</definedName>
    <definedName name="L___0" localSheetId="0">#REF!</definedName>
    <definedName name="L___0" localSheetId="4">#REF!</definedName>
    <definedName name="L___0" localSheetId="11">#REF!</definedName>
    <definedName name="L___0">#REF!</definedName>
    <definedName name="L___13" localSheetId="1">#REF!</definedName>
    <definedName name="L___13" localSheetId="0">#REF!</definedName>
    <definedName name="L___13" localSheetId="4">#REF!</definedName>
    <definedName name="L___13" localSheetId="11">#REF!</definedName>
    <definedName name="L___13">#REF!</definedName>
    <definedName name="L_T_PY_RSTL_RB_55" localSheetId="1">#REF!</definedName>
    <definedName name="L_T_PY_RSTL_RB_55" localSheetId="0">#REF!</definedName>
    <definedName name="L_T_PY_RSTL_RB_55" localSheetId="4">#REF!</definedName>
    <definedName name="L_T_PY_RSTL_RB_55">#REF!</definedName>
    <definedName name="l1x" localSheetId="1">#REF!</definedName>
    <definedName name="l1x" localSheetId="0">#REF!</definedName>
    <definedName name="l1x" localSheetId="4">#REF!</definedName>
    <definedName name="l1x">#REF!</definedName>
    <definedName name="l1xx" localSheetId="1">#REF!</definedName>
    <definedName name="l1xx" localSheetId="0">#REF!</definedName>
    <definedName name="l1xx" localSheetId="4">#REF!</definedName>
    <definedName name="l1xx">#REF!</definedName>
    <definedName name="l2x" localSheetId="1">#REF!</definedName>
    <definedName name="l2x" localSheetId="0">#REF!</definedName>
    <definedName name="l2x" localSheetId="4">#REF!</definedName>
    <definedName name="l2x">#REF!</definedName>
    <definedName name="l2xx" localSheetId="1">#REF!</definedName>
    <definedName name="l2xx" localSheetId="0">#REF!</definedName>
    <definedName name="l2xx" localSheetId="4">#REF!</definedName>
    <definedName name="l2xx">#REF!</definedName>
    <definedName name="LA" localSheetId="1">#REF!</definedName>
    <definedName name="LA" localSheetId="0">#REF!</definedName>
    <definedName name="LA" localSheetId="4">#REF!</definedName>
    <definedName name="LA">#REF!</definedName>
    <definedName name="lamda" localSheetId="1">#REF!</definedName>
    <definedName name="lamda" localSheetId="0">#REF!</definedName>
    <definedName name="lamda" localSheetId="4">#REF!</definedName>
    <definedName name="lamda" localSheetId="11">#REF!</definedName>
    <definedName name="lamda">#REF!</definedName>
    <definedName name="LAMP" localSheetId="1">#REF!</definedName>
    <definedName name="LAMP" localSheetId="0">#REF!</definedName>
    <definedName name="LAMP" localSheetId="4">#REF!</definedName>
    <definedName name="LAMP" localSheetId="11">#REF!</definedName>
    <definedName name="LAMP">#REF!</definedName>
    <definedName name="LAMP___0" localSheetId="1">#REF!</definedName>
    <definedName name="LAMP___0" localSheetId="0">#REF!</definedName>
    <definedName name="LAMP___0" localSheetId="4">#REF!</definedName>
    <definedName name="LAMP___0" localSheetId="11">#REF!</definedName>
    <definedName name="LAMP___0">#REF!</definedName>
    <definedName name="LAMP___13" localSheetId="1">#REF!</definedName>
    <definedName name="LAMP___13" localSheetId="0">#REF!</definedName>
    <definedName name="LAMP___13" localSheetId="4">#REF!</definedName>
    <definedName name="LAMP___13">#REF!</definedName>
    <definedName name="Lap_length_for_side_wall_reiforcemnt" localSheetId="1">#REF!</definedName>
    <definedName name="Lap_length_for_side_wall_reiforcemnt" localSheetId="0">#REF!</definedName>
    <definedName name="Lap_length_for_side_wall_reiforcemnt" localSheetId="4">#REF!</definedName>
    <definedName name="Lap_length_for_side_wall_reiforcemnt">#REF!</definedName>
    <definedName name="Last_Row" localSheetId="11">#N/A</definedName>
    <definedName name="Last_Row" localSheetId="10">#N/A</definedName>
    <definedName name="Last_Row">#REF!</definedName>
    <definedName name="LBA" localSheetId="1">#REF!</definedName>
    <definedName name="LBA" localSheetId="0">#REF!</definedName>
    <definedName name="LBA" localSheetId="4">#REF!</definedName>
    <definedName name="LBA" localSheetId="11">#REF!</definedName>
    <definedName name="LBA">#REF!</definedName>
    <definedName name="lc" localSheetId="1">#REF!</definedName>
    <definedName name="lc" localSheetId="0">#REF!</definedName>
    <definedName name="lc" localSheetId="4">#REF!</definedName>
    <definedName name="lc" localSheetId="11">#REF!</definedName>
    <definedName name="lc">#REF!</definedName>
    <definedName name="Lc___0" localSheetId="1">#REF!</definedName>
    <definedName name="Lc___0" localSheetId="0">#REF!</definedName>
    <definedName name="Lc___0" localSheetId="4">#REF!</definedName>
    <definedName name="Lc___0" localSheetId="11">#REF!</definedName>
    <definedName name="Lc___0">#REF!</definedName>
    <definedName name="Lc___13" localSheetId="1">#REF!</definedName>
    <definedName name="Lc___13" localSheetId="0">#REF!</definedName>
    <definedName name="Lc___13" localSheetId="4">#REF!</definedName>
    <definedName name="Lc___13" localSheetId="11">#REF!</definedName>
    <definedName name="Lc___13">#REF!</definedName>
    <definedName name="lcs" localSheetId="1">#REF!</definedName>
    <definedName name="lcs" localSheetId="0">#REF!</definedName>
    <definedName name="lcs" localSheetId="4">#REF!</definedName>
    <definedName name="lcs">#REF!</definedName>
    <definedName name="ldlen1" localSheetId="1">#REF!</definedName>
    <definedName name="ldlen1" localSheetId="0">#REF!</definedName>
    <definedName name="ldlen1" localSheetId="4">#REF!</definedName>
    <definedName name="ldlen1" localSheetId="11">#REF!</definedName>
    <definedName name="ldlen1">#REF!</definedName>
    <definedName name="ldlen2" localSheetId="1">#REF!</definedName>
    <definedName name="ldlen2" localSheetId="0">#REF!</definedName>
    <definedName name="ldlen2" localSheetId="4">#REF!</definedName>
    <definedName name="ldlen2" localSheetId="11">#REF!</definedName>
    <definedName name="ldlen2">#REF!</definedName>
    <definedName name="lef" localSheetId="1">#REF!</definedName>
    <definedName name="lef" localSheetId="0">#REF!</definedName>
    <definedName name="lef" localSheetId="4">#REF!</definedName>
    <definedName name="lef" localSheetId="11">#REF!</definedName>
    <definedName name="lef">#REF!</definedName>
    <definedName name="lel" localSheetId="1">#REF!</definedName>
    <definedName name="lel" localSheetId="0">#REF!</definedName>
    <definedName name="lel" localSheetId="4">#REF!</definedName>
    <definedName name="lel" localSheetId="11">#REF!</definedName>
    <definedName name="lel">#REF!</definedName>
    <definedName name="len" localSheetId="1">#REF!</definedName>
    <definedName name="len" localSheetId="0">#REF!</definedName>
    <definedName name="len" localSheetId="4">#REF!</definedName>
    <definedName name="len" localSheetId="11">#REF!</definedName>
    <definedName name="len">#REF!</definedName>
    <definedName name="Length_of_cable_tray" localSheetId="1">#REF!</definedName>
    <definedName name="Length_of_cable_tray" localSheetId="0">#REF!</definedName>
    <definedName name="Length_of_cable_tray" localSheetId="4">#REF!</definedName>
    <definedName name="Length_of_cable_tray">#REF!</definedName>
    <definedName name="LG" localSheetId="1">#REF!</definedName>
    <definedName name="LG" localSheetId="0">#REF!</definedName>
    <definedName name="LG" localSheetId="4">#REF!</definedName>
    <definedName name="LG">#REF!</definedName>
    <definedName name="li" localSheetId="1">#REF!</definedName>
    <definedName name="li" localSheetId="0">#REF!</definedName>
    <definedName name="li" localSheetId="4">#REF!</definedName>
    <definedName name="li">#REF!</definedName>
    <definedName name="light" localSheetId="1">#REF!</definedName>
    <definedName name="light" localSheetId="0">#REF!</definedName>
    <definedName name="light" localSheetId="4">#REF!</definedName>
    <definedName name="light">#REF!</definedName>
    <definedName name="line">#REF!</definedName>
    <definedName name="LIRA" localSheetId="11">#REF!</definedName>
    <definedName name="LIRA">#REF!</definedName>
    <definedName name="lk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lll" localSheetId="11">#REF!</definedName>
    <definedName name="llll">#REF!</definedName>
    <definedName name="lm" localSheetId="1">#REF!</definedName>
    <definedName name="lm" localSheetId="0">#REF!</definedName>
    <definedName name="lm" localSheetId="4">#REF!</definedName>
    <definedName name="lm" localSheetId="11">#REF!</definedName>
    <definedName name="lm">#REF!</definedName>
    <definedName name="LMO" localSheetId="1">#REF!</definedName>
    <definedName name="LMO" localSheetId="0">#REF!</definedName>
    <definedName name="LMO" localSheetId="4">#REF!</definedName>
    <definedName name="LMO" localSheetId="11">#REF!</definedName>
    <definedName name="LMO">#REF!</definedName>
    <definedName name="LOA" localSheetId="11">#REF!</definedName>
    <definedName name="LOA">#REF!</definedName>
    <definedName name="Load" localSheetId="1">#REF!</definedName>
    <definedName name="Load" localSheetId="0">#REF!</definedName>
    <definedName name="Load" localSheetId="4">#REF!</definedName>
    <definedName name="Load" localSheetId="11">#REF!</definedName>
    <definedName name="Load">#REF!</definedName>
    <definedName name="Loan_Amount" localSheetId="1">#REF!</definedName>
    <definedName name="Loan_Amount" localSheetId="0">#REF!</definedName>
    <definedName name="Loan_Amount" localSheetId="4">#REF!</definedName>
    <definedName name="Loan_Amount" localSheetId="11">#REF!</definedName>
    <definedName name="Loan_Amount">#REF!</definedName>
    <definedName name="Loan_Start" localSheetId="1">#REF!</definedName>
    <definedName name="Loan_Start" localSheetId="0">#REF!</definedName>
    <definedName name="Loan_Start" localSheetId="4">#REF!</definedName>
    <definedName name="Loan_Start">#REF!</definedName>
    <definedName name="Loan_Years" localSheetId="1">#REF!</definedName>
    <definedName name="Loan_Years" localSheetId="0">#REF!</definedName>
    <definedName name="Loan_Years" localSheetId="4">#REF!</definedName>
    <definedName name="Loan_Years">#REF!</definedName>
    <definedName name="logo1">"Picture 7"</definedName>
    <definedName name="logoa">#REF!</definedName>
    <definedName name="Lp" localSheetId="1">#REF!</definedName>
    <definedName name="Lp" localSheetId="0">#REF!</definedName>
    <definedName name="Lp" localSheetId="4">#REF!</definedName>
    <definedName name="Lp" localSheetId="11">#REF!</definedName>
    <definedName name="Lp">#REF!</definedName>
    <definedName name="Lr" localSheetId="1">#REF!</definedName>
    <definedName name="Lr" localSheetId="0">#REF!</definedName>
    <definedName name="Lr" localSheetId="4">#REF!</definedName>
    <definedName name="Lr" localSheetId="11">#REF!</definedName>
    <definedName name="Lr">#REF!</definedName>
    <definedName name="Lr___0" localSheetId="1">#REF!</definedName>
    <definedName name="Lr___0" localSheetId="0">#REF!</definedName>
    <definedName name="Lr___0" localSheetId="4">#REF!</definedName>
    <definedName name="Lr___0" localSheetId="11">#REF!</definedName>
    <definedName name="Lr___0">#REF!</definedName>
    <definedName name="Lr___13" localSheetId="1">#REF!</definedName>
    <definedName name="Lr___13" localSheetId="0">#REF!</definedName>
    <definedName name="Lr___13" localSheetId="4">#REF!</definedName>
    <definedName name="Lr___13">#REF!</definedName>
    <definedName name="ls" localSheetId="1">#REF!</definedName>
    <definedName name="ls" localSheetId="0">#REF!</definedName>
    <definedName name="ls" localSheetId="4">#REF!</definedName>
    <definedName name="ls">#REF!</definedName>
    <definedName name="lso" localSheetId="1">#REF!</definedName>
    <definedName name="lso" localSheetId="0">#REF!</definedName>
    <definedName name="lso" localSheetId="4">#REF!</definedName>
    <definedName name="lso">#REF!</definedName>
    <definedName name="LTCG">#REF!</definedName>
    <definedName name="LTR" localSheetId="1">#REF!</definedName>
    <definedName name="LTR" localSheetId="0">#REF!</definedName>
    <definedName name="LTR" localSheetId="4">#REF!</definedName>
    <definedName name="LTR">#REF!</definedName>
    <definedName name="LUMEN" localSheetId="1">#REF!</definedName>
    <definedName name="LUMEN" localSheetId="0">#REF!</definedName>
    <definedName name="LUMEN" localSheetId="4">#REF!</definedName>
    <definedName name="LUMEN" localSheetId="11">#REF!</definedName>
    <definedName name="LUMEN">#REF!</definedName>
    <definedName name="LUMEN___0" localSheetId="1">#REF!</definedName>
    <definedName name="LUMEN___0" localSheetId="0">#REF!</definedName>
    <definedName name="LUMEN___0" localSheetId="4">#REF!</definedName>
    <definedName name="LUMEN___0" localSheetId="11">#REF!</definedName>
    <definedName name="LUMEN___0">#REF!</definedName>
    <definedName name="LUMEN___13" localSheetId="1">#REF!</definedName>
    <definedName name="LUMEN___13" localSheetId="0">#REF!</definedName>
    <definedName name="LUMEN___13" localSheetId="4">#REF!</definedName>
    <definedName name="LUMEN___13" localSheetId="11">#REF!</definedName>
    <definedName name="LUMEN___13">#REF!</definedName>
    <definedName name="LUX" localSheetId="1">#REF!</definedName>
    <definedName name="LUX" localSheetId="0">#REF!</definedName>
    <definedName name="LUX" localSheetId="4">#REF!</definedName>
    <definedName name="LUX">#REF!</definedName>
    <definedName name="LUX___0" localSheetId="1">#REF!</definedName>
    <definedName name="LUX___0" localSheetId="0">#REF!</definedName>
    <definedName name="LUX___0" localSheetId="4">#REF!</definedName>
    <definedName name="LUX___0">#REF!</definedName>
    <definedName name="LUX___13" localSheetId="1">#REF!</definedName>
    <definedName name="LUX___13" localSheetId="0">#REF!</definedName>
    <definedName name="LUX___13" localSheetId="4">#REF!</definedName>
    <definedName name="LUX___13">#REF!</definedName>
    <definedName name="Lx" localSheetId="1">#REF!</definedName>
    <definedName name="Lx" localSheetId="0">#REF!</definedName>
    <definedName name="Lx" localSheetId="4">#REF!</definedName>
    <definedName name="Lx">#REF!</definedName>
    <definedName name="Lx___0" localSheetId="1">#REF!</definedName>
    <definedName name="Lx___0" localSheetId="0">#REF!</definedName>
    <definedName name="Lx___0" localSheetId="4">#REF!</definedName>
    <definedName name="Lx___0">#REF!</definedName>
    <definedName name="Lx___13" localSheetId="1">#REF!</definedName>
    <definedName name="Lx___13" localSheetId="0">#REF!</definedName>
    <definedName name="Lx___13" localSheetId="4">#REF!</definedName>
    <definedName name="Lx___13">#REF!</definedName>
    <definedName name="Lxx" localSheetId="1">#REF!</definedName>
    <definedName name="Lxx" localSheetId="0">#REF!</definedName>
    <definedName name="Lxx" localSheetId="4">#REF!</definedName>
    <definedName name="Lxx">#REF!</definedName>
    <definedName name="M" localSheetId="1">#REF!</definedName>
    <definedName name="M" localSheetId="0">#REF!</definedName>
    <definedName name="M" localSheetId="4">#REF!</definedName>
    <definedName name="M" localSheetId="11">#REF!</definedName>
    <definedName name="M">#REF!</definedName>
    <definedName name="m___0" localSheetId="1">#REF!</definedName>
    <definedName name="m___0" localSheetId="0">#REF!</definedName>
    <definedName name="m___0" localSheetId="4">#REF!</definedName>
    <definedName name="m___0">#REF!</definedName>
    <definedName name="m___13" localSheetId="1">#REF!</definedName>
    <definedName name="m___13" localSheetId="0">#REF!</definedName>
    <definedName name="m___13" localSheetId="4">#REF!</definedName>
    <definedName name="m___13">#REF!</definedName>
    <definedName name="M_A" localSheetId="1">#REF!</definedName>
    <definedName name="M_A" localSheetId="0">#REF!</definedName>
    <definedName name="M_A" localSheetId="4">#REF!</definedName>
    <definedName name="M_A">#REF!</definedName>
    <definedName name="M_B" localSheetId="1">#REF!</definedName>
    <definedName name="M_B" localSheetId="0">#REF!</definedName>
    <definedName name="M_B" localSheetId="4">#REF!</definedName>
    <definedName name="M_B">#REF!</definedName>
    <definedName name="M_s.MAMTHA_CONTRACTORS" localSheetId="1">#REF!</definedName>
    <definedName name="M_s.MAMTHA_CONTRACTORS" localSheetId="0">#REF!</definedName>
    <definedName name="M_s.MAMTHA_CONTRACTORS" localSheetId="4">#REF!</definedName>
    <definedName name="M_s.MAMTHA_CONTRACTORS">#REF!</definedName>
    <definedName name="M0">#REF!</definedName>
    <definedName name="Ma" localSheetId="1">#REF!</definedName>
    <definedName name="Ma" localSheetId="0">#REF!</definedName>
    <definedName name="Ma" localSheetId="4">#REF!</definedName>
    <definedName name="Ma" localSheetId="11">#REF!</definedName>
    <definedName name="Ma">#REF!</definedName>
    <definedName name="Ma_v" localSheetId="1">#REF!</definedName>
    <definedName name="Ma_v" localSheetId="0">#REF!</definedName>
    <definedName name="Ma_v" localSheetId="4">#REF!</definedName>
    <definedName name="Ma_v" localSheetId="11">#REF!</definedName>
    <definedName name="Ma_v">#REF!</definedName>
    <definedName name="MAACONSTN" localSheetId="1">#REF!</definedName>
    <definedName name="MAACONSTN" localSheetId="0">#REF!</definedName>
    <definedName name="MAACONSTN" localSheetId="4">#REF!</definedName>
    <definedName name="MAACONSTN" localSheetId="11">#REF!</definedName>
    <definedName name="MAACONSTN">#REF!</definedName>
    <definedName name="mac">75</definedName>
    <definedName name="main" localSheetId="1">#REF!</definedName>
    <definedName name="main" localSheetId="0">#REF!</definedName>
    <definedName name="main" localSheetId="4">#REF!</definedName>
    <definedName name="main" localSheetId="11">#REF!</definedName>
    <definedName name="main">#REF!</definedName>
    <definedName name="MainRelay" localSheetId="1">#REF!</definedName>
    <definedName name="MainRelay" localSheetId="0">#REF!</definedName>
    <definedName name="MainRelay" localSheetId="4">#REF!</definedName>
    <definedName name="MainRelay" localSheetId="11">#REF!</definedName>
    <definedName name="MainRelay">#REF!</definedName>
    <definedName name="majord" localSheetId="1">#REF!</definedName>
    <definedName name="majord" localSheetId="0">#REF!</definedName>
    <definedName name="majord" localSheetId="4">#REF!</definedName>
    <definedName name="majord" localSheetId="11">#REF!</definedName>
    <definedName name="majord">#REF!</definedName>
    <definedName name="majororders" localSheetId="1">#REF!</definedName>
    <definedName name="majororders" localSheetId="0">#REF!</definedName>
    <definedName name="majororders" localSheetId="4">#REF!</definedName>
    <definedName name="majororders">#REF!</definedName>
    <definedName name="man" localSheetId="1">#REF!</definedName>
    <definedName name="man" localSheetId="0">#REF!</definedName>
    <definedName name="man" localSheetId="4">#REF!</definedName>
    <definedName name="man">#REF!</definedName>
    <definedName name="man___0" localSheetId="1">#REF!</definedName>
    <definedName name="man___0" localSheetId="0">#REF!</definedName>
    <definedName name="man___0" localSheetId="4">#REF!</definedName>
    <definedName name="man___0">#REF!</definedName>
    <definedName name="man___11" localSheetId="1">#REF!</definedName>
    <definedName name="man___11" localSheetId="0">#REF!</definedName>
    <definedName name="man___11" localSheetId="4">#REF!</definedName>
    <definedName name="man___11">#REF!</definedName>
    <definedName name="man___12" localSheetId="1">#REF!</definedName>
    <definedName name="man___12" localSheetId="0">#REF!</definedName>
    <definedName name="man___12" localSheetId="4">#REF!</definedName>
    <definedName name="man___12">#REF!</definedName>
    <definedName name="manday1" localSheetId="1">#REF!</definedName>
    <definedName name="manday1" localSheetId="0">#REF!</definedName>
    <definedName name="manday1" localSheetId="4">#REF!</definedName>
    <definedName name="manday1">#REF!</definedName>
    <definedName name="manday1___0" localSheetId="1">#REF!</definedName>
    <definedName name="manday1___0" localSheetId="0">#REF!</definedName>
    <definedName name="manday1___0" localSheetId="4">#REF!</definedName>
    <definedName name="manday1___0">#REF!</definedName>
    <definedName name="manday1___11" localSheetId="1">#REF!</definedName>
    <definedName name="manday1___11" localSheetId="0">#REF!</definedName>
    <definedName name="manday1___11" localSheetId="4">#REF!</definedName>
    <definedName name="manday1___11">#REF!</definedName>
    <definedName name="manday1___12" localSheetId="1">#REF!</definedName>
    <definedName name="manday1___12" localSheetId="0">#REF!</definedName>
    <definedName name="manday1___12" localSheetId="4">#REF!</definedName>
    <definedName name="manday1___12">#REF!</definedName>
    <definedName name="mani" localSheetId="11" hidden="1">{"form-D1",#N/A,FALSE,"FORM-D1";"form-D1_amt",#N/A,FALSE,"FORM-D1"}</definedName>
    <definedName name="mani" localSheetId="10" hidden="1">{"form-D1",#N/A,FALSE,"FORM-D1";"form-D1_amt",#N/A,FALSE,"FORM-D1"}</definedName>
    <definedName name="mani">{"form-D1",#N/A,FALSE,"FORM-D1";"form-D1_amt",#N/A,FALSE,"FORM-D1"}</definedName>
    <definedName name="Manish" localSheetId="11" hidden="1">{"form-D1",#N/A,FALSE,"FORM-D1";"form-D1_amt",#N/A,FALSE,"FORM-D1"}</definedName>
    <definedName name="Manish" localSheetId="10" hidden="1">{"form-D1",#N/A,FALSE,"FORM-D1";"form-D1_amt",#N/A,FALSE,"FORM-D1"}</definedName>
    <definedName name="Manish">{"form-D1",#N/A,FALSE,"FORM-D1";"form-D1_amt",#N/A,FALSE,"FORM-D1"}</definedName>
    <definedName name="march_qty" localSheetId="1">#REF!</definedName>
    <definedName name="march_qty" localSheetId="0">#REF!</definedName>
    <definedName name="march_qty" localSheetId="4">#REF!</definedName>
    <definedName name="march_qty" localSheetId="11">#REF!</definedName>
    <definedName name="march_qty">#REF!</definedName>
    <definedName name="MATHS" localSheetId="1">#REF!</definedName>
    <definedName name="MATHS" localSheetId="0">#REF!</definedName>
    <definedName name="MATHS" localSheetId="4">#REF!</definedName>
    <definedName name="MATHS" localSheetId="11">#REF!</definedName>
    <definedName name="MATHS">#REF!</definedName>
    <definedName name="MB" localSheetId="1">#REF!</definedName>
    <definedName name="MB" localSheetId="0">#REF!</definedName>
    <definedName name="MB" localSheetId="4">#REF!</definedName>
    <definedName name="MB" localSheetId="11">#REF!</definedName>
    <definedName name="MB">#REF!</definedName>
    <definedName name="Mb_v" localSheetId="1">#REF!</definedName>
    <definedName name="Mb_v" localSheetId="0">#REF!</definedName>
    <definedName name="Mb_v" localSheetId="4">#REF!</definedName>
    <definedName name="Mb_v">#REF!</definedName>
    <definedName name="mc" localSheetId="1">#REF!</definedName>
    <definedName name="mc" localSheetId="0">#REF!</definedName>
    <definedName name="mc" localSheetId="4">#REF!</definedName>
    <definedName name="mc" localSheetId="11">#REF!</definedName>
    <definedName name="mc">#REF!</definedName>
    <definedName name="Mc_v" localSheetId="1">#REF!</definedName>
    <definedName name="Mc_v" localSheetId="0">#REF!</definedName>
    <definedName name="Mc_v" localSheetId="4">#REF!</definedName>
    <definedName name="Mc_v" localSheetId="11">#REF!</definedName>
    <definedName name="Mc_v">#REF!</definedName>
    <definedName name="Mcbdo" localSheetId="1">#REF!</definedName>
    <definedName name="Mcbdo" localSheetId="0">#REF!</definedName>
    <definedName name="Mcbdo" localSheetId="4">#REF!</definedName>
    <definedName name="Mcbdo" localSheetId="11">#REF!</definedName>
    <definedName name="Mcbdo">#REF!</definedName>
    <definedName name="mclo" localSheetId="1">#REF!</definedName>
    <definedName name="mclo" localSheetId="0">#REF!</definedName>
    <definedName name="mclo" localSheetId="4">#REF!</definedName>
    <definedName name="mclo" localSheetId="11">#REF!</definedName>
    <definedName name="mclo">#REF!</definedName>
    <definedName name="Mcwc" localSheetId="1">#REF!</definedName>
    <definedName name="Mcwc" localSheetId="0">#REF!</definedName>
    <definedName name="Mcwc" localSheetId="4">#REF!</definedName>
    <definedName name="Mcwc" localSheetId="11">#REF!</definedName>
    <definedName name="Mcwc">#REF!</definedName>
    <definedName name="Mcws" localSheetId="1">#REF!</definedName>
    <definedName name="Mcws" localSheetId="0">#REF!</definedName>
    <definedName name="Mcws" localSheetId="4">#REF!</definedName>
    <definedName name="Mcws" localSheetId="11">#REF!</definedName>
    <definedName name="Mcws">#REF!</definedName>
    <definedName name="Md" localSheetId="1">#REF!</definedName>
    <definedName name="Md" localSheetId="0">#REF!</definedName>
    <definedName name="Md" localSheetId="4">#REF!</definedName>
    <definedName name="Md">#REF!</definedName>
    <definedName name="Md_v" localSheetId="1">#REF!</definedName>
    <definedName name="Md_v" localSheetId="0">#REF!</definedName>
    <definedName name="Md_v" localSheetId="4">#REF!</definedName>
    <definedName name="Md_v">#REF!</definedName>
    <definedName name="Me" localSheetId="1">#REF!</definedName>
    <definedName name="Me" localSheetId="0">#REF!</definedName>
    <definedName name="Me" localSheetId="4">#REF!</definedName>
    <definedName name="Me">#REF!</definedName>
    <definedName name="Me_v" localSheetId="1">#REF!</definedName>
    <definedName name="Me_v" localSheetId="0">#REF!</definedName>
    <definedName name="Me_v" localSheetId="4">#REF!</definedName>
    <definedName name="Me_v">#REF!</definedName>
    <definedName name="MeanDepth_Inclusive_of_cover_sl._thk." localSheetId="1">#REF!</definedName>
    <definedName name="MeanDepth_Inclusive_of_cover_sl._thk." localSheetId="0">#REF!</definedName>
    <definedName name="MeanDepth_Inclusive_of_cover_sl._thk." localSheetId="4">#REF!</definedName>
    <definedName name="MeanDepth_Inclusive_of_cover_sl._thk.">#REF!</definedName>
    <definedName name="MF" localSheetId="1">#REF!</definedName>
    <definedName name="MF" localSheetId="0">#REF!</definedName>
    <definedName name="MF" localSheetId="4">#REF!</definedName>
    <definedName name="MF">#REF!</definedName>
    <definedName name="MF___0" localSheetId="1">#REF!</definedName>
    <definedName name="MF___0" localSheetId="0">#REF!</definedName>
    <definedName name="MF___0" localSheetId="4">#REF!</definedName>
    <definedName name="MF___0">#REF!</definedName>
    <definedName name="MF___13" localSheetId="1">#REF!</definedName>
    <definedName name="MF___13" localSheetId="0">#REF!</definedName>
    <definedName name="MF___13" localSheetId="4">#REF!</definedName>
    <definedName name="MF___13">#REF!</definedName>
    <definedName name="Mf_v" localSheetId="1">#REF!</definedName>
    <definedName name="Mf_v" localSheetId="0">#REF!</definedName>
    <definedName name="Mf_v" localSheetId="4">#REF!</definedName>
    <definedName name="Mf_v">#REF!</definedName>
    <definedName name="mff" localSheetId="1">#REF!</definedName>
    <definedName name="mff" localSheetId="0">#REF!</definedName>
    <definedName name="mff" localSheetId="4">#REF!</definedName>
    <definedName name="mff">#REF!</definedName>
    <definedName name="Mfour" localSheetId="1">#REF!</definedName>
    <definedName name="Mfour" localSheetId="0">#REF!</definedName>
    <definedName name="Mfour" localSheetId="4">#REF!</definedName>
    <definedName name="Mfour">#REF!</definedName>
    <definedName name="Mg" localSheetId="1">#REF!</definedName>
    <definedName name="Mg" localSheetId="0">#REF!</definedName>
    <definedName name="Mg" localSheetId="4">#REF!</definedName>
    <definedName name="Mg">#REF!</definedName>
    <definedName name="Mg_v" localSheetId="1">#REF!</definedName>
    <definedName name="Mg_v" localSheetId="0">#REF!</definedName>
    <definedName name="Mg_v" localSheetId="4">#REF!</definedName>
    <definedName name="Mg_v">#REF!</definedName>
    <definedName name="Mh" localSheetId="1">#REF!</definedName>
    <definedName name="Mh" localSheetId="0">#REF!</definedName>
    <definedName name="Mh" localSheetId="4">#REF!</definedName>
    <definedName name="Mh">#REF!</definedName>
    <definedName name="Mh_v" localSheetId="1">#REF!</definedName>
    <definedName name="Mh_v" localSheetId="0">#REF!</definedName>
    <definedName name="Mh_v" localSheetId="4">#REF!</definedName>
    <definedName name="Mh_v">#REF!</definedName>
    <definedName name="Mhpc" localSheetId="1">#REF!:#REF!</definedName>
    <definedName name="Mhpc" localSheetId="2">#REF!:#REF!</definedName>
    <definedName name="Mhpc" localSheetId="0">#REF!:#REF!</definedName>
    <definedName name="Mhpc" localSheetId="11">#REF!:#REF!</definedName>
    <definedName name="Mhpc">#REF!:#REF!</definedName>
    <definedName name="Mhpipd" localSheetId="1">#REF!</definedName>
    <definedName name="Mhpipd" localSheetId="0">#REF!</definedName>
    <definedName name="Mhpipd" localSheetId="4">#REF!</definedName>
    <definedName name="Mhpipd" localSheetId="11">#REF!</definedName>
    <definedName name="Mhpipd">#REF!</definedName>
    <definedName name="Mhps" localSheetId="1">#REF!</definedName>
    <definedName name="Mhps" localSheetId="0">#REF!</definedName>
    <definedName name="Mhps" localSheetId="4">#REF!</definedName>
    <definedName name="Mhps" localSheetId="11">#REF!</definedName>
    <definedName name="Mhps">#REF!</definedName>
    <definedName name="mhr" localSheetId="1">#REF!</definedName>
    <definedName name="mhr" localSheetId="0">#REF!</definedName>
    <definedName name="mhr" localSheetId="4">#REF!</definedName>
    <definedName name="mhr" localSheetId="11">#REF!</definedName>
    <definedName name="mhr">#REF!</definedName>
    <definedName name="Mipc" localSheetId="1">#REF!:#REF!</definedName>
    <definedName name="Mipc" localSheetId="2">#REF!:#REF!</definedName>
    <definedName name="Mipc" localSheetId="0">#REF!:#REF!</definedName>
    <definedName name="Mipc" localSheetId="11">#REF!:#REF!</definedName>
    <definedName name="Mipc">#REF!:#REF!</definedName>
    <definedName name="Mips" localSheetId="1">#REF!</definedName>
    <definedName name="Mips" localSheetId="0">#REF!</definedName>
    <definedName name="Mips" localSheetId="4">#REF!</definedName>
    <definedName name="Mips" localSheetId="11">#REF!</definedName>
    <definedName name="Mips">#REF!</definedName>
    <definedName name="mk" localSheetId="11">#REF!</definedName>
    <definedName name="mk">#REF!</definedName>
    <definedName name="mlbs" localSheetId="1">#REF!</definedName>
    <definedName name="mlbs" localSheetId="0">#REF!</definedName>
    <definedName name="mlbs" localSheetId="4">#REF!</definedName>
    <definedName name="mlbs" localSheetId="11">#REF!</definedName>
    <definedName name="mlbs">#REF!</definedName>
    <definedName name="mld" localSheetId="1">#REF!</definedName>
    <definedName name="mld" localSheetId="0">#REF!</definedName>
    <definedName name="mld" localSheetId="4">#REF!</definedName>
    <definedName name="mld" localSheetId="11">#REF!</definedName>
    <definedName name="mld">#REF!</definedName>
    <definedName name="mll" localSheetId="1">#REF!</definedName>
    <definedName name="mll" localSheetId="0">#REF!</definedName>
    <definedName name="mll" localSheetId="4">#REF!</definedName>
    <definedName name="mll" localSheetId="11">#REF!</definedName>
    <definedName name="mll">#REF!</definedName>
    <definedName name="Mlpc" localSheetId="1">#REF!</definedName>
    <definedName name="Mlpc" localSheetId="0">#REF!</definedName>
    <definedName name="Mlpc" localSheetId="4">#REF!</definedName>
    <definedName name="Mlpc" localSheetId="11">#REF!</definedName>
    <definedName name="Mlpc">#REF!</definedName>
    <definedName name="Mlpd" localSheetId="1">#REF!</definedName>
    <definedName name="Mlpd" localSheetId="0">#REF!</definedName>
    <definedName name="Mlpd" localSheetId="4">#REF!</definedName>
    <definedName name="Mlpd" localSheetId="11">#REF!</definedName>
    <definedName name="Mlpd">#REF!</definedName>
    <definedName name="Mlps" localSheetId="1">#REF!</definedName>
    <definedName name="Mlps" localSheetId="0">#REF!</definedName>
    <definedName name="Mlps" localSheetId="4">#REF!</definedName>
    <definedName name="Mlps" localSheetId="11">#REF!</definedName>
    <definedName name="Mlps">#REF!</definedName>
    <definedName name="mlt" localSheetId="1">#REF!</definedName>
    <definedName name="mlt" localSheetId="0">#REF!</definedName>
    <definedName name="mlt" localSheetId="4">#REF!</definedName>
    <definedName name="mlt">#REF!</definedName>
    <definedName name="mm" localSheetId="1">#REF!</definedName>
    <definedName name="mm" localSheetId="0">#REF!</definedName>
    <definedName name="mm" localSheetId="4">#REF!</definedName>
    <definedName name="mm" localSheetId="11">#REF!</definedName>
    <definedName name="mm">#REF!</definedName>
    <definedName name="mmm" localSheetId="11">#REF!</definedName>
    <definedName name="mmm">#REF!</definedName>
    <definedName name="mnk" localSheetId="1">#REF!</definedName>
    <definedName name="mnk" localSheetId="0">#REF!</definedName>
    <definedName name="mnk" localSheetId="4">#REF!</definedName>
    <definedName name="mnk" localSheetId="11">#REF!</definedName>
    <definedName name="mnk">#REF!</definedName>
    <definedName name="modassar" localSheetId="1">#REF!</definedName>
    <definedName name="modassar" localSheetId="0">#REF!</definedName>
    <definedName name="modassar" localSheetId="4">#REF!</definedName>
    <definedName name="modassar">#REF!</definedName>
    <definedName name="Mone" localSheetId="1">#REF!</definedName>
    <definedName name="Mone" localSheetId="0">#REF!</definedName>
    <definedName name="Mone" localSheetId="4">#REF!</definedName>
    <definedName name="Mone" localSheetId="11">#REF!</definedName>
    <definedName name="Mone">#REF!</definedName>
    <definedName name="ms" localSheetId="1">#REF!</definedName>
    <definedName name="ms" localSheetId="0">#REF!</definedName>
    <definedName name="ms" localSheetId="4">#REF!</definedName>
    <definedName name="ms" localSheetId="11">#REF!</definedName>
    <definedName name="ms">#REF!</definedName>
    <definedName name="MS200202rev2" localSheetId="1">#REF!</definedName>
    <definedName name="MS200202rev2" localSheetId="0">#REF!</definedName>
    <definedName name="MS200202rev2" localSheetId="4">#REF!</definedName>
    <definedName name="MS200202rev2" localSheetId="11">#REF!</definedName>
    <definedName name="MS200202rev2">#REF!</definedName>
    <definedName name="ms2002may1706" localSheetId="1">#REF!</definedName>
    <definedName name="ms2002may1706" localSheetId="0">#REF!</definedName>
    <definedName name="ms2002may1706" localSheetId="4">#REF!</definedName>
    <definedName name="ms2002may1706" localSheetId="11">#REF!</definedName>
    <definedName name="ms2002may1706">#REF!</definedName>
    <definedName name="Msbdo" localSheetId="1">#REF!</definedName>
    <definedName name="Msbdo" localSheetId="0">#REF!</definedName>
    <definedName name="Msbdo" localSheetId="4">#REF!</definedName>
    <definedName name="Msbdo">#REF!</definedName>
    <definedName name="msc" localSheetId="1">#REF!</definedName>
    <definedName name="msc" localSheetId="0">#REF!</definedName>
    <definedName name="msc" localSheetId="4">#REF!</definedName>
    <definedName name="msc">#REF!</definedName>
    <definedName name="msj">#REF!</definedName>
    <definedName name="msjune1807" localSheetId="1">#REF!</definedName>
    <definedName name="msjune1807" localSheetId="0">#REF!</definedName>
    <definedName name="msjune1807" localSheetId="4">#REF!</definedName>
    <definedName name="msjune1807">#REF!</definedName>
    <definedName name="Mthree" localSheetId="1">#REF!</definedName>
    <definedName name="Mthree" localSheetId="0">#REF!</definedName>
    <definedName name="Mthree" localSheetId="4">#REF!</definedName>
    <definedName name="Mthree" localSheetId="11">#REF!</definedName>
    <definedName name="Mthree">#REF!</definedName>
    <definedName name="MVAR50" localSheetId="1">#REF!</definedName>
    <definedName name="MVAR50" localSheetId="0">#REF!</definedName>
    <definedName name="MVAR50" localSheetId="4">#REF!</definedName>
    <definedName name="MVAR50" localSheetId="11">#REF!</definedName>
    <definedName name="MVAR50">#REF!</definedName>
    <definedName name="MVAR63" localSheetId="1">#REF!</definedName>
    <definedName name="MVAR63" localSheetId="0">#REF!</definedName>
    <definedName name="MVAR63" localSheetId="4">#REF!</definedName>
    <definedName name="MVAR63" localSheetId="11">#REF!</definedName>
    <definedName name="MVAR63">#REF!</definedName>
    <definedName name="MVAR80" localSheetId="1">#REF!</definedName>
    <definedName name="MVAR80" localSheetId="0">#REF!</definedName>
    <definedName name="MVAR80" localSheetId="4">#REF!</definedName>
    <definedName name="MVAR80">#REF!</definedName>
    <definedName name="MyList">#REF!</definedName>
    <definedName name="N" localSheetId="1">#REF!</definedName>
    <definedName name="N" localSheetId="0">#REF!</definedName>
    <definedName name="N" localSheetId="4">#REF!</definedName>
    <definedName name="N" localSheetId="11">#REF!</definedName>
    <definedName name="N">#REF!</definedName>
    <definedName name="N___0" localSheetId="1">#REF!</definedName>
    <definedName name="N___0" localSheetId="0">#REF!</definedName>
    <definedName name="N___0" localSheetId="4">#REF!</definedName>
    <definedName name="N___0">#REF!</definedName>
    <definedName name="N___13" localSheetId="1">#REF!</definedName>
    <definedName name="N___13" localSheetId="0">#REF!</definedName>
    <definedName name="N___13" localSheetId="4">#REF!</definedName>
    <definedName name="N___13">#REF!</definedName>
    <definedName name="n1x" localSheetId="1">#REF!</definedName>
    <definedName name="n1x" localSheetId="0">#REF!</definedName>
    <definedName name="n1x" localSheetId="4">#REF!</definedName>
    <definedName name="n1x">#REF!</definedName>
    <definedName name="n1xx" localSheetId="1">#REF!</definedName>
    <definedName name="n1xx" localSheetId="0">#REF!</definedName>
    <definedName name="n1xx" localSheetId="4">#REF!</definedName>
    <definedName name="n1xx">#REF!</definedName>
    <definedName name="n1y" localSheetId="1">#REF!</definedName>
    <definedName name="n1y" localSheetId="0">#REF!</definedName>
    <definedName name="n1y" localSheetId="4">#REF!</definedName>
    <definedName name="n1y">#REF!</definedName>
    <definedName name="n1yy" localSheetId="1">#REF!</definedName>
    <definedName name="n1yy" localSheetId="0">#REF!</definedName>
    <definedName name="n1yy" localSheetId="4">#REF!</definedName>
    <definedName name="n1yy">#REF!</definedName>
    <definedName name="n2x" localSheetId="1">#REF!</definedName>
    <definedName name="n2x" localSheetId="0">#REF!</definedName>
    <definedName name="n2x" localSheetId="4">#REF!</definedName>
    <definedName name="n2x">#REF!</definedName>
    <definedName name="n2xx" localSheetId="1">#REF!</definedName>
    <definedName name="n2xx" localSheetId="0">#REF!</definedName>
    <definedName name="n2xx" localSheetId="4">#REF!</definedName>
    <definedName name="n2xx">#REF!</definedName>
    <definedName name="n2y" localSheetId="1">#REF!</definedName>
    <definedName name="n2y" localSheetId="0">#REF!</definedName>
    <definedName name="n2y" localSheetId="4">#REF!</definedName>
    <definedName name="n2y">#REF!</definedName>
    <definedName name="n2yy" localSheetId="1">#REF!</definedName>
    <definedName name="n2yy" localSheetId="0">#REF!</definedName>
    <definedName name="n2yy" localSheetId="4">#REF!</definedName>
    <definedName name="n2yy">#REF!</definedName>
    <definedName name="na" localSheetId="1">#REF!</definedName>
    <definedName name="na" localSheetId="0">#REF!</definedName>
    <definedName name="na" localSheetId="4">#REF!</definedName>
    <definedName name="na" localSheetId="11">#REF!</definedName>
    <definedName name="na">#REF!</definedName>
    <definedName name="nb" localSheetId="1">#REF!</definedName>
    <definedName name="nb" localSheetId="0">#REF!</definedName>
    <definedName name="nb" localSheetId="4">#REF!</definedName>
    <definedName name="nb" localSheetId="11">#REF!</definedName>
    <definedName name="nb">#REF!</definedName>
    <definedName name="nc" localSheetId="1">#REF!</definedName>
    <definedName name="nc" localSheetId="0">#REF!</definedName>
    <definedName name="nc" localSheetId="4">#REF!</definedName>
    <definedName name="nc" localSheetId="11">#REF!</definedName>
    <definedName name="nc">#REF!</definedName>
    <definedName name="nd" localSheetId="1">#REF!</definedName>
    <definedName name="nd" localSheetId="0">#REF!</definedName>
    <definedName name="nd" localSheetId="4">#REF!</definedName>
    <definedName name="nd" localSheetId="11">#REF!</definedName>
    <definedName name="nd">#REF!</definedName>
    <definedName name="ne" localSheetId="1">#REF!</definedName>
    <definedName name="ne" localSheetId="0">#REF!</definedName>
    <definedName name="ne" localSheetId="4">#REF!</definedName>
    <definedName name="ne" localSheetId="11">#REF!</definedName>
    <definedName name="ne">#REF!</definedName>
    <definedName name="NERSS" localSheetId="11">#REF!</definedName>
    <definedName name="NERSS">#REF!</definedName>
    <definedName name="Ni" localSheetId="1">#REF!</definedName>
    <definedName name="Ni" localSheetId="0">#REF!</definedName>
    <definedName name="Ni" localSheetId="4">#REF!</definedName>
    <definedName name="Ni" localSheetId="11">#REF!</definedName>
    <definedName name="Ni">#REF!</definedName>
    <definedName name="NIL" localSheetId="11">#REF!</definedName>
    <definedName name="NIL">#REF!</definedName>
    <definedName name="nlllk" localSheetId="11" hidden="1">{"'PROFITABILITY'!$A$1:$F$45"}</definedName>
    <definedName name="nlllk" localSheetId="10" hidden="1">{"'PROFITABILITY'!$A$1:$F$45"}</definedName>
    <definedName name="nlllk">{"'PROFITABILITY'!$A$1:$F$45"}</definedName>
    <definedName name="nmk" localSheetId="1">#REF!</definedName>
    <definedName name="nmk" localSheetId="0">#REF!</definedName>
    <definedName name="nmk" localSheetId="4">#REF!</definedName>
    <definedName name="nmk">#REF!</definedName>
    <definedName name="NN" localSheetId="1">#REF!</definedName>
    <definedName name="NN" localSheetId="0">#REF!</definedName>
    <definedName name="NN" localSheetId="4">#REF!</definedName>
    <definedName name="NN">#REF!</definedName>
    <definedName name="NN___0" localSheetId="1">#REF!</definedName>
    <definedName name="NN___0" localSheetId="0">#REF!</definedName>
    <definedName name="NN___0" localSheetId="4">#REF!</definedName>
    <definedName name="NN___0">#REF!</definedName>
    <definedName name="NN___13" localSheetId="1">#REF!</definedName>
    <definedName name="NN___13" localSheetId="0">#REF!</definedName>
    <definedName name="NN___13" localSheetId="4">#REF!</definedName>
    <definedName name="NN___13">#REF!</definedName>
    <definedName name="non" localSheetId="1">#REF!</definedName>
    <definedName name="non" localSheetId="0">#REF!</definedName>
    <definedName name="non" localSheetId="4">#REF!</definedName>
    <definedName name="non">#REF!</definedName>
    <definedName name="NONSOR" localSheetId="1">#REF!</definedName>
    <definedName name="NONSOR" localSheetId="0">#REF!</definedName>
    <definedName name="NONSOR" localSheetId="4">#REF!</definedName>
    <definedName name="NONSOR">#REF!</definedName>
    <definedName name="Ns" localSheetId="1">#REF!</definedName>
    <definedName name="Ns" localSheetId="0">#REF!</definedName>
    <definedName name="Ns" localSheetId="4">#REF!</definedName>
    <definedName name="Ns">#REF!</definedName>
    <definedName name="NSS" localSheetId="1">#REF!</definedName>
    <definedName name="NSS" localSheetId="0">#REF!</definedName>
    <definedName name="NSS" localSheetId="4">#REF!</definedName>
    <definedName name="NSS" localSheetId="11">#REF!</definedName>
    <definedName name="NSS">#REF!</definedName>
    <definedName name="nt0" localSheetId="11">#REF!</definedName>
    <definedName name="nt0">#REF!</definedName>
    <definedName name="Num_Pmt_Per_Year" localSheetId="1">#REF!</definedName>
    <definedName name="Num_Pmt_Per_Year" localSheetId="0">#REF!</definedName>
    <definedName name="Num_Pmt_Per_Year" localSheetId="4">#REF!</definedName>
    <definedName name="Num_Pmt_Per_Year" localSheetId="11">#REF!</definedName>
    <definedName name="Num_Pmt_Per_Year">#REF!</definedName>
    <definedName name="Number_of_Payments" localSheetId="11">#N/A</definedName>
    <definedName name="Number_of_Payments" localSheetId="10">#N/A</definedName>
    <definedName name="Number_of_Payments">#REF!</definedName>
    <definedName name="Nx" localSheetId="1">#REF!</definedName>
    <definedName name="Nx" localSheetId="0">#REF!</definedName>
    <definedName name="Nx" localSheetId="4">#REF!</definedName>
    <definedName name="Nx" localSheetId="11">#REF!</definedName>
    <definedName name="Nx">#REF!</definedName>
    <definedName name="Nx___0" localSheetId="1">#REF!</definedName>
    <definedName name="Nx___0" localSheetId="0">#REF!</definedName>
    <definedName name="Nx___0" localSheetId="4">#REF!</definedName>
    <definedName name="Nx___0" localSheetId="11">#REF!</definedName>
    <definedName name="Nx___0">#REF!</definedName>
    <definedName name="Nx___13" localSheetId="1">#REF!</definedName>
    <definedName name="Nx___13" localSheetId="0">#REF!</definedName>
    <definedName name="Nx___13" localSheetId="4">#REF!</definedName>
    <definedName name="Nx___13" localSheetId="11">#REF!</definedName>
    <definedName name="Nx___13">#REF!</definedName>
    <definedName name="nxs" localSheetId="1">#REF!</definedName>
    <definedName name="nxs" localSheetId="0">#REF!</definedName>
    <definedName name="nxs" localSheetId="4">#REF!</definedName>
    <definedName name="nxs">#REF!</definedName>
    <definedName name="Nxx" localSheetId="1">#REF!</definedName>
    <definedName name="Nxx" localSheetId="0">#REF!</definedName>
    <definedName name="Nxx" localSheetId="4">#REF!</definedName>
    <definedName name="Nxx">#REF!</definedName>
    <definedName name="Ny" localSheetId="1">#REF!</definedName>
    <definedName name="Ny" localSheetId="0">#REF!</definedName>
    <definedName name="Ny" localSheetId="4">#REF!</definedName>
    <definedName name="Ny">#REF!</definedName>
    <definedName name="Ny___0" localSheetId="1">#REF!</definedName>
    <definedName name="Ny___0" localSheetId="0">#REF!</definedName>
    <definedName name="Ny___0" localSheetId="4">#REF!</definedName>
    <definedName name="Ny___0">#REF!</definedName>
    <definedName name="Ny___13" localSheetId="1">#REF!</definedName>
    <definedName name="Ny___13" localSheetId="0">#REF!</definedName>
    <definedName name="Ny___13" localSheetId="4">#REF!</definedName>
    <definedName name="Ny___13">#REF!</definedName>
    <definedName name="nys" localSheetId="1">#REF!</definedName>
    <definedName name="nys" localSheetId="0">#REF!</definedName>
    <definedName name="nys" localSheetId="4">#REF!</definedName>
    <definedName name="nys">#REF!</definedName>
    <definedName name="Nyy" localSheetId="1">#REF!</definedName>
    <definedName name="Nyy" localSheetId="0">#REF!</definedName>
    <definedName name="Nyy" localSheetId="4">#REF!</definedName>
    <definedName name="Nyy">#REF!</definedName>
    <definedName name="O" localSheetId="1">#REF!</definedName>
    <definedName name="O" localSheetId="0">#REF!</definedName>
    <definedName name="O" localSheetId="4">#REF!</definedName>
    <definedName name="O">#REF!</definedName>
    <definedName name="OFFICE_LIGHTING" localSheetId="11">#REF!</definedName>
    <definedName name="OFFICE_LIGHTING">#REF!</definedName>
    <definedName name="OGPTL" localSheetId="11">#REF!</definedName>
    <definedName name="OGPTL">#REF!</definedName>
    <definedName name="oh" localSheetId="11">#REF!</definedName>
    <definedName name="oh">#REF!</definedName>
    <definedName name="oh_work_sept">#REF!</definedName>
    <definedName name="OH_workings_sept">#REF!</definedName>
    <definedName name="ohe">#REF!</definedName>
    <definedName name="Oilpit" localSheetId="1">#REF!</definedName>
    <definedName name="Oilpit" localSheetId="0">#REF!</definedName>
    <definedName name="Oilpit" localSheetId="4">#REF!</definedName>
    <definedName name="Oilpit">#REF!</definedName>
    <definedName name="oirr" localSheetId="1">#REF!</definedName>
    <definedName name="oirr" localSheetId="0">#REF!</definedName>
    <definedName name="oirr" localSheetId="4">#REF!</definedName>
    <definedName name="oirr">#REF!</definedName>
    <definedName name="optio_2" localSheetId="1">#REF!</definedName>
    <definedName name="optio_2" localSheetId="0">#REF!</definedName>
    <definedName name="optio_2" localSheetId="4">#REF!</definedName>
    <definedName name="optio_2">#REF!</definedName>
    <definedName name="option" localSheetId="1">#REF!</definedName>
    <definedName name="option" localSheetId="0">#REF!</definedName>
    <definedName name="option" localSheetId="4">#REF!</definedName>
    <definedName name="option" localSheetId="11">#REF!</definedName>
    <definedName name="option">#REF!</definedName>
    <definedName name="OPTION4" localSheetId="11">#N/A</definedName>
    <definedName name="OPTION4" localSheetId="10">#N/A</definedName>
    <definedName name="OPTION4">#REF!</definedName>
    <definedName name="OPTION5" localSheetId="11">#N/A</definedName>
    <definedName name="OPTION5" localSheetId="10">#N/A</definedName>
    <definedName name="OPTION5">#REF!</definedName>
    <definedName name="OPTION6" localSheetId="11">#N/A</definedName>
    <definedName name="OPTION6" localSheetId="10">#N/A</definedName>
    <definedName name="OPTION6">#REF!</definedName>
    <definedName name="OPTION7" localSheetId="11">#N/A</definedName>
    <definedName name="OPTION7" localSheetId="10">#N/A</definedName>
    <definedName name="OPTION7">#REF!</definedName>
    <definedName name="OPTION8" localSheetId="11">#N/A</definedName>
    <definedName name="OPTION8" localSheetId="10">#N/A</definedName>
    <definedName name="OPTION8">#REF!</definedName>
    <definedName name="orderbacklog" localSheetId="1">#REF!</definedName>
    <definedName name="orderbacklog" localSheetId="0">#REF!</definedName>
    <definedName name="orderbacklog" localSheetId="4">#REF!</definedName>
    <definedName name="orderbacklog" localSheetId="11">#REF!</definedName>
    <definedName name="orderbacklog">#REF!</definedName>
    <definedName name="ORDERSTATUS" localSheetId="1">#REF!</definedName>
    <definedName name="ORDERSTATUS" localSheetId="0">#REF!</definedName>
    <definedName name="ORDERSTATUS" localSheetId="4">#REF!</definedName>
    <definedName name="ORDERSTATUS" localSheetId="11">#REF!</definedName>
    <definedName name="ORDERSTATUS">#REF!</definedName>
    <definedName name="OrderTable" localSheetId="11" hidden="1">#REF!</definedName>
    <definedName name="OrderTable">#REF!</definedName>
    <definedName name="ORDREVCOLL" localSheetId="1">#REF!</definedName>
    <definedName name="ORDREVCOLL" localSheetId="0">#REF!</definedName>
    <definedName name="ORDREVCOLL" localSheetId="4">#REF!</definedName>
    <definedName name="ORDREVCOLL" localSheetId="11">#REF!</definedName>
    <definedName name="ORDREVCOLL">#REF!</definedName>
    <definedName name="Origin" localSheetId="1">#REF!</definedName>
    <definedName name="Origin" localSheetId="0">#REF!</definedName>
    <definedName name="Origin" localSheetId="4">#REF!</definedName>
    <definedName name="Origin">#REF!</definedName>
    <definedName name="OT" localSheetId="1">#REF!</definedName>
    <definedName name="OT" localSheetId="0">#REF!</definedName>
    <definedName name="OT" localSheetId="4">#REF!</definedName>
    <definedName name="OT">#REF!</definedName>
    <definedName name="OTHR_CST_HD" localSheetId="11">#REF!</definedName>
    <definedName name="OTHR_CST_HD">#REF!</definedName>
    <definedName name="Overall" localSheetId="11">#REF!</definedName>
    <definedName name="Overall">#REF!</definedName>
    <definedName name="p____2___m____p___l_______ln__4___l___d____1___2___K1____l___SQRT_A_____SQRT_m__1__2">"ki1"</definedName>
    <definedName name="p___0" localSheetId="1">#REF!</definedName>
    <definedName name="p___0" localSheetId="0">#REF!</definedName>
    <definedName name="p___0" localSheetId="4">#REF!</definedName>
    <definedName name="p___0" localSheetId="11">#REF!</definedName>
    <definedName name="p___0">#REF!</definedName>
    <definedName name="p___13" localSheetId="1">#REF!</definedName>
    <definedName name="p___13" localSheetId="0">#REF!</definedName>
    <definedName name="p___13" localSheetId="4">#REF!</definedName>
    <definedName name="p___13" localSheetId="11">#REF!</definedName>
    <definedName name="p___13">#REF!</definedName>
    <definedName name="P_6DSO" localSheetId="1">#REF!</definedName>
    <definedName name="P_6DSO" localSheetId="0">#REF!</definedName>
    <definedName name="P_6DSO" localSheetId="4">#REF!</definedName>
    <definedName name="P_6DSO" localSheetId="11">#REF!</definedName>
    <definedName name="P_6DSO">#REF!</definedName>
    <definedName name="P_A" localSheetId="1">#REF!</definedName>
    <definedName name="P_A" localSheetId="0">#REF!</definedName>
    <definedName name="P_A" localSheetId="4">#REF!</definedName>
    <definedName name="P_A" localSheetId="11">#REF!</definedName>
    <definedName name="P_A">#REF!</definedName>
    <definedName name="P_B" localSheetId="1">#REF!</definedName>
    <definedName name="P_B" localSheetId="0">#REF!</definedName>
    <definedName name="P_B" localSheetId="4">#REF!</definedName>
    <definedName name="P_B" localSheetId="11">#REF!</definedName>
    <definedName name="P_B">#REF!</definedName>
    <definedName name="pa" localSheetId="1">#REF!</definedName>
    <definedName name="pa" localSheetId="0">#REF!</definedName>
    <definedName name="pa" localSheetId="4">#REF!</definedName>
    <definedName name="pa" localSheetId="11">#REF!</definedName>
    <definedName name="pa">#REF!</definedName>
    <definedName name="pa___0" localSheetId="1">#REF!</definedName>
    <definedName name="pa___0" localSheetId="0">#REF!</definedName>
    <definedName name="pa___0" localSheetId="4">#REF!</definedName>
    <definedName name="pa___0" localSheetId="11">#REF!</definedName>
    <definedName name="pa___0">#REF!</definedName>
    <definedName name="pa___13" localSheetId="1">#REF!</definedName>
    <definedName name="pa___13" localSheetId="0">#REF!</definedName>
    <definedName name="pa___13" localSheetId="4">#REF!</definedName>
    <definedName name="pa___13" localSheetId="11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 localSheetId="1">#REF!</definedName>
    <definedName name="pad_baywise" localSheetId="0">#REF!</definedName>
    <definedName name="pad_baywise" localSheetId="4">#REF!</definedName>
    <definedName name="pad_baywise">#REF!</definedName>
    <definedName name="Page1" localSheetId="1">#REF!</definedName>
    <definedName name="Page1" localSheetId="0">#REF!</definedName>
    <definedName name="Page1" localSheetId="4">#REF!</definedName>
    <definedName name="Page1">#REF!</definedName>
    <definedName name="PAGE10">#REF!</definedName>
    <definedName name="PAGE11">#REF!</definedName>
    <definedName name="PAGE2" localSheetId="1">#REF!</definedName>
    <definedName name="PAGE2" localSheetId="0">#REF!</definedName>
    <definedName name="PAGE2" localSheetId="4">#REF!</definedName>
    <definedName name="PAGE2">#REF!</definedName>
    <definedName name="PAGE3">#REF!</definedName>
    <definedName name="PAGE4">#REF!</definedName>
    <definedName name="PAGE5" localSheetId="1">#REF!</definedName>
    <definedName name="PAGE5" localSheetId="0">#REF!</definedName>
    <definedName name="PAGE5" localSheetId="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NDU">#REF!</definedName>
    <definedName name="pandu123">#REF!</definedName>
    <definedName name="Pane2" localSheetId="1">#REF!</definedName>
    <definedName name="Pane2" localSheetId="0">#REF!</definedName>
    <definedName name="Pane2" localSheetId="4">#REF!</definedName>
    <definedName name="Pane2">#REF!</definedName>
    <definedName name="Pane2___0" localSheetId="1">#REF!</definedName>
    <definedName name="Pane2___0" localSheetId="0">#REF!</definedName>
    <definedName name="Pane2___0" localSheetId="4">#REF!</definedName>
    <definedName name="Pane2___0">#REF!</definedName>
    <definedName name="Pane2___13" localSheetId="1">#REF!</definedName>
    <definedName name="Pane2___13" localSheetId="0">#REF!</definedName>
    <definedName name="Pane2___13" localSheetId="4">#REF!</definedName>
    <definedName name="Pane2___13">#REF!</definedName>
    <definedName name="PANE3" localSheetId="1">#REF!</definedName>
    <definedName name="PANE3" localSheetId="0">#REF!</definedName>
    <definedName name="PANE3" localSheetId="4">#REF!</definedName>
    <definedName name="PANE3">#REF!</definedName>
    <definedName name="PANEL" localSheetId="1">#REF!</definedName>
    <definedName name="PANEL" localSheetId="0">#REF!</definedName>
    <definedName name="PANEL" localSheetId="4">#REF!</definedName>
    <definedName name="PANEL">#REF!</definedName>
    <definedName name="PAT_A" localSheetId="1">#REF!</definedName>
    <definedName name="PAT_A" localSheetId="0">#REF!</definedName>
    <definedName name="PAT_A" localSheetId="4">#REF!</definedName>
    <definedName name="PAT_A">#REF!</definedName>
    <definedName name="PAT_B" localSheetId="1">#REF!</definedName>
    <definedName name="PAT_B" localSheetId="0">#REF!</definedName>
    <definedName name="PAT_B" localSheetId="4">#REF!</definedName>
    <definedName name="PAT_B">#REF!</definedName>
    <definedName name="Pay_Date" localSheetId="1">#REF!</definedName>
    <definedName name="Pay_Date" localSheetId="0">#REF!</definedName>
    <definedName name="Pay_Date" localSheetId="4">#REF!</definedName>
    <definedName name="Pay_Date">#REF!</definedName>
    <definedName name="Pay_Num" localSheetId="1">#REF!</definedName>
    <definedName name="Pay_Num" localSheetId="0">#REF!</definedName>
    <definedName name="Pay_Num" localSheetId="4">#REF!</definedName>
    <definedName name="Pay_Num">#REF!</definedName>
    <definedName name="Payment_Date" localSheetId="11">#N/A</definedName>
    <definedName name="Payment_Date" localSheetId="10">#N/A</definedName>
    <definedName name="Payment_Date">#REF!</definedName>
    <definedName name="pb" localSheetId="1">#REF!</definedName>
    <definedName name="pb" localSheetId="0">#REF!</definedName>
    <definedName name="pb" localSheetId="4">#REF!</definedName>
    <definedName name="pb" localSheetId="11">#REF!</definedName>
    <definedName name="pb">#REF!</definedName>
    <definedName name="pb___0" localSheetId="1">#REF!</definedName>
    <definedName name="pb___0" localSheetId="0">#REF!</definedName>
    <definedName name="pb___0" localSheetId="4">#REF!</definedName>
    <definedName name="pb___0" localSheetId="11">#REF!</definedName>
    <definedName name="pb___0">#REF!</definedName>
    <definedName name="pb___11" localSheetId="1">#REF!</definedName>
    <definedName name="pb___11" localSheetId="0">#REF!</definedName>
    <definedName name="pb___11" localSheetId="4">#REF!</definedName>
    <definedName name="pb___11" localSheetId="11">#REF!</definedName>
    <definedName name="pb___11">#REF!</definedName>
    <definedName name="pb___12" localSheetId="1">#REF!</definedName>
    <definedName name="pb___12" localSheetId="0">#REF!</definedName>
    <definedName name="pb___12" localSheetId="4">#REF!</definedName>
    <definedName name="pb___12">#REF!</definedName>
    <definedName name="pc" localSheetId="1">#REF!</definedName>
    <definedName name="pc" localSheetId="0">#REF!</definedName>
    <definedName name="pc" localSheetId="4">#REF!</definedName>
    <definedName name="pc" localSheetId="11">#REF!</definedName>
    <definedName name="pc">#REF!</definedName>
    <definedName name="PCC" localSheetId="1">#REF!</definedName>
    <definedName name="PCC" localSheetId="0">#REF!</definedName>
    <definedName name="PCC" localSheetId="4">#REF!</definedName>
    <definedName name="PCC" localSheetId="11">#REF!</definedName>
    <definedName name="PCC">#REF!</definedName>
    <definedName name="PCC_Offset" localSheetId="1">#REF!</definedName>
    <definedName name="PCC_Offset" localSheetId="0">#REF!</definedName>
    <definedName name="PCC_Offset" localSheetId="4">#REF!</definedName>
    <definedName name="PCC_Offset" localSheetId="11">#REF!</definedName>
    <definedName name="PCC_Offset">#REF!</definedName>
    <definedName name="PCD" localSheetId="1">#REF!</definedName>
    <definedName name="PCD" localSheetId="0">#REF!</definedName>
    <definedName name="PCD" localSheetId="4">#REF!</definedName>
    <definedName name="PCD">#REF!</definedName>
    <definedName name="Percent_Text" localSheetId="1">#REF!</definedName>
    <definedName name="Percent_Text" localSheetId="0">#REF!</definedName>
    <definedName name="Percent_Text" localSheetId="4">#REF!</definedName>
    <definedName name="Percent_Text" localSheetId="11">#REF!</definedName>
    <definedName name="Percent_Text">#REF!</definedName>
    <definedName name="Percent_Value" localSheetId="1">#REF!</definedName>
    <definedName name="Percent_Value" localSheetId="0">#REF!</definedName>
    <definedName name="Percent_Value" localSheetId="4">#REF!</definedName>
    <definedName name="Percent_Value" localSheetId="11">#REF!</definedName>
    <definedName name="Percent_Value">#REF!</definedName>
    <definedName name="PercentComplete" localSheetId="2">PercentCompleteBeyond*PeriodInPlan</definedName>
    <definedName name="PercentComplete" localSheetId="6">PercentCompleteBeyond*PeriodInPlan</definedName>
    <definedName name="PercentComplete" localSheetId="9">PercentCompleteBeyond*PeriodInPlan</definedName>
    <definedName name="PercentComplete" localSheetId="11">PercentCompleteBeyond*PeriodInPlan</definedName>
    <definedName name="PercentComplete" localSheetId="10">PercentCompleteBeyond*PeriodInPlan</definedName>
    <definedName name="PercentComplete">PercentCompleteBeyond*PeriodInPlan</definedName>
    <definedName name="PERSONAL_TRANSPORT" localSheetId="11">#REF!</definedName>
    <definedName name="PERSONAL_TRANSPORT">#REF!</definedName>
    <definedName name="pH" localSheetId="1">#REF!</definedName>
    <definedName name="pH" localSheetId="0">#REF!</definedName>
    <definedName name="pH" localSheetId="4">#REF!</definedName>
    <definedName name="pH" localSheetId="11">#REF!</definedName>
    <definedName name="pH">#REF!</definedName>
    <definedName name="pH___0" localSheetId="1">#REF!</definedName>
    <definedName name="pH___0" localSheetId="0">#REF!</definedName>
    <definedName name="pH___0" localSheetId="4">#REF!</definedName>
    <definedName name="pH___0" localSheetId="11">#REF!</definedName>
    <definedName name="pH___0">#REF!</definedName>
    <definedName name="pH___13" localSheetId="1">#REF!</definedName>
    <definedName name="pH___13" localSheetId="0">#REF!</definedName>
    <definedName name="pH___13" localSheetId="4">#REF!</definedName>
    <definedName name="pH___13" localSheetId="11">#REF!</definedName>
    <definedName name="pH___13">#REF!</definedName>
    <definedName name="phi" localSheetId="1">#REF!</definedName>
    <definedName name="phi" localSheetId="0">#REF!</definedName>
    <definedName name="phi" localSheetId="4">#REF!</definedName>
    <definedName name="phi">#REF!</definedName>
    <definedName name="phis" localSheetId="1">#REF!</definedName>
    <definedName name="phis" localSheetId="0">#REF!</definedName>
    <definedName name="phis" localSheetId="4">#REF!</definedName>
    <definedName name="phis">#REF!</definedName>
    <definedName name="phit" localSheetId="1">#REF!</definedName>
    <definedName name="phit" localSheetId="0">#REF!</definedName>
    <definedName name="phit" localSheetId="4">#REF!</definedName>
    <definedName name="phit">#REF!</definedName>
    <definedName name="PI" localSheetId="1">#REF!</definedName>
    <definedName name="PI" localSheetId="0">#REF!</definedName>
    <definedName name="PI" localSheetId="4">#REF!</definedName>
    <definedName name="PI">#REF!</definedName>
    <definedName name="Piling">#REF!</definedName>
    <definedName name="PKG_NO">#REF!</definedName>
    <definedName name="PLASTER" localSheetId="1">#REF!</definedName>
    <definedName name="PLASTER" localSheetId="0">#REF!</definedName>
    <definedName name="PLASTER" localSheetId="4">#REF!</definedName>
    <definedName name="PLASTER" localSheetId="11">#REF!</definedName>
    <definedName name="PLASTER">#REF!</definedName>
    <definedName name="PLCC" localSheetId="1">#REF!</definedName>
    <definedName name="PLCC" localSheetId="0">#REF!</definedName>
    <definedName name="PLCC" localSheetId="4">#REF!</definedName>
    <definedName name="PLCC" localSheetId="11">#REF!</definedName>
    <definedName name="PLCC">#REF!</definedName>
    <definedName name="PLO" localSheetId="11">#REF!</definedName>
    <definedName name="PLO">#REF!</definedName>
    <definedName name="PM" localSheetId="1">#REF!</definedName>
    <definedName name="PM" localSheetId="0">#REF!</definedName>
    <definedName name="PM" localSheetId="4">#REF!</definedName>
    <definedName name="PM">#REF!</definedName>
    <definedName name="PNum" localSheetId="11">#REF!</definedName>
    <definedName name="PNum">#REF!</definedName>
    <definedName name="PONDA" localSheetId="1">#REF!</definedName>
    <definedName name="PONDA" localSheetId="0">#REF!</definedName>
    <definedName name="PONDA" localSheetId="4">#REF!</definedName>
    <definedName name="PONDA" localSheetId="11">#REF!</definedName>
    <definedName name="PONDA">#REF!</definedName>
    <definedName name="POUNDS" localSheetId="11">#REF!</definedName>
    <definedName name="POUNDS">#REF!</definedName>
    <definedName name="PR" localSheetId="1">#REF!</definedName>
    <definedName name="PR" localSheetId="0">#REF!</definedName>
    <definedName name="PR" localSheetId="4">#REF!</definedName>
    <definedName name="PR" localSheetId="11">#REF!</definedName>
    <definedName name="PR">#REF!</definedName>
    <definedName name="PRA_DETAILSMAR01" localSheetId="11">#REF!</definedName>
    <definedName name="PRA_DETAILSMAR01">#REF!</definedName>
    <definedName name="pratap" localSheetId="11" hidden="1">{"'Sheet1'!$A$4386:$N$4591"}</definedName>
    <definedName name="pratap" localSheetId="10" hidden="1">{"'Sheet1'!$A$4386:$N$4591"}</definedName>
    <definedName name="pratap">{"'Sheet1'!$A$4386:$N$4591"}</definedName>
    <definedName name="price">#REF!</definedName>
    <definedName name="Princ" localSheetId="1">#REF!</definedName>
    <definedName name="Princ" localSheetId="0">#REF!</definedName>
    <definedName name="Princ" localSheetId="4">#REF!</definedName>
    <definedName name="Princ">#REF!</definedName>
    <definedName name="_xlnm.Print_Area" localSheetId="11">'VC-132kV'!$A$1:$AY$54</definedName>
    <definedName name="_xlnm.Print_Area" localSheetId="10">'VC-220kV'!$A$1:$BC$148</definedName>
    <definedName name="_xlnm.Print_Area">#REF!</definedName>
    <definedName name="PRINT_AREA_MI" localSheetId="1">#REF!</definedName>
    <definedName name="PRINT_AREA_MI" localSheetId="0">#REF!</definedName>
    <definedName name="PRINT_AREA_MI" localSheetId="4">#REF!</definedName>
    <definedName name="PRINT_AREA_MI">#REF!</definedName>
    <definedName name="PRINT_AREA_MI___0" localSheetId="1">#REF!</definedName>
    <definedName name="PRINT_AREA_MI___0" localSheetId="0">#REF!</definedName>
    <definedName name="PRINT_AREA_MI___0" localSheetId="4">#REF!</definedName>
    <definedName name="PRINT_AREA_MI___0">#REF!</definedName>
    <definedName name="print_area_mi_1" localSheetId="1">#REF!</definedName>
    <definedName name="print_area_mi_1" localSheetId="0">#REF!</definedName>
    <definedName name="print_area_mi_1" localSheetId="4">#REF!</definedName>
    <definedName name="print_area_mi_1">#REF!</definedName>
    <definedName name="Print_Area_MI1">#REF!</definedName>
    <definedName name="Print_Area_Reset" localSheetId="11">#N/A</definedName>
    <definedName name="Print_Area_Reset" localSheetId="10">#N/A</definedName>
    <definedName name="Print_Area_Reset">#REF!</definedName>
    <definedName name="_xlnm.Print_Titles">#N/A</definedName>
    <definedName name="PRINT_TITLES_MI" localSheetId="1">#REF!</definedName>
    <definedName name="PRINT_TITLES_MI" localSheetId="0">#REF!</definedName>
    <definedName name="PRINT_TITLES_MI" localSheetId="4">#REF!</definedName>
    <definedName name="PRINT_TITLES_MI" localSheetId="11">#REF!</definedName>
    <definedName name="PRINT_TITLES_MI">#REF!</definedName>
    <definedName name="print1" localSheetId="1">#REF!</definedName>
    <definedName name="print1" localSheetId="0">#REF!</definedName>
    <definedName name="print1" localSheetId="4">#REF!</definedName>
    <definedName name="print1" localSheetId="11">#REF!</definedName>
    <definedName name="print1">#REF!</definedName>
    <definedName name="printarea" localSheetId="1">#REF!</definedName>
    <definedName name="printarea" localSheetId="0">#REF!</definedName>
    <definedName name="printarea" localSheetId="4">#REF!</definedName>
    <definedName name="printarea" localSheetId="11">#REF!</definedName>
    <definedName name="printarea">#REF!</definedName>
    <definedName name="printn" localSheetId="1">#REF!</definedName>
    <definedName name="printn" localSheetId="0">#REF!</definedName>
    <definedName name="printn" localSheetId="4">#REF!</definedName>
    <definedName name="printn">#REF!</definedName>
    <definedName name="ProdForm">#REF!</definedName>
    <definedName name="Product">#REF!</definedName>
    <definedName name="Professional___Audit_Fees">#REF!</definedName>
    <definedName name="Proffees">#REF!</definedName>
    <definedName name="progress01" localSheetId="11">#REF!</definedName>
    <definedName name="progress01">#REF!</definedName>
    <definedName name="progress1" localSheetId="11">#REF!</definedName>
    <definedName name="progress1">#REF!</definedName>
    <definedName name="progress11" localSheetId="11">#REF!</definedName>
    <definedName name="progress11">#REF!</definedName>
    <definedName name="progress12">#REF!</definedName>
    <definedName name="progress13">#REF!</definedName>
    <definedName name="progress2">#REF!</definedName>
    <definedName name="progress24" localSheetId="11">#REF!</definedName>
    <definedName name="progress24">#REF!</definedName>
    <definedName name="progress3" localSheetId="11">#REF!</definedName>
    <definedName name="progress3">#REF!</definedName>
    <definedName name="progress4" localSheetId="11">#REF!</definedName>
    <definedName name="progress4">#REF!</definedName>
    <definedName name="Projects" localSheetId="11">#REF!</definedName>
    <definedName name="Projects">#REF!</definedName>
    <definedName name="PS" localSheetId="1">#REF!</definedName>
    <definedName name="PS" localSheetId="0">#REF!</definedName>
    <definedName name="PS" localSheetId="4">#REF!</definedName>
    <definedName name="PS" localSheetId="11">#REF!</definedName>
    <definedName name="PS">#REF!</definedName>
    <definedName name="PS___0" localSheetId="1">#REF!</definedName>
    <definedName name="PS___0" localSheetId="0">#REF!</definedName>
    <definedName name="PS___0" localSheetId="4">#REF!</definedName>
    <definedName name="PS___0" localSheetId="11">#REF!</definedName>
    <definedName name="PS___0">#REF!</definedName>
    <definedName name="PS___13" localSheetId="1">#REF!</definedName>
    <definedName name="PS___13" localSheetId="0">#REF!</definedName>
    <definedName name="PS___13" localSheetId="4">#REF!</definedName>
    <definedName name="PS___13">#REF!</definedName>
    <definedName name="psi" localSheetId="1">#REF!</definedName>
    <definedName name="psi" localSheetId="0">#REF!</definedName>
    <definedName name="psi" localSheetId="4">#REF!</definedName>
    <definedName name="psi">#REF!</definedName>
    <definedName name="PSIX">#REF!</definedName>
    <definedName name="pt" localSheetId="1">#REF!</definedName>
    <definedName name="pt" localSheetId="0">#REF!</definedName>
    <definedName name="pt" localSheetId="4">#REF!</definedName>
    <definedName name="pt">#REF!</definedName>
    <definedName name="pti" localSheetId="1">#REF!</definedName>
    <definedName name="pti" localSheetId="0">#REF!</definedName>
    <definedName name="pti" localSheetId="4">#REF!</definedName>
    <definedName name="pti">#REF!</definedName>
    <definedName name="q" localSheetId="1">#REF!</definedName>
    <definedName name="q" localSheetId="0">#REF!</definedName>
    <definedName name="q" localSheetId="4">#REF!</definedName>
    <definedName name="q" localSheetId="11">#REF!</definedName>
    <definedName name="q">#REF!</definedName>
    <definedName name="Qc" localSheetId="1">#REF!</definedName>
    <definedName name="Qc" localSheetId="0">#REF!</definedName>
    <definedName name="Qc" localSheetId="4">#REF!</definedName>
    <definedName name="Qc" localSheetId="11">#REF!</definedName>
    <definedName name="Qc">#REF!</definedName>
    <definedName name="Qc___0" localSheetId="1">#REF!</definedName>
    <definedName name="Qc___0" localSheetId="0">#REF!</definedName>
    <definedName name="Qc___0" localSheetId="4">#REF!</definedName>
    <definedName name="Qc___0" localSheetId="11">#REF!</definedName>
    <definedName name="Qc___0">#REF!</definedName>
    <definedName name="Qc___13" localSheetId="1">#REF!</definedName>
    <definedName name="Qc___13" localSheetId="0">#REF!</definedName>
    <definedName name="Qc___13" localSheetId="4">#REF!</definedName>
    <definedName name="Qc___13">#REF!</definedName>
    <definedName name="qegweng">#REF!</definedName>
    <definedName name="Qf" localSheetId="1">#REF!</definedName>
    <definedName name="Qf" localSheetId="0">#REF!</definedName>
    <definedName name="Qf" localSheetId="4">#REF!</definedName>
    <definedName name="Qf">#REF!</definedName>
    <definedName name="Qf___0" localSheetId="1">#REF!</definedName>
    <definedName name="Qf___0" localSheetId="0">#REF!</definedName>
    <definedName name="Qf___0" localSheetId="4">#REF!</definedName>
    <definedName name="Qf___0">#REF!</definedName>
    <definedName name="Qf___13" localSheetId="1">#REF!</definedName>
    <definedName name="Qf___13" localSheetId="0">#REF!</definedName>
    <definedName name="Qf___13" localSheetId="4">#REF!</definedName>
    <definedName name="Qf___13">#REF!</definedName>
    <definedName name="Qi" localSheetId="1">#REF!</definedName>
    <definedName name="Qi" localSheetId="0">#REF!</definedName>
    <definedName name="Qi" localSheetId="4">#REF!</definedName>
    <definedName name="Qi">#REF!</definedName>
    <definedName name="Qi___0" localSheetId="1">#REF!</definedName>
    <definedName name="Qi___0" localSheetId="0">#REF!</definedName>
    <definedName name="Qi___0" localSheetId="4">#REF!</definedName>
    <definedName name="Qi___0">#REF!</definedName>
    <definedName name="Qi___13" localSheetId="1">#REF!</definedName>
    <definedName name="Qi___13" localSheetId="0">#REF!</definedName>
    <definedName name="Qi___13" localSheetId="4">#REF!</definedName>
    <definedName name="Qi___13">#REF!</definedName>
    <definedName name="Ql" localSheetId="1">#REF!</definedName>
    <definedName name="Ql" localSheetId="0">#REF!</definedName>
    <definedName name="Ql" localSheetId="4">#REF!</definedName>
    <definedName name="Ql">#REF!</definedName>
    <definedName name="Ql___0" localSheetId="1">#REF!</definedName>
    <definedName name="Ql___0" localSheetId="0">#REF!</definedName>
    <definedName name="Ql___0" localSheetId="4">#REF!</definedName>
    <definedName name="Ql___0">#REF!</definedName>
    <definedName name="Ql___13" localSheetId="1">#REF!</definedName>
    <definedName name="Ql___13" localSheetId="0">#REF!</definedName>
    <definedName name="Ql___13" localSheetId="4">#REF!</definedName>
    <definedName name="Ql___13">#REF!</definedName>
    <definedName name="qq" localSheetId="11" hidden="1">{#N/A,#N/A,FALSE,"COVER1.XLS ";#N/A,#N/A,FALSE,"RACT1.XLS";#N/A,#N/A,FALSE,"RACT2.XLS";#N/A,#N/A,FALSE,"ECCMP";#N/A,#N/A,FALSE,"WELDER.XLS"}</definedName>
    <definedName name="qq" localSheetId="10" hidden="1">{#N/A,#N/A,FALSE,"COVER1.XLS ";#N/A,#N/A,FALSE,"RACT1.XLS";#N/A,#N/A,FALSE,"RACT2.XLS";#N/A,#N/A,FALSE,"ECCMP";#N/A,#N/A,FALSE,"WELDER.XLS"}</definedName>
    <definedName name="qq">{#N/A,#N/A,FALSE,"COVER1.XLS ";#N/A,#N/A,FALSE,"RACT1.XLS";#N/A,#N/A,FALSE,"RACT2.XLS";#N/A,#N/A,FALSE,"ECCMP";#N/A,#N/A,FALSE,"WELDER.XLS"}</definedName>
    <definedName name="Qspan" localSheetId="1">#REF!</definedName>
    <definedName name="Qspan" localSheetId="0">#REF!</definedName>
    <definedName name="Qspan" localSheetId="4">#REF!</definedName>
    <definedName name="Qspan" localSheetId="11">#REF!</definedName>
    <definedName name="Qspan">#REF!</definedName>
    <definedName name="Qty_as_on_apr" localSheetId="1">#REF!</definedName>
    <definedName name="Qty_as_on_apr" localSheetId="0">#REF!</definedName>
    <definedName name="Qty_as_on_apr" localSheetId="4">#REF!</definedName>
    <definedName name="Qty_as_on_apr" localSheetId="11">#REF!</definedName>
    <definedName name="Qty_as_on_apr">#REF!</definedName>
    <definedName name="QTY_AS_ON_APR_1" localSheetId="1">#REF!</definedName>
    <definedName name="QTY_AS_ON_APR_1" localSheetId="0">#REF!</definedName>
    <definedName name="QTY_AS_ON_APR_1" localSheetId="4">#REF!</definedName>
    <definedName name="QTY_AS_ON_APR_1" localSheetId="11">#REF!</definedName>
    <definedName name="QTY_AS_ON_APR_1">#REF!</definedName>
    <definedName name="Qv" localSheetId="1">#REF!</definedName>
    <definedName name="Qv" localSheetId="0">#REF!</definedName>
    <definedName name="Qv" localSheetId="4">#REF!</definedName>
    <definedName name="Qv" localSheetId="11">#REF!</definedName>
    <definedName name="Qv">#REF!</definedName>
    <definedName name="QV_A" localSheetId="1">#REF!</definedName>
    <definedName name="QV_A" localSheetId="0">#REF!</definedName>
    <definedName name="QV_A" localSheetId="4">#REF!</definedName>
    <definedName name="QV_A">#REF!</definedName>
    <definedName name="QV_K" localSheetId="1">#REF!</definedName>
    <definedName name="QV_K" localSheetId="0">#REF!</definedName>
    <definedName name="QV_K" localSheetId="4">#REF!</definedName>
    <definedName name="QV_K">#REF!</definedName>
    <definedName name="QV_M" localSheetId="1">#REF!</definedName>
    <definedName name="QV_M" localSheetId="0">#REF!</definedName>
    <definedName name="QV_M" localSheetId="4">#REF!</definedName>
    <definedName name="QV_M">#REF!</definedName>
    <definedName name="QV_P" localSheetId="1">#REF!</definedName>
    <definedName name="QV_P" localSheetId="0">#REF!</definedName>
    <definedName name="QV_P" localSheetId="4">#REF!</definedName>
    <definedName name="QV_P">#REF!</definedName>
    <definedName name="QV_PAT" localSheetId="1">#REF!</definedName>
    <definedName name="QV_PAT" localSheetId="0">#REF!</definedName>
    <definedName name="QV_PAT" localSheetId="4">#REF!</definedName>
    <definedName name="QV_PAT">#REF!</definedName>
    <definedName name="qwer">#REF!</definedName>
    <definedName name="R_" localSheetId="1">#REF!</definedName>
    <definedName name="R_" localSheetId="0">#REF!</definedName>
    <definedName name="R_" localSheetId="4">#REF!</definedName>
    <definedName name="R_" localSheetId="11">#REF!</definedName>
    <definedName name="R_">#REF!</definedName>
    <definedName name="R___variation_factor_in_capacity_per_degree_Celcius" localSheetId="1">#REF!</definedName>
    <definedName name="R___variation_factor_in_capacity_per_degree_Celcius" localSheetId="0">#REF!</definedName>
    <definedName name="R___variation_factor_in_capacity_per_degree_Celcius" localSheetId="4">#REF!</definedName>
    <definedName name="R___variation_factor_in_capacity_per_degree_Celcius" localSheetId="11">#REF!</definedName>
    <definedName name="R___variation_factor_in_capacity_per_degree_Celcius">#REF!</definedName>
    <definedName name="Ra" localSheetId="1">#REF!</definedName>
    <definedName name="Ra" localSheetId="0">#REF!</definedName>
    <definedName name="Ra" localSheetId="4">#REF!</definedName>
    <definedName name="Ra" localSheetId="11">#REF!</definedName>
    <definedName name="Ra">#REF!</definedName>
    <definedName name="raaa" localSheetId="11" hidden="1">{"'Sheet1'!$A$4386:$N$4591"}</definedName>
    <definedName name="raaa" localSheetId="10" hidden="1">{"'Sheet1'!$A$4386:$N$4591"}</definedName>
    <definedName name="raaa">{"'Sheet1'!$A$4386:$N$4591"}</definedName>
    <definedName name="Rahul" localSheetId="11">#REF!</definedName>
    <definedName name="Rahul">#REF!</definedName>
    <definedName name="Rahul1" localSheetId="11">#REF!</definedName>
    <definedName name="Rahul1">#REF!</definedName>
    <definedName name="RAIL" localSheetId="1">#REF!</definedName>
    <definedName name="RAIL" localSheetId="0">#REF!</definedName>
    <definedName name="RAIL" localSheetId="4">#REF!</definedName>
    <definedName name="RAIL" localSheetId="11">#REF!</definedName>
    <definedName name="RAIL">#REF!</definedName>
    <definedName name="Raj" localSheetId="11" hidden="1">{"'Sheet1'!$A$4386:$N$4591"}</definedName>
    <definedName name="Raj" localSheetId="10" hidden="1">{"'Sheet1'!$A$4386:$N$4591"}</definedName>
    <definedName name="Raj">{"'Sheet1'!$A$4386:$N$4591"}</definedName>
    <definedName name="RAJEEV_ERECTORS" localSheetId="1">#REF!</definedName>
    <definedName name="RAJEEV_ERECTORS" localSheetId="0">#REF!</definedName>
    <definedName name="RAJEEV_ERECTORS" localSheetId="4">#REF!</definedName>
    <definedName name="RAJEEV_ERECTORS">#REF!</definedName>
    <definedName name="rate" localSheetId="11">#REF!</definedName>
    <definedName name="rate">#REF!</definedName>
    <definedName name="rate1" localSheetId="11">#REF!</definedName>
    <definedName name="rate1">#REF!</definedName>
    <definedName name="RAWRAR" localSheetId="11">#REF!</definedName>
    <definedName name="RAWRAR">#REF!</definedName>
    <definedName name="rb" localSheetId="1">#REF!</definedName>
    <definedName name="rb" localSheetId="0">#REF!</definedName>
    <definedName name="rb" localSheetId="4">#REF!</definedName>
    <definedName name="rb">#REF!</definedName>
    <definedName name="RCArea">#REF!</definedName>
    <definedName name="RCC" localSheetId="1">#REF!</definedName>
    <definedName name="RCC" localSheetId="0">#REF!</definedName>
    <definedName name="RCC" localSheetId="4">#REF!</definedName>
    <definedName name="RCC">#REF!</definedName>
    <definedName name="RCC_Offset" localSheetId="1">#REF!</definedName>
    <definedName name="RCC_Offset" localSheetId="0">#REF!</definedName>
    <definedName name="RCC_Offset" localSheetId="4">#REF!</definedName>
    <definedName name="RCC_Offset">#REF!</definedName>
    <definedName name="RCT" localSheetId="1">#REF!</definedName>
    <definedName name="RCT" localSheetId="0">#REF!</definedName>
    <definedName name="RCT" localSheetId="4">#REF!</definedName>
    <definedName name="RCT">#REF!</definedName>
    <definedName name="Re" localSheetId="1">#REF!</definedName>
    <definedName name="Re" localSheetId="0">#REF!</definedName>
    <definedName name="Re" localSheetId="4">#REF!</definedName>
    <definedName name="Re" localSheetId="11">#REF!</definedName>
    <definedName name="Re">#REF!</definedName>
    <definedName name="Re___0" localSheetId="1">#REF!</definedName>
    <definedName name="Re___0" localSheetId="0">#REF!</definedName>
    <definedName name="Re___0" localSheetId="4">#REF!</definedName>
    <definedName name="Re___0" localSheetId="11">#REF!</definedName>
    <definedName name="Re___0">#REF!</definedName>
    <definedName name="Re___13" localSheetId="1">#REF!</definedName>
    <definedName name="Re___13" localSheetId="0">#REF!</definedName>
    <definedName name="Re___13" localSheetId="4">#REF!</definedName>
    <definedName name="Re___13" localSheetId="11">#REF!</definedName>
    <definedName name="Re___13">#REF!</definedName>
    <definedName name="REACTOR" localSheetId="1">#REF!</definedName>
    <definedName name="REACTOR" localSheetId="0">#REF!</definedName>
    <definedName name="REACTOR" localSheetId="4">#REF!</definedName>
    <definedName name="REACTOR">#REF!</definedName>
    <definedName name="REBAR" localSheetId="1">#REF!</definedName>
    <definedName name="REBAR" localSheetId="0">#REF!</definedName>
    <definedName name="REBAR" localSheetId="4">#REF!</definedName>
    <definedName name="REBAR">#REF!</definedName>
    <definedName name="RECON" localSheetId="11" hidden="1">{"form-D1",#N/A,FALSE,"FORM-D1";"form-D1_amt",#N/A,FALSE,"FORM-D1"}</definedName>
    <definedName name="RECON" localSheetId="10" hidden="1">{"form-D1",#N/A,FALSE,"FORM-D1";"form-D1_amt",#N/A,FALSE,"FORM-D1"}</definedName>
    <definedName name="RECON">{"form-D1",#N/A,FALSE,"FORM-D1";"form-D1_amt",#N/A,FALSE,"FORM-D1"}</definedName>
    <definedName name="_xlnm.Recorder" localSheetId="11">#REF!</definedName>
    <definedName name="_xlnm.Recorder">#REF!</definedName>
    <definedName name="rect_4_415" localSheetId="1">#REF!</definedName>
    <definedName name="rect_4_415" localSheetId="0">#REF!</definedName>
    <definedName name="rect_4_415" localSheetId="4">#REF!</definedName>
    <definedName name="rect_4_415" localSheetId="11">#REF!</definedName>
    <definedName name="rect_4_415">#REF!</definedName>
    <definedName name="REE" localSheetId="11">#REF!</definedName>
    <definedName name="REE">#REF!</definedName>
    <definedName name="regionnames">#REF!</definedName>
    <definedName name="regions">#REF!</definedName>
    <definedName name="rel" localSheetId="1">#REF!</definedName>
    <definedName name="rel" localSheetId="0">#REF!</definedName>
    <definedName name="rel" localSheetId="4">#REF!</definedName>
    <definedName name="rel">#REF!</definedName>
    <definedName name="RENT" localSheetId="11">#REF!</definedName>
    <definedName name="RENT">#REF!</definedName>
    <definedName name="Repairs" localSheetId="11">#REF!</definedName>
    <definedName name="Repairs">#REF!</definedName>
    <definedName name="req" localSheetId="1">#REF!</definedName>
    <definedName name="req" localSheetId="0">#REF!</definedName>
    <definedName name="req" localSheetId="4">#REF!</definedName>
    <definedName name="req" localSheetId="11">#REF!</definedName>
    <definedName name="req">#REF!</definedName>
    <definedName name="RERE" localSheetId="11">#REF!</definedName>
    <definedName name="RERE">#REF!</definedName>
    <definedName name="rerere" localSheetId="11">#REF!</definedName>
    <definedName name="rerere">#REF!</definedName>
    <definedName name="res_sum" localSheetId="11" hidden="1">{#N/A,#N/A,FALSE,"COVER1.XLS ";#N/A,#N/A,FALSE,"RACT1.XLS";#N/A,#N/A,FALSE,"RACT2.XLS";#N/A,#N/A,FALSE,"ECCMP";#N/A,#N/A,FALSE,"WELDER.XLS"}</definedName>
    <definedName name="res_sum" localSheetId="10" hidden="1">{#N/A,#N/A,FALSE,"COVER1.XLS ";#N/A,#N/A,FALSE,"RACT1.XLS";#N/A,#N/A,FALSE,"RACT2.XLS";#N/A,#N/A,FALSE,"ECCMP";#N/A,#N/A,FALSE,"WELDER.XLS"}</definedName>
    <definedName name="res_sum">{#N/A,#N/A,FALSE,"COVER1.XLS ";#N/A,#N/A,FALSE,"RACT1.XLS";#N/A,#N/A,FALSE,"RACT2.XLS";#N/A,#N/A,FALSE,"ECCMP";#N/A,#N/A,FALSE,"WELDER.XLS"}</definedName>
    <definedName name="Result33" localSheetId="1">#REF!</definedName>
    <definedName name="Result33" localSheetId="0">#REF!</definedName>
    <definedName name="Result33" localSheetId="4">#REF!</definedName>
    <definedName name="Result33" localSheetId="11">#REF!</definedName>
    <definedName name="Result33">#REF!</definedName>
    <definedName name="Result51" localSheetId="1">#REF!</definedName>
    <definedName name="Result51" localSheetId="0">#REF!</definedName>
    <definedName name="Result51" localSheetId="4">#REF!</definedName>
    <definedName name="Result51" localSheetId="11">#REF!</definedName>
    <definedName name="Result51">#REF!</definedName>
    <definedName name="Result61" localSheetId="1">#REF!</definedName>
    <definedName name="Result61" localSheetId="0">#REF!</definedName>
    <definedName name="Result61" localSheetId="4">#REF!</definedName>
    <definedName name="Result61" localSheetId="11">#REF!</definedName>
    <definedName name="Result61">#REF!</definedName>
    <definedName name="Rev" localSheetId="1">#REF!</definedName>
    <definedName name="Rev" localSheetId="0">#REF!</definedName>
    <definedName name="Rev" localSheetId="4">#REF!</definedName>
    <definedName name="Rev">#REF!</definedName>
    <definedName name="Revision" localSheetId="1">#REF!</definedName>
    <definedName name="Revision" localSheetId="0">#REF!</definedName>
    <definedName name="Revision" localSheetId="4">#REF!</definedName>
    <definedName name="Revision">#REF!</definedName>
    <definedName name="REVSTATUS" localSheetId="1">#REF!</definedName>
    <definedName name="REVSTATUS" localSheetId="0">#REF!</definedName>
    <definedName name="REVSTATUS" localSheetId="4">#REF!</definedName>
    <definedName name="REVSTATUS">#REF!</definedName>
    <definedName name="revstatuspage1" localSheetId="1">#REF!</definedName>
    <definedName name="revstatuspage1" localSheetId="0">#REF!</definedName>
    <definedName name="revstatuspage1" localSheetId="4">#REF!</definedName>
    <definedName name="revstatuspage1">#REF!</definedName>
    <definedName name="revstatuspage2" localSheetId="1">#REF!</definedName>
    <definedName name="revstatuspage2" localSheetId="0">#REF!</definedName>
    <definedName name="revstatuspage2" localSheetId="4">#REF!</definedName>
    <definedName name="revstatuspage2">#REF!</definedName>
    <definedName name="rewrewwre" localSheetId="11" hidden="1">#REF!</definedName>
    <definedName name="rewrewwre">#REF!</definedName>
    <definedName name="rewrwewe" localSheetId="11" hidden="1">#REF!</definedName>
    <definedName name="rewrwewe">#REF!</definedName>
    <definedName name="RFGF" localSheetId="11">#REF!</definedName>
    <definedName name="RFGF">#REF!</definedName>
    <definedName name="Rg" localSheetId="1">#REF!</definedName>
    <definedName name="Rg" localSheetId="0">#REF!</definedName>
    <definedName name="Rg" localSheetId="4">#REF!</definedName>
    <definedName name="Rg">#REF!</definedName>
    <definedName name="rgns">#REF!</definedName>
    <definedName name="rgs" localSheetId="1">#REF!</definedName>
    <definedName name="rgs" localSheetId="0">#REF!</definedName>
    <definedName name="rgs" localSheetId="4">#REF!</definedName>
    <definedName name="rgs">#REF!</definedName>
    <definedName name="rho" localSheetId="1">#REF!</definedName>
    <definedName name="rho" localSheetId="0">#REF!</definedName>
    <definedName name="rho" localSheetId="4">#REF!</definedName>
    <definedName name="rho">#REF!</definedName>
    <definedName name="rig" localSheetId="1">#REF!</definedName>
    <definedName name="rig" localSheetId="0">#REF!</definedName>
    <definedName name="rig" localSheetId="4">#REF!</definedName>
    <definedName name="rig">#REF!</definedName>
    <definedName name="rishraetc">#REF!</definedName>
    <definedName name="rjrj" localSheetId="11" hidden="1">{"'PROFITABILITY'!$A$1:$F$45"}</definedName>
    <definedName name="rjrj" localSheetId="10" hidden="1">{"'PROFITABILITY'!$A$1:$F$45"}</definedName>
    <definedName name="rjrj">{"'PROFITABILITY'!$A$1:$F$45"}</definedName>
    <definedName name="rjrjj" localSheetId="11" hidden="1">{"'PROFITABILITY'!$A$1:$F$45"}</definedName>
    <definedName name="rjrjj" localSheetId="10" hidden="1">{"'PROFITABILITY'!$A$1:$F$45"}</definedName>
    <definedName name="rjrjj">{"'PROFITABILITY'!$A$1:$F$45"}</definedName>
    <definedName name="Rl" localSheetId="1">#REF!</definedName>
    <definedName name="Rl" localSheetId="0">#REF!</definedName>
    <definedName name="Rl" localSheetId="4">#REF!</definedName>
    <definedName name="Rl">#REF!</definedName>
    <definedName name="Rl___0" localSheetId="1">#REF!</definedName>
    <definedName name="Rl___0" localSheetId="0">#REF!</definedName>
    <definedName name="Rl___0" localSheetId="4">#REF!</definedName>
    <definedName name="Rl___0">#REF!</definedName>
    <definedName name="Rl___13" localSheetId="1">#REF!</definedName>
    <definedName name="Rl___13" localSheetId="0">#REF!</definedName>
    <definedName name="Rl___13" localSheetId="4">#REF!</definedName>
    <definedName name="Rl___13">#REF!</definedName>
    <definedName name="rldif" localSheetId="1">#REF!</definedName>
    <definedName name="rldif" localSheetId="0">#REF!</definedName>
    <definedName name="rldif" localSheetId="4">#REF!</definedName>
    <definedName name="rldif">#REF!</definedName>
    <definedName name="rldis" localSheetId="1">#REF!</definedName>
    <definedName name="rldis" localSheetId="0">#REF!</definedName>
    <definedName name="rldis" localSheetId="4">#REF!</definedName>
    <definedName name="rldis">#REF!</definedName>
    <definedName name="Rlead" localSheetId="1">#REF!</definedName>
    <definedName name="Rlead" localSheetId="0">#REF!</definedName>
    <definedName name="Rlead" localSheetId="4">#REF!</definedName>
    <definedName name="Rlead">#REF!</definedName>
    <definedName name="Rm" localSheetId="1">#REF!</definedName>
    <definedName name="Rm" localSheetId="0">#REF!</definedName>
    <definedName name="Rm" localSheetId="4">#REF!</definedName>
    <definedName name="Rm">#REF!</definedName>
    <definedName name="robot" localSheetId="1">#REF!</definedName>
    <definedName name="robot" localSheetId="0">#REF!</definedName>
    <definedName name="robot" localSheetId="4">#REF!</definedName>
    <definedName name="robot">#REF!</definedName>
    <definedName name="ROLLFCCASHFLOW" localSheetId="1">#REF!</definedName>
    <definedName name="ROLLFCCASHFLOW" localSheetId="0">#REF!</definedName>
    <definedName name="ROLLFCCASHFLOW" localSheetId="4">#REF!</definedName>
    <definedName name="ROLLFCCASHFLOW">#REF!</definedName>
    <definedName name="ROLLFCWKGS" localSheetId="1">#REF!</definedName>
    <definedName name="ROLLFCWKGS" localSheetId="0">#REF!</definedName>
    <definedName name="ROLLFCWKGS" localSheetId="4">#REF!</definedName>
    <definedName name="ROLLFCWKGS">#REF!</definedName>
    <definedName name="ROLLGFC" localSheetId="1">#REF!</definedName>
    <definedName name="ROLLGFC" localSheetId="0">#REF!</definedName>
    <definedName name="ROLLGFC" localSheetId="4">#REF!</definedName>
    <definedName name="ROLLGFC">#REF!</definedName>
    <definedName name="root1" localSheetId="1">#REF!</definedName>
    <definedName name="root1" localSheetId="0">#REF!</definedName>
    <definedName name="root1" localSheetId="4">#REF!</definedName>
    <definedName name="root1">#REF!</definedName>
    <definedName name="root2" localSheetId="1">#REF!</definedName>
    <definedName name="root2" localSheetId="0">#REF!</definedName>
    <definedName name="root2" localSheetId="4">#REF!</definedName>
    <definedName name="root2">#REF!</definedName>
    <definedName name="root3" localSheetId="1">#REF!</definedName>
    <definedName name="root3" localSheetId="0">#REF!</definedName>
    <definedName name="root3" localSheetId="4">#REF!</definedName>
    <definedName name="root3">#REF!</definedName>
    <definedName name="rosid" localSheetId="1">#REF!</definedName>
    <definedName name="rosid" localSheetId="0">#REF!</definedName>
    <definedName name="rosid" localSheetId="4">#REF!</definedName>
    <definedName name="rosid">#REF!</definedName>
    <definedName name="rr" localSheetId="1">#REF!</definedName>
    <definedName name="rr" localSheetId="0">#REF!</definedName>
    <definedName name="rr" localSheetId="4">#REF!</definedName>
    <definedName name="rr">#REF!</definedName>
    <definedName name="rrammv" localSheetId="1">#REF!</definedName>
    <definedName name="rrammv" localSheetId="0">#REF!</definedName>
    <definedName name="rrammv" localSheetId="4">#REF!</definedName>
    <definedName name="rrammv">#REF!</definedName>
    <definedName name="Rrelay" localSheetId="1">#REF!</definedName>
    <definedName name="Rrelay" localSheetId="0">#REF!</definedName>
    <definedName name="Rrelay" localSheetId="4">#REF!</definedName>
    <definedName name="Rrelay">#REF!</definedName>
    <definedName name="RRR" localSheetId="1">#REF!</definedName>
    <definedName name="RRR" localSheetId="0">#REF!</definedName>
    <definedName name="RRR" localSheetId="4">#REF!</definedName>
    <definedName name="RRR">#REF!</definedName>
    <definedName name="rrrrtrt" localSheetId="1">#REF!</definedName>
    <definedName name="rrrrtrt" localSheetId="0">#REF!</definedName>
    <definedName name="rrrrtrt" localSheetId="4">#REF!</definedName>
    <definedName name="rrrrtrt">#REF!</definedName>
    <definedName name="Rs" localSheetId="1">#REF!</definedName>
    <definedName name="Rs" localSheetId="0">#REF!</definedName>
    <definedName name="Rs" localSheetId="4">#REF!</definedName>
    <definedName name="Rs">#REF!</definedName>
    <definedName name="Rs___0" localSheetId="1">#REF!</definedName>
    <definedName name="Rs___0" localSheetId="0">#REF!</definedName>
    <definedName name="Rs___0" localSheetId="4">#REF!</definedName>
    <definedName name="Rs___0">#REF!</definedName>
    <definedName name="Rs___13" localSheetId="1">#REF!</definedName>
    <definedName name="Rs___13" localSheetId="0">#REF!</definedName>
    <definedName name="Rs___13" localSheetId="4">#REF!</definedName>
    <definedName name="Rs___13">#REF!</definedName>
    <definedName name="rsat" localSheetId="1">#REF!</definedName>
    <definedName name="rsat" localSheetId="0">#REF!</definedName>
    <definedName name="rsat" localSheetId="4">#REF!</definedName>
    <definedName name="rsat">#REF!</definedName>
    <definedName name="Rse" localSheetId="1">#REF!</definedName>
    <definedName name="Rse" localSheetId="0">#REF!</definedName>
    <definedName name="Rse" localSheetId="4">#REF!</definedName>
    <definedName name="Rse">#REF!</definedName>
    <definedName name="Rse___0" localSheetId="1">#REF!</definedName>
    <definedName name="Rse___0" localSheetId="0">#REF!</definedName>
    <definedName name="Rse___0" localSheetId="4">#REF!</definedName>
    <definedName name="Rse___0">#REF!</definedName>
    <definedName name="Rse___13" localSheetId="1">#REF!</definedName>
    <definedName name="Rse___13" localSheetId="0">#REF!</definedName>
    <definedName name="Rse___13" localSheetId="4">#REF!</definedName>
    <definedName name="Rse___13">#REF!</definedName>
    <definedName name="rtfr" localSheetId="1">#REF!</definedName>
    <definedName name="rtfr" localSheetId="0">#REF!</definedName>
    <definedName name="rtfr" localSheetId="4">#REF!</definedName>
    <definedName name="rtfr" localSheetId="11">#REF!</definedName>
    <definedName name="rtfr">#REF!</definedName>
    <definedName name="rttj" localSheetId="11" hidden="1">{"'PROFITABILITY'!$A$1:$F$45"}</definedName>
    <definedName name="rttj" localSheetId="10" hidden="1">{"'PROFITABILITY'!$A$1:$F$45"}</definedName>
    <definedName name="rttj">{"'PROFITABILITY'!$A$1:$F$45"}</definedName>
    <definedName name="rttrt" localSheetId="11" hidden="1">{"form-D1",#N/A,FALSE,"FORM-D1";"form-D1_amt",#N/A,FALSE,"FORM-D1"}</definedName>
    <definedName name="rttrt" localSheetId="10" hidden="1">{"form-D1",#N/A,FALSE,"FORM-D1";"form-D1_amt",#N/A,FALSE,"FORM-D1"}</definedName>
    <definedName name="rttrt">{"form-D1",#N/A,FALSE,"FORM-D1";"form-D1_amt",#N/A,FALSE,"FORM-D1"}</definedName>
    <definedName name="RUPEES">#REF!</definedName>
    <definedName name="rwere" localSheetId="11" hidden="1">{#N/A,#N/A,FALSE,"COVER1.XLS ";#N/A,#N/A,FALSE,"RACT1.XLS";#N/A,#N/A,FALSE,"RACT2.XLS";#N/A,#N/A,FALSE,"ECCMP";#N/A,#N/A,FALSE,"WELDER.XLS"}</definedName>
    <definedName name="rwere" localSheetId="10" hidden="1">{#N/A,#N/A,FALSE,"COVER1.XLS ";#N/A,#N/A,FALSE,"RACT1.XLS";#N/A,#N/A,FALSE,"RACT2.XLS";#N/A,#N/A,FALSE,"ECCMP";#N/A,#N/A,FALSE,"WELDER.XLS"}</definedName>
    <definedName name="rwere">{#N/A,#N/A,FALSE,"COVER1.XLS ";#N/A,#N/A,FALSE,"RACT1.XLS";#N/A,#N/A,FALSE,"RACT2.XLS";#N/A,#N/A,FALSE,"ECCMP";#N/A,#N/A,FALSE,"WELDER.XLS"}</definedName>
    <definedName name="rwerewre" localSheetId="11" hidden="1">#REF!</definedName>
    <definedName name="rwerewre">#REF!</definedName>
    <definedName name="S" localSheetId="1">#REF!</definedName>
    <definedName name="S" localSheetId="0">#REF!</definedName>
    <definedName name="S" localSheetId="4">#REF!</definedName>
    <definedName name="S" localSheetId="11">#REF!</definedName>
    <definedName name="S">#REF!</definedName>
    <definedName name="S_41" localSheetId="11" hidden="1">{0,0,0,0;0,#N/A,FALSE,0}</definedName>
    <definedName name="S_41" localSheetId="10" hidden="1">{0,0,0,0;0,#N/A,FALSE,0}</definedName>
    <definedName name="S_41">{0,0,0,0;0,#N/A,FALSE,0}</definedName>
    <definedName name="S_S_Name" localSheetId="11">#REF!</definedName>
    <definedName name="S_S_Name">#REF!</definedName>
    <definedName name="S_T_Q_E_MI" localSheetId="11">#REF!</definedName>
    <definedName name="S_T_Q_E_MI">#REF!</definedName>
    <definedName name="S0" localSheetId="11">#REF!</definedName>
    <definedName name="S0">#REF!</definedName>
    <definedName name="s0ne" localSheetId="1">#REF!</definedName>
    <definedName name="s0ne" localSheetId="0">#REF!</definedName>
    <definedName name="s0ne" localSheetId="4">#REF!</definedName>
    <definedName name="s0ne">#REF!</definedName>
    <definedName name="saa" localSheetId="11" hidden="1">{"form-D1",#N/A,FALSE,"FORM-D1";"form-D1_amt",#N/A,FALSE,"FORM-D1"}</definedName>
    <definedName name="saa" localSheetId="10" hidden="1">{"form-D1",#N/A,FALSE,"FORM-D1";"form-D1_amt",#N/A,FALSE,"FORM-D1"}</definedName>
    <definedName name="saa">{"form-D1",#N/A,FALSE,"FORM-D1";"form-D1_amt",#N/A,FALSE,"FORM-D1"}</definedName>
    <definedName name="sadafas" localSheetId="1">#REF!</definedName>
    <definedName name="sadafas" localSheetId="0">#REF!</definedName>
    <definedName name="sadafas" localSheetId="4">#REF!</definedName>
    <definedName name="sadafas" localSheetId="11">#REF!</definedName>
    <definedName name="sadafas">#REF!</definedName>
    <definedName name="sak" localSheetId="1">#REF!</definedName>
    <definedName name="sak" localSheetId="0">#REF!</definedName>
    <definedName name="sak" localSheetId="4">#REF!</definedName>
    <definedName name="sak" localSheetId="11">#REF!</definedName>
    <definedName name="sak">#REF!</definedName>
    <definedName name="SALARIES___WAGES" localSheetId="11">#REF!</definedName>
    <definedName name="SALARIES___WAGES">#REF!</definedName>
    <definedName name="sales">#REF!</definedName>
    <definedName name="Sales_Per_Manday" localSheetId="1">#REF!</definedName>
    <definedName name="Sales_Per_Manday" localSheetId="0">#REF!</definedName>
    <definedName name="Sales_Per_Manday" localSheetId="4">#REF!</definedName>
    <definedName name="Sales_Per_Manday">#REF!</definedName>
    <definedName name="SAP_SUMM" localSheetId="11">#REF!</definedName>
    <definedName name="SAP_SUMM">#REF!</definedName>
    <definedName name="sarita" localSheetId="1">#REF!</definedName>
    <definedName name="sarita" localSheetId="0">#REF!</definedName>
    <definedName name="sarita" localSheetId="4">#REF!</definedName>
    <definedName name="sarita" localSheetId="11">#REF!</definedName>
    <definedName name="sarita">#REF!</definedName>
    <definedName name="sasi" localSheetId="1">#REF!</definedName>
    <definedName name="sasi" localSheetId="0">#REF!</definedName>
    <definedName name="sasi" localSheetId="4">#REF!</definedName>
    <definedName name="sasi" localSheetId="11">#REF!</definedName>
    <definedName name="sasi">#REF!</definedName>
    <definedName name="sastry" localSheetId="1">#REF!</definedName>
    <definedName name="sastry" localSheetId="0">#REF!</definedName>
    <definedName name="sastry" localSheetId="4">#REF!</definedName>
    <definedName name="sastry">#REF!</definedName>
    <definedName name="SATYA">#REF!</definedName>
    <definedName name="sb" localSheetId="1">#REF!</definedName>
    <definedName name="sb" localSheetId="0">#REF!</definedName>
    <definedName name="sb" localSheetId="4">#REF!</definedName>
    <definedName name="sb">#REF!</definedName>
    <definedName name="SCF" localSheetId="1">#REF!</definedName>
    <definedName name="SCF" localSheetId="0">#REF!</definedName>
    <definedName name="SCF" localSheetId="4">#REF!</definedName>
    <definedName name="SCF">#REF!</definedName>
    <definedName name="sCHE4" localSheetId="1">#REF!</definedName>
    <definedName name="sCHE4" localSheetId="0">#REF!</definedName>
    <definedName name="sCHE4" localSheetId="4">#REF!</definedName>
    <definedName name="sCHE4" localSheetId="11">#REF!</definedName>
    <definedName name="sCHE4">#REF!</definedName>
    <definedName name="Sched_Pay" localSheetId="1">#REF!</definedName>
    <definedName name="Sched_Pay" localSheetId="0">#REF!</definedName>
    <definedName name="Sched_Pay" localSheetId="4">#REF!</definedName>
    <definedName name="Sched_Pay" localSheetId="11">#REF!</definedName>
    <definedName name="Sched_Pay">#REF!</definedName>
    <definedName name="SCHEDULE_NO._1" localSheetId="11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d_Extra_Payments" localSheetId="1">#REF!</definedName>
    <definedName name="Scheduled_Extra_Payments" localSheetId="0">#REF!</definedName>
    <definedName name="Scheduled_Extra_Payments" localSheetId="4">#REF!</definedName>
    <definedName name="Scheduled_Extra_Payments">#REF!</definedName>
    <definedName name="Scheduled_Interest_Rate" localSheetId="1">#REF!</definedName>
    <definedName name="Scheduled_Interest_Rate" localSheetId="0">#REF!</definedName>
    <definedName name="Scheduled_Interest_Rate" localSheetId="4">#REF!</definedName>
    <definedName name="Scheduled_Interest_Rate">#REF!</definedName>
    <definedName name="Scheduled_Monthly_Payment" localSheetId="1">#REF!</definedName>
    <definedName name="Scheduled_Monthly_Payment" localSheetId="0">#REF!</definedName>
    <definedName name="Scheduled_Monthly_Payment" localSheetId="4">#REF!</definedName>
    <definedName name="Scheduled_Monthly_Payment">#REF!</definedName>
    <definedName name="schools" localSheetId="1">#REF!</definedName>
    <definedName name="schools" localSheetId="0">#REF!</definedName>
    <definedName name="schools" localSheetId="4">#REF!</definedName>
    <definedName name="schools" localSheetId="11">#REF!</definedName>
    <definedName name="schools">#REF!</definedName>
    <definedName name="SCIENCE" localSheetId="1">#REF!</definedName>
    <definedName name="SCIENCE" localSheetId="0">#REF!</definedName>
    <definedName name="SCIENCE" localSheetId="4">#REF!</definedName>
    <definedName name="SCIENCE" localSheetId="11">#REF!</definedName>
    <definedName name="SCIENCE">#REF!</definedName>
    <definedName name="scrb" localSheetId="1">#REF!</definedName>
    <definedName name="scrb" localSheetId="0">#REF!</definedName>
    <definedName name="scrb" localSheetId="4">#REF!</definedName>
    <definedName name="scrb" localSheetId="11">#REF!</definedName>
    <definedName name="scrb">#REF!</definedName>
    <definedName name="sd">#REF!</definedName>
    <definedName name="sda" localSheetId="11" hidden="1">{"form-D1",#N/A,FALSE,"FORM-D1";"form-D1_amt",#N/A,FALSE,"FORM-D1"}</definedName>
    <definedName name="sda" localSheetId="10" hidden="1">{"form-D1",#N/A,FALSE,"FORM-D1";"form-D1_amt",#N/A,FALSE,"FORM-D1"}</definedName>
    <definedName name="sda">{"form-D1",#N/A,FALSE,"FORM-D1";"form-D1_amt",#N/A,FALSE,"FORM-D1"}</definedName>
    <definedName name="Sdate" localSheetId="1">#REF!</definedName>
    <definedName name="Sdate" localSheetId="0">#REF!</definedName>
    <definedName name="Sdate" localSheetId="4">#REF!</definedName>
    <definedName name="Sdate" localSheetId="11">#REF!</definedName>
    <definedName name="Sdate">#REF!</definedName>
    <definedName name="sdf" localSheetId="11" hidden="1">{"'PROFITABILITY'!$A$1:$F$45"}</definedName>
    <definedName name="sdf" localSheetId="10" hidden="1">{"'PROFITABILITY'!$A$1:$F$45"}</definedName>
    <definedName name="sdf">{"'PROFITABILITY'!$A$1:$F$45"}</definedName>
    <definedName name="sdfds" localSheetId="11" hidden="1">{"'PROFITABILITY'!$A$1:$F$45"}</definedName>
    <definedName name="sdfds" localSheetId="10" hidden="1">{"'PROFITABILITY'!$A$1:$F$45"}</definedName>
    <definedName name="sdfds">{"'PROFITABILITY'!$A$1:$F$45"}</definedName>
    <definedName name="SDGDSHGD" localSheetId="11" hidden="1">{"'PROFITABILITY'!$A$1:$F$45"}</definedName>
    <definedName name="SDGDSHGD" localSheetId="10" hidden="1">{"'PROFITABILITY'!$A$1:$F$45"}</definedName>
    <definedName name="SDGDSHGD">{"'PROFITABILITY'!$A$1:$F$45"}</definedName>
    <definedName name="SDGSDG" localSheetId="11" hidden="1">{"'PROFITABILITY'!$A$1:$F$45"}</definedName>
    <definedName name="SDGSDG" localSheetId="10" hidden="1">{"'PROFITABILITY'!$A$1:$F$45"}</definedName>
    <definedName name="SDGSDG">{"'PROFITABILITY'!$A$1:$F$45"}</definedName>
    <definedName name="SDGSG" localSheetId="11" hidden="1">{"'PROFITABILITY'!$A$1:$F$45"}</definedName>
    <definedName name="SDGSG" localSheetId="10" hidden="1">{"'PROFITABILITY'!$A$1:$F$45"}</definedName>
    <definedName name="SDGSG">{"'PROFITABILITY'!$A$1:$F$45"}</definedName>
    <definedName name="sdr">#REF!</definedName>
    <definedName name="sds" localSheetId="1">#REF!</definedName>
    <definedName name="sds" localSheetId="0">#REF!</definedName>
    <definedName name="sds" localSheetId="4">#REF!</definedName>
    <definedName name="sds">#REF!</definedName>
    <definedName name="se" localSheetId="1">#REF!</definedName>
    <definedName name="se" localSheetId="0">#REF!</definedName>
    <definedName name="se" localSheetId="4">#REF!</definedName>
    <definedName name="se">#REF!</definedName>
    <definedName name="sect_table" localSheetId="1">#REF!:#REF!</definedName>
    <definedName name="sect_table" localSheetId="2">#REF!:#REF!</definedName>
    <definedName name="sect_table" localSheetId="0">#REF!:#REF!</definedName>
    <definedName name="sect_table" localSheetId="11">#REF!:#REF!</definedName>
    <definedName name="sect_table">#REF!:#REF!</definedName>
    <definedName name="SECTAB" localSheetId="1">#REF!:#REF!</definedName>
    <definedName name="SECTAB" localSheetId="2">#REF!:#REF!</definedName>
    <definedName name="SECTAB" localSheetId="0">#REF!:#REF!</definedName>
    <definedName name="SECTAB" localSheetId="11">#REF!:#REF!</definedName>
    <definedName name="SECTAB">#REF!:#REF!</definedName>
    <definedName name="see" localSheetId="1">#REF!</definedName>
    <definedName name="see" localSheetId="0">#REF!</definedName>
    <definedName name="see" localSheetId="4">#REF!</definedName>
    <definedName name="see" localSheetId="11">#REF!</definedName>
    <definedName name="see">#REF!</definedName>
    <definedName name="Select" localSheetId="11">#REF!</definedName>
    <definedName name="Select">#REF!</definedName>
    <definedName name="SelectD1OrC1" localSheetId="11">#REF!</definedName>
    <definedName name="SelectD1OrC1">#REF!</definedName>
    <definedName name="SelectLessOrExcess">#REF!</definedName>
    <definedName name="SEPT" localSheetId="1">#REF!</definedName>
    <definedName name="SEPT" localSheetId="0">#REF!</definedName>
    <definedName name="SEPT" localSheetId="4">#REF!</definedName>
    <definedName name="SEPT">#REF!</definedName>
    <definedName name="Service">#REF!</definedName>
    <definedName name="ServiceTax">#REF!</definedName>
    <definedName name="SESHA_SAI_CONSTRUCTION" localSheetId="1">#REF!</definedName>
    <definedName name="SESHA_SAI_CONSTRUCTION" localSheetId="0">#REF!</definedName>
    <definedName name="SESHA_SAI_CONSTRUCTION" localSheetId="4">#REF!</definedName>
    <definedName name="SESHA_SAI_CONSTRUCTION">#REF!</definedName>
    <definedName name="sfdf" localSheetId="11">#REF!</definedName>
    <definedName name="sfdf">#REF!</definedName>
    <definedName name="SFR" localSheetId="1">#REF!</definedName>
    <definedName name="SFR" localSheetId="0">#REF!</definedName>
    <definedName name="SFR" localSheetId="4">#REF!</definedName>
    <definedName name="SFR" localSheetId="11">#REF!</definedName>
    <definedName name="SFR">#REF!</definedName>
    <definedName name="sheet1" localSheetId="1">#REF!</definedName>
    <definedName name="sheet1" localSheetId="0">#REF!</definedName>
    <definedName name="sheet1" localSheetId="4">#REF!</definedName>
    <definedName name="sheet1" localSheetId="11">#REF!</definedName>
    <definedName name="sheet1">#REF!</definedName>
    <definedName name="sheet1___0" localSheetId="1">#REF!</definedName>
    <definedName name="sheet1___0" localSheetId="0">#REF!</definedName>
    <definedName name="sheet1___0" localSheetId="4">#REF!</definedName>
    <definedName name="sheet1___0">#REF!</definedName>
    <definedName name="sheet1___13" localSheetId="1">#REF!</definedName>
    <definedName name="sheet1___13" localSheetId="0">#REF!</definedName>
    <definedName name="sheet1___13" localSheetId="4">#REF!</definedName>
    <definedName name="sheet1___13">#REF!</definedName>
    <definedName name="SHEET2" localSheetId="1">#REF!</definedName>
    <definedName name="SHEET2" localSheetId="0">#REF!</definedName>
    <definedName name="SHEET2" localSheetId="4">#REF!</definedName>
    <definedName name="SHEET2">#REF!</definedName>
    <definedName name="Shri1" localSheetId="1">#REF!</definedName>
    <definedName name="Shri1" localSheetId="0">#REF!</definedName>
    <definedName name="Shri1" localSheetId="4">#REF!</definedName>
    <definedName name="Shri1" localSheetId="11">#REF!</definedName>
    <definedName name="Shri1">#REF!</definedName>
    <definedName name="SHS" localSheetId="1">#REF!</definedName>
    <definedName name="SHS" localSheetId="0">#REF!</definedName>
    <definedName name="SHS" localSheetId="4">#REF!</definedName>
    <definedName name="SHS" localSheetId="11">#REF!</definedName>
    <definedName name="SHS">#REF!</definedName>
    <definedName name="sigma0.2" localSheetId="1">#REF!</definedName>
    <definedName name="sigma0.2" localSheetId="0">#REF!</definedName>
    <definedName name="sigma0.2" localSheetId="4">#REF!</definedName>
    <definedName name="sigma0.2" localSheetId="11">#REF!</definedName>
    <definedName name="sigma0.2">#REF!</definedName>
    <definedName name="sigma0_2" localSheetId="1">#REF!</definedName>
    <definedName name="sigma0_2" localSheetId="0">#REF!</definedName>
    <definedName name="sigma0_2" localSheetId="4">#REF!</definedName>
    <definedName name="sigma0_2" localSheetId="11">#REF!</definedName>
    <definedName name="sigma0_2">#REF!</definedName>
    <definedName name="sigmab" localSheetId="1">#REF!</definedName>
    <definedName name="sigmab" localSheetId="0">#REF!</definedName>
    <definedName name="sigmab" localSheetId="4">#REF!</definedName>
    <definedName name="sigmab" localSheetId="11">#REF!</definedName>
    <definedName name="sigmab">#REF!</definedName>
    <definedName name="sigmah" localSheetId="1">#REF!</definedName>
    <definedName name="sigmah" localSheetId="0">#REF!</definedName>
    <definedName name="sigmah" localSheetId="4">#REF!</definedName>
    <definedName name="sigmah">#REF!</definedName>
    <definedName name="sigmat" localSheetId="1">#REF!</definedName>
    <definedName name="sigmat" localSheetId="0">#REF!</definedName>
    <definedName name="sigmat" localSheetId="4">#REF!</definedName>
    <definedName name="sigmat">#REF!</definedName>
    <definedName name="sii" localSheetId="1">#REF!</definedName>
    <definedName name="sii" localSheetId="0">#REF!</definedName>
    <definedName name="sii" localSheetId="4">#REF!</definedName>
    <definedName name="sii">#REF!</definedName>
    <definedName name="Sim1_FirstRow" localSheetId="1">#REF!</definedName>
    <definedName name="Sim1_FirstRow" localSheetId="0">#REF!</definedName>
    <definedName name="Sim1_FirstRow" localSheetId="4">#REF!</definedName>
    <definedName name="Sim1_FirstRow">#REF!</definedName>
    <definedName name="Sim1_LastRow" localSheetId="1">#REF!</definedName>
    <definedName name="Sim1_LastRow" localSheetId="0">#REF!</definedName>
    <definedName name="Sim1_LastRow" localSheetId="4">#REF!</definedName>
    <definedName name="Sim1_LastRow">#REF!</definedName>
    <definedName name="Sim1_Param" localSheetId="1">#REF!</definedName>
    <definedName name="Sim1_Param" localSheetId="0">#REF!</definedName>
    <definedName name="Sim1_Param" localSheetId="4">#REF!</definedName>
    <definedName name="Sim1_Param">#REF!</definedName>
    <definedName name="Sim1_Param2" localSheetId="1">#REF!</definedName>
    <definedName name="Sim1_Param2" localSheetId="0">#REF!</definedName>
    <definedName name="Sim1_Param2" localSheetId="4">#REF!</definedName>
    <definedName name="Sim1_Param2">#REF!</definedName>
    <definedName name="Sim1_RepCount" localSheetId="1">#REF!</definedName>
    <definedName name="Sim1_RepCount" localSheetId="0">#REF!</definedName>
    <definedName name="Sim1_RepCount" localSheetId="4">#REF!</definedName>
    <definedName name="Sim1_RepCount">#REF!</definedName>
    <definedName name="Sim1_Seeds" localSheetId="1">#REF!</definedName>
    <definedName name="Sim1_Seeds" localSheetId="0">#REF!</definedName>
    <definedName name="Sim1_Seeds" localSheetId="4">#REF!</definedName>
    <definedName name="Sim1_Seeds">#REF!</definedName>
    <definedName name="Sim1_SimData" localSheetId="1">#REF!</definedName>
    <definedName name="Sim1_SimData" localSheetId="0">#REF!</definedName>
    <definedName name="Sim1_SimData" localSheetId="4">#REF!</definedName>
    <definedName name="Sim1_SimData">#REF!</definedName>
    <definedName name="Sim1_TopRow" localSheetId="1">#REF!</definedName>
    <definedName name="Sim1_TopRow" localSheetId="0">#REF!</definedName>
    <definedName name="Sim1_TopRow" localSheetId="4">#REF!</definedName>
    <definedName name="Sim1_TopRow">#REF!</definedName>
    <definedName name="sinq" localSheetId="1">#REF!</definedName>
    <definedName name="sinq" localSheetId="0">#REF!</definedName>
    <definedName name="sinq" localSheetId="4">#REF!</definedName>
    <definedName name="sinq">#REF!</definedName>
    <definedName name="sis" localSheetId="1">#REF!</definedName>
    <definedName name="sis" localSheetId="0">#REF!</definedName>
    <definedName name="sis" localSheetId="4">#REF!</definedName>
    <definedName name="sis">#REF!</definedName>
    <definedName name="sit" localSheetId="1">#REF!</definedName>
    <definedName name="sit" localSheetId="0">#REF!</definedName>
    <definedName name="sit" localSheetId="4">#REF!</definedName>
    <definedName name="sit">#REF!</definedName>
    <definedName name="sit0">#REF!</definedName>
    <definedName name="slab" localSheetId="11" hidden="1">{"form-D1",#N/A,FALSE,"FORM-D1";"form-D1_amt",#N/A,FALSE,"FORM-D1"}</definedName>
    <definedName name="slab" localSheetId="10" hidden="1">{"form-D1",#N/A,FALSE,"FORM-D1";"form-D1_amt",#N/A,FALSE,"FORM-D1"}</definedName>
    <definedName name="slab">{"form-D1",#N/A,FALSE,"FORM-D1";"form-D1_amt",#N/A,FALSE,"FORM-D1"}</definedName>
    <definedName name="slab_p" localSheetId="11" hidden="1">{"form-D1",#N/A,FALSE,"FORM-D1";"form-D1_amt",#N/A,FALSE,"FORM-D1"}</definedName>
    <definedName name="slab_p" localSheetId="10" hidden="1">{"form-D1",#N/A,FALSE,"FORM-D1";"form-D1_amt",#N/A,FALSE,"FORM-D1"}</definedName>
    <definedName name="slab_p">{"form-D1",#N/A,FALSE,"FORM-D1";"form-D1_amt",#N/A,FALSE,"FORM-D1"}</definedName>
    <definedName name="sm" localSheetId="1">#REF!</definedName>
    <definedName name="sm" localSheetId="0">#REF!</definedName>
    <definedName name="sm" localSheetId="4">#REF!</definedName>
    <definedName name="sm" localSheetId="11">#REF!</definedName>
    <definedName name="sm">#REF!</definedName>
    <definedName name="soh">1%</definedName>
    <definedName name="Soil" localSheetId="11">#REF!</definedName>
    <definedName name="Soil">#REF!</definedName>
    <definedName name="SOR" localSheetId="1">#REF!</definedName>
    <definedName name="SOR" localSheetId="0">#REF!</definedName>
    <definedName name="SOR" localSheetId="4">#REF!</definedName>
    <definedName name="SOR" localSheetId="11">#REF!</definedName>
    <definedName name="SOR">#REF!</definedName>
    <definedName name="sort1" localSheetId="1">#REF!</definedName>
    <definedName name="sort1" localSheetId="0">#REF!</definedName>
    <definedName name="sort1" localSheetId="4">#REF!</definedName>
    <definedName name="sort1" localSheetId="11" hidden="1">#REF!</definedName>
    <definedName name="sort1">#REF!</definedName>
    <definedName name="Spanner_Auto_File">"C:\Documents and Settings\pcsai\My Documents\DRAIN_De.x2a"</definedName>
    <definedName name="SpecialPrice">#REF!</definedName>
    <definedName name="Spl" localSheetId="1">#REF!</definedName>
    <definedName name="Spl" localSheetId="0">#REF!</definedName>
    <definedName name="Spl" localSheetId="4">#REF!</definedName>
    <definedName name="Spl" localSheetId="11">#REF!</definedName>
    <definedName name="Spl">#REF!</definedName>
    <definedName name="SQRT__1___0.6___1.0" localSheetId="1">#REF!</definedName>
    <definedName name="SQRT__1___0.6___1.0" localSheetId="0">#REF!</definedName>
    <definedName name="SQRT__1___0.6___1.0" localSheetId="4">#REF!</definedName>
    <definedName name="SQRT__1___0.6___1.0" localSheetId="11">#REF!</definedName>
    <definedName name="SQRT__1___0.6___1.0">#REF!</definedName>
    <definedName name="SQRT__1___0_6___1_0" localSheetId="1">#REF!</definedName>
    <definedName name="SQRT__1___0_6___1_0" localSheetId="0">#REF!</definedName>
    <definedName name="SQRT__1___0_6___1_0" localSheetId="4">#REF!</definedName>
    <definedName name="SQRT__1___0_6___1_0" localSheetId="11">#REF!</definedName>
    <definedName name="SQRT__1___0_6___1_0">#REF!</definedName>
    <definedName name="SQRT__1___0_6___1_0___0" localSheetId="1">#REF!</definedName>
    <definedName name="SQRT__1___0_6___1_0___0" localSheetId="0">#REF!</definedName>
    <definedName name="SQRT__1___0_6___1_0___0" localSheetId="4">#REF!</definedName>
    <definedName name="SQRT__1___0_6___1_0___0" localSheetId="11">#REF!</definedName>
    <definedName name="SQRT__1___0_6___1_0___0">#REF!</definedName>
    <definedName name="SQRT__1___0_6___1_0___13" localSheetId="1">#REF!</definedName>
    <definedName name="SQRT__1___0_6___1_0___13" localSheetId="0">#REF!</definedName>
    <definedName name="SQRT__1___0_6___1_0___13" localSheetId="4">#REF!</definedName>
    <definedName name="SQRT__1___0_6___1_0___13">#REF!</definedName>
    <definedName name="sr" localSheetId="1">#REF!</definedName>
    <definedName name="sr" localSheetId="0">#REF!</definedName>
    <definedName name="sr" localSheetId="4">#REF!</definedName>
    <definedName name="sr">#REF!</definedName>
    <definedName name="sraica" localSheetId="1">#REF!</definedName>
    <definedName name="sraica" localSheetId="0">#REF!</definedName>
    <definedName name="sraica" localSheetId="4">#REF!</definedName>
    <definedName name="sraica">#REF!</definedName>
    <definedName name="sri" localSheetId="1">#REF!</definedName>
    <definedName name="sri" localSheetId="0">#REF!</definedName>
    <definedName name="sri" localSheetId="4">#REF!</definedName>
    <definedName name="sri">#REF!</definedName>
    <definedName name="SS" localSheetId="1">#REF!</definedName>
    <definedName name="SS" localSheetId="0">#REF!</definedName>
    <definedName name="SS" localSheetId="4">#REF!</definedName>
    <definedName name="SS" localSheetId="11">#REF!</definedName>
    <definedName name="SS">#REF!</definedName>
    <definedName name="SS_Avg_WC_Key" localSheetId="11">#REF!</definedName>
    <definedName name="SS_Avg_WC_Key">#REF!</definedName>
    <definedName name="SS_Per_Key" localSheetId="11">#REF!</definedName>
    <definedName name="SS_Per_Key">#REF!</definedName>
    <definedName name="SS_Res_Key" localSheetId="11">#REF!</definedName>
    <definedName name="SS_Res_Key">#REF!</definedName>
    <definedName name="SS_Top_Key" localSheetId="11">#REF!</definedName>
    <definedName name="SS_Top_Key">#REF!</definedName>
    <definedName name="SS_WC_Key" localSheetId="11">#REF!</definedName>
    <definedName name="SS_WC_Key">#REF!</definedName>
    <definedName name="SS400_401" localSheetId="1">#REF!</definedName>
    <definedName name="SS400_401" localSheetId="0">#REF!</definedName>
    <definedName name="SS400_401" localSheetId="4">#REF!</definedName>
    <definedName name="SS400_401" localSheetId="11">#REF!</definedName>
    <definedName name="SS400_401">#REF!</definedName>
    <definedName name="ss401_404" localSheetId="1">#REF!</definedName>
    <definedName name="ss401_404" localSheetId="0">#REF!</definedName>
    <definedName name="ss401_404" localSheetId="4">#REF!</definedName>
    <definedName name="ss401_404" localSheetId="11">#REF!</definedName>
    <definedName name="ss401_404">#REF!</definedName>
    <definedName name="ss405_408" localSheetId="1">#REF!</definedName>
    <definedName name="ss405_408" localSheetId="0">#REF!</definedName>
    <definedName name="ss405_408" localSheetId="4">#REF!</definedName>
    <definedName name="ss405_408">#REF!</definedName>
    <definedName name="SS421_422" localSheetId="1">#REF!</definedName>
    <definedName name="SS421_422" localSheetId="0">#REF!</definedName>
    <definedName name="SS421_422" localSheetId="4">#REF!</definedName>
    <definedName name="SS421_422">#REF!</definedName>
    <definedName name="ss421_424" localSheetId="1">#REF!</definedName>
    <definedName name="ss421_424" localSheetId="0">#REF!</definedName>
    <definedName name="ss421_424" localSheetId="4">#REF!</definedName>
    <definedName name="ss421_424">#REF!</definedName>
    <definedName name="ssl" localSheetId="1">#REF!</definedName>
    <definedName name="ssl" localSheetId="0">#REF!</definedName>
    <definedName name="ssl" localSheetId="4">#REF!</definedName>
    <definedName name="ssl" localSheetId="11">#REF!</definedName>
    <definedName name="ssl">#REF!</definedName>
    <definedName name="sss" localSheetId="1">#REF!</definedName>
    <definedName name="sss" localSheetId="0">#REF!</definedName>
    <definedName name="sss" localSheetId="4">#REF!</definedName>
    <definedName name="sss" localSheetId="11">#REF!</definedName>
    <definedName name="sss">#REF!</definedName>
    <definedName name="ssss" localSheetId="1">#REF!</definedName>
    <definedName name="ssss" localSheetId="0">#REF!</definedName>
    <definedName name="ssss" localSheetId="4">#REF!</definedName>
    <definedName name="ssss" localSheetId="11">#REF!</definedName>
    <definedName name="ssss">#REF!</definedName>
    <definedName name="sssssssss" localSheetId="11" hidden="1">{"form-D1",#N/A,FALSE,"FORM-D1";"form-D1_amt",#N/A,FALSE,"FORM-D1"}</definedName>
    <definedName name="sssssssss" localSheetId="10" hidden="1">{"form-D1",#N/A,FALSE,"FORM-D1";"form-D1_amt",#N/A,FALSE,"FORM-D1"}</definedName>
    <definedName name="sssssssss">{"form-D1",#N/A,FALSE,"FORM-D1";"form-D1_amt",#N/A,FALSE,"FORM-D1"}</definedName>
    <definedName name="sssssssssssss" localSheetId="11" hidden="1">{"form-D1",#N/A,FALSE,"FORM-D1";"form-D1_amt",#N/A,FALSE,"FORM-D1"}</definedName>
    <definedName name="sssssssssssss" localSheetId="10" hidden="1">{"form-D1",#N/A,FALSE,"FORM-D1";"form-D1_amt",#N/A,FALSE,"FORM-D1"}</definedName>
    <definedName name="sssssssssssss">{"form-D1",#N/A,FALSE,"FORM-D1";"form-D1_amt",#N/A,FALSE,"FORM-D1"}</definedName>
    <definedName name="sssssssssssssas" localSheetId="11" hidden="1">{"form-D1",#N/A,FALSE,"FORM-D1";"form-D1_amt",#N/A,FALSE,"FORM-D1"}</definedName>
    <definedName name="sssssssssssssas" localSheetId="10" hidden="1">{"form-D1",#N/A,FALSE,"FORM-D1";"form-D1_amt",#N/A,FALSE,"FORM-D1"}</definedName>
    <definedName name="sssssssssssssas">{"form-D1",#N/A,FALSE,"FORM-D1";"form-D1_amt",#N/A,FALSE,"FORM-D1"}</definedName>
    <definedName name="st" localSheetId="1">#REF!</definedName>
    <definedName name="st" localSheetId="0">#REF!</definedName>
    <definedName name="st" localSheetId="4">#REF!</definedName>
    <definedName name="st" localSheetId="11">#REF!</definedName>
    <definedName name="st">#REF!</definedName>
    <definedName name="STATEMENT_1" localSheetId="11">#REF!</definedName>
    <definedName name="STATEMENT_1">#REF!</definedName>
    <definedName name="STATEMENT_3" localSheetId="11">#REF!</definedName>
    <definedName name="STATEMENT_3">#REF!</definedName>
    <definedName name="STATEMENT_4" localSheetId="11">#REF!</definedName>
    <definedName name="STATEMENT_4">#REF!</definedName>
    <definedName name="STD" localSheetId="1">#REF!</definedName>
    <definedName name="STD" localSheetId="0">#REF!</definedName>
    <definedName name="STD" localSheetId="4">#REF!</definedName>
    <definedName name="STD" localSheetId="11">#REF!</definedName>
    <definedName name="STD">#REF!</definedName>
    <definedName name="steam_props" localSheetId="1">#REF!</definedName>
    <definedName name="steam_props" localSheetId="0">#REF!</definedName>
    <definedName name="steam_props" localSheetId="4">#REF!</definedName>
    <definedName name="steam_props">#REF!</definedName>
    <definedName name="stfr" localSheetId="1">#REF!</definedName>
    <definedName name="stfr" localSheetId="0">#REF!</definedName>
    <definedName name="stfr" localSheetId="4">#REF!</definedName>
    <definedName name="stfr">#REF!</definedName>
    <definedName name="STR" localSheetId="1">#REF!</definedName>
    <definedName name="STR" localSheetId="0">#REF!</definedName>
    <definedName name="STR" localSheetId="4">#REF!</definedName>
    <definedName name="STR" localSheetId="11">#REF!</definedName>
    <definedName name="STR">#REF!</definedName>
    <definedName name="stretch" localSheetId="11">#REF!</definedName>
    <definedName name="stretch">#REF!</definedName>
    <definedName name="StrID" localSheetId="1">#REF!</definedName>
    <definedName name="StrID" localSheetId="0">#REF!</definedName>
    <definedName name="StrID" localSheetId="4">#REF!</definedName>
    <definedName name="StrID" localSheetId="11">#REF!</definedName>
    <definedName name="StrID">#REF!</definedName>
    <definedName name="Subject" localSheetId="1">#REF!</definedName>
    <definedName name="Subject" localSheetId="0">#REF!</definedName>
    <definedName name="Subject" localSheetId="4">#REF!</definedName>
    <definedName name="Subject" localSheetId="11">#REF!</definedName>
    <definedName name="Subject">#REF!</definedName>
    <definedName name="substation" localSheetId="11">#REF!</definedName>
    <definedName name="substation">#REF!</definedName>
    <definedName name="SUBSTN_LST" localSheetId="11">#REF!</definedName>
    <definedName name="SUBSTN_LST">#REF!</definedName>
    <definedName name="SUM" localSheetId="1">#REF!</definedName>
    <definedName name="SUM" localSheetId="0">#REF!</definedName>
    <definedName name="SUM" localSheetId="4">#REF!</definedName>
    <definedName name="SUM">#REF!</definedName>
    <definedName name="SUMMARY" localSheetId="1">#REF!</definedName>
    <definedName name="SUMMARY" localSheetId="0">#REF!</definedName>
    <definedName name="SUMMARY" localSheetId="4">#REF!</definedName>
    <definedName name="SUMMARY" localSheetId="11">#REF!</definedName>
    <definedName name="SUMMARY">#REF!</definedName>
    <definedName name="SUMMARY_OTHER_EXPS" localSheetId="1">#REF!</definedName>
    <definedName name="SUMMARY_OTHER_EXPS" localSheetId="0">#REF!</definedName>
    <definedName name="SUMMARY_OTHER_EXPS" localSheetId="4">#REF!</definedName>
    <definedName name="SUMMARY_OTHER_EXPS" localSheetId="11">#REF!</definedName>
    <definedName name="SUMMARY_OTHER_EXPS">#REF!</definedName>
    <definedName name="SUPPLY" localSheetId="1">#REF!</definedName>
    <definedName name="SUPPLY" localSheetId="0">#REF!</definedName>
    <definedName name="SUPPLY" localSheetId="4">#REF!</definedName>
    <definedName name="SUPPLY" localSheetId="11">#REF!</definedName>
    <definedName name="SUPPLY">#REF!</definedName>
    <definedName name="supplysch" localSheetId="11">#REF!</definedName>
    <definedName name="supplysch">#REF!</definedName>
    <definedName name="SWH" localSheetId="1">#REF!</definedName>
    <definedName name="SWH" localSheetId="0">#REF!</definedName>
    <definedName name="SWH" localSheetId="4">#REF!</definedName>
    <definedName name="SWH" localSheetId="11">#REF!</definedName>
    <definedName name="SWH">#REF!</definedName>
    <definedName name="T" localSheetId="1">#REF!</definedName>
    <definedName name="T" localSheetId="0">#REF!</definedName>
    <definedName name="T" localSheetId="4">#REF!</definedName>
    <definedName name="T" localSheetId="11">#REF!</definedName>
    <definedName name="T">#REF!</definedName>
    <definedName name="t___0" localSheetId="1">#REF!</definedName>
    <definedName name="t___0" localSheetId="0">#REF!</definedName>
    <definedName name="t___0" localSheetId="4">#REF!</definedName>
    <definedName name="t___0" localSheetId="11">#REF!</definedName>
    <definedName name="t___0">#REF!</definedName>
    <definedName name="t___13" localSheetId="1">#REF!</definedName>
    <definedName name="t___13" localSheetId="0">#REF!</definedName>
    <definedName name="t___13" localSheetId="4">#REF!</definedName>
    <definedName name="t___13" localSheetId="11">#REF!</definedName>
    <definedName name="t___13">#REF!</definedName>
    <definedName name="T0">#REF!</definedName>
    <definedName name="t1_" localSheetId="1">#REF!</definedName>
    <definedName name="t1_" localSheetId="0">#REF!</definedName>
    <definedName name="t1_" localSheetId="4">#REF!</definedName>
    <definedName name="t1_">#REF!</definedName>
    <definedName name="Table" localSheetId="1">#REF!</definedName>
    <definedName name="Table" localSheetId="0">#REF!</definedName>
    <definedName name="Table" localSheetId="4">#REF!</definedName>
    <definedName name="Table" localSheetId="11">#REF!</definedName>
    <definedName name="Table">#REF!</definedName>
    <definedName name="TABLE_4" localSheetId="1">#REF!</definedName>
    <definedName name="TABLE_4" localSheetId="0">#REF!</definedName>
    <definedName name="TABLE_4" localSheetId="4">#REF!</definedName>
    <definedName name="TABLE_4" localSheetId="11">#REF!</definedName>
    <definedName name="TABLE_4">#REF!</definedName>
    <definedName name="table1" localSheetId="1">#REF!</definedName>
    <definedName name="table1" localSheetId="0">#REF!</definedName>
    <definedName name="table1" localSheetId="4">#REF!</definedName>
    <definedName name="table1" localSheetId="11">#REF!</definedName>
    <definedName name="table1">#REF!</definedName>
    <definedName name="TABLE2" localSheetId="1">#REF!</definedName>
    <definedName name="TABLE2" localSheetId="0">#REF!</definedName>
    <definedName name="TABLE2" localSheetId="4">#REF!</definedName>
    <definedName name="TABLE2">#REF!</definedName>
    <definedName name="TableRange" localSheetId="1">#REF!</definedName>
    <definedName name="TableRange" localSheetId="0">#REF!</definedName>
    <definedName name="TableRange" localSheetId="4">#REF!</definedName>
    <definedName name="TableRange">#REF!</definedName>
    <definedName name="tables" localSheetId="1">#REF!</definedName>
    <definedName name="tables" localSheetId="0">#REF!</definedName>
    <definedName name="tables" localSheetId="4">#REF!</definedName>
    <definedName name="tables">#REF!</definedName>
    <definedName name="TAX" localSheetId="11">#REF!</definedName>
    <definedName name="TAX">#REF!</definedName>
    <definedName name="TaxTV">10%</definedName>
    <definedName name="TaxXL">5%</definedName>
    <definedName name="tb" localSheetId="1">#REF!</definedName>
    <definedName name="tb" localSheetId="0">#REF!</definedName>
    <definedName name="tb" localSheetId="4">#REF!</definedName>
    <definedName name="tb" localSheetId="11">#REF!</definedName>
    <definedName name="tb">#REF!</definedName>
    <definedName name="tbl_ProdInfo" localSheetId="11" hidden="1">#REF!</definedName>
    <definedName name="tbl_ProdInfo">#REF!</definedName>
    <definedName name="tcap" localSheetId="1">#REF!</definedName>
    <definedName name="tcap" localSheetId="0">#REF!</definedName>
    <definedName name="tcap" localSheetId="4">#REF!</definedName>
    <definedName name="tcap" localSheetId="11">#REF!</definedName>
    <definedName name="tcap">#REF!</definedName>
    <definedName name="TD" localSheetId="1">#REF!</definedName>
    <definedName name="TD" localSheetId="0">#REF!</definedName>
    <definedName name="TD" localSheetId="4">#REF!</definedName>
    <definedName name="TD" localSheetId="11">#REF!</definedName>
    <definedName name="TD">#REF!</definedName>
    <definedName name="te" localSheetId="1">#REF!</definedName>
    <definedName name="te" localSheetId="0">#REF!</definedName>
    <definedName name="te" localSheetId="4">#REF!</definedName>
    <definedName name="te" localSheetId="11">#REF!</definedName>
    <definedName name="te">#REF!</definedName>
    <definedName name="teesta" localSheetId="11">#REF!,#REF!,#REF!,#REF!,#REF!,#REF!,#REF!,#REF!,#REF!</definedName>
    <definedName name="teesta">#REF!,#REF!,#REF!,#REF!,#REF!,#REF!,#REF!,#REF!,#REF!</definedName>
    <definedName name="ter_vapi" localSheetId="1">#REF!</definedName>
    <definedName name="ter_vapi" localSheetId="0">#REF!</definedName>
    <definedName name="ter_vapi" localSheetId="4">#REF!</definedName>
    <definedName name="ter_vapi" localSheetId="11">#REF!</definedName>
    <definedName name="ter_vapi">#REF!</definedName>
    <definedName name="TERM" localSheetId="1">#REF!</definedName>
    <definedName name="TERM" localSheetId="0">#REF!</definedName>
    <definedName name="TERM" localSheetId="4">#REF!</definedName>
    <definedName name="TERM" localSheetId="11">#REF!</definedName>
    <definedName name="TERM">#REF!</definedName>
    <definedName name="TEs" localSheetId="1">#REF!</definedName>
    <definedName name="TEs" localSheetId="0">#REF!</definedName>
    <definedName name="TEs" localSheetId="4">#REF!</definedName>
    <definedName name="TEs" localSheetId="11">#REF!</definedName>
    <definedName name="TEs">#REF!</definedName>
    <definedName name="TEs___0" localSheetId="1">#REF!</definedName>
    <definedName name="TEs___0" localSheetId="0">#REF!</definedName>
    <definedName name="TEs___0" localSheetId="4">#REF!</definedName>
    <definedName name="TEs___0">#REF!</definedName>
    <definedName name="TEs___13" localSheetId="1">#REF!</definedName>
    <definedName name="TEs___13" localSheetId="0">#REF!</definedName>
    <definedName name="TEs___13" localSheetId="4">#REF!</definedName>
    <definedName name="TEs___13">#REF!</definedName>
    <definedName name="TEST" localSheetId="1">#REF!</definedName>
    <definedName name="TEST" localSheetId="0">#REF!</definedName>
    <definedName name="TEST" localSheetId="4">#REF!</definedName>
    <definedName name="TEST">#REF!</definedName>
    <definedName name="TEST0" localSheetId="1">#REF!</definedName>
    <definedName name="TEST0" localSheetId="0">#REF!</definedName>
    <definedName name="TEST0" localSheetId="4">#REF!</definedName>
    <definedName name="TEST0">#REF!</definedName>
    <definedName name="TEST1" localSheetId="1">#REF!</definedName>
    <definedName name="TEST1" localSheetId="0">#REF!</definedName>
    <definedName name="TEST1" localSheetId="4">#REF!</definedName>
    <definedName name="TEST1">#REF!</definedName>
    <definedName name="TEST2" localSheetId="1">#REF!</definedName>
    <definedName name="TEST2" localSheetId="0">#REF!</definedName>
    <definedName name="TEST2" localSheetId="4">#REF!</definedName>
    <definedName name="TEST2">#REF!</definedName>
    <definedName name="TEST3" localSheetId="1">#REF!</definedName>
    <definedName name="TEST3" localSheetId="0">#REF!</definedName>
    <definedName name="TEST3" localSheetId="4">#REF!</definedName>
    <definedName name="TEST3">#REF!</definedName>
    <definedName name="TEST4" localSheetId="1">#REF!</definedName>
    <definedName name="TEST4" localSheetId="0">#REF!</definedName>
    <definedName name="TEST4" localSheetId="4">#REF!</definedName>
    <definedName name="TEST4">#REF!</definedName>
    <definedName name="TESTHKEY" localSheetId="1">#REF!</definedName>
    <definedName name="TESTHKEY" localSheetId="0">#REF!</definedName>
    <definedName name="TESTHKEY" localSheetId="4">#REF!</definedName>
    <definedName name="TESTHKEY">#REF!</definedName>
    <definedName name="TESTKEYS" localSheetId="1">#REF!</definedName>
    <definedName name="TESTKEYS" localSheetId="0">#REF!</definedName>
    <definedName name="TESTKEYS" localSheetId="4">#REF!</definedName>
    <definedName name="TESTKEYS">#REF!</definedName>
    <definedName name="TESTVKEY" localSheetId="1">#REF!</definedName>
    <definedName name="TESTVKEY" localSheetId="0">#REF!</definedName>
    <definedName name="TESTVKEY" localSheetId="4">#REF!</definedName>
    <definedName name="TESTVKEY">#REF!</definedName>
    <definedName name="TEt" localSheetId="1">#REF!</definedName>
    <definedName name="TEt" localSheetId="0">#REF!</definedName>
    <definedName name="TEt" localSheetId="4">#REF!</definedName>
    <definedName name="TEt">#REF!</definedName>
    <definedName name="TEt___0" localSheetId="1">#REF!</definedName>
    <definedName name="TEt___0" localSheetId="0">#REF!</definedName>
    <definedName name="TEt___0" localSheetId="4">#REF!</definedName>
    <definedName name="TEt___0">#REF!</definedName>
    <definedName name="TEt___13" localSheetId="1">#REF!</definedName>
    <definedName name="TEt___13" localSheetId="0">#REF!</definedName>
    <definedName name="TEt___13" localSheetId="4">#REF!</definedName>
    <definedName name="TEt___13">#REF!</definedName>
    <definedName name="Tfc" localSheetId="1">#REF!</definedName>
    <definedName name="Tfc" localSheetId="0">#REF!</definedName>
    <definedName name="Tfc" localSheetId="4">#REF!</definedName>
    <definedName name="Tfc" localSheetId="11">#REF!</definedName>
    <definedName name="Tfc">#REF!</definedName>
    <definedName name="th" localSheetId="1">#REF!</definedName>
    <definedName name="th" localSheetId="0">#REF!</definedName>
    <definedName name="th" localSheetId="4">#REF!</definedName>
    <definedName name="th" localSheetId="11">#REF!</definedName>
    <definedName name="th">#REF!</definedName>
    <definedName name="Thickness_of_base_slab" localSheetId="1">#REF!</definedName>
    <definedName name="Thickness_of_base_slab" localSheetId="0">#REF!</definedName>
    <definedName name="Thickness_of_base_slab" localSheetId="4">#REF!</definedName>
    <definedName name="Thickness_of_base_slab" localSheetId="11">#REF!</definedName>
    <definedName name="Thickness_of_base_slab">#REF!</definedName>
    <definedName name="Thickness_of_cover_slab" localSheetId="1">#REF!</definedName>
    <definedName name="Thickness_of_cover_slab" localSheetId="0">#REF!</definedName>
    <definedName name="Thickness_of_cover_slab" localSheetId="4">#REF!</definedName>
    <definedName name="Thickness_of_cover_slab" localSheetId="11">#REF!</definedName>
    <definedName name="Thickness_of_cover_slab">#REF!</definedName>
    <definedName name="Thickness_of_cover_slab_end" localSheetId="1">#REF!</definedName>
    <definedName name="Thickness_of_cover_slab_end" localSheetId="0">#REF!</definedName>
    <definedName name="Thickness_of_cover_slab_end" localSheetId="4">#REF!</definedName>
    <definedName name="Thickness_of_cover_slab_end">#REF!</definedName>
    <definedName name="Thickness_of_PCC" localSheetId="1">#REF!</definedName>
    <definedName name="Thickness_of_PCC" localSheetId="0">#REF!</definedName>
    <definedName name="Thickness_of_PCC" localSheetId="4">#REF!</definedName>
    <definedName name="Thickness_of_PCC">#REF!</definedName>
    <definedName name="Thickness_of_side_wall" localSheetId="1">#REF!</definedName>
    <definedName name="Thickness_of_side_wall" localSheetId="0">#REF!</definedName>
    <definedName name="Thickness_of_side_wall" localSheetId="4">#REF!</definedName>
    <definedName name="Thickness_of_side_wall">#REF!</definedName>
    <definedName name="TITLE" localSheetId="1">#REF!</definedName>
    <definedName name="TITLE" localSheetId="0">#REF!</definedName>
    <definedName name="TITLE" localSheetId="4">#REF!</definedName>
    <definedName name="TITLE">#REF!</definedName>
    <definedName name="Title1" localSheetId="1">#REF!</definedName>
    <definedName name="Title1" localSheetId="0">#REF!</definedName>
    <definedName name="Title1" localSheetId="4">#REF!</definedName>
    <definedName name="Title1">#REF!</definedName>
    <definedName name="Title2" localSheetId="1">#REF!</definedName>
    <definedName name="Title2" localSheetId="0">#REF!</definedName>
    <definedName name="Title2" localSheetId="4">#REF!</definedName>
    <definedName name="Title2">#REF!</definedName>
    <definedName name="Tk" localSheetId="1">#REF!</definedName>
    <definedName name="Tk" localSheetId="0">#REF!</definedName>
    <definedName name="Tk" localSheetId="4">#REF!</definedName>
    <definedName name="Tk">#REF!</definedName>
    <definedName name="Tkl" localSheetId="1">#REF!</definedName>
    <definedName name="Tkl" localSheetId="0">#REF!</definedName>
    <definedName name="Tkl" localSheetId="4">#REF!</definedName>
    <definedName name="Tkl">#REF!</definedName>
    <definedName name="TL_Avg_WC_Key" localSheetId="11">#REF!</definedName>
    <definedName name="TL_Avg_WC_Key">#REF!</definedName>
    <definedName name="TL_Per_Key" localSheetId="11">#REF!</definedName>
    <definedName name="TL_Per_Key">#REF!</definedName>
    <definedName name="TL_Res_Key" localSheetId="11">#REF!</definedName>
    <definedName name="TL_Res_Key">#REF!</definedName>
    <definedName name="TL_Top_Key" localSheetId="11">#REF!</definedName>
    <definedName name="TL_Top_Key">#REF!</definedName>
    <definedName name="TL_WC_Key" localSheetId="11">#REF!</definedName>
    <definedName name="TL_WC_Key">#REF!</definedName>
    <definedName name="Tm" localSheetId="1">#REF!</definedName>
    <definedName name="Tm" localSheetId="0">#REF!</definedName>
    <definedName name="Tm" localSheetId="4">#REF!</definedName>
    <definedName name="Tm" localSheetId="11">#REF!</definedName>
    <definedName name="Tm">#REF!</definedName>
    <definedName name="ToE_MATRIX" localSheetId="11">#REF!</definedName>
    <definedName name="ToE_MATRIX">#REF!</definedName>
    <definedName name="tol" localSheetId="1">#REF!</definedName>
    <definedName name="tol" localSheetId="0">#REF!</definedName>
    <definedName name="tol" localSheetId="4">#REF!</definedName>
    <definedName name="tol" localSheetId="11">#REF!</definedName>
    <definedName name="tol">#REF!</definedName>
    <definedName name="topl" localSheetId="1">#REF!</definedName>
    <definedName name="topl" localSheetId="0">#REF!</definedName>
    <definedName name="topl" localSheetId="4">#REF!</definedName>
    <definedName name="topl" localSheetId="11">#REF!</definedName>
    <definedName name="topl">#REF!</definedName>
    <definedName name="topn" localSheetId="1">#REF!</definedName>
    <definedName name="topn" localSheetId="0">#REF!</definedName>
    <definedName name="topn" localSheetId="4">#REF!</definedName>
    <definedName name="topn">#REF!</definedName>
    <definedName name="total" localSheetId="1">#REF!</definedName>
    <definedName name="total" localSheetId="0">#REF!</definedName>
    <definedName name="total" localSheetId="4">#REF!</definedName>
    <definedName name="total" localSheetId="11">#REF!</definedName>
    <definedName name="total">#REF!</definedName>
    <definedName name="Total_Interest" localSheetId="1">#REF!</definedName>
    <definedName name="Total_Interest" localSheetId="0">#REF!</definedName>
    <definedName name="Total_Interest" localSheetId="4">#REF!</definedName>
    <definedName name="Total_Interest" localSheetId="11">#REF!</definedName>
    <definedName name="Total_Interest">#REF!</definedName>
    <definedName name="Total_Mandays" localSheetId="1">#REF!</definedName>
    <definedName name="Total_Mandays" localSheetId="0">#REF!</definedName>
    <definedName name="Total_Mandays" localSheetId="4">#REF!</definedName>
    <definedName name="Total_Mandays" localSheetId="11">#REF!</definedName>
    <definedName name="Total_Mandays">#REF!</definedName>
    <definedName name="Total_Pay" localSheetId="1">#REF!</definedName>
    <definedName name="Total_Pay" localSheetId="0">#REF!</definedName>
    <definedName name="Total_Pay" localSheetId="4">#REF!</definedName>
    <definedName name="Total_Pay">#REF!</definedName>
    <definedName name="towerschedule">#REF!</definedName>
    <definedName name="tr" localSheetId="11">#N/A</definedName>
    <definedName name="tr" localSheetId="10">#N/A</definedName>
    <definedName name="tr">#REF!</definedName>
    <definedName name="tr0" localSheetId="11">#REF!</definedName>
    <definedName name="tr0">#REF!</definedName>
    <definedName name="TRANS" localSheetId="1">#REF!</definedName>
    <definedName name="TRANS" localSheetId="0">#REF!</definedName>
    <definedName name="TRANS" localSheetId="4">#REF!</definedName>
    <definedName name="TRANS" localSheetId="11">#REF!</definedName>
    <definedName name="TRANS">#REF!</definedName>
    <definedName name="Tres" localSheetId="1">#REF!</definedName>
    <definedName name="Tres" localSheetId="0">#REF!</definedName>
    <definedName name="Tres" localSheetId="4">#REF!</definedName>
    <definedName name="Tres" localSheetId="11">#REF!</definedName>
    <definedName name="Tres">#REF!</definedName>
    <definedName name="tres4" localSheetId="1">#REF!</definedName>
    <definedName name="tres4" localSheetId="0">#REF!</definedName>
    <definedName name="tres4" localSheetId="4">#REF!</definedName>
    <definedName name="tres4">#REF!</definedName>
    <definedName name="trrrrrrrrrrrrr" localSheetId="11" hidden="1">{"form-D1",#N/A,FALSE,"FORM-D1";"form-D1_amt",#N/A,FALSE,"FORM-D1"}</definedName>
    <definedName name="trrrrrrrrrrrrr" localSheetId="10" hidden="1">{"form-D1",#N/A,FALSE,"FORM-D1";"form-D1_amt",#N/A,FALSE,"FORM-D1"}</definedName>
    <definedName name="trrrrrrrrrrrrr">{"form-D1",#N/A,FALSE,"FORM-D1";"form-D1_amt",#N/A,FALSE,"FORM-D1"}</definedName>
    <definedName name="Trs" localSheetId="1">#REF!</definedName>
    <definedName name="Trs" localSheetId="0">#REF!</definedName>
    <definedName name="Trs" localSheetId="4">#REF!</definedName>
    <definedName name="Trs" localSheetId="11">#REF!</definedName>
    <definedName name="Trs">#REF!</definedName>
    <definedName name="Trt" localSheetId="1">#REF!</definedName>
    <definedName name="Trt" localSheetId="0">#REF!</definedName>
    <definedName name="Trt" localSheetId="4">#REF!</definedName>
    <definedName name="Trt" localSheetId="11">#REF!</definedName>
    <definedName name="Trt">#REF!</definedName>
    <definedName name="trt0" localSheetId="11">#REF!</definedName>
    <definedName name="trt0">#REF!</definedName>
    <definedName name="try" localSheetId="11">#N/A</definedName>
    <definedName name="try" localSheetId="10">#N/A</definedName>
    <definedName name="try">#REF!</definedName>
    <definedName name="tS" localSheetId="1">#REF!</definedName>
    <definedName name="tS" localSheetId="0">#REF!</definedName>
    <definedName name="tS" localSheetId="4">#REF!</definedName>
    <definedName name="tS" localSheetId="11">#REF!</definedName>
    <definedName name="tS">#REF!</definedName>
    <definedName name="tS___0" localSheetId="1">#REF!</definedName>
    <definedName name="tS___0" localSheetId="0">#REF!</definedName>
    <definedName name="tS___0" localSheetId="4">#REF!</definedName>
    <definedName name="tS___0" localSheetId="11">#REF!</definedName>
    <definedName name="tS___0">#REF!</definedName>
    <definedName name="tS___13" localSheetId="1">#REF!</definedName>
    <definedName name="tS___13" localSheetId="0">#REF!</definedName>
    <definedName name="tS___13" localSheetId="4">#REF!</definedName>
    <definedName name="tS___13" localSheetId="11">#REF!</definedName>
    <definedName name="tS___13">#REF!</definedName>
    <definedName name="Tt" localSheetId="1">#REF!</definedName>
    <definedName name="Tt" localSheetId="0">#REF!</definedName>
    <definedName name="Tt" localSheetId="4">#REF!</definedName>
    <definedName name="Tt" localSheetId="11">#REF!</definedName>
    <definedName name="Tt">#REF!</definedName>
    <definedName name="TUES1" localSheetId="1">#REF!</definedName>
    <definedName name="TUES1" localSheetId="0">#REF!</definedName>
    <definedName name="TUES1" localSheetId="4">#REF!</definedName>
    <definedName name="TUES1" localSheetId="11">#REF!</definedName>
    <definedName name="TUES1">#REF!</definedName>
    <definedName name="tvtv" localSheetId="11">#REF!</definedName>
    <definedName name="tvtv">#REF!</definedName>
    <definedName name="twer" localSheetId="11">#REF!</definedName>
    <definedName name="twer">#REF!</definedName>
    <definedName name="tyjyj" localSheetId="11" hidden="1">{"'PROFITABILITY'!$A$1:$F$45"}</definedName>
    <definedName name="tyjyj" localSheetId="10" hidden="1">{"'PROFITABILITY'!$A$1:$F$45"}</definedName>
    <definedName name="tyjyj">{"'PROFITABILITY'!$A$1:$F$45"}</definedName>
    <definedName name="ueber" localSheetId="1">#REF!</definedName>
    <definedName name="ueber" localSheetId="0">#REF!</definedName>
    <definedName name="ueber" localSheetId="4">#REF!</definedName>
    <definedName name="ueber">#REF!</definedName>
    <definedName name="uifsyi">#REF!</definedName>
    <definedName name="un" localSheetId="1">#REF!</definedName>
    <definedName name="un" localSheetId="0">#REF!</definedName>
    <definedName name="un" localSheetId="4">#REF!</definedName>
    <definedName name="un" localSheetId="11">#REF!</definedName>
    <definedName name="un">#REF!</definedName>
    <definedName name="unit" localSheetId="1">#REF!</definedName>
    <definedName name="unit" localSheetId="0">#REF!</definedName>
    <definedName name="unit" localSheetId="4">#REF!</definedName>
    <definedName name="unit" localSheetId="11">#REF!</definedName>
    <definedName name="unit">#REF!</definedName>
    <definedName name="UNITA" localSheetId="1">#REF!</definedName>
    <definedName name="UNITA" localSheetId="0">#REF!</definedName>
    <definedName name="UNITA" localSheetId="4">#REF!</definedName>
    <definedName name="UNITA" localSheetId="11">#REF!</definedName>
    <definedName name="UNITA">#REF!</definedName>
    <definedName name="UNITB" localSheetId="1">#REF!</definedName>
    <definedName name="UNITB" localSheetId="0">#REF!</definedName>
    <definedName name="UNITB" localSheetId="4">#REF!</definedName>
    <definedName name="UNITB">#REF!</definedName>
    <definedName name="UNITC" localSheetId="1">#REF!</definedName>
    <definedName name="UNITC" localSheetId="0">#REF!</definedName>
    <definedName name="UNITC" localSheetId="4">#REF!</definedName>
    <definedName name="UNITC">#REF!</definedName>
    <definedName name="unitD" localSheetId="1">#REF!</definedName>
    <definedName name="unitD" localSheetId="0">#REF!</definedName>
    <definedName name="unitD" localSheetId="4">#REF!</definedName>
    <definedName name="unitD">#REF!</definedName>
    <definedName name="UNITS" localSheetId="1">#REF!</definedName>
    <definedName name="UNITS" localSheetId="0">#REF!</definedName>
    <definedName name="UNITS" localSheetId="4">#REF!</definedName>
    <definedName name="UNITS">#REF!</definedName>
    <definedName name="Uo" localSheetId="1">#REF!</definedName>
    <definedName name="Uo" localSheetId="0">#REF!</definedName>
    <definedName name="Uo" localSheetId="4">#REF!</definedName>
    <definedName name="Uo">#REF!</definedName>
    <definedName name="us_n">#REF!</definedName>
    <definedName name="Ut" localSheetId="1">#REF!</definedName>
    <definedName name="Ut" localSheetId="0">#REF!</definedName>
    <definedName name="Ut" localSheetId="4">#REF!</definedName>
    <definedName name="Ut">#REF!</definedName>
    <definedName name="V" localSheetId="1">#REF!</definedName>
    <definedName name="V" localSheetId="0">#REF!</definedName>
    <definedName name="V" localSheetId="4">#REF!</definedName>
    <definedName name="V">#REF!</definedName>
    <definedName name="va" localSheetId="1">#REF!</definedName>
    <definedName name="va" localSheetId="0">#REF!</definedName>
    <definedName name="va" localSheetId="4">#REF!</definedName>
    <definedName name="va">#REF!</definedName>
    <definedName name="va___0" localSheetId="1">#REF!</definedName>
    <definedName name="va___0" localSheetId="0">#REF!</definedName>
    <definedName name="va___0" localSheetId="4">#REF!</definedName>
    <definedName name="va___0">#REF!</definedName>
    <definedName name="va___13" localSheetId="1">#REF!</definedName>
    <definedName name="va___13" localSheetId="0">#REF!</definedName>
    <definedName name="va___13" localSheetId="4">#REF!</definedName>
    <definedName name="va___13">#REF!</definedName>
    <definedName name="vaa" localSheetId="1">#REF!</definedName>
    <definedName name="vaa" localSheetId="0">#REF!</definedName>
    <definedName name="vaa" localSheetId="4">#REF!</definedName>
    <definedName name="vaa">#REF!</definedName>
    <definedName name="Values_Entered" localSheetId="11">#N/A</definedName>
    <definedName name="Values_Entered" localSheetId="10">#N/A</definedName>
    <definedName name="Values_Entered">#REF!</definedName>
    <definedName name="VANDEMATARAM" localSheetId="1">#REF!</definedName>
    <definedName name="VANDEMATARAM" localSheetId="0">#REF!</definedName>
    <definedName name="VANDEMATARAM" localSheetId="4">#REF!</definedName>
    <definedName name="VANDEMATARAM" localSheetId="11">#REF!</definedName>
    <definedName name="VANDEMATARAM">#REF!</definedName>
    <definedName name="vapi_baywise" localSheetId="1">#REF!</definedName>
    <definedName name="vapi_baywise" localSheetId="0">#REF!</definedName>
    <definedName name="vapi_baywise" localSheetId="4">#REF!</definedName>
    <definedName name="vapi_baywise" localSheetId="11">#REF!</definedName>
    <definedName name="vapi_baywise">#REF!</definedName>
    <definedName name="Var._IGP_M_Dez_00" localSheetId="1">#REF!</definedName>
    <definedName name="Var._IGP_M_Dez_00" localSheetId="0">#REF!</definedName>
    <definedName name="Var._IGP_M_Dez_00" localSheetId="4">#REF!</definedName>
    <definedName name="Var._IGP_M_Dez_00" localSheetId="11">#REF!</definedName>
    <definedName name="Var._IGP_M_Dez_00">#REF!</definedName>
    <definedName name="VB" localSheetId="1">#REF!</definedName>
    <definedName name="VB" localSheetId="0">#REF!</definedName>
    <definedName name="VB" localSheetId="4">#REF!</definedName>
    <definedName name="VB">#REF!</definedName>
    <definedName name="Vc" localSheetId="1">#REF!</definedName>
    <definedName name="Vc" localSheetId="0">#REF!</definedName>
    <definedName name="Vc" localSheetId="4">#REF!</definedName>
    <definedName name="Vc">#REF!</definedName>
    <definedName name="Vc0">#REF!</definedName>
    <definedName name="VD" localSheetId="1">#REF!</definedName>
    <definedName name="VD" localSheetId="0">#REF!</definedName>
    <definedName name="VD" localSheetId="4">#REF!</definedName>
    <definedName name="VD">#REF!</definedName>
    <definedName name="VELOKAL" localSheetId="1">#REF!</definedName>
    <definedName name="VELOKAL" localSheetId="0">#REF!</definedName>
    <definedName name="VELOKAL" localSheetId="4">#REF!</definedName>
    <definedName name="VELOKAL" localSheetId="11">#REF!</definedName>
    <definedName name="VELOKAL">#REF!</definedName>
    <definedName name="Vend" localSheetId="1">#REF!</definedName>
    <definedName name="Vend" localSheetId="0">#REF!</definedName>
    <definedName name="Vend" localSheetId="4">#REF!</definedName>
    <definedName name="Vend" localSheetId="11">#REF!</definedName>
    <definedName name="Vend">#REF!</definedName>
    <definedName name="vertical_col_and_corner_walls" localSheetId="1">#REF!</definedName>
    <definedName name="vertical_col_and_corner_walls" localSheetId="0">#REF!</definedName>
    <definedName name="vertical_col_and_corner_walls" localSheetId="4">#REF!</definedName>
    <definedName name="vertical_col_and_corner_walls" localSheetId="11">#REF!</definedName>
    <definedName name="vertical_col_and_corner_walls">#REF!</definedName>
    <definedName name="VESWH" localSheetId="1">#REF!</definedName>
    <definedName name="VESWH" localSheetId="0">#REF!</definedName>
    <definedName name="VESWH" localSheetId="4">#REF!</definedName>
    <definedName name="VESWH">#REF!</definedName>
    <definedName name="Vf" localSheetId="1">#REF!</definedName>
    <definedName name="Vf" localSheetId="0">#REF!</definedName>
    <definedName name="Vf" localSheetId="4">#REF!</definedName>
    <definedName name="Vf">#REF!</definedName>
    <definedName name="Vfour" localSheetId="1">#REF!</definedName>
    <definedName name="Vfour" localSheetId="0">#REF!</definedName>
    <definedName name="Vfour" localSheetId="4">#REF!</definedName>
    <definedName name="Vfour">#REF!</definedName>
    <definedName name="vfourc" localSheetId="1">#REF!</definedName>
    <definedName name="vfourc" localSheetId="0">#REF!</definedName>
    <definedName name="vfourc" localSheetId="4">#REF!</definedName>
    <definedName name="vfourc">#REF!</definedName>
    <definedName name="vggfd" localSheetId="11" hidden="1">{"'Sheet1'!$A$4386:$N$4591"}</definedName>
    <definedName name="vggfd" localSheetId="10" hidden="1">{"'Sheet1'!$A$4386:$N$4591"}</definedName>
    <definedName name="vggfd">{"'Sheet1'!$A$4386:$N$4591"}</definedName>
    <definedName name="vij" localSheetId="1">#REF!</definedName>
    <definedName name="vij" localSheetId="0">#REF!</definedName>
    <definedName name="vij" localSheetId="4">#REF!</definedName>
    <definedName name="vij">#REF!</definedName>
    <definedName name="VIVEKANANDA" localSheetId="1">#REF!</definedName>
    <definedName name="VIVEKANANDA" localSheetId="0">#REF!</definedName>
    <definedName name="VIVEKANANDA" localSheetId="4">#REF!</definedName>
    <definedName name="VIVEKANANDA">#REF!</definedName>
    <definedName name="Vl" localSheetId="1">#REF!</definedName>
    <definedName name="Vl" localSheetId="0">#REF!</definedName>
    <definedName name="Vl" localSheetId="4">#REF!</definedName>
    <definedName name="Vl" localSheetId="11">#REF!</definedName>
    <definedName name="Vl">#REF!</definedName>
    <definedName name="Vm" localSheetId="1">#REF!</definedName>
    <definedName name="Vm" localSheetId="0">#REF!</definedName>
    <definedName name="Vm" localSheetId="4">#REF!</definedName>
    <definedName name="Vm" localSheetId="11">#REF!</definedName>
    <definedName name="Vm">#REF!</definedName>
    <definedName name="Vone" localSheetId="1">#REF!</definedName>
    <definedName name="Vone" localSheetId="0">#REF!</definedName>
    <definedName name="Vone" localSheetId="4">#REF!</definedName>
    <definedName name="Vone" localSheetId="11">#REF!</definedName>
    <definedName name="Vone">#REF!</definedName>
    <definedName name="Vr" localSheetId="1">#REF!</definedName>
    <definedName name="Vr" localSheetId="0">#REF!</definedName>
    <definedName name="Vr" localSheetId="4">#REF!</definedName>
    <definedName name="Vr" localSheetId="11">#REF!</definedName>
    <definedName name="Vr">#REF!</definedName>
    <definedName name="vrr" localSheetId="1">#REF!</definedName>
    <definedName name="vrr" localSheetId="0">#REF!</definedName>
    <definedName name="vrr" localSheetId="4">#REF!</definedName>
    <definedName name="vrr" localSheetId="11">#REF!</definedName>
    <definedName name="vrr">#REF!</definedName>
    <definedName name="vs" localSheetId="11" hidden="1">{"'PROFITABILITY'!$A$1:$F$45"}</definedName>
    <definedName name="vs" localSheetId="10" hidden="1">{"'PROFITABILITY'!$A$1:$F$45"}</definedName>
    <definedName name="vs">{"'PROFITABILITY'!$A$1:$F$45"}</definedName>
    <definedName name="Vsigma" localSheetId="1">#REF!</definedName>
    <definedName name="Vsigma" localSheetId="0">#REF!</definedName>
    <definedName name="Vsigma" localSheetId="4">#REF!</definedName>
    <definedName name="Vsigma">#REF!</definedName>
    <definedName name="Vsigma1" localSheetId="1">#REF!</definedName>
    <definedName name="Vsigma1" localSheetId="0">#REF!</definedName>
    <definedName name="Vsigma1" localSheetId="4">#REF!</definedName>
    <definedName name="Vsigma1">#REF!</definedName>
    <definedName name="vsp">#REF!</definedName>
    <definedName name="vthree" localSheetId="1">#REF!</definedName>
    <definedName name="vthree" localSheetId="0">#REF!</definedName>
    <definedName name="vthree" localSheetId="4">#REF!</definedName>
    <definedName name="vthree" localSheetId="11">#REF!</definedName>
    <definedName name="vthree">#REF!</definedName>
    <definedName name="vtw" localSheetId="1">#REF!</definedName>
    <definedName name="vtw" localSheetId="0">#REF!</definedName>
    <definedName name="vtw" localSheetId="4">#REF!</definedName>
    <definedName name="vtw" localSheetId="11">#REF!</definedName>
    <definedName name="vtw">#REF!</definedName>
    <definedName name="Vtwo" localSheetId="1">#REF!</definedName>
    <definedName name="Vtwo" localSheetId="0">#REF!</definedName>
    <definedName name="Vtwo" localSheetId="4">#REF!</definedName>
    <definedName name="Vtwo" localSheetId="11">#REF!</definedName>
    <definedName name="Vtwo">#REF!</definedName>
    <definedName name="Vtwo1" localSheetId="1">#REF!</definedName>
    <definedName name="Vtwo1" localSheetId="0">#REF!</definedName>
    <definedName name="Vtwo1" localSheetId="4">#REF!</definedName>
    <definedName name="Vtwo1">#REF!</definedName>
    <definedName name="vvv">#REF!</definedName>
    <definedName name="Vz" localSheetId="1">#REF!</definedName>
    <definedName name="Vz" localSheetId="0">#REF!</definedName>
    <definedName name="Vz" localSheetId="4">#REF!</definedName>
    <definedName name="Vz" localSheetId="11">#REF!</definedName>
    <definedName name="Vz">#REF!</definedName>
    <definedName name="w1_w2" localSheetId="11">#REF!</definedName>
    <definedName name="w1_w2">#REF!</definedName>
    <definedName name="WAHAB_ALI" localSheetId="11">#REF!</definedName>
    <definedName name="WAHAB_ALI">#REF!</definedName>
    <definedName name="Waiting">"Picture 1"</definedName>
    <definedName name="water_funds" localSheetId="11" hidden="1">{"'Sheet1'!$A$4386:$N$4591"}</definedName>
    <definedName name="water_funds" localSheetId="10" hidden="1">{"'Sheet1'!$A$4386:$N$4591"}</definedName>
    <definedName name="water_funds">{"'Sheet1'!$A$4386:$N$4591"}</definedName>
    <definedName name="wdwewe" localSheetId="11">#REF!</definedName>
    <definedName name="wdwewe">#REF!</definedName>
    <definedName name="we" localSheetId="11">#REF!</definedName>
    <definedName name="we">#REF!</definedName>
    <definedName name="well" localSheetId="11">#REF!</definedName>
    <definedName name="well">#REF!</definedName>
    <definedName name="weqweqw" localSheetId="11">#REF!</definedName>
    <definedName name="weqweqw">#REF!</definedName>
    <definedName name="weqwerw" localSheetId="11">#REF!</definedName>
    <definedName name="weqwerw">#REF!</definedName>
    <definedName name="wer" localSheetId="11" hidden="1">{"form-D1",#N/A,FALSE,"FORM-D1";"form-D1_amt",#N/A,FALSE,"FORM-D1"}</definedName>
    <definedName name="wer" localSheetId="10" hidden="1">{"form-D1",#N/A,FALSE,"FORM-D1";"form-D1_amt",#N/A,FALSE,"FORM-D1"}</definedName>
    <definedName name="wer">{"form-D1",#N/A,FALSE,"FORM-D1";"form-D1_amt",#N/A,FALSE,"FORM-D1"}</definedName>
    <definedName name="werwere" localSheetId="11" hidden="1">#REF!</definedName>
    <definedName name="werwere">#REF!</definedName>
    <definedName name="WFR" localSheetId="11">#REF!</definedName>
    <definedName name="WFR">#REF!</definedName>
    <definedName name="Wg" localSheetId="1">#REF!</definedName>
    <definedName name="Wg" localSheetId="0">#REF!</definedName>
    <definedName name="Wg" localSheetId="4">#REF!</definedName>
    <definedName name="Wg" localSheetId="11">#REF!</definedName>
    <definedName name="Wg">#REF!</definedName>
    <definedName name="wid" localSheetId="1">#REF!</definedName>
    <definedName name="wid" localSheetId="0">#REF!</definedName>
    <definedName name="wid" localSheetId="4">#REF!</definedName>
    <definedName name="wid" localSheetId="11">#REF!</definedName>
    <definedName name="wid">#REF!</definedName>
    <definedName name="width_of_cover_slab" localSheetId="1">#REF!</definedName>
    <definedName name="width_of_cover_slab" localSheetId="0">#REF!</definedName>
    <definedName name="width_of_cover_slab" localSheetId="4">#REF!</definedName>
    <definedName name="width_of_cover_slab">#REF!</definedName>
    <definedName name="Width_of_projection_of_cover_slab" localSheetId="1">#REF!</definedName>
    <definedName name="Width_of_projection_of_cover_slab" localSheetId="0">#REF!</definedName>
    <definedName name="Width_of_projection_of_cover_slab" localSheetId="4">#REF!</definedName>
    <definedName name="Width_of_projection_of_cover_slab">#REF!</definedName>
    <definedName name="wind.m">#REF!</definedName>
    <definedName name="Winform" localSheetId="1">#REF!</definedName>
    <definedName name="Winform" localSheetId="0">#REF!</definedName>
    <definedName name="Winform" localSheetId="4">#REF!</definedName>
    <definedName name="Winform">#REF!</definedName>
    <definedName name="WKS">#REF!</definedName>
    <definedName name="women" localSheetId="1">#REF!</definedName>
    <definedName name="women" localSheetId="0">#REF!</definedName>
    <definedName name="women" localSheetId="4">#REF!</definedName>
    <definedName name="women" localSheetId="11">#REF!</definedName>
    <definedName name="women">#REF!</definedName>
    <definedName name="work" localSheetId="1">#REF!</definedName>
    <definedName name="work" localSheetId="0">#REF!</definedName>
    <definedName name="work" localSheetId="4">#REF!</definedName>
    <definedName name="work" localSheetId="11">#REF!</definedName>
    <definedName name="work">#REF!</definedName>
    <definedName name="WP" localSheetId="1">#REF!</definedName>
    <definedName name="WP" localSheetId="0">#REF!</definedName>
    <definedName name="WP" localSheetId="4">#REF!</definedName>
    <definedName name="WP" localSheetId="11">#REF!</definedName>
    <definedName name="WP">#REF!</definedName>
    <definedName name="WQEW">#REF!</definedName>
    <definedName name="wr" localSheetId="11" hidden="1">{#N/A,#N/A,FALSE,"COVER1.XLS ";#N/A,#N/A,FALSE,"RACT1.XLS";#N/A,#N/A,FALSE,"RACT2.XLS";#N/A,#N/A,FALSE,"ECCMP";#N/A,#N/A,FALSE,"WELDER.XLS"}</definedName>
    <definedName name="wr" localSheetId="10" hidden="1">{#N/A,#N/A,FALSE,"COVER1.XLS ";#N/A,#N/A,FALSE,"RACT1.XLS";#N/A,#N/A,FALSE,"RACT2.XLS";#N/A,#N/A,FALSE,"ECCMP";#N/A,#N/A,FALSE,"WELDER.XLS"}</definedName>
    <definedName name="wr">{#N/A,#N/A,FALSE,"COVER1.XLS ";#N/A,#N/A,FALSE,"RACT1.XLS";#N/A,#N/A,FALSE,"RACT2.XLS";#N/A,#N/A,FALSE,"ECCMP";#N/A,#N/A,FALSE,"WELDER.XLS"}</definedName>
    <definedName name="wrn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1" hidden="1">{#N/A,#N/A,FALSE,"17MAY";#N/A,#N/A,FALSE,"24MAY"}</definedName>
    <definedName name="wrn.1." localSheetId="10" hidden="1">{#N/A,#N/A,FALSE,"17MAY";#N/A,#N/A,FALSE,"24MAY"}</definedName>
    <definedName name="wrn.1.">{#N/A,#N/A,FALSE,"17MAY";#N/A,#N/A,FALSE,"24MAY"}</definedName>
    <definedName name="wrn.budget." localSheetId="11" hidden="1">{"form-D1",#N/A,FALSE,"FORM-D1";"form-D1_amt",#N/A,FALSE,"FORM-D1"}</definedName>
    <definedName name="wrn.budget." localSheetId="10" hidden="1">{"form-D1",#N/A,FALSE,"FORM-D1";"form-D1_amt",#N/A,FALSE,"FORM-D1"}</definedName>
    <definedName name="wrn.budget.">{"form-D1",#N/A,FALSE,"FORM-D1";"form-D1_amt",#N/A,FALSE,"FORM-D1"}</definedName>
    <definedName name="wrn.Co." localSheetId="1">{#N/A,#N/A,TRUE,"GW-Cond";#N/A,#N/A,TRUE,"HW"}</definedName>
    <definedName name="wrn.Co." localSheetId="2">{#N/A,#N/A,TRUE,"GW-Cond";#N/A,#N/A,TRUE,"HW"}</definedName>
    <definedName name="wrn.Co." localSheetId="0">{#N/A,#N/A,TRUE,"GW-Cond";#N/A,#N/A,TRUE,"HW"}</definedName>
    <definedName name="wrn.Co." localSheetId="11" hidden="1">{#N/A,#N/A,TRUE,"GW-Cond";#N/A,#N/A,TRUE,"HW"}</definedName>
    <definedName name="wrn.Co." localSheetId="10" hidden="1">{#N/A,#N/A,TRUE,"GW-Cond";#N/A,#N/A,TRUE,"HW"}</definedName>
    <definedName name="wrn.Co.">{#N/A,#N/A,TRUE,"GW-Cond";#N/A,#N/A,TRUE,"HW"}</definedName>
    <definedName name="wrn.consumable." localSheetId="1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1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elect.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10" hidden="1">{#N/A,#N/A,FALSE,"COVER.XLS";#N/A,#N/A,FALSE,"RACT1.XLS";#N/A,#N/A,FALSE,"RACT2.XLS";#N/A,#N/A,FALSE,"ECCMP";#N/A,#N/A,FALSE,"WELDER.XLS"}</definedName>
    <definedName name="wrn.report.">{#N/A,#N/A,FALSE,"COVER.XLS";#N/A,#N/A,FALSE,"RACT1.XLS";#N/A,#N/A,FALSE,"RACT2.XLS";#N/A,#N/A,FALSE,"ECCMP";#N/A,#N/A,FALSE,"WELDER.XLS"}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10" hidden="1">{#N/A,#N/A,FALSE,"COVER1.XLS ";#N/A,#N/A,FALSE,"RACT1.XLS";#N/A,#N/A,FALSE,"RACT2.XLS";#N/A,#N/A,FALSE,"ECCMP";#N/A,#N/A,FALSE,"WELDER.XLS"}</definedName>
    <definedName name="wrn.summary.">{#N/A,#N/A,FALSE,"COVER1.XLS ";#N/A,#N/A,FALSE,"RACT1.XLS";#N/A,#N/A,FALSE,"RACT2.XLS";#N/A,#N/A,FALSE,"ECCMP";#N/A,#N/A,FALSE,"WELDER.XLS"}</definedName>
    <definedName name="wrn.test." localSheetId="1">{#N/A,#N/A,FALSE,"Motor List"}</definedName>
    <definedName name="wrn.test." localSheetId="2">{#N/A,#N/A,FALSE,"Motor List"}</definedName>
    <definedName name="wrn.test." localSheetId="0">{#N/A,#N/A,FALSE,"Motor List"}</definedName>
    <definedName name="wrn.test." localSheetId="11" hidden="1">{#N/A,#N/A,FALSE,"Motor List"}</definedName>
    <definedName name="wrn.test." localSheetId="10" hidden="1">{#N/A,#N/A,FALSE,"Motor List"}</definedName>
    <definedName name="wrn.test.">{#N/A,#N/A,FALSE,"Motor List"}</definedName>
    <definedName name="wt.m">#REF!</definedName>
    <definedName name="ww" localSheetId="1">#REF!</definedName>
    <definedName name="ww" localSheetId="0">#REF!</definedName>
    <definedName name="ww" localSheetId="4">#REF!</definedName>
    <definedName name="ww" localSheetId="11">#REF!</definedName>
    <definedName name="ww">#REF!</definedName>
    <definedName name="www" localSheetId="11">#REF!</definedName>
    <definedName name="www">#REF!</definedName>
    <definedName name="X" localSheetId="1">#REF!</definedName>
    <definedName name="X" localSheetId="0">#REF!</definedName>
    <definedName name="X" localSheetId="4">#REF!</definedName>
    <definedName name="X" localSheetId="11">#REF!</definedName>
    <definedName name="X">#REF!</definedName>
    <definedName name="x1byr1" localSheetId="1">#REF!</definedName>
    <definedName name="x1byr1" localSheetId="0">#REF!</definedName>
    <definedName name="x1byr1" localSheetId="4">#REF!</definedName>
    <definedName name="x1byr1" localSheetId="11">#REF!</definedName>
    <definedName name="x1byr1">#REF!</definedName>
    <definedName name="xas" localSheetId="11">#REF!</definedName>
    <definedName name="xas">#REF!</definedName>
    <definedName name="xbyr" localSheetId="1">#REF!</definedName>
    <definedName name="xbyr" localSheetId="0">#REF!</definedName>
    <definedName name="xbyr" localSheetId="4">#REF!</definedName>
    <definedName name="xbyr" localSheetId="11">#REF!</definedName>
    <definedName name="xbyr">#REF!</definedName>
    <definedName name="xc" localSheetId="11" hidden="1">{"form-D1",#N/A,FALSE,"FORM-D1";"form-D1_amt",#N/A,FALSE,"FORM-D1"}</definedName>
    <definedName name="xc" localSheetId="10" hidden="1">{"form-D1",#N/A,FALSE,"FORM-D1";"form-D1_amt",#N/A,FALSE,"FORM-D1"}</definedName>
    <definedName name="xc">{"form-D1",#N/A,FALSE,"FORM-D1";"form-D1_amt",#N/A,FALSE,"FORM-D1"}</definedName>
    <definedName name="Xl" localSheetId="1">#REF!</definedName>
    <definedName name="Xl" localSheetId="0">#REF!</definedName>
    <definedName name="Xl" localSheetId="4">#REF!</definedName>
    <definedName name="Xl" localSheetId="11">#REF!</definedName>
    <definedName name="Xl">#REF!</definedName>
    <definedName name="Xl___0" localSheetId="1">#REF!</definedName>
    <definedName name="Xl___0" localSheetId="0">#REF!</definedName>
    <definedName name="Xl___0" localSheetId="4">#REF!</definedName>
    <definedName name="Xl___0" localSheetId="11">#REF!</definedName>
    <definedName name="Xl___0">#REF!</definedName>
    <definedName name="Xl___13" localSheetId="1">#REF!</definedName>
    <definedName name="Xl___13" localSheetId="0">#REF!</definedName>
    <definedName name="Xl___13" localSheetId="4">#REF!</definedName>
    <definedName name="Xl___13" localSheetId="11">#REF!</definedName>
    <definedName name="Xl___13">#REF!</definedName>
    <definedName name="Xm" localSheetId="1">#REF!</definedName>
    <definedName name="Xm" localSheetId="0">#REF!</definedName>
    <definedName name="Xm" localSheetId="4">#REF!</definedName>
    <definedName name="Xm">#REF!</definedName>
    <definedName name="xs" localSheetId="1">#REF!</definedName>
    <definedName name="xs" localSheetId="0">#REF!</definedName>
    <definedName name="xs" localSheetId="4">#REF!</definedName>
    <definedName name="xs">#REF!</definedName>
    <definedName name="Xso" localSheetId="1">#REF!</definedName>
    <definedName name="Xso" localSheetId="0">#REF!</definedName>
    <definedName name="Xso" localSheetId="4">#REF!</definedName>
    <definedName name="Xso">#REF!</definedName>
    <definedName name="xt" localSheetId="1">#REF!</definedName>
    <definedName name="xt" localSheetId="0">#REF!</definedName>
    <definedName name="xt" localSheetId="4">#REF!</definedName>
    <definedName name="xt">#REF!</definedName>
    <definedName name="xx" localSheetId="1">#REF!</definedName>
    <definedName name="xx" localSheetId="0">#REF!</definedName>
    <definedName name="xx" localSheetId="4">#REF!</definedName>
    <definedName name="xx">#REF!</definedName>
    <definedName name="xzq" localSheetId="11">#REF!</definedName>
    <definedName name="xzq">#REF!</definedName>
    <definedName name="XZZ" localSheetId="11">#REF!</definedName>
    <definedName name="XZZ">#REF!</definedName>
    <definedName name="Y" localSheetId="1">#REF!</definedName>
    <definedName name="Y" localSheetId="0">#REF!</definedName>
    <definedName name="Y" localSheetId="4">#REF!</definedName>
    <definedName name="Y" localSheetId="11">#REF!</definedName>
    <definedName name="Y">#REF!</definedName>
    <definedName name="Y0">#REF!</definedName>
    <definedName name="YEN">#REF!</definedName>
    <definedName name="ys" localSheetId="1">#REF!</definedName>
    <definedName name="ys" localSheetId="0">#REF!</definedName>
    <definedName name="ys" localSheetId="4">#REF!</definedName>
    <definedName name="ys" localSheetId="11">#REF!</definedName>
    <definedName name="ys">#REF!</definedName>
    <definedName name="yyy" localSheetId="11" hidden="1">{"'PROFITABILITY'!$A$1:$F$45"}</definedName>
    <definedName name="yyy" localSheetId="10" hidden="1">{"'PROFITABILITY'!$A$1:$F$45"}</definedName>
    <definedName name="yyy">{"'PROFITABILITY'!$A$1:$F$45"}</definedName>
    <definedName name="yyy1" localSheetId="11" hidden="1">{"'PROFITABILITY'!$A$1:$F$45"}</definedName>
    <definedName name="yyy1" localSheetId="10" hidden="1">{"'PROFITABILITY'!$A$1:$F$45"}</definedName>
    <definedName name="yyy1" hidden="1">{"'PROFITABILITY'!$A$1:$F$45"}</definedName>
    <definedName name="z" localSheetId="1">#REF!</definedName>
    <definedName name="z" localSheetId="0">#REF!</definedName>
    <definedName name="z" localSheetId="4">#REF!</definedName>
    <definedName name="z">#REF!</definedName>
    <definedName name="zes" localSheetId="1">#REF!</definedName>
    <definedName name="zes" localSheetId="0">#REF!</definedName>
    <definedName name="zes" localSheetId="4">#REF!</definedName>
    <definedName name="zes" localSheetId="11">#REF!</definedName>
    <definedName name="zes">#REF!</definedName>
    <definedName name="zet0" localSheetId="11">#REF!</definedName>
    <definedName name="zet0">#REF!</definedName>
    <definedName name="zet75" localSheetId="11">#REF!</definedName>
    <definedName name="zet75">#REF!</definedName>
    <definedName name="zeta" localSheetId="1">#REF!</definedName>
    <definedName name="zeta" localSheetId="0">#REF!</definedName>
    <definedName name="zeta" localSheetId="4">#REF!</definedName>
    <definedName name="zeta">#REF!</definedName>
    <definedName name="zl" localSheetId="1">#REF!</definedName>
    <definedName name="zl" localSheetId="0">#REF!</definedName>
    <definedName name="zl" localSheetId="4">#REF!</definedName>
    <definedName name="zl">#REF!</definedName>
    <definedName name="zl___0" localSheetId="1">#REF!</definedName>
    <definedName name="zl___0" localSheetId="0">#REF!</definedName>
    <definedName name="zl___0" localSheetId="4">#REF!</definedName>
    <definedName name="zl___0">#REF!</definedName>
    <definedName name="zl___13" localSheetId="1">#REF!</definedName>
    <definedName name="zl___13" localSheetId="0">#REF!</definedName>
    <definedName name="zl___13" localSheetId="4">#REF!</definedName>
    <definedName name="zl___13">#REF!</definedName>
    <definedName name="zlpu" localSheetId="1">#REF!</definedName>
    <definedName name="zlpu" localSheetId="0">#REF!</definedName>
    <definedName name="zlpu" localSheetId="4">#REF!</definedName>
    <definedName name="zlpu">#REF!</definedName>
    <definedName name="zlpu___0" localSheetId="1">#REF!</definedName>
    <definedName name="zlpu___0" localSheetId="0">#REF!</definedName>
    <definedName name="zlpu___0" localSheetId="4">#REF!</definedName>
    <definedName name="zlpu___0">#REF!</definedName>
    <definedName name="zlpu___13" localSheetId="1">#REF!</definedName>
    <definedName name="zlpu___13" localSheetId="0">#REF!</definedName>
    <definedName name="zlpu___13" localSheetId="4">#REF!</definedName>
    <definedName name="zlpu___13">#REF!</definedName>
    <definedName name="zs" localSheetId="1">#REF!</definedName>
    <definedName name="zs" localSheetId="0">#REF!</definedName>
    <definedName name="zs" localSheetId="4">#REF!</definedName>
    <definedName name="zs" localSheetId="11">#REF!</definedName>
    <definedName name="zs">#REF!</definedName>
    <definedName name="zs___0" localSheetId="1">#REF!</definedName>
    <definedName name="zs___0" localSheetId="0">#REF!</definedName>
    <definedName name="zs___0" localSheetId="4">#REF!</definedName>
    <definedName name="zs___0" localSheetId="11">#REF!</definedName>
    <definedName name="zs___0">#REF!</definedName>
    <definedName name="zs___13" localSheetId="1">#REF!</definedName>
    <definedName name="zs___13" localSheetId="0">#REF!</definedName>
    <definedName name="zs___13" localSheetId="4">#REF!</definedName>
    <definedName name="zs___13" localSheetId="11">#REF!</definedName>
    <definedName name="zs___13">#REF!</definedName>
    <definedName name="zspu" localSheetId="1">#REF!</definedName>
    <definedName name="zspu" localSheetId="0">#REF!</definedName>
    <definedName name="zspu" localSheetId="4">#REF!</definedName>
    <definedName name="zspu">#REF!</definedName>
    <definedName name="zspu___0" localSheetId="1">#REF!</definedName>
    <definedName name="zspu___0" localSheetId="0">#REF!</definedName>
    <definedName name="zspu___0" localSheetId="4">#REF!</definedName>
    <definedName name="zspu___0">#REF!</definedName>
    <definedName name="zspu___13" localSheetId="1">#REF!</definedName>
    <definedName name="zspu___13" localSheetId="0">#REF!</definedName>
    <definedName name="zspu___13" localSheetId="4">#REF!</definedName>
    <definedName name="zspu___13">#REF!</definedName>
    <definedName name="ZSS" localSheetId="1">#REF!</definedName>
    <definedName name="ZSS" localSheetId="0">#REF!</definedName>
    <definedName name="ZSS" localSheetId="4">#REF!</definedName>
    <definedName name="ZSS">#REF!</definedName>
    <definedName name="ZSS___0" localSheetId="1">#REF!</definedName>
    <definedName name="ZSS___0" localSheetId="0">#REF!</definedName>
    <definedName name="ZSS___0" localSheetId="4">#REF!</definedName>
    <definedName name="ZSS___0">#REF!</definedName>
    <definedName name="ZSS___13" localSheetId="1">#REF!</definedName>
    <definedName name="ZSS___13" localSheetId="0">#REF!</definedName>
    <definedName name="ZSS___13" localSheetId="4">#REF!</definedName>
    <definedName name="ZSS___13">#REF!</definedName>
    <definedName name="ztpu" localSheetId="1">#REF!</definedName>
    <definedName name="ztpu" localSheetId="0">#REF!</definedName>
    <definedName name="ztpu" localSheetId="4">#REF!</definedName>
    <definedName name="ztpu">#REF!</definedName>
    <definedName name="ztpu___0" localSheetId="1">#REF!</definedName>
    <definedName name="ztpu___0" localSheetId="0">#REF!</definedName>
    <definedName name="ztpu___0" localSheetId="4">#REF!</definedName>
    <definedName name="ztpu___0">#REF!</definedName>
    <definedName name="ztpu___13" localSheetId="1">#REF!</definedName>
    <definedName name="ztpu___13" localSheetId="0">#REF!</definedName>
    <definedName name="ztpu___13" localSheetId="4">#REF!</definedName>
    <definedName name="ztpu___13">#REF!</definedName>
    <definedName name="zUI228" localSheetId="11">#REF!</definedName>
    <definedName name="zUI228">#REF!</definedName>
    <definedName name="ZY" localSheetId="1">#REF!</definedName>
    <definedName name="ZY" localSheetId="0">#REF!</definedName>
    <definedName name="ZY" localSheetId="4">#REF!</definedName>
    <definedName name="ZY">#REF!</definedName>
    <definedName name="ZY___0" localSheetId="1">#REF!</definedName>
    <definedName name="ZY___0" localSheetId="0">#REF!</definedName>
    <definedName name="ZY___0" localSheetId="4">#REF!</definedName>
    <definedName name="ZY___0">#REF!</definedName>
    <definedName name="ZY___13" localSheetId="1">#REF!</definedName>
    <definedName name="ZY___13" localSheetId="0">#REF!</definedName>
    <definedName name="ZY___13" localSheetId="4">#REF!</definedName>
    <definedName name="ZY___13">#REF!</definedName>
    <definedName name="ZZZZ" localSheetId="1">#REF!</definedName>
    <definedName name="ZZZZ" localSheetId="0">#REF!</definedName>
    <definedName name="ZZZZ" localSheetId="4">#REF!</definedName>
    <definedName name="ZZZZ" localSheetId="11">#REF!</definedName>
    <definedName name="ZZZZ">#REF!</definedName>
    <definedName name="전체" localSheetId="1">#REF!</definedName>
    <definedName name="전체" localSheetId="0">#REF!</definedName>
    <definedName name="전체" localSheetId="4">#REF!</definedName>
    <definedName name="전체" localSheetId="11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16" l="1"/>
  <c r="Y3" i="16"/>
  <c r="U52" i="16"/>
  <c r="U51" i="16"/>
  <c r="U50" i="16"/>
  <c r="U49" i="16"/>
  <c r="U48" i="16"/>
  <c r="U47" i="16"/>
  <c r="U46" i="16"/>
  <c r="U45" i="16"/>
  <c r="U44" i="16"/>
  <c r="U43" i="16"/>
  <c r="U42" i="16"/>
  <c r="U41" i="16"/>
  <c r="U40" i="16"/>
  <c r="U39" i="16"/>
  <c r="U38" i="16"/>
  <c r="U37" i="16"/>
  <c r="U36" i="16"/>
  <c r="U35" i="16"/>
  <c r="AW14" i="14"/>
  <c r="AX22" i="14"/>
  <c r="AW22" i="14"/>
  <c r="L37" i="16"/>
  <c r="L43" i="16"/>
  <c r="K43" i="16"/>
  <c r="K37" i="16" l="1"/>
  <c r="I37" i="16"/>
  <c r="X23" i="9"/>
  <c r="X22" i="9"/>
  <c r="X21" i="9"/>
  <c r="X20" i="9"/>
  <c r="X19" i="9"/>
  <c r="X18" i="9"/>
  <c r="X17" i="9"/>
  <c r="X16" i="9"/>
  <c r="U16" i="9"/>
  <c r="U23" i="9"/>
  <c r="U22" i="9"/>
  <c r="U21" i="9"/>
  <c r="U20" i="9"/>
  <c r="U19" i="9"/>
  <c r="U18" i="9"/>
  <c r="U17" i="9"/>
  <c r="AF89" i="7"/>
  <c r="AX14" i="14"/>
  <c r="L23" i="16"/>
  <c r="L22" i="16"/>
  <c r="K22" i="16"/>
  <c r="K23" i="16"/>
  <c r="AV89" i="7"/>
  <c r="AQ89" i="7"/>
  <c r="AL89" i="7"/>
  <c r="I30" i="5"/>
  <c r="I29" i="5"/>
  <c r="Q15" i="5"/>
  <c r="AX31" i="14"/>
  <c r="AW31" i="14"/>
  <c r="BI411" i="8" l="1"/>
  <c r="BB411" i="8"/>
  <c r="M12" i="5" s="1"/>
  <c r="AV411" i="8"/>
  <c r="M11" i="5" s="1"/>
  <c r="AM411" i="8"/>
  <c r="M10" i="5" s="1"/>
  <c r="BA15" i="15"/>
  <c r="BB6" i="15"/>
  <c r="BA6" i="15"/>
  <c r="BB15" i="15"/>
  <c r="AU126" i="15"/>
  <c r="BA123" i="15"/>
  <c r="BA24" i="15"/>
  <c r="I31" i="5"/>
  <c r="I16" i="5"/>
  <c r="I15" i="5"/>
  <c r="I17" i="5" l="1"/>
  <c r="BB42" i="15"/>
  <c r="AW36" i="14" l="1"/>
  <c r="BA42" i="15"/>
  <c r="BB33" i="15"/>
  <c r="BA33" i="15"/>
  <c r="AH46" i="7"/>
  <c r="AX36" i="14"/>
  <c r="AH47" i="14" s="1"/>
  <c r="AW137" i="15"/>
  <c r="AX137" i="15"/>
  <c r="AY137" i="15"/>
  <c r="BB123" i="15"/>
  <c r="AZ137" i="15" s="1"/>
  <c r="BA114" i="15"/>
  <c r="BA105" i="15"/>
  <c r="BA96" i="15"/>
  <c r="BA87" i="15"/>
  <c r="BA78" i="15"/>
  <c r="BA69" i="15"/>
  <c r="BA60" i="15"/>
  <c r="BB51" i="15"/>
  <c r="BA51" i="15"/>
  <c r="AU136" i="15"/>
  <c r="AU36" i="15"/>
  <c r="AU47" i="15"/>
  <c r="AU63" i="15"/>
  <c r="AU72" i="15"/>
  <c r="AU81" i="15"/>
  <c r="AU90" i="15"/>
  <c r="AU99" i="15"/>
  <c r="AU108" i="15"/>
  <c r="AU117" i="15"/>
  <c r="BA137" i="15" l="1"/>
  <c r="P400" i="8"/>
  <c r="P402" i="8"/>
  <c r="J26" i="13" l="1"/>
  <c r="J25" i="13"/>
  <c r="L3" i="16"/>
  <c r="M30" i="5" s="1"/>
  <c r="K30" i="5" s="1"/>
  <c r="I3" i="16"/>
  <c r="M29" i="5" s="1"/>
  <c r="K29" i="5" s="1"/>
  <c r="BE402" i="8"/>
  <c r="AX402" i="8"/>
  <c r="AR402" i="8"/>
  <c r="AQ402" i="8" s="1"/>
  <c r="AP402" i="8" s="1"/>
  <c r="AN402" i="8"/>
  <c r="BE400" i="8"/>
  <c r="BE398" i="8"/>
  <c r="AR398" i="8"/>
  <c r="AQ398" i="8"/>
  <c r="BE396" i="8"/>
  <c r="AR396" i="8"/>
  <c r="AQ396" i="8" s="1"/>
  <c r="BE394" i="8"/>
  <c r="AY394" i="8"/>
  <c r="AR394" i="8"/>
  <c r="AQ394" i="8" s="1"/>
  <c r="AP394" i="8" s="1"/>
  <c r="AN394" i="8"/>
  <c r="BE392" i="8"/>
  <c r="AY392" i="8"/>
  <c r="AR392" i="8"/>
  <c r="AN392" i="8"/>
  <c r="BE390" i="8"/>
  <c r="AY390" i="8"/>
  <c r="AR390" i="8"/>
  <c r="AQ390" i="8" s="1"/>
  <c r="AN390" i="8"/>
  <c r="BJ388" i="8"/>
  <c r="BE388" i="8"/>
  <c r="AY388" i="8"/>
  <c r="AR388" i="8"/>
  <c r="AQ388" i="8" s="1"/>
  <c r="AN388" i="8"/>
  <c r="BE386" i="8"/>
  <c r="AY386" i="8"/>
  <c r="AQ386" i="8"/>
  <c r="AR386" i="8" s="1"/>
  <c r="AN386" i="8"/>
  <c r="BE384" i="8"/>
  <c r="AR384" i="8"/>
  <c r="AQ384" i="8" s="1"/>
  <c r="AN384" i="8"/>
  <c r="BE382" i="8"/>
  <c r="AY382" i="8"/>
  <c r="AR382" i="8"/>
  <c r="AQ382" i="8" s="1"/>
  <c r="AN382" i="8"/>
  <c r="BE380" i="8"/>
  <c r="AY380" i="8"/>
  <c r="AR380" i="8"/>
  <c r="AQ380" i="8" s="1"/>
  <c r="AN380" i="8"/>
  <c r="BE378" i="8"/>
  <c r="AX378" i="8"/>
  <c r="AR378" i="8"/>
  <c r="AQ378" i="8" s="1"/>
  <c r="AN378" i="8"/>
  <c r="BE376" i="8"/>
  <c r="AR376" i="8"/>
  <c r="AQ376" i="8"/>
  <c r="AP376" i="8" s="1"/>
  <c r="AN376" i="8"/>
  <c r="BE374" i="8"/>
  <c r="AR374" i="8"/>
  <c r="AQ374" i="8" s="1"/>
  <c r="AP374" i="8" s="1"/>
  <c r="AN374" i="8"/>
  <c r="BE372" i="8"/>
  <c r="AR372" i="8"/>
  <c r="AQ372" i="8"/>
  <c r="AP372" i="8" s="1"/>
  <c r="BE370" i="8"/>
  <c r="AX370" i="8"/>
  <c r="AY370" i="8" s="1"/>
  <c r="AR370" i="8"/>
  <c r="AQ370" i="8"/>
  <c r="AP370" i="8" s="1"/>
  <c r="BE368" i="8"/>
  <c r="AZ368" i="8"/>
  <c r="AY368" i="8"/>
  <c r="AX368" i="8" s="1"/>
  <c r="AR368" i="8"/>
  <c r="AQ368" i="8" s="1"/>
  <c r="AP368" i="8" s="1"/>
  <c r="BE366" i="8"/>
  <c r="AX366" i="8"/>
  <c r="AY366" i="8" s="1"/>
  <c r="AR366" i="8"/>
  <c r="AQ366" i="8" s="1"/>
  <c r="AP366" i="8" s="1"/>
  <c r="AR364" i="8"/>
  <c r="AQ364" i="8" s="1"/>
  <c r="BE362" i="8"/>
  <c r="AZ362" i="8"/>
  <c r="AX362" i="8"/>
  <c r="AR362" i="8"/>
  <c r="AQ362" i="8" s="1"/>
  <c r="AP362" i="8" s="1"/>
  <c r="BE360" i="8"/>
  <c r="AX360" i="8"/>
  <c r="AR360" i="8"/>
  <c r="AQ360" i="8" s="1"/>
  <c r="AP360" i="8" s="1"/>
  <c r="BE358" i="8"/>
  <c r="AX358" i="8"/>
  <c r="AR358" i="8"/>
  <c r="AQ358" i="8" s="1"/>
  <c r="AP358" i="8" s="1"/>
  <c r="BE356" i="8"/>
  <c r="AX356" i="8"/>
  <c r="AR356" i="8"/>
  <c r="AQ356" i="8" s="1"/>
  <c r="AP356" i="8" s="1"/>
  <c r="BK354" i="8"/>
  <c r="BE354" i="8"/>
  <c r="AR354" i="8"/>
  <c r="AQ354" i="8"/>
  <c r="AP354" i="8" s="1"/>
  <c r="BK352" i="8"/>
  <c r="BE352" i="8"/>
  <c r="AZ352" i="8"/>
  <c r="AY352" i="8"/>
  <c r="AX352" i="8" s="1"/>
  <c r="AR352" i="8"/>
  <c r="AQ352" i="8" s="1"/>
  <c r="AP352" i="8" s="1"/>
  <c r="BE350" i="8"/>
  <c r="AR350" i="8"/>
  <c r="AN350" i="8"/>
  <c r="BE348" i="8"/>
  <c r="AZ348" i="8"/>
  <c r="AX348" i="8"/>
  <c r="AR348" i="8"/>
  <c r="AQ348" i="8" s="1"/>
  <c r="AP348" i="8" s="1"/>
  <c r="AN348" i="8"/>
  <c r="BE346" i="8"/>
  <c r="AR346" i="8"/>
  <c r="AQ346" i="8" s="1"/>
  <c r="AP346" i="8" s="1"/>
  <c r="AN346" i="8"/>
  <c r="BE344" i="8"/>
  <c r="AR344" i="8"/>
  <c r="AQ344" i="8" s="1"/>
  <c r="AN344" i="8"/>
  <c r="BE342" i="8"/>
  <c r="AX342" i="8"/>
  <c r="AY342" i="8" s="1"/>
  <c r="AR342" i="8"/>
  <c r="AQ342" i="8" s="1"/>
  <c r="AN342" i="8"/>
  <c r="BE340" i="8"/>
  <c r="AN340" i="8"/>
  <c r="BE338" i="8"/>
  <c r="AY338" i="8"/>
  <c r="AR338" i="8"/>
  <c r="AQ338" i="8" s="1"/>
  <c r="AP338" i="8" s="1"/>
  <c r="AN338" i="8"/>
  <c r="BE336" i="8"/>
  <c r="AY336" i="8"/>
  <c r="AR336" i="8"/>
  <c r="AQ336" i="8" s="1"/>
  <c r="AP336" i="8" s="1"/>
  <c r="BK334" i="8"/>
  <c r="BJ334" i="8" s="1"/>
  <c r="BE334" i="8"/>
  <c r="AX334" i="8"/>
  <c r="AR334" i="8"/>
  <c r="AQ334" i="8" s="1"/>
  <c r="AP334" i="8" s="1"/>
  <c r="BJ332" i="8"/>
  <c r="BE332" i="8"/>
  <c r="AN332" i="8"/>
  <c r="BE330" i="8"/>
  <c r="AX330" i="8"/>
  <c r="AR330" i="8"/>
  <c r="AQ330" i="8" s="1"/>
  <c r="AN330" i="8"/>
  <c r="BE328" i="8"/>
  <c r="AX328" i="8"/>
  <c r="AR328" i="8"/>
  <c r="AQ328" i="8" s="1"/>
  <c r="AN328" i="8"/>
  <c r="BE326" i="8"/>
  <c r="AX326" i="8"/>
  <c r="AR326" i="8"/>
  <c r="AQ326" i="8"/>
  <c r="AN326" i="8"/>
  <c r="BE324" i="8"/>
  <c r="AX324" i="8"/>
  <c r="AR324" i="8"/>
  <c r="AQ324" i="8" s="1"/>
  <c r="AP324" i="8" s="1"/>
  <c r="AN324" i="8"/>
  <c r="BE322" i="8"/>
  <c r="AX322" i="8"/>
  <c r="AN322" i="8"/>
  <c r="BE320" i="8"/>
  <c r="AX320" i="8"/>
  <c r="AN320" i="8"/>
  <c r="BE318" i="8"/>
  <c r="AX318" i="8"/>
  <c r="AR318" i="8"/>
  <c r="AQ318" i="8" s="1"/>
  <c r="AN318" i="8"/>
  <c r="BJ316" i="8"/>
  <c r="BE316" i="8"/>
  <c r="AX316" i="8"/>
  <c r="AR316" i="8"/>
  <c r="AQ316" i="8" s="1"/>
  <c r="AP316" i="8" s="1"/>
  <c r="AN316" i="8"/>
  <c r="BJ314" i="8"/>
  <c r="BE314" i="8"/>
  <c r="AX314" i="8"/>
  <c r="AN314" i="8"/>
  <c r="BJ312" i="8"/>
  <c r="BE312" i="8"/>
  <c r="AX312" i="8"/>
  <c r="AR312" i="8"/>
  <c r="AQ312" i="8" s="1"/>
  <c r="AP312" i="8" s="1"/>
  <c r="BK310" i="8"/>
  <c r="BE310" i="8"/>
  <c r="AX310" i="8"/>
  <c r="AR310" i="8"/>
  <c r="AQ310" i="8" s="1"/>
  <c r="AP310" i="8" s="1"/>
  <c r="BE308" i="8"/>
  <c r="AX308" i="8"/>
  <c r="AN308" i="8"/>
  <c r="E3" i="16"/>
  <c r="AP364" i="8" l="1"/>
  <c r="A7" i="16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M31" i="5"/>
  <c r="X3" i="16"/>
  <c r="U3" i="16"/>
  <c r="K3" i="16"/>
  <c r="H3" i="16"/>
  <c r="D3" i="16"/>
  <c r="A2" i="16"/>
  <c r="A1" i="16"/>
  <c r="AA410" i="8"/>
  <c r="AA408" i="8"/>
  <c r="AA406" i="8"/>
  <c r="AA404" i="8"/>
  <c r="AA402" i="8"/>
  <c r="AA400" i="8"/>
  <c r="AA398" i="8"/>
  <c r="AA396" i="8"/>
  <c r="AA394" i="8"/>
  <c r="AA392" i="8"/>
  <c r="AA390" i="8"/>
  <c r="AA388" i="8"/>
  <c r="AA386" i="8"/>
  <c r="AA384" i="8"/>
  <c r="AA382" i="8"/>
  <c r="AA380" i="8"/>
  <c r="AA378" i="8"/>
  <c r="AA376" i="8"/>
  <c r="AA374" i="8"/>
  <c r="AA372" i="8"/>
  <c r="AA370" i="8"/>
  <c r="AA368" i="8"/>
  <c r="AA366" i="8"/>
  <c r="AA364" i="8"/>
  <c r="AA362" i="8"/>
  <c r="AA360" i="8"/>
  <c r="AA358" i="8"/>
  <c r="AA356" i="8"/>
  <c r="AA354" i="8"/>
  <c r="AA352" i="8"/>
  <c r="AA350" i="8"/>
  <c r="AA348" i="8"/>
  <c r="AA346" i="8"/>
  <c r="AA344" i="8"/>
  <c r="AA342" i="8"/>
  <c r="AA340" i="8"/>
  <c r="AA338" i="8"/>
  <c r="AA336" i="8"/>
  <c r="AA334" i="8"/>
  <c r="AA332" i="8"/>
  <c r="AA330" i="8"/>
  <c r="AA328" i="8"/>
  <c r="AA326" i="8"/>
  <c r="AA324" i="8"/>
  <c r="AA322" i="8"/>
  <c r="AA320" i="8"/>
  <c r="AA318" i="8"/>
  <c r="AA316" i="8"/>
  <c r="AA314" i="8"/>
  <c r="AA312" i="8"/>
  <c r="AA310" i="8"/>
  <c r="AA308" i="8"/>
  <c r="AA306" i="8"/>
  <c r="AA304" i="8"/>
  <c r="AA302" i="8"/>
  <c r="AA300" i="8"/>
  <c r="AA298" i="8"/>
  <c r="AA296" i="8"/>
  <c r="AA294" i="8"/>
  <c r="AA292" i="8"/>
  <c r="AA290" i="8"/>
  <c r="AA288" i="8"/>
  <c r="AA286" i="8"/>
  <c r="AA284" i="8"/>
  <c r="AA282" i="8"/>
  <c r="AA280" i="8"/>
  <c r="AA278" i="8"/>
  <c r="AA276" i="8"/>
  <c r="AA274" i="8"/>
  <c r="AA272" i="8"/>
  <c r="AA270" i="8"/>
  <c r="AA268" i="8"/>
  <c r="AA266" i="8"/>
  <c r="AA264" i="8"/>
  <c r="AA262" i="8"/>
  <c r="AA260" i="8"/>
  <c r="AA258" i="8"/>
  <c r="AA256" i="8"/>
  <c r="AA254" i="8"/>
  <c r="AA252" i="8"/>
  <c r="AA250" i="8"/>
  <c r="AA248" i="8"/>
  <c r="AA246" i="8"/>
  <c r="AA244" i="8"/>
  <c r="AA242" i="8"/>
  <c r="AA240" i="8"/>
  <c r="AA238" i="8"/>
  <c r="AA236" i="8"/>
  <c r="AA234" i="8"/>
  <c r="AA232" i="8"/>
  <c r="AA230" i="8"/>
  <c r="AA228" i="8"/>
  <c r="AA226" i="8"/>
  <c r="AA224" i="8"/>
  <c r="AA222" i="8"/>
  <c r="AA220" i="8"/>
  <c r="AA218" i="8"/>
  <c r="AA216" i="8"/>
  <c r="AA214" i="8"/>
  <c r="AA212" i="8"/>
  <c r="AA210" i="8"/>
  <c r="AA208" i="8"/>
  <c r="AA206" i="8"/>
  <c r="AA204" i="8"/>
  <c r="AA202" i="8"/>
  <c r="AA200" i="8"/>
  <c r="AA198" i="8"/>
  <c r="AA196" i="8"/>
  <c r="AA194" i="8"/>
  <c r="AA192" i="8"/>
  <c r="AA190" i="8"/>
  <c r="AA188" i="8"/>
  <c r="AA186" i="8"/>
  <c r="AA184" i="8"/>
  <c r="AA182" i="8"/>
  <c r="AA180" i="8"/>
  <c r="AA178" i="8"/>
  <c r="AA176" i="8"/>
  <c r="AA174" i="8"/>
  <c r="AA172" i="8"/>
  <c r="AA170" i="8"/>
  <c r="AA168" i="8"/>
  <c r="AA166" i="8"/>
  <c r="AA164" i="8"/>
  <c r="AA162" i="8"/>
  <c r="AA160" i="8"/>
  <c r="AA158" i="8"/>
  <c r="AA156" i="8"/>
  <c r="AA154" i="8"/>
  <c r="AA152" i="8"/>
  <c r="AA150" i="8"/>
  <c r="AA148" i="8"/>
  <c r="AA146" i="8"/>
  <c r="AA144" i="8"/>
  <c r="AA142" i="8"/>
  <c r="AA140" i="8"/>
  <c r="AA138" i="8"/>
  <c r="AA136" i="8"/>
  <c r="AA134" i="8"/>
  <c r="AA132" i="8"/>
  <c r="AA130" i="8"/>
  <c r="AA128" i="8"/>
  <c r="AA126" i="8"/>
  <c r="AA124" i="8"/>
  <c r="AA122" i="8"/>
  <c r="AA120" i="8"/>
  <c r="AA118" i="8"/>
  <c r="AA116" i="8"/>
  <c r="AA114" i="8"/>
  <c r="AA112" i="8"/>
  <c r="AA110" i="8"/>
  <c r="AA108" i="8"/>
  <c r="AA106" i="8"/>
  <c r="AA104" i="8"/>
  <c r="AA102" i="8"/>
  <c r="AA100" i="8"/>
  <c r="AA98" i="8"/>
  <c r="AA96" i="8"/>
  <c r="AA94" i="8"/>
  <c r="AA92" i="8"/>
  <c r="AA90" i="8"/>
  <c r="AA88" i="8"/>
  <c r="AA86" i="8"/>
  <c r="AA84" i="8"/>
  <c r="AA82" i="8"/>
  <c r="AA80" i="8"/>
  <c r="AA78" i="8"/>
  <c r="AA76" i="8"/>
  <c r="AA74" i="8"/>
  <c r="AA72" i="8"/>
  <c r="AA70" i="8"/>
  <c r="AA68" i="8"/>
  <c r="AA66" i="8"/>
  <c r="AA64" i="8"/>
  <c r="AA62" i="8"/>
  <c r="AA60" i="8"/>
  <c r="AA58" i="8"/>
  <c r="AA56" i="8"/>
  <c r="AA54" i="8"/>
  <c r="AA52" i="8"/>
  <c r="AA50" i="8"/>
  <c r="AA48" i="8"/>
  <c r="AA46" i="8"/>
  <c r="AA44" i="8"/>
  <c r="AA42" i="8"/>
  <c r="AA40" i="8"/>
  <c r="AA38" i="8"/>
  <c r="AA36" i="8"/>
  <c r="AA34" i="8"/>
  <c r="AA32" i="8"/>
  <c r="AA30" i="8"/>
  <c r="AA28" i="8"/>
  <c r="AA26" i="8"/>
  <c r="AA24" i="8"/>
  <c r="AA22" i="8"/>
  <c r="AA20" i="8"/>
  <c r="AA18" i="8"/>
  <c r="AA16" i="8"/>
  <c r="AA14" i="8"/>
  <c r="AA12" i="8"/>
  <c r="AA10" i="8"/>
  <c r="S410" i="8"/>
  <c r="S408" i="8"/>
  <c r="S406" i="8"/>
  <c r="S404" i="8"/>
  <c r="S402" i="8"/>
  <c r="S400" i="8"/>
  <c r="S398" i="8"/>
  <c r="S396" i="8"/>
  <c r="S394" i="8"/>
  <c r="S392" i="8"/>
  <c r="S390" i="8"/>
  <c r="S388" i="8"/>
  <c r="S386" i="8"/>
  <c r="S384" i="8"/>
  <c r="S382" i="8"/>
  <c r="S380" i="8"/>
  <c r="S378" i="8"/>
  <c r="S376" i="8"/>
  <c r="S374" i="8"/>
  <c r="S372" i="8"/>
  <c r="S370" i="8"/>
  <c r="S368" i="8"/>
  <c r="S366" i="8"/>
  <c r="S364" i="8"/>
  <c r="S362" i="8"/>
  <c r="S360" i="8"/>
  <c r="S358" i="8"/>
  <c r="S356" i="8"/>
  <c r="S354" i="8"/>
  <c r="S352" i="8"/>
  <c r="S350" i="8"/>
  <c r="S348" i="8"/>
  <c r="S346" i="8"/>
  <c r="S344" i="8"/>
  <c r="S342" i="8"/>
  <c r="S340" i="8"/>
  <c r="S338" i="8"/>
  <c r="S336" i="8"/>
  <c r="S334" i="8"/>
  <c r="S332" i="8"/>
  <c r="S330" i="8"/>
  <c r="S328" i="8"/>
  <c r="S326" i="8"/>
  <c r="S324" i="8"/>
  <c r="S322" i="8"/>
  <c r="S320" i="8"/>
  <c r="S318" i="8"/>
  <c r="S316" i="8"/>
  <c r="S314" i="8"/>
  <c r="S312" i="8"/>
  <c r="S310" i="8"/>
  <c r="S308" i="8"/>
  <c r="S306" i="8"/>
  <c r="S304" i="8"/>
  <c r="S302" i="8"/>
  <c r="S300" i="8"/>
  <c r="S298" i="8"/>
  <c r="S296" i="8"/>
  <c r="S294" i="8"/>
  <c r="S292" i="8"/>
  <c r="S290" i="8"/>
  <c r="S288" i="8"/>
  <c r="S286" i="8"/>
  <c r="S284" i="8"/>
  <c r="S282" i="8"/>
  <c r="S280" i="8"/>
  <c r="S278" i="8"/>
  <c r="S276" i="8"/>
  <c r="S274" i="8"/>
  <c r="S272" i="8"/>
  <c r="S270" i="8"/>
  <c r="S268" i="8"/>
  <c r="S266" i="8"/>
  <c r="S264" i="8"/>
  <c r="S262" i="8"/>
  <c r="S260" i="8"/>
  <c r="S258" i="8"/>
  <c r="S256" i="8"/>
  <c r="S254" i="8"/>
  <c r="S252" i="8"/>
  <c r="S250" i="8"/>
  <c r="S248" i="8"/>
  <c r="S246" i="8"/>
  <c r="S244" i="8"/>
  <c r="S242" i="8"/>
  <c r="S240" i="8"/>
  <c r="S238" i="8"/>
  <c r="S236" i="8"/>
  <c r="S234" i="8"/>
  <c r="S232" i="8"/>
  <c r="S230" i="8"/>
  <c r="S228" i="8"/>
  <c r="S226" i="8"/>
  <c r="S224" i="8"/>
  <c r="S222" i="8"/>
  <c r="S220" i="8"/>
  <c r="S218" i="8"/>
  <c r="S216" i="8"/>
  <c r="S214" i="8"/>
  <c r="S212" i="8"/>
  <c r="S210" i="8"/>
  <c r="S208" i="8"/>
  <c r="S206" i="8"/>
  <c r="S204" i="8"/>
  <c r="S202" i="8"/>
  <c r="S200" i="8"/>
  <c r="S198" i="8"/>
  <c r="S196" i="8"/>
  <c r="S194" i="8"/>
  <c r="S192" i="8"/>
  <c r="S190" i="8"/>
  <c r="S188" i="8"/>
  <c r="S186" i="8"/>
  <c r="S184" i="8"/>
  <c r="S182" i="8"/>
  <c r="S180" i="8"/>
  <c r="S178" i="8"/>
  <c r="S176" i="8"/>
  <c r="S174" i="8"/>
  <c r="S172" i="8"/>
  <c r="S170" i="8"/>
  <c r="S168" i="8"/>
  <c r="S166" i="8"/>
  <c r="S164" i="8"/>
  <c r="S162" i="8"/>
  <c r="S160" i="8"/>
  <c r="S158" i="8"/>
  <c r="S156" i="8"/>
  <c r="S154" i="8"/>
  <c r="S152" i="8"/>
  <c r="S150" i="8"/>
  <c r="S148" i="8"/>
  <c r="S146" i="8"/>
  <c r="S144" i="8"/>
  <c r="S142" i="8"/>
  <c r="S140" i="8"/>
  <c r="S138" i="8"/>
  <c r="S136" i="8"/>
  <c r="S134" i="8"/>
  <c r="S132" i="8"/>
  <c r="S130" i="8"/>
  <c r="S128" i="8"/>
  <c r="S126" i="8"/>
  <c r="S124" i="8"/>
  <c r="S122" i="8"/>
  <c r="S120" i="8"/>
  <c r="S118" i="8"/>
  <c r="S116" i="8"/>
  <c r="S114" i="8"/>
  <c r="S112" i="8"/>
  <c r="S110" i="8"/>
  <c r="S108" i="8"/>
  <c r="S106" i="8"/>
  <c r="S104" i="8"/>
  <c r="S102" i="8"/>
  <c r="S100" i="8"/>
  <c r="S98" i="8"/>
  <c r="S96" i="8"/>
  <c r="S94" i="8"/>
  <c r="S92" i="8"/>
  <c r="S90" i="8"/>
  <c r="S88" i="8"/>
  <c r="S86" i="8"/>
  <c r="S84" i="8"/>
  <c r="S82" i="8"/>
  <c r="S80" i="8"/>
  <c r="S78" i="8"/>
  <c r="S76" i="8"/>
  <c r="S74" i="8"/>
  <c r="S72" i="8"/>
  <c r="S70" i="8"/>
  <c r="S68" i="8"/>
  <c r="S66" i="8"/>
  <c r="S64" i="8"/>
  <c r="S62" i="8"/>
  <c r="S60" i="8"/>
  <c r="S58" i="8"/>
  <c r="S56" i="8"/>
  <c r="S54" i="8"/>
  <c r="S52" i="8"/>
  <c r="S50" i="8"/>
  <c r="S48" i="8"/>
  <c r="S46" i="8"/>
  <c r="S44" i="8"/>
  <c r="S42" i="8"/>
  <c r="S40" i="8"/>
  <c r="S38" i="8"/>
  <c r="S36" i="8"/>
  <c r="S34" i="8"/>
  <c r="S32" i="8"/>
  <c r="S30" i="8"/>
  <c r="S28" i="8"/>
  <c r="S26" i="8"/>
  <c r="S24" i="8"/>
  <c r="S22" i="8"/>
  <c r="S20" i="8"/>
  <c r="S18" i="8"/>
  <c r="S16" i="8"/>
  <c r="S14" i="8"/>
  <c r="S12" i="8"/>
  <c r="S10" i="8"/>
  <c r="E410" i="8"/>
  <c r="F410" i="8" s="1"/>
  <c r="E408" i="8"/>
  <c r="F408" i="8" s="1"/>
  <c r="E406" i="8"/>
  <c r="F406" i="8" s="1"/>
  <c r="E404" i="8"/>
  <c r="F404" i="8" s="1"/>
  <c r="E402" i="8"/>
  <c r="F402" i="8" s="1"/>
  <c r="E400" i="8"/>
  <c r="F400" i="8" s="1"/>
  <c r="E398" i="8"/>
  <c r="F398" i="8" s="1"/>
  <c r="E396" i="8"/>
  <c r="F396" i="8" s="1"/>
  <c r="E394" i="8"/>
  <c r="F394" i="8" s="1"/>
  <c r="E392" i="8"/>
  <c r="F392" i="8" s="1"/>
  <c r="E390" i="8"/>
  <c r="F390" i="8" s="1"/>
  <c r="E388" i="8"/>
  <c r="F388" i="8" s="1"/>
  <c r="E386" i="8"/>
  <c r="F386" i="8" s="1"/>
  <c r="E384" i="8"/>
  <c r="F384" i="8" s="1"/>
  <c r="E382" i="8"/>
  <c r="F382" i="8" s="1"/>
  <c r="E380" i="8"/>
  <c r="F380" i="8" s="1"/>
  <c r="E378" i="8"/>
  <c r="F378" i="8" s="1"/>
  <c r="E376" i="8"/>
  <c r="F376" i="8" s="1"/>
  <c r="E374" i="8"/>
  <c r="F374" i="8" s="1"/>
  <c r="E372" i="8"/>
  <c r="F372" i="8" s="1"/>
  <c r="E370" i="8"/>
  <c r="F370" i="8" s="1"/>
  <c r="E368" i="8"/>
  <c r="F368" i="8" s="1"/>
  <c r="F366" i="8"/>
  <c r="E366" i="8"/>
  <c r="F364" i="8"/>
  <c r="E364" i="8"/>
  <c r="E362" i="8"/>
  <c r="F362" i="8" s="1"/>
  <c r="E360" i="8"/>
  <c r="F360" i="8" s="1"/>
  <c r="E358" i="8"/>
  <c r="F358" i="8" s="1"/>
  <c r="E356" i="8"/>
  <c r="F356" i="8" s="1"/>
  <c r="E354" i="8"/>
  <c r="F354" i="8" s="1"/>
  <c r="E352" i="8"/>
  <c r="F352" i="8" s="1"/>
  <c r="E350" i="8"/>
  <c r="F350" i="8" s="1"/>
  <c r="E348" i="8"/>
  <c r="F348" i="8" s="1"/>
  <c r="E346" i="8"/>
  <c r="F346" i="8" s="1"/>
  <c r="E344" i="8"/>
  <c r="F344" i="8" s="1"/>
  <c r="E342" i="8"/>
  <c r="F342" i="8" s="1"/>
  <c r="E340" i="8"/>
  <c r="F340" i="8" s="1"/>
  <c r="E338" i="8"/>
  <c r="F338" i="8" s="1"/>
  <c r="E336" i="8"/>
  <c r="F336" i="8" s="1"/>
  <c r="E334" i="8"/>
  <c r="F334" i="8" s="1"/>
  <c r="E332" i="8"/>
  <c r="F332" i="8" s="1"/>
  <c r="E330" i="8"/>
  <c r="F330" i="8" s="1"/>
  <c r="E328" i="8"/>
  <c r="F328" i="8" s="1"/>
  <c r="E326" i="8"/>
  <c r="F326" i="8" s="1"/>
  <c r="E324" i="8"/>
  <c r="F324" i="8" s="1"/>
  <c r="E322" i="8"/>
  <c r="F322" i="8" s="1"/>
  <c r="E320" i="8"/>
  <c r="F320" i="8" s="1"/>
  <c r="E318" i="8"/>
  <c r="F318" i="8" s="1"/>
  <c r="E316" i="8"/>
  <c r="F316" i="8" s="1"/>
  <c r="E314" i="8"/>
  <c r="F314" i="8" s="1"/>
  <c r="E312" i="8"/>
  <c r="F312" i="8" s="1"/>
  <c r="E310" i="8"/>
  <c r="F310" i="8" s="1"/>
  <c r="E308" i="8"/>
  <c r="F308" i="8" s="1"/>
  <c r="E306" i="8"/>
  <c r="F306" i="8" s="1"/>
  <c r="E304" i="8"/>
  <c r="F304" i="8" s="1"/>
  <c r="E302" i="8"/>
  <c r="F302" i="8" s="1"/>
  <c r="E300" i="8"/>
  <c r="F300" i="8" s="1"/>
  <c r="E298" i="8"/>
  <c r="F298" i="8" s="1"/>
  <c r="E296" i="8"/>
  <c r="F296" i="8" s="1"/>
  <c r="E294" i="8"/>
  <c r="F294" i="8" s="1"/>
  <c r="E292" i="8"/>
  <c r="F292" i="8" s="1"/>
  <c r="E290" i="8"/>
  <c r="F290" i="8" s="1"/>
  <c r="E288" i="8"/>
  <c r="F288" i="8" s="1"/>
  <c r="E286" i="8"/>
  <c r="F286" i="8" s="1"/>
  <c r="E284" i="8"/>
  <c r="F284" i="8" s="1"/>
  <c r="E282" i="8"/>
  <c r="F282" i="8" s="1"/>
  <c r="E280" i="8"/>
  <c r="F280" i="8" s="1"/>
  <c r="E278" i="8"/>
  <c r="F278" i="8" s="1"/>
  <c r="E276" i="8"/>
  <c r="F276" i="8" s="1"/>
  <c r="E274" i="8"/>
  <c r="F274" i="8" s="1"/>
  <c r="E272" i="8"/>
  <c r="F272" i="8" s="1"/>
  <c r="E270" i="8"/>
  <c r="F270" i="8" s="1"/>
  <c r="E268" i="8"/>
  <c r="F268" i="8" s="1"/>
  <c r="E266" i="8"/>
  <c r="F266" i="8" s="1"/>
  <c r="E264" i="8"/>
  <c r="F264" i="8" s="1"/>
  <c r="E262" i="8"/>
  <c r="F262" i="8" s="1"/>
  <c r="E260" i="8"/>
  <c r="F260" i="8" s="1"/>
  <c r="E258" i="8"/>
  <c r="F258" i="8" s="1"/>
  <c r="E256" i="8"/>
  <c r="F256" i="8" s="1"/>
  <c r="E254" i="8"/>
  <c r="F254" i="8" s="1"/>
  <c r="E252" i="8"/>
  <c r="F252" i="8" s="1"/>
  <c r="E250" i="8"/>
  <c r="F250" i="8" s="1"/>
  <c r="E248" i="8"/>
  <c r="F248" i="8" s="1"/>
  <c r="E246" i="8"/>
  <c r="F246" i="8" s="1"/>
  <c r="E244" i="8"/>
  <c r="F244" i="8" s="1"/>
  <c r="E242" i="8"/>
  <c r="F242" i="8" s="1"/>
  <c r="E240" i="8"/>
  <c r="F240" i="8" s="1"/>
  <c r="E238" i="8"/>
  <c r="F238" i="8" s="1"/>
  <c r="E236" i="8"/>
  <c r="F236" i="8" s="1"/>
  <c r="E234" i="8"/>
  <c r="F234" i="8" s="1"/>
  <c r="E232" i="8"/>
  <c r="F232" i="8" s="1"/>
  <c r="E230" i="8"/>
  <c r="F230" i="8" s="1"/>
  <c r="E228" i="8"/>
  <c r="F228" i="8" s="1"/>
  <c r="E226" i="8"/>
  <c r="F226" i="8" s="1"/>
  <c r="E224" i="8"/>
  <c r="F224" i="8" s="1"/>
  <c r="E222" i="8"/>
  <c r="F222" i="8" s="1"/>
  <c r="E220" i="8"/>
  <c r="F220" i="8" s="1"/>
  <c r="E218" i="8"/>
  <c r="F218" i="8" s="1"/>
  <c r="E216" i="8"/>
  <c r="F216" i="8" s="1"/>
  <c r="E214" i="8"/>
  <c r="F214" i="8" s="1"/>
  <c r="E212" i="8"/>
  <c r="F212" i="8" s="1"/>
  <c r="E210" i="8"/>
  <c r="F210" i="8" s="1"/>
  <c r="E208" i="8"/>
  <c r="F208" i="8" s="1"/>
  <c r="E206" i="8"/>
  <c r="F206" i="8" s="1"/>
  <c r="E204" i="8"/>
  <c r="F204" i="8" s="1"/>
  <c r="E202" i="8"/>
  <c r="F202" i="8" s="1"/>
  <c r="E200" i="8"/>
  <c r="F200" i="8" s="1"/>
  <c r="E198" i="8"/>
  <c r="F198" i="8" s="1"/>
  <c r="E196" i="8"/>
  <c r="F196" i="8" s="1"/>
  <c r="E194" i="8"/>
  <c r="F194" i="8" s="1"/>
  <c r="E192" i="8"/>
  <c r="F192" i="8" s="1"/>
  <c r="E190" i="8"/>
  <c r="F190" i="8" s="1"/>
  <c r="E188" i="8"/>
  <c r="F188" i="8" s="1"/>
  <c r="E186" i="8"/>
  <c r="F186" i="8" s="1"/>
  <c r="E184" i="8"/>
  <c r="F184" i="8" s="1"/>
  <c r="E182" i="8"/>
  <c r="F182" i="8" s="1"/>
  <c r="E180" i="8"/>
  <c r="F180" i="8" s="1"/>
  <c r="E178" i="8"/>
  <c r="F178" i="8" s="1"/>
  <c r="E176" i="8"/>
  <c r="F176" i="8" s="1"/>
  <c r="E174" i="8"/>
  <c r="F174" i="8" s="1"/>
  <c r="E172" i="8"/>
  <c r="F172" i="8" s="1"/>
  <c r="E170" i="8"/>
  <c r="F170" i="8" s="1"/>
  <c r="E168" i="8"/>
  <c r="F168" i="8" s="1"/>
  <c r="E166" i="8"/>
  <c r="F166" i="8" s="1"/>
  <c r="E164" i="8"/>
  <c r="F164" i="8" s="1"/>
  <c r="E162" i="8"/>
  <c r="F162" i="8" s="1"/>
  <c r="E160" i="8"/>
  <c r="F160" i="8" s="1"/>
  <c r="E158" i="8"/>
  <c r="F158" i="8" s="1"/>
  <c r="E156" i="8"/>
  <c r="F156" i="8" s="1"/>
  <c r="E154" i="8"/>
  <c r="F154" i="8" s="1"/>
  <c r="E152" i="8"/>
  <c r="F152" i="8" s="1"/>
  <c r="E150" i="8"/>
  <c r="F150" i="8" s="1"/>
  <c r="E148" i="8"/>
  <c r="F148" i="8" s="1"/>
  <c r="E146" i="8"/>
  <c r="F146" i="8" s="1"/>
  <c r="E144" i="8"/>
  <c r="F144" i="8" s="1"/>
  <c r="E142" i="8"/>
  <c r="F142" i="8" s="1"/>
  <c r="E140" i="8"/>
  <c r="F140" i="8" s="1"/>
  <c r="E138" i="8"/>
  <c r="F138" i="8" s="1"/>
  <c r="E136" i="8"/>
  <c r="F136" i="8" s="1"/>
  <c r="E134" i="8"/>
  <c r="F134" i="8" s="1"/>
  <c r="E132" i="8"/>
  <c r="F132" i="8" s="1"/>
  <c r="E130" i="8"/>
  <c r="F130" i="8" s="1"/>
  <c r="E128" i="8"/>
  <c r="F128" i="8" s="1"/>
  <c r="E126" i="8"/>
  <c r="F126" i="8" s="1"/>
  <c r="E124" i="8"/>
  <c r="F124" i="8" s="1"/>
  <c r="E122" i="8"/>
  <c r="F122" i="8" s="1"/>
  <c r="E120" i="8"/>
  <c r="F120" i="8" s="1"/>
  <c r="E118" i="8"/>
  <c r="F118" i="8" s="1"/>
  <c r="E116" i="8"/>
  <c r="F116" i="8" s="1"/>
  <c r="E114" i="8"/>
  <c r="F114" i="8" s="1"/>
  <c r="E112" i="8"/>
  <c r="F112" i="8" s="1"/>
  <c r="E110" i="8"/>
  <c r="F110" i="8" s="1"/>
  <c r="E108" i="8"/>
  <c r="F108" i="8" s="1"/>
  <c r="E106" i="8"/>
  <c r="F106" i="8" s="1"/>
  <c r="E104" i="8"/>
  <c r="F104" i="8" s="1"/>
  <c r="E102" i="8"/>
  <c r="F102" i="8" s="1"/>
  <c r="E100" i="8"/>
  <c r="F100" i="8" s="1"/>
  <c r="E98" i="8"/>
  <c r="F98" i="8" s="1"/>
  <c r="E96" i="8"/>
  <c r="F96" i="8" s="1"/>
  <c r="E94" i="8"/>
  <c r="F94" i="8" s="1"/>
  <c r="E92" i="8"/>
  <c r="F92" i="8" s="1"/>
  <c r="E90" i="8"/>
  <c r="F90" i="8" s="1"/>
  <c r="E88" i="8"/>
  <c r="F88" i="8" s="1"/>
  <c r="E86" i="8"/>
  <c r="F86" i="8" s="1"/>
  <c r="E84" i="8"/>
  <c r="F84" i="8" s="1"/>
  <c r="E82" i="8"/>
  <c r="F82" i="8" s="1"/>
  <c r="E80" i="8"/>
  <c r="F80" i="8" s="1"/>
  <c r="E78" i="8"/>
  <c r="F78" i="8" s="1"/>
  <c r="E76" i="8"/>
  <c r="F76" i="8" s="1"/>
  <c r="E74" i="8"/>
  <c r="F74" i="8" s="1"/>
  <c r="E72" i="8"/>
  <c r="F72" i="8" s="1"/>
  <c r="E70" i="8"/>
  <c r="F70" i="8" s="1"/>
  <c r="E68" i="8"/>
  <c r="F68" i="8" s="1"/>
  <c r="E66" i="8"/>
  <c r="F66" i="8" s="1"/>
  <c r="E64" i="8"/>
  <c r="F64" i="8" s="1"/>
  <c r="E62" i="8"/>
  <c r="F62" i="8" s="1"/>
  <c r="E60" i="8"/>
  <c r="F60" i="8" s="1"/>
  <c r="E58" i="8"/>
  <c r="F58" i="8" s="1"/>
  <c r="E56" i="8"/>
  <c r="F56" i="8" s="1"/>
  <c r="E54" i="8"/>
  <c r="F54" i="8" s="1"/>
  <c r="E52" i="8"/>
  <c r="F52" i="8" s="1"/>
  <c r="E50" i="8"/>
  <c r="F50" i="8" s="1"/>
  <c r="E48" i="8"/>
  <c r="F48" i="8" s="1"/>
  <c r="E46" i="8"/>
  <c r="F46" i="8" s="1"/>
  <c r="E44" i="8"/>
  <c r="F44" i="8" s="1"/>
  <c r="E42" i="8"/>
  <c r="F42" i="8" s="1"/>
  <c r="E40" i="8"/>
  <c r="F40" i="8" s="1"/>
  <c r="E38" i="8"/>
  <c r="F38" i="8" s="1"/>
  <c r="E36" i="8"/>
  <c r="F36" i="8" s="1"/>
  <c r="E34" i="8"/>
  <c r="F34" i="8" s="1"/>
  <c r="E32" i="8"/>
  <c r="F32" i="8" s="1"/>
  <c r="E30" i="8"/>
  <c r="F30" i="8" s="1"/>
  <c r="E28" i="8"/>
  <c r="F28" i="8" s="1"/>
  <c r="E26" i="8"/>
  <c r="F26" i="8" s="1"/>
  <c r="E24" i="8"/>
  <c r="F24" i="8" s="1"/>
  <c r="E22" i="8"/>
  <c r="F22" i="8" s="1"/>
  <c r="E20" i="8"/>
  <c r="F20" i="8" s="1"/>
  <c r="E18" i="8"/>
  <c r="F18" i="8" s="1"/>
  <c r="E16" i="8"/>
  <c r="F16" i="8" s="1"/>
  <c r="E14" i="8"/>
  <c r="F14" i="8" s="1"/>
  <c r="E12" i="8"/>
  <c r="F12" i="8" s="1"/>
  <c r="E10" i="8"/>
  <c r="F10" i="8" s="1"/>
  <c r="P410" i="8"/>
  <c r="P408" i="8"/>
  <c r="P406" i="8"/>
  <c r="P404" i="8"/>
  <c r="P398" i="8"/>
  <c r="P396" i="8"/>
  <c r="P394" i="8"/>
  <c r="P392" i="8"/>
  <c r="P390" i="8"/>
  <c r="P388" i="8"/>
  <c r="P386" i="8"/>
  <c r="P384" i="8"/>
  <c r="P382" i="8"/>
  <c r="P380" i="8"/>
  <c r="P378" i="8"/>
  <c r="P376" i="8"/>
  <c r="P374" i="8"/>
  <c r="P372" i="8"/>
  <c r="P370" i="8"/>
  <c r="P368" i="8"/>
  <c r="P366" i="8"/>
  <c r="P364" i="8"/>
  <c r="P362" i="8"/>
  <c r="P360" i="8"/>
  <c r="P358" i="8"/>
  <c r="P356" i="8"/>
  <c r="P354" i="8"/>
  <c r="P352" i="8"/>
  <c r="P350" i="8"/>
  <c r="P348" i="8"/>
  <c r="P346" i="8"/>
  <c r="P344" i="8"/>
  <c r="P342" i="8"/>
  <c r="P340" i="8"/>
  <c r="P338" i="8"/>
  <c r="P336" i="8"/>
  <c r="P334" i="8"/>
  <c r="P332" i="8"/>
  <c r="P330" i="8"/>
  <c r="P328" i="8"/>
  <c r="P326" i="8"/>
  <c r="P324" i="8"/>
  <c r="P322" i="8"/>
  <c r="P320" i="8"/>
  <c r="P318" i="8"/>
  <c r="P316" i="8"/>
  <c r="P314" i="8"/>
  <c r="P312" i="8"/>
  <c r="P310" i="8"/>
  <c r="P308" i="8"/>
  <c r="P306" i="8"/>
  <c r="P304" i="8"/>
  <c r="P302" i="8"/>
  <c r="P300" i="8"/>
  <c r="P298" i="8"/>
  <c r="P296" i="8"/>
  <c r="P294" i="8"/>
  <c r="P292" i="8"/>
  <c r="P290" i="8"/>
  <c r="P288" i="8"/>
  <c r="P286" i="8"/>
  <c r="P284" i="8"/>
  <c r="P282" i="8"/>
  <c r="P280" i="8"/>
  <c r="P278" i="8"/>
  <c r="P276" i="8"/>
  <c r="P274" i="8"/>
  <c r="P272" i="8"/>
  <c r="P270" i="8"/>
  <c r="P268" i="8"/>
  <c r="P266" i="8"/>
  <c r="P264" i="8"/>
  <c r="P262" i="8"/>
  <c r="P260" i="8"/>
  <c r="P258" i="8"/>
  <c r="P256" i="8"/>
  <c r="P254" i="8"/>
  <c r="P252" i="8"/>
  <c r="P250" i="8"/>
  <c r="P248" i="8"/>
  <c r="P246" i="8"/>
  <c r="P244" i="8"/>
  <c r="P242" i="8"/>
  <c r="P240" i="8"/>
  <c r="P238" i="8"/>
  <c r="P236" i="8"/>
  <c r="P234" i="8"/>
  <c r="P232" i="8"/>
  <c r="P230" i="8"/>
  <c r="P228" i="8"/>
  <c r="P226" i="8"/>
  <c r="P224" i="8"/>
  <c r="P222" i="8"/>
  <c r="P220" i="8"/>
  <c r="P218" i="8"/>
  <c r="P216" i="8"/>
  <c r="P214" i="8"/>
  <c r="P212" i="8"/>
  <c r="P210" i="8"/>
  <c r="P208" i="8"/>
  <c r="P206" i="8"/>
  <c r="P204" i="8"/>
  <c r="P202" i="8"/>
  <c r="P200" i="8"/>
  <c r="P198" i="8"/>
  <c r="P196" i="8"/>
  <c r="P194" i="8"/>
  <c r="P192" i="8"/>
  <c r="P190" i="8"/>
  <c r="P188" i="8"/>
  <c r="P186" i="8"/>
  <c r="P184" i="8"/>
  <c r="P182" i="8"/>
  <c r="P180" i="8"/>
  <c r="P178" i="8"/>
  <c r="P176" i="8"/>
  <c r="P174" i="8"/>
  <c r="P172" i="8"/>
  <c r="P170" i="8"/>
  <c r="P168" i="8"/>
  <c r="P166" i="8"/>
  <c r="P164" i="8"/>
  <c r="P162" i="8"/>
  <c r="P160" i="8"/>
  <c r="P158" i="8"/>
  <c r="P156" i="8"/>
  <c r="P154" i="8"/>
  <c r="P152" i="8"/>
  <c r="P150" i="8"/>
  <c r="P148" i="8"/>
  <c r="P146" i="8"/>
  <c r="P144" i="8"/>
  <c r="P142" i="8"/>
  <c r="P140" i="8"/>
  <c r="P138" i="8"/>
  <c r="P136" i="8"/>
  <c r="P134" i="8"/>
  <c r="P132" i="8"/>
  <c r="P130" i="8"/>
  <c r="P128" i="8"/>
  <c r="P126" i="8"/>
  <c r="P124" i="8"/>
  <c r="P122" i="8"/>
  <c r="P120" i="8"/>
  <c r="P118" i="8"/>
  <c r="P116" i="8"/>
  <c r="P114" i="8"/>
  <c r="P112" i="8"/>
  <c r="P110" i="8"/>
  <c r="P108" i="8"/>
  <c r="P106" i="8"/>
  <c r="P104" i="8"/>
  <c r="P102" i="8"/>
  <c r="P100" i="8"/>
  <c r="P98" i="8"/>
  <c r="P96" i="8"/>
  <c r="P94" i="8"/>
  <c r="P92" i="8"/>
  <c r="P90" i="8"/>
  <c r="P88" i="8"/>
  <c r="P86" i="8"/>
  <c r="P84" i="8"/>
  <c r="P82" i="8"/>
  <c r="P80" i="8"/>
  <c r="P78" i="8"/>
  <c r="P76" i="8"/>
  <c r="P74" i="8"/>
  <c r="P72" i="8"/>
  <c r="P70" i="8"/>
  <c r="P68" i="8"/>
  <c r="P66" i="8"/>
  <c r="P64" i="8"/>
  <c r="P62" i="8"/>
  <c r="P60" i="8"/>
  <c r="P58" i="8"/>
  <c r="P56" i="8"/>
  <c r="P54" i="8"/>
  <c r="P52" i="8"/>
  <c r="P50" i="8"/>
  <c r="P48" i="8"/>
  <c r="P46" i="8"/>
  <c r="P44" i="8"/>
  <c r="P42" i="8"/>
  <c r="P40" i="8"/>
  <c r="P38" i="8"/>
  <c r="P36" i="8"/>
  <c r="P34" i="8"/>
  <c r="P32" i="8"/>
  <c r="P30" i="8"/>
  <c r="P28" i="8"/>
  <c r="P26" i="8"/>
  <c r="P24" i="8"/>
  <c r="P22" i="8"/>
  <c r="P20" i="8"/>
  <c r="P18" i="8"/>
  <c r="P16" i="8"/>
  <c r="P14" i="8"/>
  <c r="P12" i="8"/>
  <c r="P10" i="8"/>
  <c r="A12" i="8"/>
  <c r="A14" i="8" s="1"/>
  <c r="A16" i="8" s="1"/>
  <c r="A18" i="8" s="1"/>
  <c r="A20" i="8" s="1"/>
  <c r="A22" i="8" s="1"/>
  <c r="A24" i="8" s="1"/>
  <c r="A26" i="8" s="1"/>
  <c r="A28" i="8" s="1"/>
  <c r="A30" i="8" s="1"/>
  <c r="A32" i="8" s="1"/>
  <c r="A34" i="8" s="1"/>
  <c r="A36" i="8" s="1"/>
  <c r="A38" i="8" s="1"/>
  <c r="A40" i="8" s="1"/>
  <c r="A42" i="8" s="1"/>
  <c r="A44" i="8" s="1"/>
  <c r="A46" i="8" s="1"/>
  <c r="A48" i="8" s="1"/>
  <c r="A50" i="8" s="1"/>
  <c r="A52" i="8" s="1"/>
  <c r="A54" i="8" s="1"/>
  <c r="A56" i="8" s="1"/>
  <c r="A58" i="8" s="1"/>
  <c r="A60" i="8" s="1"/>
  <c r="A62" i="8" s="1"/>
  <c r="A64" i="8" s="1"/>
  <c r="A66" i="8" s="1"/>
  <c r="A68" i="8" s="1"/>
  <c r="A70" i="8" s="1"/>
  <c r="A72" i="8" s="1"/>
  <c r="A74" i="8" s="1"/>
  <c r="A76" i="8" s="1"/>
  <c r="A78" i="8" s="1"/>
  <c r="A80" i="8" s="1"/>
  <c r="A82" i="8" s="1"/>
  <c r="A84" i="8" s="1"/>
  <c r="A86" i="8" s="1"/>
  <c r="A88" i="8" s="1"/>
  <c r="A90" i="8" s="1"/>
  <c r="A92" i="8" s="1"/>
  <c r="A94" i="8" s="1"/>
  <c r="A96" i="8" s="1"/>
  <c r="A98" i="8" s="1"/>
  <c r="A100" i="8" s="1"/>
  <c r="A102" i="8" s="1"/>
  <c r="A104" i="8" s="1"/>
  <c r="A106" i="8" s="1"/>
  <c r="A108" i="8" s="1"/>
  <c r="A110" i="8" s="1"/>
  <c r="A112" i="8" s="1"/>
  <c r="A114" i="8" s="1"/>
  <c r="A116" i="8" s="1"/>
  <c r="A118" i="8" s="1"/>
  <c r="A120" i="8" s="1"/>
  <c r="A122" i="8" s="1"/>
  <c r="A124" i="8" s="1"/>
  <c r="A126" i="8" s="1"/>
  <c r="A128" i="8" s="1"/>
  <c r="A130" i="8" s="1"/>
  <c r="A132" i="8" s="1"/>
  <c r="A134" i="8" s="1"/>
  <c r="A136" i="8" s="1"/>
  <c r="A138" i="8" s="1"/>
  <c r="A140" i="8" s="1"/>
  <c r="A142" i="8" s="1"/>
  <c r="A144" i="8" s="1"/>
  <c r="A146" i="8" s="1"/>
  <c r="A148" i="8" s="1"/>
  <c r="A150" i="8" s="1"/>
  <c r="A152" i="8" s="1"/>
  <c r="A154" i="8" s="1"/>
  <c r="A156" i="8" s="1"/>
  <c r="A158" i="8" s="1"/>
  <c r="A160" i="8" s="1"/>
  <c r="A162" i="8" s="1"/>
  <c r="A164" i="8" s="1"/>
  <c r="A166" i="8" s="1"/>
  <c r="A168" i="8" s="1"/>
  <c r="A170" i="8" s="1"/>
  <c r="A172" i="8" s="1"/>
  <c r="A174" i="8" s="1"/>
  <c r="A176" i="8" s="1"/>
  <c r="A178" i="8" s="1"/>
  <c r="A180" i="8" s="1"/>
  <c r="A182" i="8" s="1"/>
  <c r="A184" i="8" s="1"/>
  <c r="A186" i="8" s="1"/>
  <c r="A188" i="8" s="1"/>
  <c r="A190" i="8" s="1"/>
  <c r="A192" i="8" s="1"/>
  <c r="A194" i="8" s="1"/>
  <c r="A196" i="8" s="1"/>
  <c r="A198" i="8" s="1"/>
  <c r="A200" i="8" s="1"/>
  <c r="A202" i="8" s="1"/>
  <c r="A204" i="8" s="1"/>
  <c r="A206" i="8" s="1"/>
  <c r="A208" i="8" s="1"/>
  <c r="A210" i="8" s="1"/>
  <c r="A212" i="8" s="1"/>
  <c r="A214" i="8" s="1"/>
  <c r="A216" i="8" s="1"/>
  <c r="A218" i="8" s="1"/>
  <c r="A220" i="8" s="1"/>
  <c r="A222" i="8" s="1"/>
  <c r="A224" i="8" s="1"/>
  <c r="A226" i="8" s="1"/>
  <c r="A228" i="8" s="1"/>
  <c r="A230" i="8" s="1"/>
  <c r="A232" i="8" s="1"/>
  <c r="A234" i="8" s="1"/>
  <c r="A236" i="8" s="1"/>
  <c r="A238" i="8" s="1"/>
  <c r="A240" i="8" s="1"/>
  <c r="A242" i="8" s="1"/>
  <c r="A244" i="8" s="1"/>
  <c r="A246" i="8" s="1"/>
  <c r="A248" i="8" s="1"/>
  <c r="A250" i="8" s="1"/>
  <c r="A252" i="8" s="1"/>
  <c r="A254" i="8" s="1"/>
  <c r="A256" i="8" s="1"/>
  <c r="A258" i="8" s="1"/>
  <c r="A260" i="8" s="1"/>
  <c r="A262" i="8" s="1"/>
  <c r="A264" i="8" s="1"/>
  <c r="A266" i="8" s="1"/>
  <c r="A268" i="8" s="1"/>
  <c r="A270" i="8" s="1"/>
  <c r="A272" i="8" s="1"/>
  <c r="A274" i="8" s="1"/>
  <c r="A276" i="8" s="1"/>
  <c r="A278" i="8" s="1"/>
  <c r="A280" i="8" s="1"/>
  <c r="A282" i="8" s="1"/>
  <c r="A284" i="8" s="1"/>
  <c r="A286" i="8" s="1"/>
  <c r="A288" i="8" s="1"/>
  <c r="A290" i="8" s="1"/>
  <c r="A292" i="8" s="1"/>
  <c r="A294" i="8" s="1"/>
  <c r="A296" i="8" s="1"/>
  <c r="A298" i="8" s="1"/>
  <c r="A300" i="8" s="1"/>
  <c r="A302" i="8" s="1"/>
  <c r="A304" i="8" s="1"/>
  <c r="A306" i="8" s="1"/>
  <c r="A308" i="8" s="1"/>
  <c r="A310" i="8" s="1"/>
  <c r="A312" i="8" s="1"/>
  <c r="A314" i="8" s="1"/>
  <c r="A316" i="8" s="1"/>
  <c r="A318" i="8" s="1"/>
  <c r="A320" i="8" s="1"/>
  <c r="A322" i="8" s="1"/>
  <c r="A324" i="8" s="1"/>
  <c r="A326" i="8" s="1"/>
  <c r="A328" i="8" s="1"/>
  <c r="A330" i="8" s="1"/>
  <c r="A332" i="8" s="1"/>
  <c r="A334" i="8" s="1"/>
  <c r="A336" i="8" s="1"/>
  <c r="A338" i="8" s="1"/>
  <c r="A340" i="8" s="1"/>
  <c r="A342" i="8" s="1"/>
  <c r="A344" i="8" s="1"/>
  <c r="A346" i="8" s="1"/>
  <c r="A348" i="8" s="1"/>
  <c r="A350" i="8" s="1"/>
  <c r="A352" i="8" s="1"/>
  <c r="A354" i="8" s="1"/>
  <c r="A356" i="8" s="1"/>
  <c r="A358" i="8" s="1"/>
  <c r="A360" i="8" s="1"/>
  <c r="A362" i="8" s="1"/>
  <c r="A364" i="8" s="1"/>
  <c r="A366" i="8" s="1"/>
  <c r="A368" i="8" s="1"/>
  <c r="A370" i="8" s="1"/>
  <c r="A372" i="8" s="1"/>
  <c r="A374" i="8" s="1"/>
  <c r="A376" i="8" s="1"/>
  <c r="A378" i="8" s="1"/>
  <c r="A380" i="8" s="1"/>
  <c r="A382" i="8" s="1"/>
  <c r="A384" i="8" s="1"/>
  <c r="A386" i="8" s="1"/>
  <c r="A388" i="8" s="1"/>
  <c r="A390" i="8" s="1"/>
  <c r="A392" i="8" s="1"/>
  <c r="A394" i="8" s="1"/>
  <c r="A396" i="8" s="1"/>
  <c r="A398" i="8" s="1"/>
  <c r="A404" i="8" l="1"/>
  <c r="A406" i="8" s="1"/>
  <c r="A408" i="8" s="1"/>
  <c r="A410" i="8" s="1"/>
  <c r="BB24" i="15" l="1"/>
  <c r="BB137" i="15" s="1"/>
  <c r="P10" i="13"/>
  <c r="BB105" i="15"/>
  <c r="I3" i="9"/>
  <c r="M15" i="5" s="1"/>
  <c r="K15" i="5" s="1"/>
  <c r="E3" i="9"/>
  <c r="L3" i="9"/>
  <c r="A7" i="9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G18" i="11"/>
  <c r="AS36" i="14"/>
  <c r="G33" i="11"/>
  <c r="G32" i="11"/>
  <c r="G31" i="11"/>
  <c r="G30" i="11"/>
  <c r="G29" i="11"/>
  <c r="G17" i="11"/>
  <c r="G16" i="11"/>
  <c r="G15" i="11"/>
  <c r="G14" i="11"/>
  <c r="G13" i="11"/>
  <c r="G12" i="11"/>
  <c r="G11" i="11"/>
  <c r="G5" i="11"/>
  <c r="G6" i="11"/>
  <c r="G7" i="11"/>
  <c r="G8" i="11"/>
  <c r="G9" i="11"/>
  <c r="G10" i="11"/>
  <c r="G4" i="11"/>
  <c r="P8" i="13"/>
  <c r="N14" i="7"/>
  <c r="K14" i="7"/>
  <c r="N12" i="7"/>
  <c r="K12" i="7"/>
  <c r="N10" i="7"/>
  <c r="K10" i="7"/>
  <c r="E14" i="7"/>
  <c r="F14" i="7" s="1"/>
  <c r="E12" i="7"/>
  <c r="F12" i="7" s="1"/>
  <c r="E10" i="7"/>
  <c r="F10" i="7" s="1"/>
  <c r="E20" i="7"/>
  <c r="F20" i="7" s="1"/>
  <c r="X16" i="7"/>
  <c r="N16" i="7"/>
  <c r="I16" i="7"/>
  <c r="H16" i="7"/>
  <c r="G16" i="7"/>
  <c r="J16" i="7" s="1"/>
  <c r="E16" i="7"/>
  <c r="F16" i="7" s="1"/>
  <c r="A12" i="7"/>
  <c r="A14" i="7" s="1"/>
  <c r="A16" i="7" s="1"/>
  <c r="A20" i="7" s="1"/>
  <c r="A22" i="7" s="1"/>
  <c r="A24" i="7" s="1"/>
  <c r="A26" i="7" s="1"/>
  <c r="A28" i="7" s="1"/>
  <c r="A30" i="7" s="1"/>
  <c r="A32" i="7" s="1"/>
  <c r="A34" i="7" s="1"/>
  <c r="A36" i="7" s="1"/>
  <c r="A38" i="7" s="1"/>
  <c r="A40" i="7" s="1"/>
  <c r="A42" i="7" s="1"/>
  <c r="A44" i="7" s="1"/>
  <c r="A46" i="7" s="1"/>
  <c r="A48" i="7" s="1"/>
  <c r="A50" i="7" s="1"/>
  <c r="A52" i="7" s="1"/>
  <c r="A54" i="7" s="1"/>
  <c r="A56" i="7" s="1"/>
  <c r="A58" i="7" s="1"/>
  <c r="A60" i="7" s="1"/>
  <c r="A62" i="7" s="1"/>
  <c r="A64" i="7" s="1"/>
  <c r="A66" i="7" s="1"/>
  <c r="A68" i="7" s="1"/>
  <c r="A70" i="7" s="1"/>
  <c r="A72" i="7" s="1"/>
  <c r="A74" i="7" s="1"/>
  <c r="A76" i="7" s="1"/>
  <c r="A78" i="7" s="1"/>
  <c r="A80" i="7" s="1"/>
  <c r="A82" i="7" s="1"/>
  <c r="A84" i="7" s="1"/>
  <c r="A86" i="7" s="1"/>
  <c r="N15" i="5" l="1"/>
  <c r="G25" i="11"/>
  <c r="G27" i="11"/>
  <c r="G28" i="11"/>
  <c r="Q24" i="5" l="1"/>
  <c r="N8" i="5"/>
  <c r="H20" i="13"/>
  <c r="P22" i="13"/>
  <c r="AH148" i="15" l="1"/>
  <c r="AU135" i="15"/>
  <c r="G2" i="13" l="1"/>
  <c r="AU54" i="15"/>
  <c r="AU27" i="15"/>
  <c r="AU18" i="15"/>
  <c r="AU9" i="15"/>
  <c r="BB60" i="15"/>
  <c r="P20" i="13"/>
  <c r="AB404" i="8"/>
  <c r="AB402" i="8"/>
  <c r="AJ402" i="8"/>
  <c r="AK402" i="8" s="1"/>
  <c r="AB400" i="8"/>
  <c r="AJ400" i="8"/>
  <c r="AK400" i="8" s="1"/>
  <c r="AB398" i="8"/>
  <c r="AD398" i="8"/>
  <c r="AE398" i="8"/>
  <c r="AG398" i="8"/>
  <c r="AB396" i="8"/>
  <c r="AB394" i="8"/>
  <c r="AB392" i="8"/>
  <c r="AB390" i="8"/>
  <c r="AB388" i="8"/>
  <c r="AB386" i="8"/>
  <c r="AB384" i="8"/>
  <c r="AB382" i="8"/>
  <c r="AB380" i="8"/>
  <c r="AB378" i="8"/>
  <c r="AB376" i="8"/>
  <c r="AB374" i="8"/>
  <c r="AB372" i="8"/>
  <c r="AB370" i="8"/>
  <c r="AB368" i="8"/>
  <c r="AJ368" i="8"/>
  <c r="AK368" i="8" s="1"/>
  <c r="AB364" i="8"/>
  <c r="AB362" i="8"/>
  <c r="AJ362" i="8"/>
  <c r="AK362" i="8" s="1"/>
  <c r="AB360" i="8"/>
  <c r="AJ360" i="8"/>
  <c r="AK360" i="8" s="1"/>
  <c r="AB358" i="8"/>
  <c r="AJ358" i="8"/>
  <c r="AK358" i="8" s="1"/>
  <c r="AB356" i="8"/>
  <c r="AJ356" i="8"/>
  <c r="AK356" i="8" s="1"/>
  <c r="AB330" i="8"/>
  <c r="AC330" i="8" s="1"/>
  <c r="AJ330" i="8"/>
  <c r="AK330" i="8" s="1"/>
  <c r="AB328" i="8"/>
  <c r="AC328" i="8" s="1"/>
  <c r="AJ328" i="8"/>
  <c r="AK328" i="8" s="1"/>
  <c r="AN304" i="8"/>
  <c r="AX304" i="8"/>
  <c r="BE304" i="8"/>
  <c r="AN302" i="8"/>
  <c r="AX302" i="8"/>
  <c r="BE302" i="8"/>
  <c r="AN300" i="8"/>
  <c r="AX300" i="8"/>
  <c r="BE300" i="8"/>
  <c r="AB298" i="8"/>
  <c r="AC298" i="8" s="1"/>
  <c r="AJ298" i="8"/>
  <c r="AK298" i="8" s="1"/>
  <c r="AN298" i="8"/>
  <c r="AX298" i="8"/>
  <c r="BE298" i="8"/>
  <c r="AB296" i="8"/>
  <c r="AC296" i="8" s="1"/>
  <c r="AJ296" i="8"/>
  <c r="AK296" i="8" s="1"/>
  <c r="AN296" i="8"/>
  <c r="AX296" i="8"/>
  <c r="BE296" i="8"/>
  <c r="AB294" i="8"/>
  <c r="AC294" i="8" s="1"/>
  <c r="AJ294" i="8"/>
  <c r="AK294" i="8" s="1"/>
  <c r="AN294" i="8"/>
  <c r="AX294" i="8"/>
  <c r="BE294" i="8"/>
  <c r="AN292" i="8"/>
  <c r="AR292" i="8"/>
  <c r="AQ292" i="8" s="1"/>
  <c r="AX292" i="8"/>
  <c r="BE292" i="8"/>
  <c r="AN290" i="8"/>
  <c r="AR290" i="8"/>
  <c r="AQ290" i="8" s="1"/>
  <c r="AX290" i="8"/>
  <c r="BE290" i="8"/>
  <c r="AB288" i="8"/>
  <c r="AC288" i="8" s="1"/>
  <c r="AJ288" i="8"/>
  <c r="AK288" i="8" s="1"/>
  <c r="AN288" i="8"/>
  <c r="AR288" i="8"/>
  <c r="AQ288" i="8" s="1"/>
  <c r="AX288" i="8"/>
  <c r="BE288" i="8"/>
  <c r="BJ288" i="8"/>
  <c r="AB286" i="8"/>
  <c r="AC286" i="8" s="1"/>
  <c r="AJ286" i="8"/>
  <c r="AK286" i="8" s="1"/>
  <c r="AN286" i="8"/>
  <c r="AR286" i="8"/>
  <c r="AQ286" i="8" s="1"/>
  <c r="AP286" i="8" s="1"/>
  <c r="BE286" i="8"/>
  <c r="BJ286" i="8"/>
  <c r="AB284" i="8"/>
  <c r="AC284" i="8" s="1"/>
  <c r="AJ284" i="8"/>
  <c r="AK284" i="8" s="1"/>
  <c r="AR284" i="8"/>
  <c r="AQ284" i="8" s="1"/>
  <c r="AP284" i="8" s="1"/>
  <c r="AX284" i="8"/>
  <c r="BE284" i="8"/>
  <c r="BJ284" i="8"/>
  <c r="AB282" i="8"/>
  <c r="AC282" i="8" s="1"/>
  <c r="AJ282" i="8"/>
  <c r="AK282" i="8" s="1"/>
  <c r="AN282" i="8"/>
  <c r="AX282" i="8"/>
  <c r="BE282" i="8"/>
  <c r="BJ282" i="8"/>
  <c r="AB280" i="8"/>
  <c r="AC280" i="8" s="1"/>
  <c r="AJ280" i="8"/>
  <c r="AK280" i="8" s="1"/>
  <c r="AN280" i="8"/>
  <c r="AR280" i="8"/>
  <c r="AX280" i="8"/>
  <c r="BE280" i="8"/>
  <c r="BJ280" i="8"/>
  <c r="AN278" i="8"/>
  <c r="AX278" i="8"/>
  <c r="BE278" i="8"/>
  <c r="BJ278" i="8"/>
  <c r="AB276" i="8"/>
  <c r="AC276" i="8" s="1"/>
  <c r="AJ276" i="8"/>
  <c r="AK276" i="8" s="1"/>
  <c r="AN276" i="8"/>
  <c r="AX276" i="8"/>
  <c r="BE276" i="8"/>
  <c r="BJ276" i="8"/>
  <c r="AN274" i="8"/>
  <c r="AR274" i="8"/>
  <c r="AQ274" i="8" s="1"/>
  <c r="AX274" i="8"/>
  <c r="BJ274" i="8"/>
  <c r="AN272" i="8"/>
  <c r="AQ272" i="8"/>
  <c r="AR272" i="8"/>
  <c r="BJ272" i="8"/>
  <c r="AN270" i="8"/>
  <c r="AR270" i="8"/>
  <c r="AQ270" i="8" s="1"/>
  <c r="AP270" i="8" s="1"/>
  <c r="AN268" i="8"/>
  <c r="AR268" i="8"/>
  <c r="AQ268" i="8" s="1"/>
  <c r="AP268" i="8" s="1"/>
  <c r="BE268" i="8"/>
  <c r="BJ268" i="8"/>
  <c r="AN266" i="8"/>
  <c r="AR266" i="8"/>
  <c r="AQ266" i="8" s="1"/>
  <c r="AX266" i="8"/>
  <c r="BE266" i="8"/>
  <c r="BJ266" i="8"/>
  <c r="AN264" i="8"/>
  <c r="BE264" i="8"/>
  <c r="AY264" i="8" s="1"/>
  <c r="AX264" i="8" s="1"/>
  <c r="BJ264" i="8"/>
  <c r="AN262" i="8"/>
  <c r="AY262" i="8"/>
  <c r="AX262" i="8" s="1"/>
  <c r="BJ262" i="8"/>
  <c r="AN260" i="8"/>
  <c r="AX260" i="8"/>
  <c r="BE260" i="8"/>
  <c r="AN258" i="8"/>
  <c r="AR258" i="8"/>
  <c r="AQ258" i="8" s="1"/>
  <c r="BJ258" i="8"/>
  <c r="BJ260" i="8" s="1"/>
  <c r="BK260" i="8" s="1"/>
  <c r="AB256" i="8"/>
  <c r="AC256" i="8" s="1"/>
  <c r="AJ256" i="8"/>
  <c r="AK256" i="8" s="1"/>
  <c r="AN256" i="8"/>
  <c r="AR256" i="8"/>
  <c r="AQ256" i="8" s="1"/>
  <c r="AN254" i="8"/>
  <c r="BE254" i="8"/>
  <c r="AB252" i="8"/>
  <c r="AC252" i="8" s="1"/>
  <c r="AJ252" i="8"/>
  <c r="AK252" i="8" s="1"/>
  <c r="AN252" i="8"/>
  <c r="BE252" i="8"/>
  <c r="AN250" i="8"/>
  <c r="BE250" i="8"/>
  <c r="AN248" i="8"/>
  <c r="AX248" i="8"/>
  <c r="BE248" i="8"/>
  <c r="AN246" i="8"/>
  <c r="AX246" i="8"/>
  <c r="BE246" i="8"/>
  <c r="AN244" i="8"/>
  <c r="BE244" i="8"/>
  <c r="BK244" i="8"/>
  <c r="AB242" i="8"/>
  <c r="AC242" i="8" s="1"/>
  <c r="AJ242" i="8"/>
  <c r="AK242" i="8" s="1"/>
  <c r="AN242" i="8"/>
  <c r="BE242" i="8"/>
  <c r="BK242" i="8"/>
  <c r="AN240" i="8"/>
  <c r="BE240" i="8"/>
  <c r="BK240" i="8"/>
  <c r="AN238" i="8"/>
  <c r="BE238" i="8"/>
  <c r="BK238" i="8"/>
  <c r="AB236" i="8"/>
  <c r="AC236" i="8" s="1"/>
  <c r="AJ236" i="8"/>
  <c r="AK236" i="8" s="1"/>
  <c r="AN236" i="8"/>
  <c r="AR236" i="8"/>
  <c r="AQ236" i="8" s="1"/>
  <c r="BE236" i="8"/>
  <c r="BJ236" i="8"/>
  <c r="AB234" i="8"/>
  <c r="AC234" i="8" s="1"/>
  <c r="AJ234" i="8"/>
  <c r="AK234" i="8" s="1"/>
  <c r="AN234" i="8"/>
  <c r="BE234" i="8"/>
  <c r="BJ234" i="8"/>
  <c r="AB232" i="8"/>
  <c r="AC232" i="8" s="1"/>
  <c r="AJ232" i="8"/>
  <c r="AK232" i="8" s="1"/>
  <c r="AN232" i="8"/>
  <c r="BE232" i="8"/>
  <c r="BJ232" i="8"/>
  <c r="AN230" i="8"/>
  <c r="AQ230" i="8"/>
  <c r="AR230" i="8"/>
  <c r="BE230" i="8"/>
  <c r="BJ230" i="8"/>
  <c r="AR228" i="8"/>
  <c r="AQ228" i="8" s="1"/>
  <c r="BE228" i="8"/>
  <c r="BJ228" i="8"/>
  <c r="AN226" i="8"/>
  <c r="BE226" i="8"/>
  <c r="BJ226" i="8"/>
  <c r="AN224" i="8"/>
  <c r="BJ224" i="8"/>
  <c r="AN222" i="8"/>
  <c r="BJ222" i="8"/>
  <c r="AN220" i="8"/>
  <c r="BJ220" i="8"/>
  <c r="AN218" i="8"/>
  <c r="AR218" i="8"/>
  <c r="AQ218" i="8" s="1"/>
  <c r="AP218" i="8" s="1"/>
  <c r="BE218" i="8"/>
  <c r="BJ218" i="8"/>
  <c r="AN216" i="8"/>
  <c r="AR216" i="8"/>
  <c r="AQ216" i="8" s="1"/>
  <c r="AP216" i="8" s="1"/>
  <c r="BE216" i="8"/>
  <c r="AN214" i="8"/>
  <c r="BE214" i="8"/>
  <c r="AN212" i="8"/>
  <c r="AR212" i="8"/>
  <c r="AQ212" i="8" s="1"/>
  <c r="AP212" i="8" s="1"/>
  <c r="BE212" i="8"/>
  <c r="AN198" i="8"/>
  <c r="AR198" i="8"/>
  <c r="AQ198" i="8" s="1"/>
  <c r="BE198" i="8"/>
  <c r="AJ194" i="8"/>
  <c r="AK194" i="8" s="1"/>
  <c r="AR194" i="8"/>
  <c r="AQ194" i="8" s="1"/>
  <c r="AP194" i="8" s="1"/>
  <c r="AX194" i="8"/>
  <c r="BE194" i="8"/>
  <c r="AN192" i="8"/>
  <c r="BE192" i="8"/>
  <c r="AN190" i="8"/>
  <c r="AX190" i="8"/>
  <c r="BE190" i="8"/>
  <c r="AN188" i="8"/>
  <c r="BE188" i="8"/>
  <c r="AN186" i="8"/>
  <c r="AY186" i="8"/>
  <c r="BE186" i="8"/>
  <c r="AN184" i="8"/>
  <c r="BE184" i="8"/>
  <c r="AN182" i="8"/>
  <c r="AR182" i="8"/>
  <c r="AQ182" i="8" s="1"/>
  <c r="BE182" i="8"/>
  <c r="AR180" i="8"/>
  <c r="AQ180" i="8" s="1"/>
  <c r="AP180" i="8" s="1"/>
  <c r="AX180" i="8"/>
  <c r="BE180" i="8"/>
  <c r="AN178" i="8"/>
  <c r="AQ178" i="8"/>
  <c r="AR178" i="8"/>
  <c r="BE178" i="8"/>
  <c r="AN176" i="8"/>
  <c r="BE176" i="8"/>
  <c r="AN174" i="8"/>
  <c r="BE174" i="8"/>
  <c r="AR172" i="8"/>
  <c r="AQ172" i="8" s="1"/>
  <c r="AP172" i="8" s="1"/>
  <c r="AY172" i="8"/>
  <c r="AZ172" i="8"/>
  <c r="BE172" i="8"/>
  <c r="AR170" i="8"/>
  <c r="AQ170" i="8" s="1"/>
  <c r="AP170" i="8" s="1"/>
  <c r="AY170" i="8"/>
  <c r="AX170" i="8" s="1"/>
  <c r="AZ170" i="8"/>
  <c r="BE170" i="8"/>
  <c r="AR168" i="8"/>
  <c r="AQ168" i="8" s="1"/>
  <c r="AP168" i="8" s="1"/>
  <c r="AZ168" i="8"/>
  <c r="BE168" i="8"/>
  <c r="AR166" i="8"/>
  <c r="AQ166" i="8" s="1"/>
  <c r="AP166" i="8" s="1"/>
  <c r="AY166" i="8"/>
  <c r="AZ166" i="8"/>
  <c r="BE166" i="8"/>
  <c r="AR164" i="8"/>
  <c r="AQ164" i="8" s="1"/>
  <c r="AP164" i="8" s="1"/>
  <c r="AY164" i="8"/>
  <c r="AZ164" i="8"/>
  <c r="BE164" i="8"/>
  <c r="AR162" i="8"/>
  <c r="AQ162" i="8" s="1"/>
  <c r="AP162" i="8" s="1"/>
  <c r="AY162" i="8"/>
  <c r="AZ162" i="8"/>
  <c r="BE162" i="8"/>
  <c r="AS160" i="8"/>
  <c r="AZ160" i="8"/>
  <c r="BE160" i="8"/>
  <c r="AR158" i="8"/>
  <c r="AQ158" i="8" s="1"/>
  <c r="AY158" i="8"/>
  <c r="AZ158" i="8"/>
  <c r="BE158" i="8"/>
  <c r="AR156" i="8"/>
  <c r="AQ156" i="8" s="1"/>
  <c r="AP156" i="8" s="1"/>
  <c r="AY156" i="8"/>
  <c r="AZ156" i="8"/>
  <c r="BE156" i="8"/>
  <c r="AR154" i="8"/>
  <c r="AQ154" i="8" s="1"/>
  <c r="AP154" i="8" s="1"/>
  <c r="AY154" i="8"/>
  <c r="AZ154" i="8"/>
  <c r="BE154" i="8"/>
  <c r="AR152" i="8"/>
  <c r="AQ152" i="8" s="1"/>
  <c r="AP152" i="8" s="1"/>
  <c r="AY152" i="8"/>
  <c r="AZ152" i="8"/>
  <c r="BE152" i="8"/>
  <c r="AR150" i="8"/>
  <c r="AQ150" i="8" s="1"/>
  <c r="AP150" i="8" s="1"/>
  <c r="AY150" i="8"/>
  <c r="AZ150" i="8"/>
  <c r="BE150" i="8"/>
  <c r="AR148" i="8"/>
  <c r="AQ148" i="8" s="1"/>
  <c r="AP148" i="8" s="1"/>
  <c r="AY148" i="8"/>
  <c r="AZ148" i="8"/>
  <c r="BE148" i="8"/>
  <c r="AR144" i="8"/>
  <c r="AQ144" i="8" s="1"/>
  <c r="AP144" i="8" s="1"/>
  <c r="AY144" i="8"/>
  <c r="AZ144" i="8"/>
  <c r="BE144" i="8"/>
  <c r="AR142" i="8"/>
  <c r="AQ142" i="8" s="1"/>
  <c r="AP142" i="8" s="1"/>
  <c r="AX142" i="8"/>
  <c r="BE142" i="8"/>
  <c r="AR140" i="8"/>
  <c r="AQ140" i="8" s="1"/>
  <c r="AP140" i="8" s="1"/>
  <c r="AX140" i="8"/>
  <c r="BE140" i="8"/>
  <c r="AR138" i="8"/>
  <c r="AQ138" i="8" s="1"/>
  <c r="AP138" i="8" s="1"/>
  <c r="AX138" i="8"/>
  <c r="AZ138" i="8"/>
  <c r="AN136" i="8"/>
  <c r="AR136" i="8"/>
  <c r="AQ136" i="8" s="1"/>
  <c r="BE136" i="8"/>
  <c r="AR134" i="8"/>
  <c r="AQ134" i="8" s="1"/>
  <c r="AP134" i="8" s="1"/>
  <c r="AX134" i="8"/>
  <c r="AZ134" i="8"/>
  <c r="BE134" i="8"/>
  <c r="AN116" i="8"/>
  <c r="AR116" i="8"/>
  <c r="AQ116" i="8" s="1"/>
  <c r="AY116" i="8"/>
  <c r="BE116" i="8"/>
  <c r="AR114" i="8"/>
  <c r="AQ114" i="8" s="1"/>
  <c r="AP114" i="8" s="1"/>
  <c r="AX114" i="8"/>
  <c r="AZ114" i="8"/>
  <c r="BE114" i="8"/>
  <c r="AB112" i="8"/>
  <c r="AC112" i="8" s="1"/>
  <c r="AJ112" i="8"/>
  <c r="AK112" i="8" s="1"/>
  <c r="AN112" i="8"/>
  <c r="AR112" i="8"/>
  <c r="AQ112" i="8" s="1"/>
  <c r="AP112" i="8" s="1"/>
  <c r="AY112" i="8"/>
  <c r="BE112" i="8"/>
  <c r="BK112" i="8"/>
  <c r="AB110" i="8"/>
  <c r="AC110" i="8" s="1"/>
  <c r="AJ110" i="8"/>
  <c r="AK110" i="8" s="1"/>
  <c r="AN110" i="8"/>
  <c r="BE110" i="8"/>
  <c r="BK110" i="8"/>
  <c r="AN108" i="8"/>
  <c r="AR108" i="8"/>
  <c r="AQ108" i="8" s="1"/>
  <c r="AP108" i="8" s="1"/>
  <c r="BE108" i="8"/>
  <c r="AN106" i="8"/>
  <c r="AR106" i="8"/>
  <c r="AQ106" i="8" s="1"/>
  <c r="AY106" i="8"/>
  <c r="BE106" i="8"/>
  <c r="BK106" i="8"/>
  <c r="AJ104" i="8"/>
  <c r="AK104" i="8" s="1"/>
  <c r="AR104" i="8"/>
  <c r="AQ104" i="8" s="1"/>
  <c r="AP104" i="8" s="1"/>
  <c r="BE104" i="8"/>
  <c r="BK104" i="8"/>
  <c r="AN102" i="8"/>
  <c r="AR102" i="8"/>
  <c r="AQ102" i="8" s="1"/>
  <c r="AP102" i="8" s="1"/>
  <c r="BE102" i="8"/>
  <c r="BK102" i="8"/>
  <c r="AN100" i="8"/>
  <c r="AR100" i="8"/>
  <c r="AQ100" i="8" s="1"/>
  <c r="AP100" i="8" s="1"/>
  <c r="AX100" i="8"/>
  <c r="AX102" i="8" s="1"/>
  <c r="AY102" i="8" s="1"/>
  <c r="BE100" i="8"/>
  <c r="BK100" i="8"/>
  <c r="AR98" i="8"/>
  <c r="AQ98" i="8" s="1"/>
  <c r="AP98" i="8" s="1"/>
  <c r="AX98" i="8"/>
  <c r="BE98" i="8"/>
  <c r="BK98" i="8"/>
  <c r="AN96" i="8"/>
  <c r="AR96" i="8"/>
  <c r="AQ96" i="8" s="1"/>
  <c r="AP96" i="8" s="1"/>
  <c r="AX96" i="8"/>
  <c r="BE96" i="8"/>
  <c r="BK96" i="8"/>
  <c r="AN86" i="8"/>
  <c r="AR86" i="8"/>
  <c r="AQ86" i="8" s="1"/>
  <c r="AP86" i="8" s="1"/>
  <c r="AX86" i="8"/>
  <c r="BE86" i="8"/>
  <c r="AN84" i="8"/>
  <c r="AR84" i="8"/>
  <c r="AQ84" i="8" s="1"/>
  <c r="AP84" i="8" s="1"/>
  <c r="BE84" i="8"/>
  <c r="AN82" i="8"/>
  <c r="AR82" i="8"/>
  <c r="AQ82" i="8" s="1"/>
  <c r="AP82" i="8" s="1"/>
  <c r="BE82" i="8"/>
  <c r="AR80" i="8"/>
  <c r="AQ80" i="8" s="1"/>
  <c r="BE80" i="8"/>
  <c r="AJ78" i="8"/>
  <c r="AK78" i="8" s="1"/>
  <c r="AR78" i="8"/>
  <c r="AQ78" i="8" s="1"/>
  <c r="AP78" i="8" s="1"/>
  <c r="AX78" i="8"/>
  <c r="AN76" i="8"/>
  <c r="AR76" i="8"/>
  <c r="AQ76" i="8" s="1"/>
  <c r="AP76" i="8" s="1"/>
  <c r="AX76" i="8"/>
  <c r="BE76" i="8"/>
  <c r="AN74" i="8"/>
  <c r="AR74" i="8"/>
  <c r="AQ74" i="8" s="1"/>
  <c r="AX74" i="8"/>
  <c r="BE74" i="8"/>
  <c r="AN72" i="8"/>
  <c r="AR72" i="8"/>
  <c r="AQ72" i="8" s="1"/>
  <c r="AP72" i="8" s="1"/>
  <c r="AX72" i="8"/>
  <c r="BE72" i="8"/>
  <c r="AN70" i="8"/>
  <c r="AR70" i="8"/>
  <c r="AQ70" i="8" s="1"/>
  <c r="AP70" i="8" s="1"/>
  <c r="AX70" i="8"/>
  <c r="BE70" i="8"/>
  <c r="AN68" i="8"/>
  <c r="AR68" i="8"/>
  <c r="AQ68" i="8" s="1"/>
  <c r="AP68" i="8" s="1"/>
  <c r="AX68" i="8"/>
  <c r="BE68" i="8"/>
  <c r="AR66" i="8"/>
  <c r="AQ66" i="8" s="1"/>
  <c r="AP66" i="8" s="1"/>
  <c r="AX66" i="8"/>
  <c r="BE66" i="8"/>
  <c r="AN64" i="8"/>
  <c r="AR64" i="8"/>
  <c r="AQ64" i="8" s="1"/>
  <c r="AX64" i="8"/>
  <c r="BE64" i="8"/>
  <c r="AR62" i="8"/>
  <c r="AQ62" i="8" s="1"/>
  <c r="AX62" i="8"/>
  <c r="BE62" i="8"/>
  <c r="AR60" i="8"/>
  <c r="BE60" i="8"/>
  <c r="BJ60" i="8"/>
  <c r="BJ62" i="8" s="1"/>
  <c r="AN54" i="8"/>
  <c r="AQ54" i="8"/>
  <c r="AR54" i="8"/>
  <c r="BE54" i="8"/>
  <c r="BK54" i="8"/>
  <c r="AN52" i="8"/>
  <c r="AR52" i="8"/>
  <c r="AQ52" i="8" s="1"/>
  <c r="BE52" i="8"/>
  <c r="BK52" i="8"/>
  <c r="AB50" i="8"/>
  <c r="AC50" i="8" s="1"/>
  <c r="AN50" i="8"/>
  <c r="AR50" i="8"/>
  <c r="AQ50" i="8" s="1"/>
  <c r="AP50" i="8" s="1"/>
  <c r="BE50" i="8"/>
  <c r="BK50" i="8"/>
  <c r="AN48" i="8"/>
  <c r="AR48" i="8"/>
  <c r="AQ48" i="8" s="1"/>
  <c r="BE48" i="8"/>
  <c r="BK48" i="8"/>
  <c r="AN46" i="8"/>
  <c r="AQ46" i="8"/>
  <c r="AR46" i="8"/>
  <c r="BE46" i="8"/>
  <c r="BJ46" i="8"/>
  <c r="BK46" i="8" s="1"/>
  <c r="AN44" i="8"/>
  <c r="AR44" i="8"/>
  <c r="AQ44" i="8" s="1"/>
  <c r="AP44" i="8" s="1"/>
  <c r="BE44" i="8"/>
  <c r="BK44" i="8"/>
  <c r="AJ42" i="8"/>
  <c r="AN42" i="8"/>
  <c r="AR42" i="8"/>
  <c r="AQ42" i="8" s="1"/>
  <c r="AP42" i="8" s="1"/>
  <c r="AX42" i="8"/>
  <c r="BE42" i="8"/>
  <c r="AN40" i="8"/>
  <c r="AR40" i="8"/>
  <c r="AQ40" i="8" s="1"/>
  <c r="AP40" i="8" s="1"/>
  <c r="BE40" i="8"/>
  <c r="AJ38" i="8"/>
  <c r="AN38" i="8"/>
  <c r="AQ38" i="8"/>
  <c r="AR38" i="8"/>
  <c r="BE38" i="8"/>
  <c r="AR36" i="8"/>
  <c r="AQ36" i="8" s="1"/>
  <c r="AP36" i="8" s="1"/>
  <c r="AX36" i="8"/>
  <c r="BE36" i="8"/>
  <c r="AB34" i="8"/>
  <c r="AC34" i="8" s="1"/>
  <c r="AN34" i="8"/>
  <c r="AR34" i="8"/>
  <c r="AQ34" i="8" s="1"/>
  <c r="AP34" i="8" s="1"/>
  <c r="BE34" i="8"/>
  <c r="AR32" i="8"/>
  <c r="AQ32" i="8" s="1"/>
  <c r="BE32" i="8"/>
  <c r="AB30" i="8"/>
  <c r="AC30" i="8" s="1"/>
  <c r="AN30" i="8"/>
  <c r="AR30" i="8"/>
  <c r="AQ30" i="8" s="1"/>
  <c r="AP30" i="8" s="1"/>
  <c r="AX30" i="8"/>
  <c r="BE30" i="8"/>
  <c r="AN26" i="8"/>
  <c r="AR26" i="8"/>
  <c r="AQ26" i="8" s="1"/>
  <c r="AP26" i="8" s="1"/>
  <c r="AY26" i="8"/>
  <c r="BE26" i="8"/>
  <c r="AN24" i="8"/>
  <c r="AQ24" i="8"/>
  <c r="AR24" i="8"/>
  <c r="AY24" i="8"/>
  <c r="BE24" i="8"/>
  <c r="AN22" i="8"/>
  <c r="AQ22" i="8"/>
  <c r="AR22" i="8"/>
  <c r="AY22" i="8"/>
  <c r="BE22" i="8"/>
  <c r="AN20" i="8"/>
  <c r="AR20" i="8"/>
  <c r="AQ20" i="8" s="1"/>
  <c r="AP20" i="8" s="1"/>
  <c r="AY20" i="8"/>
  <c r="BE20" i="8"/>
  <c r="AN18" i="8"/>
  <c r="AR18" i="8"/>
  <c r="AQ18" i="8" s="1"/>
  <c r="AP18" i="8" s="1"/>
  <c r="AY18" i="8"/>
  <c r="BE18" i="8"/>
  <c r="AN16" i="8"/>
  <c r="AR16" i="8"/>
  <c r="AQ16" i="8" s="1"/>
  <c r="AP16" i="8" s="1"/>
  <c r="AY16" i="8"/>
  <c r="BE16" i="8"/>
  <c r="AN14" i="8"/>
  <c r="AR14" i="8"/>
  <c r="AQ14" i="8" s="1"/>
  <c r="AP14" i="8" s="1"/>
  <c r="AY14" i="8"/>
  <c r="BE14" i="8"/>
  <c r="AN12" i="8"/>
  <c r="AR12" i="8"/>
  <c r="AQ12" i="8" s="1"/>
  <c r="AP12" i="8" s="1"/>
  <c r="AY12" i="8"/>
  <c r="BE12" i="8"/>
  <c r="AN10" i="8"/>
  <c r="AR10" i="8"/>
  <c r="AQ10" i="8" s="1"/>
  <c r="AP10" i="8" s="1"/>
  <c r="AY10" i="8"/>
  <c r="BE10" i="8"/>
  <c r="BB69" i="15"/>
  <c r="N22" i="5"/>
  <c r="K22" i="5"/>
  <c r="BB114" i="15"/>
  <c r="AW1" i="15"/>
  <c r="AN2" i="15" s="1"/>
  <c r="A1" i="15"/>
  <c r="AH143" i="15"/>
  <c r="AK143" i="15" s="1"/>
  <c r="AH144" i="15"/>
  <c r="AK144" i="15" s="1"/>
  <c r="AH145" i="15"/>
  <c r="AK145" i="15" s="1"/>
  <c r="AS1" i="14"/>
  <c r="A1" i="14"/>
  <c r="AH42" i="14"/>
  <c r="AT36" i="14"/>
  <c r="AH43" i="14" s="1"/>
  <c r="AK43" i="14" s="1"/>
  <c r="AU36" i="14"/>
  <c r="AH44" i="14" s="1"/>
  <c r="AK44" i="14" s="1"/>
  <c r="AV36" i="14"/>
  <c r="AH45" i="14" s="1"/>
  <c r="AK45" i="14" s="1"/>
  <c r="AH46" i="14"/>
  <c r="AK46" i="14" s="1"/>
  <c r="AK40" i="14"/>
  <c r="AK41" i="14"/>
  <c r="AK47" i="14"/>
  <c r="AH48" i="14"/>
  <c r="AK48" i="14" s="1"/>
  <c r="AE148" i="15" l="1"/>
  <c r="AK148" i="15" s="1"/>
  <c r="AE146" i="15"/>
  <c r="AH141" i="15"/>
  <c r="AE141" i="15"/>
  <c r="AH142" i="15"/>
  <c r="AK142" i="15" s="1"/>
  <c r="AH147" i="15"/>
  <c r="AN2" i="14"/>
  <c r="AN38" i="14"/>
  <c r="AJ398" i="8"/>
  <c r="AK398" i="8" s="1"/>
  <c r="AR160" i="8"/>
  <c r="BK62" i="8"/>
  <c r="BJ64" i="8"/>
  <c r="AQ160" i="8"/>
  <c r="AP158" i="8"/>
  <c r="AP160" i="8" s="1"/>
  <c r="AH146" i="15"/>
  <c r="AK42" i="14"/>
  <c r="K31" i="5"/>
  <c r="H27" i="13" s="1"/>
  <c r="I26" i="13"/>
  <c r="I25" i="13"/>
  <c r="K23" i="5"/>
  <c r="I19" i="13" s="1"/>
  <c r="I18" i="13"/>
  <c r="K14" i="5"/>
  <c r="K9" i="5"/>
  <c r="K8" i="5"/>
  <c r="X70" i="9"/>
  <c r="X69" i="9"/>
  <c r="U70" i="9"/>
  <c r="U69" i="9"/>
  <c r="BE122" i="8"/>
  <c r="BF122" i="8" s="1"/>
  <c r="P27" i="13"/>
  <c r="N27" i="13"/>
  <c r="M27" i="13"/>
  <c r="K27" i="13"/>
  <c r="G27" i="13"/>
  <c r="F27" i="13"/>
  <c r="E27" i="13"/>
  <c r="D27" i="13"/>
  <c r="O26" i="13"/>
  <c r="N26" i="13"/>
  <c r="M26" i="13"/>
  <c r="K26" i="13"/>
  <c r="H26" i="13"/>
  <c r="G26" i="13"/>
  <c r="F26" i="13"/>
  <c r="E26" i="13"/>
  <c r="D26" i="13"/>
  <c r="P25" i="13"/>
  <c r="N25" i="13"/>
  <c r="M25" i="13"/>
  <c r="K25" i="13"/>
  <c r="H25" i="13"/>
  <c r="G25" i="13"/>
  <c r="F25" i="13"/>
  <c r="E25" i="13"/>
  <c r="P24" i="13"/>
  <c r="N23" i="13"/>
  <c r="M23" i="13"/>
  <c r="J23" i="13"/>
  <c r="H23" i="13"/>
  <c r="G23" i="13"/>
  <c r="F23" i="13"/>
  <c r="E23" i="13"/>
  <c r="D23" i="13"/>
  <c r="N22" i="13"/>
  <c r="M22" i="13"/>
  <c r="J22" i="13"/>
  <c r="H22" i="13"/>
  <c r="G22" i="13"/>
  <c r="F22" i="13"/>
  <c r="E22" i="13"/>
  <c r="D22" i="13"/>
  <c r="J21" i="13"/>
  <c r="H21" i="13"/>
  <c r="G21" i="13"/>
  <c r="F21" i="13"/>
  <c r="E21" i="13"/>
  <c r="D21" i="13"/>
  <c r="N20" i="13"/>
  <c r="M20" i="13"/>
  <c r="J20" i="13"/>
  <c r="G20" i="13"/>
  <c r="F20" i="13"/>
  <c r="E20" i="13"/>
  <c r="D20" i="13"/>
  <c r="P19" i="13"/>
  <c r="N19" i="13"/>
  <c r="M19" i="13"/>
  <c r="H19" i="13"/>
  <c r="G19" i="13"/>
  <c r="F19" i="13"/>
  <c r="E19" i="13"/>
  <c r="D19" i="13"/>
  <c r="P18" i="13"/>
  <c r="N18" i="13"/>
  <c r="M18" i="13"/>
  <c r="K18" i="13"/>
  <c r="H18" i="13"/>
  <c r="G18" i="13"/>
  <c r="F18" i="13"/>
  <c r="E18" i="13"/>
  <c r="D18" i="13"/>
  <c r="O17" i="13"/>
  <c r="N17" i="13"/>
  <c r="M17" i="13"/>
  <c r="M16" i="13"/>
  <c r="A15" i="13"/>
  <c r="N13" i="13"/>
  <c r="M13" i="13"/>
  <c r="J13" i="13"/>
  <c r="H13" i="13"/>
  <c r="G13" i="13"/>
  <c r="F13" i="13"/>
  <c r="E13" i="13"/>
  <c r="D13" i="13"/>
  <c r="O12" i="13"/>
  <c r="N12" i="13"/>
  <c r="M12" i="13"/>
  <c r="J12" i="13"/>
  <c r="G12" i="13"/>
  <c r="F12" i="13"/>
  <c r="E12" i="13"/>
  <c r="D12" i="13"/>
  <c r="N11" i="13"/>
  <c r="M11" i="13"/>
  <c r="J11" i="13"/>
  <c r="H11" i="13"/>
  <c r="G11" i="13"/>
  <c r="F11" i="13"/>
  <c r="E11" i="13"/>
  <c r="D11" i="13"/>
  <c r="P9" i="13"/>
  <c r="N9" i="13"/>
  <c r="M9" i="13"/>
  <c r="J9" i="13"/>
  <c r="H9" i="13"/>
  <c r="G9" i="13"/>
  <c r="F9" i="13"/>
  <c r="E9" i="13"/>
  <c r="D9" i="13"/>
  <c r="N8" i="13"/>
  <c r="M8" i="13"/>
  <c r="J8" i="13"/>
  <c r="H8" i="13"/>
  <c r="G8" i="13"/>
  <c r="F8" i="13"/>
  <c r="E8" i="13"/>
  <c r="D8" i="13"/>
  <c r="J7" i="13"/>
  <c r="H7" i="13"/>
  <c r="G7" i="13"/>
  <c r="F7" i="13"/>
  <c r="E7" i="13"/>
  <c r="D7" i="13"/>
  <c r="P6" i="13"/>
  <c r="N6" i="13"/>
  <c r="M6" i="13"/>
  <c r="J6" i="13"/>
  <c r="G6" i="13"/>
  <c r="F6" i="13"/>
  <c r="E6" i="13"/>
  <c r="D6" i="13"/>
  <c r="N5" i="13"/>
  <c r="M5" i="13"/>
  <c r="K5" i="13"/>
  <c r="J5" i="13"/>
  <c r="H5" i="13"/>
  <c r="G5" i="13"/>
  <c r="E5" i="13"/>
  <c r="D5" i="13"/>
  <c r="J4" i="13"/>
  <c r="H4" i="13"/>
  <c r="G4" i="13"/>
  <c r="E4" i="13"/>
  <c r="D4" i="13"/>
  <c r="O3" i="13"/>
  <c r="N3" i="13"/>
  <c r="M3" i="13"/>
  <c r="M2" i="13"/>
  <c r="P1" i="13"/>
  <c r="A1" i="13"/>
  <c r="G36" i="11"/>
  <c r="G35" i="11"/>
  <c r="G34" i="11"/>
  <c r="G24" i="11"/>
  <c r="H22" i="11"/>
  <c r="G20" i="11"/>
  <c r="G19" i="11"/>
  <c r="H2" i="11"/>
  <c r="A1" i="11"/>
  <c r="H231" i="9"/>
  <c r="H230" i="9"/>
  <c r="H229" i="9"/>
  <c r="H228" i="9"/>
  <c r="H227" i="9"/>
  <c r="H226" i="9"/>
  <c r="H225" i="9"/>
  <c r="H224" i="9"/>
  <c r="H223" i="9"/>
  <c r="H222" i="9"/>
  <c r="B86" i="9"/>
  <c r="B85" i="9"/>
  <c r="B84" i="9"/>
  <c r="I83" i="9"/>
  <c r="B83" i="9"/>
  <c r="K82" i="9"/>
  <c r="I82" i="9"/>
  <c r="B82" i="9"/>
  <c r="K81" i="9"/>
  <c r="I81" i="9" s="1"/>
  <c r="H81" i="9" s="1"/>
  <c r="B81" i="9"/>
  <c r="K80" i="9"/>
  <c r="H80" i="9"/>
  <c r="B80" i="9"/>
  <c r="B79" i="9"/>
  <c r="B78" i="9"/>
  <c r="B77" i="9"/>
  <c r="K76" i="9"/>
  <c r="H76" i="9"/>
  <c r="B76" i="9"/>
  <c r="K75" i="9"/>
  <c r="H75" i="9"/>
  <c r="B75" i="9"/>
  <c r="K74" i="9"/>
  <c r="H74" i="9"/>
  <c r="B74" i="9"/>
  <c r="K73" i="9"/>
  <c r="B73" i="9"/>
  <c r="H72" i="9"/>
  <c r="B72" i="9"/>
  <c r="L71" i="9"/>
  <c r="B71" i="9"/>
  <c r="H70" i="9"/>
  <c r="B70" i="9"/>
  <c r="B69" i="9"/>
  <c r="U68" i="9"/>
  <c r="W68" i="9" s="1"/>
  <c r="X68" i="9" s="1"/>
  <c r="B68" i="9"/>
  <c r="W67" i="9"/>
  <c r="X66" i="9" s="1"/>
  <c r="W66" i="9" s="1"/>
  <c r="B67" i="9"/>
  <c r="B66" i="9"/>
  <c r="B65" i="9"/>
  <c r="B64" i="9"/>
  <c r="B63" i="9"/>
  <c r="B62" i="9"/>
  <c r="B61" i="9"/>
  <c r="K60" i="9"/>
  <c r="H60" i="9"/>
  <c r="B60" i="9"/>
  <c r="K59" i="9"/>
  <c r="H59" i="9"/>
  <c r="B59" i="9"/>
  <c r="K58" i="9"/>
  <c r="H58" i="9"/>
  <c r="B58" i="9"/>
  <c r="L57" i="9"/>
  <c r="H57" i="9"/>
  <c r="B57" i="9"/>
  <c r="I56" i="9"/>
  <c r="K56" i="9" s="1"/>
  <c r="L56" i="9" s="1"/>
  <c r="B56" i="9"/>
  <c r="K55" i="9"/>
  <c r="H55" i="9"/>
  <c r="B55" i="9"/>
  <c r="K54" i="9"/>
  <c r="H54" i="9"/>
  <c r="B54" i="9"/>
  <c r="K53" i="9"/>
  <c r="H53" i="9"/>
  <c r="B53" i="9"/>
  <c r="K52" i="9"/>
  <c r="H52" i="9"/>
  <c r="B52" i="9"/>
  <c r="B51" i="9"/>
  <c r="B50" i="9"/>
  <c r="K49" i="9"/>
  <c r="I49" i="9" s="1"/>
  <c r="H49" i="9" s="1"/>
  <c r="B49" i="9"/>
  <c r="K48" i="9"/>
  <c r="I48" i="9" s="1"/>
  <c r="H48" i="9" s="1"/>
  <c r="B48" i="9"/>
  <c r="K47" i="9"/>
  <c r="I47" i="9" s="1"/>
  <c r="H47" i="9" s="1"/>
  <c r="B47" i="9"/>
  <c r="B46" i="9"/>
  <c r="B45" i="9"/>
  <c r="B44" i="9"/>
  <c r="B43" i="9"/>
  <c r="B42" i="9"/>
  <c r="B41" i="9"/>
  <c r="B40" i="9"/>
  <c r="B39" i="9"/>
  <c r="K38" i="9"/>
  <c r="B38" i="9"/>
  <c r="K37" i="9"/>
  <c r="I37" i="9"/>
  <c r="I38" i="9" s="1"/>
  <c r="B37" i="9"/>
  <c r="K36" i="9"/>
  <c r="H36" i="9"/>
  <c r="H37" i="9" s="1"/>
  <c r="H38" i="9" s="1"/>
  <c r="B36" i="9"/>
  <c r="K35" i="9"/>
  <c r="H35" i="9"/>
  <c r="B35" i="9"/>
  <c r="B34" i="9"/>
  <c r="B33" i="9"/>
  <c r="B32" i="9"/>
  <c r="B31" i="9"/>
  <c r="B30" i="9"/>
  <c r="K29" i="9"/>
  <c r="I29" i="9" s="1"/>
  <c r="H29" i="9" s="1"/>
  <c r="B29" i="9"/>
  <c r="L28" i="9"/>
  <c r="K28" i="9" s="1"/>
  <c r="B28" i="9"/>
  <c r="K27" i="9"/>
  <c r="B27" i="9"/>
  <c r="K26" i="9"/>
  <c r="H26" i="9"/>
  <c r="B26" i="9"/>
  <c r="K25" i="9"/>
  <c r="H25" i="9"/>
  <c r="B25" i="9"/>
  <c r="K24" i="9"/>
  <c r="H24" i="9"/>
  <c r="B24" i="9"/>
  <c r="H23" i="9"/>
  <c r="B23" i="9"/>
  <c r="K22" i="9"/>
  <c r="K23" i="9" s="1"/>
  <c r="H22" i="9"/>
  <c r="B22" i="9"/>
  <c r="B21" i="9"/>
  <c r="B20" i="9"/>
  <c r="B19" i="9"/>
  <c r="K18" i="9"/>
  <c r="I18" i="9" s="1"/>
  <c r="H18" i="9" s="1"/>
  <c r="B18" i="9"/>
  <c r="K17" i="9"/>
  <c r="I17" i="9" s="1"/>
  <c r="H17" i="9" s="1"/>
  <c r="B17" i="9"/>
  <c r="B16" i="9"/>
  <c r="B15" i="9"/>
  <c r="K14" i="9"/>
  <c r="I14" i="9" s="1"/>
  <c r="H14" i="9" s="1"/>
  <c r="B14" i="9"/>
  <c r="K13" i="9"/>
  <c r="I13" i="9" s="1"/>
  <c r="H13" i="9" s="1"/>
  <c r="B13" i="9"/>
  <c r="B12" i="9"/>
  <c r="B11" i="9"/>
  <c r="L10" i="9"/>
  <c r="H10" i="9"/>
  <c r="B10" i="9"/>
  <c r="L9" i="9"/>
  <c r="H9" i="9"/>
  <c r="B9" i="9"/>
  <c r="L8" i="9"/>
  <c r="B8" i="9"/>
  <c r="L7" i="9"/>
  <c r="X3" i="9"/>
  <c r="M17" i="5" s="1"/>
  <c r="K17" i="5" s="1"/>
  <c r="W3" i="9"/>
  <c r="U3" i="9"/>
  <c r="T3" i="9"/>
  <c r="M16" i="5"/>
  <c r="K16" i="5" s="1"/>
  <c r="K3" i="9"/>
  <c r="H3" i="9"/>
  <c r="D3" i="9"/>
  <c r="A2" i="9"/>
  <c r="A1" i="9"/>
  <c r="BD411" i="8"/>
  <c r="AO411" i="8"/>
  <c r="K10" i="5"/>
  <c r="AB407" i="8"/>
  <c r="AB406" i="8"/>
  <c r="AB405" i="8"/>
  <c r="AB403" i="8"/>
  <c r="AB401" i="8"/>
  <c r="AB399" i="8"/>
  <c r="AB397" i="8"/>
  <c r="AB395" i="8"/>
  <c r="AB393" i="8"/>
  <c r="AB391" i="8"/>
  <c r="AB389" i="8"/>
  <c r="AB387" i="8"/>
  <c r="AB385" i="8"/>
  <c r="AB383" i="8"/>
  <c r="AB381" i="8"/>
  <c r="AB379" i="8"/>
  <c r="AB377" i="8"/>
  <c r="AB375" i="8"/>
  <c r="AB373" i="8"/>
  <c r="AB371" i="8"/>
  <c r="AB369" i="8"/>
  <c r="AB367" i="8"/>
  <c r="AJ366" i="8"/>
  <c r="AK366" i="8" s="1"/>
  <c r="AB366" i="8"/>
  <c r="AB365" i="8"/>
  <c r="AB363" i="8"/>
  <c r="AB361" i="8"/>
  <c r="AB359" i="8"/>
  <c r="AB357" i="8"/>
  <c r="BE306" i="8"/>
  <c r="AX306" i="8"/>
  <c r="AY306" i="8" s="1"/>
  <c r="AR306" i="8"/>
  <c r="AQ306" i="8" s="1"/>
  <c r="AP306" i="8" s="1"/>
  <c r="AN306" i="8"/>
  <c r="AB306" i="8"/>
  <c r="AC306" i="8" s="1"/>
  <c r="BE210" i="8"/>
  <c r="AX210" i="8"/>
  <c r="AY210" i="8" s="1"/>
  <c r="AR210" i="8"/>
  <c r="AQ210" i="8" s="1"/>
  <c r="AP210" i="8" s="1"/>
  <c r="BE208" i="8"/>
  <c r="AX208" i="8"/>
  <c r="AY208" i="8" s="1"/>
  <c r="AR208" i="8"/>
  <c r="AQ208" i="8" s="1"/>
  <c r="AP208" i="8" s="1"/>
  <c r="BE206" i="8"/>
  <c r="AX206" i="8"/>
  <c r="AY206" i="8" s="1"/>
  <c r="AR206" i="8"/>
  <c r="AQ206" i="8" s="1"/>
  <c r="AP206" i="8" s="1"/>
  <c r="BE204" i="8"/>
  <c r="AX204" i="8"/>
  <c r="AY204" i="8" s="1"/>
  <c r="AR204" i="8"/>
  <c r="AQ204" i="8" s="1"/>
  <c r="AP204" i="8" s="1"/>
  <c r="BE202" i="8"/>
  <c r="AR202" i="8"/>
  <c r="AQ202" i="8" s="1"/>
  <c r="AP202" i="8" s="1"/>
  <c r="BE200" i="8"/>
  <c r="AX200" i="8"/>
  <c r="AY200" i="8" s="1"/>
  <c r="AR200" i="8"/>
  <c r="AQ200" i="8" s="1"/>
  <c r="AP200" i="8" s="1"/>
  <c r="BE196" i="8"/>
  <c r="AX196" i="8"/>
  <c r="AR196" i="8"/>
  <c r="AQ196" i="8" s="1"/>
  <c r="AP196" i="8" s="1"/>
  <c r="AR146" i="8"/>
  <c r="AQ146" i="8" s="1"/>
  <c r="AP146" i="8" s="1"/>
  <c r="AJ146" i="8"/>
  <c r="AK146" i="8" s="1"/>
  <c r="BE132" i="8"/>
  <c r="AR132" i="8"/>
  <c r="AQ132" i="8" s="1"/>
  <c r="AP132" i="8" s="1"/>
  <c r="AJ132" i="8"/>
  <c r="AK132" i="8" s="1"/>
  <c r="BE130" i="8"/>
  <c r="AZ130" i="8"/>
  <c r="AX130" i="8"/>
  <c r="AY130" i="8" s="1"/>
  <c r="AR130" i="8"/>
  <c r="AQ130" i="8" s="1"/>
  <c r="AP130" i="8" s="1"/>
  <c r="BE128" i="8"/>
  <c r="AZ128" i="8"/>
  <c r="AX128" i="8"/>
  <c r="AY128" i="8" s="1"/>
  <c r="AR128" i="8"/>
  <c r="AQ128" i="8" s="1"/>
  <c r="AP128" i="8" s="1"/>
  <c r="BE126" i="8"/>
  <c r="AZ126" i="8"/>
  <c r="AX126" i="8"/>
  <c r="AY126" i="8" s="1"/>
  <c r="AR126" i="8"/>
  <c r="AQ126" i="8" s="1"/>
  <c r="AP126" i="8" s="1"/>
  <c r="AZ124" i="8"/>
  <c r="AX124" i="8"/>
  <c r="AY124" i="8" s="1"/>
  <c r="AR124" i="8"/>
  <c r="AQ124" i="8" s="1"/>
  <c r="AP124" i="8" s="1"/>
  <c r="AR120" i="8"/>
  <c r="AQ120" i="8" s="1"/>
  <c r="AP118" i="8" s="1"/>
  <c r="AR94" i="8"/>
  <c r="AQ94" i="8" s="1"/>
  <c r="AP94" i="8" s="1"/>
  <c r="AJ94" i="8"/>
  <c r="AK94" i="8" s="1"/>
  <c r="BF92" i="8"/>
  <c r="BE90" i="8" s="1"/>
  <c r="BF90" i="8" s="1"/>
  <c r="BE88" i="8" s="1"/>
  <c r="BF88" i="8" s="1"/>
  <c r="AR92" i="8"/>
  <c r="AQ92" i="8" s="1"/>
  <c r="AP92" i="8" s="1"/>
  <c r="AR90" i="8"/>
  <c r="AQ90" i="8" s="1"/>
  <c r="AP90" i="8" s="1"/>
  <c r="AR88" i="8"/>
  <c r="AQ88" i="8" s="1"/>
  <c r="AP88" i="8" s="1"/>
  <c r="AX58" i="8"/>
  <c r="AR58" i="8"/>
  <c r="AQ58" i="8" s="1"/>
  <c r="AP58" i="8" s="1"/>
  <c r="AR56" i="8"/>
  <c r="AQ56" i="8" s="1"/>
  <c r="AP56" i="8" s="1"/>
  <c r="AJ56" i="8"/>
  <c r="AK56" i="8" s="1"/>
  <c r="Z5" i="8"/>
  <c r="Y5" i="8"/>
  <c r="X5" i="8"/>
  <c r="V5" i="8"/>
  <c r="A3" i="8"/>
  <c r="A2" i="8"/>
  <c r="AI1" i="8"/>
  <c r="AH1" i="8"/>
  <c r="AG1" i="8"/>
  <c r="AF1" i="8"/>
  <c r="AE1" i="8"/>
  <c r="AD1" i="8"/>
  <c r="Z1" i="8"/>
  <c r="Y1" i="8"/>
  <c r="I93" i="7"/>
  <c r="AE92" i="7"/>
  <c r="AD92" i="7"/>
  <c r="AC92" i="7"/>
  <c r="AB92" i="7"/>
  <c r="AA92" i="7"/>
  <c r="Z92" i="7"/>
  <c r="Y92" i="7"/>
  <c r="M26" i="5"/>
  <c r="K26" i="5" s="1"/>
  <c r="S89" i="7"/>
  <c r="AI86" i="7"/>
  <c r="AH86" i="7" s="1"/>
  <c r="AG86" i="7" s="1"/>
  <c r="X86" i="7"/>
  <c r="N86" i="7"/>
  <c r="J86" i="7"/>
  <c r="E86" i="7"/>
  <c r="F86" i="7" s="1"/>
  <c r="AR84" i="7"/>
  <c r="AN84" i="7"/>
  <c r="AI84" i="7"/>
  <c r="AH84" i="7" s="1"/>
  <c r="AG84" i="7" s="1"/>
  <c r="X84" i="7"/>
  <c r="N84" i="7"/>
  <c r="I84" i="7"/>
  <c r="H84" i="7"/>
  <c r="G84" i="7"/>
  <c r="E84" i="7"/>
  <c r="F84" i="7" s="1"/>
  <c r="AR82" i="7"/>
  <c r="AI82" i="7"/>
  <c r="AH82" i="7" s="1"/>
  <c r="AG82" i="7" s="1"/>
  <c r="X82" i="7"/>
  <c r="M82" i="7"/>
  <c r="L82" i="7"/>
  <c r="J82" i="7"/>
  <c r="AR80" i="7"/>
  <c r="AI80" i="7"/>
  <c r="AH80" i="7" s="1"/>
  <c r="AG80" i="7" s="1"/>
  <c r="X80" i="7"/>
  <c r="M80" i="7"/>
  <c r="L80" i="7"/>
  <c r="J80" i="7"/>
  <c r="AI78" i="7"/>
  <c r="AH78" i="7" s="1"/>
  <c r="AG78" i="7" s="1"/>
  <c r="X78" i="7"/>
  <c r="N78" i="7"/>
  <c r="I78" i="7"/>
  <c r="H78" i="7"/>
  <c r="G78" i="7"/>
  <c r="E78" i="7"/>
  <c r="F78" i="7" s="1"/>
  <c r="X76" i="7"/>
  <c r="N76" i="7"/>
  <c r="I76" i="7"/>
  <c r="H76" i="7"/>
  <c r="G76" i="7"/>
  <c r="E76" i="7"/>
  <c r="F76" i="7" s="1"/>
  <c r="X74" i="7"/>
  <c r="N74" i="7"/>
  <c r="I74" i="7"/>
  <c r="H74" i="7"/>
  <c r="G74" i="7"/>
  <c r="E74" i="7"/>
  <c r="F74" i="7" s="1"/>
  <c r="X72" i="7"/>
  <c r="N72" i="7"/>
  <c r="I72" i="7"/>
  <c r="H72" i="7"/>
  <c r="G72" i="7"/>
  <c r="E72" i="7"/>
  <c r="F72" i="7" s="1"/>
  <c r="X70" i="7"/>
  <c r="N70" i="7"/>
  <c r="I70" i="7"/>
  <c r="H70" i="7"/>
  <c r="G70" i="7"/>
  <c r="E70" i="7"/>
  <c r="F70" i="7" s="1"/>
  <c r="X68" i="7"/>
  <c r="N68" i="7"/>
  <c r="I68" i="7"/>
  <c r="H68" i="7"/>
  <c r="G68" i="7"/>
  <c r="E68" i="7"/>
  <c r="F68" i="7" s="1"/>
  <c r="X66" i="7"/>
  <c r="M66" i="7"/>
  <c r="L66" i="7"/>
  <c r="J66" i="7"/>
  <c r="X64" i="7"/>
  <c r="M64" i="7"/>
  <c r="L64" i="7"/>
  <c r="J64" i="7"/>
  <c r="X62" i="7"/>
  <c r="N62" i="7"/>
  <c r="I62" i="7"/>
  <c r="H62" i="7"/>
  <c r="G62" i="7"/>
  <c r="E62" i="7"/>
  <c r="F62" i="7" s="1"/>
  <c r="X60" i="7"/>
  <c r="N60" i="7"/>
  <c r="I60" i="7"/>
  <c r="H60" i="7"/>
  <c r="G60" i="7"/>
  <c r="J60" i="7" s="1"/>
  <c r="E60" i="7"/>
  <c r="F60" i="7" s="1"/>
  <c r="X58" i="7"/>
  <c r="N58" i="7"/>
  <c r="I58" i="7"/>
  <c r="H58" i="7"/>
  <c r="G58" i="7"/>
  <c r="E58" i="7"/>
  <c r="F58" i="7" s="1"/>
  <c r="X56" i="7"/>
  <c r="N56" i="7"/>
  <c r="I56" i="7"/>
  <c r="H56" i="7"/>
  <c r="G56" i="7"/>
  <c r="E56" i="7"/>
  <c r="F56" i="7" s="1"/>
  <c r="X54" i="7"/>
  <c r="N54" i="7"/>
  <c r="I54" i="7"/>
  <c r="H54" i="7"/>
  <c r="G54" i="7"/>
  <c r="E54" i="7"/>
  <c r="F54" i="7" s="1"/>
  <c r="X52" i="7"/>
  <c r="N52" i="7"/>
  <c r="I52" i="7"/>
  <c r="H52" i="7"/>
  <c r="G52" i="7"/>
  <c r="J52" i="7" s="1"/>
  <c r="E52" i="7"/>
  <c r="F52" i="7" s="1"/>
  <c r="X50" i="7"/>
  <c r="N50" i="7"/>
  <c r="I50" i="7"/>
  <c r="H50" i="7"/>
  <c r="G50" i="7"/>
  <c r="E50" i="7"/>
  <c r="F50" i="7" s="1"/>
  <c r="X48" i="7"/>
  <c r="N48" i="7"/>
  <c r="I48" i="7"/>
  <c r="H48" i="7"/>
  <c r="G48" i="7"/>
  <c r="E48" i="7"/>
  <c r="F48" i="7" s="1"/>
  <c r="X46" i="7"/>
  <c r="N46" i="7"/>
  <c r="I46" i="7"/>
  <c r="H46" i="7"/>
  <c r="G46" i="7"/>
  <c r="E46" i="7"/>
  <c r="F46" i="7" s="1"/>
  <c r="X44" i="7"/>
  <c r="N44" i="7"/>
  <c r="I44" i="7"/>
  <c r="H44" i="7"/>
  <c r="G44" i="7"/>
  <c r="J44" i="7" s="1"/>
  <c r="E44" i="7"/>
  <c r="F44" i="7" s="1"/>
  <c r="X42" i="7"/>
  <c r="N42" i="7"/>
  <c r="I42" i="7"/>
  <c r="H42" i="7"/>
  <c r="G42" i="7"/>
  <c r="E42" i="7"/>
  <c r="F42" i="7" s="1"/>
  <c r="X40" i="7"/>
  <c r="N40" i="7"/>
  <c r="I40" i="7"/>
  <c r="H40" i="7"/>
  <c r="G40" i="7"/>
  <c r="E40" i="7"/>
  <c r="F40" i="7" s="1"/>
  <c r="X38" i="7"/>
  <c r="N38" i="7"/>
  <c r="I38" i="7"/>
  <c r="H38" i="7"/>
  <c r="G38" i="7"/>
  <c r="E38" i="7"/>
  <c r="F38" i="7" s="1"/>
  <c r="X36" i="7"/>
  <c r="M36" i="7"/>
  <c r="L36" i="7"/>
  <c r="J36" i="7"/>
  <c r="X34" i="7"/>
  <c r="M34" i="7"/>
  <c r="L34" i="7"/>
  <c r="J34" i="7"/>
  <c r="X32" i="7"/>
  <c r="N32" i="7"/>
  <c r="I32" i="7"/>
  <c r="H32" i="7"/>
  <c r="G32" i="7"/>
  <c r="E32" i="7"/>
  <c r="F32" i="7" s="1"/>
  <c r="X30" i="7"/>
  <c r="N30" i="7"/>
  <c r="I30" i="7"/>
  <c r="H30" i="7"/>
  <c r="G30" i="7"/>
  <c r="E30" i="7"/>
  <c r="F30" i="7" s="1"/>
  <c r="X28" i="7"/>
  <c r="N28" i="7"/>
  <c r="I28" i="7"/>
  <c r="H28" i="7"/>
  <c r="G28" i="7"/>
  <c r="E28" i="7"/>
  <c r="F28" i="7" s="1"/>
  <c r="X26" i="7"/>
  <c r="N26" i="7"/>
  <c r="I26" i="7"/>
  <c r="H26" i="7"/>
  <c r="G26" i="7"/>
  <c r="E26" i="7"/>
  <c r="F26" i="7" s="1"/>
  <c r="X24" i="7"/>
  <c r="N24" i="7"/>
  <c r="I24" i="7"/>
  <c r="H24" i="7"/>
  <c r="G24" i="7"/>
  <c r="E24" i="7"/>
  <c r="F24" i="7" s="1"/>
  <c r="X22" i="7"/>
  <c r="N22" i="7"/>
  <c r="I22" i="7"/>
  <c r="H22" i="7"/>
  <c r="G22" i="7"/>
  <c r="E22" i="7"/>
  <c r="F22" i="7" s="1"/>
  <c r="X20" i="7"/>
  <c r="N20" i="7"/>
  <c r="I20" i="7"/>
  <c r="H20" i="7"/>
  <c r="G20" i="7"/>
  <c r="A2" i="7"/>
  <c r="A1" i="7"/>
  <c r="A1" i="6"/>
  <c r="Q31" i="5"/>
  <c r="O27" i="13" s="1"/>
  <c r="N31" i="5"/>
  <c r="L27" i="13" s="1"/>
  <c r="J27" i="13"/>
  <c r="I27" i="13"/>
  <c r="N30" i="5"/>
  <c r="L26" i="13" s="1"/>
  <c r="Q29" i="5"/>
  <c r="O25" i="13" s="1"/>
  <c r="N29" i="5"/>
  <c r="L25" i="13" s="1"/>
  <c r="O23" i="13"/>
  <c r="Q26" i="5"/>
  <c r="O22" i="13" s="1"/>
  <c r="O20" i="13"/>
  <c r="Q23" i="5"/>
  <c r="O19" i="13" s="1"/>
  <c r="N23" i="5"/>
  <c r="L19" i="13" s="1"/>
  <c r="J19" i="13"/>
  <c r="Q22" i="5"/>
  <c r="O18" i="13" s="1"/>
  <c r="L18" i="13"/>
  <c r="J18" i="13"/>
  <c r="I20" i="5"/>
  <c r="G16" i="13" s="1"/>
  <c r="R19" i="5"/>
  <c r="P15" i="13" s="1"/>
  <c r="Q17" i="5"/>
  <c r="O13" i="13" s="1"/>
  <c r="O11" i="13"/>
  <c r="AQ14" i="5"/>
  <c r="Q13" i="5"/>
  <c r="O9" i="13" s="1"/>
  <c r="O8" i="13"/>
  <c r="Q10" i="5"/>
  <c r="O6" i="13" s="1"/>
  <c r="Q9" i="5"/>
  <c r="O5" i="13" s="1"/>
  <c r="M9" i="5"/>
  <c r="H9" i="5"/>
  <c r="Q8" i="5"/>
  <c r="O4" i="13" s="1"/>
  <c r="L4" i="13"/>
  <c r="T122" i="4"/>
  <c r="Q122" i="4"/>
  <c r="O122" i="4"/>
  <c r="A47" i="4"/>
  <c r="A45" i="4"/>
  <c r="A43" i="4"/>
  <c r="A41" i="4"/>
  <c r="A39" i="4"/>
  <c r="A37" i="4"/>
  <c r="A35" i="4"/>
  <c r="A33" i="4"/>
  <c r="A31" i="4"/>
  <c r="A29" i="4"/>
  <c r="A27" i="4"/>
  <c r="A25" i="4"/>
  <c r="A23" i="4"/>
  <c r="A21" i="4"/>
  <c r="A19" i="4"/>
  <c r="A17" i="4"/>
  <c r="A15" i="4"/>
  <c r="A13" i="4"/>
  <c r="A11" i="4"/>
  <c r="A10" i="4"/>
  <c r="A12" i="4" s="1"/>
  <c r="A14" i="4" s="1"/>
  <c r="A16" i="4" s="1"/>
  <c r="A18" i="4" s="1"/>
  <c r="A20" i="4" s="1"/>
  <c r="A22" i="4" s="1"/>
  <c r="A24" i="4" s="1"/>
  <c r="A26" i="4" s="1"/>
  <c r="A28" i="4" s="1"/>
  <c r="A30" i="4" s="1"/>
  <c r="A32" i="4" s="1"/>
  <c r="A34" i="4" s="1"/>
  <c r="A36" i="4" s="1"/>
  <c r="A38" i="4" s="1"/>
  <c r="A40" i="4" s="1"/>
  <c r="A42" i="4" s="1"/>
  <c r="A44" i="4" s="1"/>
  <c r="A46" i="4" s="1"/>
  <c r="A48" i="4" s="1"/>
  <c r="A50" i="4" s="1"/>
  <c r="A52" i="4" s="1"/>
  <c r="A54" i="4" s="1"/>
  <c r="A56" i="4" s="1"/>
  <c r="A9" i="4"/>
  <c r="A7" i="4"/>
  <c r="A6" i="4"/>
  <c r="A8" i="4" s="1"/>
  <c r="A1" i="4"/>
  <c r="W331" i="3"/>
  <c r="T331" i="3"/>
  <c r="Q331" i="3"/>
  <c r="O331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2" i="3"/>
  <c r="A81" i="3"/>
  <c r="A83" i="3" s="1"/>
  <c r="A72" i="3"/>
  <c r="A70" i="3"/>
  <c r="A68" i="3"/>
  <c r="A66" i="3"/>
  <c r="A64" i="3"/>
  <c r="A62" i="3"/>
  <c r="A60" i="3"/>
  <c r="A58" i="3"/>
  <c r="A56" i="3"/>
  <c r="A54" i="3"/>
  <c r="A52" i="3"/>
  <c r="A50" i="3"/>
  <c r="A48" i="3"/>
  <c r="A46" i="3"/>
  <c r="A44" i="3"/>
  <c r="A42" i="3"/>
  <c r="A40" i="3"/>
  <c r="A38" i="3"/>
  <c r="A36" i="3"/>
  <c r="A34" i="3"/>
  <c r="A32" i="3"/>
  <c r="A30" i="3"/>
  <c r="A28" i="3"/>
  <c r="A26" i="3"/>
  <c r="A24" i="3"/>
  <c r="A22" i="3"/>
  <c r="A20" i="3"/>
  <c r="A19" i="3"/>
  <c r="A21" i="3" s="1"/>
  <c r="A23" i="3" s="1"/>
  <c r="A25" i="3" s="1"/>
  <c r="A27" i="3" s="1"/>
  <c r="A29" i="3" s="1"/>
  <c r="A31" i="3" s="1"/>
  <c r="A33" i="3" s="1"/>
  <c r="A35" i="3" s="1"/>
  <c r="A37" i="3" s="1"/>
  <c r="A39" i="3" s="1"/>
  <c r="A41" i="3" s="1"/>
  <c r="A43" i="3" s="1"/>
  <c r="A45" i="3" s="1"/>
  <c r="A47" i="3" s="1"/>
  <c r="A49" i="3" s="1"/>
  <c r="A51" i="3" s="1"/>
  <c r="A53" i="3" s="1"/>
  <c r="A55" i="3" s="1"/>
  <c r="A57" i="3" s="1"/>
  <c r="A59" i="3" s="1"/>
  <c r="A61" i="3" s="1"/>
  <c r="A63" i="3" s="1"/>
  <c r="A65" i="3" s="1"/>
  <c r="A67" i="3" s="1"/>
  <c r="A69" i="3" s="1"/>
  <c r="A71" i="3" s="1"/>
  <c r="A73" i="3" s="1"/>
  <c r="A75" i="3" s="1"/>
  <c r="A77" i="3" s="1"/>
  <c r="A79" i="3" s="1"/>
  <c r="A18" i="3"/>
  <c r="A17" i="3"/>
  <c r="A16" i="3"/>
  <c r="A14" i="3"/>
  <c r="A12" i="3"/>
  <c r="A10" i="3"/>
  <c r="A9" i="3"/>
  <c r="A11" i="3" s="1"/>
  <c r="A13" i="3" s="1"/>
  <c r="A15" i="3" s="1"/>
  <c r="A1" i="3"/>
  <c r="W646" i="2"/>
  <c r="T646" i="2"/>
  <c r="Q646" i="2"/>
  <c r="O646" i="2"/>
  <c r="A389" i="2"/>
  <c r="A388" i="2"/>
  <c r="A386" i="2"/>
  <c r="A384" i="2"/>
  <c r="A382" i="2"/>
  <c r="A380" i="2"/>
  <c r="A378" i="2"/>
  <c r="A377" i="2"/>
  <c r="A379" i="2" s="1"/>
  <c r="A381" i="2" s="1"/>
  <c r="A383" i="2" s="1"/>
  <c r="A385" i="2" s="1"/>
  <c r="A387" i="2" s="1"/>
  <c r="A376" i="2"/>
  <c r="A74" i="2"/>
  <c r="A72" i="2"/>
  <c r="A70" i="2"/>
  <c r="A68" i="2"/>
  <c r="A66" i="2"/>
  <c r="A64" i="2"/>
  <c r="A62" i="2"/>
  <c r="A60" i="2"/>
  <c r="A58" i="2"/>
  <c r="A56" i="2"/>
  <c r="A54" i="2"/>
  <c r="A52" i="2"/>
  <c r="A50" i="2"/>
  <c r="A48" i="2"/>
  <c r="A46" i="2"/>
  <c r="A44" i="2"/>
  <c r="A42" i="2"/>
  <c r="A40" i="2"/>
  <c r="A38" i="2"/>
  <c r="A36" i="2"/>
  <c r="A34" i="2"/>
  <c r="A32" i="2"/>
  <c r="A30" i="2"/>
  <c r="A28" i="2"/>
  <c r="A26" i="2"/>
  <c r="A24" i="2"/>
  <c r="A22" i="2"/>
  <c r="A20" i="2"/>
  <c r="A18" i="2"/>
  <c r="A14" i="2"/>
  <c r="A12" i="2"/>
  <c r="A11" i="2"/>
  <c r="A13" i="2" s="1"/>
  <c r="A17" i="2" s="1"/>
  <c r="A19" i="2" s="1"/>
  <c r="A21" i="2" s="1"/>
  <c r="A23" i="2" s="1"/>
  <c r="A25" i="2" s="1"/>
  <c r="A27" i="2" s="1"/>
  <c r="A29" i="2" s="1"/>
  <c r="A31" i="2" s="1"/>
  <c r="A33" i="2" s="1"/>
  <c r="A35" i="2" s="1"/>
  <c r="A37" i="2" s="1"/>
  <c r="A39" i="2" s="1"/>
  <c r="A41" i="2" s="1"/>
  <c r="A43" i="2" s="1"/>
  <c r="A45" i="2" s="1"/>
  <c r="A47" i="2" s="1"/>
  <c r="A49" i="2" s="1"/>
  <c r="A51" i="2" s="1"/>
  <c r="A53" i="2" s="1"/>
  <c r="A55" i="2" s="1"/>
  <c r="A57" i="2" s="1"/>
  <c r="A59" i="2" s="1"/>
  <c r="A61" i="2" s="1"/>
  <c r="A63" i="2" s="1"/>
  <c r="A65" i="2" s="1"/>
  <c r="A67" i="2" s="1"/>
  <c r="A69" i="2" s="1"/>
  <c r="A71" i="2" s="1"/>
  <c r="A73" i="2" s="1"/>
  <c r="A75" i="2" s="1"/>
  <c r="A77" i="2" s="1"/>
  <c r="A79" i="2" s="1"/>
  <c r="A81" i="2" s="1"/>
  <c r="A83" i="2" s="1"/>
  <c r="A85" i="2" s="1"/>
  <c r="A87" i="2" s="1"/>
  <c r="A89" i="2" s="1"/>
  <c r="A91" i="2" s="1"/>
  <c r="A93" i="2" s="1"/>
  <c r="A95" i="2" s="1"/>
  <c r="A97" i="2" s="1"/>
  <c r="A99" i="2" s="1"/>
  <c r="A101" i="2" s="1"/>
  <c r="A103" i="2" s="1"/>
  <c r="A105" i="2" s="1"/>
  <c r="A107" i="2" s="1"/>
  <c r="A109" i="2" s="1"/>
  <c r="A111" i="2" s="1"/>
  <c r="A113" i="2" s="1"/>
  <c r="A115" i="2" s="1"/>
  <c r="A117" i="2" s="1"/>
  <c r="A119" i="2" s="1"/>
  <c r="A121" i="2" s="1"/>
  <c r="A123" i="2" s="1"/>
  <c r="A125" i="2" s="1"/>
  <c r="A127" i="2" s="1"/>
  <c r="A129" i="2" s="1"/>
  <c r="A131" i="2" s="1"/>
  <c r="A133" i="2" s="1"/>
  <c r="A135" i="2" s="1"/>
  <c r="A137" i="2" s="1"/>
  <c r="A139" i="2" s="1"/>
  <c r="A141" i="2" s="1"/>
  <c r="A143" i="2" s="1"/>
  <c r="A145" i="2" s="1"/>
  <c r="A147" i="2" s="1"/>
  <c r="A149" i="2" s="1"/>
  <c r="A151" i="2" s="1"/>
  <c r="A153" i="2" s="1"/>
  <c r="A155" i="2" s="1"/>
  <c r="A157" i="2" s="1"/>
  <c r="A159" i="2" s="1"/>
  <c r="A161" i="2" s="1"/>
  <c r="A163" i="2" s="1"/>
  <c r="A165" i="2" s="1"/>
  <c r="A167" i="2" s="1"/>
  <c r="A169" i="2" s="1"/>
  <c r="A171" i="2" s="1"/>
  <c r="A173" i="2" s="1"/>
  <c r="A175" i="2" s="1"/>
  <c r="A177" i="2" s="1"/>
  <c r="A179" i="2" s="1"/>
  <c r="A181" i="2" s="1"/>
  <c r="A183" i="2" s="1"/>
  <c r="A185" i="2" s="1"/>
  <c r="A187" i="2" s="1"/>
  <c r="A189" i="2" s="1"/>
  <c r="A191" i="2" s="1"/>
  <c r="A193" i="2" s="1"/>
  <c r="A195" i="2" s="1"/>
  <c r="A197" i="2" s="1"/>
  <c r="A199" i="2" s="1"/>
  <c r="A201" i="2" s="1"/>
  <c r="A203" i="2" s="1"/>
  <c r="A205" i="2" s="1"/>
  <c r="A207" i="2" s="1"/>
  <c r="A209" i="2" s="1"/>
  <c r="A211" i="2" s="1"/>
  <c r="A213" i="2" s="1"/>
  <c r="A215" i="2" s="1"/>
  <c r="A217" i="2" s="1"/>
  <c r="A219" i="2" s="1"/>
  <c r="A221" i="2" s="1"/>
  <c r="A223" i="2" s="1"/>
  <c r="A225" i="2" s="1"/>
  <c r="A227" i="2" s="1"/>
  <c r="A229" i="2" s="1"/>
  <c r="A231" i="2" s="1"/>
  <c r="A233" i="2" s="1"/>
  <c r="A235" i="2" s="1"/>
  <c r="A237" i="2" s="1"/>
  <c r="A239" i="2" s="1"/>
  <c r="A241" i="2" s="1"/>
  <c r="A243" i="2" s="1"/>
  <c r="A245" i="2" s="1"/>
  <c r="A247" i="2" s="1"/>
  <c r="A249" i="2" s="1"/>
  <c r="A251" i="2" s="1"/>
  <c r="A253" i="2" s="1"/>
  <c r="A255" i="2" s="1"/>
  <c r="A257" i="2" s="1"/>
  <c r="A259" i="2" s="1"/>
  <c r="A261" i="2" s="1"/>
  <c r="A263" i="2" s="1"/>
  <c r="A265" i="2" s="1"/>
  <c r="A267" i="2" s="1"/>
  <c r="A269" i="2" s="1"/>
  <c r="A271" i="2" s="1"/>
  <c r="A273" i="2" s="1"/>
  <c r="A275" i="2" s="1"/>
  <c r="A277" i="2" s="1"/>
  <c r="A279" i="2" s="1"/>
  <c r="A281" i="2" s="1"/>
  <c r="A283" i="2" s="1"/>
  <c r="A285" i="2" s="1"/>
  <c r="A287" i="2" s="1"/>
  <c r="A289" i="2" s="1"/>
  <c r="A291" i="2" s="1"/>
  <c r="A293" i="2" s="1"/>
  <c r="A295" i="2" s="1"/>
  <c r="A297" i="2" s="1"/>
  <c r="A299" i="2" s="1"/>
  <c r="A301" i="2" s="1"/>
  <c r="A303" i="2" s="1"/>
  <c r="A305" i="2" s="1"/>
  <c r="A307" i="2" s="1"/>
  <c r="A309" i="2" s="1"/>
  <c r="A311" i="2" s="1"/>
  <c r="A313" i="2" s="1"/>
  <c r="A315" i="2" s="1"/>
  <c r="A317" i="2" s="1"/>
  <c r="A319" i="2" s="1"/>
  <c r="A321" i="2" s="1"/>
  <c r="A323" i="2" s="1"/>
  <c r="A325" i="2" s="1"/>
  <c r="A327" i="2" s="1"/>
  <c r="A329" i="2" s="1"/>
  <c r="A331" i="2" s="1"/>
  <c r="A333" i="2" s="1"/>
  <c r="A335" i="2" s="1"/>
  <c r="A337" i="2" s="1"/>
  <c r="A339" i="2" s="1"/>
  <c r="A341" i="2" s="1"/>
  <c r="A343" i="2" s="1"/>
  <c r="A345" i="2" s="1"/>
  <c r="A347" i="2" s="1"/>
  <c r="A349" i="2" s="1"/>
  <c r="A10" i="2"/>
  <c r="A9" i="2"/>
  <c r="A1" i="2"/>
  <c r="W648" i="1"/>
  <c r="T648" i="1"/>
  <c r="Q648" i="1"/>
  <c r="O648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0" i="1"/>
  <c r="A398" i="1"/>
  <c r="A396" i="1"/>
  <c r="A394" i="1"/>
  <c r="A392" i="1"/>
  <c r="A390" i="1"/>
  <c r="A388" i="1"/>
  <c r="A386" i="1"/>
  <c r="A384" i="1"/>
  <c r="A382" i="1"/>
  <c r="A380" i="1"/>
  <c r="A378" i="1"/>
  <c r="A376" i="1"/>
  <c r="A374" i="1"/>
  <c r="A372" i="1"/>
  <c r="A370" i="1"/>
  <c r="A368" i="1"/>
  <c r="A366" i="1"/>
  <c r="A364" i="1"/>
  <c r="A362" i="1"/>
  <c r="A360" i="1"/>
  <c r="A358" i="1"/>
  <c r="A356" i="1"/>
  <c r="A354" i="1"/>
  <c r="A352" i="1"/>
  <c r="A350" i="1"/>
  <c r="A348" i="1"/>
  <c r="A72" i="1"/>
  <c r="A70" i="1"/>
  <c r="A68" i="1"/>
  <c r="A66" i="1"/>
  <c r="A64" i="1"/>
  <c r="A62" i="1"/>
  <c r="A60" i="1"/>
  <c r="A58" i="1"/>
  <c r="A56" i="1"/>
  <c r="A54" i="1"/>
  <c r="A52" i="1"/>
  <c r="A50" i="1"/>
  <c r="A48" i="1"/>
  <c r="A46" i="1"/>
  <c r="A44" i="1"/>
  <c r="A42" i="1"/>
  <c r="A40" i="1"/>
  <c r="A38" i="1"/>
  <c r="A36" i="1"/>
  <c r="A34" i="1"/>
  <c r="A32" i="1"/>
  <c r="A30" i="1"/>
  <c r="A28" i="1"/>
  <c r="A26" i="1"/>
  <c r="A24" i="1"/>
  <c r="A22" i="1"/>
  <c r="A20" i="1"/>
  <c r="A18" i="1"/>
  <c r="A16" i="1"/>
  <c r="A14" i="1"/>
  <c r="A12" i="1"/>
  <c r="A10" i="1"/>
  <c r="A9" i="1"/>
  <c r="A11" i="1" s="1"/>
  <c r="A13" i="1" s="1"/>
  <c r="A15" i="1" s="1"/>
  <c r="A17" i="1" s="1"/>
  <c r="A19" i="1" s="1"/>
  <c r="A21" i="1" s="1"/>
  <c r="A23" i="1" s="1"/>
  <c r="A25" i="1" s="1"/>
  <c r="A27" i="1" s="1"/>
  <c r="A29" i="1" s="1"/>
  <c r="A31" i="1" s="1"/>
  <c r="A33" i="1" s="1"/>
  <c r="A35" i="1" s="1"/>
  <c r="A37" i="1" s="1"/>
  <c r="A39" i="1" s="1"/>
  <c r="A41" i="1" s="1"/>
  <c r="A43" i="1" s="1"/>
  <c r="A45" i="1" s="1"/>
  <c r="A47" i="1" s="1"/>
  <c r="A49" i="1" s="1"/>
  <c r="A51" i="1" s="1"/>
  <c r="A53" i="1" s="1"/>
  <c r="A55" i="1" s="1"/>
  <c r="A57" i="1" s="1"/>
  <c r="A59" i="1" s="1"/>
  <c r="A61" i="1" s="1"/>
  <c r="A63" i="1" s="1"/>
  <c r="A65" i="1" s="1"/>
  <c r="A67" i="1" s="1"/>
  <c r="A69" i="1" s="1"/>
  <c r="A71" i="1" s="1"/>
  <c r="A73" i="1" s="1"/>
  <c r="A75" i="1" s="1"/>
  <c r="A77" i="1" s="1"/>
  <c r="A79" i="1" s="1"/>
  <c r="A81" i="1" s="1"/>
  <c r="A83" i="1" s="1"/>
  <c r="A85" i="1" s="1"/>
  <c r="A87" i="1" s="1"/>
  <c r="A89" i="1" s="1"/>
  <c r="A91" i="1" s="1"/>
  <c r="A93" i="1" s="1"/>
  <c r="A95" i="1" s="1"/>
  <c r="A97" i="1" s="1"/>
  <c r="A99" i="1" s="1"/>
  <c r="A101" i="1" s="1"/>
  <c r="A103" i="1" s="1"/>
  <c r="A105" i="1" s="1"/>
  <c r="A107" i="1" s="1"/>
  <c r="A109" i="1" s="1"/>
  <c r="A111" i="1" s="1"/>
  <c r="A113" i="1" s="1"/>
  <c r="A115" i="1" s="1"/>
  <c r="A117" i="1" s="1"/>
  <c r="A119" i="1" s="1"/>
  <c r="A121" i="1" s="1"/>
  <c r="A123" i="1" s="1"/>
  <c r="A125" i="1" s="1"/>
  <c r="A127" i="1" s="1"/>
  <c r="A129" i="1" s="1"/>
  <c r="A131" i="1" s="1"/>
  <c r="A133" i="1" s="1"/>
  <c r="A135" i="1" s="1"/>
  <c r="A137" i="1" s="1"/>
  <c r="A139" i="1" s="1"/>
  <c r="A141" i="1" s="1"/>
  <c r="A143" i="1" s="1"/>
  <c r="A145" i="1" s="1"/>
  <c r="A147" i="1" s="1"/>
  <c r="A149" i="1" s="1"/>
  <c r="A151" i="1" s="1"/>
  <c r="A153" i="1" s="1"/>
  <c r="A155" i="1" s="1"/>
  <c r="A157" i="1" s="1"/>
  <c r="A159" i="1" s="1"/>
  <c r="A161" i="1" s="1"/>
  <c r="A163" i="1" s="1"/>
  <c r="A165" i="1" s="1"/>
  <c r="A167" i="1" s="1"/>
  <c r="A169" i="1" s="1"/>
  <c r="A171" i="1" s="1"/>
  <c r="A173" i="1" s="1"/>
  <c r="A175" i="1" s="1"/>
  <c r="A177" i="1" s="1"/>
  <c r="A179" i="1" s="1"/>
  <c r="A181" i="1" s="1"/>
  <c r="A183" i="1" s="1"/>
  <c r="A185" i="1" s="1"/>
  <c r="A187" i="1" s="1"/>
  <c r="A189" i="1" s="1"/>
  <c r="A191" i="1" s="1"/>
  <c r="A193" i="1" s="1"/>
  <c r="A195" i="1" s="1"/>
  <c r="A197" i="1" s="1"/>
  <c r="A199" i="1" s="1"/>
  <c r="A201" i="1" s="1"/>
  <c r="A203" i="1" s="1"/>
  <c r="A205" i="1" s="1"/>
  <c r="A207" i="1" s="1"/>
  <c r="A209" i="1" s="1"/>
  <c r="A211" i="1" s="1"/>
  <c r="A213" i="1" s="1"/>
  <c r="A215" i="1" s="1"/>
  <c r="A217" i="1" s="1"/>
  <c r="A219" i="1" s="1"/>
  <c r="A221" i="1" s="1"/>
  <c r="A223" i="1" s="1"/>
  <c r="A225" i="1" s="1"/>
  <c r="A227" i="1" s="1"/>
  <c r="A229" i="1" s="1"/>
  <c r="A231" i="1" s="1"/>
  <c r="A233" i="1" s="1"/>
  <c r="A235" i="1" s="1"/>
  <c r="A237" i="1" s="1"/>
  <c r="A239" i="1" s="1"/>
  <c r="A241" i="1" s="1"/>
  <c r="A243" i="1" s="1"/>
  <c r="A245" i="1" s="1"/>
  <c r="A247" i="1" s="1"/>
  <c r="A249" i="1" s="1"/>
  <c r="A251" i="1" s="1"/>
  <c r="A253" i="1" s="1"/>
  <c r="A255" i="1" s="1"/>
  <c r="A257" i="1" s="1"/>
  <c r="A259" i="1" s="1"/>
  <c r="A261" i="1" s="1"/>
  <c r="A263" i="1" s="1"/>
  <c r="A265" i="1" s="1"/>
  <c r="A267" i="1" s="1"/>
  <c r="A269" i="1" s="1"/>
  <c r="A271" i="1" s="1"/>
  <c r="A273" i="1" s="1"/>
  <c r="A275" i="1" s="1"/>
  <c r="A277" i="1" s="1"/>
  <c r="A279" i="1" s="1"/>
  <c r="A281" i="1" s="1"/>
  <c r="A283" i="1" s="1"/>
  <c r="A285" i="1" s="1"/>
  <c r="A287" i="1" s="1"/>
  <c r="A289" i="1" s="1"/>
  <c r="A291" i="1" s="1"/>
  <c r="A293" i="1" s="1"/>
  <c r="A295" i="1" s="1"/>
  <c r="A297" i="1" s="1"/>
  <c r="A299" i="1" s="1"/>
  <c r="A301" i="1" s="1"/>
  <c r="A303" i="1" s="1"/>
  <c r="A305" i="1" s="1"/>
  <c r="A307" i="1" s="1"/>
  <c r="A309" i="1" s="1"/>
  <c r="A311" i="1" s="1"/>
  <c r="A313" i="1" s="1"/>
  <c r="A315" i="1" s="1"/>
  <c r="A317" i="1" s="1"/>
  <c r="A319" i="1" s="1"/>
  <c r="A321" i="1" s="1"/>
  <c r="A323" i="1" s="1"/>
  <c r="A325" i="1" s="1"/>
  <c r="A327" i="1" s="1"/>
  <c r="A329" i="1" s="1"/>
  <c r="A331" i="1" s="1"/>
  <c r="A333" i="1" s="1"/>
  <c r="A335" i="1" s="1"/>
  <c r="A337" i="1" s="1"/>
  <c r="A339" i="1" s="1"/>
  <c r="A341" i="1" s="1"/>
  <c r="A343" i="1" s="1"/>
  <c r="A345" i="1" s="1"/>
  <c r="A347" i="1" s="1"/>
  <c r="A349" i="1" s="1"/>
  <c r="A351" i="1" s="1"/>
  <c r="A353" i="1" s="1"/>
  <c r="A355" i="1" s="1"/>
  <c r="A357" i="1" s="1"/>
  <c r="A359" i="1" s="1"/>
  <c r="A361" i="1" s="1"/>
  <c r="A363" i="1" s="1"/>
  <c r="A365" i="1" s="1"/>
  <c r="A367" i="1" s="1"/>
  <c r="A369" i="1" s="1"/>
  <c r="A371" i="1" s="1"/>
  <c r="A373" i="1" s="1"/>
  <c r="A375" i="1" s="1"/>
  <c r="A377" i="1" s="1"/>
  <c r="A379" i="1" s="1"/>
  <c r="A381" i="1" s="1"/>
  <c r="A383" i="1" s="1"/>
  <c r="A385" i="1" s="1"/>
  <c r="A387" i="1" s="1"/>
  <c r="A389" i="1" s="1"/>
  <c r="A391" i="1" s="1"/>
  <c r="A393" i="1" s="1"/>
  <c r="A395" i="1" s="1"/>
  <c r="A397" i="1" s="1"/>
  <c r="A399" i="1" s="1"/>
  <c r="A401" i="1" s="1"/>
  <c r="J40" i="7" l="1"/>
  <c r="J56" i="7"/>
  <c r="N36" i="7"/>
  <c r="N64" i="7"/>
  <c r="BI5" i="8"/>
  <c r="M13" i="5"/>
  <c r="K13" i="5" s="1"/>
  <c r="H12" i="13"/>
  <c r="I12" i="13"/>
  <c r="AK141" i="15"/>
  <c r="AK146" i="15"/>
  <c r="AE147" i="15"/>
  <c r="AE140" i="15"/>
  <c r="AK147" i="15"/>
  <c r="AH140" i="15"/>
  <c r="AM5" i="8"/>
  <c r="M27" i="5"/>
  <c r="K19" i="13"/>
  <c r="M24" i="5"/>
  <c r="M25" i="5"/>
  <c r="K25" i="5" s="1"/>
  <c r="I21" i="13" s="1"/>
  <c r="K21" i="13" s="1"/>
  <c r="J46" i="7"/>
  <c r="J84" i="7"/>
  <c r="J32" i="7"/>
  <c r="J20" i="7"/>
  <c r="J54" i="7"/>
  <c r="J50" i="7"/>
  <c r="AV5" i="8"/>
  <c r="I22" i="13"/>
  <c r="K12" i="5"/>
  <c r="I8" i="13" s="1"/>
  <c r="N12" i="5"/>
  <c r="L8" i="13" s="1"/>
  <c r="BJ66" i="8"/>
  <c r="BK64" i="8"/>
  <c r="N17" i="5"/>
  <c r="L13" i="13" s="1"/>
  <c r="I13" i="13"/>
  <c r="BB5" i="8"/>
  <c r="N10" i="5"/>
  <c r="N26" i="5"/>
  <c r="L22" i="13" s="1"/>
  <c r="J74" i="7"/>
  <c r="N34" i="7"/>
  <c r="N66" i="7"/>
  <c r="J68" i="7"/>
  <c r="J38" i="7"/>
  <c r="J22" i="7"/>
  <c r="J26" i="7"/>
  <c r="N82" i="7"/>
  <c r="J70" i="7"/>
  <c r="J78" i="7"/>
  <c r="J30" i="7"/>
  <c r="N80" i="7"/>
  <c r="J48" i="7"/>
  <c r="J24" i="7"/>
  <c r="J62" i="7"/>
  <c r="J76" i="7"/>
  <c r="J28" i="7"/>
  <c r="J72" i="7"/>
  <c r="U67" i="9"/>
  <c r="T67" i="9" s="1"/>
  <c r="L220" i="9"/>
  <c r="U66" i="9"/>
  <c r="T66" i="9" s="1"/>
  <c r="X65" i="9"/>
  <c r="W65" i="9" s="1"/>
  <c r="U65" i="9" s="1"/>
  <c r="T65" i="9" s="1"/>
  <c r="AA1" i="8"/>
  <c r="S5" i="8"/>
  <c r="N16" i="5"/>
  <c r="L12" i="13" s="1"/>
  <c r="K12" i="13"/>
  <c r="AJ413" i="8"/>
  <c r="AJ1" i="8"/>
  <c r="N9" i="5"/>
  <c r="L5" i="13" s="1"/>
  <c r="K13" i="13"/>
  <c r="AA5" i="8"/>
  <c r="J42" i="7"/>
  <c r="P5" i="8"/>
  <c r="AB1" i="8"/>
  <c r="K8" i="13"/>
  <c r="AC1" i="8"/>
  <c r="J58" i="7"/>
  <c r="AP120" i="8"/>
  <c r="AK1" i="8"/>
  <c r="AB5" i="8"/>
  <c r="AK5" i="8"/>
  <c r="K22" i="13"/>
  <c r="K24" i="5" l="1"/>
  <c r="I20" i="13" s="1"/>
  <c r="K20" i="13" s="1"/>
  <c r="K9" i="13"/>
  <c r="N13" i="5"/>
  <c r="L9" i="13" s="1"/>
  <c r="K27" i="5"/>
  <c r="I23" i="13" s="1"/>
  <c r="AK140" i="15"/>
  <c r="L6" i="13"/>
  <c r="I9" i="13"/>
  <c r="N27" i="5"/>
  <c r="L23" i="13" s="1"/>
  <c r="K23" i="13"/>
  <c r="N24" i="5"/>
  <c r="L20" i="13" s="1"/>
  <c r="N25" i="5"/>
  <c r="L21" i="13" s="1"/>
  <c r="N11" i="5"/>
  <c r="L7" i="13" s="1"/>
  <c r="I7" i="13"/>
  <c r="K7" i="13" s="1"/>
  <c r="BJ68" i="8"/>
  <c r="BK66" i="8"/>
  <c r="I6" i="13"/>
  <c r="K6" i="13" s="1"/>
  <c r="L11" i="13"/>
  <c r="I11" i="13"/>
  <c r="K11" i="13"/>
  <c r="BJ70" i="8" l="1"/>
  <c r="BK68" i="8"/>
  <c r="BJ72" i="8" l="1"/>
  <c r="BK70" i="8"/>
  <c r="BJ74" i="8" l="1"/>
  <c r="BK72" i="8"/>
  <c r="BK74" i="8" l="1"/>
  <c r="BJ76" i="8"/>
  <c r="BK76" i="8" s="1"/>
</calcChain>
</file>

<file path=xl/sharedStrings.xml><?xml version="1.0" encoding="utf-8"?>
<sst xmlns="http://schemas.openxmlformats.org/spreadsheetml/2006/main" count="11596" uniqueCount="771">
  <si>
    <t xml:space="preserve"> </t>
  </si>
  <si>
    <t>220kV - Detailed Survey Progress</t>
  </si>
  <si>
    <t>Sl. No.</t>
  </si>
  <si>
    <t>LOC NO</t>
  </si>
  <si>
    <t>TowerType</t>
  </si>
  <si>
    <t>Deviation of Angle</t>
  </si>
  <si>
    <t>CP</t>
  </si>
  <si>
    <t>Leg Extension</t>
  </si>
  <si>
    <t>RC</t>
  </si>
  <si>
    <t>Chimney Extension</t>
  </si>
  <si>
    <t>Span Length (m)</t>
  </si>
  <si>
    <t>Section Length</t>
  </si>
  <si>
    <t>Detail Survey completion status</t>
  </si>
  <si>
    <t>Detail Survey Report Submision</t>
  </si>
  <si>
    <t>Detail Survey Approval</t>
  </si>
  <si>
    <t>Remarks</t>
  </si>
  <si>
    <t>DMS</t>
  </si>
  <si>
    <t>m</t>
  </si>
  <si>
    <t>A</t>
  </si>
  <si>
    <t>B</t>
  </si>
  <si>
    <t>C</t>
  </si>
  <si>
    <t>D</t>
  </si>
  <si>
    <t>Surveyed</t>
  </si>
  <si>
    <t>DOC</t>
  </si>
  <si>
    <t>Re-survey</t>
  </si>
  <si>
    <t>Submitted</t>
  </si>
  <si>
    <t>Date</t>
  </si>
  <si>
    <t>Re-submitted</t>
  </si>
  <si>
    <t>Approved</t>
  </si>
  <si>
    <t>Re-apprpved</t>
  </si>
  <si>
    <t>GANTRY</t>
  </si>
  <si>
    <t/>
  </si>
  <si>
    <t>Completed</t>
  </si>
  <si>
    <t>0/0</t>
  </si>
  <si>
    <t>DD+0</t>
  </si>
  <si>
    <t xml:space="preserve"> 16° 50' 9"RT</t>
  </si>
  <si>
    <t>0/1</t>
  </si>
  <si>
    <t>DA+3</t>
  </si>
  <si>
    <t>1/0</t>
  </si>
  <si>
    <t>DC+0</t>
  </si>
  <si>
    <t xml:space="preserve"> 15° 52' 12"RT</t>
  </si>
  <si>
    <t>1/1</t>
  </si>
  <si>
    <t>DA+0</t>
  </si>
  <si>
    <t>1/2</t>
  </si>
  <si>
    <t xml:space="preserve"> 19° 5' 19"LT</t>
  </si>
  <si>
    <t>1A/0</t>
  </si>
  <si>
    <t>DC+3</t>
  </si>
  <si>
    <t>1A/1</t>
  </si>
  <si>
    <t>1A/2</t>
  </si>
  <si>
    <t xml:space="preserve"> 57° 12' 54"LT</t>
  </si>
  <si>
    <t>1B/0</t>
  </si>
  <si>
    <t>DD+3</t>
  </si>
  <si>
    <t xml:space="preserve"> 44° 32' 20"RT</t>
  </si>
  <si>
    <t>1C/0</t>
  </si>
  <si>
    <t>DD+9</t>
  </si>
  <si>
    <t>1C/1</t>
  </si>
  <si>
    <t>DA+6</t>
  </si>
  <si>
    <t xml:space="preserve"> 28° 26' 27"RT</t>
  </si>
  <si>
    <t>1D/0</t>
  </si>
  <si>
    <t>1D/1</t>
  </si>
  <si>
    <t xml:space="preserve"> 42° 49' 3"RT</t>
  </si>
  <si>
    <t>1E/0</t>
  </si>
  <si>
    <t>DD+6</t>
  </si>
  <si>
    <t xml:space="preserve"> 27° 13' 43"RT</t>
  </si>
  <si>
    <t>2/0</t>
  </si>
  <si>
    <t>DC+6</t>
  </si>
  <si>
    <t xml:space="preserve"> 49° 56' 13"RT</t>
  </si>
  <si>
    <t>3/0</t>
  </si>
  <si>
    <t xml:space="preserve"> 7° 56' 47"LT</t>
  </si>
  <si>
    <t>4/0</t>
  </si>
  <si>
    <t>DB+9</t>
  </si>
  <si>
    <t>4/1</t>
  </si>
  <si>
    <t>4/2</t>
  </si>
  <si>
    <t>4/3</t>
  </si>
  <si>
    <t>4/4</t>
  </si>
  <si>
    <t>4/5</t>
  </si>
  <si>
    <t>DB+0</t>
  </si>
  <si>
    <t>4/6</t>
  </si>
  <si>
    <t>4/7</t>
  </si>
  <si>
    <t>4/8</t>
  </si>
  <si>
    <t>4/9</t>
  </si>
  <si>
    <t>DB+6</t>
  </si>
  <si>
    <t>4/10</t>
  </si>
  <si>
    <t>4/11</t>
  </si>
  <si>
    <t>4/12</t>
  </si>
  <si>
    <t>DA+9</t>
  </si>
  <si>
    <t>4/13</t>
  </si>
  <si>
    <t>4/14</t>
  </si>
  <si>
    <t>4/15</t>
  </si>
  <si>
    <t>DB+3</t>
  </si>
  <si>
    <t>4/16</t>
  </si>
  <si>
    <t>4/17</t>
  </si>
  <si>
    <t xml:space="preserve"> 11° 50' 16"RT</t>
  </si>
  <si>
    <t>5/0</t>
  </si>
  <si>
    <t>5/1</t>
  </si>
  <si>
    <t>5/2</t>
  </si>
  <si>
    <t>5/3</t>
  </si>
  <si>
    <t xml:space="preserve"> 24° 44' 29"LT</t>
  </si>
  <si>
    <t>5A/0</t>
  </si>
  <si>
    <t>5A/1</t>
  </si>
  <si>
    <t>5A/2</t>
  </si>
  <si>
    <t xml:space="preserve"> 7° 28' 45"RT</t>
  </si>
  <si>
    <t>5B/0</t>
  </si>
  <si>
    <t xml:space="preserve"> 15° 37' 24"RT</t>
  </si>
  <si>
    <t>6/0</t>
  </si>
  <si>
    <t xml:space="preserve"> 23° 4' 48"RT</t>
  </si>
  <si>
    <t>7/0</t>
  </si>
  <si>
    <t>7/1</t>
  </si>
  <si>
    <t>7/2</t>
  </si>
  <si>
    <t>7/3</t>
  </si>
  <si>
    <t xml:space="preserve"> 54° 40' 18"LT</t>
  </si>
  <si>
    <t>8/0</t>
  </si>
  <si>
    <t xml:space="preserve"> 38° 34' 26"RT</t>
  </si>
  <si>
    <t>8A/0</t>
  </si>
  <si>
    <t xml:space="preserve"> 23° 30' 1"RT</t>
  </si>
  <si>
    <t>8B/0</t>
  </si>
  <si>
    <t>DC+9</t>
  </si>
  <si>
    <t>8B/1</t>
  </si>
  <si>
    <t>8B/2</t>
  </si>
  <si>
    <t xml:space="preserve"> 50° 17' 26"LT</t>
  </si>
  <si>
    <t>8C/0</t>
  </si>
  <si>
    <t xml:space="preserve"> 43° 40' 17"LT</t>
  </si>
  <si>
    <t>8D/0</t>
  </si>
  <si>
    <t>8D/1</t>
  </si>
  <si>
    <t>8D/2</t>
  </si>
  <si>
    <t>8D/3</t>
  </si>
  <si>
    <t>8D/4</t>
  </si>
  <si>
    <t>8D/5</t>
  </si>
  <si>
    <t>8D/6</t>
  </si>
  <si>
    <t xml:space="preserve"> 26° 29' 57"RT</t>
  </si>
  <si>
    <t>8E/0</t>
  </si>
  <si>
    <t>8E/1</t>
  </si>
  <si>
    <t>8E/2</t>
  </si>
  <si>
    <t>8E/3</t>
  </si>
  <si>
    <t>8E/4</t>
  </si>
  <si>
    <t>8E/5</t>
  </si>
  <si>
    <t>8E/6</t>
  </si>
  <si>
    <t>8E/7</t>
  </si>
  <si>
    <t>8E/8</t>
  </si>
  <si>
    <t>8E/9</t>
  </si>
  <si>
    <t>8E/10</t>
  </si>
  <si>
    <t>8E/11</t>
  </si>
  <si>
    <t>8E/12</t>
  </si>
  <si>
    <t xml:space="preserve"> 21° 0' 5"LT</t>
  </si>
  <si>
    <t>AP-9</t>
  </si>
  <si>
    <t>9/1</t>
  </si>
  <si>
    <t>9/2</t>
  </si>
  <si>
    <t>9/3</t>
  </si>
  <si>
    <t>9/4</t>
  </si>
  <si>
    <t>9/5</t>
  </si>
  <si>
    <t>9/6</t>
  </si>
  <si>
    <t>9/7</t>
  </si>
  <si>
    <t>9/8</t>
  </si>
  <si>
    <t>9/9</t>
  </si>
  <si>
    <t xml:space="preserve"> 38° 36' 12"LT</t>
  </si>
  <si>
    <t>AP-10</t>
  </si>
  <si>
    <t>10/1</t>
  </si>
  <si>
    <t>10/2</t>
  </si>
  <si>
    <t>10/3</t>
  </si>
  <si>
    <t>10/4</t>
  </si>
  <si>
    <t xml:space="preserve"> 25° 10' 25"RT</t>
  </si>
  <si>
    <t>AP-11</t>
  </si>
  <si>
    <t>11/1</t>
  </si>
  <si>
    <t xml:space="preserve"> 40° 29' 60"LT</t>
  </si>
  <si>
    <t>AP-12</t>
  </si>
  <si>
    <t xml:space="preserve"> 24° 1' 33"RT</t>
  </si>
  <si>
    <t>AP-13</t>
  </si>
  <si>
    <t>13/1</t>
  </si>
  <si>
    <t xml:space="preserve"> 25° 35' 30"LT</t>
  </si>
  <si>
    <t>AP-14</t>
  </si>
  <si>
    <t>14/1</t>
  </si>
  <si>
    <t>14/2</t>
  </si>
  <si>
    <t>14/3</t>
  </si>
  <si>
    <t>14/4</t>
  </si>
  <si>
    <t>14/5</t>
  </si>
  <si>
    <t>14/6</t>
  </si>
  <si>
    <t>14/7</t>
  </si>
  <si>
    <t>14/8</t>
  </si>
  <si>
    <t>14/9</t>
  </si>
  <si>
    <t xml:space="preserve"> 37° 6' 34"RT</t>
  </si>
  <si>
    <t>AP-15</t>
  </si>
  <si>
    <t>15/1</t>
  </si>
  <si>
    <t>15/2</t>
  </si>
  <si>
    <t>15/3</t>
  </si>
  <si>
    <t>15/4</t>
  </si>
  <si>
    <t>15/5</t>
  </si>
  <si>
    <t>15/6</t>
  </si>
  <si>
    <t>15/7</t>
  </si>
  <si>
    <t>15/8</t>
  </si>
  <si>
    <t>15/9</t>
  </si>
  <si>
    <t xml:space="preserve"> 29° 42' 12"RT</t>
  </si>
  <si>
    <t>AP-16</t>
  </si>
  <si>
    <t>16/1</t>
  </si>
  <si>
    <t>16/2</t>
  </si>
  <si>
    <t>16/3</t>
  </si>
  <si>
    <t xml:space="preserve"> 20° 7' 26"LT</t>
  </si>
  <si>
    <t>AP-17</t>
  </si>
  <si>
    <t>17/1</t>
  </si>
  <si>
    <t>17/2</t>
  </si>
  <si>
    <t>17/3</t>
  </si>
  <si>
    <t xml:space="preserve"> 16° 0' 26"LT</t>
  </si>
  <si>
    <t>AP-18</t>
  </si>
  <si>
    <t>18/1</t>
  </si>
  <si>
    <t>18/2</t>
  </si>
  <si>
    <t>18/3</t>
  </si>
  <si>
    <t>18/4</t>
  </si>
  <si>
    <t>18/5</t>
  </si>
  <si>
    <t>18/6</t>
  </si>
  <si>
    <t>18/7</t>
  </si>
  <si>
    <t>18/8</t>
  </si>
  <si>
    <t>18/9</t>
  </si>
  <si>
    <t>18/10</t>
  </si>
  <si>
    <t>18/11</t>
  </si>
  <si>
    <t>06°13'44"RT</t>
  </si>
  <si>
    <t>AP-19</t>
  </si>
  <si>
    <t>19/1</t>
  </si>
  <si>
    <t>19/2</t>
  </si>
  <si>
    <t>19/3</t>
  </si>
  <si>
    <t>19/4</t>
  </si>
  <si>
    <t>19/5</t>
  </si>
  <si>
    <t>08°51'36"RT</t>
  </si>
  <si>
    <t>AP-20</t>
  </si>
  <si>
    <t>20/1</t>
  </si>
  <si>
    <t>20/2</t>
  </si>
  <si>
    <t>20/3</t>
  </si>
  <si>
    <t>20/4</t>
  </si>
  <si>
    <t>20/5</t>
  </si>
  <si>
    <t>20/6</t>
  </si>
  <si>
    <t>20/7</t>
  </si>
  <si>
    <t>20/8</t>
  </si>
  <si>
    <t>14°34'48"LT</t>
  </si>
  <si>
    <t>AP-21</t>
  </si>
  <si>
    <t>21/1</t>
  </si>
  <si>
    <t>21/2</t>
  </si>
  <si>
    <t>21/3</t>
  </si>
  <si>
    <t>21/4</t>
  </si>
  <si>
    <t>21/5</t>
  </si>
  <si>
    <t>21/6</t>
  </si>
  <si>
    <t>21/7</t>
  </si>
  <si>
    <t>21/8</t>
  </si>
  <si>
    <t>21/9</t>
  </si>
  <si>
    <t>21/10</t>
  </si>
  <si>
    <t>21/11</t>
  </si>
  <si>
    <t>21/12</t>
  </si>
  <si>
    <t>21/13</t>
  </si>
  <si>
    <t xml:space="preserve"> 20° 2' 24"RT</t>
  </si>
  <si>
    <t>AP-22</t>
  </si>
  <si>
    <t>22/1</t>
  </si>
  <si>
    <t>22/2</t>
  </si>
  <si>
    <t xml:space="preserve"> 19° 37' 2"LT</t>
  </si>
  <si>
    <t>AP-23</t>
  </si>
  <si>
    <t>23/1</t>
  </si>
  <si>
    <t>23/2</t>
  </si>
  <si>
    <t>23/3</t>
  </si>
  <si>
    <t>23/4</t>
  </si>
  <si>
    <t>23/5</t>
  </si>
  <si>
    <t xml:space="preserve"> 31° 13' 23"LT</t>
  </si>
  <si>
    <t>AP-24</t>
  </si>
  <si>
    <t xml:space="preserve"> 5° 43' 47"RT</t>
  </si>
  <si>
    <t>AP-25</t>
  </si>
  <si>
    <t>DD+18</t>
  </si>
  <si>
    <t xml:space="preserve"> 17° 37' 36"LT</t>
  </si>
  <si>
    <t>AP-26</t>
  </si>
  <si>
    <t xml:space="preserve"> 24° 41' 6"LT</t>
  </si>
  <si>
    <t>AP-27</t>
  </si>
  <si>
    <t xml:space="preserve"> 22° 6' 42"RT</t>
  </si>
  <si>
    <t>AP-28</t>
  </si>
  <si>
    <t>28/1</t>
  </si>
  <si>
    <t>GANTRY UC</t>
  </si>
  <si>
    <t>28/2</t>
  </si>
  <si>
    <t xml:space="preserve"> 28° 4' 46"RT</t>
  </si>
  <si>
    <t>AP-29</t>
  </si>
  <si>
    <t xml:space="preserve"> 11° 39' 27"RT</t>
  </si>
  <si>
    <t>29A/0</t>
  </si>
  <si>
    <t>29A/1</t>
  </si>
  <si>
    <t>29A/2</t>
  </si>
  <si>
    <t>29A/3</t>
  </si>
  <si>
    <t>29A/4</t>
  </si>
  <si>
    <t xml:space="preserve"> 10° 21' 46"RT</t>
  </si>
  <si>
    <t>AP-30</t>
  </si>
  <si>
    <t>30/1</t>
  </si>
  <si>
    <t>30/2</t>
  </si>
  <si>
    <t>30/3</t>
  </si>
  <si>
    <t>30/4</t>
  </si>
  <si>
    <t>30/5</t>
  </si>
  <si>
    <t>30/6</t>
  </si>
  <si>
    <t xml:space="preserve"> 12° 12' 46"LT</t>
  </si>
  <si>
    <t>AP-31</t>
  </si>
  <si>
    <t>31/1</t>
  </si>
  <si>
    <t xml:space="preserve"> 20° 20' 13"RT</t>
  </si>
  <si>
    <t>AP-32</t>
  </si>
  <si>
    <t>32/1</t>
  </si>
  <si>
    <t>32/2</t>
  </si>
  <si>
    <t xml:space="preserve"> 37° 48' 15"RT</t>
  </si>
  <si>
    <t>33/0</t>
  </si>
  <si>
    <t>34/0</t>
  </si>
  <si>
    <t>220kV - Check Survey Progress</t>
  </si>
  <si>
    <t xml:space="preserve"> 18° 59' 57"LT</t>
  </si>
  <si>
    <t xml:space="preserve"> 57° 18' 17"LT</t>
  </si>
  <si>
    <t xml:space="preserve"> 11° 47' 59"RT</t>
  </si>
  <si>
    <t xml:space="preserve"> 25° 37' 10"RT</t>
  </si>
  <si>
    <t>P.NEW AP90/0</t>
  </si>
  <si>
    <t>132kV - Detailed Survey Progress</t>
  </si>
  <si>
    <t>Tapping Tower</t>
  </si>
  <si>
    <t xml:space="preserve"> 2° 10' 33"LT</t>
  </si>
  <si>
    <t>DE</t>
  </si>
  <si>
    <t xml:space="preserve"> 44° 51' 5"RT</t>
  </si>
  <si>
    <t xml:space="preserve"> 6° 49' 55"RT</t>
  </si>
  <si>
    <t xml:space="preserve"> 26° 16' 38"LT</t>
  </si>
  <si>
    <t xml:space="preserve"> 13° 55' 42"RT</t>
  </si>
  <si>
    <t>3/1</t>
  </si>
  <si>
    <t>3/2</t>
  </si>
  <si>
    <t xml:space="preserve"> 2° 10' 59"RT</t>
  </si>
  <si>
    <t xml:space="preserve"> 23° 16' 52"RT</t>
  </si>
  <si>
    <t>GANTRY UC (+2M)</t>
  </si>
  <si>
    <t xml:space="preserve"> 25° 0' 0"LT</t>
  </si>
  <si>
    <t>6A/0</t>
  </si>
  <si>
    <t xml:space="preserve"> 53° 55' 29"LT</t>
  </si>
  <si>
    <t xml:space="preserve"> 12° 53' 30"LT</t>
  </si>
  <si>
    <t xml:space="preserve"> 49° 20' 19"RT</t>
  </si>
  <si>
    <t>9/0</t>
  </si>
  <si>
    <t xml:space="preserve"> 33° 26' 28"RT</t>
  </si>
  <si>
    <t>10/0</t>
  </si>
  <si>
    <t xml:space="preserve"> 16° 17' 32"RT</t>
  </si>
  <si>
    <t>11/0</t>
  </si>
  <si>
    <t xml:space="preserve"> 21° 26' 57"RT</t>
  </si>
  <si>
    <t>12/0</t>
  </si>
  <si>
    <t xml:space="preserve"> 2° 8' 42"LT</t>
  </si>
  <si>
    <t>12/1</t>
  </si>
  <si>
    <t>13/0</t>
  </si>
  <si>
    <t xml:space="preserve"> 23° 12' 4"LT</t>
  </si>
  <si>
    <t>13/2</t>
  </si>
  <si>
    <t>14/0</t>
  </si>
  <si>
    <t xml:space="preserve"> 29° 21' 6"RT</t>
  </si>
  <si>
    <t>15/0</t>
  </si>
  <si>
    <t xml:space="preserve"> 33° 34' 25"LT</t>
  </si>
  <si>
    <t>16/0</t>
  </si>
  <si>
    <t xml:space="preserve"> 5° 27' 59"RT</t>
  </si>
  <si>
    <t>17/0</t>
  </si>
  <si>
    <t xml:space="preserve"> 29° 14' 60"LT</t>
  </si>
  <si>
    <t>18/0</t>
  </si>
  <si>
    <t>DE+0 (AUX)</t>
  </si>
  <si>
    <t xml:space="preserve"> 89° 59' 59"RT</t>
  </si>
  <si>
    <t>DE+0</t>
  </si>
  <si>
    <t>2/1</t>
  </si>
  <si>
    <t xml:space="preserve">Client: M/S STERLITE POWER TRANSMISSION LIMITED             </t>
  </si>
  <si>
    <t>Name of the Line: 220KV DC AL59 line from Neemuch - Chanderiya + 132KV DC ACSS Line from Chanderiya to Hindustan Zinc</t>
  </si>
  <si>
    <t>Contractual Start Date :</t>
  </si>
  <si>
    <t>Name of Document : Daily Progress Report (DPR)</t>
  </si>
  <si>
    <t>Contractual Completion Date:</t>
  </si>
  <si>
    <t>Office:  Neemuch</t>
  </si>
  <si>
    <t>Revised Completion Date :</t>
  </si>
  <si>
    <t xml:space="preserve">                </t>
  </si>
  <si>
    <t>Progress of 220kV Line</t>
  </si>
  <si>
    <t>Date:</t>
  </si>
  <si>
    <t>Sr. No.</t>
  </si>
  <si>
    <t>Activity</t>
  </si>
  <si>
    <t>UoM</t>
  </si>
  <si>
    <t>Total Quantity</t>
  </si>
  <si>
    <t>As per L2</t>
  </si>
  <si>
    <t>Cumm. Progress up to last Month</t>
  </si>
  <si>
    <t>Cumulative till current month</t>
  </si>
  <si>
    <t>Resources Status</t>
  </si>
  <si>
    <t xml:space="preserve">Critical Issues, if any &amp; Remark </t>
  </si>
  <si>
    <t>Start Date</t>
  </si>
  <si>
    <t>End Date</t>
  </si>
  <si>
    <t>L2</t>
  </si>
  <si>
    <t>Actual</t>
  </si>
  <si>
    <t>Plan</t>
  </si>
  <si>
    <t>Today</t>
  </si>
  <si>
    <t>Progress in Month</t>
  </si>
  <si>
    <t>Target (L2)</t>
  </si>
  <si>
    <t>Balance</t>
  </si>
  <si>
    <t>Targeted Gang</t>
  </si>
  <si>
    <t>Available Gang</t>
  </si>
  <si>
    <t>Shortfall
Gang</t>
  </si>
  <si>
    <t>Detailed Survey</t>
  </si>
  <si>
    <t>Kms</t>
  </si>
  <si>
    <t>Check Survey</t>
  </si>
  <si>
    <t>Foundation</t>
  </si>
  <si>
    <t>Nos.</t>
  </si>
  <si>
    <t>Earthing</t>
  </si>
  <si>
    <t>Tower Erection</t>
  </si>
  <si>
    <t>Tack Welding</t>
  </si>
  <si>
    <t>Stringing</t>
  </si>
  <si>
    <t>i</t>
  </si>
  <si>
    <t>Paying Out</t>
  </si>
  <si>
    <t>ii</t>
  </si>
  <si>
    <t>Final Sag</t>
  </si>
  <si>
    <t>iii</t>
  </si>
  <si>
    <t>OPGW</t>
  </si>
  <si>
    <t>Progress of 132kV Line</t>
  </si>
  <si>
    <t>SI No</t>
  </si>
  <si>
    <t>Name of Existing Line/Croccing</t>
  </si>
  <si>
    <t>Name of the owner of existing line</t>
  </si>
  <si>
    <t>Crossing Type</t>
  </si>
  <si>
    <t>Existing Crossing Span (M)</t>
  </si>
  <si>
    <t>Existing Tower/K MP No</t>
  </si>
  <si>
    <t>AP</t>
  </si>
  <si>
    <t>Tower Type</t>
  </si>
  <si>
    <t>RC if any</t>
  </si>
  <si>
    <t>Crossing Angle</t>
  </si>
  <si>
    <t>Crossing Span Length</t>
  </si>
  <si>
    <t>Electrical Clearance</t>
  </si>
  <si>
    <t>Proposal Preparation</t>
  </si>
  <si>
    <t>Proposal Submission to Sterlite on</t>
  </si>
  <si>
    <t>Submission to concerned office</t>
  </si>
  <si>
    <t>Joint site inspection</t>
  </si>
  <si>
    <t>Submission of charges (if any)</t>
  </si>
  <si>
    <t>NOC Received on</t>
  </si>
  <si>
    <t>Statutory/Crossing Tracker - 220KV D/C Line</t>
  </si>
  <si>
    <t>NH-27</t>
  </si>
  <si>
    <t>NHAI</t>
  </si>
  <si>
    <t>NH</t>
  </si>
  <si>
    <t>1B/0-1C/0</t>
  </si>
  <si>
    <t>1B/0(DD+3)-1C/0(DD+3)</t>
  </si>
  <si>
    <t>-</t>
  </si>
  <si>
    <t>3/0-4/0</t>
  </si>
  <si>
    <t>3/0(DD+3)-4/0(DB+9)</t>
  </si>
  <si>
    <t>220KV S/C LINE</t>
  </si>
  <si>
    <t>PGCIL</t>
  </si>
  <si>
    <t>PLC</t>
  </si>
  <si>
    <t>179-180</t>
  </si>
  <si>
    <t>24/0-25/0</t>
  </si>
  <si>
    <t>24/0(DD+9)-25/0(DD+18)</t>
  </si>
  <si>
    <t>3M &amp; 2M</t>
  </si>
  <si>
    <t>220KV D/C RPB-CGH LINE</t>
  </si>
  <si>
    <t>26/0-27/0</t>
  </si>
  <si>
    <t>26/0(DD+18)-27/0(DD+18)</t>
  </si>
  <si>
    <t>3M &amp; 0M</t>
  </si>
  <si>
    <t>400KV T/L</t>
  </si>
  <si>
    <t>28/1-28/2</t>
  </si>
  <si>
    <t>28/1(Gantry)-28/2(Gantry)</t>
  </si>
  <si>
    <t>WATER RESERVOIR BOUNDARY</t>
  </si>
  <si>
    <t>31/0-31/1</t>
  </si>
  <si>
    <t>31/0(DB+0)-31/1(DA+6)</t>
  </si>
  <si>
    <t>0M &amp; 4M</t>
  </si>
  <si>
    <t>Statutory/Crossing Tracker - 132KV D/C Line</t>
  </si>
  <si>
    <t>Gas Pipeline</t>
  </si>
  <si>
    <t>Pipeline</t>
  </si>
  <si>
    <t>Tapping Tower -DE</t>
  </si>
  <si>
    <t>Tapping Tower(DD+0 ) - DE (DD+0)</t>
  </si>
  <si>
    <t>Pipeline, Cable</t>
  </si>
  <si>
    <t>3/1-3/2</t>
  </si>
  <si>
    <t>3/1(DA+6)-3/2(DA+3)</t>
  </si>
  <si>
    <t>River</t>
  </si>
  <si>
    <t>4/0-4/1</t>
  </si>
  <si>
    <t>4/0(DB-3)-4/1(DB-3)</t>
  </si>
  <si>
    <t>220KV D/C LINE</t>
  </si>
  <si>
    <t>5/1-5/2</t>
  </si>
  <si>
    <t>5/1(Gantry)-5/2(Gantry)</t>
  </si>
  <si>
    <t>RAILWAY TRACK</t>
  </si>
  <si>
    <t>Railway</t>
  </si>
  <si>
    <t>10/0-11/0</t>
  </si>
  <si>
    <t>10/0(DD+6)-11/0(DD+6)</t>
  </si>
  <si>
    <t>13/1-13/2</t>
  </si>
  <si>
    <t>13/1(Gantry)-13/2(Gantry)</t>
  </si>
  <si>
    <t>14/0-15/0</t>
  </si>
  <si>
    <t>14/0(DD+6)-15/0(DD-3)</t>
  </si>
  <si>
    <t>Section</t>
  </si>
  <si>
    <t>Submission</t>
  </si>
  <si>
    <t>JVR</t>
  </si>
  <si>
    <t>Approval Recieved</t>
  </si>
  <si>
    <t>06-01-2025 (2nd Submission)</t>
  </si>
  <si>
    <t>132KV</t>
  </si>
  <si>
    <t>Proposal will be submitted in Chittorgarh.</t>
  </si>
  <si>
    <t>765KV S/C LINE</t>
  </si>
  <si>
    <t>16/1-16/2</t>
  </si>
  <si>
    <t>220 KV D/C Neemuch - TS</t>
  </si>
  <si>
    <t>Erection</t>
  </si>
  <si>
    <t>Tower Checking-1</t>
  </si>
  <si>
    <t>Tack-Welding</t>
  </si>
  <si>
    <t>Tower Checking-2</t>
  </si>
  <si>
    <t>Tower Weight</t>
  </si>
  <si>
    <t>Stub Weight</t>
  </si>
  <si>
    <t>Span Length(m)</t>
  </si>
  <si>
    <t>Classification</t>
  </si>
  <si>
    <t>Excavation Volume (m3)</t>
  </si>
  <si>
    <t>Concreting Volume</t>
  </si>
  <si>
    <t>8mm Steel</t>
  </si>
  <si>
    <t>10mm Steel</t>
  </si>
  <si>
    <t>12mm Steel</t>
  </si>
  <si>
    <t>16mm Steel</t>
  </si>
  <si>
    <t>20mm Steel</t>
  </si>
  <si>
    <t>25mmSteel</t>
  </si>
  <si>
    <t>Total Steel (MT)</t>
  </si>
  <si>
    <t>Status
(C/WIP)</t>
  </si>
  <si>
    <t>Excavation</t>
  </si>
  <si>
    <t>Concreting</t>
  </si>
  <si>
    <t>Sub-Contractor Name</t>
  </si>
  <si>
    <t>Status
C/WIP</t>
  </si>
  <si>
    <t>Type</t>
  </si>
  <si>
    <t>DOS</t>
  </si>
  <si>
    <t>Painting</t>
  </si>
  <si>
    <t>HT</t>
  </si>
  <si>
    <t>MS</t>
  </si>
  <si>
    <t>BnA</t>
  </si>
  <si>
    <t>Total</t>
  </si>
  <si>
    <t>M10
(1:3:6) (m3)</t>
  </si>
  <si>
    <t>M20 (1:1.5:3) (m3)</t>
  </si>
  <si>
    <t>DFR</t>
  </si>
  <si>
    <t>GANTRY UC(+2)</t>
  </si>
  <si>
    <t>SFR</t>
  </si>
  <si>
    <t>Sandy Wet</t>
  </si>
  <si>
    <t>Harsh vivek</t>
  </si>
  <si>
    <t>Viki Entp</t>
  </si>
  <si>
    <t>Ramesh Kumar</t>
  </si>
  <si>
    <t>DD AUX</t>
  </si>
  <si>
    <t>RC Portion</t>
  </si>
  <si>
    <t>pack Washar</t>
  </si>
  <si>
    <t>Total Tower Weight</t>
  </si>
  <si>
    <t>Total Stub Weight</t>
  </si>
  <si>
    <t>State</t>
  </si>
  <si>
    <t>Cement Required</t>
  </si>
  <si>
    <t>Total Steel (Kgs) per Tower</t>
  </si>
  <si>
    <t>Fnd Status
(C/WIP)</t>
  </si>
  <si>
    <t>Manual Checklist</t>
  </si>
  <si>
    <t>JMC</t>
  </si>
  <si>
    <t>Earthing Status
C/WIP</t>
  </si>
  <si>
    <t>Earthing Type</t>
  </si>
  <si>
    <t>S/C</t>
  </si>
  <si>
    <t>Erection Status
C/WIP</t>
  </si>
  <si>
    <t>NB qty</t>
  </si>
  <si>
    <t>B2B</t>
  </si>
  <si>
    <t>B2B x 4</t>
  </si>
  <si>
    <t>Barbed Wire</t>
  </si>
  <si>
    <t>MT</t>
  </si>
  <si>
    <t>nos of bags</t>
  </si>
  <si>
    <t>in kg</t>
  </si>
  <si>
    <t>8mm</t>
  </si>
  <si>
    <t>10mm</t>
  </si>
  <si>
    <t>12mm</t>
  </si>
  <si>
    <t>16mm</t>
  </si>
  <si>
    <t>20mm</t>
  </si>
  <si>
    <t>25mm</t>
  </si>
  <si>
    <t>Total Steel (Kgs)</t>
  </si>
  <si>
    <t>RJ</t>
  </si>
  <si>
    <t>WFR</t>
  </si>
  <si>
    <t>Ram Singh</t>
  </si>
  <si>
    <t>Ram Singh-1</t>
  </si>
  <si>
    <t>EE</t>
  </si>
  <si>
    <t>Asit Baran Pal</t>
  </si>
  <si>
    <t>WET</t>
  </si>
  <si>
    <t>EE SUB</t>
  </si>
  <si>
    <t>Pipe</t>
  </si>
  <si>
    <t>Shree Shyam</t>
  </si>
  <si>
    <t>Shree Karni Entp</t>
  </si>
  <si>
    <t>EG</t>
  </si>
  <si>
    <t>Dudhnath Kumar</t>
  </si>
  <si>
    <t>Shree shyam</t>
  </si>
  <si>
    <t>EE SUB (Rejected due to step bolt missing)</t>
  </si>
  <si>
    <t>EE SUB (Rejected due to nut bolt missing)</t>
  </si>
  <si>
    <t>Tower Strengthening check is required</t>
  </si>
  <si>
    <t>Vinod</t>
  </si>
  <si>
    <t>got</t>
  </si>
  <si>
    <t xml:space="preserve">EE </t>
  </si>
  <si>
    <t>EE SUB (Backfilling not proper as per TC)</t>
  </si>
  <si>
    <t>EE SUB (Backfilling Observation must be cleared in TC)</t>
  </si>
  <si>
    <t>Form need to be fill up</t>
  </si>
  <si>
    <t>EE SUB (All CTQ forms not submitted yet. Also updated TC required which is not given)</t>
  </si>
  <si>
    <t>Fab</t>
  </si>
  <si>
    <t>Viki Enterprises</t>
  </si>
  <si>
    <t>EE SUB (Updated TC clearing backfilling point not given yet)</t>
  </si>
  <si>
    <t>5</t>
  </si>
  <si>
    <t>2</t>
  </si>
  <si>
    <t>Sandy Dry</t>
  </si>
  <si>
    <t>PS</t>
  </si>
  <si>
    <t>Krishna Enterprises</t>
  </si>
  <si>
    <t>8D/0A</t>
  </si>
  <si>
    <t>MP</t>
  </si>
  <si>
    <t>Checling not done</t>
  </si>
  <si>
    <t>1st stage done, need to upload in EE</t>
  </si>
  <si>
    <t>Viki Enterprice</t>
  </si>
  <si>
    <t>Shree Shyam Cont</t>
  </si>
  <si>
    <t>RST Construction</t>
  </si>
  <si>
    <t>Shree Ganesh Sital Enterprice</t>
  </si>
  <si>
    <t>Sandy DRY</t>
  </si>
  <si>
    <t>Munna Singh</t>
  </si>
  <si>
    <t>Rabiul Hauq</t>
  </si>
  <si>
    <t>DFR </t>
  </si>
  <si>
    <t>Rames Kumar (M)</t>
  </si>
  <si>
    <t>Ramesh</t>
  </si>
  <si>
    <t>Checking not done</t>
  </si>
  <si>
    <t>Department</t>
  </si>
  <si>
    <t>Lakhan Singh</t>
  </si>
  <si>
    <t>Ram Singh-2</t>
  </si>
  <si>
    <t>Sandy WET</t>
  </si>
  <si>
    <t>Asit Barhampal</t>
  </si>
  <si>
    <t>Saidur Rahaman</t>
  </si>
  <si>
    <t xml:space="preserve">Shree Bayo </t>
  </si>
  <si>
    <t>Shree Ram Bio</t>
  </si>
  <si>
    <t>Ram Singh-3</t>
  </si>
  <si>
    <t xml:space="preserve"> WET</t>
  </si>
  <si>
    <t>Gauri Construction</t>
  </si>
  <si>
    <t>Ramesh Kumar (M)</t>
  </si>
  <si>
    <t>Dudhnath</t>
  </si>
  <si>
    <t xml:space="preserve"> 29° 40' 34"LT</t>
  </si>
  <si>
    <t xml:space="preserve"> 11° 2' 4"RT</t>
  </si>
  <si>
    <t>2nd stage done, need to upload on EE</t>
  </si>
  <si>
    <t xml:space="preserve"> 15° 48' 52"RT</t>
  </si>
  <si>
    <t>Gauri Enterprice</t>
  </si>
  <si>
    <t>Gauri Entp.</t>
  </si>
  <si>
    <t>Stringing Progress (Conductor &amp; Earthwire)</t>
  </si>
  <si>
    <t>OPGW Progress</t>
  </si>
  <si>
    <t>Stringing Section</t>
  </si>
  <si>
    <t>Section Length (m)</t>
  </si>
  <si>
    <t>Stretch Readiness</t>
  </si>
  <si>
    <t>Insulator Hoisting</t>
  </si>
  <si>
    <t>Conductor Paying Out</t>
  </si>
  <si>
    <t>Clipping</t>
  </si>
  <si>
    <t>Spacer</t>
  </si>
  <si>
    <t>Jumper</t>
  </si>
  <si>
    <t>OPGW Paying Out</t>
  </si>
  <si>
    <t>OPGW Final Sag</t>
  </si>
  <si>
    <t>From</t>
  </si>
  <si>
    <t>To</t>
  </si>
  <si>
    <t>Status</t>
  </si>
  <si>
    <t>Dilruba Bibi</t>
  </si>
  <si>
    <t>Nemchand</t>
  </si>
  <si>
    <t>Kohinoor</t>
  </si>
  <si>
    <t>Visual Chart of 132kV Line</t>
  </si>
  <si>
    <t>Fnd</t>
  </si>
  <si>
    <t>Ear</t>
  </si>
  <si>
    <t>Ere</t>
  </si>
  <si>
    <t>T/W</t>
  </si>
  <si>
    <t>Strng</t>
  </si>
  <si>
    <t>Gantry</t>
  </si>
  <si>
    <t>DD (Aux)</t>
  </si>
  <si>
    <t>Legend</t>
  </si>
  <si>
    <t>Crossing</t>
  </si>
  <si>
    <t>Progress at a Glance (132kV Line)</t>
  </si>
  <si>
    <t>final sag</t>
  </si>
  <si>
    <t>rough sag</t>
  </si>
  <si>
    <t>LT Line</t>
  </si>
  <si>
    <t>NH/SH</t>
  </si>
  <si>
    <t>Unit</t>
  </si>
  <si>
    <t>Total Qty</t>
  </si>
  <si>
    <t>11kV Line</t>
  </si>
  <si>
    <t>Nos</t>
  </si>
  <si>
    <t>33kV Line</t>
  </si>
  <si>
    <t>220kV Line</t>
  </si>
  <si>
    <t>Tack-welding</t>
  </si>
  <si>
    <t>Location No</t>
  </si>
  <si>
    <t>Stringing (P/O)</t>
  </si>
  <si>
    <t>765kV Line</t>
  </si>
  <si>
    <t>Stringing (F/S)</t>
  </si>
  <si>
    <t>Forest</t>
  </si>
  <si>
    <t>Supply Progress of 220kV Line</t>
  </si>
  <si>
    <t>Item</t>
  </si>
  <si>
    <t>Scope</t>
  </si>
  <si>
    <t>MFC Given</t>
  </si>
  <si>
    <t>Received</t>
  </si>
  <si>
    <t>Stub</t>
  </si>
  <si>
    <t>DA</t>
  </si>
  <si>
    <t>DB</t>
  </si>
  <si>
    <t>DC</t>
  </si>
  <si>
    <t>DD</t>
  </si>
  <si>
    <t>Gantry UC</t>
  </si>
  <si>
    <t>Tower</t>
  </si>
  <si>
    <t>Insulator</t>
  </si>
  <si>
    <t>%</t>
  </si>
  <si>
    <t>Hardware Fittings</t>
  </si>
  <si>
    <t>Supply Progress of 132kV Line</t>
  </si>
  <si>
    <t>DD Aux</t>
  </si>
  <si>
    <t>Visual Chart of 220kV Line</t>
  </si>
  <si>
    <t>31/0</t>
  </si>
  <si>
    <t>Progress at a Glance (220kV Line)</t>
  </si>
  <si>
    <t>400kV Line</t>
  </si>
  <si>
    <t>Water Reservior</t>
  </si>
  <si>
    <t>Stringing (F/O)</t>
  </si>
  <si>
    <t xml:space="preserve">Date : </t>
  </si>
  <si>
    <t>Description</t>
  </si>
  <si>
    <t>Total Qty.</t>
  </si>
  <si>
    <t xml:space="preserve">Previous month </t>
  </si>
  <si>
    <t>Cum. Target as per L2</t>
  </si>
  <si>
    <t>Cum. Progress</t>
  </si>
  <si>
    <t>Target as per L2</t>
  </si>
  <si>
    <t>Today's Progress</t>
  </si>
  <si>
    <t>Progress</t>
  </si>
  <si>
    <t>KM</t>
  </si>
  <si>
    <t>KMs</t>
  </si>
  <si>
    <t>Krishna Construction</t>
  </si>
  <si>
    <t>P/O</t>
  </si>
  <si>
    <t>FS</t>
  </si>
  <si>
    <t>14/12/25</t>
  </si>
  <si>
    <t>13/12/25</t>
  </si>
  <si>
    <t>17/12/25</t>
  </si>
  <si>
    <t>17/12/2025</t>
  </si>
  <si>
    <t>15/12/25</t>
  </si>
  <si>
    <t>19/12/25</t>
  </si>
  <si>
    <t>Shree Shyam Construction</t>
  </si>
  <si>
    <t>28/12/25</t>
  </si>
  <si>
    <t>30/12/25</t>
  </si>
  <si>
    <t>31/12/25</t>
  </si>
  <si>
    <t>Suman</t>
  </si>
  <si>
    <t>33/1</t>
  </si>
  <si>
    <t>35/0</t>
  </si>
  <si>
    <t>6/1</t>
  </si>
  <si>
    <t>6/2</t>
  </si>
  <si>
    <t>6/3</t>
  </si>
  <si>
    <t>6/4</t>
  </si>
  <si>
    <t>Yash Infra</t>
  </si>
  <si>
    <t>220KV S/C RUMS Line</t>
  </si>
  <si>
    <t>132KV S/C RUMS Line</t>
  </si>
  <si>
    <t>33/1-34/0</t>
  </si>
  <si>
    <t>34/0-35/0</t>
  </si>
  <si>
    <t>Proposal Submitted Awaiting for approval</t>
  </si>
  <si>
    <t>4/1-4/2</t>
  </si>
  <si>
    <t>1/16/206</t>
  </si>
  <si>
    <t>Jai Swami</t>
  </si>
  <si>
    <t>Existing Tower</t>
  </si>
  <si>
    <t>SC-4</t>
  </si>
  <si>
    <t>DD+9(220KV)</t>
  </si>
  <si>
    <t>Sc-3</t>
  </si>
  <si>
    <t>DD+9 (220KV)</t>
  </si>
  <si>
    <t>SC-2</t>
  </si>
  <si>
    <t>SC-1</t>
  </si>
  <si>
    <t>2/2/22026</t>
  </si>
  <si>
    <t>Gnty</t>
  </si>
  <si>
    <t>Harshvivek</t>
  </si>
  <si>
    <t>2/8/206</t>
  </si>
  <si>
    <t>New Tech Engineer</t>
  </si>
  <si>
    <t>33/0 (New)</t>
  </si>
  <si>
    <t>33/1 (New)</t>
  </si>
  <si>
    <t>34/0 (New)</t>
  </si>
  <si>
    <t>35/0 (New)</t>
  </si>
  <si>
    <t>19/2/2026</t>
  </si>
  <si>
    <t>Hydro GTY</t>
  </si>
  <si>
    <t>Existing Tower-1</t>
  </si>
  <si>
    <t>Exting  Tower-2</t>
  </si>
  <si>
    <t>Exting  Tower-3</t>
  </si>
  <si>
    <t>Exting  Tower-4</t>
  </si>
  <si>
    <t>Exting  Tower-5</t>
  </si>
  <si>
    <t>Exting Tapping Tower-6</t>
  </si>
  <si>
    <t>Exting  Tower-7</t>
  </si>
  <si>
    <t>SC-5</t>
  </si>
  <si>
    <t>SK Basirul</t>
  </si>
  <si>
    <t>Exiting  Tower-7</t>
  </si>
  <si>
    <t>Sawariya seth</t>
  </si>
  <si>
    <t>Jyoti Construction</t>
  </si>
  <si>
    <t>Tokhan Mahto</t>
  </si>
  <si>
    <t>National Construction</t>
  </si>
  <si>
    <t>Yash infra</t>
  </si>
  <si>
    <t>Jai Sawami</t>
  </si>
  <si>
    <t>Navya Associate</t>
  </si>
  <si>
    <t>Chanderiya Gantry</t>
  </si>
  <si>
    <t>30/4/2026</t>
  </si>
  <si>
    <t>Buriya baba</t>
  </si>
  <si>
    <t>22/4/2026</t>
  </si>
  <si>
    <t>24/4/2026</t>
  </si>
  <si>
    <t>CPP</t>
  </si>
  <si>
    <t>SC-3</t>
  </si>
  <si>
    <t>Exiting Tower-1</t>
  </si>
  <si>
    <t>Exiting Tower-2</t>
  </si>
  <si>
    <t>Exiting Tower-3</t>
  </si>
  <si>
    <t>Exiting Tower-4</t>
  </si>
  <si>
    <t>Exiting Tower-5</t>
  </si>
  <si>
    <t>Exiting Tower-6</t>
  </si>
  <si>
    <t>Exiting Tower-7</t>
  </si>
  <si>
    <t>Hydro</t>
  </si>
  <si>
    <t>Progress of Current Month (May'26)</t>
  </si>
  <si>
    <t>Sammirul Sekh</t>
  </si>
  <si>
    <t>U/P</t>
  </si>
  <si>
    <t>Sc-5</t>
  </si>
  <si>
    <t>Prayag Saw</t>
  </si>
  <si>
    <t>Compney Team</t>
  </si>
  <si>
    <t>M K Construction</t>
  </si>
  <si>
    <t xml:space="preserve">34/0 erection under progress </t>
  </si>
  <si>
    <t>cp</t>
  </si>
  <si>
    <t xml:space="preserve">
SC-2 Excavation Under Progress
</t>
  </si>
  <si>
    <t>10/0, 11/0 Jumper work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</si>
</sst>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0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#,##0.00&quot; &quot;;&quot; -&quot;#,##0.00&quot; &quot;;&quot; -&quot;#&quot; &quot;;@&quot; &quot;"/>
    <numFmt numFmtId="167" formatCode="[$-4009]0.00"/>
    <numFmt numFmtId="168" formatCode="#,##0.000"/>
    <numFmt numFmtId="169" formatCode="d/m/yyyy"/>
    <numFmt numFmtId="170" formatCode="[$-4009]0"/>
    <numFmt numFmtId="171" formatCode="0.000"/>
    <numFmt numFmtId="172" formatCode="[$-409]d\-mmm\-yy"/>
    <numFmt numFmtId="173" formatCode="0.0"/>
    <numFmt numFmtId="174" formatCode="_-* #,##0_-;\-* #,##0_-;_-* &quot;-&quot;??_-;_-@"/>
    <numFmt numFmtId="175" formatCode="0.00000"/>
    <numFmt numFmtId="176" formatCode="[$-F800]dddd\,\ mmmm\ dd\,\ yyyy"/>
    <numFmt numFmtId="177" formatCode="[$-409]d/mmm/yy"/>
    <numFmt numFmtId="178" formatCode="_-* #,##0.00_-;\-* #,##0.00_-;_-* &quot;-&quot;??_-;_-@"/>
    <numFmt numFmtId="179" formatCode="[$-409]d\-mmm\-yy;@"/>
    <numFmt numFmtId="180" formatCode="_-&quot;£&quot;* #,##0_-;\-&quot;£&quot;* #,##0_-;_-&quot;£&quot;* &quot;-&quot;_-;_-@_-"/>
    <numFmt numFmtId="181" formatCode="_-&quot;£&quot;* #,##0.00_-;\-&quot;£&quot;* #,##0.00_-;_-&quot;£&quot;* &quot;-&quot;??_-;_-@_-"/>
    <numFmt numFmtId="182" formatCode="_-* #,##0.00_-;\-* #,##0.00_-;_-* &quot;-&quot;??_-;_-@_-"/>
    <numFmt numFmtId="183" formatCode="[$-409]mmm/yy;@"/>
    <numFmt numFmtId="184" formatCode="[$-409]d/mmm/yy;@"/>
    <numFmt numFmtId="185" formatCode="#,##0.0000_);\(#,##0.0000\)"/>
    <numFmt numFmtId="186" formatCode="_-* #,##0\ &quot;F&quot;_-;\-* #,##0\ &quot;F&quot;_-;_-* &quot;-&quot;\ &quot;F&quot;_-;_-@_-"/>
    <numFmt numFmtId="187" formatCode="0.00000_)"/>
    <numFmt numFmtId="188" formatCode="_-* #,##0\ _F_-;\-* #,##0\ _F_-;_-* &quot;-&quot;\ _F_-;_-@_-"/>
    <numFmt numFmtId="189" formatCode="General_)"/>
    <numFmt numFmtId="190" formatCode="&quot;\&quot;#,##0.00;[Red]\-&quot;\&quot;#,##0.00"/>
    <numFmt numFmtId="191" formatCode="#,##0.0"/>
    <numFmt numFmtId="192" formatCode="&quot;Rs.&quot;#,##0.00_);\(&quot;Rs.&quot;#,##0.00\)"/>
    <numFmt numFmtId="193" formatCode="_-* #,##0\ _D_M_-;\-* #,##0\ _D_M_-;_-* &quot;-&quot;\ _D_M_-;_-@_-"/>
    <numFmt numFmtId="194" formatCode="_-* #,##0.00\ _D_M_-;\-* #,##0.00\ _D_M_-;_-* &quot;-&quot;??\ _D_M_-;_-@_-"/>
    <numFmt numFmtId="195" formatCode="_-* #,##0.00\ _F_-;\-* #,##0.00\ _F_-;_-* &quot;-&quot;??\ _F_-;_-@_-"/>
    <numFmt numFmtId="196" formatCode="_-* #,##0.00\ &quot;F&quot;_-;\-* #,##0.00\ &quot;F&quot;_-;_-* &quot;-&quot;??\ &quot;F&quot;_-;_-@_-"/>
    <numFmt numFmtId="197" formatCode="0.00_)"/>
    <numFmt numFmtId="198" formatCode="_ &quot;\&quot;* #,##0_ ;_ &quot;\&quot;* \-#,##0_ ;_ &quot;\&quot;* &quot;-&quot;_ ;_ @_ "/>
    <numFmt numFmtId="199" formatCode="_ &quot;\&quot;* #,##0.00_ ;_ &quot;\&quot;* \-#,##0.00_ ;_ &quot;\&quot;* &quot;-&quot;??_ ;_ @_ "/>
    <numFmt numFmtId="200" formatCode="&quot;Warning&quot;;&quot;Warning&quot;;&quot;OK&quot;"/>
    <numFmt numFmtId="201" formatCode="@\ &quot;mm.&quot;"/>
    <numFmt numFmtId="202" formatCode="\t#,##0_);\(\t#,##0\)"/>
    <numFmt numFmtId="203" formatCode="_(&quot;Rs.&quot;* #,##0_);_(&quot;Rs.&quot;* \(#,##0\);_(&quot;Rs.&quot;* &quot;-&quot;_);_(@_)"/>
    <numFmt numFmtId="204" formatCode="_(&quot;Rs.&quot;* #,##0.00_);_(&quot;Rs.&quot;* \(#,##0.00\);_(&quot;Rs.&quot;* &quot;-&quot;??_);_(@_)"/>
    <numFmt numFmtId="205" formatCode="_-* #,##0\ _k_r_-;\-* #,##0\ _k_r_-;_-* &quot;-&quot;\ _k_r_-;_-@_-"/>
    <numFmt numFmtId="206" formatCode="_-* #,##0.00\ _k_r_-;\-* #,##0.00\ _k_r_-;_-* &quot;-&quot;??\ _k_r_-;_-@_-"/>
    <numFmt numFmtId="207" formatCode="_-* #,##0.00\ [$€]_-;\-* #,##0.00\ [$€]_-;_-* &quot;-&quot;??\ [$€]_-;_-@_-"/>
    <numFmt numFmtId="208" formatCode="_([$€]* #,##0.00_);_([$€]* \(#,##0.00\);_([$€]* &quot;-&quot;??_);_(@_)"/>
    <numFmt numFmtId="209" formatCode="&quot;Rs.&quot;#,##0.00_);[Red]\(&quot;Rs.&quot;#,##0.00\)"/>
    <numFmt numFmtId="210" formatCode="#,##0_-;\ \(#,##0\);_-* &quot;-&quot;??;_-@_-"/>
    <numFmt numFmtId="211" formatCode="#."/>
    <numFmt numFmtId="212" formatCode="0.00\ &quot;x&quot;"/>
    <numFmt numFmtId="213" formatCode="_ &quot;CHF&quot;\ * #,##0_ ;_ &quot;CHF&quot;\ * \-#,##0_ ;_ &quot;CHF&quot;\ * &quot;-&quot;_ ;_ @_ "/>
    <numFmt numFmtId="214" formatCode="_ &quot;kr&quot;\ * #,##0_ ;_ &quot;kr&quot;\ * \-#,##0_ ;_ &quot;kr&quot;\ * &quot;-&quot;_ ;_ @_ "/>
    <numFmt numFmtId="215" formatCode="_ &quot;CHF&quot;\ * #,##0.00_ ;_ &quot;CHF&quot;\ * \-#,##0.00_ ;_ &quot;CHF&quot;\ * &quot;-&quot;??_ ;_ @_ "/>
    <numFmt numFmtId="216" formatCode="_-* #,##0\ &quot;kr&quot;_-;\-* #,##0\ &quot;kr&quot;_-;_-* &quot;-&quot;\ &quot;kr&quot;_-;_-@_-"/>
    <numFmt numFmtId="217" formatCode="_-* #,##0.00\ &quot;kr&quot;_-;\-* #,##0.00\ &quot;kr&quot;_-;_-* &quot;-&quot;??\ &quot;kr&quot;_-;_-@_-"/>
    <numFmt numFmtId="218" formatCode="[$-409]dd\-mmm\-yy;@"/>
    <numFmt numFmtId="219" formatCode="[$-409]dd/mmm/yy;@"/>
  </numFmts>
  <fonts count="149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dani Regular"/>
    </font>
    <font>
      <sz val="10"/>
      <color theme="1"/>
      <name val="Adani Regular"/>
    </font>
    <font>
      <sz val="12"/>
      <color theme="1"/>
      <name val="Adani Regular"/>
    </font>
    <font>
      <sz val="12"/>
      <color rgb="FFFF0000"/>
      <name val="Adani Regular"/>
    </font>
    <font>
      <b/>
      <sz val="12"/>
      <color theme="1"/>
      <name val="Arial"/>
      <family val="2"/>
    </font>
    <font>
      <b/>
      <sz val="12"/>
      <color theme="1"/>
      <name val="Adani Regular"/>
    </font>
    <font>
      <b/>
      <sz val="18"/>
      <color theme="1"/>
      <name val="Adani Regular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Aptos"/>
      <family val="2"/>
    </font>
    <font>
      <b/>
      <sz val="10"/>
      <color theme="1"/>
      <name val="Calibri"/>
      <family val="2"/>
    </font>
    <font>
      <sz val="11"/>
      <color theme="4"/>
      <name val="Calibri"/>
      <family val="2"/>
    </font>
    <font>
      <sz val="11"/>
      <color theme="1"/>
      <name val="Calibri"/>
      <family val="2"/>
    </font>
    <font>
      <sz val="11"/>
      <color rgb="FF242424"/>
      <name val="Calibri"/>
      <family val="2"/>
    </font>
    <font>
      <b/>
      <sz val="11"/>
      <color rgb="FFFF0000"/>
      <name val="Calibri"/>
      <family val="2"/>
    </font>
    <font>
      <sz val="11"/>
      <color rgb="FF006100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mbria"/>
      <family val="2"/>
    </font>
    <font>
      <sz val="10"/>
      <name val="Verdana"/>
      <family val="2"/>
    </font>
    <font>
      <sz val="10"/>
      <name val="Arial"/>
      <family val="2"/>
    </font>
    <font>
      <b/>
      <sz val="11"/>
      <color indexed="8"/>
      <name val="Calibri"/>
      <family val="2"/>
    </font>
    <font>
      <sz val="11"/>
      <name val="Times New Roman"/>
      <family val="1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9"/>
      <name val="Calibri"/>
      <family val="2"/>
    </font>
    <font>
      <sz val="14"/>
      <name val="AngsanaUPC"/>
      <family val="1"/>
    </font>
    <font>
      <sz val="10"/>
      <name val="Helv"/>
    </font>
    <font>
      <sz val="11"/>
      <color indexed="20"/>
      <name val="Calibri"/>
      <family val="2"/>
    </font>
    <font>
      <sz val="11"/>
      <color indexed="16"/>
      <name val="Calibri"/>
      <family val="2"/>
    </font>
    <font>
      <sz val="10"/>
      <name val="MS Sans Serif"/>
      <family val="2"/>
    </font>
    <font>
      <sz val="12"/>
      <name val="¹ÙÅÁÃ¼"/>
      <charset val="129"/>
    </font>
    <font>
      <b/>
      <sz val="11"/>
      <color indexed="52"/>
      <name val="Calibri"/>
      <family val="2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1"/>
      <name val="Courier"/>
      <family val="3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10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u/>
      <sz val="10"/>
      <color indexed="12"/>
      <name val="Arial"/>
      <family val="2"/>
    </font>
    <font>
      <u/>
      <sz val="9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53"/>
      <name val="Calibri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name val="Helv"/>
      <family val="2"/>
    </font>
    <font>
      <b/>
      <sz val="11"/>
      <color indexed="63"/>
      <name val="Calibri"/>
      <family val="2"/>
    </font>
    <font>
      <b/>
      <sz val="10"/>
      <name val="Arial CE"/>
      <family val="2"/>
      <charset val="238"/>
    </font>
    <font>
      <b/>
      <sz val="18"/>
      <color indexed="62"/>
      <name val="Cambria"/>
      <family val="2"/>
    </font>
    <font>
      <u/>
      <sz val="9"/>
      <color indexed="36"/>
      <name val="Arial"/>
      <family val="2"/>
    </font>
    <font>
      <b/>
      <sz val="11"/>
      <name val="Times New Roman"/>
      <family val="1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2"/>
      <name val="바탕체"/>
      <family val="1"/>
      <charset val="129"/>
    </font>
    <font>
      <b/>
      <sz val="12"/>
      <name val="Times New Roman"/>
      <family val="1"/>
    </font>
    <font>
      <sz val="12"/>
      <name val="Times New Roman"/>
      <family val="1"/>
    </font>
    <font>
      <sz val="10"/>
      <color indexed="16"/>
      <name val="Arial"/>
      <family val="2"/>
    </font>
    <font>
      <b/>
      <sz val="10"/>
      <color indexed="52"/>
      <name val="Arial"/>
      <family val="2"/>
    </font>
    <font>
      <b/>
      <sz val="10"/>
      <color indexed="16"/>
      <name val="Arial"/>
      <family val="2"/>
    </font>
    <font>
      <b/>
      <sz val="10"/>
      <name val="Helv"/>
    </font>
    <font>
      <sz val="8"/>
      <name val="Helvetica-Narrow"/>
    </font>
    <font>
      <sz val="10"/>
      <color indexed="55"/>
      <name val="Arial"/>
      <family val="2"/>
    </font>
    <font>
      <sz val="12"/>
      <name val="Courier"/>
      <family val="3"/>
    </font>
    <font>
      <sz val="11"/>
      <name val="ＭＳ ゴシック"/>
      <family val="3"/>
      <charset val="128"/>
    </font>
    <font>
      <b/>
      <sz val="1"/>
      <color indexed="8"/>
      <name val="Courier"/>
      <family val="3"/>
    </font>
    <font>
      <b/>
      <sz val="10"/>
      <color indexed="36"/>
      <name val="Arial"/>
      <family val="2"/>
    </font>
    <font>
      <sz val="10"/>
      <color indexed="23"/>
      <name val="Arial"/>
      <family val="2"/>
    </font>
    <font>
      <b/>
      <sz val="12"/>
      <name val="Helv"/>
    </font>
    <font>
      <b/>
      <sz val="12"/>
      <color indexed="62"/>
      <name val="Arial"/>
      <family val="2"/>
    </font>
    <font>
      <sz val="11"/>
      <color indexed="61"/>
      <name val="Arial"/>
      <family val="2"/>
    </font>
    <font>
      <sz val="10"/>
      <color indexed="18"/>
      <name val="Arial"/>
      <family val="2"/>
    </font>
    <font>
      <u/>
      <sz val="11"/>
      <name val="Arial"/>
      <family val="2"/>
    </font>
    <font>
      <b/>
      <sz val="1"/>
      <color indexed="16"/>
      <name val="Courier"/>
      <family val="3"/>
    </font>
    <font>
      <sz val="12"/>
      <name val="Marigold"/>
      <family val="4"/>
    </font>
    <font>
      <u/>
      <sz val="10"/>
      <color theme="10"/>
      <name val="Arial"/>
      <family val="2"/>
    </font>
    <font>
      <u/>
      <sz val="7.2"/>
      <color indexed="12"/>
      <name val="Arial"/>
      <family val="2"/>
    </font>
    <font>
      <u/>
      <sz val="9.5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10"/>
      <color indexed="62"/>
      <name val="Arial"/>
      <family val="2"/>
    </font>
    <font>
      <b/>
      <sz val="15"/>
      <color indexed="9"/>
      <name val="Arial"/>
      <family val="2"/>
    </font>
    <font>
      <b/>
      <sz val="11"/>
      <name val="Helv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2"/>
      <color theme="1"/>
      <name val="Times New Roman"/>
      <family val="2"/>
    </font>
    <font>
      <sz val="11"/>
      <color theme="1"/>
      <name val="Calibri"/>
      <family val="2"/>
      <charset val="1"/>
      <scheme val="minor"/>
    </font>
    <font>
      <sz val="10"/>
      <color indexed="17"/>
      <name val="Arial"/>
      <family val="2"/>
    </font>
    <font>
      <b/>
      <sz val="10"/>
      <color indexed="63"/>
      <name val="Arial"/>
      <family val="2"/>
    </font>
    <font>
      <b/>
      <sz val="10"/>
      <color indexed="56"/>
      <name val="Arial"/>
      <family val="2"/>
    </font>
    <font>
      <b/>
      <sz val="14"/>
      <color indexed="9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9"/>
      <name val="Arial"/>
      <family val="2"/>
    </font>
    <font>
      <b/>
      <sz val="12"/>
      <color indexed="48"/>
      <name val="Arial"/>
      <family val="2"/>
    </font>
    <font>
      <sz val="10"/>
      <color indexed="9"/>
      <name val="Arial"/>
      <family val="2"/>
    </font>
    <font>
      <b/>
      <sz val="10"/>
      <color indexed="8"/>
      <name val="Arial"/>
      <family val="2"/>
    </font>
    <font>
      <sz val="11"/>
      <name val="Arial"/>
      <family val="2"/>
    </font>
    <font>
      <b/>
      <sz val="10"/>
      <color indexed="18"/>
      <name val="Arial"/>
      <family val="2"/>
    </font>
    <font>
      <sz val="12"/>
      <name val="돋움체"/>
      <family val="3"/>
      <charset val="129"/>
    </font>
    <font>
      <sz val="12"/>
      <name val="宋体"/>
      <charset val="134"/>
    </font>
    <font>
      <sz val="11"/>
      <name val="明朝"/>
      <family val="1"/>
      <charset val="128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  <charset val="134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Arial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</font>
    <font>
      <b/>
      <sz val="9"/>
      <color theme="1"/>
      <name val="Calibri"/>
      <family val="2"/>
      <scheme val="minor"/>
    </font>
  </fonts>
  <fills count="97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  <fill>
      <patternFill patternType="solid">
        <fgColor rgb="FF92D050"/>
        <bgColor rgb="FF92D050"/>
      </patternFill>
    </fill>
    <fill>
      <patternFill patternType="solid">
        <fgColor rgb="FF66FFFF"/>
        <bgColor rgb="FF66FFFF"/>
      </patternFill>
    </fill>
    <fill>
      <patternFill patternType="solid">
        <fgColor rgb="FFFF6600"/>
        <bgColor rgb="FFFF6600"/>
      </patternFill>
    </fill>
    <fill>
      <patternFill patternType="solid">
        <fgColor rgb="FFDDEBF7"/>
        <bgColor rgb="FFDDEBF7"/>
      </patternFill>
    </fill>
    <fill>
      <patternFill patternType="solid">
        <fgColor rgb="FFFFC000"/>
        <bgColor rgb="FFFFC000"/>
      </patternFill>
    </fill>
    <fill>
      <patternFill patternType="solid">
        <fgColor rgb="FF99FF99"/>
        <bgColor rgb="FF99FF99"/>
      </patternFill>
    </fill>
    <fill>
      <patternFill patternType="solid">
        <fgColor rgb="FF7F7F7F"/>
        <bgColor rgb="FF7F7F7F"/>
      </patternFill>
    </fill>
    <fill>
      <patternFill patternType="solid">
        <fgColor rgb="FFFFFFCC"/>
        <bgColor rgb="FFFFFFCC"/>
      </patternFill>
    </fill>
    <fill>
      <patternFill patternType="solid">
        <fgColor rgb="FFFF0000"/>
        <bgColor rgb="FFFF0000"/>
      </patternFill>
    </fill>
    <fill>
      <patternFill patternType="solid">
        <fgColor rgb="FFD6DCE4"/>
        <bgColor rgb="FFD6DCE4"/>
      </patternFill>
    </fill>
    <fill>
      <patternFill patternType="solid">
        <fgColor rgb="FFAEABAB"/>
        <bgColor rgb="FFAEABAB"/>
      </patternFill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  <fill>
      <patternFill patternType="solid">
        <fgColor rgb="FFC5E0B3"/>
        <bgColor rgb="FFC5E0B3"/>
      </patternFill>
    </fill>
    <fill>
      <patternFill patternType="solid">
        <fgColor rgb="FFDAEEF3"/>
        <bgColor rgb="FFDAEEF3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25"/>
        <bgColor indexed="25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9"/>
        <bgColor indexed="49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22"/>
      </patternFill>
    </fill>
    <fill>
      <patternFill patternType="solid">
        <fgColor indexed="9"/>
        <bgColor indexed="9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43"/>
        <bgColor indexed="43"/>
      </patternFill>
    </fill>
    <fill>
      <patternFill patternType="solid">
        <fgColor indexed="26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7"/>
        <bgColor indexed="64"/>
      </patternFill>
    </fill>
    <fill>
      <patternFill patternType="lightGray">
        <bgColor indexed="9"/>
      </patternFill>
    </fill>
    <fill>
      <patternFill patternType="lightUp">
        <fgColor indexed="14"/>
        <bgColor indexed="45"/>
      </patternFill>
    </fill>
    <fill>
      <patternFill patternType="solid">
        <fgColor indexed="9"/>
        <bgColor indexed="64"/>
      </patternFill>
    </fill>
    <fill>
      <patternFill patternType="lightDown">
        <fgColor indexed="23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6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/>
      <bottom style="medium">
        <color indexed="64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36"/>
      </left>
      <right style="thin">
        <color indexed="36"/>
      </right>
      <top style="thin">
        <color indexed="36"/>
      </top>
      <bottom style="thin">
        <color indexed="36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425">
    <xf numFmtId="0" fontId="0" fillId="0" borderId="0"/>
    <xf numFmtId="0" fontId="10" fillId="0" borderId="18"/>
    <xf numFmtId="0" fontId="39" fillId="0" borderId="18"/>
    <xf numFmtId="0" fontId="10" fillId="0" borderId="18"/>
    <xf numFmtId="0" fontId="40" fillId="0" borderId="18"/>
    <xf numFmtId="183" fontId="10" fillId="0" borderId="18"/>
    <xf numFmtId="183" fontId="40" fillId="0" borderId="18"/>
    <xf numFmtId="0" fontId="10" fillId="0" borderId="18"/>
    <xf numFmtId="0" fontId="40" fillId="0" borderId="18"/>
    <xf numFmtId="0" fontId="40" fillId="0" borderId="18"/>
    <xf numFmtId="0" fontId="42" fillId="0" borderId="18"/>
    <xf numFmtId="0" fontId="40" fillId="0" borderId="18"/>
    <xf numFmtId="0" fontId="40" fillId="0" borderId="18"/>
    <xf numFmtId="0" fontId="10" fillId="0" borderId="18"/>
    <xf numFmtId="0" fontId="10" fillId="23" borderId="18" applyNumberFormat="0" applyBorder="0" applyAlignment="0" applyProtection="0"/>
    <xf numFmtId="0" fontId="43" fillId="28" borderId="18" applyNumberFormat="0" applyBorder="0" applyAlignment="0" applyProtection="0"/>
    <xf numFmtId="0" fontId="43" fillId="28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10" fillId="25" borderId="18" applyNumberFormat="0" applyBorder="0" applyAlignment="0" applyProtection="0"/>
    <xf numFmtId="0" fontId="43" fillId="36" borderId="18" applyNumberFormat="0" applyBorder="0" applyAlignment="0" applyProtection="0"/>
    <xf numFmtId="0" fontId="43" fillId="36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5" fillId="38" borderId="18" applyNumberFormat="0" applyBorder="0" applyAlignment="0" applyProtection="0"/>
    <xf numFmtId="0" fontId="45" fillId="38" borderId="18" applyNumberFormat="0" applyBorder="0" applyAlignment="0" applyProtection="0"/>
    <xf numFmtId="0" fontId="45" fillId="38" borderId="18" applyNumberFormat="0" applyBorder="0" applyAlignment="0" applyProtection="0"/>
    <xf numFmtId="0" fontId="45" fillId="35" borderId="18" applyNumberFormat="0" applyBorder="0" applyAlignment="0" applyProtection="0"/>
    <xf numFmtId="0" fontId="45" fillId="35" borderId="18" applyNumberFormat="0" applyBorder="0" applyAlignment="0" applyProtection="0"/>
    <xf numFmtId="0" fontId="45" fillId="35" borderId="18" applyNumberFormat="0" applyBorder="0" applyAlignment="0" applyProtection="0"/>
    <xf numFmtId="0" fontId="45" fillId="36" borderId="18" applyNumberFormat="0" applyBorder="0" applyAlignment="0" applyProtection="0"/>
    <xf numFmtId="0" fontId="45" fillId="36" borderId="18" applyNumberFormat="0" applyBorder="0" applyAlignment="0" applyProtection="0"/>
    <xf numFmtId="0" fontId="45" fillId="36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1" borderId="18" applyNumberFormat="0" applyBorder="0" applyAlignment="0" applyProtection="0"/>
    <xf numFmtId="0" fontId="45" fillId="41" borderId="18" applyNumberFormat="0" applyBorder="0" applyAlignment="0" applyProtection="0"/>
    <xf numFmtId="0" fontId="45" fillId="41" borderId="18" applyNumberFormat="0" applyBorder="0" applyAlignment="0" applyProtection="0"/>
    <xf numFmtId="9" fontId="46" fillId="0" borderId="18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4" borderId="18" applyNumberFormat="0" applyBorder="0" applyAlignment="0" applyProtection="0"/>
    <xf numFmtId="0" fontId="45" fillId="44" borderId="18" applyNumberFormat="0" applyBorder="0" applyAlignment="0" applyProtection="0"/>
    <xf numFmtId="0" fontId="45" fillId="44" borderId="18" applyNumberFormat="0" applyBorder="0" applyAlignment="0" applyProtection="0"/>
    <xf numFmtId="0" fontId="45" fillId="45" borderId="18" applyNumberFormat="0" applyBorder="0" applyAlignment="0" applyProtection="0"/>
    <xf numFmtId="0" fontId="45" fillId="45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8" borderId="18" applyNumberFormat="0" applyBorder="0" applyAlignment="0" applyProtection="0"/>
    <xf numFmtId="0" fontId="45" fillId="49" borderId="18" applyNumberFormat="0" applyBorder="0" applyAlignment="0" applyProtection="0"/>
    <xf numFmtId="0" fontId="45" fillId="49" borderId="18" applyNumberFormat="0" applyBorder="0" applyAlignment="0" applyProtection="0"/>
    <xf numFmtId="0" fontId="45" fillId="49" borderId="18" applyNumberFormat="0" applyBorder="0" applyAlignment="0" applyProtection="0"/>
    <xf numFmtId="0" fontId="45" fillId="50" borderId="18" applyNumberFormat="0" applyBorder="0" applyAlignment="0" applyProtection="0"/>
    <xf numFmtId="0" fontId="45" fillId="50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1" borderId="18" applyNumberFormat="0" applyBorder="0" applyAlignment="0" applyProtection="0"/>
    <xf numFmtId="0" fontId="43" fillId="51" borderId="18" applyNumberFormat="0" applyBorder="0" applyAlignment="0" applyProtection="0"/>
    <xf numFmtId="0" fontId="45" fillId="47" borderId="18" applyNumberFormat="0" applyBorder="0" applyAlignment="0" applyProtection="0"/>
    <xf numFmtId="0" fontId="45" fillId="52" borderId="18" applyNumberFormat="0" applyBorder="0" applyAlignment="0" applyProtection="0"/>
    <xf numFmtId="0" fontId="45" fillId="52" borderId="18" applyNumberFormat="0" applyBorder="0" applyAlignment="0" applyProtection="0"/>
    <xf numFmtId="0" fontId="45" fillId="52" borderId="18" applyNumberFormat="0" applyBorder="0" applyAlignment="0" applyProtection="0"/>
    <xf numFmtId="0" fontId="45" fillId="48" borderId="18" applyNumberFormat="0" applyBorder="0" applyAlignment="0" applyProtection="0"/>
    <xf numFmtId="0" fontId="45" fillId="48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7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45" borderId="18" applyNumberFormat="0" applyBorder="0" applyAlignment="0" applyProtection="0"/>
    <xf numFmtId="0" fontId="45" fillId="45" borderId="18" applyNumberFormat="0" applyBorder="0" applyAlignment="0" applyProtection="0"/>
    <xf numFmtId="0" fontId="43" fillId="53" borderId="18" applyNumberFormat="0" applyBorder="0" applyAlignment="0" applyProtection="0"/>
    <xf numFmtId="0" fontId="43" fillId="53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54" borderId="18" applyNumberFormat="0" applyBorder="0" applyAlignment="0" applyProtection="0"/>
    <xf numFmtId="0" fontId="45" fillId="54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5" borderId="18" applyNumberFormat="0" applyBorder="0" applyAlignment="0" applyProtection="0"/>
    <xf numFmtId="0" fontId="43" fillId="55" borderId="18" applyNumberFormat="0" applyBorder="0" applyAlignment="0" applyProtection="0"/>
    <xf numFmtId="0" fontId="45" fillId="55" borderId="18" applyNumberFormat="0" applyBorder="0" applyAlignment="0" applyProtection="0"/>
    <xf numFmtId="0" fontId="45" fillId="56" borderId="18" applyNumberFormat="0" applyBorder="0" applyAlignment="0" applyProtection="0"/>
    <xf numFmtId="0" fontId="45" fillId="56" borderId="18" applyNumberFormat="0" applyBorder="0" applyAlignment="0" applyProtection="0"/>
    <xf numFmtId="0" fontId="45" fillId="56" borderId="18" applyNumberFormat="0" applyBorder="0" applyAlignment="0" applyProtection="0"/>
    <xf numFmtId="0" fontId="45" fillId="57" borderId="18" applyNumberFormat="0" applyBorder="0" applyAlignment="0" applyProtection="0"/>
    <xf numFmtId="0" fontId="45" fillId="57" borderId="18" applyNumberFormat="0" applyBorder="0" applyAlignment="0" applyProtection="0"/>
    <xf numFmtId="185" fontId="46" fillId="0" borderId="18" applyFont="0" applyFill="0" applyBorder="0" applyAlignment="0" applyProtection="0"/>
    <xf numFmtId="186" fontId="46" fillId="0" borderId="18" applyFont="0" applyFill="0" applyBorder="0" applyAlignment="0" applyProtection="0"/>
    <xf numFmtId="0" fontId="47" fillId="0" borderId="18"/>
    <xf numFmtId="0" fontId="47" fillId="0" borderId="18"/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187" fontId="46" fillId="0" borderId="18" applyFont="0" applyFill="0" applyBorder="0" applyAlignment="0" applyProtection="0"/>
    <xf numFmtId="188" fontId="46" fillId="0" borderId="18" applyFont="0" applyFill="0" applyBorder="0" applyAlignment="0" applyProtection="0"/>
    <xf numFmtId="189" fontId="44" fillId="0" borderId="88">
      <protection locked="0"/>
    </xf>
    <xf numFmtId="0" fontId="48" fillId="29" borderId="18" applyNumberFormat="0" applyBorder="0" applyAlignment="0" applyProtection="0"/>
    <xf numFmtId="0" fontId="49" fillId="58" borderId="18" applyNumberFormat="0" applyBorder="0" applyAlignment="0" applyProtection="0"/>
    <xf numFmtId="0" fontId="49" fillId="58" borderId="18" applyNumberFormat="0" applyBorder="0" applyAlignment="0" applyProtection="0"/>
    <xf numFmtId="38" fontId="50" fillId="0" borderId="18" applyFill="0" applyBorder="0" applyAlignment="0" applyProtection="0"/>
    <xf numFmtId="0" fontId="51" fillId="0" borderId="18"/>
    <xf numFmtId="0" fontId="52" fillId="59" borderId="89" applyNumberFormat="0" applyAlignment="0" applyProtection="0"/>
    <xf numFmtId="0" fontId="53" fillId="60" borderId="89" applyNumberFormat="0" applyAlignment="0" applyProtection="0"/>
    <xf numFmtId="0" fontId="53" fillId="60" borderId="89" applyNumberFormat="0" applyAlignment="0" applyProtection="0"/>
    <xf numFmtId="0" fontId="54" fillId="61" borderId="90" applyNumberFormat="0" applyAlignment="0" applyProtection="0"/>
    <xf numFmtId="0" fontId="54" fillId="48" borderId="90" applyNumberFormat="0" applyAlignment="0" applyProtection="0"/>
    <xf numFmtId="0" fontId="54" fillId="48" borderId="90" applyNumberFormat="0" applyAlignment="0" applyProtection="0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0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89" fontId="55" fillId="0" borderId="91" applyNumberFormat="0" applyBorder="0" applyAlignment="0" applyProtection="0">
      <protection locked="0"/>
    </xf>
    <xf numFmtId="0" fontId="41" fillId="62" borderId="18" applyNumberFormat="0" applyBorder="0" applyAlignment="0" applyProtection="0"/>
    <xf numFmtId="0" fontId="41" fillId="63" borderId="18" applyNumberFormat="0" applyBorder="0" applyAlignment="0" applyProtection="0"/>
    <xf numFmtId="0" fontId="41" fillId="64" borderId="18" applyNumberFormat="0" applyBorder="0" applyAlignment="0" applyProtection="0"/>
    <xf numFmtId="0" fontId="56" fillId="0" borderId="18" applyNumberFormat="0" applyFill="0" applyBorder="0" applyAlignment="0" applyProtection="0"/>
    <xf numFmtId="0" fontId="56" fillId="0" borderId="18" applyNumberFormat="0" applyFill="0" applyBorder="0" applyAlignment="0" applyProtection="0"/>
    <xf numFmtId="0" fontId="56" fillId="0" borderId="18" applyNumberFormat="0" applyFill="0" applyBorder="0" applyAlignment="0" applyProtection="0"/>
    <xf numFmtId="0" fontId="57" fillId="0" borderId="18">
      <protection locked="0"/>
    </xf>
    <xf numFmtId="0" fontId="57" fillId="0" borderId="18">
      <protection locked="0"/>
    </xf>
    <xf numFmtId="0" fontId="58" fillId="0" borderId="18">
      <protection locked="0"/>
    </xf>
    <xf numFmtId="0" fontId="57" fillId="0" borderId="18">
      <protection locked="0"/>
    </xf>
    <xf numFmtId="0" fontId="57" fillId="0" borderId="18">
      <protection locked="0"/>
    </xf>
    <xf numFmtId="0" fontId="57" fillId="0" borderId="18">
      <protection locked="0"/>
    </xf>
    <xf numFmtId="0" fontId="58" fillId="0" borderId="18">
      <protection locked="0"/>
    </xf>
    <xf numFmtId="0" fontId="44" fillId="0" borderId="92" applyNumberFormat="0" applyFill="0" applyBorder="0" applyAlignment="0" applyProtection="0">
      <protection locked="0"/>
    </xf>
    <xf numFmtId="191" fontId="59" fillId="0" borderId="93">
      <alignment horizontal="right"/>
    </xf>
    <xf numFmtId="0" fontId="60" fillId="30" borderId="18" applyNumberFormat="0" applyBorder="0" applyAlignment="0" applyProtection="0"/>
    <xf numFmtId="0" fontId="60" fillId="51" borderId="18" applyNumberFormat="0" applyBorder="0" applyAlignment="0" applyProtection="0"/>
    <xf numFmtId="0" fontId="60" fillId="51" borderId="18" applyNumberFormat="0" applyBorder="0" applyAlignment="0" applyProtection="0"/>
    <xf numFmtId="38" fontId="61" fillId="27" borderId="18" applyNumberFormat="0" applyBorder="0" applyAlignment="0" applyProtection="0"/>
    <xf numFmtId="0" fontId="62" fillId="0" borderId="86" applyNumberFormat="0" applyAlignment="0" applyProtection="0">
      <alignment horizontal="left" vertical="center"/>
    </xf>
    <xf numFmtId="0" fontId="62" fillId="0" borderId="80">
      <alignment horizontal="left" vertical="center"/>
    </xf>
    <xf numFmtId="0" fontId="63" fillId="0" borderId="94" applyNumberFormat="0" applyFill="0" applyAlignment="0" applyProtection="0"/>
    <xf numFmtId="0" fontId="64" fillId="0" borderId="95" applyNumberFormat="0" applyFill="0" applyAlignment="0" applyProtection="0"/>
    <xf numFmtId="0" fontId="64" fillId="0" borderId="95" applyNumberFormat="0" applyFill="0" applyAlignment="0" applyProtection="0"/>
    <xf numFmtId="0" fontId="65" fillId="0" borderId="96" applyNumberFormat="0" applyFill="0" applyAlignment="0" applyProtection="0"/>
    <xf numFmtId="0" fontId="66" fillId="0" borderId="96" applyNumberFormat="0" applyFill="0" applyAlignment="0" applyProtection="0"/>
    <xf numFmtId="0" fontId="66" fillId="0" borderId="96" applyNumberFormat="0" applyFill="0" applyAlignment="0" applyProtection="0"/>
    <xf numFmtId="0" fontId="67" fillId="0" borderId="97" applyNumberFormat="0" applyFill="0" applyAlignment="0" applyProtection="0"/>
    <xf numFmtId="0" fontId="68" fillId="0" borderId="98" applyNumberFormat="0" applyFill="0" applyAlignment="0" applyProtection="0"/>
    <xf numFmtId="0" fontId="68" fillId="0" borderId="98" applyNumberFormat="0" applyFill="0" applyAlignment="0" applyProtection="0"/>
    <xf numFmtId="0" fontId="67" fillId="0" borderId="18" applyNumberFormat="0" applyFill="0" applyBorder="0" applyAlignment="0" applyProtection="0"/>
    <xf numFmtId="0" fontId="68" fillId="0" borderId="18" applyNumberFormat="0" applyFill="0" applyBorder="0" applyAlignment="0" applyProtection="0"/>
    <xf numFmtId="0" fontId="68" fillId="0" borderId="18" applyNumberFormat="0" applyFill="0" applyBorder="0" applyAlignment="0" applyProtection="0"/>
    <xf numFmtId="0" fontId="69" fillId="0" borderId="18" applyNumberFormat="0" applyFill="0" applyBorder="0" applyAlignment="0" applyProtection="0">
      <alignment vertical="top"/>
      <protection locked="0"/>
    </xf>
    <xf numFmtId="0" fontId="70" fillId="0" borderId="18" applyNumberFormat="0" applyFill="0" applyBorder="0" applyAlignment="0" applyProtection="0">
      <alignment vertical="top"/>
      <protection locked="0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0" fontId="61" fillId="65" borderId="82" applyNumberFormat="0" applyBorder="0" applyAlignment="0" applyProtection="0"/>
    <xf numFmtId="0" fontId="71" fillId="33" borderId="89" applyNumberFormat="0" applyAlignment="0" applyProtection="0"/>
    <xf numFmtId="0" fontId="71" fillId="33" borderId="89" applyNumberFormat="0" applyAlignment="0" applyProtection="0"/>
    <xf numFmtId="0" fontId="71" fillId="33" borderId="89" applyNumberFormat="0" applyAlignment="0" applyProtection="0"/>
    <xf numFmtId="0" fontId="71" fillId="55" borderId="89" applyNumberFormat="0" applyAlignment="0" applyProtection="0"/>
    <xf numFmtId="0" fontId="71" fillId="55" borderId="89" applyNumberFormat="0" applyAlignment="0" applyProtection="0"/>
    <xf numFmtId="0" fontId="72" fillId="0" borderId="99" applyNumberFormat="0" applyFill="0" applyAlignment="0" applyProtection="0"/>
    <xf numFmtId="0" fontId="73" fillId="0" borderId="99" applyNumberFormat="0" applyFill="0" applyAlignment="0" applyProtection="0"/>
    <xf numFmtId="0" fontId="73" fillId="0" borderId="99" applyNumberFormat="0" applyFill="0" applyAlignment="0" applyProtection="0"/>
    <xf numFmtId="193" fontId="40" fillId="0" borderId="18" applyFont="0" applyFill="0" applyBorder="0" applyAlignment="0" applyProtection="0"/>
    <xf numFmtId="194" fontId="40" fillId="0" borderId="18" applyFont="0" applyFill="0" applyBorder="0" applyAlignment="0" applyProtection="0"/>
    <xf numFmtId="188" fontId="40" fillId="0" borderId="18" applyFont="0" applyFill="0" applyBorder="0" applyAlignment="0" applyProtection="0"/>
    <xf numFmtId="195" fontId="40" fillId="0" borderId="18" applyFont="0" applyFill="0" applyBorder="0" applyAlignment="0" applyProtection="0"/>
    <xf numFmtId="186" fontId="40" fillId="0" borderId="18" applyFont="0" applyFill="0" applyBorder="0" applyAlignment="0" applyProtection="0"/>
    <xf numFmtId="196" fontId="40" fillId="0" borderId="18" applyFont="0" applyFill="0" applyBorder="0" applyAlignment="0" applyProtection="0"/>
    <xf numFmtId="0" fontId="74" fillId="66" borderId="18" applyNumberFormat="0" applyBorder="0" applyAlignment="0" applyProtection="0"/>
    <xf numFmtId="0" fontId="74" fillId="67" borderId="18" applyNumberFormat="0" applyBorder="0" applyAlignment="0" applyProtection="0"/>
    <xf numFmtId="0" fontId="74" fillId="67" borderId="18" applyNumberFormat="0" applyBorder="0" applyAlignment="0" applyProtection="0"/>
    <xf numFmtId="37" fontId="75" fillId="0" borderId="18"/>
    <xf numFmtId="197" fontId="76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0" fontId="39" fillId="0" borderId="18"/>
    <xf numFmtId="0" fontId="10" fillId="0" borderId="18"/>
    <xf numFmtId="0" fontId="39" fillId="0" borderId="18"/>
    <xf numFmtId="0" fontId="10" fillId="0" borderId="18"/>
    <xf numFmtId="0" fontId="40" fillId="0" borderId="18"/>
    <xf numFmtId="0" fontId="40" fillId="0" borderId="18"/>
    <xf numFmtId="0" fontId="39" fillId="0" borderId="18"/>
    <xf numFmtId="0" fontId="39" fillId="0" borderId="18"/>
    <xf numFmtId="0" fontId="10" fillId="0" borderId="18"/>
    <xf numFmtId="0" fontId="10" fillId="0" borderId="18"/>
    <xf numFmtId="0" fontId="10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39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2" fillId="0" borderId="18"/>
    <xf numFmtId="0" fontId="39" fillId="0" borderId="18"/>
    <xf numFmtId="0" fontId="40" fillId="0" borderId="18"/>
    <xf numFmtId="0" fontId="39" fillId="0" borderId="18"/>
    <xf numFmtId="0" fontId="40" fillId="0" borderId="18"/>
    <xf numFmtId="0" fontId="42" fillId="0" borderId="18"/>
    <xf numFmtId="0" fontId="10" fillId="0" borderId="18"/>
    <xf numFmtId="0" fontId="39" fillId="0" borderId="18"/>
    <xf numFmtId="0" fontId="39" fillId="0" borderId="18"/>
    <xf numFmtId="0" fontId="39" fillId="0" borderId="18"/>
    <xf numFmtId="0" fontId="43" fillId="0" borderId="18"/>
    <xf numFmtId="0" fontId="40" fillId="0" borderId="18"/>
    <xf numFmtId="0" fontId="10" fillId="0" borderId="18"/>
    <xf numFmtId="0" fontId="43" fillId="0" borderId="18"/>
    <xf numFmtId="0" fontId="10" fillId="0" borderId="18"/>
    <xf numFmtId="0" fontId="10" fillId="0" borderId="18"/>
    <xf numFmtId="0" fontId="39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10" fillId="0" borderId="18"/>
    <xf numFmtId="0" fontId="43" fillId="0" borderId="18"/>
    <xf numFmtId="0" fontId="40" fillId="0" borderId="18"/>
    <xf numFmtId="0" fontId="39" fillId="0" borderId="18"/>
    <xf numFmtId="0" fontId="10" fillId="0" borderId="18"/>
    <xf numFmtId="0" fontId="39" fillId="0" borderId="18"/>
    <xf numFmtId="0" fontId="43" fillId="0" borderId="18"/>
    <xf numFmtId="0" fontId="40" fillId="0" borderId="18"/>
    <xf numFmtId="0" fontId="39" fillId="0" borderId="18"/>
    <xf numFmtId="0" fontId="40" fillId="0" borderId="18"/>
    <xf numFmtId="0" fontId="39" fillId="0" borderId="18"/>
    <xf numFmtId="0" fontId="40" fillId="0" borderId="18"/>
    <xf numFmtId="0" fontId="10" fillId="0" borderId="18"/>
    <xf numFmtId="0" fontId="40" fillId="0" borderId="18"/>
    <xf numFmtId="0" fontId="40" fillId="0" borderId="18"/>
    <xf numFmtId="0" fontId="77" fillId="0" borderId="18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3" fillId="46" borderId="100" applyNumberFormat="0" applyAlignment="0" applyProtection="0"/>
    <xf numFmtId="0" fontId="43" fillId="46" borderId="100" applyNumberFormat="0" applyAlignment="0" applyProtection="0"/>
    <xf numFmtId="0" fontId="78" fillId="59" borderId="101" applyNumberFormat="0" applyAlignment="0" applyProtection="0"/>
    <xf numFmtId="0" fontId="78" fillId="60" borderId="101" applyNumberFormat="0" applyAlignment="0" applyProtection="0"/>
    <xf numFmtId="0" fontId="78" fillId="60" borderId="101" applyNumberFormat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0" fillId="0" borderId="18" applyFont="0" applyFill="0" applyBorder="0" applyAlignment="0" applyProtection="0"/>
    <xf numFmtId="0" fontId="79" fillId="0" borderId="18" applyFont="0"/>
    <xf numFmtId="0" fontId="80" fillId="0" borderId="18" applyNumberFormat="0" applyFill="0" applyBorder="0" applyAlignment="0" applyProtection="0"/>
    <xf numFmtId="0" fontId="81" fillId="0" borderId="18" applyNumberFormat="0" applyFill="0" applyBorder="0" applyAlignment="0" applyProtection="0">
      <alignment vertical="top"/>
      <protection locked="0"/>
    </xf>
    <xf numFmtId="0" fontId="50" fillId="0" borderId="18"/>
    <xf numFmtId="0" fontId="40" fillId="0" borderId="18"/>
    <xf numFmtId="0" fontId="40" fillId="0" borderId="18"/>
    <xf numFmtId="40" fontId="82" fillId="0" borderId="18"/>
    <xf numFmtId="0" fontId="83" fillId="0" borderId="18" applyNumberFormat="0" applyFill="0" applyBorder="0" applyAlignment="0" applyProtection="0"/>
    <xf numFmtId="0" fontId="83" fillId="0" borderId="18" applyNumberFormat="0" applyFill="0" applyBorder="0" applyAlignment="0" applyProtection="0"/>
    <xf numFmtId="0" fontId="83" fillId="0" borderId="18" applyNumberFormat="0" applyFill="0" applyBorder="0" applyAlignment="0" applyProtection="0"/>
    <xf numFmtId="0" fontId="41" fillId="0" borderId="102" applyNumberFormat="0" applyFill="0" applyAlignment="0" applyProtection="0"/>
    <xf numFmtId="0" fontId="41" fillId="0" borderId="103" applyNumberFormat="0" applyFill="0" applyAlignment="0" applyProtection="0"/>
    <xf numFmtId="0" fontId="41" fillId="0" borderId="103" applyNumberFormat="0" applyFill="0" applyAlignment="0" applyProtection="0"/>
    <xf numFmtId="0" fontId="84" fillId="0" borderId="18" applyNumberFormat="0" applyFill="0" applyBorder="0" applyAlignment="0" applyProtection="0"/>
    <xf numFmtId="0" fontId="84" fillId="0" borderId="18" applyNumberFormat="0" applyFill="0" applyBorder="0" applyAlignment="0" applyProtection="0"/>
    <xf numFmtId="0" fontId="84" fillId="0" borderId="18" applyNumberFormat="0" applyFill="0" applyBorder="0" applyAlignment="0" applyProtection="0"/>
    <xf numFmtId="9" fontId="85" fillId="0" borderId="18" applyFont="0" applyFill="0" applyBorder="0" applyAlignment="0" applyProtection="0"/>
    <xf numFmtId="0" fontId="85" fillId="0" borderId="18"/>
    <xf numFmtId="0" fontId="87" fillId="0" borderId="18"/>
    <xf numFmtId="0" fontId="87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43" fillId="28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43" fillId="36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5" fillId="38" borderId="18" applyNumberFormat="0" applyBorder="0" applyAlignment="0" applyProtection="0"/>
    <xf numFmtId="0" fontId="45" fillId="35" borderId="18" applyNumberFormat="0" applyBorder="0" applyAlignment="0" applyProtection="0"/>
    <xf numFmtId="0" fontId="45" fillId="36" borderId="18" applyNumberFormat="0" applyBorder="0" applyAlignment="0" applyProtection="0"/>
    <xf numFmtId="0" fontId="45" fillId="39" borderId="18" applyNumberFormat="0" applyBorder="0" applyAlignment="0" applyProtection="0"/>
    <xf numFmtId="0" fontId="45" fillId="40" borderId="18" applyNumberFormat="0" applyBorder="0" applyAlignment="0" applyProtection="0"/>
    <xf numFmtId="0" fontId="45" fillId="41" borderId="18" applyNumberFormat="0" applyBorder="0" applyAlignment="0" applyProtection="0"/>
    <xf numFmtId="9" fontId="46" fillId="0" borderId="18"/>
    <xf numFmtId="9" fontId="46" fillId="0" borderId="18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5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8" borderId="18" applyNumberFormat="0" applyBorder="0" applyAlignment="0" applyProtection="0"/>
    <xf numFmtId="0" fontId="45" fillId="50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1" borderId="18" applyNumberFormat="0" applyBorder="0" applyAlignment="0" applyProtection="0"/>
    <xf numFmtId="0" fontId="43" fillId="51" borderId="18" applyNumberFormat="0" applyBorder="0" applyAlignment="0" applyProtection="0"/>
    <xf numFmtId="0" fontId="45" fillId="47" borderId="18" applyNumberFormat="0" applyBorder="0" applyAlignment="0" applyProtection="0"/>
    <xf numFmtId="0" fontId="45" fillId="48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7" borderId="18" applyNumberFormat="0" applyBorder="0" applyAlignment="0" applyProtection="0"/>
    <xf numFmtId="0" fontId="45" fillId="45" borderId="18" applyNumberFormat="0" applyBorder="0" applyAlignment="0" applyProtection="0"/>
    <xf numFmtId="0" fontId="43" fillId="53" borderId="18" applyNumberFormat="0" applyBorder="0" applyAlignment="0" applyProtection="0"/>
    <xf numFmtId="0" fontId="43" fillId="53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54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5" borderId="18" applyNumberFormat="0" applyBorder="0" applyAlignment="0" applyProtection="0"/>
    <xf numFmtId="0" fontId="43" fillId="55" borderId="18" applyNumberFormat="0" applyBorder="0" applyAlignment="0" applyProtection="0"/>
    <xf numFmtId="0" fontId="45" fillId="55" borderId="18" applyNumberFormat="0" applyBorder="0" applyAlignment="0" applyProtection="0"/>
    <xf numFmtId="0" fontId="45" fillId="57" borderId="18" applyNumberFormat="0" applyBorder="0" applyAlignment="0" applyProtection="0"/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88" fillId="69" borderId="105" applyNumberFormat="0"/>
    <xf numFmtId="0" fontId="89" fillId="59" borderId="89" applyNumberFormat="0" applyAlignment="0" applyProtection="0"/>
    <xf numFmtId="0" fontId="53" fillId="60" borderId="89" applyNumberFormat="0" applyAlignment="0" applyProtection="0"/>
    <xf numFmtId="0" fontId="89" fillId="59" borderId="89" applyNumberFormat="0" applyAlignment="0" applyProtection="0"/>
    <xf numFmtId="0" fontId="52" fillId="59" borderId="89" applyNumberFormat="0" applyAlignment="0" applyProtection="0"/>
    <xf numFmtId="0" fontId="89" fillId="59" borderId="89" applyNumberFormat="0" applyAlignment="0" applyProtection="0"/>
    <xf numFmtId="0" fontId="90" fillId="70" borderId="106">
      <alignment horizontal="center"/>
    </xf>
    <xf numFmtId="0" fontId="91" fillId="0" borderId="18"/>
    <xf numFmtId="0" fontId="92" fillId="0" borderId="18">
      <alignment vertical="center"/>
    </xf>
    <xf numFmtId="200" fontId="93" fillId="71" borderId="107">
      <alignment horizontal="center"/>
    </xf>
    <xf numFmtId="0" fontId="54" fillId="48" borderId="90" applyNumberFormat="0" applyAlignment="0" applyProtection="0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38" fontId="95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87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10" fillId="0" borderId="18" applyFont="0" applyFill="0" applyBorder="0" applyAlignment="0" applyProtection="0"/>
    <xf numFmtId="165" fontId="10" fillId="0" borderId="18" applyFont="0" applyFill="0" applyBorder="0" applyAlignment="0" applyProtection="0"/>
    <xf numFmtId="165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37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94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94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165" fontId="40" fillId="0" borderId="18" applyFont="0" applyFill="0" applyBorder="0" applyAlignment="0" applyProtection="0"/>
    <xf numFmtId="0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4" fillId="0" borderId="18" applyFont="0" applyFill="0" applyBorder="0" applyAlignment="0" applyProtection="0"/>
    <xf numFmtId="0" fontId="40" fillId="0" borderId="18"/>
    <xf numFmtId="0" fontId="40" fillId="0" borderId="18"/>
    <xf numFmtId="203" fontId="40" fillId="0" borderId="18">
      <protection locked="0"/>
    </xf>
    <xf numFmtId="203" fontId="40" fillId="0" borderId="18">
      <protection locked="0"/>
    </xf>
    <xf numFmtId="203" fontId="40" fillId="0" borderId="18">
      <protection locked="0"/>
    </xf>
    <xf numFmtId="0" fontId="86" fillId="0" borderId="18"/>
    <xf numFmtId="164" fontId="40" fillId="0" borderId="18" applyFont="0" applyFill="0" applyBorder="0" applyAlignment="0" applyProtection="0"/>
    <xf numFmtId="164" fontId="40" fillId="0" borderId="18" applyFont="0" applyFill="0" applyBorder="0" applyAlignment="0" applyProtection="0"/>
    <xf numFmtId="204" fontId="40" fillId="0" borderId="18">
      <protection locked="0"/>
    </xf>
    <xf numFmtId="204" fontId="40" fillId="0" borderId="18">
      <protection locked="0"/>
    </xf>
    <xf numFmtId="204" fontId="40" fillId="0" borderId="18">
      <protection locked="0"/>
    </xf>
    <xf numFmtId="0" fontId="96" fillId="0" borderId="18">
      <protection locked="0"/>
    </xf>
    <xf numFmtId="205" fontId="40" fillId="0" borderId="18" applyFont="0" applyFill="0" applyBorder="0" applyAlignment="0" applyProtection="0"/>
    <xf numFmtId="206" fontId="40" fillId="0" borderId="18" applyFont="0" applyFill="0" applyBorder="0" applyAlignment="0" applyProtection="0"/>
    <xf numFmtId="0" fontId="41" fillId="62" borderId="18" applyNumberFormat="0" applyBorder="0" applyAlignment="0" applyProtection="0"/>
    <xf numFmtId="0" fontId="41" fillId="63" borderId="18" applyNumberFormat="0" applyBorder="0" applyAlignment="0" applyProtection="0"/>
    <xf numFmtId="0" fontId="41" fillId="64" borderId="18" applyNumberFormat="0" applyBorder="0" applyAlignment="0" applyProtection="0"/>
    <xf numFmtId="0" fontId="40" fillId="72" borderId="82" applyNumberFormat="0"/>
    <xf numFmtId="0" fontId="97" fillId="73" borderId="108" applyNumberFormat="0" applyAlignment="0">
      <alignment horizontal="center"/>
    </xf>
    <xf numFmtId="207" fontId="40" fillId="0" borderId="18" applyFont="0" applyFill="0" applyBorder="0" applyAlignment="0" applyProtection="0"/>
    <xf numFmtId="184" fontId="40" fillId="0" borderId="18" applyFont="0" applyFill="0" applyBorder="0" applyAlignment="0" applyProtection="0"/>
    <xf numFmtId="208" fontId="40" fillId="0" borderId="18" applyFont="0" applyFill="0" applyBorder="0" applyAlignment="0" applyProtection="0"/>
    <xf numFmtId="0" fontId="40" fillId="74" borderId="18" applyNumberFormat="0" applyFont="0" applyAlignment="0"/>
    <xf numFmtId="209" fontId="40" fillId="0" borderId="18">
      <protection locked="0"/>
    </xf>
    <xf numFmtId="209" fontId="40" fillId="0" borderId="18">
      <protection locked="0"/>
    </xf>
    <xf numFmtId="209" fontId="40" fillId="0" borderId="18">
      <protection locked="0"/>
    </xf>
    <xf numFmtId="210" fontId="98" fillId="75" borderId="89"/>
    <xf numFmtId="0" fontId="44" fillId="0" borderId="92" applyNumberFormat="0" applyFill="0" applyBorder="0" applyAlignment="0" applyProtection="0">
      <protection locked="0"/>
    </xf>
    <xf numFmtId="0" fontId="44" fillId="0" borderId="92" applyNumberFormat="0" applyFill="0" applyBorder="0" applyAlignment="0" applyProtection="0">
      <protection locked="0"/>
    </xf>
    <xf numFmtId="0" fontId="44" fillId="0" borderId="92" applyNumberFormat="0" applyFill="0" applyBorder="0" applyAlignment="0" applyProtection="0">
      <protection locked="0"/>
    </xf>
    <xf numFmtId="191" fontId="59" fillId="0" borderId="93">
      <alignment horizontal="right"/>
    </xf>
    <xf numFmtId="191" fontId="59" fillId="0" borderId="93">
      <alignment horizontal="right"/>
    </xf>
    <xf numFmtId="0" fontId="60" fillId="51" borderId="18" applyNumberFormat="0" applyBorder="0" applyAlignment="0" applyProtection="0"/>
    <xf numFmtId="38" fontId="61" fillId="27" borderId="18" applyNumberFormat="0" applyBorder="0" applyAlignment="0" applyProtection="0"/>
    <xf numFmtId="0" fontId="40" fillId="76" borderId="107" applyNumberFormat="0" applyFont="0" applyAlignment="0"/>
    <xf numFmtId="0" fontId="99" fillId="0" borderId="18">
      <alignment horizontal="left"/>
    </xf>
    <xf numFmtId="0" fontId="100" fillId="0" borderId="18"/>
    <xf numFmtId="0" fontId="101" fillId="0" borderId="18">
      <alignment wrapText="1"/>
    </xf>
    <xf numFmtId="0" fontId="102" fillId="0" borderId="18"/>
    <xf numFmtId="0" fontId="62" fillId="0" borderId="86" applyNumberFormat="0" applyAlignment="0" applyProtection="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103" fillId="0" borderId="18"/>
    <xf numFmtId="0" fontId="62" fillId="0" borderId="18" applyNumberFormat="0" applyFill="0" applyBorder="0" applyAlignment="0"/>
    <xf numFmtId="0" fontId="103" fillId="0" borderId="18" applyNumberFormat="0" applyFill="0" applyBorder="0" applyAlignment="0"/>
    <xf numFmtId="211" fontId="104" fillId="0" borderId="18">
      <protection locked="0"/>
    </xf>
    <xf numFmtId="211" fontId="104" fillId="0" borderId="18">
      <protection locked="0"/>
    </xf>
    <xf numFmtId="197" fontId="105" fillId="0" borderId="84" applyNumberFormat="0" applyFont="0" applyBorder="0" applyAlignment="0"/>
    <xf numFmtId="197" fontId="105" fillId="0" borderId="84" applyNumberFormat="0" applyFont="0" applyBorder="0" applyAlignment="0"/>
    <xf numFmtId="197" fontId="105" fillId="0" borderId="84" applyNumberFormat="0" applyFont="0" applyBorder="0" applyAlignment="0"/>
    <xf numFmtId="197" fontId="105" fillId="0" borderId="84" applyNumberFormat="0" applyFont="0" applyBorder="0" applyAlignment="0"/>
    <xf numFmtId="197" fontId="105" fillId="0" borderId="84" applyNumberFormat="0" applyFont="0" applyBorder="0" applyAlignment="0"/>
    <xf numFmtId="197" fontId="105" fillId="0" borderId="84" applyNumberFormat="0" applyFont="0" applyBorder="0" applyAlignment="0"/>
    <xf numFmtId="197" fontId="105" fillId="0" borderId="84" applyNumberFormat="0" applyFont="0" applyBorder="0" applyAlignment="0"/>
    <xf numFmtId="197" fontId="105" fillId="0" borderId="84" applyNumberFormat="0" applyFont="0" applyBorder="0" applyAlignment="0"/>
    <xf numFmtId="0" fontId="106" fillId="0" borderId="18" applyNumberFormat="0" applyFill="0" applyBorder="0" applyAlignment="0" applyProtection="0">
      <alignment vertical="top"/>
      <protection locked="0"/>
    </xf>
    <xf numFmtId="0" fontId="107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6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8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9" fillId="0" borderId="18" applyNumberFormat="0" applyFill="0" applyBorder="0" applyAlignment="0" applyProtection="0"/>
    <xf numFmtId="0" fontId="70" fillId="0" borderId="18" applyNumberFormat="0" applyFill="0" applyBorder="0" applyAlignment="0" applyProtection="0">
      <alignment vertical="top"/>
      <protection locked="0"/>
    </xf>
    <xf numFmtId="0" fontId="70" fillId="0" borderId="18" applyNumberFormat="0" applyFill="0" applyBorder="0" applyAlignment="0" applyProtection="0">
      <alignment vertical="top"/>
      <protection locked="0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0" fontId="93" fillId="0" borderId="18" applyNumberFormat="0" applyFill="0" applyBorder="0">
      <alignment horizontal="left"/>
    </xf>
    <xf numFmtId="10" fontId="61" fillId="65" borderId="82" applyNumberFormat="0" applyBorder="0" applyAlignment="0" applyProtection="0"/>
    <xf numFmtId="10" fontId="61" fillId="65" borderId="82" applyNumberFormat="0" applyBorder="0" applyAlignment="0" applyProtection="0"/>
    <xf numFmtId="10" fontId="61" fillId="65" borderId="82" applyNumberFormat="0" applyBorder="0" applyAlignment="0" applyProtection="0"/>
    <xf numFmtId="10" fontId="61" fillId="65" borderId="82" applyNumberFormat="0" applyBorder="0" applyAlignment="0" applyProtection="0"/>
    <xf numFmtId="0" fontId="71" fillId="55" borderId="89" applyNumberFormat="0" applyAlignment="0" applyProtection="0"/>
    <xf numFmtId="0" fontId="71" fillId="55" borderId="89" applyNumberFormat="0" applyAlignment="0" applyProtection="0"/>
    <xf numFmtId="0" fontId="71" fillId="55" borderId="89" applyNumberFormat="0" applyAlignment="0" applyProtection="0"/>
    <xf numFmtId="0" fontId="110" fillId="33" borderId="89" applyNumberFormat="0" applyAlignment="0" applyProtection="0"/>
    <xf numFmtId="0" fontId="71" fillId="33" borderId="89" applyNumberFormat="0" applyAlignment="0" applyProtection="0"/>
    <xf numFmtId="0" fontId="110" fillId="33" borderId="89" applyNumberFormat="0" applyAlignment="0" applyProtection="0"/>
    <xf numFmtId="0" fontId="71" fillId="33" borderId="89" applyNumberFormat="0" applyAlignment="0" applyProtection="0"/>
    <xf numFmtId="0" fontId="111" fillId="77" borderId="18"/>
    <xf numFmtId="0" fontId="40" fillId="0" borderId="82" applyNumberFormat="0"/>
    <xf numFmtId="0" fontId="40" fillId="0" borderId="109" applyNumberFormat="0" applyFont="0" applyFill="0" applyAlignment="0"/>
    <xf numFmtId="0" fontId="112" fillId="0" borderId="104"/>
    <xf numFmtId="180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0" fontId="74" fillId="67" borderId="18" applyNumberFormat="0" applyBorder="0" applyAlignment="0" applyProtection="0"/>
    <xf numFmtId="37" fontId="75" fillId="0" borderId="18"/>
    <xf numFmtId="37" fontId="75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97" fontId="76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10" fillId="0" borderId="18"/>
    <xf numFmtId="0" fontId="37" fillId="0" borderId="18"/>
    <xf numFmtId="0" fontId="10" fillId="0" borderId="18"/>
    <xf numFmtId="0" fontId="37" fillId="0" borderId="18"/>
    <xf numFmtId="0" fontId="37" fillId="0" borderId="18"/>
    <xf numFmtId="0" fontId="37" fillId="0" borderId="18"/>
    <xf numFmtId="0" fontId="4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87" fillId="0" borderId="18"/>
    <xf numFmtId="0" fontId="40" fillId="0" borderId="18"/>
    <xf numFmtId="0" fontId="43" fillId="0" borderId="18"/>
    <xf numFmtId="0" fontId="4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37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3" fillId="0" borderId="18"/>
    <xf numFmtId="0" fontId="44" fillId="0" borderId="18"/>
    <xf numFmtId="0" fontId="43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40" fillId="0" borderId="18"/>
    <xf numFmtId="0" fontId="87" fillId="0" borderId="18"/>
    <xf numFmtId="0" fontId="40" fillId="0" borderId="18"/>
    <xf numFmtId="0" fontId="87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4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4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40" fillId="0" borderId="18"/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13" fillId="0" borderId="18">
      <alignment vertical="top"/>
    </xf>
    <xf numFmtId="0" fontId="43" fillId="0" borderId="18"/>
    <xf numFmtId="0" fontId="40" fillId="0" borderId="18"/>
    <xf numFmtId="0" fontId="43" fillId="0" borderId="18"/>
    <xf numFmtId="0" fontId="40" fillId="0" borderId="18"/>
    <xf numFmtId="0" fontId="43" fillId="0" borderId="18"/>
    <xf numFmtId="0" fontId="43" fillId="0" borderId="18"/>
    <xf numFmtId="0" fontId="43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40" fillId="0" borderId="18"/>
    <xf numFmtId="0" fontId="40" fillId="0" borderId="18"/>
    <xf numFmtId="0" fontId="44" fillId="0" borderId="18"/>
    <xf numFmtId="0" fontId="37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44" fillId="0" borderId="18"/>
    <xf numFmtId="0" fontId="114" fillId="0" borderId="18"/>
    <xf numFmtId="0" fontId="113" fillId="0" borderId="18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39" fillId="0" borderId="18"/>
    <xf numFmtId="0" fontId="39" fillId="0" borderId="18"/>
    <xf numFmtId="0" fontId="115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16" fillId="0" borderId="18"/>
    <xf numFmtId="0" fontId="10" fillId="0" borderId="18"/>
    <xf numFmtId="0" fontId="37" fillId="0" borderId="18"/>
    <xf numFmtId="0" fontId="37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43" fillId="46" borderId="100" applyNumberFormat="0" applyFont="0" applyAlignment="0" applyProtection="0"/>
    <xf numFmtId="0" fontId="43" fillId="46" borderId="100" applyNumberFormat="0" applyFont="0" applyAlignment="0" applyProtection="0"/>
    <xf numFmtId="0" fontId="43" fillId="46" borderId="100" applyNumberFormat="0" applyFont="0" applyAlignment="0" applyProtection="0"/>
    <xf numFmtId="0" fontId="43" fillId="46" borderId="100" applyNumberFormat="0" applyFont="0" applyAlignment="0" applyProtection="0"/>
    <xf numFmtId="0" fontId="43" fillId="46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0" fillId="68" borderId="100" applyNumberFormat="0" applyFont="0" applyAlignment="0" applyProtection="0"/>
    <xf numFmtId="0" fontId="117" fillId="78" borderId="110" applyNumberFormat="0"/>
    <xf numFmtId="0" fontId="78" fillId="60" borderId="101" applyNumberFormat="0" applyAlignment="0" applyProtection="0"/>
    <xf numFmtId="0" fontId="78" fillId="60" borderId="101" applyNumberFormat="0" applyAlignment="0" applyProtection="0"/>
    <xf numFmtId="0" fontId="78" fillId="60" borderId="101" applyNumberFormat="0" applyAlignment="0" applyProtection="0"/>
    <xf numFmtId="0" fontId="118" fillId="59" borderId="101" applyNumberFormat="0" applyAlignment="0" applyProtection="0"/>
    <xf numFmtId="0" fontId="78" fillId="59" borderId="101" applyNumberFormat="0" applyAlignment="0" applyProtection="0"/>
    <xf numFmtId="0" fontId="118" fillId="59" borderId="101" applyNumberFormat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8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0" fontId="79" fillId="0" borderId="18" applyFont="0"/>
    <xf numFmtId="9" fontId="40" fillId="0" borderId="18" applyFont="0" applyFill="0" applyBorder="0" applyAlignment="0" applyProtection="0"/>
    <xf numFmtId="0" fontId="119" fillId="79" borderId="111" applyNumberFormat="0">
      <alignment horizontal="center"/>
    </xf>
    <xf numFmtId="212" fontId="40" fillId="0" borderId="18" applyBorder="0"/>
    <xf numFmtId="0" fontId="120" fillId="77" borderId="18"/>
    <xf numFmtId="0" fontId="121" fillId="77" borderId="18"/>
    <xf numFmtId="0" fontId="122" fillId="77" borderId="18"/>
    <xf numFmtId="0" fontId="81" fillId="0" borderId="18" applyNumberFormat="0" applyFill="0" applyBorder="0" applyAlignment="0" applyProtection="0">
      <alignment vertical="top"/>
      <protection locked="0"/>
    </xf>
    <xf numFmtId="0" fontId="81" fillId="0" borderId="18" applyNumberFormat="0" applyFill="0" applyBorder="0" applyAlignment="0" applyProtection="0">
      <alignment vertical="top"/>
      <protection locked="0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12" fillId="0" borderId="18"/>
    <xf numFmtId="0" fontId="44" fillId="0" borderId="18">
      <alignment horizontal="right"/>
    </xf>
    <xf numFmtId="0" fontId="44" fillId="0" borderId="18">
      <alignment horizontal="right"/>
    </xf>
    <xf numFmtId="0" fontId="124" fillId="0" borderId="87">
      <alignment horizontal="center" vertical="top"/>
    </xf>
    <xf numFmtId="0" fontId="125" fillId="80" borderId="80" applyNumberFormat="0">
      <alignment horizontal="center" vertical="center"/>
    </xf>
    <xf numFmtId="0" fontId="93" fillId="76" borderId="107">
      <alignment horizontal="left"/>
    </xf>
    <xf numFmtId="0" fontId="61" fillId="0" borderId="112" applyNumberFormat="0" applyProtection="0"/>
    <xf numFmtId="0" fontId="40" fillId="0" borderId="18" applyProtection="0"/>
    <xf numFmtId="0" fontId="40" fillId="0" borderId="18" applyProtection="0"/>
    <xf numFmtId="0" fontId="126" fillId="0" borderId="102" applyNumberFormat="0" applyFill="0" applyAlignment="0" applyProtection="0"/>
    <xf numFmtId="0" fontId="126" fillId="0" borderId="102" applyNumberFormat="0" applyFill="0" applyAlignment="0" applyProtection="0"/>
    <xf numFmtId="0" fontId="41" fillId="0" borderId="102" applyNumberFormat="0" applyFill="0" applyAlignment="0" applyProtection="0"/>
    <xf numFmtId="0" fontId="126" fillId="0" borderId="102" applyNumberFormat="0" applyFill="0" applyAlignment="0" applyProtection="0"/>
    <xf numFmtId="41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1" fontId="127" fillId="0" borderId="18" applyFont="0" applyFill="0" applyBorder="0" applyAlignment="0" applyProtection="0"/>
    <xf numFmtId="43" fontId="127" fillId="0" borderId="18" applyFont="0" applyFill="0" applyBorder="0" applyAlignment="0" applyProtection="0"/>
    <xf numFmtId="0" fontId="93" fillId="0" borderId="18" applyNumberFormat="0"/>
    <xf numFmtId="213" fontId="127" fillId="0" borderId="18" applyFont="0" applyFill="0" applyBorder="0" applyAlignment="0" applyProtection="0"/>
    <xf numFmtId="214" fontId="40" fillId="0" borderId="18" applyFont="0" applyFill="0" applyBorder="0" applyAlignment="0" applyProtection="0"/>
    <xf numFmtId="215" fontId="127" fillId="0" borderId="18" applyFont="0" applyFill="0" applyBorder="0" applyAlignment="0" applyProtection="0"/>
    <xf numFmtId="216" fontId="40" fillId="0" borderId="18" applyFont="0" applyFill="0" applyBorder="0" applyAlignment="0" applyProtection="0"/>
    <xf numFmtId="217" fontId="40" fillId="0" borderId="18" applyFont="0" applyFill="0" applyBorder="0" applyAlignment="0" applyProtection="0"/>
    <xf numFmtId="0" fontId="128" fillId="81" borderId="113">
      <alignment horizontal="center"/>
    </xf>
    <xf numFmtId="193" fontId="40" fillId="0" borderId="18" applyFont="0" applyFill="0" applyBorder="0" applyAlignment="0" applyProtection="0"/>
    <xf numFmtId="41" fontId="129" fillId="0" borderId="18" applyFont="0" applyFill="0" applyBorder="0" applyAlignment="0" applyProtection="0"/>
    <xf numFmtId="43" fontId="129" fillId="0" borderId="18" applyFont="0" applyFill="0" applyBorder="0" applyAlignment="0" applyProtection="0"/>
    <xf numFmtId="198" fontId="129" fillId="0" borderId="18" applyFont="0" applyFill="0" applyBorder="0" applyAlignment="0" applyProtection="0"/>
    <xf numFmtId="199" fontId="129" fillId="0" borderId="18" applyFont="0" applyFill="0" applyBorder="0" applyAlignment="0" applyProtection="0"/>
    <xf numFmtId="0" fontId="130" fillId="0" borderId="18">
      <alignment vertical="center"/>
    </xf>
    <xf numFmtId="0" fontId="131" fillId="0" borderId="18"/>
    <xf numFmtId="0" fontId="10" fillId="28" borderId="18" applyNumberFormat="0" applyBorder="0" applyAlignment="0" applyProtection="0"/>
    <xf numFmtId="0" fontId="10" fillId="0" borderId="18"/>
    <xf numFmtId="0" fontId="40" fillId="0" borderId="18"/>
    <xf numFmtId="0" fontId="10" fillId="0" borderId="18"/>
    <xf numFmtId="0" fontId="40" fillId="0" borderId="18"/>
    <xf numFmtId="0" fontId="10" fillId="26" borderId="18" applyNumberFormat="0" applyBorder="0" applyAlignment="0" applyProtection="0"/>
    <xf numFmtId="0" fontId="10" fillId="0" borderId="18"/>
    <xf numFmtId="0" fontId="10" fillId="24" borderId="18" applyNumberFormat="0" applyBorder="0" applyAlignment="0" applyProtection="0"/>
    <xf numFmtId="0" fontId="10" fillId="0" borderId="18"/>
    <xf numFmtId="0" fontId="40" fillId="0" borderId="18"/>
    <xf numFmtId="0" fontId="10" fillId="0" borderId="18"/>
    <xf numFmtId="182" fontId="10" fillId="0" borderId="18" applyFont="0" applyFill="0" applyBorder="0" applyAlignment="0" applyProtection="0"/>
    <xf numFmtId="0" fontId="137" fillId="0" borderId="18">
      <alignment vertical="center"/>
    </xf>
    <xf numFmtId="0" fontId="135" fillId="0" borderId="18"/>
    <xf numFmtId="0" fontId="40" fillId="0" borderId="18"/>
    <xf numFmtId="43" fontId="40" fillId="0" borderId="18" applyFont="0" applyFill="0" applyBorder="0" applyAlignment="0" applyProtection="0"/>
    <xf numFmtId="0" fontId="40" fillId="0" borderId="18"/>
    <xf numFmtId="0" fontId="134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10" fillId="0" borderId="18"/>
    <xf numFmtId="0" fontId="10" fillId="0" borderId="18"/>
    <xf numFmtId="9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0" fontId="10" fillId="0" borderId="18"/>
    <xf numFmtId="0" fontId="39" fillId="0" borderId="18"/>
    <xf numFmtId="0" fontId="38" fillId="0" borderId="18"/>
    <xf numFmtId="9" fontId="38" fillId="0" borderId="18" applyFont="0" applyFill="0" applyBorder="0" applyAlignment="0" applyProtection="0"/>
    <xf numFmtId="166" fontId="1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9" fontId="143" fillId="0" borderId="18" applyFont="0" applyFill="0" applyBorder="0" applyAlignment="0" applyProtection="0"/>
    <xf numFmtId="44" fontId="143" fillId="0" borderId="18" applyFont="0" applyFill="0" applyBorder="0" applyAlignment="0" applyProtection="0"/>
    <xf numFmtId="42" fontId="143" fillId="0" borderId="18" applyFont="0" applyFill="0" applyBorder="0" applyAlignment="0" applyProtection="0"/>
    <xf numFmtId="43" fontId="143" fillId="0" borderId="18" applyFont="0" applyFill="0" applyBorder="0" applyAlignment="0" applyProtection="0"/>
    <xf numFmtId="41" fontId="143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43" fontId="10" fillId="0" borderId="18" applyFont="0" applyFill="0" applyBorder="0" applyAlignment="0" applyProtection="0"/>
    <xf numFmtId="182" fontId="10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87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4" fillId="0" borderId="18" applyFont="0" applyFill="0" applyBorder="0" applyAlignment="0" applyProtection="0"/>
    <xf numFmtId="182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4" fontId="143" fillId="0" borderId="18" applyFont="0" applyFill="0" applyBorder="0" applyAlignment="0" applyProtection="0"/>
    <xf numFmtId="42" fontId="143" fillId="0" borderId="18" applyFont="0" applyFill="0" applyBorder="0" applyAlignment="0" applyProtection="0"/>
    <xf numFmtId="43" fontId="143" fillId="0" borderId="18" applyFont="0" applyFill="0" applyBorder="0" applyAlignment="0" applyProtection="0"/>
    <xf numFmtId="41" fontId="143" fillId="0" borderId="18" applyFont="0" applyFill="0" applyBorder="0" applyAlignment="0" applyProtection="0"/>
    <xf numFmtId="43" fontId="10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182" fontId="10" fillId="0" borderId="18" applyFont="0" applyFill="0" applyBorder="0" applyAlignment="0" applyProtection="0"/>
  </cellStyleXfs>
  <cellXfs count="898">
    <xf numFmtId="0" fontId="0" fillId="0" borderId="0" xfId="0"/>
    <xf numFmtId="0" fontId="11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6" fontId="11" fillId="0" borderId="4" xfId="0" applyNumberFormat="1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167" fontId="11" fillId="0" borderId="4" xfId="0" applyNumberFormat="1" applyFont="1" applyBorder="1" applyAlignment="1">
      <alignment horizontal="center" vertical="center" wrapText="1"/>
    </xf>
    <xf numFmtId="167" fontId="11" fillId="0" borderId="4" xfId="0" applyNumberFormat="1" applyFont="1" applyBorder="1" applyAlignment="1">
      <alignment horizontal="left" vertical="center" wrapText="1"/>
    </xf>
    <xf numFmtId="168" fontId="11" fillId="0" borderId="4" xfId="0" applyNumberFormat="1" applyFont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left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left" vertical="center"/>
    </xf>
    <xf numFmtId="0" fontId="11" fillId="4" borderId="4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left" vertical="center"/>
    </xf>
    <xf numFmtId="0" fontId="13" fillId="0" borderId="4" xfId="0" applyFont="1" applyBorder="1" applyAlignment="1">
      <alignment horizontal="center" vertical="center"/>
    </xf>
    <xf numFmtId="2" fontId="13" fillId="0" borderId="4" xfId="0" applyNumberFormat="1" applyFont="1" applyBorder="1" applyAlignment="1">
      <alignment horizontal="center" vertical="center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13" fillId="0" borderId="4" xfId="0" applyFont="1" applyBorder="1" applyAlignment="1">
      <alignment horizontal="left" vertical="center"/>
    </xf>
    <xf numFmtId="0" fontId="13" fillId="5" borderId="4" xfId="0" applyFont="1" applyFill="1" applyBorder="1" applyAlignment="1">
      <alignment horizontal="center" vertical="center"/>
    </xf>
    <xf numFmtId="3" fontId="13" fillId="0" borderId="4" xfId="0" applyNumberFormat="1" applyFont="1" applyBorder="1" applyAlignment="1">
      <alignment horizontal="center" vertical="center"/>
    </xf>
    <xf numFmtId="1" fontId="11" fillId="0" borderId="4" xfId="0" applyNumberFormat="1" applyFont="1" applyBorder="1" applyAlignment="1">
      <alignment horizontal="center" vertical="center"/>
    </xf>
    <xf numFmtId="1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/>
    <xf numFmtId="0" fontId="13" fillId="0" borderId="4" xfId="0" applyFont="1" applyBorder="1" applyAlignment="1">
      <alignment horizontal="center"/>
    </xf>
    <xf numFmtId="167" fontId="14" fillId="5" borderId="4" xfId="0" applyNumberFormat="1" applyFont="1" applyFill="1" applyBorder="1" applyAlignment="1">
      <alignment horizontal="center" vertical="center" wrapText="1"/>
    </xf>
    <xf numFmtId="170" fontId="15" fillId="5" borderId="4" xfId="0" applyNumberFormat="1" applyFont="1" applyFill="1" applyBorder="1" applyAlignment="1">
      <alignment horizontal="center" vertical="center" wrapText="1"/>
    </xf>
    <xf numFmtId="170" fontId="15" fillId="0" borderId="4" xfId="0" applyNumberFormat="1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8" xfId="0" applyFont="1" applyBorder="1"/>
    <xf numFmtId="0" fontId="13" fillId="0" borderId="8" xfId="0" applyFont="1" applyBorder="1" applyAlignment="1">
      <alignment horizontal="center" vertical="center"/>
    </xf>
    <xf numFmtId="0" fontId="13" fillId="6" borderId="4" xfId="0" applyFont="1" applyFill="1" applyBorder="1"/>
    <xf numFmtId="0" fontId="13" fillId="7" borderId="4" xfId="0" applyFont="1" applyFill="1" applyBorder="1" applyAlignment="1">
      <alignment horizontal="center" vertical="center"/>
    </xf>
    <xf numFmtId="2" fontId="13" fillId="7" borderId="4" xfId="0" applyNumberFormat="1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171" fontId="13" fillId="0" borderId="4" xfId="0" applyNumberFormat="1" applyFont="1" applyBorder="1" applyAlignment="1">
      <alignment horizontal="center" vertical="center"/>
    </xf>
    <xf numFmtId="171" fontId="13" fillId="0" borderId="4" xfId="0" applyNumberFormat="1" applyFont="1" applyBorder="1" applyAlignment="1">
      <alignment vertical="center"/>
    </xf>
    <xf numFmtId="0" fontId="13" fillId="0" borderId="0" xfId="0" applyFont="1" applyAlignment="1">
      <alignment horizontal="left" vertical="center"/>
    </xf>
    <xf numFmtId="0" fontId="13" fillId="0" borderId="0" xfId="0" quotePrefix="1" applyFont="1" applyAlignment="1">
      <alignment horizontal="left" vertical="center"/>
    </xf>
    <xf numFmtId="169" fontId="13" fillId="0" borderId="4" xfId="0" applyNumberFormat="1" applyFont="1" applyBorder="1" applyAlignment="1">
      <alignment horizontal="center" vertical="center" wrapText="1"/>
    </xf>
    <xf numFmtId="171" fontId="13" fillId="0" borderId="0" xfId="0" applyNumberFormat="1" applyFont="1" applyAlignment="1">
      <alignment vertical="center"/>
    </xf>
    <xf numFmtId="169" fontId="13" fillId="0" borderId="1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169" fontId="13" fillId="0" borderId="1" xfId="0" applyNumberFormat="1" applyFont="1" applyBorder="1" applyAlignment="1">
      <alignment horizontal="center" vertical="center"/>
    </xf>
    <xf numFmtId="2" fontId="13" fillId="5" borderId="4" xfId="0" applyNumberFormat="1" applyFont="1" applyFill="1" applyBorder="1" applyAlignment="1">
      <alignment horizontal="center" vertical="center"/>
    </xf>
    <xf numFmtId="169" fontId="13" fillId="0" borderId="3" xfId="0" applyNumberFormat="1" applyFont="1" applyBorder="1" applyAlignment="1">
      <alignment horizontal="center" vertical="center"/>
    </xf>
    <xf numFmtId="2" fontId="13" fillId="5" borderId="9" xfId="0" applyNumberFormat="1" applyFont="1" applyFill="1" applyBorder="1" applyAlignment="1">
      <alignment horizontal="center" vertical="center"/>
    </xf>
    <xf numFmtId="169" fontId="13" fillId="0" borderId="8" xfId="0" applyNumberFormat="1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171" fontId="11" fillId="0" borderId="4" xfId="0" applyNumberFormat="1" applyFont="1" applyBorder="1" applyAlignment="1">
      <alignment horizontal="center" vertical="center"/>
    </xf>
    <xf numFmtId="0" fontId="13" fillId="3" borderId="4" xfId="0" applyFont="1" applyFill="1" applyBorder="1" applyAlignment="1">
      <alignment vertical="center"/>
    </xf>
    <xf numFmtId="2" fontId="13" fillId="0" borderId="8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13" fillId="9" borderId="4" xfId="0" applyFont="1" applyFill="1" applyBorder="1" applyAlignment="1">
      <alignment horizontal="center" vertical="center"/>
    </xf>
    <xf numFmtId="0" fontId="11" fillId="10" borderId="4" xfId="0" applyFont="1" applyFill="1" applyBorder="1" applyAlignment="1">
      <alignment horizontal="center" vertical="center" wrapText="1"/>
    </xf>
    <xf numFmtId="0" fontId="13" fillId="10" borderId="4" xfId="0" applyFont="1" applyFill="1" applyBorder="1" applyAlignment="1">
      <alignment horizontal="center" vertical="center"/>
    </xf>
    <xf numFmtId="167" fontId="11" fillId="10" borderId="4" xfId="0" applyNumberFormat="1" applyFont="1" applyFill="1" applyBorder="1" applyAlignment="1">
      <alignment horizontal="center" vertical="center" wrapText="1"/>
    </xf>
    <xf numFmtId="2" fontId="13" fillId="10" borderId="4" xfId="0" applyNumberFormat="1" applyFont="1" applyFill="1" applyBorder="1" applyAlignment="1">
      <alignment horizontal="center" vertical="center"/>
    </xf>
    <xf numFmtId="169" fontId="13" fillId="10" borderId="4" xfId="0" applyNumberFormat="1" applyFont="1" applyFill="1" applyBorder="1" applyAlignment="1">
      <alignment horizontal="center" vertical="center"/>
    </xf>
    <xf numFmtId="0" fontId="13" fillId="10" borderId="4" xfId="0" applyFont="1" applyFill="1" applyBorder="1" applyAlignment="1">
      <alignment vertical="center"/>
    </xf>
    <xf numFmtId="2" fontId="13" fillId="9" borderId="4" xfId="0" applyNumberFormat="1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167" fontId="11" fillId="3" borderId="4" xfId="0" applyNumberFormat="1" applyFont="1" applyFill="1" applyBorder="1" applyAlignment="1">
      <alignment horizontal="center" vertical="center" wrapText="1"/>
    </xf>
    <xf numFmtId="2" fontId="13" fillId="3" borderId="4" xfId="0" applyNumberFormat="1" applyFont="1" applyFill="1" applyBorder="1" applyAlignment="1">
      <alignment horizontal="center" vertical="center"/>
    </xf>
    <xf numFmtId="169" fontId="13" fillId="3" borderId="4" xfId="0" applyNumberFormat="1" applyFont="1" applyFill="1" applyBorder="1" applyAlignment="1">
      <alignment horizontal="center" vertical="center"/>
    </xf>
    <xf numFmtId="0" fontId="18" fillId="5" borderId="15" xfId="0" applyFont="1" applyFill="1" applyBorder="1" applyAlignment="1">
      <alignment horizontal="center" vertical="center" wrapText="1"/>
    </xf>
    <xf numFmtId="0" fontId="19" fillId="5" borderId="15" xfId="0" applyFont="1" applyFill="1" applyBorder="1" applyAlignment="1">
      <alignment horizontal="center" vertical="center" wrapText="1"/>
    </xf>
    <xf numFmtId="169" fontId="21" fillId="5" borderId="19" xfId="0" applyNumberFormat="1" applyFont="1" applyFill="1" applyBorder="1" applyAlignment="1">
      <alignment horizontal="center" vertical="center"/>
    </xf>
    <xf numFmtId="169" fontId="20" fillId="0" borderId="24" xfId="0" applyNumberFormat="1" applyFont="1" applyBorder="1" applyAlignment="1">
      <alignment horizontal="center" vertical="center"/>
    </xf>
    <xf numFmtId="1" fontId="18" fillId="5" borderId="15" xfId="0" applyNumberFormat="1" applyFont="1" applyFill="1" applyBorder="1" applyAlignment="1">
      <alignment horizontal="center" vertical="center" wrapText="1"/>
    </xf>
    <xf numFmtId="0" fontId="21" fillId="4" borderId="28" xfId="0" applyFont="1" applyFill="1" applyBorder="1" applyAlignment="1">
      <alignment horizontal="center" vertical="center"/>
    </xf>
    <xf numFmtId="172" fontId="23" fillId="3" borderId="29" xfId="0" applyNumberFormat="1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 wrapText="1"/>
    </xf>
    <xf numFmtId="0" fontId="21" fillId="5" borderId="38" xfId="0" applyFont="1" applyFill="1" applyBorder="1" applyAlignment="1">
      <alignment horizontal="center" vertical="center" wrapText="1"/>
    </xf>
    <xf numFmtId="0" fontId="18" fillId="5" borderId="4" xfId="0" applyFont="1" applyFill="1" applyBorder="1" applyAlignment="1">
      <alignment horizontal="center" vertical="center" wrapText="1"/>
    </xf>
    <xf numFmtId="1" fontId="18" fillId="5" borderId="4" xfId="0" applyNumberFormat="1" applyFont="1" applyFill="1" applyBorder="1" applyAlignment="1">
      <alignment horizontal="center" vertical="center" wrapText="1"/>
    </xf>
    <xf numFmtId="15" fontId="15" fillId="5" borderId="4" xfId="0" applyNumberFormat="1" applyFont="1" applyFill="1" applyBorder="1" applyAlignment="1">
      <alignment horizontal="center" vertical="center"/>
    </xf>
    <xf numFmtId="1" fontId="18" fillId="0" borderId="4" xfId="0" applyNumberFormat="1" applyFont="1" applyBorder="1" applyAlignment="1">
      <alignment horizontal="center" vertical="center" wrapText="1"/>
    </xf>
    <xf numFmtId="0" fontId="24" fillId="5" borderId="4" xfId="0" applyFont="1" applyFill="1" applyBorder="1" applyAlignment="1">
      <alignment horizontal="center" vertical="center" wrapText="1"/>
    </xf>
    <xf numFmtId="1" fontId="24" fillId="0" borderId="4" xfId="0" applyNumberFormat="1" applyFont="1" applyBorder="1" applyAlignment="1">
      <alignment horizontal="center" vertical="center" wrapText="1"/>
    </xf>
    <xf numFmtId="1" fontId="24" fillId="5" borderId="4" xfId="0" applyNumberFormat="1" applyFont="1" applyFill="1" applyBorder="1" applyAlignment="1">
      <alignment horizontal="center" vertical="center" wrapText="1"/>
    </xf>
    <xf numFmtId="2" fontId="19" fillId="5" borderId="15" xfId="0" applyNumberFormat="1" applyFont="1" applyFill="1" applyBorder="1" applyAlignment="1">
      <alignment horizontal="center" vertical="center" wrapText="1"/>
    </xf>
    <xf numFmtId="171" fontId="18" fillId="5" borderId="15" xfId="0" applyNumberFormat="1" applyFont="1" applyFill="1" applyBorder="1" applyAlignment="1">
      <alignment horizontal="center" vertical="center" wrapText="1"/>
    </xf>
    <xf numFmtId="2" fontId="18" fillId="5" borderId="15" xfId="0" applyNumberFormat="1" applyFont="1" applyFill="1" applyBorder="1" applyAlignment="1">
      <alignment horizontal="center" vertical="center" wrapText="1"/>
    </xf>
    <xf numFmtId="1" fontId="19" fillId="5" borderId="15" xfId="0" applyNumberFormat="1" applyFont="1" applyFill="1" applyBorder="1" applyAlignment="1">
      <alignment horizontal="center" vertical="center" wrapText="1"/>
    </xf>
    <xf numFmtId="2" fontId="24" fillId="0" borderId="4" xfId="0" applyNumberFormat="1" applyFont="1" applyBorder="1" applyAlignment="1">
      <alignment horizontal="center" vertical="center" wrapText="1"/>
    </xf>
    <xf numFmtId="173" fontId="18" fillId="0" borderId="4" xfId="0" applyNumberFormat="1" applyFont="1" applyBorder="1" applyAlignment="1">
      <alignment horizontal="center" vertical="center" wrapText="1"/>
    </xf>
    <xf numFmtId="171" fontId="18" fillId="0" borderId="4" xfId="0" applyNumberFormat="1" applyFont="1" applyBorder="1" applyAlignment="1">
      <alignment horizontal="center" vertical="center" wrapText="1"/>
    </xf>
    <xf numFmtId="0" fontId="21" fillId="5" borderId="41" xfId="0" applyFont="1" applyFill="1" applyBorder="1" applyAlignment="1">
      <alignment horizontal="center" vertical="center" wrapText="1"/>
    </xf>
    <xf numFmtId="0" fontId="18" fillId="5" borderId="42" xfId="0" applyFont="1" applyFill="1" applyBorder="1" applyAlignment="1">
      <alignment horizontal="center" vertical="center" wrapText="1"/>
    </xf>
    <xf numFmtId="1" fontId="18" fillId="5" borderId="42" xfId="0" applyNumberFormat="1" applyFont="1" applyFill="1" applyBorder="1" applyAlignment="1">
      <alignment horizontal="center" vertical="center" wrapText="1"/>
    </xf>
    <xf numFmtId="15" fontId="15" fillId="5" borderId="42" xfId="0" applyNumberFormat="1" applyFont="1" applyFill="1" applyBorder="1" applyAlignment="1">
      <alignment horizontal="center" vertical="center"/>
    </xf>
    <xf numFmtId="1" fontId="18" fillId="0" borderId="42" xfId="0" applyNumberFormat="1" applyFont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4" xfId="0" applyFont="1" applyBorder="1" applyAlignment="1">
      <alignment vertical="center" wrapText="1"/>
    </xf>
    <xf numFmtId="0" fontId="13" fillId="0" borderId="4" xfId="0" applyFont="1" applyBorder="1" applyAlignment="1">
      <alignment wrapText="1"/>
    </xf>
    <xf numFmtId="0" fontId="13" fillId="0" borderId="0" xfId="0" applyFont="1" applyAlignment="1">
      <alignment horizontal="left" vertical="center" wrapText="1"/>
    </xf>
    <xf numFmtId="1" fontId="13" fillId="0" borderId="0" xfId="0" applyNumberFormat="1" applyFont="1" applyAlignment="1">
      <alignment horizontal="center" vertical="center"/>
    </xf>
    <xf numFmtId="169" fontId="13" fillId="0" borderId="0" xfId="0" applyNumberFormat="1" applyFont="1" applyAlignment="1">
      <alignment horizontal="center" vertical="center"/>
    </xf>
    <xf numFmtId="169" fontId="13" fillId="0" borderId="0" xfId="0" applyNumberFormat="1" applyFont="1" applyAlignment="1">
      <alignment horizontal="center" vertical="center" wrapText="1"/>
    </xf>
    <xf numFmtId="0" fontId="26" fillId="11" borderId="45" xfId="0" applyFont="1" applyFill="1" applyBorder="1" applyAlignment="1">
      <alignment horizontal="center" vertical="center" wrapText="1"/>
    </xf>
    <xf numFmtId="0" fontId="26" fillId="11" borderId="46" xfId="0" applyFont="1" applyFill="1" applyBorder="1" applyAlignment="1">
      <alignment vertical="center" wrapText="1"/>
    </xf>
    <xf numFmtId="0" fontId="26" fillId="11" borderId="46" xfId="0" applyFont="1" applyFill="1" applyBorder="1" applyAlignment="1">
      <alignment horizontal="center" vertical="center" wrapText="1"/>
    </xf>
    <xf numFmtId="0" fontId="27" fillId="0" borderId="47" xfId="0" applyFont="1" applyBorder="1" applyAlignment="1">
      <alignment horizontal="center" vertical="center" wrapText="1"/>
    </xf>
    <xf numFmtId="0" fontId="27" fillId="0" borderId="24" xfId="0" applyFont="1" applyBorder="1" applyAlignment="1">
      <alignment horizontal="center" vertical="center" wrapText="1"/>
    </xf>
    <xf numFmtId="169" fontId="27" fillId="0" borderId="2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vertical="center"/>
    </xf>
    <xf numFmtId="0" fontId="27" fillId="0" borderId="47" xfId="0" applyFont="1" applyBorder="1" applyAlignment="1">
      <alignment vertical="center" wrapText="1"/>
    </xf>
    <xf numFmtId="0" fontId="27" fillId="0" borderId="24" xfId="0" applyFont="1" applyBorder="1" applyAlignment="1">
      <alignment horizontal="center" vertical="center"/>
    </xf>
    <xf numFmtId="0" fontId="27" fillId="0" borderId="24" xfId="0" applyFont="1" applyBorder="1" applyAlignment="1">
      <alignment vertical="center"/>
    </xf>
    <xf numFmtId="169" fontId="27" fillId="0" borderId="24" xfId="0" applyNumberFormat="1" applyFont="1" applyBorder="1" applyAlignment="1">
      <alignment horizontal="right" vertical="center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11" fillId="0" borderId="48" xfId="0" applyFont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0" fontId="11" fillId="0" borderId="52" xfId="0" applyFont="1" applyBorder="1" applyAlignment="1">
      <alignment horizontal="center" vertical="center"/>
    </xf>
    <xf numFmtId="0" fontId="11" fillId="0" borderId="53" xfId="0" applyFont="1" applyBorder="1" applyAlignment="1">
      <alignment horizontal="center" vertical="center" wrapText="1"/>
    </xf>
    <xf numFmtId="167" fontId="11" fillId="0" borderId="8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54" xfId="0" applyFont="1" applyBorder="1" applyAlignment="1">
      <alignment horizontal="center" vertical="center" wrapText="1"/>
    </xf>
    <xf numFmtId="0" fontId="11" fillId="0" borderId="55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167" fontId="11" fillId="0" borderId="11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/>
    </xf>
    <xf numFmtId="169" fontId="13" fillId="0" borderId="4" xfId="0" applyNumberFormat="1" applyFont="1" applyBorder="1"/>
    <xf numFmtId="0" fontId="13" fillId="0" borderId="4" xfId="0" quotePrefix="1" applyFont="1" applyBorder="1" applyAlignment="1">
      <alignment horizontal="center" vertical="center"/>
    </xf>
    <xf numFmtId="169" fontId="30" fillId="0" borderId="4" xfId="0" applyNumberFormat="1" applyFont="1" applyBorder="1" applyAlignment="1">
      <alignment horizontal="center" vertical="center"/>
    </xf>
    <xf numFmtId="169" fontId="13" fillId="0" borderId="4" xfId="0" applyNumberFormat="1" applyFont="1" applyBorder="1" applyAlignment="1">
      <alignment horizontal="center"/>
    </xf>
    <xf numFmtId="173" fontId="13" fillId="0" borderId="4" xfId="0" applyNumberFormat="1" applyFont="1" applyBorder="1" applyAlignment="1">
      <alignment horizontal="center" vertical="center"/>
    </xf>
    <xf numFmtId="0" fontId="13" fillId="12" borderId="4" xfId="0" applyFont="1" applyFill="1" applyBorder="1" applyAlignment="1">
      <alignment horizontal="center" vertical="center"/>
    </xf>
    <xf numFmtId="0" fontId="13" fillId="13" borderId="4" xfId="0" applyFont="1" applyFill="1" applyBorder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1" fillId="0" borderId="0" xfId="0" applyFont="1"/>
    <xf numFmtId="0" fontId="13" fillId="0" borderId="56" xfId="0" applyFont="1" applyBorder="1" applyAlignment="1">
      <alignment horizontal="center" vertical="center"/>
    </xf>
    <xf numFmtId="0" fontId="13" fillId="0" borderId="57" xfId="0" applyFont="1" applyBorder="1" applyAlignment="1">
      <alignment horizontal="center" vertical="center"/>
    </xf>
    <xf numFmtId="0" fontId="13" fillId="14" borderId="15" xfId="0" applyFont="1" applyFill="1" applyBorder="1" applyAlignment="1">
      <alignment horizontal="center" vertical="center"/>
    </xf>
    <xf numFmtId="0" fontId="13" fillId="14" borderId="15" xfId="0" applyFont="1" applyFill="1" applyBorder="1"/>
    <xf numFmtId="0" fontId="11" fillId="0" borderId="4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14" borderId="4" xfId="0" applyFont="1" applyFill="1" applyBorder="1" applyAlignment="1">
      <alignment horizontal="left"/>
    </xf>
    <xf numFmtId="0" fontId="11" fillId="0" borderId="8" xfId="0" applyFont="1" applyBorder="1" applyAlignment="1">
      <alignment horizontal="left"/>
    </xf>
    <xf numFmtId="0" fontId="11" fillId="0" borderId="4" xfId="0" applyFont="1" applyBorder="1" applyAlignment="1">
      <alignment horizontal="center"/>
    </xf>
    <xf numFmtId="0" fontId="11" fillId="0" borderId="48" xfId="0" applyFont="1" applyBorder="1" applyAlignment="1">
      <alignment horizontal="center"/>
    </xf>
    <xf numFmtId="0" fontId="11" fillId="0" borderId="58" xfId="0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0" fontId="11" fillId="14" borderId="4" xfId="0" applyFont="1" applyFill="1" applyBorder="1" applyAlignment="1">
      <alignment horizontal="center" vertical="center"/>
    </xf>
    <xf numFmtId="0" fontId="11" fillId="14" borderId="9" xfId="0" applyFont="1" applyFill="1" applyBorder="1" applyAlignment="1">
      <alignment horizontal="center" vertical="center" wrapText="1"/>
    </xf>
    <xf numFmtId="0" fontId="11" fillId="0" borderId="59" xfId="0" applyFont="1" applyBorder="1" applyAlignment="1">
      <alignment horizontal="center"/>
    </xf>
    <xf numFmtId="0" fontId="11" fillId="0" borderId="60" xfId="0" applyFont="1" applyBorder="1" applyAlignment="1">
      <alignment horizontal="center"/>
    </xf>
    <xf numFmtId="0" fontId="11" fillId="0" borderId="61" xfId="0" applyFont="1" applyBorder="1" applyAlignment="1">
      <alignment horizontal="center"/>
    </xf>
    <xf numFmtId="0" fontId="11" fillId="0" borderId="57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11" fillId="14" borderId="9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14" borderId="6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63" xfId="0" applyFont="1" applyBorder="1" applyAlignment="1">
      <alignment horizontal="center" vertical="center" wrapText="1"/>
    </xf>
    <xf numFmtId="0" fontId="29" fillId="0" borderId="64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2" xfId="0" applyFont="1" applyBorder="1" applyAlignment="1">
      <alignment horizontal="center" vertical="center"/>
    </xf>
    <xf numFmtId="167" fontId="11" fillId="0" borderId="64" xfId="0" applyNumberFormat="1" applyFont="1" applyBorder="1" applyAlignment="1">
      <alignment horizontal="center" vertical="center" wrapText="1"/>
    </xf>
    <xf numFmtId="0" fontId="11" fillId="14" borderId="65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54" xfId="0" applyFont="1" applyBorder="1" applyAlignment="1">
      <alignment horizontal="center" vertical="center"/>
    </xf>
    <xf numFmtId="0" fontId="13" fillId="0" borderId="63" xfId="0" applyFont="1" applyBorder="1" applyAlignment="1">
      <alignment horizontal="center" vertical="center"/>
    </xf>
    <xf numFmtId="0" fontId="13" fillId="0" borderId="55" xfId="0" applyFont="1" applyBorder="1" applyAlignment="1">
      <alignment horizontal="center" vertical="center"/>
    </xf>
    <xf numFmtId="0" fontId="13" fillId="0" borderId="64" xfId="0" applyFont="1" applyBorder="1" applyAlignment="1">
      <alignment horizontal="center" vertical="center"/>
    </xf>
    <xf numFmtId="0" fontId="13" fillId="14" borderId="4" xfId="0" applyFont="1" applyFill="1" applyBorder="1" applyAlignment="1">
      <alignment horizontal="center" vertical="center"/>
    </xf>
    <xf numFmtId="0" fontId="13" fillId="14" borderId="4" xfId="0" applyFont="1" applyFill="1" applyBorder="1"/>
    <xf numFmtId="0" fontId="13" fillId="0" borderId="1" xfId="0" applyFont="1" applyBorder="1" applyAlignment="1">
      <alignment horizontal="left" vertical="center"/>
    </xf>
    <xf numFmtId="0" fontId="13" fillId="0" borderId="54" xfId="0" applyFont="1" applyBorder="1" applyAlignment="1">
      <alignment horizontal="left" vertical="center"/>
    </xf>
    <xf numFmtId="0" fontId="13" fillId="0" borderId="63" xfId="0" applyFont="1" applyBorder="1" applyAlignment="1">
      <alignment horizontal="left" vertical="center"/>
    </xf>
    <xf numFmtId="0" fontId="13" fillId="0" borderId="4" xfId="0" applyFont="1" applyBorder="1" applyAlignment="1">
      <alignment horizontal="left"/>
    </xf>
    <xf numFmtId="0" fontId="13" fillId="14" borderId="4" xfId="0" applyFont="1" applyFill="1" applyBorder="1" applyAlignment="1">
      <alignment horizontal="left"/>
    </xf>
    <xf numFmtId="175" fontId="13" fillId="0" borderId="55" xfId="0" applyNumberFormat="1" applyFont="1" applyBorder="1" applyAlignment="1">
      <alignment horizontal="center" vertical="center"/>
    </xf>
    <xf numFmtId="0" fontId="13" fillId="15" borderId="4" xfId="0" applyFont="1" applyFill="1" applyBorder="1"/>
    <xf numFmtId="0" fontId="32" fillId="0" borderId="4" xfId="0" applyFont="1" applyBorder="1" applyAlignment="1">
      <alignment horizontal="center" vertical="center"/>
    </xf>
    <xf numFmtId="169" fontId="13" fillId="14" borderId="4" xfId="0" applyNumberFormat="1" applyFont="1" applyFill="1" applyBorder="1"/>
    <xf numFmtId="169" fontId="13" fillId="14" borderId="4" xfId="0" applyNumberFormat="1" applyFont="1" applyFill="1" applyBorder="1" applyAlignment="1">
      <alignment horizontal="center" vertical="center"/>
    </xf>
    <xf numFmtId="169" fontId="13" fillId="14" borderId="4" xfId="0" applyNumberFormat="1" applyFont="1" applyFill="1" applyBorder="1" applyAlignment="1">
      <alignment horizontal="center"/>
    </xf>
    <xf numFmtId="0" fontId="13" fillId="16" borderId="4" xfId="0" applyFont="1" applyFill="1" applyBorder="1" applyAlignment="1">
      <alignment horizontal="center" vertical="center"/>
    </xf>
    <xf numFmtId="0" fontId="33" fillId="8" borderId="4" xfId="0" applyFont="1" applyFill="1" applyBorder="1" applyAlignment="1">
      <alignment horizontal="center" vertical="center" wrapText="1"/>
    </xf>
    <xf numFmtId="0" fontId="33" fillId="0" borderId="4" xfId="0" applyFont="1" applyBorder="1" applyAlignment="1">
      <alignment horizontal="center" vertical="center" wrapText="1"/>
    </xf>
    <xf numFmtId="0" fontId="13" fillId="14" borderId="4" xfId="0" applyFont="1" applyFill="1" applyBorder="1" applyAlignment="1">
      <alignment horizontal="center"/>
    </xf>
    <xf numFmtId="0" fontId="13" fillId="14" borderId="4" xfId="0" applyFont="1" applyFill="1" applyBorder="1" applyAlignment="1">
      <alignment horizontal="left" vertical="center"/>
    </xf>
    <xf numFmtId="0" fontId="33" fillId="3" borderId="4" xfId="0" applyFont="1" applyFill="1" applyBorder="1" applyAlignment="1">
      <alignment horizontal="center" vertical="center" wrapText="1"/>
    </xf>
    <xf numFmtId="0" fontId="13" fillId="17" borderId="4" xfId="0" applyFont="1" applyFill="1" applyBorder="1" applyAlignment="1">
      <alignment horizontal="center" vertical="center"/>
    </xf>
    <xf numFmtId="168" fontId="13" fillId="0" borderId="4" xfId="0" applyNumberFormat="1" applyFont="1" applyBorder="1" applyAlignment="1">
      <alignment horizontal="center" vertical="center"/>
    </xf>
    <xf numFmtId="3" fontId="13" fillId="0" borderId="64" xfId="0" applyNumberFormat="1" applyFont="1" applyBorder="1" applyAlignment="1">
      <alignment horizontal="center" vertical="center"/>
    </xf>
    <xf numFmtId="0" fontId="13" fillId="12" borderId="66" xfId="0" applyFont="1" applyFill="1" applyBorder="1" applyAlignment="1">
      <alignment horizontal="left" vertical="center"/>
    </xf>
    <xf numFmtId="0" fontId="13" fillId="7" borderId="4" xfId="0" applyFont="1" applyFill="1" applyBorder="1" applyAlignment="1">
      <alignment horizontal="center"/>
    </xf>
    <xf numFmtId="0" fontId="13" fillId="14" borderId="4" xfId="0" applyFont="1" applyFill="1" applyBorder="1" applyAlignment="1">
      <alignment horizontal="left" vertical="center" wrapText="1"/>
    </xf>
    <xf numFmtId="0" fontId="13" fillId="0" borderId="64" xfId="0" applyFont="1" applyBorder="1" applyAlignment="1">
      <alignment horizontal="center" vertical="center" wrapText="1"/>
    </xf>
    <xf numFmtId="0" fontId="13" fillId="0" borderId="64" xfId="0" applyFont="1" applyBorder="1"/>
    <xf numFmtId="0" fontId="13" fillId="0" borderId="67" xfId="0" applyFont="1" applyBorder="1" applyAlignment="1">
      <alignment horizontal="center" vertical="center"/>
    </xf>
    <xf numFmtId="0" fontId="11" fillId="18" borderId="68" xfId="0" applyFont="1" applyFill="1" applyBorder="1" applyAlignment="1">
      <alignment horizontal="center"/>
    </xf>
    <xf numFmtId="169" fontId="11" fillId="3" borderId="4" xfId="0" applyNumberFormat="1" applyFont="1" applyFill="1" applyBorder="1"/>
    <xf numFmtId="2" fontId="11" fillId="6" borderId="4" xfId="0" applyNumberFormat="1" applyFont="1" applyFill="1" applyBorder="1" applyAlignment="1">
      <alignment horizontal="center" vertical="center"/>
    </xf>
    <xf numFmtId="0" fontId="11" fillId="0" borderId="4" xfId="0" applyFont="1" applyBorder="1"/>
    <xf numFmtId="2" fontId="11" fillId="0" borderId="4" xfId="0" applyNumberFormat="1" applyFont="1" applyBorder="1" applyAlignment="1">
      <alignment horizontal="center" vertical="center"/>
    </xf>
    <xf numFmtId="0" fontId="11" fillId="18" borderId="4" xfId="0" applyFont="1" applyFill="1" applyBorder="1"/>
    <xf numFmtId="0" fontId="11" fillId="19" borderId="4" xfId="0" applyFont="1" applyFill="1" applyBorder="1" applyAlignment="1">
      <alignment horizontal="center" vertical="center" wrapText="1"/>
    </xf>
    <xf numFmtId="0" fontId="11" fillId="19" borderId="9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 wrapText="1"/>
    </xf>
    <xf numFmtId="0" fontId="11" fillId="18" borderId="69" xfId="0" applyFont="1" applyFill="1" applyBorder="1" applyAlignment="1">
      <alignment horizontal="center" vertical="center" wrapText="1"/>
    </xf>
    <xf numFmtId="0" fontId="11" fillId="19" borderId="4" xfId="0" applyFont="1" applyFill="1" applyBorder="1" applyAlignment="1">
      <alignment horizontal="center" vertical="center"/>
    </xf>
    <xf numFmtId="0" fontId="11" fillId="19" borderId="65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left" vertical="center" wrapText="1"/>
    </xf>
    <xf numFmtId="0" fontId="11" fillId="18" borderId="65" xfId="0" applyFont="1" applyFill="1" applyBorder="1" applyAlignment="1">
      <alignment horizontal="center" vertical="center" wrapText="1"/>
    </xf>
    <xf numFmtId="0" fontId="13" fillId="18" borderId="4" xfId="0" applyFont="1" applyFill="1" applyBorder="1"/>
    <xf numFmtId="0" fontId="13" fillId="18" borderId="4" xfId="0" applyFont="1" applyFill="1" applyBorder="1" applyAlignment="1">
      <alignment horizontal="center" vertical="center" wrapText="1"/>
    </xf>
    <xf numFmtId="0" fontId="13" fillId="18" borderId="4" xfId="0" applyFont="1" applyFill="1" applyBorder="1" applyAlignment="1">
      <alignment horizontal="center"/>
    </xf>
    <xf numFmtId="2" fontId="34" fillId="20" borderId="4" xfId="0" applyNumberFormat="1" applyFont="1" applyFill="1" applyBorder="1" applyAlignment="1">
      <alignment horizontal="center"/>
    </xf>
    <xf numFmtId="0" fontId="13" fillId="18" borderId="4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 wrapText="1"/>
    </xf>
    <xf numFmtId="0" fontId="13" fillId="0" borderId="4" xfId="0" applyFont="1" applyBorder="1" applyAlignment="1">
      <alignment horizontal="center" wrapText="1"/>
    </xf>
    <xf numFmtId="0" fontId="13" fillId="18" borderId="4" xfId="0" applyFont="1" applyFill="1" applyBorder="1" applyAlignment="1">
      <alignment horizontal="center" wrapText="1"/>
    </xf>
    <xf numFmtId="2" fontId="27" fillId="0" borderId="4" xfId="0" applyNumberFormat="1" applyFont="1" applyBorder="1" applyAlignment="1">
      <alignment horizontal="center" vertical="center"/>
    </xf>
    <xf numFmtId="2" fontId="11" fillId="0" borderId="4" xfId="0" applyNumberFormat="1" applyFont="1" applyBorder="1" applyAlignment="1">
      <alignment horizontal="center"/>
    </xf>
    <xf numFmtId="171" fontId="11" fillId="0" borderId="4" xfId="0" applyNumberFormat="1" applyFont="1" applyBorder="1" applyAlignment="1">
      <alignment horizontal="center"/>
    </xf>
    <xf numFmtId="0" fontId="13" fillId="18" borderId="15" xfId="0" applyFont="1" applyFill="1" applyBorder="1"/>
    <xf numFmtId="2" fontId="13" fillId="0" borderId="0" xfId="0" applyNumberFormat="1" applyFont="1"/>
    <xf numFmtId="169" fontId="11" fillId="2" borderId="29" xfId="0" applyNumberFormat="1" applyFont="1" applyFill="1" applyBorder="1" applyAlignment="1">
      <alignment horizontal="center" vertical="center"/>
    </xf>
    <xf numFmtId="0" fontId="11" fillId="2" borderId="38" xfId="0" applyFont="1" applyFill="1" applyBorder="1" applyAlignment="1">
      <alignment horizontal="center" vertical="center"/>
    </xf>
    <xf numFmtId="0" fontId="11" fillId="2" borderId="39" xfId="0" applyFont="1" applyFill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8" xfId="0" applyFont="1" applyBorder="1"/>
    <xf numFmtId="0" fontId="13" fillId="0" borderId="37" xfId="0" applyFont="1" applyBorder="1" applyAlignment="1">
      <alignment horizontal="center" vertical="center" wrapText="1"/>
    </xf>
    <xf numFmtId="9" fontId="11" fillId="0" borderId="4" xfId="0" applyNumberFormat="1" applyFont="1" applyBorder="1" applyAlignment="1">
      <alignment horizontal="center" vertical="center"/>
    </xf>
    <xf numFmtId="0" fontId="13" fillId="0" borderId="39" xfId="0" applyFont="1" applyBorder="1"/>
    <xf numFmtId="0" fontId="11" fillId="0" borderId="38" xfId="0" applyFont="1" applyBorder="1" applyAlignment="1">
      <alignment horizontal="center"/>
    </xf>
    <xf numFmtId="0" fontId="11" fillId="0" borderId="41" xfId="0" applyFont="1" applyBorder="1" applyAlignment="1">
      <alignment horizontal="center" vertical="center"/>
    </xf>
    <xf numFmtId="0" fontId="11" fillId="0" borderId="42" xfId="0" applyFont="1" applyBorder="1" applyAlignment="1">
      <alignment horizontal="left" vertical="center"/>
    </xf>
    <xf numFmtId="0" fontId="11" fillId="0" borderId="42" xfId="0" applyFont="1" applyBorder="1" applyAlignment="1">
      <alignment horizontal="center" vertical="center"/>
    </xf>
    <xf numFmtId="9" fontId="11" fillId="0" borderId="42" xfId="0" applyNumberFormat="1" applyFont="1" applyBorder="1" applyAlignment="1">
      <alignment horizontal="center" vertical="center"/>
    </xf>
    <xf numFmtId="0" fontId="13" fillId="0" borderId="43" xfId="0" applyFont="1" applyBorder="1"/>
    <xf numFmtId="0" fontId="13" fillId="0" borderId="40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1" fillId="21" borderId="75" xfId="0" applyFont="1" applyFill="1" applyBorder="1" applyAlignment="1">
      <alignment horizontal="center" vertical="center"/>
    </xf>
    <xf numFmtId="177" fontId="11" fillId="21" borderId="46" xfId="0" applyNumberFormat="1" applyFont="1" applyFill="1" applyBorder="1" applyAlignment="1">
      <alignment horizontal="center" vertical="center"/>
    </xf>
    <xf numFmtId="0" fontId="17" fillId="0" borderId="0" xfId="0" applyFont="1"/>
    <xf numFmtId="0" fontId="26" fillId="22" borderId="4" xfId="0" applyFont="1" applyFill="1" applyBorder="1" applyAlignment="1">
      <alignment horizontal="center" vertical="center" wrapText="1"/>
    </xf>
    <xf numFmtId="0" fontId="26" fillId="22" borderId="65" xfId="0" applyFont="1" applyFill="1" applyBorder="1" applyAlignment="1">
      <alignment horizontal="center" vertical="center" wrapText="1"/>
    </xf>
    <xf numFmtId="0" fontId="35" fillId="0" borderId="38" xfId="0" applyFont="1" applyBorder="1" applyAlignment="1">
      <alignment horizontal="center" vertical="center"/>
    </xf>
    <xf numFmtId="0" fontId="26" fillId="0" borderId="4" xfId="0" applyFont="1" applyBorder="1" applyAlignment="1">
      <alignment horizontal="left" vertical="center" wrapText="1"/>
    </xf>
    <xf numFmtId="0" fontId="26" fillId="0" borderId="4" xfId="0" applyFont="1" applyBorder="1" applyAlignment="1">
      <alignment horizontal="center" vertical="center"/>
    </xf>
    <xf numFmtId="1" fontId="26" fillId="0" borderId="4" xfId="0" applyNumberFormat="1" applyFont="1" applyBorder="1" applyAlignment="1">
      <alignment horizontal="center" vertical="center" wrapText="1"/>
    </xf>
    <xf numFmtId="1" fontId="26" fillId="0" borderId="4" xfId="0" applyNumberFormat="1" applyFont="1" applyBorder="1" applyAlignment="1">
      <alignment horizontal="center" vertical="center"/>
    </xf>
    <xf numFmtId="178" fontId="26" fillId="0" borderId="4" xfId="0" applyNumberFormat="1" applyFont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/>
    </xf>
    <xf numFmtId="0" fontId="26" fillId="0" borderId="4" xfId="0" applyFont="1" applyBorder="1" applyAlignment="1">
      <alignment vertical="center"/>
    </xf>
    <xf numFmtId="0" fontId="26" fillId="0" borderId="4" xfId="0" applyFont="1" applyBorder="1" applyAlignment="1">
      <alignment horizontal="center" vertical="center" wrapText="1"/>
    </xf>
    <xf numFmtId="1" fontId="17" fillId="0" borderId="0" xfId="0" applyNumberFormat="1" applyFont="1"/>
    <xf numFmtId="178" fontId="26" fillId="0" borderId="74" xfId="0" applyNumberFormat="1" applyFont="1" applyBorder="1" applyAlignment="1">
      <alignment horizontal="center" vertical="center"/>
    </xf>
    <xf numFmtId="0" fontId="26" fillId="0" borderId="4" xfId="0" applyFont="1" applyBorder="1" applyAlignment="1">
      <alignment horizontal="left" vertical="center"/>
    </xf>
    <xf numFmtId="0" fontId="35" fillId="0" borderId="41" xfId="0" applyFont="1" applyBorder="1" applyAlignment="1">
      <alignment horizontal="center" vertical="center"/>
    </xf>
    <xf numFmtId="0" fontId="26" fillId="0" borderId="42" xfId="0" applyFont="1" applyBorder="1" applyAlignment="1">
      <alignment horizontal="left" vertical="center"/>
    </xf>
    <xf numFmtId="0" fontId="26" fillId="0" borderId="42" xfId="0" applyFont="1" applyBorder="1" applyAlignment="1">
      <alignment horizontal="center" vertical="center"/>
    </xf>
    <xf numFmtId="1" fontId="26" fillId="0" borderId="42" xfId="0" applyNumberFormat="1" applyFont="1" applyBorder="1" applyAlignment="1">
      <alignment horizontal="center" vertical="center" wrapText="1"/>
    </xf>
    <xf numFmtId="178" fontId="26" fillId="0" borderId="4" xfId="0" applyNumberFormat="1" applyFont="1" applyBorder="1" applyAlignment="1">
      <alignment vertical="center" wrapText="1"/>
    </xf>
    <xf numFmtId="1" fontId="26" fillId="0" borderId="74" xfId="0" applyNumberFormat="1" applyFont="1" applyBorder="1" applyAlignment="1">
      <alignment horizontal="center" vertical="center" wrapText="1"/>
    </xf>
    <xf numFmtId="174" fontId="26" fillId="0" borderId="4" xfId="0" applyNumberFormat="1" applyFont="1" applyBorder="1" applyAlignment="1">
      <alignment vertical="center" wrapText="1"/>
    </xf>
    <xf numFmtId="178" fontId="26" fillId="0" borderId="4" xfId="0" applyNumberFormat="1" applyFont="1" applyBorder="1" applyAlignment="1">
      <alignment horizontal="center" vertical="center" wrapText="1"/>
    </xf>
    <xf numFmtId="178" fontId="26" fillId="0" borderId="42" xfId="0" applyNumberFormat="1" applyFont="1" applyBorder="1" applyAlignment="1">
      <alignment horizontal="center" vertical="center"/>
    </xf>
    <xf numFmtId="179" fontId="11" fillId="0" borderId="4" xfId="0" applyNumberFormat="1" applyFont="1" applyBorder="1" applyAlignment="1">
      <alignment horizontal="center" vertical="center"/>
    </xf>
    <xf numFmtId="179" fontId="11" fillId="0" borderId="4" xfId="0" applyNumberFormat="1" applyFont="1" applyBorder="1" applyAlignment="1">
      <alignment horizontal="center" vertical="center" wrapText="1"/>
    </xf>
    <xf numFmtId="179" fontId="13" fillId="0" borderId="4" xfId="0" applyNumberFormat="1" applyFont="1" applyBorder="1"/>
    <xf numFmtId="179" fontId="13" fillId="0" borderId="4" xfId="0" applyNumberFormat="1" applyFont="1" applyBorder="1" applyAlignment="1">
      <alignment horizontal="center" vertical="center"/>
    </xf>
    <xf numFmtId="179" fontId="13" fillId="0" borderId="4" xfId="0" applyNumberFormat="1" applyFont="1" applyBorder="1" applyAlignment="1">
      <alignment vertical="center"/>
    </xf>
    <xf numFmtId="179" fontId="0" fillId="0" borderId="0" xfId="0" applyNumberFormat="1" applyAlignment="1">
      <alignment horizontal="center" vertical="center"/>
    </xf>
    <xf numFmtId="179" fontId="31" fillId="0" borderId="0" xfId="0" applyNumberFormat="1" applyFont="1"/>
    <xf numFmtId="0" fontId="37" fillId="0" borderId="4" xfId="0" applyFont="1" applyBorder="1" applyAlignment="1">
      <alignment horizontal="center" vertical="center"/>
    </xf>
    <xf numFmtId="0" fontId="10" fillId="0" borderId="18" xfId="335"/>
    <xf numFmtId="0" fontId="10" fillId="0" borderId="18" xfId="335" applyAlignment="1">
      <alignment horizontal="center" vertical="center"/>
    </xf>
    <xf numFmtId="0" fontId="10" fillId="0" borderId="127" xfId="335" applyBorder="1"/>
    <xf numFmtId="0" fontId="10" fillId="0" borderId="104" xfId="335" applyBorder="1" applyAlignment="1">
      <alignment horizontal="center" vertical="center"/>
    </xf>
    <xf numFmtId="0" fontId="10" fillId="0" borderId="104" xfId="335" applyBorder="1"/>
    <xf numFmtId="0" fontId="10" fillId="0" borderId="126" xfId="335" applyBorder="1"/>
    <xf numFmtId="0" fontId="10" fillId="0" borderId="92" xfId="335" applyBorder="1"/>
    <xf numFmtId="0" fontId="10" fillId="0" borderId="82" xfId="335" applyBorder="1" applyAlignment="1">
      <alignment horizontal="center" vertical="center"/>
    </xf>
    <xf numFmtId="173" fontId="10" fillId="0" borderId="18" xfId="335" applyNumberFormat="1" applyAlignment="1">
      <alignment horizontal="center" vertical="center"/>
    </xf>
    <xf numFmtId="0" fontId="10" fillId="83" borderId="18" xfId="335" applyFill="1" applyAlignment="1">
      <alignment horizontal="center" vertical="center"/>
    </xf>
    <xf numFmtId="0" fontId="10" fillId="0" borderId="18" xfId="335" applyAlignment="1">
      <alignment horizontal="center"/>
    </xf>
    <xf numFmtId="0" fontId="138" fillId="0" borderId="18" xfId="335" applyFont="1"/>
    <xf numFmtId="0" fontId="138" fillId="0" borderId="91" xfId="335" applyFont="1" applyBorder="1"/>
    <xf numFmtId="0" fontId="10" fillId="0" borderId="91" xfId="335" applyBorder="1"/>
    <xf numFmtId="1" fontId="10" fillId="0" borderId="18" xfId="335" applyNumberFormat="1" applyAlignment="1">
      <alignment horizontal="right" vertical="center"/>
    </xf>
    <xf numFmtId="0" fontId="10" fillId="0" borderId="82" xfId="335" applyBorder="1"/>
    <xf numFmtId="0" fontId="136" fillId="0" borderId="82" xfId="335" applyFont="1" applyBorder="1" applyAlignment="1">
      <alignment horizontal="center"/>
    </xf>
    <xf numFmtId="0" fontId="136" fillId="87" borderId="82" xfId="335" applyFont="1" applyFill="1" applyBorder="1" applyAlignment="1">
      <alignment horizontal="center"/>
    </xf>
    <xf numFmtId="173" fontId="10" fillId="0" borderId="18" xfId="335" applyNumberFormat="1" applyAlignment="1">
      <alignment horizontal="left" vertical="center"/>
    </xf>
    <xf numFmtId="0" fontId="139" fillId="87" borderId="82" xfId="335" applyFont="1" applyFill="1" applyBorder="1" applyAlignment="1">
      <alignment horizontal="center" vertical="center"/>
    </xf>
    <xf numFmtId="0" fontId="138" fillId="0" borderId="87" xfId="335" applyFont="1" applyBorder="1"/>
    <xf numFmtId="0" fontId="10" fillId="0" borderId="18" xfId="335" applyAlignment="1">
      <alignment horizontal="left" vertical="center"/>
    </xf>
    <xf numFmtId="0" fontId="136" fillId="0" borderId="18" xfId="335" applyFont="1" applyAlignment="1">
      <alignment horizontal="center"/>
    </xf>
    <xf numFmtId="0" fontId="10" fillId="0" borderId="120" xfId="335" applyBorder="1" applyAlignment="1">
      <alignment horizontal="center" vertical="center"/>
    </xf>
    <xf numFmtId="0" fontId="36" fillId="0" borderId="18" xfId="335" applyFont="1" applyAlignment="1">
      <alignment horizontal="center"/>
    </xf>
    <xf numFmtId="0" fontId="36" fillId="0" borderId="18" xfId="335" applyFont="1" applyAlignment="1">
      <alignment horizontal="center" vertical="center"/>
    </xf>
    <xf numFmtId="1" fontId="36" fillId="0" borderId="18" xfId="335" applyNumberFormat="1" applyFont="1" applyAlignment="1">
      <alignment horizontal="center" vertical="center"/>
    </xf>
    <xf numFmtId="0" fontId="36" fillId="0" borderId="18" xfId="335" applyFont="1"/>
    <xf numFmtId="0" fontId="141" fillId="0" borderId="18" xfId="335" applyFont="1" applyAlignment="1">
      <alignment horizontal="center"/>
    </xf>
    <xf numFmtId="0" fontId="36" fillId="87" borderId="82" xfId="335" applyFont="1" applyFill="1" applyBorder="1"/>
    <xf numFmtId="0" fontId="36" fillId="0" borderId="82" xfId="335" applyFont="1" applyBorder="1"/>
    <xf numFmtId="1" fontId="36" fillId="0" borderId="18" xfId="335" applyNumberFormat="1" applyFont="1" applyAlignment="1">
      <alignment horizontal="right" vertical="center"/>
    </xf>
    <xf numFmtId="0" fontId="139" fillId="82" borderId="82" xfId="335" applyFont="1" applyFill="1" applyBorder="1" applyAlignment="1">
      <alignment horizontal="center" vertical="center"/>
    </xf>
    <xf numFmtId="1" fontId="10" fillId="0" borderId="18" xfId="335" applyNumberFormat="1" applyAlignment="1">
      <alignment horizontal="center" vertical="center"/>
    </xf>
    <xf numFmtId="0" fontId="36" fillId="0" borderId="104" xfId="335" applyFont="1" applyBorder="1" applyAlignment="1">
      <alignment horizontal="center"/>
    </xf>
    <xf numFmtId="2" fontId="10" fillId="0" borderId="18" xfId="335" applyNumberFormat="1" applyAlignment="1">
      <alignment horizontal="center"/>
    </xf>
    <xf numFmtId="2" fontId="36" fillId="0" borderId="18" xfId="335" applyNumberFormat="1" applyFont="1" applyAlignment="1">
      <alignment horizontal="center"/>
    </xf>
    <xf numFmtId="0" fontId="36" fillId="0" borderId="104" xfId="335" applyFont="1" applyBorder="1" applyAlignment="1">
      <alignment horizontal="center" vertical="center"/>
    </xf>
    <xf numFmtId="1" fontId="36" fillId="0" borderId="18" xfId="335" applyNumberFormat="1" applyFont="1"/>
    <xf numFmtId="1" fontId="141" fillId="0" borderId="18" xfId="335" applyNumberFormat="1" applyFont="1" applyAlignment="1">
      <alignment horizontal="center"/>
    </xf>
    <xf numFmtId="0" fontId="36" fillId="89" borderId="18" xfId="335" applyFont="1" applyFill="1" applyAlignment="1">
      <alignment horizontal="center"/>
    </xf>
    <xf numFmtId="0" fontId="10" fillId="89" borderId="18" xfId="335" applyFill="1" applyAlignment="1">
      <alignment horizontal="center" vertical="center"/>
    </xf>
    <xf numFmtId="0" fontId="36" fillId="89" borderId="18" xfId="335" applyFont="1" applyFill="1" applyAlignment="1">
      <alignment horizontal="center" vertical="center"/>
    </xf>
    <xf numFmtId="1" fontId="36" fillId="0" borderId="18" xfId="335" applyNumberFormat="1" applyFont="1" applyAlignment="1">
      <alignment horizontal="center"/>
    </xf>
    <xf numFmtId="0" fontId="141" fillId="87" borderId="82" xfId="335" applyFont="1" applyFill="1" applyBorder="1" applyAlignment="1">
      <alignment horizontal="center"/>
    </xf>
    <xf numFmtId="2" fontId="36" fillId="89" borderId="18" xfId="335" applyNumberFormat="1" applyFont="1" applyFill="1" applyAlignment="1">
      <alignment horizontal="center"/>
    </xf>
    <xf numFmtId="0" fontId="36" fillId="88" borderId="18" xfId="335" applyFont="1" applyFill="1" applyAlignment="1">
      <alignment horizontal="center" vertical="center"/>
    </xf>
    <xf numFmtId="0" fontId="36" fillId="88" borderId="18" xfId="335" applyFont="1" applyFill="1" applyAlignment="1">
      <alignment horizontal="center"/>
    </xf>
    <xf numFmtId="0" fontId="142" fillId="87" borderId="82" xfId="335" applyFont="1" applyFill="1" applyBorder="1" applyAlignment="1">
      <alignment horizontal="center" vertical="center"/>
    </xf>
    <xf numFmtId="2" fontId="36" fillId="88" borderId="18" xfId="335" applyNumberFormat="1" applyFont="1" applyFill="1" applyAlignment="1">
      <alignment horizontal="center"/>
    </xf>
    <xf numFmtId="0" fontId="10" fillId="87" borderId="82" xfId="335" applyFill="1" applyBorder="1"/>
    <xf numFmtId="0" fontId="36" fillId="0" borderId="18" xfId="335" applyFont="1" applyAlignment="1">
      <alignment horizontal="right" vertical="center"/>
    </xf>
    <xf numFmtId="0" fontId="36" fillId="0" borderId="18" xfId="335" quotePrefix="1" applyFont="1" applyAlignment="1">
      <alignment horizontal="center" vertical="center"/>
    </xf>
    <xf numFmtId="0" fontId="36" fillId="0" borderId="18" xfId="335" applyFont="1" applyAlignment="1">
      <alignment vertical="center"/>
    </xf>
    <xf numFmtId="1" fontId="36" fillId="0" borderId="18" xfId="335" applyNumberFormat="1" applyFont="1" applyAlignment="1">
      <alignment horizontal="left" vertical="center"/>
    </xf>
    <xf numFmtId="0" fontId="10" fillId="88" borderId="18" xfId="335" applyFill="1" applyAlignment="1">
      <alignment horizontal="center" vertical="center"/>
    </xf>
    <xf numFmtId="1" fontId="36" fillId="88" borderId="18" xfId="335" applyNumberFormat="1" applyFont="1" applyFill="1" applyAlignment="1">
      <alignment horizontal="center" vertical="center"/>
    </xf>
    <xf numFmtId="16" fontId="36" fillId="0" borderId="18" xfId="335" applyNumberFormat="1" applyFont="1" applyAlignment="1">
      <alignment horizontal="center"/>
    </xf>
    <xf numFmtId="0" fontId="11" fillId="90" borderId="18" xfId="0" applyFont="1" applyFill="1" applyBorder="1" applyAlignment="1">
      <alignment horizontal="center" wrapText="1"/>
    </xf>
    <xf numFmtId="0" fontId="143" fillId="90" borderId="18" xfId="0" applyFont="1" applyFill="1" applyBorder="1" applyAlignment="1">
      <alignment wrapText="1"/>
    </xf>
    <xf numFmtId="0" fontId="9" fillId="0" borderId="18" xfId="335" applyFont="1"/>
    <xf numFmtId="0" fontId="143" fillId="0" borderId="18" xfId="0" applyFont="1" applyBorder="1" applyAlignment="1">
      <alignment wrapText="1"/>
    </xf>
    <xf numFmtId="0" fontId="13" fillId="0" borderId="82" xfId="0" applyFont="1" applyBorder="1" applyAlignment="1">
      <alignment horizontal="center" vertical="center" wrapText="1"/>
    </xf>
    <xf numFmtId="0" fontId="143" fillId="0" borderId="82" xfId="0" applyFont="1" applyBorder="1" applyAlignment="1">
      <alignment vertical="center" wrapText="1"/>
    </xf>
    <xf numFmtId="179" fontId="11" fillId="0" borderId="11" xfId="0" applyNumberFormat="1" applyFont="1" applyBorder="1" applyAlignment="1">
      <alignment horizontal="center" vertical="center" wrapText="1"/>
    </xf>
    <xf numFmtId="218" fontId="13" fillId="0" borderId="4" xfId="0" applyNumberFormat="1" applyFont="1" applyBorder="1"/>
    <xf numFmtId="0" fontId="18" fillId="5" borderId="15" xfId="0" applyFont="1" applyFill="1" applyBorder="1" applyAlignment="1">
      <alignment horizontal="center" vertical="center"/>
    </xf>
    <xf numFmtId="0" fontId="18" fillId="5" borderId="22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wrapText="1"/>
    </xf>
    <xf numFmtId="0" fontId="18" fillId="5" borderId="39" xfId="0" applyFont="1" applyFill="1" applyBorder="1" applyAlignment="1">
      <alignment horizontal="center" vertical="center" wrapText="1"/>
    </xf>
    <xf numFmtId="0" fontId="21" fillId="5" borderId="42" xfId="0" applyFont="1" applyFill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 wrapText="1"/>
    </xf>
    <xf numFmtId="0" fontId="18" fillId="5" borderId="43" xfId="0" applyFont="1" applyFill="1" applyBorder="1" applyAlignment="1">
      <alignment horizontal="center" vertical="center" wrapText="1"/>
    </xf>
    <xf numFmtId="0" fontId="17" fillId="5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5" borderId="44" xfId="0" applyFont="1" applyFill="1" applyBorder="1" applyAlignment="1">
      <alignment horizontal="center" vertical="center"/>
    </xf>
    <xf numFmtId="0" fontId="17" fillId="5" borderId="19" xfId="0" applyFont="1" applyFill="1" applyBorder="1" applyAlignment="1">
      <alignment horizontal="center" vertical="center"/>
    </xf>
    <xf numFmtId="178" fontId="27" fillId="0" borderId="74" xfId="0" applyNumberFormat="1" applyFont="1" applyBorder="1" applyAlignment="1">
      <alignment horizontal="center" vertical="center"/>
    </xf>
    <xf numFmtId="14" fontId="13" fillId="0" borderId="4" xfId="0" applyNumberFormat="1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6" fillId="92" borderId="18" xfId="335" applyFont="1" applyFill="1" applyAlignment="1">
      <alignment horizontal="center" vertical="center"/>
    </xf>
    <xf numFmtId="0" fontId="36" fillId="92" borderId="18" xfId="335" applyFont="1" applyFill="1" applyAlignment="1">
      <alignment horizontal="center"/>
    </xf>
    <xf numFmtId="2" fontId="36" fillId="92" borderId="18" xfId="335" applyNumberFormat="1" applyFont="1" applyFill="1" applyAlignment="1">
      <alignment horizontal="center"/>
    </xf>
    <xf numFmtId="0" fontId="10" fillId="92" borderId="18" xfId="335" applyFill="1" applyAlignment="1">
      <alignment horizontal="center" vertical="center"/>
    </xf>
    <xf numFmtId="0" fontId="10" fillId="92" borderId="18" xfId="335" applyFill="1" applyAlignment="1">
      <alignment horizontal="center"/>
    </xf>
    <xf numFmtId="0" fontId="141" fillId="92" borderId="18" xfId="335" applyFont="1" applyFill="1" applyAlignment="1">
      <alignment horizontal="center"/>
    </xf>
    <xf numFmtId="0" fontId="36" fillId="92" borderId="104" xfId="335" applyFont="1" applyFill="1" applyBorder="1" applyAlignment="1">
      <alignment horizontal="center" vertical="center"/>
    </xf>
    <xf numFmtId="0" fontId="141" fillId="0" borderId="82" xfId="335" applyFont="1" applyBorder="1" applyAlignment="1">
      <alignment horizontal="center"/>
    </xf>
    <xf numFmtId="0" fontId="141" fillId="0" borderId="18" xfId="335" applyFont="1"/>
    <xf numFmtId="0" fontId="10" fillId="92" borderId="18" xfId="335" applyFill="1"/>
    <xf numFmtId="2" fontId="8" fillId="0" borderId="18" xfId="0" applyNumberFormat="1" applyFont="1" applyBorder="1" applyAlignment="1">
      <alignment horizontal="center" vertical="center"/>
    </xf>
    <xf numFmtId="2" fontId="36" fillId="0" borderId="18" xfId="0" applyNumberFormat="1" applyFont="1" applyBorder="1" applyAlignment="1">
      <alignment horizontal="center" vertical="center"/>
    </xf>
    <xf numFmtId="0" fontId="10" fillId="0" borderId="128" xfId="335" applyBorder="1" applyAlignment="1">
      <alignment horizontal="center" vertical="center"/>
    </xf>
    <xf numFmtId="0" fontId="136" fillId="0" borderId="82" xfId="335" applyFont="1" applyBorder="1" applyAlignment="1">
      <alignment horizontal="center" vertical="center"/>
    </xf>
    <xf numFmtId="0" fontId="136" fillId="84" borderId="82" xfId="335" applyFont="1" applyFill="1" applyBorder="1" applyAlignment="1">
      <alignment horizontal="center" vertical="center"/>
    </xf>
    <xf numFmtId="0" fontId="10" fillId="0" borderId="91" xfId="335" applyBorder="1" applyAlignment="1">
      <alignment horizontal="center" vertical="center"/>
    </xf>
    <xf numFmtId="0" fontId="36" fillId="0" borderId="91" xfId="335" applyFont="1" applyBorder="1" applyAlignment="1">
      <alignment horizontal="center" vertical="center"/>
    </xf>
    <xf numFmtId="0" fontId="36" fillId="87" borderId="82" xfId="335" applyFont="1" applyFill="1" applyBorder="1" applyAlignment="1">
      <alignment horizontal="center" vertical="center"/>
    </xf>
    <xf numFmtId="0" fontId="36" fillId="91" borderId="82" xfId="335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38" fillId="0" borderId="91" xfId="335" applyFont="1" applyBorder="1" applyAlignment="1">
      <alignment horizontal="center" vertical="center"/>
    </xf>
    <xf numFmtId="0" fontId="138" fillId="0" borderId="18" xfId="335" applyFont="1" applyAlignment="1">
      <alignment horizontal="center" vertical="center"/>
    </xf>
    <xf numFmtId="0" fontId="138" fillId="0" borderId="87" xfId="335" applyFont="1" applyBorder="1" applyAlignment="1">
      <alignment horizontal="center" vertical="center"/>
    </xf>
    <xf numFmtId="0" fontId="136" fillId="87" borderId="82" xfId="335" applyFont="1" applyFill="1" applyBorder="1" applyAlignment="1">
      <alignment horizontal="center" vertical="center"/>
    </xf>
    <xf numFmtId="0" fontId="10" fillId="0" borderId="126" xfId="335" applyBorder="1" applyAlignment="1">
      <alignment horizontal="center" vertical="center"/>
    </xf>
    <xf numFmtId="0" fontId="141" fillId="87" borderId="82" xfId="335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7" fillId="0" borderId="139" xfId="0" applyFont="1" applyBorder="1" applyAlignment="1">
      <alignment horizontal="center" vertical="center" wrapText="1"/>
    </xf>
    <xf numFmtId="0" fontId="27" fillId="0" borderId="19" xfId="0" applyFont="1" applyBorder="1" applyAlignment="1">
      <alignment horizontal="center" vertical="center" wrapText="1"/>
    </xf>
    <xf numFmtId="0" fontId="27" fillId="0" borderId="140" xfId="0" applyFont="1" applyBorder="1" applyAlignment="1">
      <alignment horizontal="center" vertical="center" wrapText="1"/>
    </xf>
    <xf numFmtId="0" fontId="27" fillId="0" borderId="112" xfId="0" applyFont="1" applyBorder="1" applyAlignment="1">
      <alignment horizontal="center" vertical="center" wrapText="1"/>
    </xf>
    <xf numFmtId="0" fontId="27" fillId="0" borderId="141" xfId="0" applyFont="1" applyBorder="1" applyAlignment="1">
      <alignment horizontal="center" vertical="center" wrapText="1"/>
    </xf>
    <xf numFmtId="0" fontId="27" fillId="0" borderId="142" xfId="0" applyFont="1" applyBorder="1" applyAlignment="1">
      <alignment horizontal="center" vertical="center" wrapText="1"/>
    </xf>
    <xf numFmtId="0" fontId="27" fillId="0" borderId="143" xfId="0" applyFont="1" applyBorder="1" applyAlignment="1">
      <alignment horizontal="center" vertical="center" wrapText="1"/>
    </xf>
    <xf numFmtId="0" fontId="11" fillId="0" borderId="66" xfId="0" applyFont="1" applyBorder="1" applyAlignment="1">
      <alignment horizontal="center" vertical="center" wrapText="1"/>
    </xf>
    <xf numFmtId="0" fontId="11" fillId="0" borderId="65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62" xfId="0" applyFont="1" applyBorder="1" applyAlignment="1">
      <alignment horizontal="center" vertical="center" wrapText="1"/>
    </xf>
    <xf numFmtId="167" fontId="11" fillId="0" borderId="65" xfId="0" applyNumberFormat="1" applyFont="1" applyBorder="1" applyAlignment="1">
      <alignment horizontal="center" vertical="center" wrapText="1"/>
    </xf>
    <xf numFmtId="1" fontId="26" fillId="0" borderId="74" xfId="0" applyNumberFormat="1" applyFont="1" applyBorder="1" applyAlignment="1">
      <alignment horizontal="center" vertical="center"/>
    </xf>
    <xf numFmtId="178" fontId="27" fillId="0" borderId="43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21" fillId="4" borderId="77" xfId="0" applyFont="1" applyFill="1" applyBorder="1" applyAlignment="1">
      <alignment horizontal="center" vertical="center"/>
    </xf>
    <xf numFmtId="172" fontId="23" fillId="3" borderId="78" xfId="0" applyNumberFormat="1" applyFont="1" applyFill="1" applyBorder="1" applyAlignment="1">
      <alignment horizontal="center" vertical="center"/>
    </xf>
    <xf numFmtId="0" fontId="21" fillId="5" borderId="153" xfId="0" applyFont="1" applyFill="1" applyBorder="1" applyAlignment="1">
      <alignment horizontal="center" vertical="center" wrapText="1"/>
    </xf>
    <xf numFmtId="0" fontId="18" fillId="0" borderId="154" xfId="0" applyFont="1" applyBorder="1" applyAlignment="1">
      <alignment horizontal="center" vertical="center" wrapText="1"/>
    </xf>
    <xf numFmtId="0" fontId="21" fillId="5" borderId="157" xfId="0" applyFont="1" applyFill="1" applyBorder="1" applyAlignment="1">
      <alignment horizontal="center" vertical="center" wrapText="1"/>
    </xf>
    <xf numFmtId="0" fontId="21" fillId="5" borderId="158" xfId="0" applyFont="1" applyFill="1" applyBorder="1" applyAlignment="1">
      <alignment horizontal="center" vertical="center" wrapText="1"/>
    </xf>
    <xf numFmtId="0" fontId="18" fillId="5" borderId="158" xfId="0" applyFont="1" applyFill="1" applyBorder="1" applyAlignment="1">
      <alignment horizontal="center" vertical="center" wrapText="1"/>
    </xf>
    <xf numFmtId="1" fontId="18" fillId="5" borderId="158" xfId="0" applyNumberFormat="1" applyFont="1" applyFill="1" applyBorder="1" applyAlignment="1">
      <alignment horizontal="center" vertical="center" wrapText="1"/>
    </xf>
    <xf numFmtId="15" fontId="15" fillId="5" borderId="158" xfId="0" applyNumberFormat="1" applyFont="1" applyFill="1" applyBorder="1" applyAlignment="1">
      <alignment horizontal="center" vertical="center"/>
    </xf>
    <xf numFmtId="1" fontId="18" fillId="0" borderId="158" xfId="0" applyNumberFormat="1" applyFont="1" applyBorder="1" applyAlignment="1">
      <alignment horizontal="center" vertical="center" wrapText="1"/>
    </xf>
    <xf numFmtId="2" fontId="24" fillId="0" borderId="158" xfId="0" applyNumberFormat="1" applyFont="1" applyBorder="1" applyAlignment="1">
      <alignment horizontal="center" vertical="center" wrapText="1"/>
    </xf>
    <xf numFmtId="173" fontId="24" fillId="5" borderId="158" xfId="0" applyNumberFormat="1" applyFont="1" applyFill="1" applyBorder="1" applyAlignment="1">
      <alignment horizontal="center" vertical="center" wrapText="1"/>
    </xf>
    <xf numFmtId="0" fontId="24" fillId="5" borderId="158" xfId="0" applyFont="1" applyFill="1" applyBorder="1" applyAlignment="1">
      <alignment horizontal="center" vertical="center" wrapText="1"/>
    </xf>
    <xf numFmtId="0" fontId="24" fillId="5" borderId="159" xfId="0" applyFont="1" applyFill="1" applyBorder="1" applyAlignment="1">
      <alignment horizontal="center" vertical="center" wrapText="1"/>
    </xf>
    <xf numFmtId="179" fontId="13" fillId="0" borderId="4" xfId="0" applyNumberFormat="1" applyFont="1" applyBorder="1" applyAlignment="1">
      <alignment horizontal="center"/>
    </xf>
    <xf numFmtId="0" fontId="31" fillId="0" borderId="0" xfId="0" applyFont="1" applyAlignment="1">
      <alignment horizontal="center"/>
    </xf>
    <xf numFmtId="0" fontId="10" fillId="82" borderId="18" xfId="335" applyFill="1" applyAlignment="1">
      <alignment horizontal="center" vertical="center"/>
    </xf>
    <xf numFmtId="0" fontId="13" fillId="0" borderId="66" xfId="0" applyFont="1" applyBorder="1" applyAlignment="1">
      <alignment horizontal="left" vertical="center"/>
    </xf>
    <xf numFmtId="0" fontId="13" fillId="0" borderId="68" xfId="0" applyFont="1" applyBorder="1" applyAlignment="1">
      <alignment horizontal="left" vertical="center"/>
    </xf>
    <xf numFmtId="0" fontId="13" fillId="0" borderId="160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161" xfId="0" applyFont="1" applyBorder="1" applyAlignment="1">
      <alignment horizontal="left" vertical="center"/>
    </xf>
    <xf numFmtId="0" fontId="13" fillId="0" borderId="160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62" xfId="0" applyFont="1" applyBorder="1" applyAlignment="1">
      <alignment horizontal="center" vertical="center"/>
    </xf>
    <xf numFmtId="0" fontId="13" fillId="0" borderId="164" xfId="0" applyFont="1" applyBorder="1" applyAlignment="1">
      <alignment horizontal="center" vertical="center"/>
    </xf>
    <xf numFmtId="0" fontId="13" fillId="0" borderId="69" xfId="0" applyFont="1" applyBorder="1" applyAlignment="1">
      <alignment horizontal="left" vertical="center"/>
    </xf>
    <xf numFmtId="0" fontId="13" fillId="0" borderId="57" xfId="0" applyFont="1" applyBorder="1" applyAlignment="1">
      <alignment horizontal="left" vertical="center"/>
    </xf>
    <xf numFmtId="3" fontId="13" fillId="0" borderId="67" xfId="0" applyNumberFormat="1" applyFont="1" applyBorder="1" applyAlignment="1">
      <alignment horizontal="center" vertical="center"/>
    </xf>
    <xf numFmtId="2" fontId="13" fillId="0" borderId="9" xfId="0" applyNumberFormat="1" applyFont="1" applyBorder="1" applyAlignment="1">
      <alignment horizontal="center" vertical="center"/>
    </xf>
    <xf numFmtId="0" fontId="13" fillId="14" borderId="9" xfId="0" applyFont="1" applyFill="1" applyBorder="1" applyAlignment="1">
      <alignment horizontal="center" vertical="center"/>
    </xf>
    <xf numFmtId="0" fontId="13" fillId="0" borderId="9" xfId="0" applyFont="1" applyBorder="1"/>
    <xf numFmtId="0" fontId="13" fillId="14" borderId="9" xfId="0" applyFont="1" applyFill="1" applyBorder="1"/>
    <xf numFmtId="179" fontId="13" fillId="0" borderId="9" xfId="0" applyNumberFormat="1" applyFont="1" applyBorder="1"/>
    <xf numFmtId="0" fontId="13" fillId="0" borderId="65" xfId="0" applyFont="1" applyBorder="1" applyAlignment="1">
      <alignment horizontal="center" vertical="center"/>
    </xf>
    <xf numFmtId="0" fontId="13" fillId="0" borderId="65" xfId="0" applyFont="1" applyBorder="1" applyAlignment="1">
      <alignment horizontal="left" vertical="center"/>
    </xf>
    <xf numFmtId="0" fontId="13" fillId="0" borderId="32" xfId="0" applyFont="1" applyBorder="1" applyAlignment="1">
      <alignment horizontal="left" vertical="center"/>
    </xf>
    <xf numFmtId="0" fontId="13" fillId="0" borderId="48" xfId="0" applyFont="1" applyBorder="1" applyAlignment="1">
      <alignment horizontal="left" vertical="center"/>
    </xf>
    <xf numFmtId="0" fontId="13" fillId="0" borderId="164" xfId="0" applyFont="1" applyBorder="1" applyAlignment="1">
      <alignment horizontal="left" vertical="center"/>
    </xf>
    <xf numFmtId="0" fontId="13" fillId="0" borderId="60" xfId="0" applyFont="1" applyBorder="1" applyAlignment="1">
      <alignment horizontal="left" vertical="center"/>
    </xf>
    <xf numFmtId="0" fontId="13" fillId="0" borderId="165" xfId="0" applyFont="1" applyBorder="1" applyAlignment="1">
      <alignment horizontal="center" vertical="center"/>
    </xf>
    <xf numFmtId="3" fontId="13" fillId="0" borderId="61" xfId="0" applyNumberFormat="1" applyFont="1" applyBorder="1" applyAlignment="1">
      <alignment horizontal="center" vertical="center"/>
    </xf>
    <xf numFmtId="2" fontId="13" fillId="0" borderId="65" xfId="0" applyNumberFormat="1" applyFont="1" applyBorder="1" applyAlignment="1">
      <alignment horizontal="center" vertical="center"/>
    </xf>
    <xf numFmtId="0" fontId="13" fillId="14" borderId="65" xfId="0" applyFont="1" applyFill="1" applyBorder="1" applyAlignment="1">
      <alignment horizontal="center" vertical="center"/>
    </xf>
    <xf numFmtId="0" fontId="13" fillId="0" borderId="82" xfId="0" applyFont="1" applyBorder="1" applyAlignment="1">
      <alignment horizontal="center" vertical="center"/>
    </xf>
    <xf numFmtId="2" fontId="13" fillId="0" borderId="82" xfId="0" applyNumberFormat="1" applyFont="1" applyBorder="1" applyAlignment="1">
      <alignment horizontal="center" vertical="center"/>
    </xf>
    <xf numFmtId="0" fontId="0" fillId="0" borderId="82" xfId="0" applyBorder="1"/>
    <xf numFmtId="16" fontId="13" fillId="0" borderId="4" xfId="0" quotePrefix="1" applyNumberFormat="1" applyFont="1" applyBorder="1" applyAlignment="1">
      <alignment horizontal="left" vertical="center"/>
    </xf>
    <xf numFmtId="2" fontId="11" fillId="6" borderId="82" xfId="0" applyNumberFormat="1" applyFont="1" applyFill="1" applyBorder="1" applyAlignment="1">
      <alignment horizontal="center" vertical="center"/>
    </xf>
    <xf numFmtId="2" fontId="11" fillId="0" borderId="82" xfId="0" applyNumberFormat="1" applyFont="1" applyBorder="1" applyAlignment="1">
      <alignment horizontal="center" vertical="center"/>
    </xf>
    <xf numFmtId="0" fontId="11" fillId="19" borderId="82" xfId="0" applyFont="1" applyFill="1" applyBorder="1" applyAlignment="1">
      <alignment horizontal="center" vertical="center" wrapText="1"/>
    </xf>
    <xf numFmtId="0" fontId="11" fillId="19" borderId="82" xfId="0" applyFont="1" applyFill="1" applyBorder="1" applyAlignment="1">
      <alignment horizontal="center" vertical="center"/>
    </xf>
    <xf numFmtId="0" fontId="11" fillId="0" borderId="82" xfId="0" applyFont="1" applyBorder="1" applyAlignment="1">
      <alignment horizontal="center" vertical="center" wrapText="1"/>
    </xf>
    <xf numFmtId="0" fontId="11" fillId="18" borderId="82" xfId="0" applyFont="1" applyFill="1" applyBorder="1" applyAlignment="1">
      <alignment horizontal="center" vertical="center" wrapText="1"/>
    </xf>
    <xf numFmtId="0" fontId="11" fillId="0" borderId="82" xfId="0" applyFont="1" applyBorder="1" applyAlignment="1">
      <alignment horizontal="center" vertical="center"/>
    </xf>
    <xf numFmtId="0" fontId="13" fillId="0" borderId="82" xfId="0" quotePrefix="1" applyFont="1" applyBorder="1" applyAlignment="1">
      <alignment horizontal="center" vertical="center"/>
    </xf>
    <xf numFmtId="179" fontId="13" fillId="0" borderId="82" xfId="0" applyNumberFormat="1" applyFont="1" applyBorder="1" applyAlignment="1">
      <alignment horizontal="center" vertical="center"/>
    </xf>
    <xf numFmtId="0" fontId="13" fillId="18" borderId="82" xfId="0" applyFont="1" applyFill="1" applyBorder="1" applyAlignment="1">
      <alignment horizontal="center" vertical="center" wrapText="1"/>
    </xf>
    <xf numFmtId="169" fontId="13" fillId="0" borderId="82" xfId="0" applyNumberFormat="1" applyFont="1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31" fillId="0" borderId="18" xfId="0" applyFont="1" applyBorder="1" applyAlignment="1">
      <alignment horizontal="center" vertical="center"/>
    </xf>
    <xf numFmtId="169" fontId="11" fillId="3" borderId="82" xfId="0" applyNumberFormat="1" applyFont="1" applyFill="1" applyBorder="1" applyAlignment="1">
      <alignment horizontal="center" vertical="center"/>
    </xf>
    <xf numFmtId="0" fontId="11" fillId="18" borderId="82" xfId="0" applyFont="1" applyFill="1" applyBorder="1" applyAlignment="1">
      <alignment horizontal="center" vertical="center"/>
    </xf>
    <xf numFmtId="0" fontId="13" fillId="18" borderId="82" xfId="0" applyFont="1" applyFill="1" applyBorder="1" applyAlignment="1">
      <alignment horizontal="center" vertical="center"/>
    </xf>
    <xf numFmtId="0" fontId="5" fillId="0" borderId="82" xfId="0" applyFont="1" applyBorder="1" applyAlignment="1">
      <alignment horizontal="center" vertical="center"/>
    </xf>
    <xf numFmtId="0" fontId="13" fillId="18" borderId="18" xfId="0" applyFont="1" applyFill="1" applyBorder="1" applyAlignment="1">
      <alignment horizontal="center" vertical="center"/>
    </xf>
    <xf numFmtId="0" fontId="13" fillId="18" borderId="15" xfId="0" applyFont="1" applyFill="1" applyBorder="1" applyAlignment="1">
      <alignment horizontal="center" vertical="center"/>
    </xf>
    <xf numFmtId="2" fontId="13" fillId="0" borderId="18" xfId="0" applyNumberFormat="1" applyFont="1" applyBorder="1" applyAlignment="1">
      <alignment horizontal="center" vertical="center"/>
    </xf>
    <xf numFmtId="0" fontId="5" fillId="83" borderId="82" xfId="0" applyFont="1" applyFill="1" applyBorder="1" applyAlignment="1">
      <alignment horizontal="center" vertical="center"/>
    </xf>
    <xf numFmtId="0" fontId="10" fillId="93" borderId="18" xfId="335" applyFill="1" applyAlignment="1">
      <alignment horizontal="center"/>
    </xf>
    <xf numFmtId="0" fontId="10" fillId="93" borderId="18" xfId="335" applyFill="1" applyAlignment="1">
      <alignment horizontal="center" vertical="center"/>
    </xf>
    <xf numFmtId="0" fontId="10" fillId="93" borderId="18" xfId="335" applyFill="1"/>
    <xf numFmtId="0" fontId="145" fillId="0" borderId="18" xfId="335" applyFont="1" applyAlignment="1">
      <alignment horizontal="center" vertical="center"/>
    </xf>
    <xf numFmtId="0" fontId="138" fillId="0" borderId="120" xfId="335" applyFont="1" applyBorder="1" applyAlignment="1">
      <alignment horizontal="center" vertical="center"/>
    </xf>
    <xf numFmtId="0" fontId="146" fillId="0" borderId="18" xfId="335" applyFont="1" applyAlignment="1">
      <alignment horizontal="center" vertical="center"/>
    </xf>
    <xf numFmtId="1" fontId="146" fillId="0" borderId="18" xfId="335" applyNumberFormat="1" applyFont="1" applyAlignment="1">
      <alignment horizontal="center" vertical="center"/>
    </xf>
    <xf numFmtId="2" fontId="146" fillId="0" borderId="18" xfId="0" applyNumberFormat="1" applyFont="1" applyBorder="1" applyAlignment="1">
      <alignment horizontal="center" vertical="center"/>
    </xf>
    <xf numFmtId="0" fontId="138" fillId="0" borderId="104" xfId="335" applyFont="1" applyBorder="1" applyAlignment="1">
      <alignment horizontal="center" vertical="center"/>
    </xf>
    <xf numFmtId="2" fontId="138" fillId="0" borderId="18" xfId="0" applyNumberFormat="1" applyFont="1" applyBorder="1" applyAlignment="1">
      <alignment horizontal="center" vertical="center"/>
    </xf>
    <xf numFmtId="0" fontId="146" fillId="0" borderId="18" xfId="0" applyFont="1" applyBorder="1" applyAlignment="1">
      <alignment horizontal="center" vertical="center"/>
    </xf>
    <xf numFmtId="0" fontId="138" fillId="0" borderId="92" xfId="335" applyFont="1" applyBorder="1" applyAlignment="1">
      <alignment horizontal="center" vertical="center"/>
    </xf>
    <xf numFmtId="0" fontId="138" fillId="0" borderId="127" xfId="335" applyFont="1" applyBorder="1" applyAlignment="1">
      <alignment horizontal="center" vertical="center"/>
    </xf>
    <xf numFmtId="173" fontId="146" fillId="0" borderId="18" xfId="0" applyNumberFormat="1" applyFont="1" applyBorder="1" applyAlignment="1">
      <alignment horizontal="center" vertical="center"/>
    </xf>
    <xf numFmtId="0" fontId="146" fillId="0" borderId="92" xfId="335" applyFont="1" applyBorder="1" applyAlignment="1">
      <alignment horizontal="center" vertical="center"/>
    </xf>
    <xf numFmtId="1" fontId="146" fillId="0" borderId="92" xfId="335" applyNumberFormat="1" applyFont="1" applyBorder="1" applyAlignment="1">
      <alignment horizontal="center" vertical="center"/>
    </xf>
    <xf numFmtId="2" fontId="146" fillId="0" borderId="92" xfId="0" applyNumberFormat="1" applyFont="1" applyBorder="1" applyAlignment="1">
      <alignment horizontal="center" vertical="center"/>
    </xf>
    <xf numFmtId="2" fontId="138" fillId="0" borderId="92" xfId="0" applyNumberFormat="1" applyFont="1" applyBorder="1" applyAlignment="1">
      <alignment horizontal="center" vertical="center"/>
    </xf>
    <xf numFmtId="2" fontId="18" fillId="5" borderId="4" xfId="0" applyNumberFormat="1" applyFont="1" applyFill="1" applyBorder="1" applyAlignment="1">
      <alignment horizontal="center" vertical="center" wrapText="1"/>
    </xf>
    <xf numFmtId="2" fontId="18" fillId="5" borderId="42" xfId="0" applyNumberFormat="1" applyFont="1" applyFill="1" applyBorder="1" applyAlignment="1">
      <alignment horizontal="center" vertical="center" wrapText="1"/>
    </xf>
    <xf numFmtId="173" fontId="10" fillId="0" borderId="82" xfId="335" applyNumberFormat="1" applyBorder="1" applyAlignment="1">
      <alignment horizontal="center" vertical="center"/>
    </xf>
    <xf numFmtId="2" fontId="26" fillId="0" borderId="4" xfId="0" applyNumberFormat="1" applyFont="1" applyBorder="1" applyAlignment="1">
      <alignment horizontal="center" vertical="center" wrapText="1"/>
    </xf>
    <xf numFmtId="2" fontId="26" fillId="0" borderId="42" xfId="0" applyNumberFormat="1" applyFont="1" applyBorder="1" applyAlignment="1">
      <alignment horizontal="center" vertical="center" wrapText="1"/>
    </xf>
    <xf numFmtId="2" fontId="18" fillId="0" borderId="4" xfId="0" applyNumberFormat="1" applyFont="1" applyBorder="1" applyAlignment="1">
      <alignment horizontal="center" vertical="center" wrapText="1"/>
    </xf>
    <xf numFmtId="0" fontId="4" fillId="0" borderId="18" xfId="335" applyFont="1" applyAlignment="1">
      <alignment horizontal="center" vertical="center"/>
    </xf>
    <xf numFmtId="0" fontId="139" fillId="0" borderId="18" xfId="335" applyFont="1" applyAlignment="1">
      <alignment horizontal="center" vertical="center"/>
    </xf>
    <xf numFmtId="2" fontId="24" fillId="5" borderId="4" xfId="0" applyNumberFormat="1" applyFont="1" applyFill="1" applyBorder="1" applyAlignment="1">
      <alignment horizontal="center" vertical="center" wrapText="1"/>
    </xf>
    <xf numFmtId="171" fontId="11" fillId="6" borderId="4" xfId="0" applyNumberFormat="1" applyFont="1" applyFill="1" applyBorder="1" applyAlignment="1">
      <alignment horizontal="center" vertical="center"/>
    </xf>
    <xf numFmtId="171" fontId="11" fillId="0" borderId="4" xfId="0" applyNumberFormat="1" applyFont="1" applyBorder="1"/>
    <xf numFmtId="0" fontId="36" fillId="0" borderId="82" xfId="0" applyFont="1" applyBorder="1" applyAlignment="1">
      <alignment horizontal="center" vertical="center" wrapText="1"/>
    </xf>
    <xf numFmtId="0" fontId="6" fillId="0" borderId="82" xfId="0" applyFont="1" applyBorder="1" applyAlignment="1">
      <alignment horizontal="center" vertical="center" wrapText="1"/>
    </xf>
    <xf numFmtId="0" fontId="7" fillId="0" borderId="82" xfId="0" applyFont="1" applyBorder="1" applyAlignment="1">
      <alignment horizontal="center" vertical="center"/>
    </xf>
    <xf numFmtId="0" fontId="40" fillId="0" borderId="82" xfId="0" quotePrefix="1" applyFont="1" applyBorder="1" applyAlignment="1">
      <alignment horizontal="center" vertical="center"/>
    </xf>
    <xf numFmtId="16" fontId="40" fillId="0" borderId="82" xfId="0" quotePrefix="1" applyNumberFormat="1" applyFont="1" applyBorder="1" applyAlignment="1">
      <alignment horizontal="center" vertical="center"/>
    </xf>
    <xf numFmtId="16" fontId="7" fillId="0" borderId="82" xfId="0" quotePrefix="1" applyNumberFormat="1" applyFont="1" applyBorder="1" applyAlignment="1">
      <alignment horizontal="center" vertical="center"/>
    </xf>
    <xf numFmtId="0" fontId="7" fillId="0" borderId="82" xfId="0" quotePrefix="1" applyFont="1" applyBorder="1" applyAlignment="1">
      <alignment horizontal="center" vertical="center"/>
    </xf>
    <xf numFmtId="0" fontId="6" fillId="0" borderId="82" xfId="0" applyFont="1" applyBorder="1" applyAlignment="1">
      <alignment horizontal="center" vertical="center"/>
    </xf>
    <xf numFmtId="0" fontId="40" fillId="0" borderId="82" xfId="0" applyFont="1" applyBorder="1" applyAlignment="1">
      <alignment horizontal="center" vertical="center"/>
    </xf>
    <xf numFmtId="0" fontId="3" fillId="0" borderId="18" xfId="335" applyFont="1"/>
    <xf numFmtId="1" fontId="3" fillId="0" borderId="18" xfId="335" applyNumberFormat="1" applyFont="1"/>
    <xf numFmtId="0" fontId="3" fillId="0" borderId="82" xfId="335" applyFont="1" applyBorder="1" applyAlignment="1">
      <alignment horizontal="center" vertical="center"/>
    </xf>
    <xf numFmtId="0" fontId="10" fillId="82" borderId="82" xfId="335" applyFill="1" applyBorder="1" applyAlignment="1">
      <alignment horizontal="center" vertical="center"/>
    </xf>
    <xf numFmtId="0" fontId="13" fillId="82" borderId="4" xfId="0" applyFont="1" applyFill="1" applyBorder="1" applyAlignment="1">
      <alignment horizontal="center" vertical="center"/>
    </xf>
    <xf numFmtId="0" fontId="18" fillId="0" borderId="155" xfId="0" applyFont="1" applyBorder="1" applyAlignment="1">
      <alignment horizontal="center" vertical="center" wrapText="1"/>
    </xf>
    <xf numFmtId="2" fontId="18" fillId="0" borderId="158" xfId="0" applyNumberFormat="1" applyFont="1" applyBorder="1" applyAlignment="1">
      <alignment horizontal="center" vertical="center" wrapText="1"/>
    </xf>
    <xf numFmtId="0" fontId="2" fillId="0" borderId="18" xfId="335" applyFont="1" applyAlignment="1">
      <alignment horizontal="center" vertical="center"/>
    </xf>
    <xf numFmtId="1" fontId="2" fillId="0" borderId="18" xfId="335" applyNumberFormat="1" applyFont="1" applyAlignment="1">
      <alignment horizontal="center" vertical="center"/>
    </xf>
    <xf numFmtId="0" fontId="133" fillId="0" borderId="18" xfId="335" applyFont="1" applyAlignment="1">
      <alignment horizontal="center" vertical="center"/>
    </xf>
    <xf numFmtId="0" fontId="7" fillId="82" borderId="82" xfId="0" quotePrefix="1" applyFont="1" applyFill="1" applyBorder="1" applyAlignment="1">
      <alignment horizontal="center" vertical="center"/>
    </xf>
    <xf numFmtId="0" fontId="13" fillId="82" borderId="4" xfId="0" quotePrefix="1" applyFont="1" applyFill="1" applyBorder="1" applyAlignment="1">
      <alignment horizontal="center" vertical="center"/>
    </xf>
    <xf numFmtId="0" fontId="40" fillId="82" borderId="82" xfId="0" quotePrefix="1" applyFont="1" applyFill="1" applyBorder="1" applyAlignment="1">
      <alignment horizontal="center" vertical="center"/>
    </xf>
    <xf numFmtId="16" fontId="40" fillId="82" borderId="82" xfId="0" quotePrefix="1" applyNumberFormat="1" applyFont="1" applyFill="1" applyBorder="1" applyAlignment="1">
      <alignment horizontal="center" vertical="center"/>
    </xf>
    <xf numFmtId="0" fontId="13" fillId="82" borderId="4" xfId="0" applyFont="1" applyFill="1" applyBorder="1" applyAlignment="1">
      <alignment horizontal="center"/>
    </xf>
    <xf numFmtId="0" fontId="13" fillId="0" borderId="9" xfId="0" applyFont="1" applyBorder="1" applyAlignment="1">
      <alignment horizontal="center"/>
    </xf>
    <xf numFmtId="218" fontId="13" fillId="0" borderId="4" xfId="0" applyNumberFormat="1" applyFont="1" applyBorder="1" applyAlignment="1">
      <alignment horizontal="center"/>
    </xf>
    <xf numFmtId="1" fontId="36" fillId="92" borderId="18" xfId="335" applyNumberFormat="1" applyFont="1" applyFill="1" applyAlignment="1">
      <alignment horizontal="center" vertical="center"/>
    </xf>
    <xf numFmtId="0" fontId="36" fillId="0" borderId="120" xfId="335" applyFont="1" applyBorder="1" applyAlignment="1">
      <alignment horizontal="center" vertical="center"/>
    </xf>
    <xf numFmtId="0" fontId="36" fillId="0" borderId="82" xfId="335" applyFont="1" applyBorder="1" applyAlignment="1">
      <alignment horizontal="center" vertical="center"/>
    </xf>
    <xf numFmtId="0" fontId="36" fillId="0" borderId="121" xfId="335" applyFont="1" applyBorder="1" applyAlignment="1">
      <alignment horizontal="center" vertical="center"/>
    </xf>
    <xf numFmtId="0" fontId="10" fillId="87" borderId="82" xfId="335" applyFill="1" applyBorder="1" applyAlignment="1">
      <alignment horizontal="center" vertical="center"/>
    </xf>
    <xf numFmtId="0" fontId="146" fillId="0" borderId="120" xfId="335" applyFont="1" applyBorder="1" applyAlignment="1">
      <alignment horizontal="center" vertical="center"/>
    </xf>
    <xf numFmtId="0" fontId="138" fillId="0" borderId="129" xfId="335" applyFont="1" applyBorder="1" applyAlignment="1">
      <alignment horizontal="center" vertical="center"/>
    </xf>
    <xf numFmtId="0" fontId="136" fillId="0" borderId="18" xfId="335" applyFont="1" applyAlignment="1">
      <alignment horizontal="center" vertical="center"/>
    </xf>
    <xf numFmtId="173" fontId="138" fillId="0" borderId="18" xfId="335" applyNumberFormat="1" applyFont="1" applyAlignment="1">
      <alignment horizontal="center" vertical="center"/>
    </xf>
    <xf numFmtId="1" fontId="138" fillId="0" borderId="18" xfId="335" applyNumberFormat="1" applyFont="1" applyAlignment="1">
      <alignment horizontal="center" vertical="center"/>
    </xf>
    <xf numFmtId="0" fontId="138" fillId="83" borderId="18" xfId="335" applyFont="1" applyFill="1" applyAlignment="1">
      <alignment horizontal="center" vertical="center"/>
    </xf>
    <xf numFmtId="0" fontId="146" fillId="0" borderId="18" xfId="335" applyFont="1" applyAlignment="1">
      <alignment vertical="center" wrapText="1"/>
    </xf>
    <xf numFmtId="0" fontId="36" fillId="84" borderId="82" xfId="335" applyFont="1" applyFill="1" applyBorder="1" applyAlignment="1">
      <alignment horizontal="center" vertical="center"/>
    </xf>
    <xf numFmtId="0" fontId="146" fillId="94" borderId="128" xfId="335" applyFont="1" applyFill="1" applyBorder="1" applyAlignment="1">
      <alignment horizontal="center" vertical="center"/>
    </xf>
    <xf numFmtId="0" fontId="36" fillId="94" borderId="120" xfId="335" applyFont="1" applyFill="1" applyBorder="1" applyAlignment="1">
      <alignment horizontal="center" vertical="center"/>
    </xf>
    <xf numFmtId="0" fontId="146" fillId="94" borderId="120" xfId="335" applyFont="1" applyFill="1" applyBorder="1" applyAlignment="1">
      <alignment horizontal="center" vertical="center"/>
    </xf>
    <xf numFmtId="0" fontId="138" fillId="94" borderId="120" xfId="335" applyFont="1" applyFill="1" applyBorder="1" applyAlignment="1">
      <alignment horizontal="center" vertical="center"/>
    </xf>
    <xf numFmtId="0" fontId="10" fillId="94" borderId="120" xfId="335" applyFill="1" applyBorder="1" applyAlignment="1">
      <alignment horizontal="center" vertical="center"/>
    </xf>
    <xf numFmtId="0" fontId="138" fillId="94" borderId="129" xfId="335" applyFont="1" applyFill="1" applyBorder="1" applyAlignment="1">
      <alignment horizontal="center" vertical="center"/>
    </xf>
    <xf numFmtId="0" fontId="138" fillId="94" borderId="91" xfId="335" applyFont="1" applyFill="1" applyBorder="1" applyAlignment="1">
      <alignment horizontal="center" vertical="center"/>
    </xf>
    <xf numFmtId="0" fontId="138" fillId="94" borderId="18" xfId="335" applyFont="1" applyFill="1" applyAlignment="1">
      <alignment horizontal="center" vertical="center"/>
    </xf>
    <xf numFmtId="0" fontId="10" fillId="94" borderId="18" xfId="335" applyFill="1" applyAlignment="1">
      <alignment horizontal="center" vertical="center"/>
    </xf>
    <xf numFmtId="0" fontId="146" fillId="94" borderId="18" xfId="335" applyFont="1" applyFill="1" applyAlignment="1">
      <alignment horizontal="center" vertical="center"/>
    </xf>
    <xf numFmtId="0" fontId="138" fillId="94" borderId="92" xfId="335" applyFont="1" applyFill="1" applyBorder="1" applyAlignment="1">
      <alignment horizontal="center" vertical="center"/>
    </xf>
    <xf numFmtId="0" fontId="146" fillId="94" borderId="91" xfId="335" applyFont="1" applyFill="1" applyBorder="1" applyAlignment="1">
      <alignment horizontal="center" vertical="center"/>
    </xf>
    <xf numFmtId="0" fontId="36" fillId="94" borderId="18" xfId="335" applyFont="1" applyFill="1" applyAlignment="1">
      <alignment horizontal="center" vertical="center"/>
    </xf>
    <xf numFmtId="0" fontId="146" fillId="94" borderId="92" xfId="335" applyFont="1" applyFill="1" applyBorder="1" applyAlignment="1">
      <alignment horizontal="center" vertical="center"/>
    </xf>
    <xf numFmtId="1" fontId="146" fillId="94" borderId="91" xfId="335" applyNumberFormat="1" applyFont="1" applyFill="1" applyBorder="1" applyAlignment="1">
      <alignment horizontal="center" vertical="center"/>
    </xf>
    <xf numFmtId="1" fontId="146" fillId="94" borderId="18" xfId="335" applyNumberFormat="1" applyFont="1" applyFill="1" applyAlignment="1">
      <alignment horizontal="center" vertical="center"/>
    </xf>
    <xf numFmtId="1" fontId="36" fillId="94" borderId="18" xfId="335" applyNumberFormat="1" applyFont="1" applyFill="1" applyAlignment="1">
      <alignment horizontal="center" vertical="center"/>
    </xf>
    <xf numFmtId="1" fontId="146" fillId="94" borderId="92" xfId="335" applyNumberFormat="1" applyFont="1" applyFill="1" applyBorder="1" applyAlignment="1">
      <alignment horizontal="center" vertical="center"/>
    </xf>
    <xf numFmtId="2" fontId="146" fillId="94" borderId="18" xfId="12" applyNumberFormat="1" applyFont="1" applyFill="1" applyAlignment="1">
      <alignment horizontal="center" vertical="center"/>
    </xf>
    <xf numFmtId="2" fontId="146" fillId="94" borderId="82" xfId="12" applyNumberFormat="1" applyFont="1" applyFill="1" applyBorder="1" applyAlignment="1">
      <alignment horizontal="center" vertical="center"/>
    </xf>
    <xf numFmtId="2" fontId="146" fillId="94" borderId="92" xfId="12" applyNumberFormat="1" applyFont="1" applyFill="1" applyBorder="1" applyAlignment="1">
      <alignment horizontal="center" vertical="center"/>
    </xf>
    <xf numFmtId="0" fontId="146" fillId="94" borderId="126" xfId="335" applyFont="1" applyFill="1" applyBorder="1" applyAlignment="1">
      <alignment horizontal="center" vertical="center"/>
    </xf>
    <xf numFmtId="0" fontId="138" fillId="94" borderId="104" xfId="335" applyFont="1" applyFill="1" applyBorder="1" applyAlignment="1">
      <alignment horizontal="center" vertical="center"/>
    </xf>
    <xf numFmtId="0" fontId="10" fillId="94" borderId="104" xfId="335" applyFill="1" applyBorder="1" applyAlignment="1">
      <alignment horizontal="center" vertical="center"/>
    </xf>
    <xf numFmtId="0" fontId="36" fillId="94" borderId="104" xfId="335" applyFont="1" applyFill="1" applyBorder="1" applyAlignment="1">
      <alignment horizontal="center" vertical="center"/>
    </xf>
    <xf numFmtId="0" fontId="138" fillId="94" borderId="127" xfId="335" applyFont="1" applyFill="1" applyBorder="1" applyAlignment="1">
      <alignment horizontal="center" vertical="center"/>
    </xf>
    <xf numFmtId="0" fontId="36" fillId="94" borderId="91" xfId="335" applyFont="1" applyFill="1" applyBorder="1" applyAlignment="1">
      <alignment horizontal="center" vertical="center"/>
    </xf>
    <xf numFmtId="2" fontId="138" fillId="94" borderId="82" xfId="12" applyNumberFormat="1" applyFont="1" applyFill="1" applyBorder="1" applyAlignment="1">
      <alignment horizontal="center" vertical="center"/>
    </xf>
    <xf numFmtId="2" fontId="146" fillId="94" borderId="18" xfId="0" applyNumberFormat="1" applyFont="1" applyFill="1" applyBorder="1" applyAlignment="1">
      <alignment horizontal="center" vertical="center"/>
    </xf>
    <xf numFmtId="0" fontId="36" fillId="87" borderId="81" xfId="335" applyFont="1" applyFill="1" applyBorder="1" applyAlignment="1">
      <alignment horizontal="center" vertical="center"/>
    </xf>
    <xf numFmtId="0" fontId="36" fillId="94" borderId="128" xfId="335" applyFont="1" applyFill="1" applyBorder="1" applyAlignment="1">
      <alignment horizontal="center" vertical="center"/>
    </xf>
    <xf numFmtId="0" fontId="146" fillId="94" borderId="129" xfId="335" applyFont="1" applyFill="1" applyBorder="1" applyAlignment="1">
      <alignment horizontal="center" vertical="center"/>
    </xf>
    <xf numFmtId="2" fontId="146" fillId="94" borderId="92" xfId="0" applyNumberFormat="1" applyFont="1" applyFill="1" applyBorder="1" applyAlignment="1">
      <alignment horizontal="center" vertical="center"/>
    </xf>
    <xf numFmtId="0" fontId="146" fillId="94" borderId="104" xfId="335" applyFont="1" applyFill="1" applyBorder="1" applyAlignment="1">
      <alignment horizontal="center" vertical="center"/>
    </xf>
    <xf numFmtId="0" fontId="146" fillId="94" borderId="127" xfId="335" applyFont="1" applyFill="1" applyBorder="1" applyAlignment="1">
      <alignment horizontal="center" vertical="center"/>
    </xf>
    <xf numFmtId="0" fontId="36" fillId="0" borderId="18" xfId="335" applyFont="1" applyAlignment="1">
      <alignment vertical="center" wrapText="1"/>
    </xf>
    <xf numFmtId="0" fontId="24" fillId="0" borderId="39" xfId="0" applyFont="1" applyBorder="1" applyAlignment="1">
      <alignment horizontal="center" wrapText="1"/>
    </xf>
    <xf numFmtId="0" fontId="24" fillId="0" borderId="152" xfId="0" applyFont="1" applyBorder="1" applyAlignment="1">
      <alignment horizontal="center" vertical="center" wrapText="1"/>
    </xf>
    <xf numFmtId="0" fontId="1" fillId="0" borderId="82" xfId="0" applyFont="1" applyBorder="1" applyAlignment="1">
      <alignment horizontal="center" vertical="center" wrapText="1"/>
    </xf>
    <xf numFmtId="219" fontId="13" fillId="0" borderId="82" xfId="0" applyNumberFormat="1" applyFont="1" applyBorder="1" applyAlignment="1">
      <alignment horizontal="center" vertical="center"/>
    </xf>
    <xf numFmtId="0" fontId="11" fillId="21" borderId="70" xfId="0" applyFont="1" applyFill="1" applyBorder="1" applyAlignment="1">
      <alignment horizontal="center" vertical="center"/>
    </xf>
    <xf numFmtId="0" fontId="12" fillId="0" borderId="71" xfId="0" applyFont="1" applyBorder="1"/>
    <xf numFmtId="0" fontId="26" fillId="22" borderId="76" xfId="0" applyFont="1" applyFill="1" applyBorder="1" applyAlignment="1">
      <alignment horizontal="center" vertical="center" wrapText="1"/>
    </xf>
    <xf numFmtId="0" fontId="12" fillId="0" borderId="36" xfId="0" applyFont="1" applyBorder="1"/>
    <xf numFmtId="0" fontId="26" fillId="22" borderId="77" xfId="0" applyFont="1" applyFill="1" applyBorder="1" applyAlignment="1">
      <alignment horizontal="center" vertical="center"/>
    </xf>
    <xf numFmtId="0" fontId="12" fillId="0" borderId="11" xfId="0" applyFont="1" applyBorder="1"/>
    <xf numFmtId="0" fontId="26" fillId="22" borderId="77" xfId="0" applyFont="1" applyFill="1" applyBorder="1" applyAlignment="1">
      <alignment horizontal="center" vertical="center" wrapText="1"/>
    </xf>
    <xf numFmtId="0" fontId="26" fillId="22" borderId="73" xfId="0" applyFont="1" applyFill="1" applyBorder="1" applyAlignment="1">
      <alignment horizontal="center" vertical="center" wrapText="1"/>
    </xf>
    <xf numFmtId="0" fontId="12" fillId="0" borderId="27" xfId="0" applyFont="1" applyBorder="1"/>
    <xf numFmtId="0" fontId="12" fillId="0" borderId="26" xfId="0" applyFont="1" applyBorder="1"/>
    <xf numFmtId="0" fontId="26" fillId="22" borderId="78" xfId="0" applyFont="1" applyFill="1" applyBorder="1" applyAlignment="1">
      <alignment horizontal="center" vertical="center" wrapText="1"/>
    </xf>
    <xf numFmtId="0" fontId="12" fillId="0" borderId="37" xfId="0" applyFont="1" applyBorder="1" applyAlignment="1">
      <alignment horizontal="center"/>
    </xf>
    <xf numFmtId="0" fontId="26" fillId="0" borderId="8" xfId="0" applyFont="1" applyBorder="1" applyAlignment="1">
      <alignment horizontal="center" vertical="center"/>
    </xf>
    <xf numFmtId="178" fontId="11" fillId="0" borderId="74" xfId="0" applyNumberFormat="1" applyFont="1" applyBorder="1" applyAlignment="1">
      <alignment horizontal="center" vertical="center" wrapText="1"/>
    </xf>
    <xf numFmtId="0" fontId="147" fillId="0" borderId="37" xfId="0" applyFont="1" applyBorder="1" applyAlignment="1">
      <alignment horizontal="center"/>
    </xf>
    <xf numFmtId="178" fontId="26" fillId="0" borderId="74" xfId="0" applyNumberFormat="1" applyFont="1" applyBorder="1" applyAlignment="1">
      <alignment horizontal="center" vertical="center" wrapText="1"/>
    </xf>
    <xf numFmtId="178" fontId="26" fillId="0" borderId="37" xfId="0" applyNumberFormat="1" applyFont="1" applyBorder="1" applyAlignment="1">
      <alignment horizontal="center" vertical="center" wrapText="1"/>
    </xf>
    <xf numFmtId="178" fontId="26" fillId="0" borderId="40" xfId="0" applyNumberFormat="1" applyFont="1" applyBorder="1" applyAlignment="1">
      <alignment horizontal="center" vertical="center" wrapText="1"/>
    </xf>
    <xf numFmtId="174" fontId="26" fillId="0" borderId="8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2" xfId="0" applyFont="1" applyBorder="1"/>
    <xf numFmtId="0" fontId="12" fillId="0" borderId="3" xfId="0" applyFont="1" applyBorder="1"/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2" fillId="0" borderId="6" xfId="0" applyFont="1" applyBorder="1"/>
    <xf numFmtId="0" fontId="12" fillId="0" borderId="7" xfId="0" applyFont="1" applyBorder="1"/>
    <xf numFmtId="0" fontId="11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20" fillId="5" borderId="16" xfId="0" applyFont="1" applyFill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21" fillId="5" borderId="18" xfId="0" applyFont="1" applyFill="1" applyBorder="1" applyAlignment="1">
      <alignment horizontal="center" vertical="center"/>
    </xf>
    <xf numFmtId="0" fontId="21" fillId="5" borderId="16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1" fillId="5" borderId="18" xfId="0" applyFont="1" applyFill="1" applyBorder="1" applyAlignment="1">
      <alignment horizontal="center" vertical="center" wrapText="1"/>
    </xf>
    <xf numFmtId="0" fontId="21" fillId="5" borderId="23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/>
    </xf>
    <xf numFmtId="0" fontId="21" fillId="2" borderId="147" xfId="0" applyFont="1" applyFill="1" applyBorder="1" applyAlignment="1">
      <alignment horizontal="center" vertical="center" wrapText="1"/>
    </xf>
    <xf numFmtId="0" fontId="12" fillId="0" borderId="148" xfId="0" applyFont="1" applyBorder="1" applyAlignment="1">
      <alignment horizontal="center" vertical="center"/>
    </xf>
    <xf numFmtId="0" fontId="20" fillId="2" borderId="147" xfId="0" applyFont="1" applyFill="1" applyBorder="1" applyAlignment="1">
      <alignment horizontal="center" vertical="center" wrapText="1"/>
    </xf>
    <xf numFmtId="0" fontId="12" fillId="0" borderId="149" xfId="0" applyFont="1" applyBorder="1" applyAlignment="1">
      <alignment horizontal="center" vertical="center"/>
    </xf>
    <xf numFmtId="0" fontId="21" fillId="5" borderId="20" xfId="0" applyFont="1" applyFill="1" applyBorder="1" applyAlignment="1">
      <alignment horizontal="center" vertical="center"/>
    </xf>
    <xf numFmtId="0" fontId="21" fillId="4" borderId="12" xfId="0" applyFont="1" applyFill="1" applyBorder="1" applyAlignment="1">
      <alignment horizontal="center" vertical="center"/>
    </xf>
    <xf numFmtId="0" fontId="12" fillId="0" borderId="144" xfId="0" applyFont="1" applyBorder="1" applyAlignment="1">
      <alignment horizontal="center" vertical="center"/>
    </xf>
    <xf numFmtId="0" fontId="21" fillId="2" borderId="145" xfId="0" applyFont="1" applyFill="1" applyBorder="1" applyAlignment="1">
      <alignment horizontal="center" vertical="center" wrapText="1"/>
    </xf>
    <xf numFmtId="0" fontId="12" fillId="0" borderId="151" xfId="0" applyFont="1" applyBorder="1" applyAlignment="1">
      <alignment horizontal="center" vertical="center"/>
    </xf>
    <xf numFmtId="0" fontId="21" fillId="2" borderId="146" xfId="0" applyFont="1" applyFill="1" applyBorder="1" applyAlignment="1">
      <alignment horizontal="center" vertical="center" wrapText="1"/>
    </xf>
    <xf numFmtId="0" fontId="12" fillId="0" borderId="65" xfId="0" applyFont="1" applyBorder="1" applyAlignment="1">
      <alignment horizontal="center" vertical="center"/>
    </xf>
    <xf numFmtId="0" fontId="24" fillId="5" borderId="155" xfId="0" applyFont="1" applyFill="1" applyBorder="1" applyAlignment="1">
      <alignment horizontal="center" vertical="center" wrapText="1"/>
    </xf>
    <xf numFmtId="0" fontId="24" fillId="5" borderId="156" xfId="0" applyFont="1" applyFill="1" applyBorder="1" applyAlignment="1">
      <alignment horizontal="center" vertical="center" wrapText="1"/>
    </xf>
    <xf numFmtId="0" fontId="24" fillId="5" borderId="152" xfId="0" applyFont="1" applyFill="1" applyBorder="1" applyAlignment="1">
      <alignment horizontal="center" vertical="center" wrapText="1"/>
    </xf>
    <xf numFmtId="0" fontId="21" fillId="2" borderId="150" xfId="0" applyFont="1" applyFill="1" applyBorder="1" applyAlignment="1">
      <alignment horizontal="center" vertical="center" wrapText="1"/>
    </xf>
    <xf numFmtId="0" fontId="12" fillId="0" borderId="152" xfId="0" applyFont="1" applyBorder="1" applyAlignment="1">
      <alignment horizontal="center" vertical="center"/>
    </xf>
    <xf numFmtId="0" fontId="24" fillId="5" borderId="9" xfId="0" applyFont="1" applyFill="1" applyBorder="1" applyAlignment="1">
      <alignment horizontal="center" vertical="center" wrapText="1"/>
    </xf>
    <xf numFmtId="0" fontId="18" fillId="5" borderId="69" xfId="0" applyFont="1" applyFill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/>
    </xf>
    <xf numFmtId="0" fontId="24" fillId="0" borderId="82" xfId="0" applyFont="1" applyBorder="1" applyAlignment="1">
      <alignment horizontal="center" vertical="center" wrapText="1"/>
    </xf>
    <xf numFmtId="0" fontId="18" fillId="5" borderId="9" xfId="0" applyFont="1" applyFill="1" applyBorder="1" applyAlignment="1">
      <alignment horizontal="center" vertical="center" wrapText="1"/>
    </xf>
    <xf numFmtId="0" fontId="21" fillId="4" borderId="25" xfId="0" applyFont="1" applyFill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21" fillId="2" borderId="30" xfId="0" applyFont="1" applyFill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/>
    </xf>
    <xf numFmtId="0" fontId="21" fillId="2" borderId="31" xfId="0" applyFont="1" applyFill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18" fillId="5" borderId="65" xfId="0" applyFont="1" applyFill="1" applyBorder="1" applyAlignment="1">
      <alignment horizontal="center" vertical="center" wrapText="1"/>
    </xf>
    <xf numFmtId="0" fontId="18" fillId="5" borderId="74" xfId="0" applyFont="1" applyFill="1" applyBorder="1" applyAlignment="1">
      <alignment horizontal="center" vertical="center" wrapText="1"/>
    </xf>
    <xf numFmtId="0" fontId="18" fillId="5" borderId="37" xfId="0" applyFont="1" applyFill="1" applyBorder="1" applyAlignment="1">
      <alignment horizontal="center" vertical="center" wrapText="1"/>
    </xf>
    <xf numFmtId="0" fontId="21" fillId="2" borderId="35" xfId="0" applyFont="1" applyFill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/>
    </xf>
    <xf numFmtId="0" fontId="18" fillId="5" borderId="8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1" fillId="0" borderId="49" xfId="0" applyFont="1" applyBorder="1" applyAlignment="1">
      <alignment horizontal="center" vertical="center"/>
    </xf>
    <xf numFmtId="0" fontId="12" fillId="0" borderId="50" xfId="0" applyFont="1" applyBorder="1" applyAlignment="1">
      <alignment horizontal="center" vertical="center"/>
    </xf>
    <xf numFmtId="0" fontId="12" fillId="0" borderId="5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167" fontId="11" fillId="0" borderId="1" xfId="0" applyNumberFormat="1" applyFont="1" applyBorder="1" applyAlignment="1">
      <alignment horizontal="center" vertical="center" wrapText="1"/>
    </xf>
    <xf numFmtId="0" fontId="13" fillId="0" borderId="160" xfId="0" applyFont="1" applyBorder="1" applyAlignment="1">
      <alignment horizontal="center" vertical="center"/>
    </xf>
    <xf numFmtId="0" fontId="13" fillId="0" borderId="163" xfId="0" applyFont="1" applyBorder="1" applyAlignment="1">
      <alignment horizontal="center" vertical="center"/>
    </xf>
    <xf numFmtId="0" fontId="13" fillId="0" borderId="164" xfId="0" applyFont="1" applyBorder="1" applyAlignment="1">
      <alignment horizontal="center" vertical="center"/>
    </xf>
    <xf numFmtId="0" fontId="11" fillId="0" borderId="49" xfId="0" applyFont="1" applyBorder="1" applyAlignment="1">
      <alignment horizontal="center"/>
    </xf>
    <xf numFmtId="0" fontId="11" fillId="0" borderId="50" xfId="0" applyFont="1" applyBorder="1" applyAlignment="1">
      <alignment horizontal="center"/>
    </xf>
    <xf numFmtId="0" fontId="11" fillId="0" borderId="51" xfId="0" applyFont="1" applyBorder="1" applyAlignment="1">
      <alignment horizontal="center"/>
    </xf>
    <xf numFmtId="0" fontId="12" fillId="0" borderId="50" xfId="0" applyFont="1" applyBorder="1"/>
    <xf numFmtId="0" fontId="12" fillId="0" borderId="51" xfId="0" applyFont="1" applyBorder="1"/>
    <xf numFmtId="0" fontId="11" fillId="0" borderId="1" xfId="0" applyFont="1" applyBorder="1" applyAlignment="1">
      <alignment horizontal="center"/>
    </xf>
    <xf numFmtId="0" fontId="11" fillId="19" borderId="1" xfId="0" applyFont="1" applyFill="1" applyBorder="1" applyAlignment="1">
      <alignment horizontal="center" vertical="center"/>
    </xf>
    <xf numFmtId="0" fontId="11" fillId="0" borderId="69" xfId="0" applyFont="1" applyBorder="1" applyAlignment="1">
      <alignment horizontal="center" vertical="center"/>
    </xf>
    <xf numFmtId="0" fontId="12" fillId="0" borderId="57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1" fillId="0" borderId="82" xfId="0" applyFont="1" applyBorder="1" applyAlignment="1">
      <alignment horizontal="center" vertical="center"/>
    </xf>
    <xf numFmtId="0" fontId="12" fillId="0" borderId="82" xfId="0" applyFont="1" applyBorder="1" applyAlignment="1">
      <alignment horizontal="center" vertical="center"/>
    </xf>
    <xf numFmtId="0" fontId="11" fillId="19" borderId="82" xfId="0" applyFont="1" applyFill="1" applyBorder="1" applyAlignment="1">
      <alignment horizontal="center" vertical="center"/>
    </xf>
    <xf numFmtId="0" fontId="11" fillId="0" borderId="82" xfId="0" applyFont="1" applyBorder="1" applyAlignment="1">
      <alignment horizontal="center" vertical="center" wrapText="1"/>
    </xf>
    <xf numFmtId="0" fontId="36" fillId="92" borderId="18" xfId="335" applyFont="1" applyFill="1" applyAlignment="1">
      <alignment horizontal="center"/>
    </xf>
    <xf numFmtId="16" fontId="36" fillId="92" borderId="18" xfId="335" applyNumberFormat="1" applyFont="1" applyFill="1" applyAlignment="1">
      <alignment horizontal="center"/>
    </xf>
    <xf numFmtId="2" fontId="36" fillId="92" borderId="18" xfId="335" applyNumberFormat="1" applyFont="1" applyFill="1" applyAlignment="1">
      <alignment horizontal="center"/>
    </xf>
    <xf numFmtId="1" fontId="10" fillId="0" borderId="18" xfId="335" applyNumberFormat="1" applyAlignment="1">
      <alignment horizontal="center"/>
    </xf>
    <xf numFmtId="0" fontId="10" fillId="0" borderId="18" xfId="335" applyAlignment="1">
      <alignment horizontal="center"/>
    </xf>
    <xf numFmtId="0" fontId="36" fillId="0" borderId="131" xfId="335" applyFont="1" applyBorder="1" applyAlignment="1">
      <alignment horizontal="center"/>
    </xf>
    <xf numFmtId="0" fontId="36" fillId="0" borderId="130" xfId="335" applyFont="1" applyBorder="1" applyAlignment="1">
      <alignment horizontal="center"/>
    </xf>
    <xf numFmtId="0" fontId="36" fillId="0" borderId="130" xfId="335" applyFont="1" applyBorder="1" applyAlignment="1">
      <alignment horizontal="left" vertical="center"/>
    </xf>
    <xf numFmtId="0" fontId="36" fillId="0" borderId="130" xfId="335" applyFont="1" applyBorder="1" applyAlignment="1">
      <alignment horizontal="center" vertical="center"/>
    </xf>
    <xf numFmtId="1" fontId="36" fillId="0" borderId="82" xfId="335" applyNumberFormat="1" applyFont="1" applyBorder="1" applyAlignment="1">
      <alignment horizontal="center" vertical="center"/>
    </xf>
    <xf numFmtId="0" fontId="36" fillId="0" borderId="82" xfId="335" applyFont="1" applyBorder="1" applyAlignment="1">
      <alignment horizontal="center" vertical="center"/>
    </xf>
    <xf numFmtId="1" fontId="36" fillId="0" borderId="130" xfId="335" applyNumberFormat="1" applyFont="1" applyBorder="1" applyAlignment="1">
      <alignment horizontal="center" vertical="center"/>
    </xf>
    <xf numFmtId="0" fontId="10" fillId="0" borderId="82" xfId="335" applyBorder="1" applyAlignment="1">
      <alignment horizontal="center" vertical="center"/>
    </xf>
    <xf numFmtId="0" fontId="10" fillId="0" borderId="130" xfId="335" applyBorder="1" applyAlignment="1">
      <alignment horizontal="center" vertical="center"/>
    </xf>
    <xf numFmtId="0" fontId="10" fillId="0" borderId="84" xfId="335" applyBorder="1" applyAlignment="1">
      <alignment horizontal="center" vertical="center"/>
    </xf>
    <xf numFmtId="0" fontId="10" fillId="0" borderId="115" xfId="335" applyBorder="1" applyAlignment="1">
      <alignment horizontal="center" vertical="center"/>
    </xf>
    <xf numFmtId="0" fontId="10" fillId="0" borderId="88" xfId="335" applyBorder="1" applyAlignment="1">
      <alignment horizontal="center" vertical="center"/>
    </xf>
    <xf numFmtId="0" fontId="10" fillId="0" borderId="87" xfId="335" applyBorder="1" applyAlignment="1">
      <alignment horizontal="center" vertical="center"/>
    </xf>
    <xf numFmtId="0" fontId="10" fillId="0" borderId="135" xfId="335" applyBorder="1" applyAlignment="1">
      <alignment horizontal="center" vertical="center"/>
    </xf>
    <xf numFmtId="0" fontId="10" fillId="0" borderId="85" xfId="335" applyBorder="1" applyAlignment="1">
      <alignment horizontal="center" vertical="center"/>
    </xf>
    <xf numFmtId="0" fontId="10" fillId="0" borderId="84" xfId="335" applyBorder="1" applyAlignment="1">
      <alignment horizontal="center"/>
    </xf>
    <xf numFmtId="0" fontId="10" fillId="0" borderId="115" xfId="335" applyBorder="1" applyAlignment="1">
      <alignment horizontal="center"/>
    </xf>
    <xf numFmtId="0" fontId="10" fillId="0" borderId="88" xfId="335" applyBorder="1" applyAlignment="1">
      <alignment horizontal="center"/>
    </xf>
    <xf numFmtId="0" fontId="10" fillId="0" borderId="87" xfId="335" applyBorder="1" applyAlignment="1">
      <alignment horizontal="center"/>
    </xf>
    <xf numFmtId="0" fontId="10" fillId="0" borderId="135" xfId="335" applyBorder="1" applyAlignment="1">
      <alignment horizontal="center"/>
    </xf>
    <xf numFmtId="0" fontId="10" fillId="0" borderId="85" xfId="335" applyBorder="1" applyAlignment="1">
      <alignment horizontal="center"/>
    </xf>
    <xf numFmtId="0" fontId="144" fillId="0" borderId="116" xfId="335" applyFont="1" applyBorder="1" applyAlignment="1">
      <alignment horizontal="center" vertical="center"/>
    </xf>
    <xf numFmtId="0" fontId="144" fillId="0" borderId="117" xfId="335" applyFont="1" applyBorder="1" applyAlignment="1">
      <alignment horizontal="center" vertical="center"/>
    </xf>
    <xf numFmtId="0" fontId="144" fillId="0" borderId="121" xfId="335" applyFont="1" applyBorder="1" applyAlignment="1">
      <alignment horizontal="center" vertical="center"/>
    </xf>
    <xf numFmtId="0" fontId="144" fillId="0" borderId="82" xfId="335" applyFont="1" applyBorder="1" applyAlignment="1">
      <alignment horizontal="center" vertical="center"/>
    </xf>
    <xf numFmtId="0" fontId="36" fillId="0" borderId="82" xfId="335" applyFont="1" applyBorder="1" applyAlignment="1">
      <alignment horizontal="left" vertical="center"/>
    </xf>
    <xf numFmtId="2" fontId="36" fillId="0" borderId="82" xfId="335" applyNumberFormat="1" applyFont="1" applyBorder="1" applyAlignment="1">
      <alignment horizontal="center" vertical="center"/>
    </xf>
    <xf numFmtId="0" fontId="36" fillId="0" borderId="137" xfId="335" applyFont="1" applyBorder="1" applyAlignment="1">
      <alignment horizontal="center" vertical="center"/>
    </xf>
    <xf numFmtId="0" fontId="36" fillId="0" borderId="125" xfId="335" applyFont="1" applyBorder="1" applyAlignment="1">
      <alignment horizontal="center" vertical="center"/>
    </xf>
    <xf numFmtId="0" fontId="36" fillId="0" borderId="79" xfId="335" applyFont="1" applyBorder="1" applyAlignment="1">
      <alignment horizontal="left" vertical="center"/>
    </xf>
    <xf numFmtId="0" fontId="36" fillId="0" borderId="122" xfId="335" applyFont="1" applyBorder="1" applyAlignment="1">
      <alignment horizontal="left" vertical="center"/>
    </xf>
    <xf numFmtId="0" fontId="10" fillId="86" borderId="82" xfId="335" applyFill="1" applyBorder="1" applyAlignment="1">
      <alignment horizontal="center"/>
    </xf>
    <xf numFmtId="0" fontId="10" fillId="86" borderId="82" xfId="335" applyFill="1" applyBorder="1" applyAlignment="1">
      <alignment horizontal="center" vertical="center"/>
    </xf>
    <xf numFmtId="0" fontId="10" fillId="86" borderId="130" xfId="335" applyFill="1" applyBorder="1" applyAlignment="1">
      <alignment horizontal="center" vertical="center"/>
    </xf>
    <xf numFmtId="0" fontId="36" fillId="0" borderId="82" xfId="335" applyFont="1" applyBorder="1" applyAlignment="1">
      <alignment horizontal="center" vertical="center" wrapText="1"/>
    </xf>
    <xf numFmtId="0" fontId="36" fillId="0" borderId="130" xfId="335" applyFont="1" applyBorder="1" applyAlignment="1">
      <alignment horizontal="center" vertical="center" wrapText="1"/>
    </xf>
    <xf numFmtId="16" fontId="10" fillId="0" borderId="83" xfId="335" applyNumberFormat="1" applyBorder="1" applyAlignment="1">
      <alignment horizontal="center"/>
    </xf>
    <xf numFmtId="0" fontId="10" fillId="0" borderId="83" xfId="335" applyBorder="1" applyAlignment="1">
      <alignment horizontal="center"/>
    </xf>
    <xf numFmtId="0" fontId="36" fillId="85" borderId="82" xfId="335" applyFont="1" applyFill="1" applyBorder="1" applyAlignment="1">
      <alignment horizontal="center" vertical="center"/>
    </xf>
    <xf numFmtId="0" fontId="36" fillId="0" borderId="79" xfId="335" applyFont="1" applyBorder="1" applyAlignment="1">
      <alignment horizontal="center" vertical="center"/>
    </xf>
    <xf numFmtId="0" fontId="36" fillId="0" borderId="122" xfId="335" applyFont="1" applyBorder="1" applyAlignment="1">
      <alignment horizontal="center" vertical="center"/>
    </xf>
    <xf numFmtId="0" fontId="36" fillId="0" borderId="121" xfId="335" applyFont="1" applyBorder="1" applyAlignment="1">
      <alignment horizontal="center"/>
    </xf>
    <xf numFmtId="0" fontId="36" fillId="0" borderId="82" xfId="335" applyFont="1" applyBorder="1" applyAlignment="1">
      <alignment horizontal="center"/>
    </xf>
    <xf numFmtId="0" fontId="36" fillId="0" borderId="18" xfId="335" applyFont="1" applyAlignment="1">
      <alignment horizontal="center"/>
    </xf>
    <xf numFmtId="0" fontId="36" fillId="0" borderId="124" xfId="335" quotePrefix="1" applyFont="1" applyBorder="1" applyAlignment="1">
      <alignment horizontal="center"/>
    </xf>
    <xf numFmtId="0" fontId="36" fillId="0" borderId="124" xfId="335" applyFont="1" applyBorder="1" applyAlignment="1">
      <alignment horizontal="center"/>
    </xf>
    <xf numFmtId="0" fontId="36" fillId="85" borderId="79" xfId="335" applyFont="1" applyFill="1" applyBorder="1" applyAlignment="1">
      <alignment horizontal="center" vertical="center"/>
    </xf>
    <xf numFmtId="0" fontId="36" fillId="85" borderId="122" xfId="335" applyFont="1" applyFill="1" applyBorder="1" applyAlignment="1">
      <alignment horizontal="center" vertical="center"/>
    </xf>
    <xf numFmtId="0" fontId="36" fillId="85" borderId="121" xfId="335" applyFont="1" applyFill="1" applyBorder="1" applyAlignment="1">
      <alignment horizontal="center"/>
    </xf>
    <xf numFmtId="0" fontId="36" fillId="85" borderId="82" xfId="335" applyFont="1" applyFill="1" applyBorder="1" applyAlignment="1">
      <alignment horizontal="center"/>
    </xf>
    <xf numFmtId="2" fontId="36" fillId="0" borderId="124" xfId="335" quotePrefix="1" applyNumberFormat="1" applyFont="1" applyBorder="1" applyAlignment="1">
      <alignment horizontal="center"/>
    </xf>
    <xf numFmtId="0" fontId="132" fillId="0" borderId="114" xfId="335" applyFont="1" applyBorder="1" applyAlignment="1">
      <alignment horizontal="center"/>
    </xf>
    <xf numFmtId="0" fontId="36" fillId="0" borderId="18" xfId="335" quotePrefix="1" applyFont="1" applyAlignment="1">
      <alignment horizontal="center"/>
    </xf>
    <xf numFmtId="16" fontId="36" fillId="0" borderId="124" xfId="335" quotePrefix="1" applyNumberFormat="1" applyFont="1" applyBorder="1" applyAlignment="1">
      <alignment horizontal="center"/>
    </xf>
    <xf numFmtId="0" fontId="132" fillId="82" borderId="119" xfId="335" applyFont="1" applyFill="1" applyBorder="1" applyAlignment="1">
      <alignment horizontal="center" vertical="center"/>
    </xf>
    <xf numFmtId="0" fontId="132" fillId="82" borderId="86" xfId="335" applyFont="1" applyFill="1" applyBorder="1" applyAlignment="1">
      <alignment horizontal="center" vertical="center"/>
    </xf>
    <xf numFmtId="0" fontId="132" fillId="82" borderId="123" xfId="335" applyFont="1" applyFill="1" applyBorder="1" applyAlignment="1">
      <alignment horizontal="center" vertical="center"/>
    </xf>
    <xf numFmtId="176" fontId="36" fillId="0" borderId="82" xfId="335" applyNumberFormat="1" applyFont="1" applyBorder="1" applyAlignment="1">
      <alignment horizontal="center" vertical="center"/>
    </xf>
    <xf numFmtId="12" fontId="36" fillId="0" borderId="124" xfId="335" quotePrefix="1" applyNumberFormat="1" applyFont="1" applyBorder="1" applyAlignment="1">
      <alignment horizontal="center"/>
    </xf>
    <xf numFmtId="12" fontId="36" fillId="0" borderId="124" xfId="335" applyNumberFormat="1" applyFont="1" applyBorder="1" applyAlignment="1">
      <alignment horizontal="center"/>
    </xf>
    <xf numFmtId="0" fontId="136" fillId="84" borderId="88" xfId="335" applyFont="1" applyFill="1" applyBorder="1" applyAlignment="1">
      <alignment horizontal="center"/>
    </xf>
    <xf numFmtId="0" fontId="136" fillId="84" borderId="18" xfId="335" applyFont="1" applyFill="1" applyAlignment="1">
      <alignment horizontal="center"/>
    </xf>
    <xf numFmtId="0" fontId="36" fillId="0" borderId="18" xfId="335" applyFont="1" applyAlignment="1">
      <alignment horizontal="center" vertical="center"/>
    </xf>
    <xf numFmtId="14" fontId="36" fillId="0" borderId="18" xfId="335" applyNumberFormat="1" applyFont="1" applyAlignment="1">
      <alignment horizontal="center" vertical="center"/>
    </xf>
    <xf numFmtId="0" fontId="133" fillId="0" borderId="117" xfId="335" applyFont="1" applyBorder="1" applyAlignment="1">
      <alignment horizontal="center" vertical="center"/>
    </xf>
    <xf numFmtId="0" fontId="133" fillId="0" borderId="136" xfId="335" applyFont="1" applyBorder="1" applyAlignment="1">
      <alignment horizontal="center" vertical="center"/>
    </xf>
    <xf numFmtId="0" fontId="133" fillId="0" borderId="118" xfId="335" applyFont="1" applyBorder="1" applyAlignment="1">
      <alignment horizontal="center" vertical="center"/>
    </xf>
    <xf numFmtId="14" fontId="36" fillId="0" borderId="82" xfId="335" applyNumberFormat="1" applyFont="1" applyBorder="1" applyAlignment="1">
      <alignment horizontal="center" vertical="center"/>
    </xf>
    <xf numFmtId="14" fontId="36" fillId="0" borderId="79" xfId="335" applyNumberFormat="1" applyFont="1" applyBorder="1" applyAlignment="1">
      <alignment horizontal="center" vertical="center"/>
    </xf>
    <xf numFmtId="14" fontId="36" fillId="0" borderId="122" xfId="335" applyNumberFormat="1" applyFont="1" applyBorder="1" applyAlignment="1">
      <alignment horizontal="center" vertical="center"/>
    </xf>
    <xf numFmtId="0" fontId="36" fillId="0" borderId="18" xfId="335" quotePrefix="1" applyFont="1" applyAlignment="1">
      <alignment horizontal="center" vertical="center"/>
    </xf>
    <xf numFmtId="0" fontId="36" fillId="0" borderId="124" xfId="335" quotePrefix="1" applyFont="1" applyBorder="1" applyAlignment="1">
      <alignment horizontal="center" vertical="center"/>
    </xf>
    <xf numFmtId="16" fontId="36" fillId="0" borderId="18" xfId="335" applyNumberFormat="1" applyFont="1" applyAlignment="1">
      <alignment horizontal="center"/>
    </xf>
    <xf numFmtId="16" fontId="10" fillId="0" borderId="18" xfId="335" applyNumberFormat="1" applyAlignment="1">
      <alignment horizontal="center"/>
    </xf>
    <xf numFmtId="2" fontId="36" fillId="0" borderId="18" xfId="335" applyNumberFormat="1" applyFont="1" applyAlignment="1">
      <alignment horizontal="center"/>
    </xf>
    <xf numFmtId="0" fontId="10" fillId="0" borderId="124" xfId="335" quotePrefix="1" applyBorder="1" applyAlignment="1">
      <alignment horizontal="center"/>
    </xf>
    <xf numFmtId="0" fontId="10" fillId="0" borderId="124" xfId="335" applyBorder="1" applyAlignment="1">
      <alignment horizontal="center"/>
    </xf>
    <xf numFmtId="2" fontId="36" fillId="0" borderId="18" xfId="335" quotePrefix="1" applyNumberFormat="1" applyFont="1" applyAlignment="1">
      <alignment horizontal="center"/>
    </xf>
    <xf numFmtId="2" fontId="36" fillId="0" borderId="124" xfId="335" applyNumberFormat="1" applyFont="1" applyBorder="1" applyAlignment="1">
      <alignment horizontal="center"/>
    </xf>
    <xf numFmtId="2" fontId="10" fillId="0" borderId="83" xfId="335" applyNumberFormat="1" applyBorder="1" applyAlignment="1">
      <alignment horizontal="center"/>
    </xf>
    <xf numFmtId="1" fontId="10" fillId="0" borderId="83" xfId="335" applyNumberFormat="1" applyBorder="1" applyAlignment="1">
      <alignment horizontal="center"/>
    </xf>
    <xf numFmtId="0" fontId="36" fillId="0" borderId="83" xfId="335" applyFont="1" applyBorder="1" applyAlignment="1">
      <alignment horizontal="center"/>
    </xf>
    <xf numFmtId="0" fontId="138" fillId="0" borderId="82" xfId="335" applyFont="1" applyBorder="1" applyAlignment="1">
      <alignment horizontal="center" vertical="center" wrapText="1"/>
    </xf>
    <xf numFmtId="0" fontId="138" fillId="0" borderId="130" xfId="335" applyFont="1" applyBorder="1" applyAlignment="1">
      <alignment horizontal="center" vertical="center" wrapText="1"/>
    </xf>
    <xf numFmtId="0" fontId="36" fillId="0" borderId="119" xfId="335" applyFont="1" applyBorder="1" applyAlignment="1">
      <alignment horizontal="center"/>
    </xf>
    <xf numFmtId="0" fontId="36" fillId="0" borderId="86" xfId="335" applyFont="1" applyBorder="1" applyAlignment="1">
      <alignment horizontal="center"/>
    </xf>
    <xf numFmtId="0" fontId="36" fillId="0" borderId="123" xfId="335" applyFont="1" applyBorder="1" applyAlignment="1">
      <alignment horizontal="center"/>
    </xf>
    <xf numFmtId="0" fontId="36" fillId="0" borderId="126" xfId="335" applyFont="1" applyBorder="1" applyAlignment="1">
      <alignment horizontal="center"/>
    </xf>
    <xf numFmtId="0" fontId="36" fillId="0" borderId="104" xfId="335" applyFont="1" applyBorder="1" applyAlignment="1">
      <alignment horizontal="center"/>
    </xf>
    <xf numFmtId="0" fontId="10" fillId="0" borderId="82" xfId="335" applyBorder="1" applyAlignment="1">
      <alignment horizontal="center"/>
    </xf>
    <xf numFmtId="0" fontId="10" fillId="0" borderId="130" xfId="335" applyBorder="1" applyAlignment="1">
      <alignment horizontal="center"/>
    </xf>
    <xf numFmtId="0" fontId="138" fillId="86" borderId="133" xfId="335" applyFont="1" applyFill="1" applyBorder="1" applyAlignment="1">
      <alignment horizontal="left"/>
    </xf>
    <xf numFmtId="0" fontId="138" fillId="86" borderId="80" xfId="335" applyFont="1" applyFill="1" applyBorder="1" applyAlignment="1">
      <alignment horizontal="left"/>
    </xf>
    <xf numFmtId="0" fontId="138" fillId="86" borderId="81" xfId="335" applyFont="1" applyFill="1" applyBorder="1" applyAlignment="1">
      <alignment horizontal="left"/>
    </xf>
    <xf numFmtId="0" fontId="10" fillId="86" borderId="133" xfId="335" applyFill="1" applyBorder="1" applyAlignment="1">
      <alignment horizontal="center"/>
    </xf>
    <xf numFmtId="0" fontId="10" fillId="86" borderId="80" xfId="335" applyFill="1" applyBorder="1" applyAlignment="1">
      <alignment horizontal="center"/>
    </xf>
    <xf numFmtId="0" fontId="10" fillId="86" borderId="81" xfId="335" applyFill="1" applyBorder="1" applyAlignment="1">
      <alignment horizontal="center"/>
    </xf>
    <xf numFmtId="0" fontId="138" fillId="86" borderId="91" xfId="335" applyFont="1" applyFill="1" applyBorder="1" applyAlignment="1">
      <alignment horizontal="left"/>
    </xf>
    <xf numFmtId="0" fontId="138" fillId="86" borderId="18" xfId="335" applyFont="1" applyFill="1" applyAlignment="1">
      <alignment horizontal="left"/>
    </xf>
    <xf numFmtId="0" fontId="138" fillId="86" borderId="87" xfId="335" applyFont="1" applyFill="1" applyBorder="1" applyAlignment="1">
      <alignment horizontal="left"/>
    </xf>
    <xf numFmtId="0" fontId="10" fillId="86" borderId="130" xfId="335" applyFill="1" applyBorder="1" applyAlignment="1">
      <alignment horizontal="center"/>
    </xf>
    <xf numFmtId="16" fontId="10" fillId="83" borderId="18" xfId="335" applyNumberFormat="1" applyFill="1" applyAlignment="1">
      <alignment horizontal="center"/>
    </xf>
    <xf numFmtId="0" fontId="10" fillId="83" borderId="18" xfId="335" applyFill="1" applyAlignment="1">
      <alignment horizontal="center"/>
    </xf>
    <xf numFmtId="16" fontId="10" fillId="0" borderId="124" xfId="335" quotePrefix="1" applyNumberFormat="1" applyBorder="1" applyAlignment="1">
      <alignment horizontal="center"/>
    </xf>
    <xf numFmtId="0" fontId="10" fillId="83" borderId="124" xfId="335" quotePrefix="1" applyFill="1" applyBorder="1" applyAlignment="1">
      <alignment horizontal="center"/>
    </xf>
    <xf numFmtId="0" fontId="10" fillId="83" borderId="124" xfId="335" applyFill="1" applyBorder="1" applyAlignment="1">
      <alignment horizontal="center"/>
    </xf>
    <xf numFmtId="0" fontId="141" fillId="0" borderId="124" xfId="335" applyFont="1" applyBorder="1" applyAlignment="1">
      <alignment horizontal="center"/>
    </xf>
    <xf numFmtId="1" fontId="141" fillId="0" borderId="124" xfId="335" applyNumberFormat="1" applyFont="1" applyBorder="1" applyAlignment="1">
      <alignment horizontal="center"/>
    </xf>
    <xf numFmtId="0" fontId="141" fillId="0" borderId="18" xfId="335" applyFont="1" applyAlignment="1">
      <alignment horizontal="center"/>
    </xf>
    <xf numFmtId="2" fontId="10" fillId="0" borderId="18" xfId="335" applyNumberFormat="1" applyAlignment="1">
      <alignment horizontal="center"/>
    </xf>
    <xf numFmtId="1" fontId="36" fillId="0" borderId="124" xfId="335" applyNumberFormat="1" applyFont="1" applyBorder="1" applyAlignment="1">
      <alignment horizontal="center" vertical="center"/>
    </xf>
    <xf numFmtId="0" fontId="36" fillId="94" borderId="104" xfId="335" applyFont="1" applyFill="1" applyBorder="1" applyAlignment="1">
      <alignment horizontal="center" vertical="center"/>
    </xf>
    <xf numFmtId="0" fontId="146" fillId="94" borderId="18" xfId="335" applyFont="1" applyFill="1" applyAlignment="1">
      <alignment horizontal="center" vertical="center" wrapText="1"/>
    </xf>
    <xf numFmtId="0" fontId="146" fillId="94" borderId="104" xfId="335" applyFont="1" applyFill="1" applyBorder="1" applyAlignment="1">
      <alignment horizontal="center" vertical="center" wrapText="1"/>
    </xf>
    <xf numFmtId="0" fontId="36" fillId="0" borderId="83" xfId="335" applyFont="1" applyBorder="1" applyAlignment="1">
      <alignment horizontal="center" vertical="center"/>
    </xf>
    <xf numFmtId="0" fontId="36" fillId="94" borderId="83" xfId="335" applyFont="1" applyFill="1" applyBorder="1" applyAlignment="1">
      <alignment horizontal="center" vertical="center"/>
    </xf>
    <xf numFmtId="0" fontId="36" fillId="94" borderId="18" xfId="335" applyFont="1" applyFill="1" applyAlignment="1">
      <alignment horizontal="center" vertical="center"/>
    </xf>
    <xf numFmtId="16" fontId="36" fillId="94" borderId="18" xfId="335" quotePrefix="1" applyNumberFormat="1" applyFont="1" applyFill="1" applyAlignment="1">
      <alignment horizontal="center" vertical="center"/>
    </xf>
    <xf numFmtId="16" fontId="36" fillId="0" borderId="18" xfId="335" quotePrefix="1" applyNumberFormat="1" applyFont="1" applyAlignment="1">
      <alignment horizontal="center" vertical="center"/>
    </xf>
    <xf numFmtId="0" fontId="132" fillId="0" borderId="119" xfId="335" applyFont="1" applyBorder="1" applyAlignment="1">
      <alignment horizontal="center" vertical="center"/>
    </xf>
    <xf numFmtId="0" fontId="132" fillId="0" borderId="86" xfId="335" applyFont="1" applyBorder="1" applyAlignment="1">
      <alignment horizontal="center" vertical="center"/>
    </xf>
    <xf numFmtId="0" fontId="132" fillId="0" borderId="123" xfId="335" applyFont="1" applyBorder="1" applyAlignment="1">
      <alignment horizontal="center" vertical="center"/>
    </xf>
    <xf numFmtId="0" fontId="132" fillId="0" borderId="120" xfId="335" applyFont="1" applyBorder="1" applyAlignment="1">
      <alignment horizontal="center" vertical="center"/>
    </xf>
    <xf numFmtId="0" fontId="36" fillId="0" borderId="120" xfId="335" applyFont="1" applyBorder="1" applyAlignment="1">
      <alignment horizontal="center" vertical="center"/>
    </xf>
    <xf numFmtId="0" fontId="36" fillId="95" borderId="128" xfId="335" applyFont="1" applyFill="1" applyBorder="1" applyAlignment="1">
      <alignment horizontal="center" vertical="center" wrapText="1"/>
    </xf>
    <xf numFmtId="0" fontId="36" fillId="95" borderId="129" xfId="335" applyFont="1" applyFill="1" applyBorder="1" applyAlignment="1">
      <alignment horizontal="center" vertical="center" wrapText="1"/>
    </xf>
    <xf numFmtId="0" fontId="36" fillId="95" borderId="91" xfId="335" applyFont="1" applyFill="1" applyBorder="1" applyAlignment="1">
      <alignment horizontal="center" vertical="center" wrapText="1"/>
    </xf>
    <xf numFmtId="0" fontId="36" fillId="95" borderId="92" xfId="335" applyFont="1" applyFill="1" applyBorder="1" applyAlignment="1">
      <alignment horizontal="center" vertical="center" wrapText="1"/>
    </xf>
    <xf numFmtId="0" fontId="36" fillId="95" borderId="126" xfId="335" applyFont="1" applyFill="1" applyBorder="1" applyAlignment="1">
      <alignment horizontal="center" vertical="center" wrapText="1"/>
    </xf>
    <xf numFmtId="0" fontId="36" fillId="95" borderId="127" xfId="335" applyFont="1" applyFill="1" applyBorder="1" applyAlignment="1">
      <alignment horizontal="center" vertical="center" wrapText="1"/>
    </xf>
    <xf numFmtId="14" fontId="36" fillId="0" borderId="120" xfId="335" applyNumberFormat="1" applyFont="1" applyBorder="1" applyAlignment="1">
      <alignment horizontal="center" vertical="center"/>
    </xf>
    <xf numFmtId="14" fontId="36" fillId="0" borderId="129" xfId="335" applyNumberFormat="1" applyFont="1" applyBorder="1" applyAlignment="1">
      <alignment horizontal="center" vertical="center"/>
    </xf>
    <xf numFmtId="0" fontId="36" fillId="94" borderId="18" xfId="335" quotePrefix="1" applyFont="1" applyFill="1" applyAlignment="1">
      <alignment horizontal="center" vertical="center"/>
    </xf>
    <xf numFmtId="17" fontId="36" fillId="0" borderId="18" xfId="335" quotePrefix="1" applyNumberFormat="1" applyFont="1" applyAlignment="1">
      <alignment horizontal="center" vertical="center"/>
    </xf>
    <xf numFmtId="0" fontId="36" fillId="94" borderId="132" xfId="335" applyFont="1" applyFill="1" applyBorder="1" applyAlignment="1">
      <alignment horizontal="center" vertical="center"/>
    </xf>
    <xf numFmtId="0" fontId="36" fillId="0" borderId="124" xfId="335" applyFont="1" applyBorder="1" applyAlignment="1">
      <alignment horizontal="center" vertical="center"/>
    </xf>
    <xf numFmtId="0" fontId="36" fillId="0" borderId="126" xfId="335" applyFont="1" applyBorder="1" applyAlignment="1">
      <alignment horizontal="center" vertical="center"/>
    </xf>
    <xf numFmtId="0" fontId="36" fillId="0" borderId="104" xfId="335" applyFont="1" applyBorder="1" applyAlignment="1">
      <alignment horizontal="center" vertical="center"/>
    </xf>
    <xf numFmtId="0" fontId="36" fillId="0" borderId="127" xfId="335" applyFont="1" applyBorder="1" applyAlignment="1">
      <alignment horizontal="center" vertical="center"/>
    </xf>
    <xf numFmtId="0" fontId="138" fillId="86" borderId="133" xfId="335" applyFont="1" applyFill="1" applyBorder="1" applyAlignment="1">
      <alignment horizontal="center" vertical="center"/>
    </xf>
    <xf numFmtId="0" fontId="138" fillId="86" borderId="80" xfId="335" applyFont="1" applyFill="1" applyBorder="1" applyAlignment="1">
      <alignment horizontal="center" vertical="center"/>
    </xf>
    <xf numFmtId="0" fontId="138" fillId="86" borderId="81" xfId="335" applyFont="1" applyFill="1" applyBorder="1" applyAlignment="1">
      <alignment horizontal="center" vertical="center"/>
    </xf>
    <xf numFmtId="0" fontId="138" fillId="0" borderId="82" xfId="335" applyFont="1" applyBorder="1" applyAlignment="1">
      <alignment horizontal="center" vertical="center"/>
    </xf>
    <xf numFmtId="0" fontId="138" fillId="86" borderId="91" xfId="335" applyFont="1" applyFill="1" applyBorder="1" applyAlignment="1">
      <alignment horizontal="center" vertical="center"/>
    </xf>
    <xf numFmtId="0" fontId="138" fillId="86" borderId="18" xfId="335" applyFont="1" applyFill="1" applyAlignment="1">
      <alignment horizontal="center" vertical="center"/>
    </xf>
    <xf numFmtId="0" fontId="138" fillId="86" borderId="87" xfId="335" applyFont="1" applyFill="1" applyBorder="1" applyAlignment="1">
      <alignment horizontal="center" vertical="center"/>
    </xf>
    <xf numFmtId="0" fontId="36" fillId="0" borderId="121" xfId="335" applyFont="1" applyBorder="1" applyAlignment="1">
      <alignment horizontal="center" vertical="center"/>
    </xf>
    <xf numFmtId="0" fontId="10" fillId="0" borderId="83" xfId="335" applyBorder="1" applyAlignment="1">
      <alignment horizontal="center" vertical="center"/>
    </xf>
    <xf numFmtId="0" fontId="10" fillId="86" borderId="133" xfId="335" applyFill="1" applyBorder="1" applyAlignment="1">
      <alignment horizontal="center" vertical="center"/>
    </xf>
    <xf numFmtId="0" fontId="10" fillId="86" borderId="80" xfId="335" applyFill="1" applyBorder="1" applyAlignment="1">
      <alignment horizontal="center" vertical="center"/>
    </xf>
    <xf numFmtId="0" fontId="10" fillId="86" borderId="81" xfId="335" applyFill="1" applyBorder="1" applyAlignment="1">
      <alignment horizontal="center" vertical="center"/>
    </xf>
    <xf numFmtId="16" fontId="10" fillId="0" borderId="83" xfId="335" applyNumberFormat="1" applyBorder="1" applyAlignment="1">
      <alignment horizontal="center" vertical="center"/>
    </xf>
    <xf numFmtId="0" fontId="144" fillId="0" borderId="91" xfId="335" applyFont="1" applyBorder="1" applyAlignment="1">
      <alignment horizontal="center" vertical="center"/>
    </xf>
    <xf numFmtId="0" fontId="144" fillId="0" borderId="18" xfId="335" applyFont="1" applyAlignment="1">
      <alignment horizontal="center" vertical="center"/>
    </xf>
    <xf numFmtId="0" fontId="144" fillId="0" borderId="132" xfId="335" applyFont="1" applyBorder="1" applyAlignment="1">
      <alignment horizontal="center" vertical="center"/>
    </xf>
    <xf numFmtId="0" fontId="144" fillId="0" borderId="83" xfId="335" applyFont="1" applyBorder="1" applyAlignment="1">
      <alignment horizontal="center" vertical="center"/>
    </xf>
    <xf numFmtId="0" fontId="133" fillId="0" borderId="114" xfId="335" applyFont="1" applyBorder="1" applyAlignment="1">
      <alignment horizontal="center" vertical="center"/>
    </xf>
    <xf numFmtId="0" fontId="133" fillId="0" borderId="138" xfId="335" applyFont="1" applyBorder="1" applyAlignment="1">
      <alignment horizontal="center" vertical="center"/>
    </xf>
    <xf numFmtId="179" fontId="36" fillId="0" borderId="82" xfId="335" applyNumberFormat="1" applyFont="1" applyBorder="1" applyAlignment="1">
      <alignment horizontal="center" vertical="center"/>
    </xf>
    <xf numFmtId="179" fontId="36" fillId="0" borderId="122" xfId="335" applyNumberFormat="1" applyFont="1" applyBorder="1" applyAlignment="1">
      <alignment horizontal="center" vertical="center"/>
    </xf>
    <xf numFmtId="0" fontId="36" fillId="85" borderId="121" xfId="335" applyFont="1" applyFill="1" applyBorder="1" applyAlignment="1">
      <alignment horizontal="center" vertical="center"/>
    </xf>
    <xf numFmtId="1" fontId="36" fillId="0" borderId="79" xfId="335" applyNumberFormat="1" applyFont="1" applyBorder="1" applyAlignment="1">
      <alignment horizontal="center" vertical="center"/>
    </xf>
    <xf numFmtId="1" fontId="36" fillId="0" borderId="80" xfId="335" applyNumberFormat="1" applyFont="1" applyBorder="1" applyAlignment="1">
      <alignment horizontal="center" vertical="center"/>
    </xf>
    <xf numFmtId="1" fontId="36" fillId="0" borderId="81" xfId="335" applyNumberFormat="1" applyFont="1" applyBorder="1" applyAlignment="1">
      <alignment horizontal="center" vertical="center"/>
    </xf>
    <xf numFmtId="0" fontId="36" fillId="0" borderId="80" xfId="335" applyFont="1" applyBorder="1" applyAlignment="1">
      <alignment horizontal="center" vertical="center"/>
    </xf>
    <xf numFmtId="0" fontId="36" fillId="0" borderId="134" xfId="335" applyFont="1" applyBorder="1" applyAlignment="1">
      <alignment horizontal="center" vertical="center"/>
    </xf>
    <xf numFmtId="173" fontId="36" fillId="0" borderId="82" xfId="335" applyNumberFormat="1" applyFont="1" applyBorder="1" applyAlignment="1">
      <alignment horizontal="center" vertical="center"/>
    </xf>
    <xf numFmtId="1" fontId="10" fillId="0" borderId="18" xfId="335" applyNumberFormat="1" applyAlignment="1">
      <alignment horizontal="center" vertical="center"/>
    </xf>
    <xf numFmtId="1" fontId="36" fillId="0" borderId="137" xfId="335" applyNumberFormat="1" applyFont="1" applyBorder="1" applyAlignment="1">
      <alignment horizontal="center" vertical="center"/>
    </xf>
    <xf numFmtId="1" fontId="36" fillId="0" borderId="166" xfId="335" applyNumberFormat="1" applyFont="1" applyBorder="1" applyAlignment="1">
      <alignment horizontal="center" vertical="center"/>
    </xf>
    <xf numFmtId="1" fontId="36" fillId="0" borderId="167" xfId="335" applyNumberFormat="1" applyFont="1" applyBorder="1" applyAlignment="1">
      <alignment horizontal="center" vertical="center"/>
    </xf>
    <xf numFmtId="0" fontId="10" fillId="0" borderId="124" xfId="335" applyBorder="1" applyAlignment="1">
      <alignment horizontal="center" vertical="center"/>
    </xf>
    <xf numFmtId="16" fontId="10" fillId="0" borderId="124" xfId="335" quotePrefix="1" applyNumberFormat="1" applyBorder="1" applyAlignment="1">
      <alignment horizontal="center" vertical="center"/>
    </xf>
    <xf numFmtId="0" fontId="10" fillId="83" borderId="124" xfId="335" quotePrefix="1" applyFill="1" applyBorder="1" applyAlignment="1">
      <alignment horizontal="center" vertical="center"/>
    </xf>
    <xf numFmtId="0" fontId="10" fillId="83" borderId="124" xfId="335" applyFill="1" applyBorder="1" applyAlignment="1">
      <alignment horizontal="center" vertical="center"/>
    </xf>
    <xf numFmtId="0" fontId="36" fillId="0" borderId="131" xfId="335" applyFont="1" applyBorder="1" applyAlignment="1">
      <alignment horizontal="center" vertical="center"/>
    </xf>
    <xf numFmtId="0" fontId="10" fillId="0" borderId="18" xfId="335" applyAlignment="1">
      <alignment horizontal="center" vertical="center"/>
    </xf>
    <xf numFmtId="16" fontId="10" fillId="83" borderId="18" xfId="335" applyNumberFormat="1" applyFill="1" applyAlignment="1">
      <alignment horizontal="center" vertical="center"/>
    </xf>
    <xf numFmtId="0" fontId="10" fillId="83" borderId="18" xfId="335" applyFill="1" applyAlignment="1">
      <alignment horizontal="center" vertical="center"/>
    </xf>
    <xf numFmtId="0" fontId="138" fillId="0" borderId="130" xfId="335" applyFont="1" applyBorder="1" applyAlignment="1">
      <alignment horizontal="center" vertical="center"/>
    </xf>
    <xf numFmtId="0" fontId="148" fillId="96" borderId="128" xfId="335" applyFont="1" applyFill="1" applyBorder="1" applyAlignment="1">
      <alignment horizontal="center" vertical="center" wrapText="1"/>
    </xf>
    <xf numFmtId="0" fontId="148" fillId="96" borderId="120" xfId="335" applyFont="1" applyFill="1" applyBorder="1" applyAlignment="1">
      <alignment horizontal="center" vertical="center" wrapText="1"/>
    </xf>
    <xf numFmtId="0" fontId="148" fillId="96" borderId="129" xfId="335" applyFont="1" applyFill="1" applyBorder="1" applyAlignment="1">
      <alignment horizontal="center" vertical="center" wrapText="1"/>
    </xf>
    <xf numFmtId="0" fontId="148" fillId="96" borderId="91" xfId="335" applyFont="1" applyFill="1" applyBorder="1" applyAlignment="1">
      <alignment horizontal="center" vertical="center" wrapText="1"/>
    </xf>
    <xf numFmtId="0" fontId="148" fillId="96" borderId="18" xfId="335" applyFont="1" applyFill="1" applyAlignment="1">
      <alignment horizontal="center" vertical="center" wrapText="1"/>
    </xf>
    <xf numFmtId="0" fontId="148" fillId="96" borderId="92" xfId="335" applyFont="1" applyFill="1" applyBorder="1" applyAlignment="1">
      <alignment horizontal="center" vertical="center" wrapText="1"/>
    </xf>
    <xf numFmtId="0" fontId="148" fillId="96" borderId="126" xfId="335" applyFont="1" applyFill="1" applyBorder="1" applyAlignment="1">
      <alignment horizontal="center" vertical="center" wrapText="1"/>
    </xf>
    <xf numFmtId="0" fontId="148" fillId="96" borderId="104" xfId="335" applyFont="1" applyFill="1" applyBorder="1" applyAlignment="1">
      <alignment horizontal="center" vertical="center" wrapText="1"/>
    </xf>
    <xf numFmtId="0" fontId="148" fillId="96" borderId="127" xfId="335" applyFont="1" applyFill="1" applyBorder="1" applyAlignment="1">
      <alignment horizontal="center" vertical="center" wrapText="1"/>
    </xf>
    <xf numFmtId="0" fontId="36" fillId="95" borderId="128" xfId="335" applyFont="1" applyFill="1" applyBorder="1" applyAlignment="1">
      <alignment horizontal="center" vertical="center"/>
    </xf>
    <xf numFmtId="0" fontId="36" fillId="95" borderId="129" xfId="335" applyFont="1" applyFill="1" applyBorder="1" applyAlignment="1">
      <alignment horizontal="center" vertical="center"/>
    </xf>
    <xf numFmtId="0" fontId="36" fillId="95" borderId="91" xfId="335" applyFont="1" applyFill="1" applyBorder="1" applyAlignment="1">
      <alignment horizontal="center" vertical="center"/>
    </xf>
    <xf numFmtId="0" fontId="36" fillId="95" borderId="92" xfId="335" applyFont="1" applyFill="1" applyBorder="1" applyAlignment="1">
      <alignment horizontal="center" vertical="center"/>
    </xf>
    <xf numFmtId="0" fontId="36" fillId="95" borderId="126" xfId="335" applyFont="1" applyFill="1" applyBorder="1" applyAlignment="1">
      <alignment horizontal="center" vertical="center"/>
    </xf>
    <xf numFmtId="0" fontId="36" fillId="95" borderId="127" xfId="335" applyFont="1" applyFill="1" applyBorder="1" applyAlignment="1">
      <alignment horizontal="center" vertical="center"/>
    </xf>
    <xf numFmtId="0" fontId="36" fillId="94" borderId="91" xfId="335" applyFont="1" applyFill="1" applyBorder="1" applyAlignment="1">
      <alignment horizontal="center" vertical="center"/>
    </xf>
    <xf numFmtId="0" fontId="36" fillId="94" borderId="126" xfId="335" applyFont="1" applyFill="1" applyBorder="1" applyAlignment="1">
      <alignment horizontal="center" vertical="center"/>
    </xf>
    <xf numFmtId="0" fontId="13" fillId="0" borderId="74" xfId="0" applyFont="1" applyBorder="1" applyAlignment="1">
      <alignment horizontal="center" vertical="center"/>
    </xf>
    <xf numFmtId="0" fontId="12" fillId="0" borderId="40" xfId="0" applyFont="1" applyBorder="1"/>
    <xf numFmtId="0" fontId="12" fillId="0" borderId="37" xfId="0" applyFont="1" applyBorder="1"/>
    <xf numFmtId="0" fontId="13" fillId="0" borderId="74" xfId="0" applyFont="1" applyBorder="1" applyAlignment="1">
      <alignment horizontal="center" vertical="center" wrapText="1"/>
    </xf>
    <xf numFmtId="0" fontId="11" fillId="2" borderId="70" xfId="0" applyFont="1" applyFill="1" applyBorder="1" applyAlignment="1">
      <alignment horizontal="center"/>
    </xf>
    <xf numFmtId="0" fontId="12" fillId="0" borderId="72" xfId="0" applyFont="1" applyBorder="1"/>
    <xf numFmtId="0" fontId="11" fillId="2" borderId="25" xfId="0" applyFont="1" applyFill="1" applyBorder="1" applyAlignment="1">
      <alignment horizontal="center"/>
    </xf>
  </cellXfs>
  <cellStyles count="2425">
    <cellStyle name="_gwssb-rev1" xfId="535" xr:uid="{29D2595B-8F97-4AAE-A962-071BE93663D8}"/>
    <cellStyle name="_Price Rev-2 Issue B,KSK ENERGY" xfId="536" xr:uid="{C477A58C-3A9A-4DB7-BDEB-AC507CA485C2}"/>
    <cellStyle name="=C:\WINNT35\SYSTEM32\COMMAND.COM" xfId="537" xr:uid="{8E5B117F-F7EF-41E4-B133-3FE318F3801C}"/>
    <cellStyle name="0,0_x000a__x000a_NA_x000a__x000a_" xfId="538" xr:uid="{CD96F8E2-E605-4681-AD76-577BCA26A5B7}"/>
    <cellStyle name="0,0_x000a__x000a_NA_x000a__x000a_ 2" xfId="539" xr:uid="{1D5BB94A-7650-4BE9-9296-C53A3E061608}"/>
    <cellStyle name="0,0_x000d__x000a_NA_x000d__x000a_" xfId="540" xr:uid="{60ECF3FD-09F1-43E8-BCF5-EF0C02817447}"/>
    <cellStyle name="0,0_x000d__x000a_NA_x000d__x000a_ 2" xfId="541" xr:uid="{D3A654B0-A4CF-4476-A905-A54BE730BB7B}"/>
    <cellStyle name="20% - Accent1 2" xfId="14" xr:uid="{3938F390-1D8D-4440-9CC5-EB9C5912599A}"/>
    <cellStyle name="20% - Accent1 2 2" xfId="542" xr:uid="{EF6A816E-51FB-4EA6-9840-7359D6B5D591}"/>
    <cellStyle name="20% - Accent1 2 2 2" xfId="543" xr:uid="{3E154AC1-F057-45DD-AC59-8F4FE65C28DA}"/>
    <cellStyle name="20% - Accent1 2 2 2 2" xfId="2123" xr:uid="{CFFEEF92-2E92-4300-81F9-2947D486BCC1}"/>
    <cellStyle name="20% - Accent1 2 2 3" xfId="544" xr:uid="{C3228584-5C25-4BFF-8ADA-A06FCC294C7D}"/>
    <cellStyle name="20% - Accent1 2 2 4" xfId="545" xr:uid="{DB82ABB4-5134-4516-9CA5-14BAEE228F1F}"/>
    <cellStyle name="20% - Accent1 2 3" xfId="546" xr:uid="{ED4364F4-9133-4243-8244-4F6791772E8D}"/>
    <cellStyle name="20% - Accent1 2 3 2" xfId="547" xr:uid="{E6B9B481-201C-4E4D-AA5D-23538CA4B086}"/>
    <cellStyle name="20% - Accent1 2 3 3" xfId="548" xr:uid="{D465E9EE-ADF8-4CA9-A142-2014B2CBC423}"/>
    <cellStyle name="20% - Accent1 2 3 4" xfId="549" xr:uid="{353F3C49-1A2B-4D56-A46F-F307D93912CE}"/>
    <cellStyle name="20% - Accent1 2 4" xfId="550" xr:uid="{61F1F639-0605-4F44-998D-316814DE4D51}"/>
    <cellStyle name="20% - Accent1 3" xfId="15" xr:uid="{E7E4F660-120A-4E6E-9222-CA0B781B07F1}"/>
    <cellStyle name="20% - Accent1 3 2" xfId="551" xr:uid="{54145082-B961-46C5-B209-B74D297322DA}"/>
    <cellStyle name="20% - Accent1 4" xfId="16" xr:uid="{DB5F5881-E62E-4226-B6BD-56F56AD4F952}"/>
    <cellStyle name="20% - Accent2 2" xfId="17" xr:uid="{777B4472-D355-4CFD-9C05-CF1E76C64B80}"/>
    <cellStyle name="20% - Accent2 2 2" xfId="552" xr:uid="{BCA89EDC-533F-455A-A847-52A476A4968D}"/>
    <cellStyle name="20% - Accent2 2 2 2" xfId="553" xr:uid="{E1F7A60C-AD57-4184-AFCA-09617C9CC36B}"/>
    <cellStyle name="20% - Accent2 2 3" xfId="554" xr:uid="{D2E29CC4-CBA2-4A9F-BED7-1F2A395570D5}"/>
    <cellStyle name="20% - Accent2 3" xfId="18" xr:uid="{920D113E-B6E9-4BDF-9025-84AA014C8606}"/>
    <cellStyle name="20% - Accent2 3 2" xfId="555" xr:uid="{D5BE9F47-6E23-41E3-9AAE-66F0828343E7}"/>
    <cellStyle name="20% - Accent2 4" xfId="19" xr:uid="{242B60F7-CDA5-454D-A7E0-9C3DADE45C0B}"/>
    <cellStyle name="20% - Accent2 7 2" xfId="2130" xr:uid="{9E3A153D-F8B7-48EC-AE06-B31602C117DE}"/>
    <cellStyle name="20% - Accent3 2" xfId="20" xr:uid="{340493FD-E800-47D4-8DB4-01B2D3DCEED6}"/>
    <cellStyle name="20% - Accent3 2 2" xfId="556" xr:uid="{E61BCC4D-644F-4957-8FFA-D394E0E2BD63}"/>
    <cellStyle name="20% - Accent3 2 2 2" xfId="557" xr:uid="{6D94FE5D-DFE9-4BFB-9A0C-7020E03D1427}"/>
    <cellStyle name="20% - Accent3 2 3" xfId="558" xr:uid="{28F75609-7D50-4131-9CAE-F3871C5A12E3}"/>
    <cellStyle name="20% - Accent3 3" xfId="21" xr:uid="{6A2602D3-2A1A-4D9C-BD47-97DCBA58C833}"/>
    <cellStyle name="20% - Accent3 3 2" xfId="559" xr:uid="{3BE5CCCD-684B-4438-879B-EAE37029E7BB}"/>
    <cellStyle name="20% - Accent3 4" xfId="22" xr:uid="{95687B26-3F62-4764-92C4-3F70FB486D1E}"/>
    <cellStyle name="20% - Accent4 2" xfId="23" xr:uid="{746DBB3C-B335-4DF0-87C5-178B302F1D0C}"/>
    <cellStyle name="20% - Accent4 2 2" xfId="560" xr:uid="{2875F067-9FEA-4D84-849D-419E486677F2}"/>
    <cellStyle name="20% - Accent4 2 2 2" xfId="561" xr:uid="{89D124AF-378D-4F75-B06A-FEC3B66758D8}"/>
    <cellStyle name="20% - Accent4 2 3" xfId="562" xr:uid="{A258F028-5DAA-4417-9F92-0BB74D495BC5}"/>
    <cellStyle name="20% - Accent4 3" xfId="24" xr:uid="{A9D95E61-8362-4805-9EAF-A46BD4EAE72E}"/>
    <cellStyle name="20% - Accent4 3 2" xfId="563" xr:uid="{F6799F9A-0603-4090-B678-355BA153214C}"/>
    <cellStyle name="20% - Accent4 4" xfId="25" xr:uid="{5E7E226D-16E1-4255-A96F-48A3B26D76FC}"/>
    <cellStyle name="20% - Accent5 2" xfId="26" xr:uid="{2FA6B7CC-E8E6-4EDC-85F5-1CBA456EBD75}"/>
    <cellStyle name="20% - Accent5 2 2" xfId="564" xr:uid="{E572710C-78F5-4088-8351-0698DA5365DF}"/>
    <cellStyle name="20% - Accent5 2 2 2" xfId="565" xr:uid="{92097A4C-B95D-40AB-BE2A-CB8517709C00}"/>
    <cellStyle name="20% - Accent5 2 3" xfId="566" xr:uid="{BFEA8A0D-44C6-4F39-95FD-B1BA2C186BD6}"/>
    <cellStyle name="20% - Accent5 3" xfId="27" xr:uid="{5443A1B9-4DD0-4DAA-8281-7D2784F71396}"/>
    <cellStyle name="20% - Accent5 3 2" xfId="567" xr:uid="{0E62A800-106B-4130-AE6A-0843A2703222}"/>
    <cellStyle name="20% - Accent5 4" xfId="28" xr:uid="{6656B187-27B4-480E-80A5-46A0E684AF5B}"/>
    <cellStyle name="20% - Accent5 6" xfId="2128" xr:uid="{ED035D9A-7BF8-4C93-B359-F24C0A0B952F}"/>
    <cellStyle name="20% - Accent6 2" xfId="29" xr:uid="{846BC766-D2D2-44FE-A836-7BE9836EABA9}"/>
    <cellStyle name="20% - Accent6 2 2" xfId="568" xr:uid="{DB400D8E-D24E-4807-A59D-DC697A906A72}"/>
    <cellStyle name="20% - Accent6 2 2 2" xfId="569" xr:uid="{1654EB3A-A3A5-4082-BB03-4DB772708BBB}"/>
    <cellStyle name="20% - Accent6 2 3" xfId="570" xr:uid="{03754E08-B79F-4E26-8C66-4E12ABEDED7F}"/>
    <cellStyle name="20% - Accent6 3" xfId="30" xr:uid="{B791E42A-D16C-4148-9DF1-3C3DC6CF5EC2}"/>
    <cellStyle name="20% - Accent6 3 2" xfId="571" xr:uid="{54952F61-4090-4359-A61F-11819A279D00}"/>
    <cellStyle name="20% - Accent6 4" xfId="31" xr:uid="{77A06816-A7BD-4D69-AB90-A6D1250BE406}"/>
    <cellStyle name="40% - Accent1 2" xfId="32" xr:uid="{7AD03FC4-006B-4241-B247-58419180EE6E}"/>
    <cellStyle name="40% - Accent1 2 2" xfId="572" xr:uid="{FEE6E5EF-DB03-4D98-A700-0A33A9729BEC}"/>
    <cellStyle name="40% - Accent1 2 2 2" xfId="573" xr:uid="{0CDE0AF4-84E7-40DC-8247-531C02DAE5AF}"/>
    <cellStyle name="40% - Accent1 2 3" xfId="574" xr:uid="{C724D00C-ADEA-41C4-961A-043AD7DC7DA0}"/>
    <cellStyle name="40% - Accent1 3" xfId="33" xr:uid="{6A679CDB-34BF-4EFB-B528-4F1F2E9D2BE0}"/>
    <cellStyle name="40% - Accent1 3 2" xfId="575" xr:uid="{8A0E7FDE-2999-4248-B9E2-885A10B9CD48}"/>
    <cellStyle name="40% - Accent1 4" xfId="34" xr:uid="{9CE99CD4-85E9-4419-9843-F1083ABD863D}"/>
    <cellStyle name="40% - Accent2 2" xfId="35" xr:uid="{BD5F20B1-7D32-4DB7-B8D5-52B060C96595}"/>
    <cellStyle name="40% - Accent2 2 2" xfId="576" xr:uid="{9D157963-C69A-469A-9643-05A35E1EC505}"/>
    <cellStyle name="40% - Accent2 2 2 2" xfId="577" xr:uid="{7F47AD6E-92BD-40B9-BA9D-D25AE46873C3}"/>
    <cellStyle name="40% - Accent2 2 3" xfId="578" xr:uid="{6450775F-3C76-4929-AACC-A8E5FE2A41CE}"/>
    <cellStyle name="40% - Accent2 3" xfId="36" xr:uid="{A9D394A0-0593-4E12-A8DD-41BBF5739040}"/>
    <cellStyle name="40% - Accent2 3 2" xfId="579" xr:uid="{E3BBC283-B161-496F-B051-F2BC186F3DC6}"/>
    <cellStyle name="40% - Accent2 4" xfId="37" xr:uid="{4716F490-D223-4FA1-A295-BD6BD56EABE4}"/>
    <cellStyle name="40% - Accent3 2" xfId="38" xr:uid="{AF6C7F18-DFF8-4813-9D2E-AB3B67BE0F8F}"/>
    <cellStyle name="40% - Accent3 2 2" xfId="580" xr:uid="{305EA5B8-EE4F-495E-8416-9C7119A99140}"/>
    <cellStyle name="40% - Accent3 2 2 2" xfId="581" xr:uid="{AFA44EB4-F2AE-431E-B79E-13507790FA68}"/>
    <cellStyle name="40% - Accent3 2 2 3" xfId="582" xr:uid="{A074179C-D03E-4FA6-ADAF-7DF719A1D9CD}"/>
    <cellStyle name="40% - Accent3 2 2 4" xfId="583" xr:uid="{851F1F7F-9687-4467-AD92-D993B91D3CBA}"/>
    <cellStyle name="40% - Accent3 2 3" xfId="584" xr:uid="{95E5D3A8-006A-4832-ACBA-7A6B30909FDD}"/>
    <cellStyle name="40% - Accent3 2 3 2" xfId="585" xr:uid="{F7621A03-CC46-41AA-99D5-27C6E304B857}"/>
    <cellStyle name="40% - Accent3 2 3 3" xfId="586" xr:uid="{B57268C5-BE9D-48FA-80B5-E63C0AC33CC6}"/>
    <cellStyle name="40% - Accent3 2 3 4" xfId="587" xr:uid="{875697E9-47E0-4C6E-8CC1-8FA933DECBDC}"/>
    <cellStyle name="40% - Accent3 2 4" xfId="588" xr:uid="{0FCC760B-0647-43E6-A372-2DD81108B705}"/>
    <cellStyle name="40% - Accent3 3" xfId="39" xr:uid="{AEBFC01B-9B17-4AB1-90B2-BCF48D95EEE4}"/>
    <cellStyle name="40% - Accent3 3 2" xfId="589" xr:uid="{B9890E98-BD97-4BF7-BCF3-E7121E0463BE}"/>
    <cellStyle name="40% - Accent3 4" xfId="40" xr:uid="{6B620837-DD2A-4999-83D5-24A1794007D9}"/>
    <cellStyle name="40% - Accent4 2" xfId="41" xr:uid="{8EEF1B4F-C1B4-4051-A83F-A0BBC13AE82D}"/>
    <cellStyle name="40% - Accent4 2 2" xfId="590" xr:uid="{845D7469-A683-4A6B-8D8D-ECA5A55ED8D7}"/>
    <cellStyle name="40% - Accent4 2 2 2" xfId="591" xr:uid="{99883268-7C25-4255-BF70-BE78A72232ED}"/>
    <cellStyle name="40% - Accent4 2 3" xfId="592" xr:uid="{49292842-AF9E-4BAB-BE7C-C7DF1EFF4AA7}"/>
    <cellStyle name="40% - Accent4 3" xfId="42" xr:uid="{09488505-54A3-43DB-89FC-AD1A309CCE37}"/>
    <cellStyle name="40% - Accent4 3 2" xfId="593" xr:uid="{B732D56A-E106-4873-8D6E-501AC79EA63C}"/>
    <cellStyle name="40% - Accent4 4" xfId="43" xr:uid="{D3DF229F-25EC-4DFA-AC85-90D7A852E8B1}"/>
    <cellStyle name="40% - Accent5 2" xfId="44" xr:uid="{CE9EF0B9-7C9E-4172-957B-FD4DBBCE4DCD}"/>
    <cellStyle name="40% - Accent5 2 2" xfId="594" xr:uid="{2CAD70D0-5124-4FE7-9502-B7BCF6305C9B}"/>
    <cellStyle name="40% - Accent5 2 2 2" xfId="595" xr:uid="{87806F96-41BF-42BC-9F21-5C5ECB726B75}"/>
    <cellStyle name="40% - Accent5 2 3" xfId="596" xr:uid="{3A5FEA70-0796-4DA8-A569-5D241635CD32}"/>
    <cellStyle name="40% - Accent5 3" xfId="45" xr:uid="{AE9AD52F-A818-44EF-821F-AA8AB855E274}"/>
    <cellStyle name="40% - Accent5 3 2" xfId="597" xr:uid="{D7423BF7-8AFB-4976-97B4-05422D8CDDD0}"/>
    <cellStyle name="40% - Accent5 4" xfId="46" xr:uid="{2EAF4FE9-E478-41DF-88D6-758BBB88B102}"/>
    <cellStyle name="40% - Accent6 2" xfId="47" xr:uid="{E09051D0-F215-4491-8374-EF7B737591AA}"/>
    <cellStyle name="40% - Accent6 2 2" xfId="598" xr:uid="{F7129DEB-1161-4606-A5FF-0590F1FFCF85}"/>
    <cellStyle name="40% - Accent6 2 2 2" xfId="599" xr:uid="{24FAE7D5-FD53-4DEF-AA54-1292F18B9742}"/>
    <cellStyle name="40% - Accent6 2 3" xfId="600" xr:uid="{4B46807A-6831-44F2-AFC1-9B25BCBCF434}"/>
    <cellStyle name="40% - Accent6 3" xfId="48" xr:uid="{F5BA18CC-F956-4E9E-B9E2-AAA4C3194943}"/>
    <cellStyle name="40% - Accent6 3 2" xfId="601" xr:uid="{F51CF428-93F8-47DB-BAF0-AAAF1330995B}"/>
    <cellStyle name="40% - Accent6 4" xfId="49" xr:uid="{4E68D739-0149-4DB7-91F5-5FD8AE3A0AD8}"/>
    <cellStyle name="60% - Accent1 2" xfId="50" xr:uid="{F7BF11A4-AEB6-49C5-B5F3-8D7B17EC355D}"/>
    <cellStyle name="60% - Accent1 2 2" xfId="602" xr:uid="{008ACBDA-2006-4DD9-B35E-610A5AEAD72A}"/>
    <cellStyle name="60% - Accent1 3" xfId="51" xr:uid="{6A0F9741-5978-4E88-8763-EC65FC3723FF}"/>
    <cellStyle name="60% - Accent1 4" xfId="52" xr:uid="{FE705485-A225-4A89-A062-DDF04D208A02}"/>
    <cellStyle name="60% - Accent2 2" xfId="53" xr:uid="{FFB0BE08-9677-4063-BBE9-029093B35EF5}"/>
    <cellStyle name="60% - Accent2 2 2" xfId="603" xr:uid="{AE7A3693-2AFF-4518-B092-4CE66467DA8B}"/>
    <cellStyle name="60% - Accent2 3" xfId="54" xr:uid="{D6C85A6D-03A0-4B3D-B6D3-A9391C73243B}"/>
    <cellStyle name="60% - Accent2 4" xfId="55" xr:uid="{871CDB2E-29B2-4F74-82D0-11E826735BF2}"/>
    <cellStyle name="60% - Accent3 2" xfId="56" xr:uid="{3F5D79DE-FEEE-4FE6-B593-4DBBDBB97249}"/>
    <cellStyle name="60% - Accent3 2 2" xfId="604" xr:uid="{F92B996E-FAB4-427F-8F3B-283A229677CD}"/>
    <cellStyle name="60% - Accent3 3" xfId="57" xr:uid="{4848D41A-B07B-4B76-961E-B3A9F5BA5C7C}"/>
    <cellStyle name="60% - Accent3 4" xfId="58" xr:uid="{AE2D74CA-C326-4305-A9C9-541C51F18F11}"/>
    <cellStyle name="60% - Accent4 2" xfId="59" xr:uid="{B3BC2C9A-1E3A-4A9B-92CD-5A5CE06BABAC}"/>
    <cellStyle name="60% - Accent4 2 2" xfId="605" xr:uid="{EFFFDF2E-215F-4380-B49F-C58D214D832D}"/>
    <cellStyle name="60% - Accent4 3" xfId="60" xr:uid="{9B432ED3-3C84-45E8-8A40-F84DD0D27243}"/>
    <cellStyle name="60% - Accent4 4" xfId="61" xr:uid="{D9090A70-2170-49D3-817E-C2F645A6BA69}"/>
    <cellStyle name="60% - Accent5 2" xfId="62" xr:uid="{B0465F7B-8E86-4238-9060-C246D1A845DF}"/>
    <cellStyle name="60% - Accent5 2 2" xfId="606" xr:uid="{E64FA922-526D-466B-8DF8-DEA59D6B48BB}"/>
    <cellStyle name="60% - Accent5 3" xfId="63" xr:uid="{A558B2AA-CBAB-4F66-9B2D-93BCC7E9A37E}"/>
    <cellStyle name="60% - Accent5 4" xfId="64" xr:uid="{C28E4DE4-6A0C-4330-B074-308FAF8A29A5}"/>
    <cellStyle name="60% - Accent6 2" xfId="65" xr:uid="{1C12F45C-AA2B-4023-BF16-5F2DDBCF0D13}"/>
    <cellStyle name="60% - Accent6 2 2" xfId="607" xr:uid="{72BC4CA7-20CF-4B6B-A16F-C28B53C7F22B}"/>
    <cellStyle name="60% - Accent6 3" xfId="66" xr:uid="{5F770FDB-A244-4128-A9E8-F695CD27170F}"/>
    <cellStyle name="60% - Accent6 4" xfId="67" xr:uid="{681C4E0D-9EFA-4D24-B733-0BE679574B14}"/>
    <cellStyle name="75" xfId="68" xr:uid="{635DF2DB-407A-4A6B-B601-67770DEFC61F}"/>
    <cellStyle name="75 2" xfId="608" xr:uid="{2B964032-86BF-4099-BBA0-9E63FA73451B}"/>
    <cellStyle name="75 2 2" xfId="609" xr:uid="{A8610F7A-08A9-4632-8BB0-AA5254C01783}"/>
    <cellStyle name="Accent1 - 20%" xfId="69" xr:uid="{0E3FE631-DA1A-41E6-BE9D-7E911FEB29B0}"/>
    <cellStyle name="Accent1 - 20% 2" xfId="70" xr:uid="{0C1BEC73-D43D-4384-8E8F-992D66A35CD5}"/>
    <cellStyle name="Accent1 - 20% 2 2" xfId="610" xr:uid="{3000228D-50F5-4D2B-9A52-9E201A8F3FD7}"/>
    <cellStyle name="Accent1 - 20% 3" xfId="611" xr:uid="{0E823358-BE1C-4FAD-927E-47BCF4ED0643}"/>
    <cellStyle name="Accent1 - 40%" xfId="71" xr:uid="{2D28DB83-B5D4-4E60-B384-F1E7E84C5ECB}"/>
    <cellStyle name="Accent1 - 40% 2" xfId="72" xr:uid="{A64FDC87-4F62-47D8-9F4D-861A4382BD98}"/>
    <cellStyle name="Accent1 - 40% 2 2" xfId="612" xr:uid="{19366077-3F2E-406D-9360-B23300E03978}"/>
    <cellStyle name="Accent1 - 40% 3" xfId="613" xr:uid="{6D40303C-4487-4DB9-B0FD-2FB71E6378B1}"/>
    <cellStyle name="Accent1 - 60%" xfId="73" xr:uid="{82FFB157-F1A1-4976-85C3-3B4AB8F41C48}"/>
    <cellStyle name="Accent1 - 60% 2" xfId="614" xr:uid="{97D780A1-3AF8-488D-AC5A-9B29891C7FBA}"/>
    <cellStyle name="Accent1 2" xfId="74" xr:uid="{1F670547-E8AF-4ECD-A015-62705806A9ED}"/>
    <cellStyle name="Accent1 2 2" xfId="615" xr:uid="{2ABEF132-C1A0-4952-8A86-C6E8040D2523}"/>
    <cellStyle name="Accent1 3" xfId="75" xr:uid="{9BADA5FF-3250-4995-B94C-6AD406AF7BCC}"/>
    <cellStyle name="Accent1 4" xfId="76" xr:uid="{11915151-E713-49FA-827B-9AD51F128E10}"/>
    <cellStyle name="Accent1 5" xfId="77" xr:uid="{FE5A2EBA-FE86-4687-8F54-683EF5F29349}"/>
    <cellStyle name="Accent1 6" xfId="78" xr:uid="{C0E89E6A-9444-4464-800E-A982184A9CB6}"/>
    <cellStyle name="Accent2 - 20%" xfId="79" xr:uid="{F880E0E7-7FD1-4289-8210-9EEE4D9C7DF0}"/>
    <cellStyle name="Accent2 - 20% 2" xfId="80" xr:uid="{F29346BC-C2B8-4C8E-81B0-1B23C31240BB}"/>
    <cellStyle name="Accent2 - 20% 2 2" xfId="616" xr:uid="{811B0E07-FCDE-4D56-B6CF-3511F5FCDA75}"/>
    <cellStyle name="Accent2 - 20% 3" xfId="617" xr:uid="{D6EF0E50-83FC-432E-8EFF-969D7A021EF8}"/>
    <cellStyle name="Accent2 - 40%" xfId="81" xr:uid="{FAD98BEE-259D-422C-896B-73A9995986F8}"/>
    <cellStyle name="Accent2 - 40% 2" xfId="82" xr:uid="{8C2A1BA5-B10E-49E7-94AA-628C704486A2}"/>
    <cellStyle name="Accent2 - 40% 2 2" xfId="618" xr:uid="{755D2040-6C5B-4AF9-BAEC-5D032329B26D}"/>
    <cellStyle name="Accent2 - 40% 3" xfId="619" xr:uid="{391280AD-1E7D-4CF7-A2EB-E14E9160B79A}"/>
    <cellStyle name="Accent2 - 60%" xfId="83" xr:uid="{A5CB58B1-7098-4F20-9818-9956D9ADEEEE}"/>
    <cellStyle name="Accent2 - 60% 2" xfId="620" xr:uid="{79EB4E9A-0022-49F3-B4A1-4E372DC65E7E}"/>
    <cellStyle name="Accent2 2" xfId="84" xr:uid="{4F07D940-E1CC-41D9-8323-A6EDC0378947}"/>
    <cellStyle name="Accent2 2 2" xfId="621" xr:uid="{4E2A052B-8FE3-44D8-9C11-6D54BE4FDFCF}"/>
    <cellStyle name="Accent2 3" xfId="85" xr:uid="{AD85882D-FF71-4DFF-988B-97FB00A1B740}"/>
    <cellStyle name="Accent2 4" xfId="86" xr:uid="{373148F0-A880-4CE2-B1AA-5CE01AEA64B2}"/>
    <cellStyle name="Accent2 5" xfId="87" xr:uid="{E86AEFC4-562C-431A-8DEF-9D4836E5C4DF}"/>
    <cellStyle name="Accent2 6" xfId="88" xr:uid="{F1CA9395-CC7F-40CA-855C-1BF2636FBC71}"/>
    <cellStyle name="Accent3 - 20%" xfId="89" xr:uid="{C33CC53A-4BFF-406C-9674-2B7D2D4DFD41}"/>
    <cellStyle name="Accent3 - 20% 2" xfId="90" xr:uid="{09760B28-DA39-49B4-83E1-EC1EE7101C91}"/>
    <cellStyle name="Accent3 - 20% 2 2" xfId="622" xr:uid="{A1692561-FDC6-4F7F-A2D0-AFA98EEE4151}"/>
    <cellStyle name="Accent3 - 20% 3" xfId="623" xr:uid="{874B2F01-4EA9-4E3D-A82B-32B9B9C9B90E}"/>
    <cellStyle name="Accent3 - 40%" xfId="91" xr:uid="{7D30F06F-EBF2-4B9A-B8DE-A0DF202E8A39}"/>
    <cellStyle name="Accent3 - 40% 2" xfId="92" xr:uid="{A4B3897B-8F33-47D2-8D08-8EC88C33C867}"/>
    <cellStyle name="Accent3 - 40% 2 2" xfId="624" xr:uid="{0ACD2220-CDCE-452B-9953-8889EF9C8E72}"/>
    <cellStyle name="Accent3 - 40% 3" xfId="625" xr:uid="{086EEB00-1949-41A2-8401-2E013455E607}"/>
    <cellStyle name="Accent3 - 60%" xfId="93" xr:uid="{5F2E5A3B-CCED-428A-9D3D-955999185CEF}"/>
    <cellStyle name="Accent3 - 60% 2" xfId="626" xr:uid="{56E2E301-6EAC-422D-9D98-56682EFC32CB}"/>
    <cellStyle name="Accent3 2" xfId="94" xr:uid="{813BA2CE-C25D-43A2-A0DA-5E11C1D22D3E}"/>
    <cellStyle name="Accent3 2 2" xfId="627" xr:uid="{F661ACC0-7E01-4212-BAD6-667E853361F1}"/>
    <cellStyle name="Accent3 3" xfId="95" xr:uid="{32E1001C-9D9C-4B58-91EF-D20A1756FC66}"/>
    <cellStyle name="Accent3 4" xfId="96" xr:uid="{31A31FA8-6F77-45F8-BE9D-059D4A19FB50}"/>
    <cellStyle name="Accent3 5" xfId="97" xr:uid="{A5B7E4AF-F071-408E-B287-8B38029B6116}"/>
    <cellStyle name="Accent3 6" xfId="98" xr:uid="{BDB0B8F2-8698-4FAA-ADE6-402E08BD033D}"/>
    <cellStyle name="Accent4 - 20%" xfId="99" xr:uid="{E3477DD5-EE4D-4944-A4A3-80600F62B37A}"/>
    <cellStyle name="Accent4 - 20% 2" xfId="100" xr:uid="{EC56A907-D7F7-4700-B3CE-AB8B88F4E83F}"/>
    <cellStyle name="Accent4 - 20% 2 2" xfId="628" xr:uid="{CD1CF5DF-87C9-4BCF-8013-2B33C76096AC}"/>
    <cellStyle name="Accent4 - 20% 3" xfId="629" xr:uid="{DAF00732-419C-432F-B7D4-25EFDF8464EA}"/>
    <cellStyle name="Accent4 - 40%" xfId="101" xr:uid="{1D16F601-0AC5-465F-8FC1-5988560BABB1}"/>
    <cellStyle name="Accent4 - 40% 2" xfId="102" xr:uid="{23C45D12-55CF-45F8-AF83-F4E39C5FD242}"/>
    <cellStyle name="Accent4 - 40% 2 2" xfId="630" xr:uid="{0A5D9664-7161-4C87-B4D3-EE7E7C5DEE31}"/>
    <cellStyle name="Accent4 - 40% 3" xfId="631" xr:uid="{EC498339-5479-4BFD-AD83-57EAA29AB4AE}"/>
    <cellStyle name="Accent4 - 60%" xfId="103" xr:uid="{79BDC691-CF08-426B-9DA6-9C31088D4524}"/>
    <cellStyle name="Accent4 - 60% 2" xfId="632" xr:uid="{9F9ED480-E075-4441-B961-5FC9B07EB1D6}"/>
    <cellStyle name="Accent4 2" xfId="104" xr:uid="{497C2330-8620-41C2-835E-A75B2C51DA24}"/>
    <cellStyle name="Accent4 2 2" xfId="633" xr:uid="{03D22C0D-3DD3-419C-8E22-B187A66A82F8}"/>
    <cellStyle name="Accent4 3" xfId="105" xr:uid="{8A6C8CE3-90D3-48A8-9639-486D180943B3}"/>
    <cellStyle name="Accent4 4" xfId="106" xr:uid="{D7399AF7-7067-452C-8843-C5C8BD4553E8}"/>
    <cellStyle name="Accent4 5" xfId="107" xr:uid="{14654603-5EE7-4EFA-B4EA-5173CC5FD522}"/>
    <cellStyle name="Accent4 6" xfId="108" xr:uid="{21078123-2805-4A85-A259-09F7F24F619D}"/>
    <cellStyle name="Accent5 - 20%" xfId="109" xr:uid="{1EFB012E-7E30-4D50-BF6F-CE57317D0AB9}"/>
    <cellStyle name="Accent5 - 20% 2" xfId="110" xr:uid="{8430D189-8A5B-4DE3-99AD-6B0D4FB483F1}"/>
    <cellStyle name="Accent5 - 20% 2 2" xfId="634" xr:uid="{A76D68E5-AC45-4159-B747-77133D058F22}"/>
    <cellStyle name="Accent5 - 20% 3" xfId="635" xr:uid="{F63B0548-E503-4DB1-9CE1-BCAE51AFCCC2}"/>
    <cellStyle name="Accent5 - 40%" xfId="111" xr:uid="{E4B43AE5-8AE8-44D5-9182-8190FDD25196}"/>
    <cellStyle name="Accent5 - 40% 2" xfId="112" xr:uid="{F0743F2A-E34F-4A68-9887-7D61EB2A296A}"/>
    <cellStyle name="Accent5 - 40% 2 2" xfId="636" xr:uid="{4443973C-549A-4788-9251-44906C9AFE0B}"/>
    <cellStyle name="Accent5 - 40% 3" xfId="637" xr:uid="{29DF28CC-6567-48AD-BC91-400E9982CF81}"/>
    <cellStyle name="Accent5 - 60%" xfId="113" xr:uid="{C137B974-20EF-447B-864E-B91FD72491B9}"/>
    <cellStyle name="Accent5 - 60% 2" xfId="638" xr:uid="{85B38211-4FA2-4EC9-89CB-6DB263CD1923}"/>
    <cellStyle name="Accent5 2" xfId="114" xr:uid="{95ACD997-33C9-46F0-96DE-0B5DAA2FC47C}"/>
    <cellStyle name="Accent5 2 2" xfId="639" xr:uid="{180BF9E8-0788-4B35-B847-37C4B9CF8C5C}"/>
    <cellStyle name="Accent5 3" xfId="115" xr:uid="{8D2C07EC-3A17-4C30-B619-D14EC8EE5918}"/>
    <cellStyle name="Accent5 4" xfId="116" xr:uid="{343A0D6B-F875-4024-9C34-640C6F36D086}"/>
    <cellStyle name="Accent5 5" xfId="117" xr:uid="{20C10CC7-1697-42F6-9BDB-CAFD1A99CFF3}"/>
    <cellStyle name="Accent5 6" xfId="118" xr:uid="{3FA8270B-B519-4794-82C2-33D5F2D9B3C0}"/>
    <cellStyle name="Accent6 - 20%" xfId="119" xr:uid="{4CC5D2F8-CF9B-4F97-9C79-4BA5151F8359}"/>
    <cellStyle name="Accent6 - 20% 2" xfId="120" xr:uid="{8AE8F829-95FA-4D58-893B-18BEF80E134C}"/>
    <cellStyle name="Accent6 - 20% 2 2" xfId="640" xr:uid="{50DB76A7-5CB3-4099-9848-8AC12E7E8141}"/>
    <cellStyle name="Accent6 - 20% 3" xfId="641" xr:uid="{DC748468-6EF7-4CB6-A019-920397998A4F}"/>
    <cellStyle name="Accent6 - 40%" xfId="121" xr:uid="{EE723A38-B539-4EDF-82ED-7077865D361F}"/>
    <cellStyle name="Accent6 - 40% 2" xfId="122" xr:uid="{920BA87B-809A-43D8-8787-CCAB7DE13FA1}"/>
    <cellStyle name="Accent6 - 40% 2 2" xfId="642" xr:uid="{FE38FFC5-F680-4C7E-9638-803484050FA1}"/>
    <cellStyle name="Accent6 - 40% 3" xfId="643" xr:uid="{F0EEF3D9-A2B1-4267-9244-2EFAFACDE1DE}"/>
    <cellStyle name="Accent6 - 60%" xfId="123" xr:uid="{E2360554-677E-4A0D-B997-4C206E5DB949}"/>
    <cellStyle name="Accent6 - 60% 2" xfId="644" xr:uid="{B2AD6E50-6B3F-47B2-A988-3BF6F9616B25}"/>
    <cellStyle name="Accent6 2" xfId="124" xr:uid="{933AE5DD-A223-4C3E-A5FD-77B1CE7C5048}"/>
    <cellStyle name="Accent6 2 2" xfId="645" xr:uid="{BC63C7E4-9100-4EDF-815B-D60D7D025625}"/>
    <cellStyle name="Accent6 3" xfId="125" xr:uid="{1871FF80-FE06-415B-9A04-D17E1250DBA2}"/>
    <cellStyle name="Accent6 4" xfId="126" xr:uid="{BC2FD469-734D-459F-95A5-D1082B5458CD}"/>
    <cellStyle name="Accent6 5" xfId="127" xr:uid="{8035A08D-DAF0-45B6-BDDE-F0882EF66BC0}"/>
    <cellStyle name="Accent6 6" xfId="128" xr:uid="{FE80F7CA-9712-4958-BBD9-21D8EB6F2C08}"/>
    <cellStyle name="ÅëÈ­ [0]_±âÅ¸" xfId="129" xr:uid="{90724117-4542-46D3-A303-C8459BA9DAFF}"/>
    <cellStyle name="ÅëÈ­_±âÅ¸" xfId="130" xr:uid="{F311A8BF-6A82-4CB5-A895-8FC3C1A525BA}"/>
    <cellStyle name="Arial1 - Style1" xfId="131" xr:uid="{EA432554-4DB0-4046-9EC7-317087C4E11F}"/>
    <cellStyle name="Arial1 - Style2" xfId="132" xr:uid="{BD663C88-613F-46BD-A825-FBC5710FC2D1}"/>
    <cellStyle name="Arial10" xfId="133" xr:uid="{0FF3959F-E10C-496B-B72E-4CCE81FDC71A}"/>
    <cellStyle name="Arial10 2" xfId="134" xr:uid="{9C0520FD-E0BE-44D0-9334-8A51D6632B89}"/>
    <cellStyle name="Arial10 2 2" xfId="646" xr:uid="{823E8B74-2CD7-4DCD-AD2F-CDEEA5CD0DEF}"/>
    <cellStyle name="Arial10 2 3" xfId="647" xr:uid="{CE9004E9-D2FC-495B-9629-953FB63B8979}"/>
    <cellStyle name="Arial10 3" xfId="648" xr:uid="{DE32CA77-4231-4447-8AC6-8E8DC24AE465}"/>
    <cellStyle name="Arial10 3 2" xfId="649" xr:uid="{A4688F53-3E40-495B-B5D3-4D4A97BF5FCA}"/>
    <cellStyle name="Arial10 4" xfId="650" xr:uid="{5FEF1BF5-73DD-47F2-AD24-1D7CC9037F95}"/>
    <cellStyle name="Arial10 4 2" xfId="651" xr:uid="{ADB4463A-B4D7-4081-94C4-71B99E324414}"/>
    <cellStyle name="Arial10 5" xfId="652" xr:uid="{E319204D-2B64-4ABB-A68F-AFAD0A0644D8}"/>
    <cellStyle name="Assumption" xfId="653" xr:uid="{55B6C351-52F5-41E5-9B4E-8E5C6C63C7B7}"/>
    <cellStyle name="ÄÞ¸¶ [0]_±âÅ¸" xfId="135" xr:uid="{9ECFB715-60D4-45D3-ACF3-2E0DCAB93270}"/>
    <cellStyle name="ÄÞ¸¶_±âÅ¸" xfId="136" xr:uid="{79BFB9F6-4568-44A9-90EB-437B564FC42C}"/>
    <cellStyle name="b1x" xfId="137" xr:uid="{AEDF2AE2-FE6F-4EA6-8CA1-502BA798EE5F}"/>
    <cellStyle name="Bad 2" xfId="138" xr:uid="{9C943F33-CAA8-49BE-9AE8-53FCBC9C66D2}"/>
    <cellStyle name="Bad 3" xfId="139" xr:uid="{0812C21B-D9BE-44BF-A748-3E53A2F66AC9}"/>
    <cellStyle name="Bad 4" xfId="140" xr:uid="{09C19059-218C-48E1-9D07-E7A96C69B2E1}"/>
    <cellStyle name="C                      " xfId="141" xr:uid="{B2DDF7E8-8F56-413A-AD62-B455E9F21B70}"/>
    <cellStyle name="Ç¥ÁØ_¿¬°£´©°è¿¹»ó" xfId="142" xr:uid="{9C4CC5ED-3C93-491C-A425-08F26D496A8C}"/>
    <cellStyle name="Calculation 2" xfId="143" xr:uid="{CDA0C27A-4616-4C80-85E6-05D1AA51B8ED}"/>
    <cellStyle name="Calculation 2 2" xfId="654" xr:uid="{63BE2B00-A10F-4608-A9F4-62B67EC7C2AF}"/>
    <cellStyle name="Calculation 2 3" xfId="655" xr:uid="{A0958923-07C5-4B64-BC63-7DB50FC7688D}"/>
    <cellStyle name="Calculation 3" xfId="144" xr:uid="{B749B65F-8216-4A87-8D9C-4C7697BDADD4}"/>
    <cellStyle name="Calculation 3 2" xfId="656" xr:uid="{F9924A96-A64D-457F-80B8-55BC908EDF4C}"/>
    <cellStyle name="Calculation 3 3" xfId="657" xr:uid="{A6E7E594-F1D8-470D-89D5-A7D2B64056B8}"/>
    <cellStyle name="Calculation 4" xfId="145" xr:uid="{9703EF54-894C-4A1A-B1CF-FED53758B2E4}"/>
    <cellStyle name="Calculation 4 2" xfId="658" xr:uid="{E57C43E8-C44C-446E-992F-E5CF321A1442}"/>
    <cellStyle name="Case_Selector" xfId="659" xr:uid="{9D99B369-E2F2-45A2-AAD2-7DA429D171E9}"/>
    <cellStyle name="category" xfId="660" xr:uid="{E08F8B26-8880-47BE-AC24-EEA90305B7A9}"/>
    <cellStyle name="ccl-tender" xfId="661" xr:uid="{EA4A8195-DC4B-4C87-90A4-BDE742E1B356}"/>
    <cellStyle name="Check" xfId="662" xr:uid="{81F0DFB8-5E72-4813-9E61-D91856C73F3B}"/>
    <cellStyle name="Check Cell 2" xfId="146" xr:uid="{61930E99-05FA-4D7F-BE62-C999AC663A75}"/>
    <cellStyle name="Check Cell 2 2" xfId="663" xr:uid="{3425E75A-2DA1-47D5-837E-65AE3BB3BB55}"/>
    <cellStyle name="Check Cell 3" xfId="147" xr:uid="{F46A89AE-15C8-4BD3-A47F-9EBB83435703}"/>
    <cellStyle name="Check Cell 4" xfId="148" xr:uid="{0A9AB4F4-277E-422B-AAB9-C1A659871A14}"/>
    <cellStyle name="Comma  - Style1" xfId="149" xr:uid="{356C9AEA-5737-4A21-9EA8-DE78E0170EDC}"/>
    <cellStyle name="Comma  - Style1 10" xfId="150" xr:uid="{202E2204-9B6A-4C65-8412-E87D299340FD}"/>
    <cellStyle name="Comma  - Style1 10 2" xfId="664" xr:uid="{78409A71-5849-4853-8433-3FB2912795CB}"/>
    <cellStyle name="Comma  - Style1 11" xfId="151" xr:uid="{D2DDFEF2-D8B9-4174-B13A-AE0D950DAC77}"/>
    <cellStyle name="Comma  - Style1 11 2" xfId="665" xr:uid="{443E6B99-3E3A-4390-93F1-D867F1E2D0E9}"/>
    <cellStyle name="Comma  - Style1 12" xfId="152" xr:uid="{D1C518D9-8AFB-472D-B46E-AFFA2718B3A0}"/>
    <cellStyle name="Comma  - Style1 12 2" xfId="666" xr:uid="{0B122599-938F-4DBE-A03B-F339D2E41206}"/>
    <cellStyle name="Comma  - Style1 13" xfId="153" xr:uid="{C8468FB3-849A-47CA-BBA3-9B23201311EF}"/>
    <cellStyle name="Comma  - Style1 13 2" xfId="667" xr:uid="{9460BC34-A345-4725-8D4D-B39520217B2B}"/>
    <cellStyle name="Comma  - Style1 14" xfId="668" xr:uid="{A1A230BB-814C-48A1-B303-317719013407}"/>
    <cellStyle name="Comma  - Style1 14 2" xfId="669" xr:uid="{72FC531F-EF9D-4999-AEBF-FCCCE697EDB9}"/>
    <cellStyle name="Comma  - Style1 15" xfId="670" xr:uid="{786ED226-DE90-4DFC-8E43-66C8BCAD23B5}"/>
    <cellStyle name="Comma  - Style1 15 2" xfId="671" xr:uid="{CF02C592-E942-47A5-BF07-B11A2370180B}"/>
    <cellStyle name="Comma  - Style1 16" xfId="672" xr:uid="{7EE59831-1647-4847-A21D-6E35FF9541A6}"/>
    <cellStyle name="Comma  - Style1 2" xfId="154" xr:uid="{E4EA8DB2-21B7-4531-8B90-A41D484EE97F}"/>
    <cellStyle name="Comma  - Style1 2 2" xfId="673" xr:uid="{15F43856-E6D9-4A23-8BDA-5C04123C0AC1}"/>
    <cellStyle name="Comma  - Style1 3" xfId="155" xr:uid="{30EB3D40-FF94-48FA-8BEA-0659EC299B04}"/>
    <cellStyle name="Comma  - Style1 3 2" xfId="674" xr:uid="{90F98ECB-54DF-40FB-8D20-E4F2162D3997}"/>
    <cellStyle name="Comma  - Style1 4" xfId="156" xr:uid="{6EFECE07-B84A-4C15-B3B6-95D4B13CB8D7}"/>
    <cellStyle name="Comma  - Style1 4 2" xfId="675" xr:uid="{2ED838D6-BBBF-4ED8-B896-F71ABA84E9B7}"/>
    <cellStyle name="Comma  - Style1 5" xfId="157" xr:uid="{AAD880D3-B484-4A54-A10F-787E13117CDE}"/>
    <cellStyle name="Comma  - Style1 5 2" xfId="676" xr:uid="{2E488CC9-27A4-4356-8232-1F1AA3BC1F9F}"/>
    <cellStyle name="Comma  - Style1 6" xfId="158" xr:uid="{C52BA632-F235-4E9D-B9C8-5B70A783EAA1}"/>
    <cellStyle name="Comma  - Style1 6 2" xfId="677" xr:uid="{895C1DC4-F1F5-4F4F-BF7B-5ABB8C797726}"/>
    <cellStyle name="Comma  - Style1 7" xfId="159" xr:uid="{E49C3C66-60DE-4659-BE00-10E57257A30E}"/>
    <cellStyle name="Comma  - Style1 7 2" xfId="678" xr:uid="{6B902D8D-A408-485A-B2CF-92BE7F26148E}"/>
    <cellStyle name="Comma  - Style1 8" xfId="160" xr:uid="{86BC621B-8E83-4945-805A-8760489C0D0A}"/>
    <cellStyle name="Comma  - Style1 8 2" xfId="679" xr:uid="{4FE155C2-30DE-4FAC-BBE0-534365606BBA}"/>
    <cellStyle name="Comma  - Style1 9" xfId="161" xr:uid="{061A2010-164E-464D-9EE8-DC4D140B8462}"/>
    <cellStyle name="Comma  - Style1 9 2" xfId="680" xr:uid="{1236AE00-E774-4DF3-BDAE-8323AA9AC4F7}"/>
    <cellStyle name="Comma  - Style2" xfId="162" xr:uid="{F23631A5-E6F9-4737-85E4-FA108CDFF918}"/>
    <cellStyle name="Comma  - Style2 10" xfId="163" xr:uid="{5CBEB98D-B495-49FF-992C-298FF6C190AE}"/>
    <cellStyle name="Comma  - Style2 10 2" xfId="681" xr:uid="{4C28CDCC-35D1-498F-8A7D-F773E79DDA0B}"/>
    <cellStyle name="Comma  - Style2 11" xfId="164" xr:uid="{A19438F0-3508-4DB3-B530-563CA0E14654}"/>
    <cellStyle name="Comma  - Style2 11 2" xfId="682" xr:uid="{324C8FA3-CB65-4934-9363-209E66C00EA4}"/>
    <cellStyle name="Comma  - Style2 12" xfId="165" xr:uid="{32EEEF29-CFB8-43AB-AA5C-1031264723AA}"/>
    <cellStyle name="Comma  - Style2 12 2" xfId="683" xr:uid="{25BA355F-D3FD-4E45-B98C-9B249FB63EFC}"/>
    <cellStyle name="Comma  - Style2 13" xfId="166" xr:uid="{532B2007-4843-49D2-93EA-18E81104901A}"/>
    <cellStyle name="Comma  - Style2 13 2" xfId="684" xr:uid="{831DAE49-08CB-4930-B6BF-D88476CD155A}"/>
    <cellStyle name="Comma  - Style2 14" xfId="685" xr:uid="{BC73C25D-541E-4DC5-BB79-40E6616D2287}"/>
    <cellStyle name="Comma  - Style2 14 2" xfId="686" xr:uid="{D1DE57E2-7C5F-4F66-B8C7-B56D445827DF}"/>
    <cellStyle name="Comma  - Style2 15" xfId="687" xr:uid="{FEA1D387-6787-481C-A70C-09061678EFF6}"/>
    <cellStyle name="Comma  - Style2 15 2" xfId="688" xr:uid="{F5271F3C-C072-4427-915A-9852239BDA20}"/>
    <cellStyle name="Comma  - Style2 16" xfId="689" xr:uid="{A6FB0F8B-4748-408E-8371-8A4A25060325}"/>
    <cellStyle name="Comma  - Style2 2" xfId="167" xr:uid="{CD7EB644-FA0A-45EF-B09C-0463DE123C35}"/>
    <cellStyle name="Comma  - Style2 2 2" xfId="690" xr:uid="{BC905479-9F32-4FA6-A976-F8D2266F7388}"/>
    <cellStyle name="Comma  - Style2 3" xfId="168" xr:uid="{4707DEB9-01B4-432A-8C4A-E04C13F1BDEF}"/>
    <cellStyle name="Comma  - Style2 3 2" xfId="691" xr:uid="{73B0E056-F496-42B3-B139-AD66B24E75B7}"/>
    <cellStyle name="Comma  - Style2 4" xfId="169" xr:uid="{509653A3-50FA-4EE4-BB6B-CC88820F5810}"/>
    <cellStyle name="Comma  - Style2 4 2" xfId="692" xr:uid="{CA4D9979-08D7-4D6F-9904-658DE2DADD47}"/>
    <cellStyle name="Comma  - Style2 5" xfId="170" xr:uid="{6CEBD0B2-E580-4EDB-B2CA-DBD5B125F4F6}"/>
    <cellStyle name="Comma  - Style2 5 2" xfId="693" xr:uid="{74BC6D91-8B78-4299-901C-729A123FF279}"/>
    <cellStyle name="Comma  - Style2 6" xfId="171" xr:uid="{41F8132F-FD79-4B93-8521-3CB14E629589}"/>
    <cellStyle name="Comma  - Style2 6 2" xfId="694" xr:uid="{C3E438A2-766B-4538-8759-E2E064F6C4D1}"/>
    <cellStyle name="Comma  - Style2 7" xfId="172" xr:uid="{72C322F8-125B-4EEE-9B7B-B5C8BDF796BD}"/>
    <cellStyle name="Comma  - Style2 7 2" xfId="695" xr:uid="{186762B8-76FA-4968-A2EB-2D6EF12AB133}"/>
    <cellStyle name="Comma  - Style2 8" xfId="173" xr:uid="{AF694F1F-30E3-4AAB-84F0-C1507F84B4AA}"/>
    <cellStyle name="Comma  - Style2 8 2" xfId="696" xr:uid="{9C086318-86DA-43E9-B100-7D90CC0B74F9}"/>
    <cellStyle name="Comma  - Style2 9" xfId="174" xr:uid="{9E1A6D2D-416D-486B-982B-140F69532050}"/>
    <cellStyle name="Comma  - Style2 9 2" xfId="697" xr:uid="{9957F3AF-1C5C-4192-903C-16C016F9914C}"/>
    <cellStyle name="Comma  - Style3" xfId="175" xr:uid="{BB2B4016-1B01-4D63-B11C-BD7EB154B7B1}"/>
    <cellStyle name="Comma  - Style3 10" xfId="176" xr:uid="{090CEBEA-820B-46A1-83E5-9E4E1F75695A}"/>
    <cellStyle name="Comma  - Style3 10 2" xfId="698" xr:uid="{577E9C37-67F6-4AA0-88AB-F4BCA5D909AE}"/>
    <cellStyle name="Comma  - Style3 11" xfId="177" xr:uid="{A76B923A-C20D-45EF-AED9-4323DF85DB3C}"/>
    <cellStyle name="Comma  - Style3 11 2" xfId="699" xr:uid="{D094C6E2-594C-4158-AF2D-88815682D1BA}"/>
    <cellStyle name="Comma  - Style3 12" xfId="178" xr:uid="{B8E8CEC9-FBA7-412C-91FD-54FC2A9D60F9}"/>
    <cellStyle name="Comma  - Style3 12 2" xfId="700" xr:uid="{531155CA-B27B-42FB-B66D-C60C7BC9C045}"/>
    <cellStyle name="Comma  - Style3 13" xfId="179" xr:uid="{C2F323B4-4945-4539-8E31-637999214287}"/>
    <cellStyle name="Comma  - Style3 13 2" xfId="701" xr:uid="{654CA2B5-7CB8-41D5-B585-8FD73A7F53A2}"/>
    <cellStyle name="Comma  - Style3 14" xfId="702" xr:uid="{668646AA-59DA-429F-878F-5700402A1BBF}"/>
    <cellStyle name="Comma  - Style3 14 2" xfId="703" xr:uid="{D8DD8487-8D94-40F7-ABA9-9DEF6AE5940A}"/>
    <cellStyle name="Comma  - Style3 15" xfId="704" xr:uid="{C5B6FFFA-6B69-4F94-B704-DEF053808624}"/>
    <cellStyle name="Comma  - Style3 15 2" xfId="705" xr:uid="{679FFCB6-CA88-4CC9-96C0-6340295AE67B}"/>
    <cellStyle name="Comma  - Style3 16" xfId="706" xr:uid="{8F756273-8B73-4377-B6A0-E98C34AB6DBD}"/>
    <cellStyle name="Comma  - Style3 2" xfId="180" xr:uid="{75200CCA-91C2-49A7-AF69-3BE979C2BA62}"/>
    <cellStyle name="Comma  - Style3 2 2" xfId="707" xr:uid="{126C8B7D-36DF-4EA4-AF7B-337268771A14}"/>
    <cellStyle name="Comma  - Style3 3" xfId="181" xr:uid="{7FACB42F-7068-4DF3-AB49-28517139A913}"/>
    <cellStyle name="Comma  - Style3 3 2" xfId="708" xr:uid="{D3F23429-CFF9-4748-8C8F-D11AD21DDD08}"/>
    <cellStyle name="Comma  - Style3 4" xfId="182" xr:uid="{08C96FE7-106E-4146-9075-9877939A5FDA}"/>
    <cellStyle name="Comma  - Style3 4 2" xfId="709" xr:uid="{2BF6EB01-EF89-4726-8C7C-BFC1BBBB30E3}"/>
    <cellStyle name="Comma  - Style3 5" xfId="183" xr:uid="{EF520AE0-8E45-4A70-858A-5B14DF8B7C96}"/>
    <cellStyle name="Comma  - Style3 5 2" xfId="710" xr:uid="{C1B6EA85-1AFD-477E-BF05-8C83650DD9C9}"/>
    <cellStyle name="Comma  - Style3 6" xfId="184" xr:uid="{768BCF09-F147-4420-B933-ADD2108A6D7E}"/>
    <cellStyle name="Comma  - Style3 6 2" xfId="711" xr:uid="{9493F203-7EAB-4A62-A379-5A3935673DFA}"/>
    <cellStyle name="Comma  - Style3 7" xfId="185" xr:uid="{6C5F24E2-FF42-435A-8626-C18F6021637D}"/>
    <cellStyle name="Comma  - Style3 7 2" xfId="712" xr:uid="{A2C81BC9-27CA-4259-97A3-9F397FF0B09F}"/>
    <cellStyle name="Comma  - Style3 8" xfId="186" xr:uid="{E19FCF4B-94C6-4936-86E4-E065F1EFCA0C}"/>
    <cellStyle name="Comma  - Style3 8 2" xfId="713" xr:uid="{C642E712-9A55-403F-BAFF-3E510D67A101}"/>
    <cellStyle name="Comma  - Style3 9" xfId="187" xr:uid="{18EE11B5-DBBC-4085-BA8D-780D177B80BB}"/>
    <cellStyle name="Comma  - Style3 9 2" xfId="714" xr:uid="{85DB3C63-5058-405C-A521-601975FBDE3F}"/>
    <cellStyle name="Comma  - Style4" xfId="188" xr:uid="{4A6B2E35-D617-4D0C-8C65-8AA25BE54279}"/>
    <cellStyle name="Comma  - Style4 10" xfId="189" xr:uid="{82618541-C254-4A85-BD01-8B98FCE27A50}"/>
    <cellStyle name="Comma  - Style4 10 2" xfId="715" xr:uid="{65434638-C1B2-4BEC-8731-320637516F84}"/>
    <cellStyle name="Comma  - Style4 11" xfId="190" xr:uid="{29E182ED-B863-4CE1-95E9-EDB6031E8DA9}"/>
    <cellStyle name="Comma  - Style4 11 2" xfId="716" xr:uid="{E3EEEF61-C1E6-4647-8C25-3B19AB6F39EF}"/>
    <cellStyle name="Comma  - Style4 12" xfId="191" xr:uid="{23C9AD78-C69D-4B86-9681-CE7072D342D9}"/>
    <cellStyle name="Comma  - Style4 12 2" xfId="717" xr:uid="{A537D73F-A66D-49C9-9A17-B5780F9AA7C8}"/>
    <cellStyle name="Comma  - Style4 13" xfId="192" xr:uid="{5DEC5AF7-D0C1-4976-9A89-CDF51DE08960}"/>
    <cellStyle name="Comma  - Style4 13 2" xfId="718" xr:uid="{44A9EE6A-3138-4919-BA88-547DFB01A0E1}"/>
    <cellStyle name="Comma  - Style4 14" xfId="719" xr:uid="{79CF5B29-18EE-4EDD-93EA-1E969AD622F7}"/>
    <cellStyle name="Comma  - Style4 14 2" xfId="720" xr:uid="{19DA58D1-6508-40AE-8C31-8B7EB8E981BF}"/>
    <cellStyle name="Comma  - Style4 15" xfId="721" xr:uid="{0EC7DCDC-80B8-42EC-BC2B-1C0BA201C26B}"/>
    <cellStyle name="Comma  - Style4 15 2" xfId="722" xr:uid="{623D384D-665E-41FE-8B01-BA194744D5C5}"/>
    <cellStyle name="Comma  - Style4 16" xfId="723" xr:uid="{5C786C53-819F-4A3B-841F-CC156D9D42F9}"/>
    <cellStyle name="Comma  - Style4 2" xfId="193" xr:uid="{78E76FF5-06EC-4D01-A0B5-BB59F4585E33}"/>
    <cellStyle name="Comma  - Style4 2 2" xfId="724" xr:uid="{F8CE8EA1-BDEE-4E07-90C5-C7B456C6030A}"/>
    <cellStyle name="Comma  - Style4 3" xfId="194" xr:uid="{1F64E647-9A6F-43C5-A873-6DE8CE817179}"/>
    <cellStyle name="Comma  - Style4 3 2" xfId="725" xr:uid="{26A15238-33C1-4FDB-9894-ADDEEABD287A}"/>
    <cellStyle name="Comma  - Style4 4" xfId="195" xr:uid="{38976FDB-D729-48D2-97FB-E57E8D63A51A}"/>
    <cellStyle name="Comma  - Style4 4 2" xfId="726" xr:uid="{5B5EE0AA-4701-4533-A990-E71A47DE7558}"/>
    <cellStyle name="Comma  - Style4 5" xfId="196" xr:uid="{9BDD6C2D-1161-479D-8A10-508C2AD1E307}"/>
    <cellStyle name="Comma  - Style4 5 2" xfId="727" xr:uid="{0427BF86-74FD-440C-AB87-B63EC600D0F1}"/>
    <cellStyle name="Comma  - Style4 6" xfId="197" xr:uid="{55CADCA3-831B-4B0A-9E58-F49C1952A6BA}"/>
    <cellStyle name="Comma  - Style4 6 2" xfId="728" xr:uid="{0CA3F7DA-5729-4F1D-BF9D-EE09DD1721B4}"/>
    <cellStyle name="Comma  - Style4 7" xfId="198" xr:uid="{D7DC4C52-3657-46CE-BC58-257082FFDCA0}"/>
    <cellStyle name="Comma  - Style4 7 2" xfId="729" xr:uid="{FD2FE5B8-BCF4-457B-9249-4EA17982D062}"/>
    <cellStyle name="Comma  - Style4 8" xfId="199" xr:uid="{11223496-93BD-4B1B-A9C5-D0A606330979}"/>
    <cellStyle name="Comma  - Style4 8 2" xfId="730" xr:uid="{CE2310DD-AFC8-4463-8447-830ABB4E1D31}"/>
    <cellStyle name="Comma  - Style4 9" xfId="200" xr:uid="{4B5FBC50-6FF6-4C69-A908-D6EF79CDA726}"/>
    <cellStyle name="Comma  - Style4 9 2" xfId="731" xr:uid="{48EFEA97-32F0-46F7-B6B3-BD1E61AAC1B0}"/>
    <cellStyle name="Comma  - Style5" xfId="201" xr:uid="{B86EB186-F575-4BA0-9437-D8F6AEF0379C}"/>
    <cellStyle name="Comma  - Style5 10" xfId="202" xr:uid="{31D60952-D276-476D-805A-989B65F7D219}"/>
    <cellStyle name="Comma  - Style5 10 2" xfId="732" xr:uid="{ADF7020A-D600-4124-BE9E-AF95826A4379}"/>
    <cellStyle name="Comma  - Style5 11" xfId="203" xr:uid="{89264DD8-2922-4500-95D5-232A2D6C8130}"/>
    <cellStyle name="Comma  - Style5 11 2" xfId="733" xr:uid="{0A7F55D5-5B48-4B11-93A0-0AF8D6B48902}"/>
    <cellStyle name="Comma  - Style5 12" xfId="204" xr:uid="{FE7E70C0-D5B1-4970-B66C-DE8243F61B13}"/>
    <cellStyle name="Comma  - Style5 12 2" xfId="734" xr:uid="{5DACB306-162D-462A-950E-CAD6B3C5E4E9}"/>
    <cellStyle name="Comma  - Style5 13" xfId="205" xr:uid="{651F806A-42C8-4AB8-8E8F-EDF3861668BB}"/>
    <cellStyle name="Comma  - Style5 13 2" xfId="735" xr:uid="{E1B6F591-D406-4CC1-B069-C0E1C8538B6F}"/>
    <cellStyle name="Comma  - Style5 14" xfId="736" xr:uid="{546CC86E-829B-4FD9-98D1-6D0ECA2C3EE5}"/>
    <cellStyle name="Comma  - Style5 14 2" xfId="737" xr:uid="{5CAFD71F-17FD-4AD9-8FAA-44297B18D18D}"/>
    <cellStyle name="Comma  - Style5 15" xfId="738" xr:uid="{B4999CB9-869F-498A-B530-85361E56463B}"/>
    <cellStyle name="Comma  - Style5 15 2" xfId="739" xr:uid="{B805776C-EEAB-46EF-A0CF-176946CD6D77}"/>
    <cellStyle name="Comma  - Style5 16" xfId="740" xr:uid="{EF4F781A-E3E0-41BE-A29D-5704252EFAD0}"/>
    <cellStyle name="Comma  - Style5 2" xfId="206" xr:uid="{6379DD59-8E91-443B-8501-395ADF98F049}"/>
    <cellStyle name="Comma  - Style5 2 2" xfId="741" xr:uid="{2CBDDF7C-4EDA-4465-B05F-9F4B83116CCA}"/>
    <cellStyle name="Comma  - Style5 3" xfId="207" xr:uid="{AA5351C1-ED25-482A-AE81-D04EAB2FCDE9}"/>
    <cellStyle name="Comma  - Style5 3 2" xfId="742" xr:uid="{A74E9C36-D0DC-46E4-9D78-0C5A90604C55}"/>
    <cellStyle name="Comma  - Style5 4" xfId="208" xr:uid="{595D02A7-2E4C-4A66-8AAC-C83D679ED4AF}"/>
    <cellStyle name="Comma  - Style5 4 2" xfId="743" xr:uid="{3149BE8B-70C6-4DAF-9517-8738789C8562}"/>
    <cellStyle name="Comma  - Style5 5" xfId="209" xr:uid="{66E3ED8D-26D3-4A28-ADB8-769BB64FC426}"/>
    <cellStyle name="Comma  - Style5 5 2" xfId="744" xr:uid="{120D21FE-C839-49DC-B937-72D942B7F2FC}"/>
    <cellStyle name="Comma  - Style5 6" xfId="210" xr:uid="{EAA91050-3209-46D1-A32A-56B0DB06F907}"/>
    <cellStyle name="Comma  - Style5 6 2" xfId="745" xr:uid="{280CA1CD-EC1C-4622-9E97-266FE336D24D}"/>
    <cellStyle name="Comma  - Style5 7" xfId="211" xr:uid="{86E57DC0-8FE6-495B-97E6-D421DAEBF0CD}"/>
    <cellStyle name="Comma  - Style5 7 2" xfId="746" xr:uid="{8E4F8E15-8084-485E-B145-2A7710160584}"/>
    <cellStyle name="Comma  - Style5 8" xfId="212" xr:uid="{FBC0F6CC-C1A7-41A1-8F96-E35C25DC63DF}"/>
    <cellStyle name="Comma  - Style5 8 2" xfId="747" xr:uid="{B643A064-926C-44CD-9CED-920A298854E5}"/>
    <cellStyle name="Comma  - Style5 9" xfId="213" xr:uid="{4DAB0D94-A114-486E-BB66-7B1C73D2EB9F}"/>
    <cellStyle name="Comma  - Style5 9 2" xfId="748" xr:uid="{5F22FE3C-6ED5-4590-B64E-E50D8FCBAFF4}"/>
    <cellStyle name="Comma  - Style6" xfId="214" xr:uid="{64BB4C0C-11AF-4FC1-9D16-FA8ADB812626}"/>
    <cellStyle name="Comma  - Style6 10" xfId="215" xr:uid="{F7207228-A0F6-450E-90B3-F12950DCFBF9}"/>
    <cellStyle name="Comma  - Style6 10 2" xfId="749" xr:uid="{B1E90FDA-3AD0-4BE5-8476-66C830124D64}"/>
    <cellStyle name="Comma  - Style6 11" xfId="216" xr:uid="{98134390-99D3-4097-AA1C-0E4785F9A896}"/>
    <cellStyle name="Comma  - Style6 11 2" xfId="750" xr:uid="{87DA4931-5411-4FBA-9A49-779D2E4F77BE}"/>
    <cellStyle name="Comma  - Style6 12" xfId="217" xr:uid="{B42B6C08-89EF-4F79-B8FB-EE5CDE6CD00C}"/>
    <cellStyle name="Comma  - Style6 12 2" xfId="751" xr:uid="{9F44ECD3-D95B-4061-BCC9-A829756A41CF}"/>
    <cellStyle name="Comma  - Style6 13" xfId="218" xr:uid="{0A3D7174-3BA5-4CE0-9D7E-A9C1E7481CA2}"/>
    <cellStyle name="Comma  - Style6 13 2" xfId="752" xr:uid="{CB6F348C-FF30-4845-9B32-FA17302A8E99}"/>
    <cellStyle name="Comma  - Style6 14" xfId="753" xr:uid="{DE371A30-BD56-47D8-8B6E-09758CE24E6A}"/>
    <cellStyle name="Comma  - Style6 14 2" xfId="754" xr:uid="{5AC7B3BD-77F1-4C23-9047-714FE0D0F8A8}"/>
    <cellStyle name="Comma  - Style6 15" xfId="755" xr:uid="{B05F30F4-A697-4C94-87CD-9615BA60E38C}"/>
    <cellStyle name="Comma  - Style6 15 2" xfId="756" xr:uid="{2AC7FA7C-5F4A-47BB-9376-B454B07C67D1}"/>
    <cellStyle name="Comma  - Style6 16" xfId="757" xr:uid="{FD8989A7-CF38-464F-A092-1C4E031DA929}"/>
    <cellStyle name="Comma  - Style6 2" xfId="219" xr:uid="{C0CF288A-7991-4BCF-BCF7-77312C9A1332}"/>
    <cellStyle name="Comma  - Style6 2 2" xfId="758" xr:uid="{984AF462-9B0A-4B2C-ABE6-D27E9F8996C8}"/>
    <cellStyle name="Comma  - Style6 3" xfId="220" xr:uid="{3DA6A93E-7D8A-4C62-AAE9-05427AC69C16}"/>
    <cellStyle name="Comma  - Style6 3 2" xfId="759" xr:uid="{685FB5E1-A467-4333-80D9-3C4C222E2308}"/>
    <cellStyle name="Comma  - Style6 4" xfId="221" xr:uid="{DAB1B45E-9A4D-417E-B5C8-9B58DE18DD74}"/>
    <cellStyle name="Comma  - Style6 4 2" xfId="760" xr:uid="{D7660C9C-AA08-4E2A-82A0-1DBA3DAE06AA}"/>
    <cellStyle name="Comma  - Style6 5" xfId="222" xr:uid="{8DE9237E-0832-463F-BE66-71E69785728D}"/>
    <cellStyle name="Comma  - Style6 5 2" xfId="761" xr:uid="{1E16986C-003F-4308-8D91-CCB9205BDA55}"/>
    <cellStyle name="Comma  - Style6 6" xfId="223" xr:uid="{F83C86B4-C4E4-42F7-88E6-CAAB5F17F88A}"/>
    <cellStyle name="Comma  - Style6 6 2" xfId="762" xr:uid="{C08F9481-C244-4FF4-B1ED-487A411CF0CE}"/>
    <cellStyle name="Comma  - Style6 7" xfId="224" xr:uid="{A39513B9-10D1-46FD-A437-CA3F112B94D9}"/>
    <cellStyle name="Comma  - Style6 7 2" xfId="763" xr:uid="{94E02C38-A5FF-40A2-A498-97CC0BB00286}"/>
    <cellStyle name="Comma  - Style6 8" xfId="225" xr:uid="{BB0DCAA1-DB2B-498A-B90E-2AB1619C0C60}"/>
    <cellStyle name="Comma  - Style6 8 2" xfId="764" xr:uid="{5C4E2DA6-A401-4F81-A87F-5745A24EE3F3}"/>
    <cellStyle name="Comma  - Style6 9" xfId="226" xr:uid="{75B92D1A-D811-463D-88E7-8C3C16DA20F1}"/>
    <cellStyle name="Comma  - Style6 9 2" xfId="765" xr:uid="{BD28951C-BEA9-4DF2-B7D1-2B6F7FFA3B68}"/>
    <cellStyle name="Comma  - Style7" xfId="227" xr:uid="{52C4F1AF-407B-483F-8853-1369944D1A88}"/>
    <cellStyle name="Comma  - Style7 10" xfId="228" xr:uid="{007DC669-A27F-47BA-A5A1-ADF69E9E4E9A}"/>
    <cellStyle name="Comma  - Style7 10 2" xfId="766" xr:uid="{F46F1528-E7A7-4039-9337-9ABEA293F65B}"/>
    <cellStyle name="Comma  - Style7 11" xfId="229" xr:uid="{1038A0E8-3435-47EE-85D7-323C083284FD}"/>
    <cellStyle name="Comma  - Style7 11 2" xfId="767" xr:uid="{8591BD09-5DF7-414A-BD1F-88AE731D69B5}"/>
    <cellStyle name="Comma  - Style7 12" xfId="230" xr:uid="{A3ADDCB7-5815-43F4-86D0-5B9E4F9385FF}"/>
    <cellStyle name="Comma  - Style7 12 2" xfId="768" xr:uid="{43D45D4D-E42B-4E0C-8161-96FE9950C315}"/>
    <cellStyle name="Comma  - Style7 13" xfId="231" xr:uid="{FA32D588-5297-47A7-927B-0D0AD1420EB8}"/>
    <cellStyle name="Comma  - Style7 13 2" xfId="769" xr:uid="{7D0E8D63-FD76-4916-8BBF-E96C55AA78FE}"/>
    <cellStyle name="Comma  - Style7 14" xfId="770" xr:uid="{79737785-470A-4CF4-8B8E-B8AFA63D8EBC}"/>
    <cellStyle name="Comma  - Style7 14 2" xfId="771" xr:uid="{4129EBC7-DA68-4A7C-8BA4-183D64AA2357}"/>
    <cellStyle name="Comma  - Style7 15" xfId="772" xr:uid="{DF75B1D9-510B-492C-BBC8-9469478FC90A}"/>
    <cellStyle name="Comma  - Style7 15 2" xfId="773" xr:uid="{8B13C8A0-81AE-4B07-9D8C-BE2CB6554522}"/>
    <cellStyle name="Comma  - Style7 16" xfId="774" xr:uid="{3602F4C1-606D-43A7-8215-2A458E46E82F}"/>
    <cellStyle name="Comma  - Style7 2" xfId="232" xr:uid="{9FC9AE5B-9C86-4A6C-AEF4-882E2A2BC22A}"/>
    <cellStyle name="Comma  - Style7 2 2" xfId="775" xr:uid="{839CFDE7-CE8E-4FAF-9C59-8BF30C3D8F51}"/>
    <cellStyle name="Comma  - Style7 3" xfId="233" xr:uid="{4AC86F65-9631-453F-AC1C-7B952316838B}"/>
    <cellStyle name="Comma  - Style7 3 2" xfId="776" xr:uid="{4E0EED9D-0CD1-409A-B540-F5DEBA13D7A3}"/>
    <cellStyle name="Comma  - Style7 4" xfId="234" xr:uid="{6602BAF5-3346-43B8-A606-8F056940B99D}"/>
    <cellStyle name="Comma  - Style7 4 2" xfId="777" xr:uid="{E8D5159D-3336-4331-BFAC-B75BED236D5C}"/>
    <cellStyle name="Comma  - Style7 5" xfId="235" xr:uid="{4559178B-B7A5-4E63-9AA2-D10AB50EC17A}"/>
    <cellStyle name="Comma  - Style7 5 2" xfId="778" xr:uid="{D5AA183A-B623-404A-B752-15ADB59386EC}"/>
    <cellStyle name="Comma  - Style7 6" xfId="236" xr:uid="{EB1D612D-A8FE-4772-8BBB-7386A33E4B7C}"/>
    <cellStyle name="Comma  - Style7 6 2" xfId="779" xr:uid="{2D080A1B-D30B-4A99-9A0A-0A8844CBCBD1}"/>
    <cellStyle name="Comma  - Style7 7" xfId="237" xr:uid="{25BCD0A4-9731-4A0C-ACB0-4F04CF104239}"/>
    <cellStyle name="Comma  - Style7 7 2" xfId="780" xr:uid="{19DFDFCA-04B7-4D39-9D37-89E6BC9E8347}"/>
    <cellStyle name="Comma  - Style7 8" xfId="238" xr:uid="{4A4F31DA-7076-47CF-88CA-C4EF107CD857}"/>
    <cellStyle name="Comma  - Style7 8 2" xfId="781" xr:uid="{08B0E464-287A-463D-BA5B-1B0EBBC16FF4}"/>
    <cellStyle name="Comma  - Style7 9" xfId="239" xr:uid="{73D7E2DF-161E-40F0-A66C-B1197B8BCA0F}"/>
    <cellStyle name="Comma  - Style7 9 2" xfId="782" xr:uid="{333FAC39-4623-4AAC-B277-B5022C9C7E6C}"/>
    <cellStyle name="Comma  - Style8" xfId="240" xr:uid="{B6170997-796B-4F47-8531-52612EE2CF84}"/>
    <cellStyle name="Comma  - Style8 10" xfId="241" xr:uid="{64EBDEE5-512D-4108-B522-5AEB4AF8E958}"/>
    <cellStyle name="Comma  - Style8 10 2" xfId="783" xr:uid="{6121C041-D4D3-4CD9-B848-861A12BD4F1C}"/>
    <cellStyle name="Comma  - Style8 11" xfId="242" xr:uid="{5EDB66EA-0445-4B47-9747-7A02CC80B82B}"/>
    <cellStyle name="Comma  - Style8 11 2" xfId="784" xr:uid="{D47CD665-65A4-4BB2-8B18-64495A8ECA68}"/>
    <cellStyle name="Comma  - Style8 12" xfId="243" xr:uid="{3F4D6596-2C8F-40DB-ACFB-E761FD657128}"/>
    <cellStyle name="Comma  - Style8 12 2" xfId="785" xr:uid="{23C24293-BD0C-47DD-B1C2-50BD72458F39}"/>
    <cellStyle name="Comma  - Style8 13" xfId="244" xr:uid="{BB3E619B-5154-45BE-8095-7768A8034416}"/>
    <cellStyle name="Comma  - Style8 13 2" xfId="786" xr:uid="{07A81A6E-7081-43F5-9052-7B156535BA61}"/>
    <cellStyle name="Comma  - Style8 14" xfId="787" xr:uid="{01960031-A6F6-420B-A06A-413FD521EFDB}"/>
    <cellStyle name="Comma  - Style8 14 2" xfId="788" xr:uid="{31E2C783-D1BF-43B9-9228-595E9239BA4B}"/>
    <cellStyle name="Comma  - Style8 15" xfId="789" xr:uid="{A7B3B757-9722-4C21-9618-B60DF132EE61}"/>
    <cellStyle name="Comma  - Style8 15 2" xfId="790" xr:uid="{5FC76C9B-F696-4962-B93F-AF909E19BD77}"/>
    <cellStyle name="Comma  - Style8 16" xfId="791" xr:uid="{DAA2DE72-D5B2-4825-94DF-7CE6FAED3CD1}"/>
    <cellStyle name="Comma  - Style8 2" xfId="245" xr:uid="{6443676C-3163-4E26-91B8-5CDA72E1BDD0}"/>
    <cellStyle name="Comma  - Style8 2 2" xfId="792" xr:uid="{CF2AE878-6B0E-4ECD-8A8B-757DDC437425}"/>
    <cellStyle name="Comma  - Style8 3" xfId="246" xr:uid="{BF738B77-86C5-4FA6-8DF3-428B4C857DE1}"/>
    <cellStyle name="Comma  - Style8 3 2" xfId="793" xr:uid="{0C80E99B-9F27-444F-8C87-152D011D184D}"/>
    <cellStyle name="Comma  - Style8 4" xfId="247" xr:uid="{44720AE5-30A0-4CDC-9EE1-D7D80149FB1D}"/>
    <cellStyle name="Comma  - Style8 4 2" xfId="794" xr:uid="{C1532FE3-4B2C-422E-A62F-A749E1945E40}"/>
    <cellStyle name="Comma  - Style8 5" xfId="248" xr:uid="{3AB9FE35-F615-44D3-8342-9961C66A43F9}"/>
    <cellStyle name="Comma  - Style8 5 2" xfId="795" xr:uid="{C89D43A1-1239-4FE9-AFA6-37E8F486A215}"/>
    <cellStyle name="Comma  - Style8 6" xfId="249" xr:uid="{1229A817-CC57-4F29-8A7D-DA166C3DF36E}"/>
    <cellStyle name="Comma  - Style8 6 2" xfId="796" xr:uid="{F3480592-068A-41A4-9AAA-25B145FF58AD}"/>
    <cellStyle name="Comma  - Style8 7" xfId="250" xr:uid="{1BCCC97E-4022-414C-AA05-619B0BD1B1D8}"/>
    <cellStyle name="Comma  - Style8 7 2" xfId="797" xr:uid="{830E77E6-0135-4F25-81F6-49E35E141412}"/>
    <cellStyle name="Comma  - Style8 8" xfId="251" xr:uid="{605B3EE2-2E80-499D-980C-5298298A1497}"/>
    <cellStyle name="Comma  - Style8 8 2" xfId="798" xr:uid="{A4BBF180-1C6A-4E70-8DE7-8CD1768CC4A8}"/>
    <cellStyle name="Comma  - Style8 9" xfId="252" xr:uid="{25D5B42C-A6EA-4CFD-9567-D080DE851E0B}"/>
    <cellStyle name="Comma  - Style8 9 2" xfId="799" xr:uid="{C3E6ABFD-D5A4-46EE-AA87-4DF9B21A4B99}"/>
    <cellStyle name="Comma [0] 2" xfId="800" xr:uid="{18BDF034-DA58-473A-A1D5-2E35A373564D}"/>
    <cellStyle name="Comma [0] 3" xfId="2231" xr:uid="{9CBACCE8-F273-4A1E-9610-9AE8D615CF64}"/>
    <cellStyle name="Comma [0] 3 2" xfId="2417" xr:uid="{1E641926-FD26-4F24-9D4B-89CD6D9B8D6F}"/>
    <cellStyle name="Comma 10" xfId="801" xr:uid="{E856A864-8D8A-4935-A2E4-35B082962B10}"/>
    <cellStyle name="Comma 10 2" xfId="802" xr:uid="{02DBA0D2-555E-47FA-8379-337E49FF30C9}"/>
    <cellStyle name="Comma 10 2 2" xfId="2347" xr:uid="{88AB7AAC-6A60-4335-97A1-18373B5FD92B}"/>
    <cellStyle name="Comma 10 3" xfId="803" xr:uid="{97D66ED7-0370-4E28-BC3B-847983CFF254}"/>
    <cellStyle name="Comma 10 3 2" xfId="2348" xr:uid="{1485B64B-CE90-4FC8-A380-7710A92DB19A}"/>
    <cellStyle name="Comma 10 4" xfId="2346" xr:uid="{2AEB2601-74B4-4D50-8ABC-6F176F349ED4}"/>
    <cellStyle name="Comma 11" xfId="804" xr:uid="{8BEAC08C-3F32-40A2-AA92-909E41BE99ED}"/>
    <cellStyle name="Comma 11 2" xfId="2349" xr:uid="{AA194FA5-3BA0-49F0-A83A-B36044CBD513}"/>
    <cellStyle name="Comma 12" xfId="805" xr:uid="{08FBE3FC-026C-4304-8DEA-B217E5BC1064}"/>
    <cellStyle name="Comma 12 2" xfId="806" xr:uid="{A8B40253-24BA-4C17-A51E-BF4B4927D4FA}"/>
    <cellStyle name="Comma 12 2 2" xfId="2351" xr:uid="{8E20C09F-2710-4E8B-9F3B-8554E49CFCD0}"/>
    <cellStyle name="Comma 12 3" xfId="2350" xr:uid="{262C7AD0-42F0-4B2E-9E9B-3567F7E9141E}"/>
    <cellStyle name="Comma 13" xfId="807" xr:uid="{B21C371D-446E-477A-AC81-BC577460933F}"/>
    <cellStyle name="Comma 13 2" xfId="808" xr:uid="{54320010-BD94-43F4-BECF-1D70A9877EDD}"/>
    <cellStyle name="Comma 13 2 2" xfId="809" xr:uid="{049E4A20-A74A-4CE3-801D-15AC2DA179AE}"/>
    <cellStyle name="Comma 13 2 2 2" xfId="2354" xr:uid="{C28A15FA-1630-4B85-95AB-85E0C99379E2}"/>
    <cellStyle name="Comma 13 2 3" xfId="2353" xr:uid="{E1601460-7D02-49C6-9BF5-91520BD6DAAF}"/>
    <cellStyle name="Comma 13 3" xfId="810" xr:uid="{BC45176D-A873-48FC-AC44-0D9CC9F6F425}"/>
    <cellStyle name="Comma 13 3 2" xfId="2355" xr:uid="{7FE4F0DE-05C3-4AE2-963A-DE4EB2D270E3}"/>
    <cellStyle name="Comma 13 4" xfId="2352" xr:uid="{54558752-5611-4A85-8991-7E5384EECBBF}"/>
    <cellStyle name="Comma 14" xfId="811" xr:uid="{D8F973C4-D74C-4A92-A514-9F8EDFD2E1F2}"/>
    <cellStyle name="Comma 14 2" xfId="812" xr:uid="{5552E5C7-CB91-4263-9C00-A6F2D94D75BE}"/>
    <cellStyle name="Comma 14 2 2" xfId="813" xr:uid="{8D40B95C-5334-427E-A46F-57B653E53958}"/>
    <cellStyle name="Comma 14 2 2 2" xfId="2358" xr:uid="{B5042694-549B-4822-AF80-FDFB6A62A876}"/>
    <cellStyle name="Comma 14 2 3" xfId="2357" xr:uid="{5B494016-EBB1-4F8B-94BE-3A72F6FCB72D}"/>
    <cellStyle name="Comma 14 3" xfId="814" xr:uid="{FD8DDA49-5323-4507-A7A9-CA8C3D668AC0}"/>
    <cellStyle name="Comma 14 3 2" xfId="2359" xr:uid="{B8C585A5-907B-4A2A-ABCC-7644FC48AC50}"/>
    <cellStyle name="Comma 14 4" xfId="2356" xr:uid="{82963E56-7EC4-4BDF-BAF2-40A299E1A63A}"/>
    <cellStyle name="Comma 15" xfId="815" xr:uid="{C3EEAB7A-5721-4BF1-89D1-792A7834FC3F}"/>
    <cellStyle name="Comma 15 2" xfId="2360" xr:uid="{2862B443-04F8-40BC-9699-51F63D782351}"/>
    <cellStyle name="Comma 16" xfId="816" xr:uid="{7C8719FB-2CC6-494C-8F3B-671A54F4CE9F}"/>
    <cellStyle name="Comma 16 2" xfId="2361" xr:uid="{02FC5B09-2E47-4CF1-A31F-1F863DF896C9}"/>
    <cellStyle name="Comma 17" xfId="817" xr:uid="{05F4C93C-7FCF-4D5B-8D91-D1D234313550}"/>
    <cellStyle name="Comma 17 2" xfId="818" xr:uid="{D8FE32A0-56D4-4211-8456-2EC4A2442FA5}"/>
    <cellStyle name="Comma 17 2 2" xfId="819" xr:uid="{EBB634E1-7EDD-49D9-93D3-4DFDF6F47417}"/>
    <cellStyle name="Comma 17 2 2 2" xfId="2364" xr:uid="{EB22FD37-ACB7-4534-9126-6E3C7D5746A5}"/>
    <cellStyle name="Comma 17 2 3" xfId="2363" xr:uid="{CBB15307-0AEC-4DC5-9479-854BCE00866A}"/>
    <cellStyle name="Comma 17 3" xfId="820" xr:uid="{BF211F9C-9BDF-4349-8855-22C001DFCD7E}"/>
    <cellStyle name="Comma 17 3 2" xfId="2365" xr:uid="{43025048-5208-4529-899A-81CF6F34F610}"/>
    <cellStyle name="Comma 17 4" xfId="2362" xr:uid="{FAB30798-710F-4578-BB8F-E4510C7215BE}"/>
    <cellStyle name="Comma 18" xfId="821" xr:uid="{3A06E2A0-8668-4C96-852F-F1967708DF6E}"/>
    <cellStyle name="Comma 18 2" xfId="2366" xr:uid="{B1917405-7B4D-487A-A7A5-AA14531F6468}"/>
    <cellStyle name="Comma 19" xfId="822" xr:uid="{AA858F7E-3B16-41C3-8963-F32F866E7932}"/>
    <cellStyle name="Comma 19 2" xfId="2367" xr:uid="{4809B0D5-1950-4134-A00F-3329FC7D8C1D}"/>
    <cellStyle name="Comma 2" xfId="253" xr:uid="{288D6152-5398-48C5-A8E6-1091FD1042D5}"/>
    <cellStyle name="Comma 2 2" xfId="254" xr:uid="{E4487245-F968-44BA-B22C-BC525279CC75}"/>
    <cellStyle name="Comma 2 2 2" xfId="823" xr:uid="{AA158CC2-03C0-4F39-A320-8F0FE0F981B6}"/>
    <cellStyle name="Comma 2 2 2 2" xfId="2368" xr:uid="{449C7B61-9FA9-45A7-A31B-DC35800244A3}"/>
    <cellStyle name="Comma 2 2 3" xfId="2138" xr:uid="{C13053EE-2742-45F7-B701-6E1ED69A1E1F}"/>
    <cellStyle name="Comma 2 2 3 2" xfId="2408" xr:uid="{4F3F243C-10E2-4333-A65E-D68B18E09F17}"/>
    <cellStyle name="Comma 2 3" xfId="255" xr:uid="{B731E9C0-2EBD-4604-9FA8-99E96499EBEA}"/>
    <cellStyle name="Comma 2 3 2" xfId="824" xr:uid="{17BA1172-4FCC-4BD8-A6DB-EE34D32D0406}"/>
    <cellStyle name="Comma 2 3 2 2" xfId="2369" xr:uid="{D50A09CF-3237-4AAA-8C52-61D994B4B8D5}"/>
    <cellStyle name="Comma 2 3 3" xfId="2150" xr:uid="{C1CC22F6-237A-4CEF-B808-3711F117540C}"/>
    <cellStyle name="Comma 2 3 3 2" xfId="2409" xr:uid="{8DAAB4AF-80A9-4E0B-BB6B-2B12A9EBDD1E}"/>
    <cellStyle name="Comma 2 4" xfId="825" xr:uid="{76703F00-2DAB-4062-8061-5FEA37F53753}"/>
    <cellStyle name="Comma 2 4 2" xfId="826" xr:uid="{279F76D7-E9EC-4F35-B9FA-5A3E84C5B261}"/>
    <cellStyle name="Comma 2 4 2 2" xfId="2370" xr:uid="{2C38F9C6-543F-4562-B1AF-64749D89CACE}"/>
    <cellStyle name="Comma 2 5" xfId="827" xr:uid="{171F9D0D-FE02-417B-96F1-2A713FC090CF}"/>
    <cellStyle name="Comma 2 5 2" xfId="828" xr:uid="{FD0BD22A-904F-4B6A-99B9-764574C3BD61}"/>
    <cellStyle name="Comma 2 5 3" xfId="2371" xr:uid="{BFCEF63D-CC0B-4034-9D53-37291B2A0C6F}"/>
    <cellStyle name="Comma 2 6" xfId="829" xr:uid="{DAF8D494-F2D8-4066-A454-D7E4CCDBF17A}"/>
    <cellStyle name="Comma 2 6 2" xfId="830" xr:uid="{E0584D86-9E38-4028-A23F-9CEC8367ADBB}"/>
    <cellStyle name="Comma 2 6 2 2" xfId="2373" xr:uid="{64075F01-ED34-4122-87BC-192BE2FAB0F3}"/>
    <cellStyle name="Comma 2 6 3" xfId="2372" xr:uid="{5569AAD4-FA78-4A1D-A5E9-57B0FE2E3819}"/>
    <cellStyle name="Comma 2 7" xfId="831" xr:uid="{343915CC-62DD-4136-9E86-DE37E1F028B2}"/>
    <cellStyle name="Comma 2 7 2" xfId="832" xr:uid="{DCC0BF5D-268A-4971-BA38-6FC67D6B425E}"/>
    <cellStyle name="Comma 2 7 2 2" xfId="2375" xr:uid="{E3D5F7F9-4521-45D9-B763-AC362E0788EF}"/>
    <cellStyle name="Comma 2 7 3" xfId="833" xr:uid="{70FE0F1D-9B3C-4870-BCBE-439F4C16997A}"/>
    <cellStyle name="Comma 2 7 3 2" xfId="2376" xr:uid="{77E820E8-1F53-4A08-A843-EAB0F033E652}"/>
    <cellStyle name="Comma 2 7 4" xfId="834" xr:uid="{553515B6-27A8-4E0E-8620-9B9DFA833594}"/>
    <cellStyle name="Comma 2 7 4 2" xfId="2377" xr:uid="{1677410B-807D-46ED-82B1-AA9B89A3BB0A}"/>
    <cellStyle name="Comma 2 7 5" xfId="2374" xr:uid="{7C64AC62-6769-4F44-B2F7-490FD3201907}"/>
    <cellStyle name="Comma 20" xfId="835" xr:uid="{65B849C1-466F-44C5-B98D-7CEA5A4C1BFB}"/>
    <cellStyle name="Comma 20 2" xfId="2378" xr:uid="{272C39E5-E37C-4794-953B-F37C1A2556AC}"/>
    <cellStyle name="Comma 21" xfId="836" xr:uid="{62CE9C4F-FF50-47BD-857B-FECD402CA135}"/>
    <cellStyle name="Comma 21 2" xfId="2379" xr:uid="{3363981A-E246-4C38-9DEF-20CA6BDDA14B}"/>
    <cellStyle name="Comma 22" xfId="837" xr:uid="{569CC294-E8B0-4A17-86AC-3B0EB16891DA}"/>
    <cellStyle name="Comma 22 2" xfId="2380" xr:uid="{47CF7E84-9442-4FEF-A808-3BA5DE37DF3B}"/>
    <cellStyle name="Comma 23" xfId="838" xr:uid="{DC2C1BD2-4ECC-41C4-827D-AD8AD245DC81}"/>
    <cellStyle name="Comma 23 2" xfId="2381" xr:uid="{E300C4D7-EC19-4F9E-BD72-FC2D0B3B0F9D}"/>
    <cellStyle name="Comma 24" xfId="839" xr:uid="{3A3C5FE9-2DFE-4CE0-8662-C30EC1436AE1}"/>
    <cellStyle name="Comma 24 2" xfId="2382" xr:uid="{6128389E-5025-457E-90E8-012AE11961F2}"/>
    <cellStyle name="Comma 25" xfId="840" xr:uid="{0AD8686F-BA77-4170-B8EE-92E6A81DB806}"/>
    <cellStyle name="Comma 25 2" xfId="2383" xr:uid="{ACC19FA2-A90A-4094-B080-805CF8BA6B5C}"/>
    <cellStyle name="Comma 26" xfId="841" xr:uid="{5F579C43-0166-4024-A1DA-87CA65D50679}"/>
    <cellStyle name="Comma 26 2" xfId="2384" xr:uid="{E47C5A93-F842-47CF-A756-F13D9136A898}"/>
    <cellStyle name="Comma 27" xfId="842" xr:uid="{B8409B1D-1E73-4B8C-9C26-6F32302A217D}"/>
    <cellStyle name="Comma 27 2" xfId="2385" xr:uid="{0A0D26C6-AFDB-4428-906C-E3126D3B53E7}"/>
    <cellStyle name="Comma 28" xfId="843" xr:uid="{F4344413-FCDF-4FE9-9002-99C9C026036B}"/>
    <cellStyle name="Comma 28 2" xfId="2386" xr:uid="{5EF53A18-E41F-4B12-9950-6D8F1F9BB802}"/>
    <cellStyle name="Comma 29" xfId="844" xr:uid="{7FA3F9D9-E5FF-40EB-BFBF-2388F8B7E368}"/>
    <cellStyle name="Comma 29 2" xfId="2387" xr:uid="{81A8FE06-DFD6-4681-A73C-E39ADA8F0FE0}"/>
    <cellStyle name="Comma 3" xfId="256" xr:uid="{D0E87CC7-F938-42D2-ACCF-34394F831E0D}"/>
    <cellStyle name="Comma 3 2" xfId="845" xr:uid="{0EA129B4-761F-427A-89A2-9B9EC0BA649E}"/>
    <cellStyle name="Comma 3 2 2" xfId="2388" xr:uid="{B134820F-593C-4DCD-86B5-6C679E353024}"/>
    <cellStyle name="Comma 3 3" xfId="846" xr:uid="{CA635DA3-D91F-4FB7-B129-BA35BCDB5597}"/>
    <cellStyle name="Comma 3 3 2" xfId="847" xr:uid="{EEC51250-61E5-4B5B-9063-7B4D4580D078}"/>
    <cellStyle name="Comma 3 3 2 2" xfId="848" xr:uid="{77838431-4DA6-463A-B473-99DE8B2A515E}"/>
    <cellStyle name="Comma 3 3 2 2 2" xfId="2391" xr:uid="{8DBB871F-13B5-4EA5-B16F-2643024CF231}"/>
    <cellStyle name="Comma 3 3 2 3" xfId="2390" xr:uid="{9657B1CB-C4FA-4EF6-B283-712F778EA5E6}"/>
    <cellStyle name="Comma 3 3 3" xfId="849" xr:uid="{76DBC296-1DD0-4C51-AE7C-6D3FA95D1E9C}"/>
    <cellStyle name="Comma 3 3 3 2" xfId="2392" xr:uid="{2A6A2DE5-BDFC-4F81-A201-1A8A5DE208F0}"/>
    <cellStyle name="Comma 3 3 4" xfId="850" xr:uid="{116C6D07-0D9D-461E-B4D2-75DBC3939A40}"/>
    <cellStyle name="Comma 3 3 4 2" xfId="2393" xr:uid="{0A5418DE-C720-4755-B1AC-4F0CAF769CDB}"/>
    <cellStyle name="Comma 3 3 5" xfId="2389" xr:uid="{3989C1D9-28FC-48FF-A8A9-AAF9661B64F0}"/>
    <cellStyle name="Comma 3 4" xfId="851" xr:uid="{423C4033-DF0A-4F9C-B90D-1524254738B0}"/>
    <cellStyle name="Comma 3 4 2" xfId="852" xr:uid="{C547B444-664D-4F1D-88AC-71219977D443}"/>
    <cellStyle name="Comma 3 4 2 2" xfId="2395" xr:uid="{2AA01F5D-A5FD-40F2-ADD2-D613EA8F2AB1}"/>
    <cellStyle name="Comma 3 4 3" xfId="2394" xr:uid="{7F75B3EF-4562-4415-9C96-FC5C659AD334}"/>
    <cellStyle name="Comma 3 5" xfId="2151" xr:uid="{CC6A3348-23E4-41C7-A8A2-D38ED07A0B9C}"/>
    <cellStyle name="Comma 3 5 2" xfId="2410" xr:uid="{6F782E22-BD0C-4BC2-91F0-B426A99B1C83}"/>
    <cellStyle name="Comma 30" xfId="853" xr:uid="{FD3EAB95-3165-4EA7-A082-A0450CCC1065}"/>
    <cellStyle name="Comma 30 2" xfId="2396" xr:uid="{2D499FAB-EE83-4B44-B265-ECD55AF15806}"/>
    <cellStyle name="Comma 31" xfId="2230" xr:uid="{D2607411-7BAA-45D8-B640-DD6F6334B87C}"/>
    <cellStyle name="Comma 31 2" xfId="2416" xr:uid="{BDD73DA2-B699-46ED-A760-65BC5BCD3766}"/>
    <cellStyle name="Comma 32" xfId="2261" xr:uid="{CA216ED0-4984-4ACC-B380-99FD6340FCEE}"/>
    <cellStyle name="Comma 33" xfId="2260" xr:uid="{7BDEEEE6-ABAD-4BF7-AEBC-8CBD28148139}"/>
    <cellStyle name="Comma 33 2" xfId="2418" xr:uid="{8334A2B8-FB01-424F-9497-FF291800327D}"/>
    <cellStyle name="Comma 34" xfId="2407" xr:uid="{3A58212A-1EEA-40B2-AE07-012A831F27DB}"/>
    <cellStyle name="Comma 35" xfId="2424" xr:uid="{D7017BC9-5425-4178-A962-FF5F830A77EC}"/>
    <cellStyle name="Comma 36" xfId="2134" xr:uid="{A036A169-78F1-4CBA-880B-58106D020EA7}"/>
    <cellStyle name="Comma 4" xfId="257" xr:uid="{0EADFFDD-8D75-497B-8647-AD7B0689083E}"/>
    <cellStyle name="Comma 4 2" xfId="854" xr:uid="{19C1FBC1-0F5E-40FB-AD64-8377E62AD720}"/>
    <cellStyle name="Comma 4 2 2" xfId="2397" xr:uid="{2E5BE10B-ECED-4A28-8608-A568D4F73C1A}"/>
    <cellStyle name="Comma 4 3" xfId="855" xr:uid="{8E5861B1-A48A-4BC9-951C-2B569E75146F}"/>
    <cellStyle name="Comma 4 3 2" xfId="856" xr:uid="{D7A8A665-8F89-425B-8538-5BD77CBF442A}"/>
    <cellStyle name="Comma 4 3 2 2" xfId="2398" xr:uid="{9F8266D6-A987-43FC-985E-4DB326D43DCD}"/>
    <cellStyle name="Comma 5" xfId="258" xr:uid="{7C32D4F1-6FF5-499B-AA9E-A037D0E8F036}"/>
    <cellStyle name="Comma 5 2" xfId="857" xr:uid="{8F90E656-EE29-492B-BF74-408325F7366A}"/>
    <cellStyle name="Comma 5 2 2" xfId="2399" xr:uid="{CDDF32EC-EAB8-4673-93C5-697D8D223601}"/>
    <cellStyle name="Comma 5 3" xfId="2152" xr:uid="{3E3B00EE-21C7-4F41-87B0-29B69C730332}"/>
    <cellStyle name="Comma 5 3 2" xfId="2411" xr:uid="{382A400D-8757-4058-BB43-D3A20EEA38D0}"/>
    <cellStyle name="Comma 6" xfId="259" xr:uid="{33AB60ED-84E1-4D38-877B-881E30D54B7F}"/>
    <cellStyle name="Comma 6 2" xfId="858" xr:uid="{AEA5AFE3-63EF-471C-950C-C902339123F6}"/>
    <cellStyle name="Comma 6 2 2" xfId="859" xr:uid="{3B9FC15D-939A-45FA-9B09-130042057727}"/>
    <cellStyle name="Comma 6 2 2 2" xfId="2401" xr:uid="{D2BF531F-263C-4FD7-943A-3E45EEC04710}"/>
    <cellStyle name="Comma 6 2 3" xfId="2400" xr:uid="{E985D47B-0091-4078-8F99-DBB44F6CBAC3}"/>
    <cellStyle name="Comma 6 3" xfId="860" xr:uid="{D5761B6D-D380-48E8-8CE2-7A6A9FA49B12}"/>
    <cellStyle name="Comma 6 3 2" xfId="2402" xr:uid="{8C3C56CC-3259-4CB2-A080-0256591D344C}"/>
    <cellStyle name="Comma 6 4" xfId="861" xr:uid="{5F824666-8470-45EA-B9EB-AD458B1561B8}"/>
    <cellStyle name="Comma 6 4 2" xfId="2403" xr:uid="{D58C70FE-AB49-4EC9-A0CB-4D150BE7B78F}"/>
    <cellStyle name="Comma 6 5" xfId="2153" xr:uid="{D98EE33B-CA27-49A5-9907-152EF559A4B7}"/>
    <cellStyle name="Comma 6 5 2" xfId="2412" xr:uid="{904D70AF-7187-4825-8A06-3A3722BA311F}"/>
    <cellStyle name="Comma 7" xfId="260" xr:uid="{92041D35-CB0F-4436-9560-8B599842D0BF}"/>
    <cellStyle name="Comma 7 2" xfId="862" xr:uid="{D9DC67C8-2B19-41D3-86B0-DDF892F75810}"/>
    <cellStyle name="Comma 7 2 2" xfId="2404" xr:uid="{BA351A7B-5246-4174-854E-38D88A9F753C}"/>
    <cellStyle name="Comma 7 3" xfId="2154" xr:uid="{6DF65A2C-AD48-4821-AEA5-5B9F23B3F60C}"/>
    <cellStyle name="Comma 7 3 2" xfId="2413" xr:uid="{FA0AAD1B-A61C-411F-8138-5A13F965AFB0}"/>
    <cellStyle name="Comma 8" xfId="863" xr:uid="{0ACDBE2B-D71C-4CAA-9556-7CFA005A8038}"/>
    <cellStyle name="Comma 8 2" xfId="2405" xr:uid="{31C0D0B5-8038-4E6B-812A-0EC1A39AF748}"/>
    <cellStyle name="Comma 9" xfId="864" xr:uid="{C9C4DB02-7295-492A-AD42-4F9A60926382}"/>
    <cellStyle name="Comma 9 2" xfId="2406" xr:uid="{36EA1FB7-AE47-4F29-A95D-F25F339576DE}"/>
    <cellStyle name="Comma." xfId="865" xr:uid="{C6FC6549-2956-43F4-BEF2-90B8DDDB2C71}"/>
    <cellStyle name="Comma. 2" xfId="866" xr:uid="{38EDFCAA-B08A-472A-BD5E-7CDBA0516F67}"/>
    <cellStyle name="Comma0" xfId="867" xr:uid="{BB063899-4BE6-4CF2-AC6D-2C08DBF2D5CD}"/>
    <cellStyle name="Comma0 2" xfId="868" xr:uid="{0D5DD445-C473-447A-879A-24AC0406C1D5}"/>
    <cellStyle name="Comma0 3" xfId="869" xr:uid="{0AFFB38E-53CA-4F21-A479-0E2534065E24}"/>
    <cellStyle name="country" xfId="870" xr:uid="{AAF6A244-4611-47E3-B9C3-F9085B027CC4}"/>
    <cellStyle name="COURIER" xfId="261" xr:uid="{6E2B558D-28E2-4A3B-AB44-2BB3FD9B1A18}"/>
    <cellStyle name="Currency [0] 2" xfId="2229" xr:uid="{B8A2A775-9A3F-4027-990C-97A2239A774A}"/>
    <cellStyle name="Currency [0] 2 2" xfId="2415" xr:uid="{909BA025-D1C6-4EA3-A967-DE269E759F45}"/>
    <cellStyle name="Currency 2" xfId="871" xr:uid="{BB30C94A-A17D-40E4-8A22-924248EB1C89}"/>
    <cellStyle name="Currency 3" xfId="872" xr:uid="{FBCE5B81-23A8-4ABD-8B81-A7E1A6483350}"/>
    <cellStyle name="Currency 4" xfId="2228" xr:uid="{5EB27F34-54CC-40BC-8464-AA870A0BD6F6}"/>
    <cellStyle name="Currency 4 2" xfId="2414" xr:uid="{758AAE00-E085-47D1-A26A-BE609F979D62}"/>
    <cellStyle name="Currency0" xfId="873" xr:uid="{6A1DFBCA-5CC0-4020-B535-C98538043CD3}"/>
    <cellStyle name="Currency0 2" xfId="874" xr:uid="{C6DA4BC7-9639-450E-9F4E-BB7AC80D0E01}"/>
    <cellStyle name="Currency0 3" xfId="875" xr:uid="{3B0661B4-A866-41BA-9454-2D5D1A5E3B39}"/>
    <cellStyle name="Date" xfId="876" xr:uid="{E469EF78-708E-4DD9-8CA6-37216205D8A8}"/>
    <cellStyle name="Dezimal [0]_Sheet1" xfId="877" xr:uid="{C805B026-C418-4013-9C03-1D8C131A5F27}"/>
    <cellStyle name="Dezimal_Sheet1" xfId="878" xr:uid="{DA3629A6-63D5-4B82-8952-176E46781302}"/>
    <cellStyle name="Emphasis 1" xfId="262" xr:uid="{B68DD5E5-C294-45DD-AC26-DD696304D0A2}"/>
    <cellStyle name="Emphasis 1 2" xfId="879" xr:uid="{6B64C5D7-0047-43EA-BCE1-F4F5C76CF27E}"/>
    <cellStyle name="Emphasis 2" xfId="263" xr:uid="{22660A93-4D07-48DA-BBFF-45444688F2EA}"/>
    <cellStyle name="Emphasis 2 2" xfId="880" xr:uid="{B4CF3FEA-F1B6-4152-9A9C-8BB1ECC71C06}"/>
    <cellStyle name="Emphasis 3" xfId="264" xr:uid="{F3F7178A-27DF-4B8A-BAE6-58BEFF88478F}"/>
    <cellStyle name="Emphasis 3 2" xfId="881" xr:uid="{788DCB9E-F5C5-4A08-AE4D-81FE49DDCBE1}"/>
    <cellStyle name="Empty_Cell" xfId="882" xr:uid="{3C0C61E3-34DB-4B6B-A83A-6B4F0BAC4CF2}"/>
    <cellStyle name="Error" xfId="883" xr:uid="{759E204E-230D-49FD-B486-109B94DACF7B}"/>
    <cellStyle name="Euro" xfId="884" xr:uid="{72FB6B33-D3A3-40DB-8076-2E75A2C977CD}"/>
    <cellStyle name="Euro 2" xfId="885" xr:uid="{3BF3C5D3-653B-4C37-B87D-2BC40E4135B1}"/>
    <cellStyle name="Euro 3" xfId="886" xr:uid="{78DC2C30-AEF3-4419-B77E-BDCEF5FC9B76}"/>
    <cellStyle name="Excel Built-in Comma" xfId="2159" xr:uid="{C550016F-F048-4A00-86DD-E4F765310A59}"/>
    <cellStyle name="Explanatory Text 2" xfId="265" xr:uid="{18E6762C-21DB-4293-8061-13B4420E6BC1}"/>
    <cellStyle name="Explanatory Text 3" xfId="266" xr:uid="{4AE4B8C0-676F-4ECA-9B8D-E9CEA1CD71C2}"/>
    <cellStyle name="Explanatory Text 4" xfId="267" xr:uid="{8EF50E24-F969-4D58-A471-5326EDCE1921}"/>
    <cellStyle name="F2" xfId="268" xr:uid="{25A6FC56-5B87-4A55-BAD5-A36916353AE6}"/>
    <cellStyle name="F3" xfId="269" xr:uid="{E46B3410-0EF8-4E2C-8D59-A81641923E12}"/>
    <cellStyle name="F4" xfId="270" xr:uid="{B6F3BA1E-168B-48FD-A6B0-B6EC7524E814}"/>
    <cellStyle name="F5" xfId="271" xr:uid="{7AE594D7-35C2-410C-9A2A-20DCF218764A}"/>
    <cellStyle name="F6" xfId="272" xr:uid="{4225ECC0-5B18-409B-829D-FEED974BEA36}"/>
    <cellStyle name="F7" xfId="273" xr:uid="{4D430D5B-24C2-4B2C-9711-8C9DDA1D6FF9}"/>
    <cellStyle name="F8" xfId="274" xr:uid="{F37D5BA2-6534-4D35-85C8-99512C67332E}"/>
    <cellStyle name="Fill" xfId="887" xr:uid="{2C9EE6C2-1FA7-45E6-82A8-16103FE26B4E}"/>
    <cellStyle name="Fixed" xfId="888" xr:uid="{914E22C5-D88A-4E00-A47D-F9D0AC4A895D}"/>
    <cellStyle name="Fixed 2" xfId="889" xr:uid="{986DE812-9A67-4E1D-8DD9-913D7F2BA42F}"/>
    <cellStyle name="Fixed 3" xfId="890" xr:uid="{3F4E6D7D-14BD-40E4-8C13-EB6B83369FDD}"/>
    <cellStyle name="Flag" xfId="891" xr:uid="{780B4B98-CA5F-462D-B52D-D0013048C06B}"/>
    <cellStyle name="FORM" xfId="275" xr:uid="{47C39A78-BA94-40D7-84D3-0F42BEE94A2F}"/>
    <cellStyle name="FORM 2" xfId="892" xr:uid="{9AC830C2-7985-4756-A308-9A0FBDF4DAFC}"/>
    <cellStyle name="FORM 3" xfId="893" xr:uid="{EEA9D1AD-C5E3-4957-93DE-06B2CD819403}"/>
    <cellStyle name="FORM 4" xfId="894" xr:uid="{04749177-E2F1-4C5E-BECF-4BD671F0657D}"/>
    <cellStyle name="Formula" xfId="276" xr:uid="{4CA6674F-0876-4582-98B2-AAF7E33B6BED}"/>
    <cellStyle name="Formula 2" xfId="895" xr:uid="{99480CED-FEB9-4955-93DF-72D2EADABDDF}"/>
    <cellStyle name="Formula 2 2" xfId="896" xr:uid="{3D8F601B-89B6-4965-8C78-66765BD65ECB}"/>
    <cellStyle name="Good 2" xfId="277" xr:uid="{4E230CA7-A6FB-4D6D-9FDB-A6BB51A42F96}"/>
    <cellStyle name="Good 2 2" xfId="897" xr:uid="{7164AFF8-843D-451C-8526-9D52E1DBF9EB}"/>
    <cellStyle name="Good 3" xfId="278" xr:uid="{9A916EC0-85D4-4273-91CC-FA24F64E9C9D}"/>
    <cellStyle name="Good 4" xfId="279" xr:uid="{289DABB8-1C1D-4A85-B091-9747A3AD1DCF}"/>
    <cellStyle name="Grey" xfId="280" xr:uid="{FDE0AB5A-C1D8-495C-8756-DB8563A1F68B}"/>
    <cellStyle name="Grey 2" xfId="898" xr:uid="{5C0F5513-3535-41DD-9393-01E005FF746F}"/>
    <cellStyle name="Grid" xfId="899" xr:uid="{047A807E-7872-46C3-AA1A-4C48C8FADC25}"/>
    <cellStyle name="HEADER" xfId="900" xr:uid="{8B7E140B-FA1F-4CD6-9EBE-873D6315BDA8}"/>
    <cellStyle name="Header 1" xfId="901" xr:uid="{0F7344BA-644F-4857-A3BD-54CD5DF51698}"/>
    <cellStyle name="Header 2" xfId="902" xr:uid="{60B9381B-F722-49F7-9679-982BF80DA253}"/>
    <cellStyle name="Header 3" xfId="903" xr:uid="{68BF3FF7-1594-4A5F-B0E3-D38C5A2427D0}"/>
    <cellStyle name="Header1" xfId="281" xr:uid="{39B3A57F-6E4E-4EE7-8F4D-B153C5318D91}"/>
    <cellStyle name="Header1 2" xfId="904" xr:uid="{9D431AC3-31E7-4E68-B8D4-83BA8BC1C4D1}"/>
    <cellStyle name="Header2" xfId="282" xr:uid="{6B081E2B-6157-452D-A6A6-CD69A1789636}"/>
    <cellStyle name="Header2 2" xfId="905" xr:uid="{4EB3FC8C-ECFF-401C-A217-7985C9435E5E}"/>
    <cellStyle name="Header2 2 2" xfId="906" xr:uid="{1B989206-BB57-41D4-9A83-F4D6DACF7A61}"/>
    <cellStyle name="Header2 2 3" xfId="907" xr:uid="{7B08D83D-B11A-447F-8D62-5BFA0320B255}"/>
    <cellStyle name="Header2 2 4" xfId="908" xr:uid="{5027D3AA-041B-4CA9-8B7C-CC344093A182}"/>
    <cellStyle name="Header2 2 5" xfId="909" xr:uid="{A8B3E265-9714-4A14-8F06-5B449CF8A5C5}"/>
    <cellStyle name="Header2 2 6" xfId="910" xr:uid="{9CD8FCAE-D412-49B8-A588-2A90C8ED1FFB}"/>
    <cellStyle name="Header2 2 7" xfId="911" xr:uid="{9E025D11-1F99-4F08-AE75-39E879900679}"/>
    <cellStyle name="Header2 2 8" xfId="912" xr:uid="{9FCE897E-0C08-40CA-A93F-3FA72D62DA53}"/>
    <cellStyle name="Header2 3" xfId="913" xr:uid="{FA043202-0092-44B4-9EF5-64F84C01FDAD}"/>
    <cellStyle name="Header2 4" xfId="914" xr:uid="{3377D133-B14A-4665-99D9-528999DC024B}"/>
    <cellStyle name="Header2 5" xfId="915" xr:uid="{7C18E51D-44FA-45DF-8FE3-80FD2C8381DB}"/>
    <cellStyle name="Header2 6" xfId="916" xr:uid="{564F636E-63DE-46CB-B3A0-508ED2E1EC9C}"/>
    <cellStyle name="Header2 7" xfId="917" xr:uid="{64C18FFB-18E2-4DD7-A457-2C6ABF011431}"/>
    <cellStyle name="Header2 8" xfId="918" xr:uid="{931BC9B1-8011-4EA9-80A7-9FECE1306701}"/>
    <cellStyle name="Header2 9" xfId="919" xr:uid="{7965B027-7651-4538-8547-10C89D12BE4A}"/>
    <cellStyle name="Header3" xfId="920" xr:uid="{96DC09B1-430C-4BB6-98EF-B06622B15AC0}"/>
    <cellStyle name="Heading 1 2" xfId="283" xr:uid="{9288F545-7F82-4492-8078-00C8F89BF968}"/>
    <cellStyle name="Heading 1 3" xfId="284" xr:uid="{AC4EC637-8A91-4D6E-AB09-68A117AAB4AE}"/>
    <cellStyle name="Heading 1 4" xfId="285" xr:uid="{23F21183-8627-4723-B5DB-6606CDB759EA}"/>
    <cellStyle name="Heading 2 2" xfId="286" xr:uid="{3CA781E1-A148-4E3E-93F8-2283ABB30BEC}"/>
    <cellStyle name="Heading 2 3" xfId="287" xr:uid="{2BE098B8-AA4F-4F74-BB73-0DB19388EF9C}"/>
    <cellStyle name="Heading 2 4" xfId="288" xr:uid="{308AA910-9741-4ACD-ADC9-0F29EDB3445A}"/>
    <cellStyle name="Heading 3 2" xfId="289" xr:uid="{A5AFD282-F425-4828-A90A-F2473C797960}"/>
    <cellStyle name="Heading 3 3" xfId="290" xr:uid="{824321C8-9906-4F98-B947-CF0ACFB0CB89}"/>
    <cellStyle name="Heading 3 4" xfId="291" xr:uid="{083A3E2D-EA7E-4517-930A-69D6B5070C5D}"/>
    <cellStyle name="Heading 4 2" xfId="292" xr:uid="{7FE8D479-2609-4520-A97C-6EE5E50B40CB}"/>
    <cellStyle name="Heading 4 3" xfId="293" xr:uid="{25A4CAEE-690F-499B-A0A0-5D43200CF161}"/>
    <cellStyle name="Heading 4 4" xfId="294" xr:uid="{0915BE48-D19D-404E-B691-4F031B121B19}"/>
    <cellStyle name="Heading Section 2" xfId="921" xr:uid="{00EF3A7F-28A8-4C67-9093-BCEB7AFE74BA}"/>
    <cellStyle name="Heading Section 3" xfId="922" xr:uid="{C4E394EF-D869-4DAD-94F9-701A64921625}"/>
    <cellStyle name="Heading1" xfId="923" xr:uid="{7779F43B-2A8B-4488-BE2D-33907B380C3D}"/>
    <cellStyle name="Heading2" xfId="924" xr:uid="{51E7526A-ED41-47E6-BFD6-C0DBF2DCEE3A}"/>
    <cellStyle name="helv" xfId="925" xr:uid="{311678EF-5809-40D9-B959-0504395A4B7D}"/>
    <cellStyle name="helv 2" xfId="926" xr:uid="{2926B677-2C1A-4B96-A4A9-EE095FDD1BF1}"/>
    <cellStyle name="helv 3" xfId="927" xr:uid="{51C60340-9AEF-4D0E-92EC-BE0B28F0AE82}"/>
    <cellStyle name="helv 4" xfId="928" xr:uid="{9A909825-65B0-43EE-9EF7-5F14054A6A33}"/>
    <cellStyle name="helv 5" xfId="929" xr:uid="{351B41A5-5CA7-44FB-89FB-CD46011E06BA}"/>
    <cellStyle name="helv 6" xfId="930" xr:uid="{1070A39B-87E9-428B-BFE5-BD1F4DB07349}"/>
    <cellStyle name="helv 7" xfId="931" xr:uid="{4A244ACB-2D4B-4CDA-9B29-4710AE00391D}"/>
    <cellStyle name="helv 8" xfId="932" xr:uid="{4435E715-B51F-48C7-88C4-8CCF6A0EFD13}"/>
    <cellStyle name="Hyperlink 2" xfId="295" xr:uid="{E2F90889-C9B7-4E34-89A4-8F522414F00A}"/>
    <cellStyle name="Hyperlink 2 2" xfId="933" xr:uid="{14A82850-C963-4BDB-AF54-3ADEFFA08B41}"/>
    <cellStyle name="Hyperlink 2 2 2" xfId="934" xr:uid="{652C60C7-96E7-4DEF-B257-7057F76F6773}"/>
    <cellStyle name="Hyperlink 2 3" xfId="935" xr:uid="{46CDDE54-8FE6-4D37-9D65-18AF438227D6}"/>
    <cellStyle name="Hyperlink 2 3 2" xfId="936" xr:uid="{779211D5-C9DA-463C-8849-8B54B71D9EF3}"/>
    <cellStyle name="Hyperlink 2 4" xfId="937" xr:uid="{2CBC3C23-D58B-4E93-AB7A-E41FC0170999}"/>
    <cellStyle name="Hyperlink 2 5" xfId="938" xr:uid="{74A8351F-745E-4DDA-B0AF-846F60EF41F5}"/>
    <cellStyle name="Hyperlink 3" xfId="939" xr:uid="{A80D8638-F1EA-4629-ABDA-ACFBE90A7AE9}"/>
    <cellStyle name="Hyperlink 3 2" xfId="940" xr:uid="{5990C914-6D4B-4F1C-910E-BA3E58F33C32}"/>
    <cellStyle name="Hyperlink 4" xfId="941" xr:uid="{567A3C5E-F7D3-4786-8D95-177D8840CCC6}"/>
    <cellStyle name="Hyperlink 4 2" xfId="942" xr:uid="{21A21E15-C5A4-4359-9A4A-1AFF0204E072}"/>
    <cellStyle name="Hyperlink 5" xfId="943" xr:uid="{2ACB85BF-57F2-4532-811D-D3D577376C09}"/>
    <cellStyle name="Hyperlink 6" xfId="944" xr:uid="{6EF09E8D-4F0E-4964-8BCE-98EB87AA506F}"/>
    <cellStyle name="Hypertextový odkaz" xfId="296" xr:uid="{E1487068-D3EA-4E46-BC67-EAA13A6D7005}"/>
    <cellStyle name="Hypertextový odkaz 2" xfId="945" xr:uid="{419AF15D-229B-4347-A51B-8086A1228F73}"/>
    <cellStyle name="Hypertextový odkaz 2 2" xfId="946" xr:uid="{A619F460-1403-435B-81A4-5760E5AE84C8}"/>
    <cellStyle name="INCHES" xfId="297" xr:uid="{855C0FC8-1EC6-45E6-91BC-49C6E5E2933A}"/>
    <cellStyle name="INCHES 2" xfId="298" xr:uid="{AA358D11-E975-4693-A3FC-90C893C2F9CA}"/>
    <cellStyle name="INCHES 2 2" xfId="947" xr:uid="{FBEA5AF3-16C9-4793-9427-5CAA28384395}"/>
    <cellStyle name="INCHES 2 3" xfId="948" xr:uid="{A22F2937-454D-4178-BCB5-E8F343CADB57}"/>
    <cellStyle name="INCHES 3" xfId="299" xr:uid="{ADE75793-12C9-4C49-9E83-E99CC75F66B3}"/>
    <cellStyle name="INCHES 3 2" xfId="949" xr:uid="{EE6F68EF-45A5-4722-9976-7A509C2C08B5}"/>
    <cellStyle name="INCHES 4" xfId="300" xr:uid="{CBD33DE1-FC77-4AE5-97D4-D322E6E7E4E3}"/>
    <cellStyle name="INCHES 4 2" xfId="950" xr:uid="{45BFAAA7-F460-47FA-96C3-56F1819B91D5}"/>
    <cellStyle name="INCHES 5" xfId="301" xr:uid="{230F25C6-0712-4C48-8FEC-2142CB79C712}"/>
    <cellStyle name="Info" xfId="951" xr:uid="{02305CAB-D3C0-414D-BE9B-061552C7F822}"/>
    <cellStyle name="Input [yellow]" xfId="302" xr:uid="{CA8DA4F6-FB7E-4DB5-BAC9-61D6274DDA7F}"/>
    <cellStyle name="Input [yellow] 2" xfId="952" xr:uid="{0A099952-3560-4008-B69F-59CF7B6D36A4}"/>
    <cellStyle name="Input [yellow] 3" xfId="953" xr:uid="{FAFAC3C8-91F1-4268-BB9E-5FB7FB65FA2D}"/>
    <cellStyle name="Input [yellow] 4" xfId="954" xr:uid="{7490CB09-6E7A-4C2A-84E9-C17D440A3ADC}"/>
    <cellStyle name="Input [yellow] 5" xfId="955" xr:uid="{47B84E6D-1FD6-47EE-80C8-FE2130870EC4}"/>
    <cellStyle name="Input 2" xfId="303" xr:uid="{059E9F89-50A0-4AFE-BC37-98AD78B52192}"/>
    <cellStyle name="Input 2 2" xfId="956" xr:uid="{F5753E6B-C15A-4A20-9CBB-2983386B6A39}"/>
    <cellStyle name="Input 2 2 2" xfId="957" xr:uid="{EA065874-92C6-40D3-9EE2-19AD6D6A7BD4}"/>
    <cellStyle name="Input 2 3" xfId="958" xr:uid="{9B2A26AC-3081-486E-A145-1F5980FEFDF8}"/>
    <cellStyle name="Input 3" xfId="304" xr:uid="{A3BD0F02-5CC4-4847-9C2B-F4063688C4E0}"/>
    <cellStyle name="Input 3 2" xfId="959" xr:uid="{DE93EF78-22B6-46B8-A30A-DC9978153324}"/>
    <cellStyle name="Input 3 3" xfId="960" xr:uid="{51158C2D-EBE1-4C70-BF57-0C9D2C43FDBE}"/>
    <cellStyle name="Input 4" xfId="305" xr:uid="{C5E93BCA-F350-468D-BB2B-358CA15BEB20}"/>
    <cellStyle name="Input 4 2" xfId="961" xr:uid="{72EE6C29-8468-4CBE-A224-787F54463EB2}"/>
    <cellStyle name="Input 4 3" xfId="962" xr:uid="{C4F81406-B8BF-4444-A971-4EACE9E7EA56}"/>
    <cellStyle name="Input 5" xfId="306" xr:uid="{408D01F3-45D0-4714-87A3-882C0E606207}"/>
    <cellStyle name="Input 6" xfId="307" xr:uid="{41AD4802-908F-44D7-A5A4-1096263FBFDD}"/>
    <cellStyle name="Inputs_Divider" xfId="963" xr:uid="{B609E73C-EDF5-4EAC-A8CB-DE60D9FC3C51}"/>
    <cellStyle name="InSheet" xfId="964" xr:uid="{96DFDB21-450C-409E-B23B-CA0C7370A73C}"/>
    <cellStyle name="Line_ClosingBal" xfId="965" xr:uid="{230AF2B9-5477-4D97-B439-1D3E13A6E88D}"/>
    <cellStyle name="Linked Cell 2" xfId="308" xr:uid="{6DD73142-BBEF-49B9-B5CE-11D3E66077C9}"/>
    <cellStyle name="Linked Cell 3" xfId="309" xr:uid="{5243114D-1F79-4125-A428-F63AC16EA66E}"/>
    <cellStyle name="Linked Cell 4" xfId="310" xr:uid="{8CEF5AA4-34C1-428E-8993-CB2DDEBF871A}"/>
    <cellStyle name="Millares [0]_pldt" xfId="311" xr:uid="{275B14BF-7635-480A-9750-39848CC9B56C}"/>
    <cellStyle name="Millares_pldt" xfId="312" xr:uid="{4B5A920A-14C6-4E5F-B777-81A61A0B772B}"/>
    <cellStyle name="Milliers [0]_EDYAN" xfId="313" xr:uid="{54F9AC8B-E258-436A-8FA1-9A4CFC766BEB}"/>
    <cellStyle name="Milliers_EDYAN" xfId="314" xr:uid="{6D31FEEB-28AB-44E6-8CD5-D7279A062172}"/>
    <cellStyle name="Model" xfId="966" xr:uid="{861F2E62-F74D-495E-9D80-0B052FCEC991}"/>
    <cellStyle name="Moneda [0]_3a,b" xfId="967" xr:uid="{5C47FD6F-66CD-48F6-AD64-05FB3B32CD03}"/>
    <cellStyle name="Moneda_3a,b" xfId="968" xr:uid="{123C151F-056D-43FB-BB94-F9F30C5B2CA3}"/>
    <cellStyle name="Monétaire [0]_EDYAN" xfId="315" xr:uid="{B02A8257-4851-49BF-9239-497CF1CC3022}"/>
    <cellStyle name="Monétaire_EDYAN" xfId="316" xr:uid="{702E31D5-1C1C-4C95-B0AD-34A6401650EE}"/>
    <cellStyle name="Neutral 2" xfId="317" xr:uid="{7617DAAE-253F-4B30-982A-F607CDAA2014}"/>
    <cellStyle name="Neutral 2 2" xfId="969" xr:uid="{1A716F59-B1FC-4342-A9AC-9C600C366F6D}"/>
    <cellStyle name="Neutral 3" xfId="318" xr:uid="{31AF5260-ED16-41EA-A335-47FB6D5D9085}"/>
    <cellStyle name="Neutral 4" xfId="319" xr:uid="{EC5E7E2B-D48B-4DC2-B2F1-42863D5C712F}"/>
    <cellStyle name="no dec" xfId="320" xr:uid="{F6FBEF34-E069-4BC2-B342-7C155E029F06}"/>
    <cellStyle name="no dec 2" xfId="970" xr:uid="{AE402D57-E2D3-4FF5-ADD2-C8D3955E0FA3}"/>
    <cellStyle name="no dec 2 2" xfId="971" xr:uid="{B95EFFE6-8D7C-4538-9404-7BEB266CF7F5}"/>
    <cellStyle name="Normal" xfId="0" builtinId="0"/>
    <cellStyle name="Normal - Style1" xfId="321" xr:uid="{6DDA9FF9-2319-4DB1-B91A-E5F244DE9778}"/>
    <cellStyle name="Normal - Style1 10" xfId="322" xr:uid="{8348E45E-2966-465D-A158-FCDCB02CD78E}"/>
    <cellStyle name="Normal - Style1 10 2" xfId="972" xr:uid="{EF43CFD4-1F75-4044-B6F0-06B723BE2161}"/>
    <cellStyle name="Normal - Style1 11" xfId="323" xr:uid="{6C33A4F4-7E31-454B-A101-B096667BA57B}"/>
    <cellStyle name="Normal - Style1 11 2" xfId="973" xr:uid="{4CDABE35-59BD-4F89-A40E-134BD9A8EC31}"/>
    <cellStyle name="Normal - Style1 12" xfId="324" xr:uid="{4A622DE2-50C2-42C3-AE49-6CBB6E6268E0}"/>
    <cellStyle name="Normal - Style1 12 2" xfId="974" xr:uid="{D7419C5D-0093-410E-93EF-B3E4D95D0AD8}"/>
    <cellStyle name="Normal - Style1 13" xfId="325" xr:uid="{4B0D34A4-9754-4117-AD32-58DDDB7580FB}"/>
    <cellStyle name="Normal - Style1 13 2" xfId="975" xr:uid="{3202638A-166F-4D08-9CF5-F78F79666718}"/>
    <cellStyle name="Normal - Style1 14" xfId="976" xr:uid="{83EF77D0-8498-44E0-B2BE-E4A63509F13B}"/>
    <cellStyle name="Normal - Style1 14 2" xfId="977" xr:uid="{4B88ABA3-6DFC-43B4-BD51-58F2E703045B}"/>
    <cellStyle name="Normal - Style1 15" xfId="978" xr:uid="{84314945-DF09-439A-B82E-7083C41BA7D6}"/>
    <cellStyle name="Normal - Style1 16" xfId="979" xr:uid="{B2FE1912-CA4A-452F-8288-4253BD55FE39}"/>
    <cellStyle name="Normal - Style1 2" xfId="326" xr:uid="{F8D94DDE-D57C-4770-8DC5-8E1E7267163A}"/>
    <cellStyle name="Normal - Style1 2 2" xfId="980" xr:uid="{CDFE667C-E742-408B-85DA-57E301D681EC}"/>
    <cellStyle name="Normal - Style1 3" xfId="327" xr:uid="{124DEADE-DA47-4507-BE68-921D57AF9D3D}"/>
    <cellStyle name="Normal - Style1 3 2" xfId="981" xr:uid="{2E821451-7456-4CD7-AE8A-AD062DB77D95}"/>
    <cellStyle name="Normal - Style1 4" xfId="328" xr:uid="{FEB8ACF3-683E-4C20-AA96-4BB5D6A342B8}"/>
    <cellStyle name="Normal - Style1 4 2" xfId="982" xr:uid="{2BB5D7B5-75D9-4665-A124-372F3BFA036D}"/>
    <cellStyle name="Normal - Style1 5" xfId="329" xr:uid="{58A8B936-428F-4FD3-83C1-F85C9AE4E1E1}"/>
    <cellStyle name="Normal - Style1 5 2" xfId="983" xr:uid="{6CCD53BE-2B74-4255-A23F-CFDAFC1E5AA8}"/>
    <cellStyle name="Normal - Style1 6" xfId="330" xr:uid="{F545E3ED-477A-42F9-B659-D68FE0E85C56}"/>
    <cellStyle name="Normal - Style1 6 2" xfId="984" xr:uid="{AC662874-04EE-4C91-97A2-A33D2FE41C98}"/>
    <cellStyle name="Normal - Style1 7" xfId="331" xr:uid="{C0FA4AA8-B602-47F3-A3D6-B3928AEB6625}"/>
    <cellStyle name="Normal - Style1 7 2" xfId="985" xr:uid="{71854603-3209-47C7-9065-9BC125DCB9A4}"/>
    <cellStyle name="Normal - Style1 8" xfId="332" xr:uid="{FDB350A1-A5B7-405B-B4C8-20D85C66FC3A}"/>
    <cellStyle name="Normal - Style1 8 2" xfId="986" xr:uid="{55C31A14-75AB-45FC-BE02-064A7B669B44}"/>
    <cellStyle name="Normal - Style1 9" xfId="333" xr:uid="{786BF898-0A1F-487D-87FC-A15D29D33360}"/>
    <cellStyle name="Normal - Style1 9 2" xfId="987" xr:uid="{7170822D-F522-432A-931E-DB967F9A3F64}"/>
    <cellStyle name="Normal 10" xfId="334" xr:uid="{F8C12891-15A9-4328-B477-8FB24F970640}"/>
    <cellStyle name="Normal 10 2" xfId="335" xr:uid="{36C4FDF4-7412-4701-A6CB-140F4C5E4C20}"/>
    <cellStyle name="Normal 10 2 2" xfId="988" xr:uid="{703140FC-E911-4A2E-ABAE-E9C6DD63E8D2}"/>
    <cellStyle name="Normal 10 2 3" xfId="989" xr:uid="{1363CEF0-566E-4D18-A855-2F1B2F7CB920}"/>
    <cellStyle name="Normal 10 2 3 2" xfId="990" xr:uid="{B9D84F97-FC2E-438A-9E71-2539B40CE23C}"/>
    <cellStyle name="Normal 10 2 3 3" xfId="991" xr:uid="{38515B2A-237F-462B-93F2-7BF64E743189}"/>
    <cellStyle name="Normal 10 2 3 4" xfId="992" xr:uid="{ECA0D02D-87A2-4CC0-88B3-3B9DC052AB36}"/>
    <cellStyle name="Normal 10 2 4" xfId="993" xr:uid="{F6294204-7B23-4F56-ABBD-FC6CB971B8C5}"/>
    <cellStyle name="Normal 10 2 4 2" xfId="994" xr:uid="{4D87396B-46C1-4411-B01C-55218EFC950D}"/>
    <cellStyle name="Normal 10 2 4 3" xfId="995" xr:uid="{F08264B4-663E-4AC4-BC89-572BAD76826C}"/>
    <cellStyle name="Normal 10 2 4 4" xfId="996" xr:uid="{FFC459D9-D7FC-4D98-B2EA-1BD25B03E1AD}"/>
    <cellStyle name="Normal 10 3" xfId="11" xr:uid="{6FB3EE92-5C7B-4713-99D7-355F483A6279}"/>
    <cellStyle name="Normal 100" xfId="997" xr:uid="{548A9738-329F-400F-838E-999A0C8EDABC}"/>
    <cellStyle name="Normal 101" xfId="998" xr:uid="{35621A5D-4100-4649-B3F3-C618F4FBC58E}"/>
    <cellStyle name="Normal 102" xfId="999" xr:uid="{2229DF38-4D14-41A8-AC89-C31A2FC31774}"/>
    <cellStyle name="Normal 103" xfId="1000" xr:uid="{DC7C7EE3-E460-42BB-8865-E4E79344FF1B}"/>
    <cellStyle name="Normal 104" xfId="1001" xr:uid="{79F2224E-C095-46EF-88B9-96F2F071B07D}"/>
    <cellStyle name="Normal 105" xfId="1002" xr:uid="{C08A4811-3DF6-4C52-93CD-3663AC01179A}"/>
    <cellStyle name="Normal 106" xfId="1003" xr:uid="{19F01CE0-7999-4604-AA8D-A3E9B4BAD0AF}"/>
    <cellStyle name="Normal 106 2" xfId="1004" xr:uid="{E2698EA8-5FA0-4C28-875F-4E920B183AE9}"/>
    <cellStyle name="Normal 107" xfId="1005" xr:uid="{78E3105F-3701-48B3-A85C-008D57BE737E}"/>
    <cellStyle name="Normal 108" xfId="1006" xr:uid="{0E39C721-064A-479F-8757-E1FF76EDF9F6}"/>
    <cellStyle name="Normal 109" xfId="1007" xr:uid="{28A31BD6-F80C-46EA-B915-FC647331AA2C}"/>
    <cellStyle name="Normal 11" xfId="336" xr:uid="{53171B17-9EAD-40CA-A97E-32A3D85C05AD}"/>
    <cellStyle name="Normal 11 2" xfId="337" xr:uid="{4D900D36-A6B5-4DF0-9CFC-06733E1B798B}"/>
    <cellStyle name="Normal 11 2 2" xfId="1008" xr:uid="{A12C7F33-7DD3-4E18-8587-ED2A28074798}"/>
    <cellStyle name="Normal 11 3" xfId="1009" xr:uid="{93F3A370-0118-4992-A09C-D285208C7073}"/>
    <cellStyle name="Normal 11 3 2" xfId="1010" xr:uid="{C4AA0A2B-2BA4-49ED-9C99-014DE3823851}"/>
    <cellStyle name="Normal 11 3 2 2" xfId="1011" xr:uid="{6C9A30C8-FE87-4433-9FA4-CAD2F54265E5}"/>
    <cellStyle name="Normal 11 3 2 3" xfId="1012" xr:uid="{D0E511B6-3EAE-4578-9C27-EB3F41BFCAA0}"/>
    <cellStyle name="Normal 11 3 2 4" xfId="1013" xr:uid="{4F391DF5-6C9C-408E-B2F7-82D262F91100}"/>
    <cellStyle name="Normal 11 3 3" xfId="1014" xr:uid="{D774AA83-50A8-4FE4-882B-70B10171CA6F}"/>
    <cellStyle name="Normal 11 3 3 2" xfId="1015" xr:uid="{537FCB98-8C4D-436C-B9FF-97AFD520B45D}"/>
    <cellStyle name="Normal 11 3 3 3" xfId="1016" xr:uid="{0BA562B9-C7F5-4F1A-BCA3-33F100C9990B}"/>
    <cellStyle name="Normal 11 3 3 4" xfId="1017" xr:uid="{C00B2793-647A-44CF-87AE-D187EEB2EE18}"/>
    <cellStyle name="Normal 11 3 4" xfId="1018" xr:uid="{502F7D6E-E57D-4622-AF70-3C13CD414DA1}"/>
    <cellStyle name="Normal 110" xfId="1019" xr:uid="{2363EB1F-C1B2-424C-AD9A-8A10CBB5C1B4}"/>
    <cellStyle name="Normal 111" xfId="1020" xr:uid="{DCB849AD-6E0E-41B4-9DC0-D87E08B9AA7C}"/>
    <cellStyle name="Normal 112" xfId="1021" xr:uid="{5DEA0195-2972-4308-8CFE-544395F9C674}"/>
    <cellStyle name="Normal 113" xfId="1022" xr:uid="{422272F2-0096-452B-B392-156E8F6CF05C}"/>
    <cellStyle name="Normal 114" xfId="1023" xr:uid="{2DCCC7BB-A410-46CB-9106-4F1D50C90948}"/>
    <cellStyle name="Normal 115" xfId="1024" xr:uid="{935377E2-89DB-4DCC-AE1C-583BC59B3B54}"/>
    <cellStyle name="Normal 116" xfId="2127" xr:uid="{538A6F8B-D63C-4D5B-B8C4-BBA3E7E1882B}"/>
    <cellStyle name="Normal 117" xfId="2157" xr:uid="{B59FF4F5-3365-4F7D-9FCA-5DAB217A1030}"/>
    <cellStyle name="Normal 118" xfId="2160" xr:uid="{A126FD80-6DC8-46C9-BCE3-7220F43E2DD4}"/>
    <cellStyle name="Normal 119" xfId="2161" xr:uid="{6B695E0A-0FD0-4922-9148-10473F5EA96D}"/>
    <cellStyle name="Normal 12" xfId="338" xr:uid="{A95B04E6-C8E5-4A4E-89D7-BCED0E2EF9D2}"/>
    <cellStyle name="Normal 12 2" xfId="339" xr:uid="{85A7ACDB-2A21-4F97-AB82-3592F5A8556B}"/>
    <cellStyle name="Normal 12 3" xfId="1025" xr:uid="{203100AC-CC0B-4237-8899-4069D69BA337}"/>
    <cellStyle name="Normal 12 3 2" xfId="1026" xr:uid="{F1734764-9CB0-4551-B41D-10603EDE89CD}"/>
    <cellStyle name="Normal 12 4" xfId="1027" xr:uid="{D72886B4-BCAD-4DC7-AEC8-B3CEC699EF9D}"/>
    <cellStyle name="Normal 12 5" xfId="1028" xr:uid="{6E4EBB33-17D8-4292-B142-ABF212672BDC}"/>
    <cellStyle name="Normal 12 5 2" xfId="1029" xr:uid="{6074F3B4-A14B-49F8-8FAA-791D7DF4C317}"/>
    <cellStyle name="Normal 12 5 2 2" xfId="1030" xr:uid="{1D62FCDA-6F4B-49A0-AC73-71386C16579A}"/>
    <cellStyle name="Normal 12 5 2 3" xfId="1031" xr:uid="{51821EB2-3F9D-49F9-9A98-A2FA6DD8BB2D}"/>
    <cellStyle name="Normal 12 5 2 4" xfId="1032" xr:uid="{6736B8AE-D7C8-4678-8584-257F490298B5}"/>
    <cellStyle name="Normal 12 5 3" xfId="1033" xr:uid="{17EA7EC3-1B5F-485A-BFA9-AEBF0D4FE31E}"/>
    <cellStyle name="Normal 12 5 3 2" xfId="1034" xr:uid="{B521F875-85ED-40EB-BD8C-5FA2D82BDD20}"/>
    <cellStyle name="Normal 12 5 3 3" xfId="1035" xr:uid="{CA8D13F5-6B4A-4D19-8AE6-BAC48E99F2F2}"/>
    <cellStyle name="Normal 12 5 3 4" xfId="1036" xr:uid="{4EC51F5F-828C-4437-BE1A-0112CC722A2B}"/>
    <cellStyle name="Normal 120" xfId="2162" xr:uid="{E4EDE501-08C2-428F-B178-6674204E1C49}"/>
    <cellStyle name="Normal 121" xfId="2163" xr:uid="{D2540E4C-6053-4284-A646-3F4A57ED0041}"/>
    <cellStyle name="Normal 122" xfId="2164" xr:uid="{8C69FDA3-CB31-40A8-A8A0-41A9E08C4598}"/>
    <cellStyle name="Normal 122 2" xfId="2262" xr:uid="{74AA0C9B-E1C5-452B-9DB2-0F8D728E7682}"/>
    <cellStyle name="Normal 123" xfId="2165" xr:uid="{EAD1432D-C15B-47B9-8283-C8A115D058B7}"/>
    <cellStyle name="Normal 123 2" xfId="2263" xr:uid="{F445EF8E-8A71-41BC-84D2-8A6F5484566D}"/>
    <cellStyle name="Normal 124" xfId="2166" xr:uid="{60C5BDB3-871A-4B63-9E4B-96E842A3C9D5}"/>
    <cellStyle name="Normal 124 2" xfId="2264" xr:uid="{9774498A-2B92-4825-AA78-853534C84C1C}"/>
    <cellStyle name="Normal 125" xfId="2167" xr:uid="{FE8C3821-A70F-4A14-908E-C5A64663110D}"/>
    <cellStyle name="Normal 125 2" xfId="2265" xr:uid="{CA6A0A1F-0AAF-4287-A9FE-EE16428E6238}"/>
    <cellStyle name="Normal 126" xfId="2168" xr:uid="{240CE63F-FB47-4BC1-907D-8F89D161A4F2}"/>
    <cellStyle name="Normal 126 2" xfId="2266" xr:uid="{FC610E36-2319-4F18-80AC-F0D542E5E034}"/>
    <cellStyle name="Normal 127" xfId="2169" xr:uid="{6567EBE7-44B2-475C-9557-DC18D457FF95}"/>
    <cellStyle name="Normal 127 2" xfId="2267" xr:uid="{BB3AF5F9-BEBF-4FB1-A272-384084470455}"/>
    <cellStyle name="Normal 128" xfId="2170" xr:uid="{31E28694-0678-4804-A339-597C8542D5E3}"/>
    <cellStyle name="Normal 128 2" xfId="2268" xr:uid="{94C9672A-B1D6-4E36-8F03-E8C1EFC747DB}"/>
    <cellStyle name="Normal 129" xfId="2171" xr:uid="{B3ACC909-AE91-4CFD-97B2-E7890F2EABCD}"/>
    <cellStyle name="Normal 129 2" xfId="2269" xr:uid="{19C0E07C-923B-41D3-A359-C95D7D8A2B74}"/>
    <cellStyle name="Normal 13" xfId="340" xr:uid="{CE7C4947-BB7D-41B9-BB7C-F0F8F22EAABA}"/>
    <cellStyle name="Normal 13 2" xfId="1037" xr:uid="{FE64A51E-7F02-489D-BECC-139F589BA700}"/>
    <cellStyle name="Normal 13 2 2" xfId="1038" xr:uid="{13EEEC04-DFA6-4C65-A91B-0F5B23F41102}"/>
    <cellStyle name="Normal 13 3" xfId="1039" xr:uid="{30EB70E8-AF79-41CA-A729-0D15A6CFA7DC}"/>
    <cellStyle name="Normal 13 3 2" xfId="1040" xr:uid="{86B1FD35-6AE0-49F9-B44B-4E3FB315C4C7}"/>
    <cellStyle name="Normal 13 3 2 2" xfId="1041" xr:uid="{DF112B04-F2C3-4089-AEB3-089AE4E952E6}"/>
    <cellStyle name="Normal 13 3 2 2 2" xfId="1042" xr:uid="{20176C25-8149-4665-BDB2-68FBDFFE8C7D}"/>
    <cellStyle name="Normal 13 3 2 2 3" xfId="1043" xr:uid="{8104EA50-F5E1-4BFD-AD32-E4F104796EDB}"/>
    <cellStyle name="Normal 13 3 2 2 4" xfId="1044" xr:uid="{2365B579-9789-46F2-8A0C-E405C0310525}"/>
    <cellStyle name="Normal 13 3 2 3" xfId="1045" xr:uid="{375EFA6B-2F0F-4835-97A0-B21FCA5B6A8E}"/>
    <cellStyle name="Normal 13 3 2 3 2" xfId="1046" xr:uid="{AAF73CE6-5130-476B-8E63-3BCB19836453}"/>
    <cellStyle name="Normal 13 3 2 3 3" xfId="1047" xr:uid="{3C361CDA-5B4E-424E-8F12-E031E4858E81}"/>
    <cellStyle name="Normal 13 3 2 3 4" xfId="1048" xr:uid="{472ADDB8-78AB-4BAE-91ED-9D86A36B9CDB}"/>
    <cellStyle name="Normal 13 3 2 4" xfId="1049" xr:uid="{9ACF22EC-E08B-4028-8C1A-3171C1CA6C04}"/>
    <cellStyle name="Normal 13 3 3" xfId="1050" xr:uid="{F5EDBCCC-E0E9-4337-BE90-BE72D1E68EE2}"/>
    <cellStyle name="Normal 13 3 3 2" xfId="1051" xr:uid="{949697DC-053C-4500-8BB8-4A42AF5F56EE}"/>
    <cellStyle name="Normal 13 3 3 3" xfId="1052" xr:uid="{CBB0A6BF-F4EA-4489-BF14-2E173081C861}"/>
    <cellStyle name="Normal 13 3 3 4" xfId="1053" xr:uid="{3572870A-1D1F-4E19-BE13-4C49A5FC05C2}"/>
    <cellStyle name="Normal 13 3 4" xfId="1054" xr:uid="{2CF12E21-E97E-4341-8782-5984F3903CAC}"/>
    <cellStyle name="Normal 13 3 4 2" xfId="1055" xr:uid="{3E0C6E04-C2EF-4FAA-AD66-6CF8F6D34035}"/>
    <cellStyle name="Normal 13 3 4 3" xfId="1056" xr:uid="{10981BD4-8841-47AA-BD01-AC9F49BE9BD5}"/>
    <cellStyle name="Normal 13 3 4 4" xfId="1057" xr:uid="{7F2E33EA-D8AF-44C2-AA25-DA29EC1A2EC8}"/>
    <cellStyle name="Normal 13 3 5" xfId="1058" xr:uid="{62E472DE-0527-4FDD-83FD-E495C39487A5}"/>
    <cellStyle name="Normal 13 4" xfId="1059" xr:uid="{2D562456-4C4F-4BEB-BB2A-4E305B6EA14A}"/>
    <cellStyle name="Normal 13 4 2" xfId="1060" xr:uid="{1218AF33-2F8E-431F-9D6C-7E05C214B16A}"/>
    <cellStyle name="Normal 13 4 2 2" xfId="1061" xr:uid="{36563B2A-9D6E-4141-81AA-CC22414767F4}"/>
    <cellStyle name="Normal 13 4 2 3" xfId="1062" xr:uid="{9A74A117-EEB7-48DF-B4AA-6A49D99457B6}"/>
    <cellStyle name="Normal 13 4 2 4" xfId="1063" xr:uid="{1D21F42A-0068-4665-9B41-E4F790616270}"/>
    <cellStyle name="Normal 13 4 3" xfId="1064" xr:uid="{21A01459-EC8A-4074-AFA4-C86338983310}"/>
    <cellStyle name="Normal 13 4 4" xfId="1065" xr:uid="{C6DF7751-8905-49ED-AE7E-A74D64C620F2}"/>
    <cellStyle name="Normal 13 4 5" xfId="1066" xr:uid="{8B22342D-7B95-458E-89CD-EB96A3E89FB1}"/>
    <cellStyle name="Normal 13 5" xfId="1067" xr:uid="{891F23E6-3A86-42B1-BEE9-4AF1AB8715BD}"/>
    <cellStyle name="Normal 13 5 2" xfId="1068" xr:uid="{5C95372F-91DC-4911-A796-CCB65E426934}"/>
    <cellStyle name="Normal 13 5 3" xfId="1069" xr:uid="{9D00A13C-906A-4903-9B0E-3AA4BA8341E1}"/>
    <cellStyle name="Normal 13 5 4" xfId="1070" xr:uid="{D3ED6449-688B-404D-B1A2-683E8D9C0F4A}"/>
    <cellStyle name="Normal 13 6" xfId="1071" xr:uid="{E30C6B7B-0FE8-4530-A7EB-F3D18C9CD1DF}"/>
    <cellStyle name="Normal 13 7" xfId="1072" xr:uid="{A45C79A6-9CCB-4C14-8DA5-60E9B0FEFACE}"/>
    <cellStyle name="Normal 13 8" xfId="2137" xr:uid="{6055D110-B215-49E0-92A4-6B5C98E9D0D5}"/>
    <cellStyle name="Normal 130" xfId="2172" xr:uid="{8C0112BC-2CFF-43F4-9094-451910162075}"/>
    <cellStyle name="Normal 130 2" xfId="2270" xr:uid="{956C7F42-052E-4ECA-B563-5A181CC33821}"/>
    <cellStyle name="Normal 131" xfId="2173" xr:uid="{26DE8858-5E8A-42FC-9863-C2BF0F042402}"/>
    <cellStyle name="Normal 131 2" xfId="2271" xr:uid="{0E950306-E589-4270-89A4-41BD9102E3F1}"/>
    <cellStyle name="Normal 132" xfId="2174" xr:uid="{C3A39076-CB31-457A-89A6-FD56DAF2DFF1}"/>
    <cellStyle name="Normal 132 2" xfId="2272" xr:uid="{F82B70B1-2A32-4899-BDFF-358907B7DF86}"/>
    <cellStyle name="Normal 133" xfId="2175" xr:uid="{BA517CC9-9E8F-4797-9A50-87FA3836BD0E}"/>
    <cellStyle name="Normal 133 2" xfId="2273" xr:uid="{459EE89D-86BB-44F1-9B21-02CC1C0F55F7}"/>
    <cellStyle name="Normal 134" xfId="2176" xr:uid="{8177B235-057E-4A98-A685-74A28CFAAE2D}"/>
    <cellStyle name="Normal 134 2" xfId="2274" xr:uid="{EA95C3B0-7D7A-4B54-8F93-47024AB4E8AF}"/>
    <cellStyle name="Normal 135" xfId="2177" xr:uid="{130A4486-9ECC-4AC3-8ACA-B33B0CED35AC}"/>
    <cellStyle name="Normal 135 2" xfId="2275" xr:uid="{714DDE68-4C08-4583-91B1-BE37DB2191F9}"/>
    <cellStyle name="Normal 136" xfId="2178" xr:uid="{36FBA952-C401-49E2-87DF-EF6DC9DF6847}"/>
    <cellStyle name="Normal 136 2" xfId="2276" xr:uid="{3269AFE2-F7DA-4182-9D7A-C0D2C3B40DD1}"/>
    <cellStyle name="Normal 137" xfId="2179" xr:uid="{5B04E70F-C297-4458-9CEC-4FD2B364FED5}"/>
    <cellStyle name="Normal 137 2" xfId="2277" xr:uid="{FCCFFE03-EE7E-4416-A2A4-4EF4F8EAF821}"/>
    <cellStyle name="Normal 138" xfId="2180" xr:uid="{3C597103-DED2-4B10-88F3-FA72A623A84D}"/>
    <cellStyle name="Normal 138 2" xfId="2278" xr:uid="{4579095E-EC12-4792-AFF2-41683083B402}"/>
    <cellStyle name="Normal 139" xfId="2181" xr:uid="{99B69DAE-C60C-4862-AD9B-13A10ECCCFF1}"/>
    <cellStyle name="Normal 139 2" xfId="2279" xr:uid="{DF4F246B-0AA8-4E69-BDAF-1EE52A792844}"/>
    <cellStyle name="Normal 14" xfId="341" xr:uid="{72D0F809-31AA-4197-8276-DB89ABC28D65}"/>
    <cellStyle name="Normal 14 2" xfId="1073" xr:uid="{FBD799FF-EF83-4ECB-BB8A-03BF1E47B3EC}"/>
    <cellStyle name="Normal 14 2 2" xfId="1074" xr:uid="{680809D0-53D3-4B74-ACB5-3B0988BD3A6C}"/>
    <cellStyle name="Normal 14 2 2 2" xfId="1075" xr:uid="{B2001EBC-7FF7-43DE-B850-5096165F9D3A}"/>
    <cellStyle name="Normal 14 2 2 3" xfId="1076" xr:uid="{C7DA538E-2DF3-494A-8F46-709E10A9CC3A}"/>
    <cellStyle name="Normal 14 2 2 4" xfId="1077" xr:uid="{4D556472-7801-4F73-924A-6F19ADFD30E1}"/>
    <cellStyle name="Normal 14 2 3" xfId="1078" xr:uid="{45AB819C-4CBE-409E-9B5A-323D7BD49565}"/>
    <cellStyle name="Normal 14 2 3 2" xfId="1079" xr:uid="{A061E85C-B986-4652-A11B-76FC4BB56683}"/>
    <cellStyle name="Normal 14 2 3 3" xfId="1080" xr:uid="{921AAAEE-47B3-4239-AA44-EC5D565C0194}"/>
    <cellStyle name="Normal 14 2 3 4" xfId="1081" xr:uid="{807B1488-434C-4695-8295-D7FE991CA37B}"/>
    <cellStyle name="Normal 14 2 4" xfId="1082" xr:uid="{C012B004-B966-4534-B16F-36E93809A219}"/>
    <cellStyle name="Normal 14 3" xfId="1083" xr:uid="{A36E4439-7FF1-4A19-BA41-49EC2FC27C1F}"/>
    <cellStyle name="Normal 14 3 2" xfId="1084" xr:uid="{BD08796D-DB6E-4BAC-BB26-A3FEFE16BCD4}"/>
    <cellStyle name="Normal 14 3 3" xfId="1085" xr:uid="{F1058CC1-3D41-4BA0-9B07-D215FC0A047C}"/>
    <cellStyle name="Normal 14 3 4" xfId="1086" xr:uid="{C3E0F5B6-1473-40D6-863C-E79D249EC2EF}"/>
    <cellStyle name="Normal 14 4" xfId="1087" xr:uid="{C67B0FF9-322D-4029-A7F0-97D2703AE80F}"/>
    <cellStyle name="Normal 14 4 2" xfId="1088" xr:uid="{6A8F0102-E7EE-4426-8AC0-6E6D355F0AA7}"/>
    <cellStyle name="Normal 14 4 3" xfId="1089" xr:uid="{BC8AA4C7-6012-41E1-AD01-C2AB500783CD}"/>
    <cellStyle name="Normal 14 4 4" xfId="1090" xr:uid="{455D7D36-2324-45AC-BEFE-5DFA3E95C5FF}"/>
    <cellStyle name="Normal 14 5" xfId="1091" xr:uid="{CADCB883-EB48-4366-B793-B9C13B50CEE8}"/>
    <cellStyle name="Normal 14 5 2" xfId="1092" xr:uid="{AC536290-4DEF-4584-9D03-DF93B2D30C0B}"/>
    <cellStyle name="Normal 14 6" xfId="1093" xr:uid="{E3B6B34A-E2CB-4273-956A-8038E0A8BEC5}"/>
    <cellStyle name="Normal 140" xfId="2182" xr:uid="{84E2025A-825E-4BB6-A8A1-E70B0E785476}"/>
    <cellStyle name="Normal 141" xfId="2183" xr:uid="{2763526A-8BBE-45AC-9C1D-95A8C23BDBC3}"/>
    <cellStyle name="Normal 142" xfId="2184" xr:uid="{5A203228-2270-4899-844B-A3741C6CFF62}"/>
    <cellStyle name="Normal 143" xfId="2185" xr:uid="{32835C5E-FA52-47C0-84AB-4315575AD2DC}"/>
    <cellStyle name="Normal 143 2" xfId="2280" xr:uid="{885F3B0A-4BF7-40EA-97FB-C501FCC1CCBE}"/>
    <cellStyle name="Normal 144" xfId="2186" xr:uid="{9F1BEA8A-00FB-40C5-8596-C4958CD78921}"/>
    <cellStyle name="Normal 145" xfId="2187" xr:uid="{75EB3E77-DDCE-4863-887E-7B6DF996FEA6}"/>
    <cellStyle name="Normal 145 2" xfId="2281" xr:uid="{41459B3A-F94A-4A3C-B2FA-CB5474565773}"/>
    <cellStyle name="Normal 146" xfId="2188" xr:uid="{B7EDDC98-4B36-4B19-BE84-30CD87075F36}"/>
    <cellStyle name="Normal 146 2" xfId="2282" xr:uid="{87439F5B-E9CC-461E-BEE2-70D96D4CC705}"/>
    <cellStyle name="Normal 147" xfId="2189" xr:uid="{F4740C34-CF49-4775-9A90-E6C9E4B53015}"/>
    <cellStyle name="Normal 147 2" xfId="2283" xr:uid="{5E94FE43-B83E-453D-93B9-6D3FB2CA2AFE}"/>
    <cellStyle name="Normal 148" xfId="2190" xr:uid="{07D6BCA9-2E30-4053-A8B5-38013F9B9756}"/>
    <cellStyle name="Normal 148 2" xfId="2284" xr:uid="{70432830-A095-4495-96A6-4B4989EEDFC1}"/>
    <cellStyle name="Normal 149" xfId="2191" xr:uid="{0B43F711-2849-4544-B6F5-DE9E52D58C90}"/>
    <cellStyle name="Normal 149 2" xfId="2285" xr:uid="{D8D37220-9FE6-4534-A870-5CB294D6C77A}"/>
    <cellStyle name="Normal 15" xfId="342" xr:uid="{3501CC1A-0652-467C-B47E-DF05260E4B0F}"/>
    <cellStyle name="Normal 15 2" xfId="343" xr:uid="{F77E2F0F-1B08-42D5-AD1B-53BD3CAC4A8C}"/>
    <cellStyle name="Normal 15 2 2" xfId="344" xr:uid="{3E1B3575-ED67-421E-98A3-301B52DE95CD}"/>
    <cellStyle name="Normal 15 3" xfId="2139" xr:uid="{5A55DC33-C20F-47F0-B5C4-1DD0DF646C21}"/>
    <cellStyle name="Normal 150" xfId="2192" xr:uid="{A7C9C15C-4F0B-446B-BBB9-51C400E3B156}"/>
    <cellStyle name="Normal 150 2" xfId="2286" xr:uid="{144F018F-8903-45BD-B039-0D4E3BE9DF6F}"/>
    <cellStyle name="Normal 151" xfId="2193" xr:uid="{43568B16-A717-4852-8F6A-D7F61DC4E0E3}"/>
    <cellStyle name="Normal 151 2" xfId="2287" xr:uid="{FD072B2A-BA4B-4B58-8276-86E0E7C88674}"/>
    <cellStyle name="Normal 152" xfId="2195" xr:uid="{018AA3A1-193F-4FA0-A983-7DF713C4D6A2}"/>
    <cellStyle name="Normal 152 2" xfId="2289" xr:uid="{7F832581-ECF2-431D-B374-7BC5106CE48A}"/>
    <cellStyle name="Normal 153" xfId="2194" xr:uid="{97A883A4-A757-4F54-9444-CA1875E44112}"/>
    <cellStyle name="Normal 153 2" xfId="2288" xr:uid="{9246E457-5CB8-4AC1-A961-1FF87A221EDF}"/>
    <cellStyle name="Normal 154" xfId="2196" xr:uid="{23E48A1A-A0F1-4BEE-9E14-E9B71A3FA7AE}"/>
    <cellStyle name="Normal 154 2" xfId="2290" xr:uid="{A3EC794A-D981-4FF5-8CA5-182CBD29C0EA}"/>
    <cellStyle name="Normal 155" xfId="2197" xr:uid="{59961CF2-D8C4-4134-B699-3C80BA6A0101}"/>
    <cellStyle name="Normal 155 2" xfId="2291" xr:uid="{86172B0F-96D6-46A5-89D1-C4C742F84FB2}"/>
    <cellStyle name="Normal 156" xfId="2198" xr:uid="{277BFF30-834C-4915-A7C6-521C7F8E1852}"/>
    <cellStyle name="Normal 156 2" xfId="2292" xr:uid="{1D6640AF-447A-4713-BFEB-A2A13FAE48E3}"/>
    <cellStyle name="Normal 157" xfId="2199" xr:uid="{7A9B5256-CF2A-4D09-94F3-17A11E98B610}"/>
    <cellStyle name="Normal 157 2" xfId="2293" xr:uid="{807DCF3F-5A3C-48E9-B544-129B1B76C76C}"/>
    <cellStyle name="Normal 158" xfId="2200" xr:uid="{6B020CD4-51BF-4C05-B202-5A8D10662385}"/>
    <cellStyle name="Normal 158 2" xfId="2294" xr:uid="{DE61B8CA-F619-478C-9D61-3414A871751E}"/>
    <cellStyle name="Normal 159" xfId="2201" xr:uid="{D3744E5B-4B0C-4F22-BA24-C38918AA7695}"/>
    <cellStyle name="Normal 159 2" xfId="2295" xr:uid="{3835949C-1DF9-4696-B5AC-35C560CD7CE2}"/>
    <cellStyle name="Normal 16" xfId="345" xr:uid="{18C78382-FECB-4FFF-98C1-C968FD2C023D}"/>
    <cellStyle name="Normal 16 2" xfId="1094" xr:uid="{40524317-9ABA-4DB3-BAF1-300C27473124}"/>
    <cellStyle name="Normal 16 2 2" xfId="1095" xr:uid="{7DFB370F-1C09-4094-A86D-3406FAE970A2}"/>
    <cellStyle name="Normal 16 2 2 2" xfId="1096" xr:uid="{34297543-64B8-450B-8DB7-703C3C602C5C}"/>
    <cellStyle name="Normal 16 2 2 3" xfId="1097" xr:uid="{BED854AE-4232-43DF-B798-304A0AA72181}"/>
    <cellStyle name="Normal 16 2 2 4" xfId="1098" xr:uid="{80F62596-C853-4203-A65A-3CB79DA18E28}"/>
    <cellStyle name="Normal 16 2 3" xfId="1099" xr:uid="{769D6342-E247-4CED-A1E4-CC066C7438D7}"/>
    <cellStyle name="Normal 16 2 3 2" xfId="1100" xr:uid="{0E7F768F-F409-40B1-B397-4404C778DFCC}"/>
    <cellStyle name="Normal 16 2 3 3" xfId="1101" xr:uid="{9612AD66-BAF9-47B4-A531-C6FF472CAF69}"/>
    <cellStyle name="Normal 16 2 3 4" xfId="1102" xr:uid="{4609216E-E87B-4D53-87A0-F0BD1FE83D63}"/>
    <cellStyle name="Normal 16 2 4" xfId="1103" xr:uid="{3DA88C1C-5B57-4121-8D32-0E65DCA9D4BA}"/>
    <cellStyle name="Normal 16 2 4 2" xfId="1104" xr:uid="{010C5656-6C1F-49F5-A286-8244CF893075}"/>
    <cellStyle name="Normal 16 2 4 3" xfId="1105" xr:uid="{B8E09C25-337E-44BE-80C5-7B06FE1BC4F9}"/>
    <cellStyle name="Normal 16 3" xfId="1106" xr:uid="{98A2FE18-BBC6-435C-8F12-40B3B15245D0}"/>
    <cellStyle name="Normal 16 3 2" xfId="1107" xr:uid="{55035C6D-3B19-4B87-8737-35D95877CAA8}"/>
    <cellStyle name="Normal 16 3 3" xfId="1108" xr:uid="{DF3DFA81-BC0F-4656-8192-4515EC51F95D}"/>
    <cellStyle name="Normal 16 3 4" xfId="1109" xr:uid="{57C2890F-486B-4AB2-8DC4-078AFCC74023}"/>
    <cellStyle name="Normal 16 4" xfId="1110" xr:uid="{B81A08D6-0399-4448-ABE0-73DC145C9F5A}"/>
    <cellStyle name="Normal 16 4 2" xfId="1111" xr:uid="{6C7FA62F-627C-4681-9716-7A5D989DE93C}"/>
    <cellStyle name="Normal 16 4 3" xfId="1112" xr:uid="{130A6946-CE50-4C2C-BD61-DEA1F531C7B1}"/>
    <cellStyle name="Normal 16 4 4" xfId="1113" xr:uid="{46823AFB-990E-4B73-B534-F26EBD19F529}"/>
    <cellStyle name="Normal 16 5" xfId="1114" xr:uid="{F585AB62-1CF5-4BEF-ACC1-CE426E0865E7}"/>
    <cellStyle name="Normal 160" xfId="2202" xr:uid="{EEB4EBBA-081B-4000-A81A-63AFBECCE7E7}"/>
    <cellStyle name="Normal 160 2" xfId="2296" xr:uid="{80132B1E-AAC1-4140-8F9D-3D09C42F22EA}"/>
    <cellStyle name="Normal 161" xfId="2203" xr:uid="{E0594E06-2E27-4523-AB3E-74A6A690B70A}"/>
    <cellStyle name="Normal 161 2" xfId="2297" xr:uid="{85D24BFC-DAC8-4F04-99C4-96162AD46D0D}"/>
    <cellStyle name="Normal 162" xfId="2204" xr:uid="{9253890E-828F-4DBC-9AE9-7191E4826DEF}"/>
    <cellStyle name="Normal 162 2" xfId="2298" xr:uid="{5DE0A7EF-AEEF-4B65-A5CA-502A1668CB58}"/>
    <cellStyle name="Normal 163" xfId="2205" xr:uid="{8A85DD93-D354-44EB-81FC-751687A3E709}"/>
    <cellStyle name="Normal 163 2" xfId="2299" xr:uid="{642DB1A7-B05B-4297-9CDF-ADA053A98471}"/>
    <cellStyle name="Normal 164" xfId="2206" xr:uid="{43F74D4C-2B49-45D9-A3F8-C134F00A9EB4}"/>
    <cellStyle name="Normal 164 2" xfId="2300" xr:uid="{62450B4F-FE4B-4A97-9AB3-A3D5429193B8}"/>
    <cellStyle name="Normal 165" xfId="2207" xr:uid="{E537CE07-5207-4B3A-A6FB-392066F5D688}"/>
    <cellStyle name="Normal 165 2" xfId="2301" xr:uid="{9D122CFD-AE6B-4659-AB1C-F541749BBB1A}"/>
    <cellStyle name="Normal 166" xfId="2208" xr:uid="{68BE94C8-AEF3-4BE4-88E6-FDCEB52ACDEF}"/>
    <cellStyle name="Normal 166 2" xfId="2302" xr:uid="{A5774BB4-52A4-4EC9-9EF4-4E5032E10292}"/>
    <cellStyle name="Normal 167" xfId="2209" xr:uid="{51215A6C-8BD6-455B-9674-17DE169F4BA3}"/>
    <cellStyle name="Normal 167 2" xfId="2303" xr:uid="{C1F47BDA-446B-462D-B540-50E0C7D0C9CE}"/>
    <cellStyle name="Normal 168" xfId="2210" xr:uid="{683A4D24-F7DA-4F2C-8498-00D25DF4060B}"/>
    <cellStyle name="Normal 168 2" xfId="2304" xr:uid="{3385CC16-D2A9-40EE-8085-9F2C572EDFE5}"/>
    <cellStyle name="Normal 169" xfId="2211" xr:uid="{AC91D286-A04B-4E26-A836-636026B618A8}"/>
    <cellStyle name="Normal 169 2" xfId="2305" xr:uid="{C6C359A4-C21A-470C-B9B7-D2FC9302AE92}"/>
    <cellStyle name="Normal 17" xfId="3" xr:uid="{2D776BC6-FE9B-4FD5-8C2A-1CC8CF3BE134}"/>
    <cellStyle name="Normal 17 2" xfId="346" xr:uid="{C3D674F9-0581-4936-83A6-B5430E33DF75}"/>
    <cellStyle name="Normal 17 2 2" xfId="1115" xr:uid="{FB811ACE-6536-4CF4-8A94-C6E1DD863F20}"/>
    <cellStyle name="Normal 17 2 2 2" xfId="1116" xr:uid="{1246B602-B693-4CB9-9822-9AB6F2F31AEF}"/>
    <cellStyle name="Normal 17 2 2 3" xfId="1117" xr:uid="{90FCB8E2-4E96-4ABF-96DE-2FB2A617F351}"/>
    <cellStyle name="Normal 17 2 2 4" xfId="1118" xr:uid="{2D8AF0DF-0F4F-4304-8F73-3574AF3E6B6B}"/>
    <cellStyle name="Normal 17 2 3" xfId="1119" xr:uid="{B9D7224E-DF0B-4BCD-B8C0-2B9889E2C67E}"/>
    <cellStyle name="Normal 17 2 3 2" xfId="1120" xr:uid="{F753C73F-28F4-43EB-9C4F-FB92BE0D83AD}"/>
    <cellStyle name="Normal 17 2 3 3" xfId="1121" xr:uid="{F0DB2A9B-B75F-4D1A-A0E0-44B0C572B0E9}"/>
    <cellStyle name="Normal 17 2 3 4" xfId="1122" xr:uid="{83CF708E-89F1-4FA9-8FAA-062336B2C59A}"/>
    <cellStyle name="Normal 17 2 4" xfId="1123" xr:uid="{9A341D11-78A2-4E2B-8385-27C56AA46194}"/>
    <cellStyle name="Normal 17 3" xfId="347" xr:uid="{9DEE58F1-4218-49C8-8F74-B5203BC4D7AA}"/>
    <cellStyle name="Normal 17 3 2" xfId="348" xr:uid="{81814CE7-8EA6-46F2-B9F4-89322D441433}"/>
    <cellStyle name="Normal 17 3 2 2" xfId="13" xr:uid="{31A29006-253A-4C35-AA60-AFA6A9F8DB04}"/>
    <cellStyle name="Normal 17 3 3" xfId="1124" xr:uid="{688913C0-36D8-4AFC-BD60-5459A01736B0}"/>
    <cellStyle name="Normal 17 3 4" xfId="1125" xr:uid="{82AEA430-52BA-4C14-9CA3-D47142E50C11}"/>
    <cellStyle name="Normal 17 4" xfId="1126" xr:uid="{BAC592E0-58F8-4385-955C-F34FBB7EE292}"/>
    <cellStyle name="Normal 17 4 2" xfId="1127" xr:uid="{2548F62A-E0B0-4AB0-BCFF-044BF5C86748}"/>
    <cellStyle name="Normal 17 4 3" xfId="1128" xr:uid="{725A2714-B6AF-4AC2-9BD5-4992D48444EC}"/>
    <cellStyle name="Normal 17 4 4" xfId="1129" xr:uid="{070116AF-D496-41D2-AC57-0781344DF00F}"/>
    <cellStyle name="Normal 17 5" xfId="1130" xr:uid="{958A8F27-C0C6-4E2D-9E05-A5CD9EDD2F91}"/>
    <cellStyle name="Normal 170" xfId="2212" xr:uid="{73604EAC-3322-482C-B7AC-60603BD5A81B}"/>
    <cellStyle name="Normal 170 2" xfId="2306" xr:uid="{51DEE4CC-5A9F-49F0-B99B-34F5637EEC6B}"/>
    <cellStyle name="Normal 171" xfId="2213" xr:uid="{37A695D6-E9FD-4A28-999D-CB272B3A4B50}"/>
    <cellStyle name="Normal 171 2" xfId="2307" xr:uid="{399CB477-5C7D-40C3-9E75-C275904324DE}"/>
    <cellStyle name="Normal 172" xfId="2214" xr:uid="{C256C353-DBC2-4637-A524-FB5E98D7C631}"/>
    <cellStyle name="Normal 172 2" xfId="2308" xr:uid="{506C5748-EBB2-4DC4-91EE-094A31F384DA}"/>
    <cellStyle name="Normal 173" xfId="2215" xr:uid="{BF8C06DF-CBB8-48AC-B3DD-98824F03B36D}"/>
    <cellStyle name="Normal 173 2" xfId="2309" xr:uid="{CD63D5B1-B5EF-4287-B37B-F96638770B8A}"/>
    <cellStyle name="Normal 174" xfId="2216" xr:uid="{145A88AA-9EDA-43F5-B5D6-02B6C2F44DFE}"/>
    <cellStyle name="Normal 174 2" xfId="2310" xr:uid="{B78A02A6-EB12-4680-9DDD-3B2A86310000}"/>
    <cellStyle name="Normal 175" xfId="2217" xr:uid="{C97CA2A4-4605-4D9D-A6BB-12FAEC3870F1}"/>
    <cellStyle name="Normal 175 2" xfId="2311" xr:uid="{488D8DEC-4BF5-4168-B556-48AC8C1FDA61}"/>
    <cellStyle name="Normal 176" xfId="2218" xr:uid="{916D8A10-CF2D-4936-809F-A7B6E04F0620}"/>
    <cellStyle name="Normal 176 2" xfId="2312" xr:uid="{59B9C0C6-54E2-445A-AE76-159B92BC2054}"/>
    <cellStyle name="Normal 177" xfId="2219" xr:uid="{6FE4009D-2D47-4F66-8905-21D20272D7D3}"/>
    <cellStyle name="Normal 177 2" xfId="2313" xr:uid="{64785E95-43B6-4E14-94FF-C94EFCAA3514}"/>
    <cellStyle name="Normal 178" xfId="2220" xr:uid="{39FDACB1-E54A-483C-8897-1D4EB9ECC89B}"/>
    <cellStyle name="Normal 178 2" xfId="2314" xr:uid="{8741E9A7-4A9D-41FD-A390-FAA861D0CC3F}"/>
    <cellStyle name="Normal 179" xfId="2221" xr:uid="{85C579A7-07B0-4914-9B1F-E722F41F9854}"/>
    <cellStyle name="Normal 179 2" xfId="2315" xr:uid="{7C6660A4-8E62-4BD5-8BAE-9366C88F6A85}"/>
    <cellStyle name="Normal 18" xfId="349" xr:uid="{A2CF5EA2-EF2C-42FA-A88C-F6F79A1C997E}"/>
    <cellStyle name="Normal 18 2" xfId="350" xr:uid="{644D5B3F-4B70-4100-9ADE-AF2547291E57}"/>
    <cellStyle name="Normal 18 2 2" xfId="351" xr:uid="{A5D52213-10BA-4314-8C4E-7E06CC86991E}"/>
    <cellStyle name="Normal 18 2 2 2" xfId="352" xr:uid="{1B4558FA-180D-4503-80E0-35DE9CA03175}"/>
    <cellStyle name="Normal 18 2 2 2 2" xfId="353" xr:uid="{087E9019-6C25-4E99-8C85-662ECDE88AC7}"/>
    <cellStyle name="Normal 18 2 2 2 2 2" xfId="354" xr:uid="{66837683-0C4F-49FD-BB0C-5FD3D9FFA5E0}"/>
    <cellStyle name="Normal 18 2 2 2 2 2 2" xfId="355" xr:uid="{731CD516-2191-420B-B14A-3FAF2C2CD4B4}"/>
    <cellStyle name="Normal 18 2 2 2 2 2 2 2" xfId="356" xr:uid="{18C116D9-121B-41AB-84F1-B6F76A55B46A}"/>
    <cellStyle name="Normal 18 2 2 3" xfId="1131" xr:uid="{2022120F-09D7-41C1-8608-97F8C10F37E5}"/>
    <cellStyle name="Normal 18 2 2 4" xfId="1132" xr:uid="{0D354260-C093-482B-8DED-3196BD74618D}"/>
    <cellStyle name="Normal 18 2 3" xfId="1133" xr:uid="{652A2C7C-BA12-4A86-894B-B1F4BD8982BE}"/>
    <cellStyle name="Normal 18 2 3 2" xfId="1134" xr:uid="{9674E612-D36B-4252-8D7F-B8AE0DF551A6}"/>
    <cellStyle name="Normal 18 2 3 3" xfId="1135" xr:uid="{5E87DFFD-3BB9-4FF8-A395-D1E6023972CF}"/>
    <cellStyle name="Normal 18 2 3 4" xfId="1136" xr:uid="{50D08848-A30D-47CB-9360-04CDF3D2B6C5}"/>
    <cellStyle name="Normal 18 2 3 5" xfId="2155" xr:uid="{1D81AD93-CFC2-459F-8041-26223216E0B9}"/>
    <cellStyle name="Normal 18 2 4" xfId="1137" xr:uid="{C2AE98CC-E74A-4BBD-86EA-C95C2873B4E2}"/>
    <cellStyle name="Normal 18 2 5" xfId="2141" xr:uid="{F4F14C22-4C5E-403B-9F85-5D775C3134BA}"/>
    <cellStyle name="Normal 18 3" xfId="1138" xr:uid="{080EECB0-840A-4D44-BA16-A2EFF51A648B}"/>
    <cellStyle name="Normal 18 3 2" xfId="1139" xr:uid="{4F1FD133-3B43-482F-A9D2-8E33E811DAFB}"/>
    <cellStyle name="Normal 18 3 3" xfId="1140" xr:uid="{72DE8BF5-503B-4675-85A6-F2536BA6AB09}"/>
    <cellStyle name="Normal 18 3 4" xfId="1141" xr:uid="{A72D4DBA-8004-4AC9-B8C4-5BA71AD8E7B5}"/>
    <cellStyle name="Normal 18 4" xfId="1142" xr:uid="{BF189251-19AE-4C3A-8257-DC798A9D79C4}"/>
    <cellStyle name="Normal 18 4 2" xfId="1143" xr:uid="{2D523C2D-B348-4B2F-9C40-A9F2DDDA8ECF}"/>
    <cellStyle name="Normal 18 4 3" xfId="1144" xr:uid="{656D4363-2CBB-41C1-B16B-F3D5950AC592}"/>
    <cellStyle name="Normal 18 4 4" xfId="1145" xr:uid="{89ECC521-0B2C-4EF7-A2D6-12085F6E7B5B}"/>
    <cellStyle name="Normal 18 5" xfId="1146" xr:uid="{06BCB02A-C8E9-4395-90E5-06E039CE0291}"/>
    <cellStyle name="Normal 18 6" xfId="2140" xr:uid="{FF0DFD66-67F1-49A0-9481-8540A155C4EA}"/>
    <cellStyle name="Normal 180" xfId="2222" xr:uid="{67C49222-F2B1-4547-A5FE-398EC0E6ECA8}"/>
    <cellStyle name="Normal 180 2" xfId="2316" xr:uid="{699C1069-D8C6-43DF-B92E-674371EF4F10}"/>
    <cellStyle name="Normal 181" xfId="2223" xr:uid="{BF81DDCF-5F33-465B-A07A-AE602CD6C652}"/>
    <cellStyle name="Normal 181 2" xfId="2317" xr:uid="{90539A4C-C203-4F67-B86C-97F034515733}"/>
    <cellStyle name="Normal 182" xfId="2224" xr:uid="{899E0757-0176-4099-92F9-9D1B6BD1A231}"/>
    <cellStyle name="Normal 182 2" xfId="2318" xr:uid="{CF4DC199-25A0-4283-A595-54CE637BA23A}"/>
    <cellStyle name="Normal 183" xfId="2225" xr:uid="{9BB0F4F3-8CEE-40C7-BB7B-BB8C6EA89456}"/>
    <cellStyle name="Normal 183 2" xfId="2319" xr:uid="{A52F42C4-C784-4221-A6E5-B6BCAFD16A43}"/>
    <cellStyle name="Normal 184" xfId="2226" xr:uid="{5C7B6703-3A0B-435A-B16F-DC390D0881E7}"/>
    <cellStyle name="Normal 184 2" xfId="2320" xr:uid="{8B3D4CD8-A2D3-47D7-A1E4-4A802FE8B658}"/>
    <cellStyle name="Normal 185" xfId="2232" xr:uid="{4D1259B1-B79B-42DD-9C10-F453A13D7D87}"/>
    <cellStyle name="Normal 185 2" xfId="2321" xr:uid="{0EB1BD30-8978-4EB1-90B9-F43F73DF05D1}"/>
    <cellStyle name="Normal 186" xfId="2233" xr:uid="{1845FC0C-8FF5-478D-998D-742D4A6A3B99}"/>
    <cellStyle name="Normal 186 2" xfId="2322" xr:uid="{989A273A-E3B8-4DB0-8245-4CE0A1EAF338}"/>
    <cellStyle name="Normal 187" xfId="2234" xr:uid="{3CFA2B7B-0EB1-477E-AA2F-61133981CC15}"/>
    <cellStyle name="Normal 188" xfId="2235" xr:uid="{1B02ADCC-70D5-4555-ABBF-E5F9EF661440}"/>
    <cellStyle name="Normal 189" xfId="2236" xr:uid="{E634DBF4-A7E5-49DB-849F-64B514836BA5}"/>
    <cellStyle name="Normal 19" xfId="357" xr:uid="{69ACECE8-E5C7-4488-985C-F73301FCA4A0}"/>
    <cellStyle name="Normal 19 13" xfId="2124" xr:uid="{40A4BE0F-5587-46E3-BBC5-C4CA12C7CEF7}"/>
    <cellStyle name="Normal 19 2" xfId="1147" xr:uid="{BFF3B1A6-AC91-498B-9653-4534BFF9CF8E}"/>
    <cellStyle name="Normal 19 2 2" xfId="1148" xr:uid="{A326E3AE-2184-4E7C-A093-F48F9948566B}"/>
    <cellStyle name="Normal 19 2 2 2" xfId="1149" xr:uid="{D968F6AE-F649-4488-8793-D8953DD276B7}"/>
    <cellStyle name="Normal 19 2 2 3" xfId="1150" xr:uid="{BA2FE6D8-3CDE-40A2-9EA2-FA476A50B1B7}"/>
    <cellStyle name="Normal 19 2 2 4" xfId="1151" xr:uid="{8FDEF6E5-E4A0-4216-A93B-BD99760ED047}"/>
    <cellStyle name="Normal 19 2 3" xfId="1152" xr:uid="{6C4FACFA-9D49-44CE-9E0B-6055538D3DC1}"/>
    <cellStyle name="Normal 19 2 3 2" xfId="1153" xr:uid="{C3150CBD-B4F3-4A54-ACDC-160215B46CAD}"/>
    <cellStyle name="Normal 19 2 3 3" xfId="1154" xr:uid="{2EC0F5DA-2ECE-49B0-A4C7-9C1454C8A6C3}"/>
    <cellStyle name="Normal 19 2 3 4" xfId="1155" xr:uid="{5D7FFB88-E3BA-4170-9273-785B59877D8C}"/>
    <cellStyle name="Normal 19 2 4" xfId="1156" xr:uid="{686CF47C-6671-417C-ACCA-4721B9476155}"/>
    <cellStyle name="Normal 19 2 5" xfId="2131" xr:uid="{2E3A62FC-DEF7-4DB0-B020-60F6EDDBCFB2}"/>
    <cellStyle name="Normal 19 2 6" xfId="2142" xr:uid="{3A54B977-5690-48EB-A27F-394366072E10}"/>
    <cellStyle name="Normal 19 3" xfId="1157" xr:uid="{23458A5C-B4EB-49B4-80E1-C1B1FF341A32}"/>
    <cellStyle name="Normal 19 3 2" xfId="8" xr:uid="{FABABCBC-EB1C-40D9-A996-E00CD37A7D22}"/>
    <cellStyle name="Normal 19 3 3" xfId="1158" xr:uid="{D2DFC659-7A6C-49A8-B7DE-1D216B30CD09}"/>
    <cellStyle name="Normal 19 3 4" xfId="1159" xr:uid="{32B15DD9-840C-459D-98C4-861BA1470FED}"/>
    <cellStyle name="Normal 19 4" xfId="1160" xr:uid="{37944AE9-BBDB-405F-B6DE-D491DB528885}"/>
    <cellStyle name="Normal 19 4 2" xfId="1161" xr:uid="{A01E7AB5-D937-46A9-8C38-FD4F13390244}"/>
    <cellStyle name="Normal 19 4 3" xfId="1162" xr:uid="{58B76EFB-A3E9-4360-B8A4-9EF8DD195074}"/>
    <cellStyle name="Normal 19 4 4" xfId="1163" xr:uid="{7CC0FFD7-3914-41F8-83BF-A5FAF84CC7DA}"/>
    <cellStyle name="Normal 19 5" xfId="1164" xr:uid="{55C158EC-53DE-479E-AA48-20F126E10CFB}"/>
    <cellStyle name="Normal 190" xfId="2237" xr:uid="{63D5D27E-26CD-4CBD-99B7-78EB12F7F152}"/>
    <cellStyle name="Normal 191" xfId="2238" xr:uid="{5E4CEF08-1206-45E7-ACB4-33C4F9376658}"/>
    <cellStyle name="Normal 192" xfId="2239" xr:uid="{6AE21E0F-49F8-4BB5-AA8D-73DDCEEA1BC7}"/>
    <cellStyle name="Normal 193" xfId="2240" xr:uid="{B674AC9E-A151-4F25-A2F0-EF28D26772B3}"/>
    <cellStyle name="Normal 194" xfId="2241" xr:uid="{7603DC4C-6CEE-48F0-8B10-B70C17C0B82D}"/>
    <cellStyle name="Normal 195" xfId="2242" xr:uid="{DEC7EAF2-3C9F-4ECF-A4DF-E34484E5EFED}"/>
    <cellStyle name="Normal 196" xfId="2243" xr:uid="{CE0CAD81-BDD7-41F6-AD97-A42828C8FD58}"/>
    <cellStyle name="Normal 197" xfId="2244" xr:uid="{5D11E2AB-2460-4FD8-BC76-FB1D2E52D8C2}"/>
    <cellStyle name="Normal 198" xfId="2245" xr:uid="{40AFED51-D420-4A97-8AEA-CAC621DF0260}"/>
    <cellStyle name="Normal 198 2" xfId="2323" xr:uid="{713B5F16-692A-4CA5-9CED-47C049AA8019}"/>
    <cellStyle name="Normal 199" xfId="2246" xr:uid="{CA179236-A5CA-441E-B125-3634121A0183}"/>
    <cellStyle name="Normal 199 2" xfId="2324" xr:uid="{0A7BB397-AFD1-4DA9-A5EE-856510F53E54}"/>
    <cellStyle name="Normal 2" xfId="12" xr:uid="{3BA04CDF-A288-44EE-A41F-263A27792996}"/>
    <cellStyle name="Normal 2 10" xfId="358" xr:uid="{28BC0903-3823-40B3-9AEA-E43D8BCC7AA9}"/>
    <cellStyle name="Normal 2 10 2" xfId="2132" xr:uid="{9512AFF3-6AD2-418C-A00D-796ED273E4AD}"/>
    <cellStyle name="Normal 2 11" xfId="359" xr:uid="{0E42049D-F228-4D00-9464-5E0080002CBF}"/>
    <cellStyle name="Normal 2 12" xfId="360" xr:uid="{C6CB4982-5026-4D25-BABA-03EF57960663}"/>
    <cellStyle name="Normal 2 13" xfId="361" xr:uid="{B5562383-F4C8-4F1F-93D4-6C62614AD160}"/>
    <cellStyle name="Normal 2 14" xfId="362" xr:uid="{99E8AA5E-25A0-4766-8DCB-4663095BA892}"/>
    <cellStyle name="Normal 2 15" xfId="363" xr:uid="{5A46EF25-9F72-4337-91CF-3F55390853DB}"/>
    <cellStyle name="Normal 2 16" xfId="364" xr:uid="{49411D3A-C996-4B93-A8C7-CEFD73B48BD9}"/>
    <cellStyle name="Normal 2 17" xfId="365" xr:uid="{C312CEF9-C754-4E45-AC0B-CCE8EF73169A}"/>
    <cellStyle name="Normal 2 18" xfId="366" xr:uid="{FC61E7F7-4E99-4FDE-BBDF-3353C402BFB0}"/>
    <cellStyle name="Normal 2 19" xfId="367" xr:uid="{D14A1991-DDBA-45B0-B571-08BB3EC42281}"/>
    <cellStyle name="Normal 2 2" xfId="6" xr:uid="{A16603D2-A812-4FB4-8993-D3A2081296E3}"/>
    <cellStyle name="Normal 2 2 2" xfId="368" xr:uid="{69D8AC82-B35C-40A3-B066-207DBD59729F}"/>
    <cellStyle name="Normal 2 2 2 2" xfId="1165" xr:uid="{7F2EE856-AF98-43F1-A71A-236D83778381}"/>
    <cellStyle name="Normal 2 2 3" xfId="369" xr:uid="{51D8CB36-9CD8-4FDF-A4F0-E3366457F510}"/>
    <cellStyle name="Normal 2 2 3 2" xfId="1166" xr:uid="{32430964-F98E-483A-9DD4-8FC5ABB705CA}"/>
    <cellStyle name="Normal 2 2 3 2 2" xfId="1167" xr:uid="{FD025D94-307C-49B5-8DF0-B1373482CB15}"/>
    <cellStyle name="Normal 2 2 3 3" xfId="1168" xr:uid="{E555D98C-9AB4-43BA-8F25-8B46C9E41206}"/>
    <cellStyle name="Normal 2 2 3 4" xfId="1169" xr:uid="{36FB28D1-7F96-4FD4-9FF8-0DF44E3D1FA4}"/>
    <cellStyle name="Normal 2 2 3 4 2" xfId="1170" xr:uid="{E04F8103-DA87-46FA-A440-17039B386322}"/>
    <cellStyle name="Normal 2 2 4" xfId="370" xr:uid="{C2FF14ED-8AA1-427A-AEA4-E70B17FFB43E}"/>
    <cellStyle name="Normal 2 2 4 2" xfId="1171" xr:uid="{3571F6C5-F496-4135-B190-4B1AB51D5E5C}"/>
    <cellStyle name="Normal 2 2 5" xfId="371" xr:uid="{A1D64675-4B6A-4E41-B9C3-8DD78BAC1BDD}"/>
    <cellStyle name="Normal 2 2 5 2" xfId="1172" xr:uid="{9E07F270-C539-4B53-A6D2-D35B1708A000}"/>
    <cellStyle name="Normal 2 2 6" xfId="372" xr:uid="{98D7D9A7-E458-41C3-87CE-6A16ECC36FDA}"/>
    <cellStyle name="Normal 2 2 7" xfId="1173" xr:uid="{AB6659F5-033D-4249-9E34-8EC6F549A9FD}"/>
    <cellStyle name="Normal 2 20" xfId="373" xr:uid="{69729A96-EE3C-45AF-94CE-D95BB2829C74}"/>
    <cellStyle name="Normal 2 21" xfId="374" xr:uid="{5AFD9D66-B8EC-417B-A2B5-2D1A8E16CCD9}"/>
    <cellStyle name="Normal 2 22" xfId="375" xr:uid="{4D773569-3811-4AA0-9A94-F919AB955B38}"/>
    <cellStyle name="Normal 2 23" xfId="376" xr:uid="{7A28DB0F-E274-40BE-9132-5B9FA6A0901D}"/>
    <cellStyle name="Normal 2 24" xfId="377" xr:uid="{263A6BFE-EF88-46A5-BEC2-D892A1C31BA5}"/>
    <cellStyle name="Normal 2 25" xfId="378" xr:uid="{2EDDCDDD-D147-4BD6-BA39-2F11E845BED9}"/>
    <cellStyle name="Normal 2 26" xfId="379" xr:uid="{DAB2CCC9-0587-47D1-B12E-31A1E603FEA3}"/>
    <cellStyle name="Normal 2 27" xfId="380" xr:uid="{6C559175-418F-4394-AE21-B9701FD58425}"/>
    <cellStyle name="Normal 2 28" xfId="381" xr:uid="{13A32C49-393F-4FE8-9757-B2BD6C1BA607}"/>
    <cellStyle name="Normal 2 29" xfId="382" xr:uid="{E62865A1-5087-4417-ACE1-CAC3B584DB37}"/>
    <cellStyle name="Normal 2 3" xfId="383" xr:uid="{FFF1B35B-4665-4FBA-8F06-62E0122BED07}"/>
    <cellStyle name="Normal 2 3 2" xfId="384" xr:uid="{E64AE3CF-2A70-4917-87D4-678677B932EC}"/>
    <cellStyle name="Normal 2 3 3" xfId="385" xr:uid="{42EA168F-D116-4A6E-9ACC-53BDCD70B286}"/>
    <cellStyle name="Normal 2 30" xfId="386" xr:uid="{EDA31292-7479-44AE-82EE-79DD917C458F}"/>
    <cellStyle name="Normal 2 31" xfId="387" xr:uid="{09B5841C-16C9-4348-9D5B-996EAE8E313E}"/>
    <cellStyle name="Normal 2 32" xfId="388" xr:uid="{DC6EC7F6-2A75-4060-890D-D5C54CD1F204}"/>
    <cellStyle name="Normal 2 33" xfId="389" xr:uid="{33CAC274-9D76-4D0E-B6A9-E9AA5A3223C4}"/>
    <cellStyle name="Normal 2 34" xfId="390" xr:uid="{37C02365-A48B-49B7-B587-6CB9EB980432}"/>
    <cellStyle name="Normal 2 35" xfId="391" xr:uid="{ECCBA2EF-BA9A-475E-A930-586E742914EB}"/>
    <cellStyle name="Normal 2 36" xfId="392" xr:uid="{0AAD2977-D19D-4556-B654-2CD4469510FD}"/>
    <cellStyle name="Normal 2 37" xfId="393" xr:uid="{5D40E3EA-37E3-491E-B3FB-B76E616712F7}"/>
    <cellStyle name="Normal 2 37 2" xfId="1174" xr:uid="{4D9F22C9-9BA4-493B-8B95-2D8DE3D44401}"/>
    <cellStyle name="Normal 2 37 2 2" xfId="1175" xr:uid="{62F9DA10-B32D-44F1-941A-E36DCCF50328}"/>
    <cellStyle name="Normal 2 37 2 2 2" xfId="1176" xr:uid="{0255E377-FC3D-4F72-AB01-E62CE334EDFF}"/>
    <cellStyle name="Normal 2 37 2 3" xfId="1177" xr:uid="{C48042FA-8076-40DE-953E-D0F986F77F88}"/>
    <cellStyle name="Normal 2 37 3" xfId="1178" xr:uid="{CA0E716D-6ADB-47E4-B2FE-88D07A9177B7}"/>
    <cellStyle name="Normal 2 37 3 2" xfId="1179" xr:uid="{CD39A33A-A07D-4241-9F2A-28A933D24500}"/>
    <cellStyle name="Normal 2 37 4" xfId="1180" xr:uid="{D9068624-52A0-4250-BEC9-C66C1D9760B8}"/>
    <cellStyle name="Normal 2 38" xfId="394" xr:uid="{87C56718-732D-4EB3-9C3E-BF6FA73591FF}"/>
    <cellStyle name="Normal 2 38 2" xfId="1181" xr:uid="{BD106B14-CBF1-4D87-BD14-D0FD06D99BBC}"/>
    <cellStyle name="Normal 2 38 2 2" xfId="1182" xr:uid="{166EA748-7AD6-4264-B5FA-FC4CDDC6A6C8}"/>
    <cellStyle name="Normal 2 38 2 3" xfId="1183" xr:uid="{1561302D-63A0-48F5-A731-4572C59389A0}"/>
    <cellStyle name="Normal 2 38 2 4" xfId="1184" xr:uid="{F01A9806-5018-4295-B70E-214B4B563535}"/>
    <cellStyle name="Normal 2 38 3" xfId="1185" xr:uid="{34BE4C89-2157-4C43-8667-D8D045392E25}"/>
    <cellStyle name="Normal 2 38 3 2" xfId="1186" xr:uid="{5684CCB7-DD5A-436B-AEDF-871A017FFB9C}"/>
    <cellStyle name="Normal 2 38 3 3" xfId="1187" xr:uid="{569F00BF-68C3-4C86-991D-9CF4C27805B3}"/>
    <cellStyle name="Normal 2 38 3 4" xfId="1188" xr:uid="{33AB0EDA-E8AF-41A3-8F1C-ED2C9FEDF9FF}"/>
    <cellStyle name="Normal 2 39" xfId="395" xr:uid="{7865B48E-D781-4B07-9912-1446F153658C}"/>
    <cellStyle name="Normal 2 4" xfId="396" xr:uid="{5E076B33-F524-4862-8FEC-56497A758F0A}"/>
    <cellStyle name="Normal 2 4 2" xfId="397" xr:uid="{187CB970-66A9-41D6-A806-75610C05ABCB}"/>
    <cellStyle name="Normal 2 4 3" xfId="1189" xr:uid="{51AA0FFC-AFAF-4503-A600-E212655BCF42}"/>
    <cellStyle name="Normal 2 4 3 2" xfId="1190" xr:uid="{09F67FAA-F0DB-4CB1-AC7B-4181C365244A}"/>
    <cellStyle name="Normal 2 40" xfId="398" xr:uid="{0AC9C7BC-D2B8-4DB6-8CC1-A23B4347D2E7}"/>
    <cellStyle name="Normal 2 41" xfId="399" xr:uid="{447CC706-C237-479D-B289-3F8D0DE042ED}"/>
    <cellStyle name="Normal 2 42" xfId="400" xr:uid="{64934499-4160-4ABC-93A6-30AADB883D7F}"/>
    <cellStyle name="Normal 2 43" xfId="401" xr:uid="{609B9E53-DABE-4B11-8596-A6D02BE21D9B}"/>
    <cellStyle name="Normal 2 44" xfId="402" xr:uid="{E9E111B5-2609-412B-9402-DBDB3BB3E4F5}"/>
    <cellStyle name="Normal 2 45" xfId="403" xr:uid="{CB7C5C2D-CCCE-46A9-9E88-B27D92E39901}"/>
    <cellStyle name="Normal 2 46" xfId="404" xr:uid="{74C03266-1CEB-475D-94F6-DB1B621A1C41}"/>
    <cellStyle name="Normal 2 47" xfId="405" xr:uid="{720B45A4-FF63-488A-81DC-5755710271C0}"/>
    <cellStyle name="Normal 2 48" xfId="406" xr:uid="{E24442AE-9257-4681-8CD9-F5CF96C7FC5B}"/>
    <cellStyle name="Normal 2 49" xfId="407" xr:uid="{4F2E3A6A-222A-4E46-808C-547007ED3285}"/>
    <cellStyle name="Normal 2 5" xfId="408" xr:uid="{510860A8-8AEC-4780-8890-330ED94B806F}"/>
    <cellStyle name="Normal 2 5 2" xfId="409" xr:uid="{54BC8934-4B83-48EF-BE8B-26708D7755A8}"/>
    <cellStyle name="Normal 2 5 2 2" xfId="1191" xr:uid="{835689B4-C9F4-4D62-BBF6-668665DFBE72}"/>
    <cellStyle name="Normal 2 50" xfId="410" xr:uid="{082A7F16-CED2-4B00-A27B-89D856EDF3E5}"/>
    <cellStyle name="Normal 2 51" xfId="411" xr:uid="{E6FB45D3-04E5-4397-A7DF-5A9E41EE1E8C}"/>
    <cellStyle name="Normal 2 52" xfId="412" xr:uid="{95F7F88B-9755-4800-9436-8C58F66E382A}"/>
    <cellStyle name="Normal 2 53" xfId="413" xr:uid="{6C6ABD41-0008-4D70-896B-32132BA30757}"/>
    <cellStyle name="Normal 2 54" xfId="414" xr:uid="{9637986B-42B3-4D77-AF9B-11D442E00B36}"/>
    <cellStyle name="Normal 2 55" xfId="415" xr:uid="{ED6B22D5-E69E-4D0A-822A-F3F0976D2A86}"/>
    <cellStyle name="Normal 2 56" xfId="416" xr:uid="{34950CD1-F14E-4415-806C-51C331C19B62}"/>
    <cellStyle name="Normal 2 57" xfId="417" xr:uid="{7AA19981-9EAC-4BF1-B915-95C80F374B71}"/>
    <cellStyle name="Normal 2 58" xfId="418" xr:uid="{C672EFC4-F5E8-458C-B30F-CC0AF138F991}"/>
    <cellStyle name="Normal 2 59" xfId="419" xr:uid="{230A89E5-1547-4E94-B0CC-1026AE491A7B}"/>
    <cellStyle name="Normal 2 6" xfId="420" xr:uid="{FD09DEBA-F884-4EE3-B690-8D732AF15BB1}"/>
    <cellStyle name="Normal 2 6 2" xfId="421" xr:uid="{B6F38973-6EEC-43EB-974F-B6D422A40E47}"/>
    <cellStyle name="Normal 2 6 2 2" xfId="1192" xr:uid="{EB30B252-A9A1-4F75-B9CA-097B20B8E28A}"/>
    <cellStyle name="Normal 2 6 2 3" xfId="1193" xr:uid="{EBC2C716-BDE1-45BE-8885-AD41B2BB8BDD}"/>
    <cellStyle name="Normal 2 60" xfId="422" xr:uid="{38A20A85-7FE7-4DD4-8C06-2FB03698FBDF}"/>
    <cellStyle name="Normal 2 61" xfId="423" xr:uid="{A49C9B22-DB64-47B6-B96D-B124F5197089}"/>
    <cellStyle name="Normal 2 62" xfId="424" xr:uid="{D0BD44DC-39B7-44C7-AC35-95E6265542E1}"/>
    <cellStyle name="Normal 2 63" xfId="425" xr:uid="{F3D277A7-12DA-48A8-BA91-CEA9C4672681}"/>
    <cellStyle name="Normal 2 64" xfId="426" xr:uid="{1618642A-4628-4DBE-8A38-73EC501804AF}"/>
    <cellStyle name="Normal 2 65" xfId="427" xr:uid="{7FB4B620-4873-4CFC-8A18-B17AA5E6E140}"/>
    <cellStyle name="Normal 2 66" xfId="428" xr:uid="{4E428037-3B4F-481F-9290-E2AC3FFB988F}"/>
    <cellStyle name="Normal 2 67" xfId="429" xr:uid="{B7BF5EE7-335C-4BFF-B939-C7696974F356}"/>
    <cellStyle name="Normal 2 68" xfId="430" xr:uid="{2BEBFCA4-FF39-40DF-A2FA-AF2B07482B16}"/>
    <cellStyle name="Normal 2 69" xfId="431" xr:uid="{44DFD592-F88E-42FE-A69D-E906F4D5412C}"/>
    <cellStyle name="Normal 2 7" xfId="432" xr:uid="{B7C51644-3032-4DCF-BD86-6D21D3FC1CEA}"/>
    <cellStyle name="Normal 2 7 2" xfId="433" xr:uid="{E71F96DA-4FCF-4A7C-B5C4-5BF33943D099}"/>
    <cellStyle name="Normal 2 70" xfId="434" xr:uid="{94B1748F-D938-4DC3-A1C5-27584A6C0A55}"/>
    <cellStyle name="Normal 2 71" xfId="435" xr:uid="{04D42ACA-D82F-43D7-B759-76E6273119F8}"/>
    <cellStyle name="Normal 2 72" xfId="436" xr:uid="{D2716951-0900-4989-AA35-5B1A823E122A}"/>
    <cellStyle name="Normal 2 73" xfId="2135" xr:uid="{861804CD-F80A-451F-B13E-E955AA83C2AB}"/>
    <cellStyle name="Normal 2 8" xfId="437" xr:uid="{494DA755-8B84-46A9-B326-FDDC6113BB75}"/>
    <cellStyle name="Normal 2 8 2" xfId="438" xr:uid="{D135A559-5076-4594-BB6E-C2E31166B790}"/>
    <cellStyle name="Normal 2 9" xfId="439" xr:uid="{DE40A846-156F-4255-9A67-EBFD44870B54}"/>
    <cellStyle name="Normal 2 9 2" xfId="2143" xr:uid="{023B6BDC-8CC8-4EC7-A239-3C7D19BADC47}"/>
    <cellStyle name="Normal 2_Copy of T9176-C-SY-REC-BOOM#2-1-(Option-1)-400-220kV GIS SS at Gurgaon- Rev-A" xfId="1194" xr:uid="{0A239FB9-D0C0-4296-B691-F5F419295944}"/>
    <cellStyle name="Normal 20" xfId="440" xr:uid="{38BA64FE-B899-41F7-9DB2-A0A4906A4F76}"/>
    <cellStyle name="Normal 20 2" xfId="4" xr:uid="{8CB24122-5768-4112-AF85-148F57429CB2}"/>
    <cellStyle name="Normal 20 2 2" xfId="1195" xr:uid="{23F30C61-F4AA-4761-9AF8-EA86BEA3901A}"/>
    <cellStyle name="Normal 20 2 2 2" xfId="1196" xr:uid="{D1BAB68D-9044-4531-A9D0-C4E09277DEE9}"/>
    <cellStyle name="Normal 20 2 2 3" xfId="1197" xr:uid="{4AACF286-1F98-42EA-85C5-180EC02A6493}"/>
    <cellStyle name="Normal 20 2 2 4" xfId="1198" xr:uid="{CABBB0C4-C0A9-4C7E-8A88-F882B8F2CC44}"/>
    <cellStyle name="Normal 20 2 3" xfId="1199" xr:uid="{E6F0A1C8-44AC-4EF1-AE01-4BC9E4A90845}"/>
    <cellStyle name="Normal 20 2 3 2" xfId="1200" xr:uid="{26EB42CF-AF11-481E-9368-DC4B9D7106CE}"/>
    <cellStyle name="Normal 20 2 3 3" xfId="1201" xr:uid="{9D7DF77C-C50D-4044-95B6-E11B18BE868E}"/>
    <cellStyle name="Normal 20 2 3 4" xfId="1202" xr:uid="{66D9F1CF-BF27-400A-A805-21AB5FBFACE8}"/>
    <cellStyle name="Normal 20 2 4" xfId="1203" xr:uid="{9470872E-3BFE-4C40-8AEF-C479E20C89FF}"/>
    <cellStyle name="Normal 20 3" xfId="1204" xr:uid="{26C9D4AA-95D3-4EE9-9120-4D35F5ECAD1B}"/>
    <cellStyle name="Normal 20 3 2" xfId="1205" xr:uid="{C43F6CFB-1427-433E-9946-5E4082723D42}"/>
    <cellStyle name="Normal 20 3 3" xfId="1206" xr:uid="{A7EE9C3F-E581-4B0F-9769-077089B8BCC1}"/>
    <cellStyle name="Normal 20 3 4" xfId="1207" xr:uid="{44C8069E-F6E3-4668-9618-E96674DC257C}"/>
    <cellStyle name="Normal 20 4" xfId="1208" xr:uid="{89404AC2-81B9-41DB-8F52-C2CCE1C72133}"/>
    <cellStyle name="Normal 20 4 2" xfId="2133" xr:uid="{1E08E4BF-1411-40DA-9D23-4C0DF37C4C18}"/>
    <cellStyle name="Normal 20 5" xfId="1209" xr:uid="{85A7DB57-A3EE-4D80-9603-1C95BCB294FA}"/>
    <cellStyle name="Normal 20 5 2" xfId="1210" xr:uid="{1A0145D9-774A-4A77-A560-24E28A571A76}"/>
    <cellStyle name="Normal 20 5 3" xfId="1211" xr:uid="{D96B69D9-2200-4D16-9665-DFA01F8B798F}"/>
    <cellStyle name="Normal 20 5 4" xfId="1212" xr:uid="{3EC03689-84D5-4771-936C-8FB4F1293297}"/>
    <cellStyle name="Normal 20 6" xfId="1213" xr:uid="{890BB115-55B2-4D2C-85BB-185973B3298F}"/>
    <cellStyle name="Normal 200" xfId="2247" xr:uid="{A27FFC4A-8967-43A4-9C01-A74B40C4B345}"/>
    <cellStyle name="Normal 200 2" xfId="2325" xr:uid="{0658C807-39D7-4862-ACB6-61AD4D969999}"/>
    <cellStyle name="Normal 201" xfId="2248" xr:uid="{E24E3907-AA9B-44EC-AA3C-F654BB656D37}"/>
    <cellStyle name="Normal 201 2" xfId="2326" xr:uid="{6B040A7A-4197-49AD-B2C4-643CF4DB61A1}"/>
    <cellStyle name="Normal 202" xfId="2249" xr:uid="{6AFBB86C-07A9-4270-8673-15DE8287BF38}"/>
    <cellStyle name="Normal 202 2" xfId="2327" xr:uid="{36E77B6D-C94A-4D1E-B213-19121E528078}"/>
    <cellStyle name="Normal 203" xfId="2250" xr:uid="{17637235-5A99-4A30-98A1-C8B38309C7EC}"/>
    <cellStyle name="Normal 203 2" xfId="2328" xr:uid="{C4038C36-1A44-4884-81AA-9E505B7BE6F7}"/>
    <cellStyle name="Normal 204" xfId="2251" xr:uid="{D7D2BA7A-851E-438B-BC5F-67BDFC40F607}"/>
    <cellStyle name="Normal 204 2" xfId="2329" xr:uid="{BC9BCD98-FC3B-44F3-BEFF-614E208A09DF}"/>
    <cellStyle name="Normal 205" xfId="2252" xr:uid="{9F14003B-2912-436E-83B9-5B06B5763334}"/>
    <cellStyle name="Normal 205 2" xfId="2330" xr:uid="{FEDEDB5E-FD34-4C6E-8F60-724D01418E2E}"/>
    <cellStyle name="Normal 206" xfId="2253" xr:uid="{02160038-06FD-4E14-8348-DB4D5CC6F76C}"/>
    <cellStyle name="Normal 206 2" xfId="2331" xr:uid="{B59D6E46-5A1B-49F5-955B-056B1D63570E}"/>
    <cellStyle name="Normal 207" xfId="2254" xr:uid="{D1D7912E-7DAC-4193-86F1-A002AC5308D6}"/>
    <cellStyle name="Normal 207 2" xfId="2332" xr:uid="{99597E60-A1D5-4AC7-A4B4-5C6917EBC4BD}"/>
    <cellStyle name="Normal 208" xfId="2255" xr:uid="{D287197D-080C-4A3F-B050-E0EC978446F7}"/>
    <cellStyle name="Normal 208 2" xfId="2333" xr:uid="{FE86E4B3-5D8E-4183-AC22-D37AC7079462}"/>
    <cellStyle name="Normal 209" xfId="2256" xr:uid="{6EC15C14-92E6-4171-943F-F56D70DEB9A1}"/>
    <cellStyle name="Normal 209 2" xfId="2334" xr:uid="{5C82090F-774A-4CFC-A46E-4388F8D3A69F}"/>
    <cellStyle name="Normal 21" xfId="441" xr:uid="{FA874DD5-5205-48EE-B15C-F07DFB9AEF07}"/>
    <cellStyle name="Normal 21 2" xfId="10" xr:uid="{B5D980B9-24D4-4219-9F3A-4DF8D682DFE9}"/>
    <cellStyle name="Normal 21 2 2" xfId="1214" xr:uid="{DEA12879-3027-4BCA-8000-0B46BB5EE3FF}"/>
    <cellStyle name="Normal 21 2 2 2" xfId="1215" xr:uid="{440B0796-715D-4E9D-B586-BD74C84CB712}"/>
    <cellStyle name="Normal 21 2 2 3" xfId="1216" xr:uid="{3FCC5845-B486-4112-8B5A-96873D11255F}"/>
    <cellStyle name="Normal 21 2 2 4" xfId="1217" xr:uid="{09506316-10CA-49ED-A960-89296FDE8FE7}"/>
    <cellStyle name="Normal 21 2 3" xfId="1218" xr:uid="{805352EE-C3FC-41BC-B423-AFE877BD1851}"/>
    <cellStyle name="Normal 21 2 3 2" xfId="1219" xr:uid="{9D621384-2E4C-4378-B645-45CC358A07E3}"/>
    <cellStyle name="Normal 21 2 3 3" xfId="1220" xr:uid="{DDFE9B6C-7C3C-43AA-B96D-E6E8AA6F2978}"/>
    <cellStyle name="Normal 21 2 3 4" xfId="1221" xr:uid="{1EFCC90A-2D19-471F-BF9D-27DDB4A6693E}"/>
    <cellStyle name="Normal 21 2 4" xfId="1222" xr:uid="{72A6C2D8-059A-4A02-BFFC-18E5434546D8}"/>
    <cellStyle name="Normal 21 3" xfId="1223" xr:uid="{356EFE80-9312-438A-BAA6-1DC71A57FFE0}"/>
    <cellStyle name="Normal 21 3 2" xfId="1224" xr:uid="{4F429873-E391-422B-9300-2BDCBC9B2085}"/>
    <cellStyle name="Normal 21 3 3" xfId="1225" xr:uid="{A38F4D8B-734C-47BA-AD20-5DD2FEC6ED0D}"/>
    <cellStyle name="Normal 21 3 4" xfId="1226" xr:uid="{21EBCC8F-6EDA-473C-B8C0-4D030F5E9093}"/>
    <cellStyle name="Normal 21 4" xfId="1227" xr:uid="{FD3ABB8D-12BE-4EE0-A9B0-6F3D51119F91}"/>
    <cellStyle name="Normal 21 4 2" xfId="1228" xr:uid="{B5DAF872-1341-4202-90FF-1E6CC864F68A}"/>
    <cellStyle name="Normal 21 4 3" xfId="1229" xr:uid="{817090BE-CF0C-47E0-8D27-A1BB4F4C4917}"/>
    <cellStyle name="Normal 21 4 4" xfId="1230" xr:uid="{36807767-B188-4EB8-A5F5-27953473FE43}"/>
    <cellStyle name="Normal 21 5" xfId="1231" xr:uid="{DC768017-1227-4D54-9C30-36EFE6065288}"/>
    <cellStyle name="Normal 210" xfId="2257" xr:uid="{6D333DD3-BBB2-4CC7-BB9E-03FBC20225F8}"/>
    <cellStyle name="Normal 210 2" xfId="2335" xr:uid="{5F746093-10D5-49AD-93FE-34154344B861}"/>
    <cellStyle name="Normal 211" xfId="2258" xr:uid="{E8989C01-F99D-4E24-84F2-BF012558E2B4}"/>
    <cellStyle name="Normal 212" xfId="2259" xr:uid="{A57FF5C4-DE7E-4DB2-A631-0C36ABA99689}"/>
    <cellStyle name="Normal 213" xfId="2336" xr:uid="{AA5D3673-B846-4372-A654-9EDF929D11C0}"/>
    <cellStyle name="Normal 213 2" xfId="2419" xr:uid="{117239B1-23DB-469A-9A58-2E1CACC47778}"/>
    <cellStyle name="Normal 214" xfId="2337" xr:uid="{28725572-0564-4E96-A582-EA8AA07B80A4}"/>
    <cellStyle name="Normal 214 2" xfId="2420" xr:uid="{5B8B9EC6-BC87-477D-A526-ED2AF968CEC9}"/>
    <cellStyle name="Normal 215" xfId="2338" xr:uid="{F9701831-0652-4B7C-9732-E4E9889B8944}"/>
    <cellStyle name="Normal 215 2" xfId="2421" xr:uid="{621C8638-0AA5-4A9A-8C55-874B754B072D}"/>
    <cellStyle name="Normal 216" xfId="2339" xr:uid="{9AB3222E-834D-426F-8409-90D391FE0FDD}"/>
    <cellStyle name="Normal 216 2" xfId="2422" xr:uid="{7B157982-618C-470C-907D-D3573E9C4700}"/>
    <cellStyle name="Normal 217" xfId="2340" xr:uid="{F305356D-E138-45ED-9FF9-BB10440E9D02}"/>
    <cellStyle name="Normal 217 2" xfId="2423" xr:uid="{F98C6E2A-E2BB-415A-B695-84CE2EA49E9F}"/>
    <cellStyle name="Normal 218" xfId="2341" xr:uid="{EC2BE002-B7B8-434E-B338-A9B68DFCD96C}"/>
    <cellStyle name="Normal 219" xfId="2343" xr:uid="{5A540E58-3F0F-4FC4-AA3E-DBCF5AD2CA10}"/>
    <cellStyle name="Normal 22" xfId="442" xr:uid="{BCE3C6D1-1108-49A5-AB56-7E0A8679544C}"/>
    <cellStyle name="Normal 22 2" xfId="1232" xr:uid="{580FA2D8-9152-4233-9EBD-2F16BC623CDB}"/>
    <cellStyle name="Normal 220" xfId="2342" xr:uid="{83B202F8-44DC-4E14-B0A9-36CDA2E27A1E}"/>
    <cellStyle name="Normal 221" xfId="2344" xr:uid="{5BE406AB-F90D-4DE9-A783-B04541B0EC54}"/>
    <cellStyle name="Normal 222" xfId="2345" xr:uid="{ABD766E6-27CB-4837-A4CE-0CCCFF86A74F}"/>
    <cellStyle name="Normal 223" xfId="1" xr:uid="{05A67743-75AA-414D-BC4E-1636C5BA8141}"/>
    <cellStyle name="Normal 23" xfId="1233" xr:uid="{CA32C46F-D594-4BFE-B7A8-D8E58C19FAF3}"/>
    <cellStyle name="Normal 23 2" xfId="1234" xr:uid="{B189FF99-3A6A-4CEA-9169-6D3C2A00CBF7}"/>
    <cellStyle name="Normal 23 2 2" xfId="1235" xr:uid="{65D18FAF-88F7-4917-AF2D-7218446D6313}"/>
    <cellStyle name="Normal 23 2 2 2" xfId="1236" xr:uid="{1C8C9C87-D218-4BB0-BD33-D67AE0428490}"/>
    <cellStyle name="Normal 23 2 3" xfId="1237" xr:uid="{95057E9F-9D33-49AA-983D-216CD131D4A6}"/>
    <cellStyle name="Normal 23 3" xfId="1238" xr:uid="{EDA85E30-2927-4B18-A333-0019FE70FF78}"/>
    <cellStyle name="Normal 23 3 2" xfId="1239" xr:uid="{CF50C606-CAE4-4CED-868B-2D838708BF2B}"/>
    <cellStyle name="Normal 23 3 3" xfId="1240" xr:uid="{7CFC5D38-4F45-4F08-9F6A-6FD10C645E69}"/>
    <cellStyle name="Normal 23 3 4" xfId="1241" xr:uid="{E3253B69-0FCC-4B5C-A283-3817FBFB3076}"/>
    <cellStyle name="Normal 23 4" xfId="1242" xr:uid="{02BB58E2-A31A-4F70-B78D-34CA821A7412}"/>
    <cellStyle name="Normal 23 4 2" xfId="1243" xr:uid="{8BEEB949-2345-4D30-A235-F33C74A15AA2}"/>
    <cellStyle name="Normal 23 4 3" xfId="1244" xr:uid="{EC3399C5-A5DC-4CA8-A592-89649AC33FFC}"/>
    <cellStyle name="Normal 23 4 4" xfId="1245" xr:uid="{3C0534CE-1C15-4157-983C-FF2A19128FC3}"/>
    <cellStyle name="Normal 23 5" xfId="1246" xr:uid="{35353034-3F4D-4BA4-86CC-DFBCA8DADE05}"/>
    <cellStyle name="Normal 24" xfId="1247" xr:uid="{3794BB21-DE09-4071-BFD5-3FD632CD6025}"/>
    <cellStyle name="Normal 24 2" xfId="1248" xr:uid="{E0DD9F16-E928-4370-A922-5348FCE03588}"/>
    <cellStyle name="Normal 24 2 2" xfId="1249" xr:uid="{2171F415-8F6E-4944-9210-6BE2D1C89DC6}"/>
    <cellStyle name="Normal 24 2 3" xfId="1250" xr:uid="{21401637-0ABB-4C63-BF08-2471FE951468}"/>
    <cellStyle name="Normal 24 2 4" xfId="1251" xr:uid="{E21A587E-B14E-4B8B-8A94-F223B8F528C3}"/>
    <cellStyle name="Normal 24 3" xfId="1252" xr:uid="{7F830370-E3BE-4B4A-9EBD-ADEDD823E3B1}"/>
    <cellStyle name="Normal 24 3 2" xfId="1253" xr:uid="{5C76185D-48FB-4E73-ADCD-2EB53A80A019}"/>
    <cellStyle name="Normal 24 3 3" xfId="1254" xr:uid="{75727784-29DE-4294-8BDB-CA3324747158}"/>
    <cellStyle name="Normal 24 3 4" xfId="1255" xr:uid="{58B2976F-3657-439B-954B-119565B26D35}"/>
    <cellStyle name="Normal 24 4" xfId="1256" xr:uid="{D1B66110-56E0-4CE4-AC09-6B61C9DB1C0F}"/>
    <cellStyle name="Normal 25" xfId="1257" xr:uid="{63B7CA11-161E-427A-8D00-83A1EC377F65}"/>
    <cellStyle name="Normal 26" xfId="1258" xr:uid="{AF834B91-81A8-4AC8-A3F7-E9701F72EE5E}"/>
    <cellStyle name="Normal 27" xfId="1259" xr:uid="{16790D9F-2519-4E1B-B7A7-AD9A3384D250}"/>
    <cellStyle name="Normal 27 2" xfId="1260" xr:uid="{BB2B6F5D-07D3-483E-961B-3038268A7414}"/>
    <cellStyle name="Normal 27 2 2" xfId="1261" xr:uid="{EF975566-A49C-4F55-A904-A3F928CEB39C}"/>
    <cellStyle name="Normal 27 2 3" xfId="1262" xr:uid="{FC84FCAE-F7DE-4643-9106-91CF2ACD06D6}"/>
    <cellStyle name="Normal 27 2 4" xfId="1263" xr:uid="{785183E3-4553-4F4C-BE3B-A65EBDEB173D}"/>
    <cellStyle name="Normal 27 3" xfId="1264" xr:uid="{FDF86919-1718-4799-9413-2828CC648BB7}"/>
    <cellStyle name="Normal 27 3 2" xfId="1265" xr:uid="{43E3649C-5195-4557-BC8C-D3E61601626D}"/>
    <cellStyle name="Normal 27 3 3" xfId="1266" xr:uid="{83F1791F-9F2D-4D42-B9E7-6EDEB45087C9}"/>
    <cellStyle name="Normal 27 3 4" xfId="1267" xr:uid="{42DF1AED-AF33-4B32-A871-BAF1E41C28D8}"/>
    <cellStyle name="Normal 27 4" xfId="1268" xr:uid="{81706068-E165-4069-BE2C-E7AECFB0A257}"/>
    <cellStyle name="Normal 28" xfId="1269" xr:uid="{182AFB0E-160F-433E-864F-6C3E1E1C6162}"/>
    <cellStyle name="Normal 29" xfId="1270" xr:uid="{098AFA1B-B18C-4446-B852-6B2A312DBBDC}"/>
    <cellStyle name="Normal 29 2" xfId="1271" xr:uid="{E32D9DE3-BEF5-48E6-A6E0-FAFA3E2DE4CE}"/>
    <cellStyle name="Normal 3" xfId="443" xr:uid="{88202C23-9267-4F87-ACBB-9539AB39949A}"/>
    <cellStyle name="Normal 3 2" xfId="444" xr:uid="{37347537-F082-4DC2-B161-F40CD95E2C02}"/>
    <cellStyle name="Normal 3 2 2" xfId="445" xr:uid="{F7C32AD9-9073-450E-B8D7-E4AB7B814B3F}"/>
    <cellStyle name="Normal 3 2 2 2" xfId="1272" xr:uid="{D201F577-E9F2-40CA-9099-779BC0B95B65}"/>
    <cellStyle name="Normal 3 2 2 3" xfId="2144" xr:uid="{59701B6A-E1EC-4670-AF72-F942CBA0AFC6}"/>
    <cellStyle name="Normal 3 2 3" xfId="446" xr:uid="{5086ED43-5DDA-4551-BA62-5F8EB5CAF827}"/>
    <cellStyle name="Normal 3 2 4" xfId="1273" xr:uid="{323949B4-434A-4600-A3B0-EC70CDA281E5}"/>
    <cellStyle name="Normal 3 2 4 2" xfId="1274" xr:uid="{76675C12-A7F9-4507-B686-3F6C092BD9FC}"/>
    <cellStyle name="Normal 3 2 4 3" xfId="1275" xr:uid="{871CAA52-567E-4210-8F29-2385B6B25A16}"/>
    <cellStyle name="Normal 3 3" xfId="447" xr:uid="{50968FDF-A6C4-4A5D-BFE1-2C163493628C}"/>
    <cellStyle name="Normal 3 3 2" xfId="1276" xr:uid="{725D9E0D-A844-477B-BBDD-15C08E1D369D}"/>
    <cellStyle name="Normal 3 3 2 2" xfId="1277" xr:uid="{FAF2837E-4BB6-4231-BDB1-48A51BF1C34D}"/>
    <cellStyle name="Normal 3 3 2 2 2" xfId="448" xr:uid="{305CBCA1-CFB5-4B68-B72E-D240D27CC75F}"/>
    <cellStyle name="Normal 3 3 3" xfId="1278" xr:uid="{BE97F272-6826-427F-876E-FFC8FB0A67EC}"/>
    <cellStyle name="Normal 3 3 3 2" xfId="1279" xr:uid="{A894672D-D1C9-4E1E-982B-35C186B32FD1}"/>
    <cellStyle name="Normal 3 3 3 2 2" xfId="1280" xr:uid="{5977F010-DB49-41E3-BE9E-B2E51DF509B5}"/>
    <cellStyle name="Normal 3 3 3 2 3" xfId="1281" xr:uid="{353EED5F-B116-4BE8-B805-FAA0ED07113C}"/>
    <cellStyle name="Normal 3 3 3 2 4" xfId="1282" xr:uid="{36734A52-465F-4FB5-B84D-EFBC0FEEF756}"/>
    <cellStyle name="Normal 3 3 3 3" xfId="1283" xr:uid="{D0B3D8CE-F8A5-45D0-9717-55505F5F632C}"/>
    <cellStyle name="Normal 3 3 3 3 2" xfId="1284" xr:uid="{59736B81-BD37-4ECD-A4BB-6010D5BB50E4}"/>
    <cellStyle name="Normal 3 3 3 3 3" xfId="1285" xr:uid="{2D448118-E6F5-4803-9862-16366512A175}"/>
    <cellStyle name="Normal 3 3 3 3 4" xfId="1286" xr:uid="{C5D46472-EFC9-4073-9585-E86A440019F2}"/>
    <cellStyle name="Normal 3 3 3 4" xfId="1287" xr:uid="{D3E2A58E-9BBC-44DA-848B-E1338AA47824}"/>
    <cellStyle name="Normal 3 3 4" xfId="1288" xr:uid="{98423C27-C332-499D-B6CE-44D2ACF5D50B}"/>
    <cellStyle name="Normal 3 3 4 2" xfId="1289" xr:uid="{F72D20F2-6F25-44DA-82CD-1ACA67AE4ED7}"/>
    <cellStyle name="Normal 3 4" xfId="449" xr:uid="{BF343B18-D162-4BDE-B0A9-3F7BE961D82D}"/>
    <cellStyle name="Normal 3 4 2" xfId="1290" xr:uid="{771E7F0F-B120-448D-A3D5-8A78E6CAA257}"/>
    <cellStyle name="Normal 3 4 2 2" xfId="1291" xr:uid="{BCEE6F3D-2AE5-4760-BA51-9F334EDFC26B}"/>
    <cellStyle name="Normal 3 5" xfId="450" xr:uid="{9D5BDE9D-20C7-4E6C-8935-0BFBB08D229F}"/>
    <cellStyle name="Normal 3 5 2" xfId="1292" xr:uid="{314DED0D-1FC6-485B-A947-7B724A1A63C3}"/>
    <cellStyle name="Normal 3 6" xfId="451" xr:uid="{3A1AA611-7BBB-47E1-B63A-FC480AB72A30}"/>
    <cellStyle name="Normal 3 6 2" xfId="1293" xr:uid="{731B2DCB-2909-491B-88A7-1AE1137D901F}"/>
    <cellStyle name="Normal 3 7" xfId="2136" xr:uid="{3B388BAC-8AAB-49D3-837A-07463F4FBE3D}"/>
    <cellStyle name="Normal 3 7 2" xfId="2156" xr:uid="{03F98094-A58D-4A1A-9E4C-56BBDAEECF74}"/>
    <cellStyle name="Normal 3_Contractors Performance Sheet - Summary" xfId="2125" xr:uid="{C4F8A42F-D0B3-402D-8D5C-83184E425DF4}"/>
    <cellStyle name="Normal 30" xfId="1294" xr:uid="{7F214AF6-5DD4-4F80-A50C-B7E4B9C6C834}"/>
    <cellStyle name="Normal 30 2" xfId="1295" xr:uid="{E148CDA4-1BEB-4E5D-8279-0D35C9BEF336}"/>
    <cellStyle name="Normal 31" xfId="1296" xr:uid="{C5A9DA6A-22A9-49F8-94B6-8B4EC451796B}"/>
    <cellStyle name="Normal 31 2" xfId="1297" xr:uid="{E26E6420-6C51-4E28-87A4-B09084E5D241}"/>
    <cellStyle name="Normal 31 2 2" xfId="1298" xr:uid="{B5CF61AB-3E0B-4EF5-9ED6-F0FBB2C9F18B}"/>
    <cellStyle name="Normal 31 2 3" xfId="1299" xr:uid="{7F07BD79-545F-4213-859F-1A03F19B4401}"/>
    <cellStyle name="Normal 31 2 4" xfId="1300" xr:uid="{1AE54EDE-2181-4DAF-B792-E0156BADEBC8}"/>
    <cellStyle name="Normal 31 3" xfId="1301" xr:uid="{1DC7EFD3-5D9E-4128-BF49-EC062F366079}"/>
    <cellStyle name="Normal 31 3 2" xfId="1302" xr:uid="{76BEEEAD-F50B-4D95-8A64-D0FD138E81DD}"/>
    <cellStyle name="Normal 31 3 3" xfId="1303" xr:uid="{D0DCFAEE-C41B-451C-B30C-46D294FE0627}"/>
    <cellStyle name="Normal 31 3 4" xfId="1304" xr:uid="{AED703CA-2D3E-42C3-A1E8-BDF4DE6681E7}"/>
    <cellStyle name="Normal 31 4" xfId="1305" xr:uid="{5AB1D807-9AA7-43F2-8216-1FF4F16987FF}"/>
    <cellStyle name="Normal 32" xfId="1306" xr:uid="{6A3F3650-DCCE-4C14-81CF-6227C4F035B3}"/>
    <cellStyle name="Normal 32 2" xfId="1307" xr:uid="{953ADF6A-11D5-4ACA-A2C7-1793F43693CC}"/>
    <cellStyle name="Normal 32 2 2" xfId="1308" xr:uid="{D1359B6E-9BCB-44FE-BFA3-C1FE856D88B5}"/>
    <cellStyle name="Normal 32 2 2 2" xfId="1309" xr:uid="{C5A1A7E2-6800-4AA5-B985-7B746A73D1CB}"/>
    <cellStyle name="Normal 32 2 2 3" xfId="1310" xr:uid="{A302871A-498F-4AF2-8962-DED1854DAB2C}"/>
    <cellStyle name="Normal 32 2 2 4" xfId="1311" xr:uid="{D49BA55A-41B1-4E36-A357-2E1F621FB0B6}"/>
    <cellStyle name="Normal 32 2 3" xfId="1312" xr:uid="{2B11BD76-2557-4E1E-861B-B69EA5A8DA61}"/>
    <cellStyle name="Normal 32 2 3 2" xfId="1313" xr:uid="{A7D338D3-9872-4D05-A32B-0EBFDAAB1A1E}"/>
    <cellStyle name="Normal 32 2 3 3" xfId="1314" xr:uid="{C60B1091-82DE-45D6-8364-D68BC9AE50C0}"/>
    <cellStyle name="Normal 32 2 3 4" xfId="1315" xr:uid="{228EE0A2-A0B2-4C1A-8083-691FE59656B5}"/>
    <cellStyle name="Normal 32 2 4" xfId="1316" xr:uid="{F80C0D1E-E032-45FA-9039-9B88099A5A57}"/>
    <cellStyle name="Normal 32 3" xfId="1317" xr:uid="{8DF2EE53-E3E8-4C79-B6EE-C0E763D7133E}"/>
    <cellStyle name="Normal 32 3 2" xfId="1318" xr:uid="{B5528778-5F3D-45A5-8728-D04FDFA5AA84}"/>
    <cellStyle name="Normal 32 3 3" xfId="1319" xr:uid="{9668674F-C8CB-4887-8B94-40B561F61D31}"/>
    <cellStyle name="Normal 32 3 4" xfId="1320" xr:uid="{52AB8DFE-8FEB-4599-B2D1-CA9D8A2CF285}"/>
    <cellStyle name="Normal 32 4" xfId="1321" xr:uid="{5FCCB39F-11B8-46F4-B630-A69FD21AF447}"/>
    <cellStyle name="Normal 32 4 2" xfId="1322" xr:uid="{DFEE78B0-C7FD-4C70-8947-75B13BF38DC2}"/>
    <cellStyle name="Normal 32 4 3" xfId="1323" xr:uid="{A85A393B-F6DF-4EC4-8640-716F1DEA188B}"/>
    <cellStyle name="Normal 32 4 4" xfId="1324" xr:uid="{18207108-36B5-41B0-BEDE-2ED9B8901F6B}"/>
    <cellStyle name="Normal 32 5" xfId="1325" xr:uid="{CF7BB689-E88A-4A7B-AFE8-7F0AA0B941A7}"/>
    <cellStyle name="Normal 33" xfId="1326" xr:uid="{0C28388F-BC46-42D9-91E1-27AA06B6EDFD}"/>
    <cellStyle name="Normal 33 2" xfId="1327" xr:uid="{B14DB39D-274C-4E6E-A3D1-9AC9EBA2377C}"/>
    <cellStyle name="Normal 33 3" xfId="2145" xr:uid="{2C20B025-EA50-4DE4-9E78-10C355A82BCE}"/>
    <cellStyle name="Normal 34" xfId="1328" xr:uid="{9DA5E19C-6BFE-453F-9AB0-24496B2B0BFD}"/>
    <cellStyle name="Normal 34 2" xfId="1329" xr:uid="{10B7FFE3-8F2A-473F-85A0-B01609CEEDD5}"/>
    <cellStyle name="Normal 34 2 2" xfId="1330" xr:uid="{FE659740-DE19-4036-8CED-C6F3A414A2AC}"/>
    <cellStyle name="Normal 34 2 3" xfId="1331" xr:uid="{00C2CDB2-CC32-4AE5-9C71-DC052960DC0A}"/>
    <cellStyle name="Normal 34 2 4" xfId="1332" xr:uid="{5A69C6CF-B54F-4749-B731-79B7AAE2340A}"/>
    <cellStyle name="Normal 34 3" xfId="1333" xr:uid="{33C95574-FC11-4968-A32C-620FCE9A99E5}"/>
    <cellStyle name="Normal 34 3 2" xfId="1334" xr:uid="{A705733A-4483-414C-B020-0E77AB8E1C06}"/>
    <cellStyle name="Normal 34 3 3" xfId="1335" xr:uid="{7C30B367-9485-4D38-A113-15C8822860C0}"/>
    <cellStyle name="Normal 34 3 4" xfId="1336" xr:uid="{B5CB6F75-5347-4E49-A253-5F559788318D}"/>
    <cellStyle name="Normal 34 4" xfId="2146" xr:uid="{14F7A23E-64D1-4458-9E6D-2AFABAFB7165}"/>
    <cellStyle name="Normal 35" xfId="1337" xr:uid="{D728EAEE-72CA-4E2C-B0C7-489F8E16F167}"/>
    <cellStyle name="Normal 35 2" xfId="1338" xr:uid="{F3218497-258D-4AE7-8917-F24A93CEE0E9}"/>
    <cellStyle name="Normal 35 2 2" xfId="1339" xr:uid="{7856C22B-9CB8-45A7-82CC-2B67BE7C91C2}"/>
    <cellStyle name="Normal 35 2 3" xfId="1340" xr:uid="{0407830D-5702-4572-931A-82F0FE8FB1E2}"/>
    <cellStyle name="Normal 35 2 4" xfId="1341" xr:uid="{B005795B-4FA6-437B-BFC6-DCC5DB375085}"/>
    <cellStyle name="Normal 35 3" xfId="1342" xr:uid="{EF6EDB3E-D53D-4CC5-809E-C3A705507547}"/>
    <cellStyle name="Normal 35 3 2" xfId="1343" xr:uid="{063451DC-8648-4F9F-A14F-0D5DFA66C675}"/>
    <cellStyle name="Normal 35 3 3" xfId="1344" xr:uid="{B6099DFC-1DE9-496E-AA5D-9C86E7E9E03D}"/>
    <cellStyle name="Normal 35 3 4" xfId="1345" xr:uid="{6FB92F33-A50D-47C9-8083-D124E740F1C5}"/>
    <cellStyle name="Normal 36" xfId="1346" xr:uid="{E0BAE6AC-BC45-4363-A6F2-EDF5FC800AE3}"/>
    <cellStyle name="Normal 36 2" xfId="1347" xr:uid="{E8D3DDFC-2753-4C07-854A-1FA1F9C04A1D}"/>
    <cellStyle name="Normal 36 2 2" xfId="1348" xr:uid="{C2CB5C35-277A-4E12-8151-BCDDF6297F2E}"/>
    <cellStyle name="Normal 36 2 3" xfId="1349" xr:uid="{D58FA5CD-13D9-4B98-B42D-336ACC9561A5}"/>
    <cellStyle name="Normal 36 2 4" xfId="1350" xr:uid="{EC0B640C-8A80-4627-A15F-5BBD80817FE1}"/>
    <cellStyle name="Normal 36 3" xfId="1351" xr:uid="{25FC63FC-1FA4-459B-9B93-1CD14DD8C039}"/>
    <cellStyle name="Normal 36 3 2" xfId="1352" xr:uid="{D43C03EB-E760-4328-9B00-66CF883C09B4}"/>
    <cellStyle name="Normal 36 3 3" xfId="1353" xr:uid="{EBB67027-A5AF-4B69-91BE-0400358D9C53}"/>
    <cellStyle name="Normal 36 3 4" xfId="1354" xr:uid="{FF40ACAB-46DE-487F-9FE2-379DF46B9685}"/>
    <cellStyle name="Normal 37" xfId="1355" xr:uid="{A7A03100-C0C0-45E6-9B48-4194865788BA}"/>
    <cellStyle name="Normal 38" xfId="1356" xr:uid="{D3D5D99E-68B2-44CB-93CB-1A42B1EB20B0}"/>
    <cellStyle name="Normal 39" xfId="1357" xr:uid="{D729B289-396E-4CAC-A76E-7D92B0FE4322}"/>
    <cellStyle name="Normal 4" xfId="452" xr:uid="{505A8519-35F5-4D0E-9DF6-0A5B553FE173}"/>
    <cellStyle name="Normal 4 2" xfId="453" xr:uid="{C9CFA15B-1363-4389-B6D5-05687008F1A6}"/>
    <cellStyle name="Normal 4 2 2" xfId="454" xr:uid="{CBA9903B-D9F9-44AB-ADA0-33A1A6290CA7}"/>
    <cellStyle name="Normal 4 2 3" xfId="1358" xr:uid="{D6600279-3DD2-4981-8955-510321BB4734}"/>
    <cellStyle name="Normal 4 2 3 2" xfId="1359" xr:uid="{62722636-1454-4033-9E22-91FFC1656909}"/>
    <cellStyle name="Normal 4 2 4" xfId="1360" xr:uid="{70A043A1-6DF0-4A2B-AF03-7CA2C2D6F652}"/>
    <cellStyle name="Normal 4 3" xfId="455" xr:uid="{086B2AFE-1E0C-4CE7-9FF6-D325163CA911}"/>
    <cellStyle name="Normal 4 3 2" xfId="1361" xr:uid="{2910245A-47A5-4D43-90FD-1B9803064DB8}"/>
    <cellStyle name="Normal 4 3 3" xfId="2147" xr:uid="{442A7394-0B28-4724-AF6B-BFE8A8C0FF64}"/>
    <cellStyle name="Normal 4 4" xfId="456" xr:uid="{FD505E61-448D-4AA1-90D6-F3FAA802148D}"/>
    <cellStyle name="Normal 4 4 2" xfId="1362" xr:uid="{39E41B3A-E6A3-4283-AF7B-E4434E8D02F8}"/>
    <cellStyle name="Normal 4 4 2 2" xfId="1363" xr:uid="{35697202-95C7-45B8-AA90-4338907A4653}"/>
    <cellStyle name="Normal 4 4 2 3" xfId="1364" xr:uid="{AE8E4642-6608-4D79-84CB-E5BF5EA05480}"/>
    <cellStyle name="Normal 4 4 2 4" xfId="1365" xr:uid="{44D4458C-9080-48E3-9D2B-DE5A0713922B}"/>
    <cellStyle name="Normal 4 4 3" xfId="1366" xr:uid="{43188DC6-2368-4898-A750-EAEB1DBFC400}"/>
    <cellStyle name="Normal 4 4 3 2" xfId="1367" xr:uid="{D529F2F7-49CB-4FCD-A8C8-AE98755CB919}"/>
    <cellStyle name="Normal 4 4 3 3" xfId="1368" xr:uid="{7CD45CA4-AD88-47D6-9BE0-EA85644462A1}"/>
    <cellStyle name="Normal 4 4 3 4" xfId="1369" xr:uid="{35C9CF9E-2C1D-4A85-B5CA-8A8E7C7544C7}"/>
    <cellStyle name="Normal 4 4 4" xfId="1370" xr:uid="{C5E4F1BC-103B-4019-B493-C9345E1B0E5F}"/>
    <cellStyle name="Normal 4 4 5" xfId="1371" xr:uid="{11E2B7E6-0BE2-4459-A7ED-CF7694CE37BA}"/>
    <cellStyle name="Normal 4 5" xfId="457" xr:uid="{B4B0E529-581B-46B9-ACF9-344F01B1DA4A}"/>
    <cellStyle name="Normal 4 6" xfId="458" xr:uid="{229F86A3-E4D1-4E4D-8325-1D252B321103}"/>
    <cellStyle name="Normal 4 7" xfId="459" xr:uid="{6CDCBABC-E7B2-48FF-8FC7-6759769041E0}"/>
    <cellStyle name="Normal 4 8" xfId="2" xr:uid="{119ED721-8849-48F3-9FBB-78A45A4D6E4A}"/>
    <cellStyle name="Normal 4_DATE WISE PROGRAMME" xfId="460" xr:uid="{3C8A484D-FCE4-4612-AE30-5881097CF1FE}"/>
    <cellStyle name="Normal 40" xfId="1372" xr:uid="{37ADC294-A3E3-435A-9D4D-B05EE30D6FCD}"/>
    <cellStyle name="Normal 41" xfId="1373" xr:uid="{6653DA02-850A-463E-8E74-C2E5004B38E2}"/>
    <cellStyle name="Normal 42" xfId="1374" xr:uid="{9EDE3AB1-849D-4478-AF2A-189F9D310279}"/>
    <cellStyle name="Normal 43" xfId="1375" xr:uid="{699D2545-812A-4670-AC17-5B40F5C7A060}"/>
    <cellStyle name="Normal 44" xfId="9" xr:uid="{81584171-6045-4AAD-BD3A-791D635280E5}"/>
    <cellStyle name="Normal 45" xfId="1376" xr:uid="{C1684759-F34E-4AB3-8641-DED2922AFA88}"/>
    <cellStyle name="Normal 46" xfId="1377" xr:uid="{39B8ACA3-E603-4FBC-B5BE-9808953BC96B}"/>
    <cellStyle name="Normal 46 2" xfId="1378" xr:uid="{4DA91A84-5868-4E4F-98BF-A601A9283D7E}"/>
    <cellStyle name="Normal 47" xfId="1379" xr:uid="{C578426C-C83E-4EE2-8DF5-C8BC9B597775}"/>
    <cellStyle name="Normal 48" xfId="1380" xr:uid="{9BFFDDD6-4A01-4969-ACC1-ED270BD67A44}"/>
    <cellStyle name="Normal 48 2" xfId="2126" xr:uid="{1BEFEA18-CE25-42B9-A19A-89F384369373}"/>
    <cellStyle name="Normal 49" xfId="1381" xr:uid="{246D3293-2C60-471A-AEF3-FCEA3BA81DB3}"/>
    <cellStyle name="Normal 5" xfId="7" xr:uid="{C0D2EED9-610B-42AF-855C-3774FC7524FE}"/>
    <cellStyle name="Normal 5 2" xfId="461" xr:uid="{EC3B3559-3110-40BB-B79E-B9AC3727E9EE}"/>
    <cellStyle name="Normal 5 2 2" xfId="1382" xr:uid="{E453D840-324C-45E3-A178-1CE1CD34436E}"/>
    <cellStyle name="Normal 5 2 2 2" xfId="1383" xr:uid="{683D4084-6D78-4A24-94DE-FA6F8B117819}"/>
    <cellStyle name="Normal 5 2 2 2 2" xfId="1384" xr:uid="{F5636F2B-0954-4ECB-B149-B885D39E997A}"/>
    <cellStyle name="Normal 5 2 2 2 3" xfId="1385" xr:uid="{6B386A60-5106-49B1-A42B-41835200CB3F}"/>
    <cellStyle name="Normal 5 2 2 2 4" xfId="1386" xr:uid="{7348A600-68E5-421F-8D02-6C5D607B93D7}"/>
    <cellStyle name="Normal 5 2 2 3" xfId="1387" xr:uid="{D311C7B6-5DF5-4A48-83D8-DAD19842B3FD}"/>
    <cellStyle name="Normal 5 2 2 3 2" xfId="1388" xr:uid="{3C413A31-9404-4E30-8909-CEA6AA276850}"/>
    <cellStyle name="Normal 5 2 2 3 3" xfId="1389" xr:uid="{4ABDEA88-58F0-4C52-B8BD-F4DB417A5258}"/>
    <cellStyle name="Normal 5 2 2 3 4" xfId="1390" xr:uid="{9B934D9C-83BC-438C-ACC8-9BC48C8C1441}"/>
    <cellStyle name="Normal 5 2 2 4" xfId="1391" xr:uid="{C2703FC3-ED5A-4FDB-919D-30D5AF89223F}"/>
    <cellStyle name="Normal 5 3" xfId="462" xr:uid="{E3A07E29-0076-4E89-8FF6-C715BA1FFFFD}"/>
    <cellStyle name="Normal 5 3 2" xfId="1392" xr:uid="{0CB4B3D9-962C-40D7-95C9-19FE4E3382EF}"/>
    <cellStyle name="Normal 5 4" xfId="463" xr:uid="{84E75790-5F9A-4999-B068-B20D47932083}"/>
    <cellStyle name="Normal 5 5" xfId="1393" xr:uid="{A16FDE9A-6D2F-42D1-91F2-891032392AC5}"/>
    <cellStyle name="Normal 50" xfId="1394" xr:uid="{37512589-821A-46FC-B048-C219ED85DAA1}"/>
    <cellStyle name="Normal 51" xfId="1395" xr:uid="{C65C5DBD-78B3-4224-9B0C-BADB7B927C58}"/>
    <cellStyle name="Normal 52" xfId="1396" xr:uid="{518D9183-614E-46B2-9C47-46776FCC2BA5}"/>
    <cellStyle name="Normal 53" xfId="1397" xr:uid="{A5B54E84-4603-4FC3-B1EC-A749ED093CFC}"/>
    <cellStyle name="Normal 54" xfId="1398" xr:uid="{FA304283-4CC3-41A6-99E8-0E64E1CCF02F}"/>
    <cellStyle name="Normal 55" xfId="1399" xr:uid="{49DC1393-40C4-4D95-97E5-6511B7AAAFEB}"/>
    <cellStyle name="Normal 56" xfId="1400" xr:uid="{8D45D8BF-3D0A-4895-B1AF-404900F27689}"/>
    <cellStyle name="Normal 57" xfId="1401" xr:uid="{3BC7D0AC-5DFD-4590-A7AD-D7BD08616398}"/>
    <cellStyle name="Normal 58" xfId="1402" xr:uid="{B049B91A-FE1A-4B7C-AB9C-7A7C849E6E2B}"/>
    <cellStyle name="Normal 58 2" xfId="1403" xr:uid="{FE119439-16AE-4654-BE2C-842CE580E406}"/>
    <cellStyle name="Normal 58 3" xfId="1404" xr:uid="{708EF23B-5C36-4157-99CC-6EC5183A2BD4}"/>
    <cellStyle name="Normal 58 4" xfId="1405" xr:uid="{97B7FC78-4BC9-4276-997C-1019F1632F57}"/>
    <cellStyle name="Normal 59" xfId="1406" xr:uid="{FD1CAAD7-7AA1-42AA-B005-C7FF38EA5072}"/>
    <cellStyle name="Normal 6" xfId="464" xr:uid="{810B5B14-70E2-4F2A-AEA5-C22AE0F3CB3B}"/>
    <cellStyle name="Normal 6 2" xfId="465" xr:uid="{273E1FFE-8CA3-42C2-80B5-E8E08DECBE01}"/>
    <cellStyle name="Normal 6 2 2" xfId="1407" xr:uid="{E9B9FDE9-6D41-4A4B-9311-2FCA496EF129}"/>
    <cellStyle name="Normal 6 2 2 2" xfId="1408" xr:uid="{E1939297-7406-4B1E-AC5E-76C706BD05F5}"/>
    <cellStyle name="Normal 6 2 2 3" xfId="1409" xr:uid="{44324FEC-7E2E-407C-8C12-7FBD609E212E}"/>
    <cellStyle name="Normal 6 2 3" xfId="1410" xr:uid="{58CC61AD-EE9C-4951-AE10-2A89C003DF7A}"/>
    <cellStyle name="Normal 6 2 4" xfId="1411" xr:uid="{7BB3B722-A59B-4903-AD2C-DF8176EF84BF}"/>
    <cellStyle name="Normal 6 3" xfId="466" xr:uid="{EA9022D9-EB07-4249-A18B-C02C1EE3B007}"/>
    <cellStyle name="Normal 6 4" xfId="1412" xr:uid="{9FB62DC7-8A6E-46C4-AFF9-393D406B391F}"/>
    <cellStyle name="Normal 6 4 2" xfId="1413" xr:uid="{AA8FD994-C348-46A6-A59C-FD47B26EF29D}"/>
    <cellStyle name="Normal 6 5" xfId="2148" xr:uid="{41DEF75B-2DE6-45E8-946D-B7144B5A90F8}"/>
    <cellStyle name="Normal 60" xfId="1414" xr:uid="{C38C00E4-B3C9-480A-9341-4ED4C6E458F9}"/>
    <cellStyle name="Normal 61" xfId="1415" xr:uid="{50D03D04-1F56-4354-894D-3DE988C60BB0}"/>
    <cellStyle name="Normal 62" xfId="1416" xr:uid="{42BA973B-C3B2-44CC-B9BB-BB42C413E934}"/>
    <cellStyle name="Normal 63" xfId="1417" xr:uid="{9E26083E-87C7-4045-AC01-6FDFC3E94448}"/>
    <cellStyle name="Normal 64" xfId="1418" xr:uid="{03BA037A-A8FD-402C-ADB1-B768BCB9C6FB}"/>
    <cellStyle name="Normal 65" xfId="1419" xr:uid="{26928226-AC9C-4F08-B521-C01FFFDC0952}"/>
    <cellStyle name="Normal 66" xfId="1420" xr:uid="{CA57F9C6-F36C-44B7-B4C4-74144C0F4FB4}"/>
    <cellStyle name="Normal 67" xfId="1421" xr:uid="{4737E8C8-3A5F-4B46-9A8B-6E82CD40AD4B}"/>
    <cellStyle name="Normal 68" xfId="1422" xr:uid="{7CEC31E4-76B4-4B4D-A8BD-9F0660533E3E}"/>
    <cellStyle name="Normal 69" xfId="1423" xr:uid="{DDEE6F66-F928-43E0-9778-A1083E1BB94F}"/>
    <cellStyle name="Normal 7" xfId="467" xr:uid="{F25B9A01-C891-43BE-989A-A3EC94C898C6}"/>
    <cellStyle name="Normal 7 2" xfId="468" xr:uid="{220D2054-88FC-4B5F-A08B-0F47B4235365}"/>
    <cellStyle name="Normal 7 2 2" xfId="1424" xr:uid="{A527C428-CD56-4490-A2C9-B4A509691BF0}"/>
    <cellStyle name="Normal 7 3" xfId="469" xr:uid="{2F5A81D2-87ED-4DF8-9E86-F02DF674EB5B}"/>
    <cellStyle name="Normal 7 3 2" xfId="1425" xr:uid="{6C3FF89D-6200-471F-8617-6DBA542B8E57}"/>
    <cellStyle name="Normal 7 3 2 2" xfId="1426" xr:uid="{D5004CB6-727D-4202-8F9D-1D3B5A4187AE}"/>
    <cellStyle name="Normal 7 4" xfId="1427" xr:uid="{DDA4121C-0187-4E4A-8A5B-2238925785F5}"/>
    <cellStyle name="Normal 7 4 2" xfId="1428" xr:uid="{EF3CB8CF-B8E0-475B-95DE-24817661EEE6}"/>
    <cellStyle name="Normal 7 4 2 2" xfId="1429" xr:uid="{67E09C0F-0DB4-4AE0-AE08-88A3556E169C}"/>
    <cellStyle name="Normal 7 4 2 2 2" xfId="1430" xr:uid="{8263A66A-3601-4618-BBA5-ED8C58A8E03B}"/>
    <cellStyle name="Normal 7 4 2 2 3" xfId="1431" xr:uid="{37637460-9729-47F1-BBED-8F4C4E8A95F0}"/>
    <cellStyle name="Normal 7 4 2 2 4" xfId="1432" xr:uid="{7EDB88DB-3A32-415E-941D-77DCF193C152}"/>
    <cellStyle name="Normal 7 4 2 3" xfId="1433" xr:uid="{854D179C-352E-42C3-A4B6-05A2E1401DCF}"/>
    <cellStyle name="Normal 7 4 2 3 2" xfId="1434" xr:uid="{8A15F091-CEC2-4C56-BA05-199CE220B229}"/>
    <cellStyle name="Normal 7 4 2 3 3" xfId="1435" xr:uid="{4C8E0CEA-F114-4B8E-843C-0F363F7ED095}"/>
    <cellStyle name="Normal 7 4 2 3 4" xfId="1436" xr:uid="{744F0D08-5B17-4EC9-B7B1-46DE97F19381}"/>
    <cellStyle name="Normal 7 4 2 4" xfId="1437" xr:uid="{73FB70B2-B79C-4856-91EA-FCFD44BDE8E5}"/>
    <cellStyle name="Normal 7 4 3" xfId="1438" xr:uid="{A79D4208-F991-4032-82AE-C175555FBD20}"/>
    <cellStyle name="Normal 7 4 3 2" xfId="1439" xr:uid="{36CB7E0B-06A6-407D-8307-089456FD74C4}"/>
    <cellStyle name="Normal 7 4 3 3" xfId="1440" xr:uid="{65AFE842-5972-4835-BF39-54DD4F114103}"/>
    <cellStyle name="Normal 7 4 3 4" xfId="1441" xr:uid="{BD1FEAFC-E97F-4BA2-8B6F-1C8777A9567D}"/>
    <cellStyle name="Normal 7 4 4" xfId="1442" xr:uid="{01606BE3-2F7D-4F25-A060-5C6BB72D4D97}"/>
    <cellStyle name="Normal 7 4 4 2" xfId="1443" xr:uid="{D0B36623-3F67-49F5-A26C-6EECBA764EF1}"/>
    <cellStyle name="Normal 7 4 4 3" xfId="1444" xr:uid="{038C5541-F4E0-418A-B61B-DCA253978419}"/>
    <cellStyle name="Normal 7 4 4 4" xfId="1445" xr:uid="{5794357A-7F33-4B4F-918B-27F6001F7EC8}"/>
    <cellStyle name="Normal 7 4 5" xfId="1446" xr:uid="{57271E13-1A1C-4FE5-B402-B7E9ED21455A}"/>
    <cellStyle name="Normal 7 5" xfId="1447" xr:uid="{3C5974E7-1287-4DE4-B81A-6B9787B518F6}"/>
    <cellStyle name="Normal 7 5 2" xfId="1448" xr:uid="{DBA2BF68-3DE6-4D1C-AE62-75DC84A48EAF}"/>
    <cellStyle name="Normal 7 5 2 2" xfId="1449" xr:uid="{98861FEC-5270-4745-90C3-688935A97CFD}"/>
    <cellStyle name="Normal 7 5 2 3" xfId="1450" xr:uid="{2BEBC574-0269-4FB0-9C20-E099F41509F3}"/>
    <cellStyle name="Normal 7 5 2 4" xfId="1451" xr:uid="{E0A97897-D040-4398-8817-DAC41A8A4A25}"/>
    <cellStyle name="Normal 7 5 3" xfId="1452" xr:uid="{AD4AC2F7-5A26-4000-B3C5-E9D580444254}"/>
    <cellStyle name="Normal 7 5 3 2" xfId="1453" xr:uid="{014AA49C-4F0E-43FE-81A2-0380699DD7F4}"/>
    <cellStyle name="Normal 7 5 3 3" xfId="1454" xr:uid="{0134EF3B-0FE1-456E-BF87-61BC0C837742}"/>
    <cellStyle name="Normal 7 5 3 4" xfId="1455" xr:uid="{3DB7D387-53A0-46B9-9E2A-E89D1238EEBF}"/>
    <cellStyle name="Normal 7 5 4" xfId="1456" xr:uid="{3EC72DA2-51F0-4EEA-AB57-1AF1BAE7D076}"/>
    <cellStyle name="Normal 7 6" xfId="1457" xr:uid="{172065A1-3F13-40B8-86E8-FBFDD32C296C}"/>
    <cellStyle name="Normal 7 7" xfId="1458" xr:uid="{3B7BA696-9284-406A-B51F-2AA827CBB499}"/>
    <cellStyle name="Normal 70" xfId="1459" xr:uid="{07006152-90C6-4148-8A9C-5AE1D7B54F7E}"/>
    <cellStyle name="Normal 71" xfId="1460" xr:uid="{581431EC-F1D7-41B9-B555-957B55C746D5}"/>
    <cellStyle name="Normal 71 2" xfId="1461" xr:uid="{6C1AFB82-5352-494F-AAC4-AF4E73E5773F}"/>
    <cellStyle name="Normal 71 2 2" xfId="1462" xr:uid="{8DBCBB05-89B4-4F55-9494-16CB2CB6A4BC}"/>
    <cellStyle name="Normal 71 2 3" xfId="1463" xr:uid="{BF7C09B1-2E03-490F-B402-706EEF3BEAA6}"/>
    <cellStyle name="Normal 71 2 4" xfId="1464" xr:uid="{6B60ADF7-E6E3-4F14-AF33-515B6D078668}"/>
    <cellStyle name="Normal 71 3" xfId="1465" xr:uid="{E9C81628-D908-499A-A71C-434503B9A27A}"/>
    <cellStyle name="Normal 71 3 2" xfId="1466" xr:uid="{8B6D67CD-84A1-4B06-81C3-A51A9E1A1B39}"/>
    <cellStyle name="Normal 71 3 3" xfId="1467" xr:uid="{674A82BB-E236-4740-AE86-4127B1FDBDEE}"/>
    <cellStyle name="Normal 71 3 4" xfId="1468" xr:uid="{C21AD8EF-AE17-4189-93CE-CD0BDB53AC86}"/>
    <cellStyle name="Normal 71 4" xfId="1469" xr:uid="{A4A61AD0-94BB-4466-A3F2-9B5581987CBD}"/>
    <cellStyle name="Normal 72" xfId="1470" xr:uid="{0A0C917E-E961-4A09-980E-4678A0804B5E}"/>
    <cellStyle name="Normal 73" xfId="1471" xr:uid="{6747692B-D242-4EE9-9E73-05D53B1D85CE}"/>
    <cellStyle name="Normal 74" xfId="1472" xr:uid="{AD3D249E-3599-4477-8955-C2A113A46AA0}"/>
    <cellStyle name="Normal 75" xfId="1473" xr:uid="{75BB48EA-F7C8-4378-B2D4-3CADB59075B7}"/>
    <cellStyle name="Normal 76" xfId="1474" xr:uid="{DA2F53C7-1976-49BE-8E74-44413D74DEAA}"/>
    <cellStyle name="Normal 77" xfId="1475" xr:uid="{09BCFAAD-DD0A-4AC3-A409-ED90DCC38F6F}"/>
    <cellStyle name="Normal 78" xfId="1476" xr:uid="{2F91C60F-7F60-4CDD-8890-F6394CA6C4D4}"/>
    <cellStyle name="Normal 78 2" xfId="1477" xr:uid="{F0D5B74E-62C1-45A1-A286-0B0D5E176FF3}"/>
    <cellStyle name="Normal 78 3" xfId="1478" xr:uid="{C63DED61-81F8-4225-AC40-C36A8C2014B6}"/>
    <cellStyle name="Normal 78 4" xfId="1479" xr:uid="{5D623B87-2CF9-410C-AB2B-041D649017D3}"/>
    <cellStyle name="Normal 79" xfId="1480" xr:uid="{E24D11C3-2184-4197-81E7-00A444B485A1}"/>
    <cellStyle name="Normal 79 2" xfId="1481" xr:uid="{E9E8741D-9E3A-4527-9036-DA62AB481609}"/>
    <cellStyle name="Normal 79 3" xfId="1482" xr:uid="{BD3903D6-24C7-40AB-83EE-05C5491EA5E4}"/>
    <cellStyle name="Normal 79 4" xfId="1483" xr:uid="{23DBDBB3-7CEC-4861-ACB7-87A4B52FADC5}"/>
    <cellStyle name="Normal 8" xfId="5" xr:uid="{292A0611-C976-42F3-96A2-CBA01A8B46AE}"/>
    <cellStyle name="Normal 8 2" xfId="470" xr:uid="{0DC94EF3-6F35-42B5-924A-5C2969144CF6}"/>
    <cellStyle name="Normal 8 2 2" xfId="1484" xr:uid="{63840347-CBE7-4565-A431-DBF4CAC227D6}"/>
    <cellStyle name="Normal 8 2 3" xfId="1485" xr:uid="{D4346864-5D77-4DEB-8934-01997001E1B1}"/>
    <cellStyle name="Normal 8 2 3 2" xfId="1486" xr:uid="{E6ED8143-9B6A-433F-9BF4-B7BF041B3E1E}"/>
    <cellStyle name="Normal 8 2 3 3" xfId="1487" xr:uid="{B42E26CB-0B3B-408A-9261-912CD466D684}"/>
    <cellStyle name="Normal 8 2 3 4" xfId="1488" xr:uid="{D3AABEB7-9E6D-41B1-B950-F81D6120A644}"/>
    <cellStyle name="Normal 8 2 4" xfId="1489" xr:uid="{B6555386-8A3F-4FEC-80DA-43D4A9A42369}"/>
    <cellStyle name="Normal 8 2 4 2" xfId="1490" xr:uid="{B1E26FF8-787A-4CAC-B4E3-8F6E5B2075DA}"/>
    <cellStyle name="Normal 8 2 4 3" xfId="1491" xr:uid="{798E3076-5CBE-4E58-9059-D161A612C0B6}"/>
    <cellStyle name="Normal 8 2 4 4" xfId="1492" xr:uid="{E7EA42AA-0069-4EF4-9111-B9255ADD72D1}"/>
    <cellStyle name="Normal 8 3" xfId="471" xr:uid="{38CF64F7-4393-4AB8-9624-FD58D110BED2}"/>
    <cellStyle name="Normal 80" xfId="1493" xr:uid="{DFFBFCC0-2B2A-477A-A09C-4118E30FBCC3}"/>
    <cellStyle name="Normal 81" xfId="1494" xr:uid="{92FD955F-8758-4C1B-ABC3-9CF7362963AE}"/>
    <cellStyle name="Normal 82" xfId="1495" xr:uid="{CE19F4FF-5A1E-42A2-B903-68F6F8E19CD1}"/>
    <cellStyle name="Normal 83" xfId="1496" xr:uid="{D9466D87-118B-4B49-A5C5-AB6898D2EA86}"/>
    <cellStyle name="Normal 84" xfId="1497" xr:uid="{8719460F-87ED-4EA2-8F17-0312E2D53FBF}"/>
    <cellStyle name="Normal 84 2" xfId="1498" xr:uid="{FBE04CA4-B1FB-4484-84E6-80D483937C2D}"/>
    <cellStyle name="Normal 85" xfId="1499" xr:uid="{52D2F94E-767A-44F5-8D08-9B6D45BB63C4}"/>
    <cellStyle name="Normal 86" xfId="1500" xr:uid="{D13BA6CC-8961-4152-965F-65145E4CC349}"/>
    <cellStyle name="Normal 86 2" xfId="1501" xr:uid="{642098FF-109A-4F83-B251-4B29948F3E5E}"/>
    <cellStyle name="Normal 87" xfId="1502" xr:uid="{D0CC4E23-385E-4FF8-8AD7-1F044BCB5480}"/>
    <cellStyle name="Normal 88" xfId="1503" xr:uid="{4558996B-700C-41C5-A7A5-1EC363ADE61B}"/>
    <cellStyle name="Normal 89" xfId="1504" xr:uid="{F7F280F4-3DD8-4A2E-BB08-853356FF82DD}"/>
    <cellStyle name="Normal 89 2" xfId="2129" xr:uid="{5BF06BE2-AA31-408B-B0F4-EBD231A67F31}"/>
    <cellStyle name="Normal 9" xfId="472" xr:uid="{9C72C5D6-3505-4C67-8EE5-833D906674A9}"/>
    <cellStyle name="Normal 9 2" xfId="473" xr:uid="{CA62C329-4DA3-4005-8C39-861A59B1B823}"/>
    <cellStyle name="Normal 9 2 2" xfId="1505" xr:uid="{1E1D7580-F7F3-4CAB-A943-3E8A57D39592}"/>
    <cellStyle name="Normal 9 2 3" xfId="1506" xr:uid="{85AB93FC-060D-4075-B8E7-133E36C51CF7}"/>
    <cellStyle name="Normal 9 2 3 2" xfId="1507" xr:uid="{003A7600-1B2C-4F51-A414-941EE133517B}"/>
    <cellStyle name="Normal 9 2 3 2 2" xfId="1508" xr:uid="{6EA331E2-FACE-4A7C-9309-4AA82B133BB9}"/>
    <cellStyle name="Normal 9 2 3 2 3" xfId="1509" xr:uid="{CBA8D73F-EEF6-4C58-95EC-1B24454F0425}"/>
    <cellStyle name="Normal 9 2 3 2 4" xfId="1510" xr:uid="{E707D628-D6DD-4B2B-8574-AC75E03751EB}"/>
    <cellStyle name="Normal 9 2 3 3" xfId="1511" xr:uid="{06023C78-23C0-479E-93D2-AE54B1FD160E}"/>
    <cellStyle name="Normal 9 2 3 3 2" xfId="1512" xr:uid="{CD605946-6890-4CB2-8475-B2ECE6EC8A83}"/>
    <cellStyle name="Normal 9 2 3 3 3" xfId="1513" xr:uid="{7431E03A-FFFB-413C-9786-497B210D967F}"/>
    <cellStyle name="Normal 9 2 3 3 4" xfId="1514" xr:uid="{3ADD9641-1A6C-414C-843D-593E27573A4E}"/>
    <cellStyle name="Normal 9 2 3 4" xfId="1515" xr:uid="{2D0D0159-C15C-49AA-ABDC-FF6738784789}"/>
    <cellStyle name="Normal 9 3" xfId="1516" xr:uid="{44BF623D-E2BE-4847-9415-461B6C8995A9}"/>
    <cellStyle name="Normal 9 3 2" xfId="1517" xr:uid="{CFC0B468-1168-453A-B614-2FCF47C067CA}"/>
    <cellStyle name="Normal 9 3 3" xfId="1518" xr:uid="{E7DADB3D-326C-42F8-81BE-240C33BCDBD0}"/>
    <cellStyle name="Normal 9 3 3 2" xfId="1519" xr:uid="{624AD864-70D4-4AB0-AA2A-BE536EA112F1}"/>
    <cellStyle name="Normal 9 3 3 3" xfId="1520" xr:uid="{FB02BC6C-9521-43B6-80D8-B87BD164CB57}"/>
    <cellStyle name="Normal 9 3 3 4" xfId="1521" xr:uid="{B8438ED1-D047-4126-A8AE-1078EF2DE599}"/>
    <cellStyle name="Normal 9 3 4" xfId="1522" xr:uid="{87C180EE-23F2-42F3-BC59-9BAC6A80E9AC}"/>
    <cellStyle name="Normal 9 3 4 2" xfId="1523" xr:uid="{167A347C-621B-441A-AB23-A169AB1F12B8}"/>
    <cellStyle name="Normal 9 3 4 3" xfId="1524" xr:uid="{9F4C82C3-9892-4250-8353-41E7CB0A590A}"/>
    <cellStyle name="Normal 9 3 4 4" xfId="1525" xr:uid="{0CCC3E7C-3A35-458E-B925-A2DCB6E8A356}"/>
    <cellStyle name="Normal 9 3 5" xfId="1526" xr:uid="{55537770-4FF9-4984-9419-0CBA301CFC97}"/>
    <cellStyle name="Normal 9 4" xfId="1527" xr:uid="{9B77149B-6EE2-48B4-AE7D-02FD31744FDF}"/>
    <cellStyle name="Normal 90" xfId="1528" xr:uid="{4B0157B7-D392-4AD8-B591-98D820040A91}"/>
    <cellStyle name="Normal 91" xfId="1529" xr:uid="{1FD94E59-4EC2-429B-8A94-4087DF5A2939}"/>
    <cellStyle name="Normal 92" xfId="1530" xr:uid="{40B46907-51DB-485B-B276-A30A519332E7}"/>
    <cellStyle name="Normal 93" xfId="1531" xr:uid="{CABEEFB2-5313-4B85-92E2-EDB6C1A8FD9C}"/>
    <cellStyle name="Normal 94" xfId="1532" xr:uid="{7816B503-35F1-4A2E-BD42-FE71AE150740}"/>
    <cellStyle name="Normal 95" xfId="1533" xr:uid="{634F10A5-6B47-4BA2-B75E-D024E531083A}"/>
    <cellStyle name="Normal 96" xfId="1534" xr:uid="{A93D49E3-EDC5-4845-BA9C-DCC0FB390E2D}"/>
    <cellStyle name="Normal 97" xfId="1535" xr:uid="{AEF528CE-2CB0-4581-A7EB-F29D7D516F81}"/>
    <cellStyle name="Normal 98" xfId="1536" xr:uid="{315E600F-FDA8-4F46-BAEC-CD57AD3C110B}"/>
    <cellStyle name="Normal 99" xfId="1537" xr:uid="{087B8505-C47E-4611-816D-1A37BE1230E3}"/>
    <cellStyle name="normální_laroux" xfId="474" xr:uid="{F7D5A9DA-A6B9-4AA0-BE98-21A74A86B610}"/>
    <cellStyle name="Note 2" xfId="475" xr:uid="{B1194DE6-57CB-4F21-9488-F4B0F557F3AE}"/>
    <cellStyle name="Note 2 10" xfId="1538" xr:uid="{F9AC80D5-AFFE-4FAC-BE9B-6E22C68D5A1E}"/>
    <cellStyle name="Note 2 10 2" xfId="1539" xr:uid="{9445CCE5-C590-4DD4-94D0-F017EF51BAAB}"/>
    <cellStyle name="Note 2 10 3" xfId="1540" xr:uid="{F6E776C9-2A76-460B-8597-BC759E293B9C}"/>
    <cellStyle name="Note 2 11" xfId="1541" xr:uid="{416818AF-1514-4369-9B3E-EB125FDFB2F6}"/>
    <cellStyle name="Note 2 12" xfId="1542" xr:uid="{00954025-F7A2-4222-A767-26EDD3550DBA}"/>
    <cellStyle name="Note 2 2" xfId="476" xr:uid="{0E3393FF-2605-49D2-93DC-28A4341B1B2C}"/>
    <cellStyle name="Note 2 2 2" xfId="1543" xr:uid="{76AC5136-DC41-4C5F-9253-801E079052EC}"/>
    <cellStyle name="Note 2 2 2 2" xfId="1544" xr:uid="{332635E0-1252-45C0-9358-0EEAAA6F2DCD}"/>
    <cellStyle name="Note 2 2 2 3" xfId="1545" xr:uid="{CB304E0B-4916-4154-AE1E-B5326BF96D67}"/>
    <cellStyle name="Note 2 2 3" xfId="1546" xr:uid="{848B025B-7E74-45BD-861D-B2053A6ED194}"/>
    <cellStyle name="Note 2 2 4" xfId="1547" xr:uid="{88A90F63-82A8-43DA-A94A-B6046ECDE462}"/>
    <cellStyle name="Note 2 3" xfId="1548" xr:uid="{D96A3C58-7A2E-43AD-9EB1-074833763FDA}"/>
    <cellStyle name="Note 2 3 2" xfId="1549" xr:uid="{214F365B-BB5F-4425-BE5F-234F522B7208}"/>
    <cellStyle name="Note 2 3 2 2" xfId="1550" xr:uid="{E64BCE85-E0F3-4B13-A914-48D4FFB42805}"/>
    <cellStyle name="Note 2 3 2 3" xfId="1551" xr:uid="{3BF59877-0D09-421A-89A4-C739BA7DA583}"/>
    <cellStyle name="Note 2 3 3" xfId="1552" xr:uid="{18CDC0ED-31A4-48E1-91A1-0F015F1ED350}"/>
    <cellStyle name="Note 2 3 4" xfId="1553" xr:uid="{39F60B83-7891-4204-8DFC-5DF52422A739}"/>
    <cellStyle name="Note 2 4" xfId="1554" xr:uid="{E9608588-1AC5-403D-8754-41EB73A402DA}"/>
    <cellStyle name="Note 2 4 2" xfId="1555" xr:uid="{984FBC77-6794-4B7F-B7BB-6A7F7D9D45A1}"/>
    <cellStyle name="Note 2 4 2 2" xfId="1556" xr:uid="{E1BEB8E0-0611-4E65-8F84-70B195F285EB}"/>
    <cellStyle name="Note 2 4 2 3" xfId="1557" xr:uid="{D6E60617-61BA-4C90-AA16-021536010A4D}"/>
    <cellStyle name="Note 2 4 3" xfId="1558" xr:uid="{DA0551B7-25C2-4E32-878F-7D5AD385B878}"/>
    <cellStyle name="Note 2 4 4" xfId="1559" xr:uid="{9FEC150E-9594-426E-8534-84E005EAC1D5}"/>
    <cellStyle name="Note 2 5" xfId="1560" xr:uid="{C83F2845-2368-4964-B58B-61CCDC37D024}"/>
    <cellStyle name="Note 2 5 2" xfId="1561" xr:uid="{8049B5B9-73E2-4FCA-97DE-A0A0CA70F9D9}"/>
    <cellStyle name="Note 2 5 2 2" xfId="1562" xr:uid="{ECA618EF-D946-411E-95C1-7463EBCF6DFE}"/>
    <cellStyle name="Note 2 5 2 3" xfId="1563" xr:uid="{0A3EC1BC-E565-4258-A77D-FEC7192801CE}"/>
    <cellStyle name="Note 2 5 3" xfId="1564" xr:uid="{50914560-7008-4E67-AF16-C4C20D67A70F}"/>
    <cellStyle name="Note 2 5 4" xfId="1565" xr:uid="{A9F8F993-2E6D-470D-BCF8-C9D4FA62C5F6}"/>
    <cellStyle name="Note 2 6" xfId="1566" xr:uid="{BE0A1055-09D0-4E1C-AC1B-09F781B22E92}"/>
    <cellStyle name="Note 2 6 2" xfId="1567" xr:uid="{62071EF5-4140-4384-B689-3F1A9E637D54}"/>
    <cellStyle name="Note 2 6 2 2" xfId="1568" xr:uid="{2DC67EB0-7FD8-4C04-91F4-11725C79C96A}"/>
    <cellStyle name="Note 2 6 2 3" xfId="1569" xr:uid="{BB6A9F6D-D239-42E1-946E-13D0FB4D23E4}"/>
    <cellStyle name="Note 2 6 3" xfId="1570" xr:uid="{330CFDAE-56B5-4CB4-A9C3-88BD63CD210D}"/>
    <cellStyle name="Note 2 6 4" xfId="1571" xr:uid="{5135BDBB-F335-4D1F-AC22-558A75598B0E}"/>
    <cellStyle name="Note 2 7" xfId="1572" xr:uid="{98437FED-07AC-42E2-9C56-78121F8830A0}"/>
    <cellStyle name="Note 2 7 2" xfId="1573" xr:uid="{7C50D233-1194-4E9D-8AE8-1B00FCE542B9}"/>
    <cellStyle name="Note 2 7 2 2" xfId="1574" xr:uid="{109D8A57-2DC5-4D56-8087-D1A77DC46410}"/>
    <cellStyle name="Note 2 7 2 3" xfId="1575" xr:uid="{5518724D-B1D4-4361-B533-B10E36C082DC}"/>
    <cellStyle name="Note 2 7 3" xfId="1576" xr:uid="{AF0320F7-9FF6-430D-A404-30081832BCBD}"/>
    <cellStyle name="Note 2 7 4" xfId="1577" xr:uid="{87716E7E-45D7-41D1-BBC2-D0128F55B9BD}"/>
    <cellStyle name="Note 2 8" xfId="1578" xr:uid="{62E586F6-C037-40B5-8EE9-95041544DE0C}"/>
    <cellStyle name="Note 2 8 2" xfId="1579" xr:uid="{8DAAFCA1-A7DB-41EF-B9E5-414C2D495B6C}"/>
    <cellStyle name="Note 2 8 2 2" xfId="1580" xr:uid="{BDB01528-0AD5-4124-917A-6F5F30E56076}"/>
    <cellStyle name="Note 2 8 2 3" xfId="1581" xr:uid="{40427020-9A9C-47A3-B667-4E0F3E24A8B4}"/>
    <cellStyle name="Note 2 8 3" xfId="1582" xr:uid="{68600AA0-306D-47DD-A1B9-BEAB66BE9C2C}"/>
    <cellStyle name="Note 2 8 4" xfId="1583" xr:uid="{EB8CCBA0-C7ED-4109-9855-18623B6B10FE}"/>
    <cellStyle name="Note 2 9" xfId="1584" xr:uid="{AF369355-A0A0-4EAE-8201-B69C0C59A00A}"/>
    <cellStyle name="Note 2 9 2" xfId="1585" xr:uid="{76DCA393-6581-4979-BDF1-1434F3BBFC47}"/>
    <cellStyle name="Note 2 9 2 2" xfId="1586" xr:uid="{EFF67893-36F9-4EA1-AF9B-5EF82BDC7046}"/>
    <cellStyle name="Note 2 9 2 3" xfId="1587" xr:uid="{C769C477-C301-4570-8D9B-D5A8D9AF5CEB}"/>
    <cellStyle name="Note 2 9 3" xfId="1588" xr:uid="{38ADBFFF-AE44-4ADE-B9AB-9470BD9F8592}"/>
    <cellStyle name="Note 2 9 4" xfId="1589" xr:uid="{22437291-9694-494A-81C5-CDE6CDD13523}"/>
    <cellStyle name="Note 3" xfId="477" xr:uid="{5F9F8AAF-255D-4070-8C08-09FDB864DD5D}"/>
    <cellStyle name="Note 3 2" xfId="1590" xr:uid="{983F75B0-A94C-480D-85A6-2A8F2BAF85A9}"/>
    <cellStyle name="Note 3 2 2" xfId="1591" xr:uid="{C988C636-4DB6-4AB3-B271-412C355D4F32}"/>
    <cellStyle name="Note 3 2 3" xfId="1592" xr:uid="{0CEFD18E-B4AE-48EC-BB3A-3BB071F941AD}"/>
    <cellStyle name="Note 3 3" xfId="1593" xr:uid="{A7B8997D-F06A-4E6D-B1F8-5BF311FF7AB9}"/>
    <cellStyle name="Note 4" xfId="478" xr:uid="{4372780C-1168-4A17-8B44-D5028A67C54D}"/>
    <cellStyle name="Note 4 2" xfId="1594" xr:uid="{B09F9BFB-425C-44A3-9F49-09CD7683866C}"/>
    <cellStyle name="OffSheet" xfId="1595" xr:uid="{0C354647-7B64-4076-A1A2-03F04ACDF37A}"/>
    <cellStyle name="Output 2" xfId="479" xr:uid="{57F2C91E-F93A-4A5E-BC44-B0053C97FB24}"/>
    <cellStyle name="Output 2 2" xfId="1596" xr:uid="{5A11A158-694F-487B-9D5C-0CC3AB30303F}"/>
    <cellStyle name="Output 2 2 2" xfId="1597" xr:uid="{66208B04-92E7-42BA-B449-23EE9FA447F3}"/>
    <cellStyle name="Output 2 3" xfId="1598" xr:uid="{777973FD-9E5F-4DFD-AE7A-0E5349EA1B45}"/>
    <cellStyle name="Output 3" xfId="480" xr:uid="{6CE4469F-7087-45F3-A8DA-5253C820D18A}"/>
    <cellStyle name="Output 3 2" xfId="1599" xr:uid="{2B1A95A3-090B-47A4-84F6-302B7AB9FDDB}"/>
    <cellStyle name="Output 3 3" xfId="1600" xr:uid="{DD03F324-B8DA-4D34-A3DE-1835483B2CB6}"/>
    <cellStyle name="Output 4" xfId="481" xr:uid="{BC1F7C79-19B3-4FBF-B709-037EB762906B}"/>
    <cellStyle name="Output 4 2" xfId="1601" xr:uid="{EEC3E878-00F7-4A0A-A3C1-B6E65CA682F6}"/>
    <cellStyle name="Percent [2]" xfId="482" xr:uid="{69A87DBA-2994-42E8-9612-DF20D83E463E}"/>
    <cellStyle name="Percent [2] 10" xfId="483" xr:uid="{6DE3905B-5056-4253-BB50-D1482AE3BA0E}"/>
    <cellStyle name="Percent [2] 10 2" xfId="1602" xr:uid="{D50654B9-A0AC-41A2-94FA-DE427A053ED8}"/>
    <cellStyle name="Percent [2] 11" xfId="484" xr:uid="{B0395102-5A24-4448-A441-ECD41CEB0515}"/>
    <cellStyle name="Percent [2] 11 2" xfId="1603" xr:uid="{7E39367D-E7CB-4C2B-950D-427D8EDB96C6}"/>
    <cellStyle name="Percent [2] 12" xfId="485" xr:uid="{47883478-D82F-4387-94D0-C0CC35C8E9AC}"/>
    <cellStyle name="Percent [2] 12 2" xfId="1604" xr:uid="{58D6F4DF-2914-4034-87DF-D0ED9003C6F5}"/>
    <cellStyle name="Percent [2] 13" xfId="486" xr:uid="{00C50D9B-3EC0-40DD-ABC5-9536FEE33749}"/>
    <cellStyle name="Percent [2] 13 2" xfId="1605" xr:uid="{BD544325-57F2-48B5-A896-B9E1BA75F304}"/>
    <cellStyle name="Percent [2] 14" xfId="1606" xr:uid="{17FF69DF-4510-4C02-9C8A-60371D9754D0}"/>
    <cellStyle name="Percent [2] 2" xfId="487" xr:uid="{A849B9D0-7DFD-4B7A-AB30-26812A62B949}"/>
    <cellStyle name="Percent [2] 2 2" xfId="1607" xr:uid="{E8A819C0-7277-471D-8D26-5968E426B37A}"/>
    <cellStyle name="Percent [2] 2 3" xfId="1608" xr:uid="{7DB48534-6EEE-481D-BD57-9873B5E64DF4}"/>
    <cellStyle name="Percent [2] 3" xfId="488" xr:uid="{977F63FD-24BC-4322-87F3-4E8D829C416B}"/>
    <cellStyle name="Percent [2] 3 2" xfId="1609" xr:uid="{CAB61E78-266E-4CCC-A8FE-E9A8467317A5}"/>
    <cellStyle name="Percent [2] 4" xfId="489" xr:uid="{00D00927-820E-4CAA-91BE-076B087EE5A0}"/>
    <cellStyle name="Percent [2] 4 2" xfId="1610" xr:uid="{883CDAFF-8918-40DD-B35C-D940A20F60C4}"/>
    <cellStyle name="Percent [2] 5" xfId="490" xr:uid="{84B11AA1-B22E-47AE-A457-EC018BB9C3E6}"/>
    <cellStyle name="Percent [2] 5 2" xfId="1611" xr:uid="{5AE7523F-07A2-49EC-9A92-78E26824C45A}"/>
    <cellStyle name="Percent [2] 6" xfId="491" xr:uid="{A5E5AC50-8C2F-4A1B-B775-0BC83D8EA7B1}"/>
    <cellStyle name="Percent [2] 6 2" xfId="1612" xr:uid="{B113DBAA-C1CD-427E-B7A6-30DF9158B84A}"/>
    <cellStyle name="Percent [2] 7" xfId="492" xr:uid="{CDBB7299-060B-4D19-9B19-3FCE085B905F}"/>
    <cellStyle name="Percent [2] 7 2" xfId="1613" xr:uid="{76227F50-C1C6-4404-AD86-FA3E3F1B60FB}"/>
    <cellStyle name="Percent [2] 8" xfId="493" xr:uid="{55C6C035-880B-4D37-898C-C003E795D689}"/>
    <cellStyle name="Percent [2] 8 2" xfId="1614" xr:uid="{DA4714B4-98A3-4075-A627-27A96BABDC1E}"/>
    <cellStyle name="Percent [2] 9" xfId="494" xr:uid="{1D3ACD4E-E2EE-4AB0-A096-6A9B95010DFE}"/>
    <cellStyle name="Percent [2] 9 2" xfId="1615" xr:uid="{B3A1AB61-B8A2-45ED-904C-A93479368605}"/>
    <cellStyle name="Percent 10" xfId="1616" xr:uid="{1888DB88-D744-4B46-B15E-130BED78EB24}"/>
    <cellStyle name="Percent 10 2" xfId="1617" xr:uid="{85498D78-BA7E-4422-9126-A913E474BBF6}"/>
    <cellStyle name="Percent 10 2 2" xfId="1618" xr:uid="{5E6FDF08-0BEB-49A8-B30B-952665D56F3D}"/>
    <cellStyle name="Percent 10 2 2 2" xfId="1619" xr:uid="{C6BCF329-45AC-4F11-B6B6-1F2C1E327874}"/>
    <cellStyle name="Percent 10 2 3" xfId="1620" xr:uid="{47846FF3-E9E3-4AA4-A971-034982E2C2D9}"/>
    <cellStyle name="Percent 10 2 3 2" xfId="1621" xr:uid="{3B71C351-E0C2-4265-808C-50A3716E2EA2}"/>
    <cellStyle name="Percent 10 2 3 3" xfId="1622" xr:uid="{9113DE21-A483-48F0-A015-55AF4DADFF60}"/>
    <cellStyle name="Percent 10 2 3 4" xfId="1623" xr:uid="{3C2CFDC9-E1B2-423C-80BA-2C9AD33E0F77}"/>
    <cellStyle name="Percent 10 2 4" xfId="1624" xr:uid="{204A3270-8940-4FCF-921B-6991EB2081C7}"/>
    <cellStyle name="Percent 10 2 4 2" xfId="1625" xr:uid="{CCDB9E65-460B-4DCD-8518-C5306EAD08BB}"/>
    <cellStyle name="Percent 10 2 4 3" xfId="1626" xr:uid="{0B53CFCB-6C53-4936-BA82-2A99440F90C3}"/>
    <cellStyle name="Percent 10 2 4 4" xfId="1627" xr:uid="{62838450-784F-4EF7-906D-600AE14281E2}"/>
    <cellStyle name="Percent 10 2 5" xfId="1628" xr:uid="{FC0FBC69-1E37-41E8-8C56-645551952D0C}"/>
    <cellStyle name="Percent 10 2 5 2" xfId="1629" xr:uid="{015C0C82-BC46-4F83-A270-77956A3BF854}"/>
    <cellStyle name="Percent 10 2 5 3" xfId="1630" xr:uid="{223E4517-CD39-46C9-9F04-E27746CEFC0A}"/>
    <cellStyle name="Percent 10 3" xfId="1631" xr:uid="{E29355FF-2203-40BF-A1A0-0178F5624D09}"/>
    <cellStyle name="Percent 10 3 2" xfId="1632" xr:uid="{2ED97C49-1363-492E-8177-8A97DFDA40B6}"/>
    <cellStyle name="Percent 10 4" xfId="1633" xr:uid="{010FAE77-B90E-45AC-ABD1-881DA095E256}"/>
    <cellStyle name="Percent 10 4 2" xfId="1634" xr:uid="{36DB8163-298D-476C-A76B-B488CCAE5992}"/>
    <cellStyle name="Percent 10 5" xfId="1635" xr:uid="{9E4E9A61-9ABE-4927-8F9F-DAEFDF9A8178}"/>
    <cellStyle name="Percent 10 5 2" xfId="1636" xr:uid="{3B14D8AC-26F0-4A0F-805F-8096EA0D0B89}"/>
    <cellStyle name="Percent 10 5 3" xfId="1637" xr:uid="{3010B490-0CFF-4919-AC83-A132BEBA0FEF}"/>
    <cellStyle name="Percent 10 5 4" xfId="1638" xr:uid="{E0CBB5DD-F1BF-4881-92A4-7BD101E1E010}"/>
    <cellStyle name="Percent 10 6" xfId="1639" xr:uid="{313C1782-BC5F-4D0B-9479-F5F2F7F9D421}"/>
    <cellStyle name="Percent 10 7" xfId="1640" xr:uid="{1E59C84C-07D3-4AC4-A2C7-22BD6BEB3635}"/>
    <cellStyle name="Percent 10 7 2" xfId="1641" xr:uid="{9E2E22B6-0F36-4BCD-A753-638F4E5D2777}"/>
    <cellStyle name="Percent 10 7 3" xfId="1642" xr:uid="{8F934DD6-C93B-4030-9063-C7C28044F80B}"/>
    <cellStyle name="Percent 11" xfId="1643" xr:uid="{E7427B92-E900-491A-861D-CEA3F1A679E6}"/>
    <cellStyle name="Percent 11 2" xfId="1644" xr:uid="{B109D2D6-656E-4F49-93CD-E8C366D98B59}"/>
    <cellStyle name="Percent 11 2 2" xfId="1645" xr:uid="{533E058C-D741-4B65-8453-A865DD7B66F7}"/>
    <cellStyle name="Percent 11 2 2 2" xfId="1646" xr:uid="{52293709-A46A-4F11-8B80-3EDABEE0141E}"/>
    <cellStyle name="Percent 11 2 3" xfId="1647" xr:uid="{44710D77-C928-470A-98A6-3300BACEAEC7}"/>
    <cellStyle name="Percent 11 2 3 2" xfId="1648" xr:uid="{3A6B119C-DD6D-40D4-A357-18ACFF0EA2F2}"/>
    <cellStyle name="Percent 11 2 3 3" xfId="1649" xr:uid="{DA3A9F5C-E357-4193-A6C9-2499DCA0CDAE}"/>
    <cellStyle name="Percent 11 2 3 4" xfId="1650" xr:uid="{CD2209A4-3414-4943-BA25-882126D3B8D2}"/>
    <cellStyle name="Percent 11 2 4" xfId="1651" xr:uid="{F459F8C2-2717-45C8-880A-B42280D4CD46}"/>
    <cellStyle name="Percent 11 2 4 2" xfId="1652" xr:uid="{3662DDF9-1F79-4408-A398-A85A480B153B}"/>
    <cellStyle name="Percent 11 2 4 3" xfId="1653" xr:uid="{555B1D5D-7DE4-4545-9F2E-8500406542F8}"/>
    <cellStyle name="Percent 11 2 4 4" xfId="1654" xr:uid="{03DC2A9A-4081-4586-8C5C-6CB496EA6086}"/>
    <cellStyle name="Percent 11 2 5" xfId="1655" xr:uid="{0C762D2E-5F2D-4AF4-9A80-A83C1C7E818D}"/>
    <cellStyle name="Percent 11 2 5 2" xfId="1656" xr:uid="{98786BD7-1EA2-497D-A3F1-ADEC5F30D142}"/>
    <cellStyle name="Percent 11 2 5 3" xfId="1657" xr:uid="{02B5931A-3857-42FD-B898-8A483AA85D19}"/>
    <cellStyle name="Percent 11 3" xfId="1658" xr:uid="{4173E572-D9E0-498C-A6EA-52D70B2F55C5}"/>
    <cellStyle name="Percent 11 3 2" xfId="1659" xr:uid="{FBAE4A55-163F-4609-BEA0-F7E6805FFB16}"/>
    <cellStyle name="Percent 11 4" xfId="1660" xr:uid="{1512C921-1C75-4291-A66D-0745399B670C}"/>
    <cellStyle name="Percent 11 4 2" xfId="1661" xr:uid="{63C909E1-6B40-4165-B842-F0B0318A2714}"/>
    <cellStyle name="Percent 11 4 3" xfId="1662" xr:uid="{2CB4C687-0E72-4A7E-BD90-C4F763E7AC21}"/>
    <cellStyle name="Percent 11 4 4" xfId="1663" xr:uid="{C52F538B-74BB-41E1-8AEE-B3E4072901CD}"/>
    <cellStyle name="Percent 11 5" xfId="1664" xr:uid="{43CC54FA-10A3-4CB4-87C7-ECA6A20F5B4D}"/>
    <cellStyle name="Percent 11 6" xfId="1665" xr:uid="{4C19E8F4-5CA6-4E84-83DC-F3CF1F75F0B0}"/>
    <cellStyle name="Percent 11 6 2" xfId="1666" xr:uid="{A654867A-C4DD-41EC-8B6D-0EA1041ECBA8}"/>
    <cellStyle name="Percent 11 6 3" xfId="1667" xr:uid="{61195ACA-7CDE-4369-9B32-5A799F2B2F56}"/>
    <cellStyle name="Percent 12" xfId="1668" xr:uid="{7FE15A0E-9B2F-4681-B8DC-9A86E87F4918}"/>
    <cellStyle name="Percent 12 2" xfId="1669" xr:uid="{629CB5A4-D9A4-4243-BD0C-5E1DEDF8CB30}"/>
    <cellStyle name="Percent 13" xfId="1670" xr:uid="{BC950981-DDD0-45E8-93EF-B2675F6BE781}"/>
    <cellStyle name="Percent 13 2" xfId="1671" xr:uid="{E2AE6F8E-D6AF-4B12-9D8E-16D5F82B0ED0}"/>
    <cellStyle name="Percent 13 2 2" xfId="1672" xr:uid="{5A73D903-17EC-4F1A-AE3C-9585310D5A7F}"/>
    <cellStyle name="Percent 13 2 2 2" xfId="1673" xr:uid="{8AD8FF37-7492-47E5-BF11-FE7660AF7744}"/>
    <cellStyle name="Percent 13 2 3" xfId="1674" xr:uid="{32BCE049-B646-4E5F-9857-4149276F8820}"/>
    <cellStyle name="Percent 13 2 3 2" xfId="1675" xr:uid="{CECB2AC1-6E92-4D34-92D3-5B922E89F842}"/>
    <cellStyle name="Percent 13 2 3 3" xfId="1676" xr:uid="{32D4A01A-7F31-42A6-B26C-BE8509103CF4}"/>
    <cellStyle name="Percent 13 2 3 4" xfId="1677" xr:uid="{B5641E64-68C9-4B00-8CDA-11E2589534FB}"/>
    <cellStyle name="Percent 13 2 4" xfId="1678" xr:uid="{23A3CBED-9DFB-47F1-BCF9-02DE03BC1A78}"/>
    <cellStyle name="Percent 13 2 4 2" xfId="1679" xr:uid="{1B4174C2-6E3C-47FC-8D8C-827CCEC9B023}"/>
    <cellStyle name="Percent 13 2 4 3" xfId="1680" xr:uid="{3D0CE765-18D4-49B8-B134-75816D1E48A3}"/>
    <cellStyle name="Percent 13 2 4 4" xfId="1681" xr:uid="{3CB6DE7B-CE90-4D7A-A500-E4F1E4C72453}"/>
    <cellStyle name="Percent 13 2 5" xfId="1682" xr:uid="{413D8DC2-27CA-4B29-AB94-88B23E8458F6}"/>
    <cellStyle name="Percent 13 2 5 2" xfId="1683" xr:uid="{8E986D12-75D0-4FBD-A006-FE79A9B81E92}"/>
    <cellStyle name="Percent 13 2 5 3" xfId="1684" xr:uid="{26D13521-1AAD-425E-A721-7438CDE5CB4D}"/>
    <cellStyle name="Percent 13 3" xfId="1685" xr:uid="{2CB7AC05-37D6-4BC8-B06D-810B7AD5A410}"/>
    <cellStyle name="Percent 13 3 2" xfId="1686" xr:uid="{ADF1340E-2F1E-4801-B22D-F58A6D0FA938}"/>
    <cellStyle name="Percent 13 4" xfId="1687" xr:uid="{A170B980-5E24-4275-8A5B-E7C33C7F4CAF}"/>
    <cellStyle name="Percent 13 4 2" xfId="1688" xr:uid="{847FA0EC-F48E-4F72-84C2-BECB1ABDE899}"/>
    <cellStyle name="Percent 13 4 3" xfId="1689" xr:uid="{0E4637D6-2F54-4240-AD9E-98B03C2D801E}"/>
    <cellStyle name="Percent 13 4 4" xfId="1690" xr:uid="{BAD0D9F3-6E83-4F7D-B898-72C3CAC20E82}"/>
    <cellStyle name="Percent 13 5" xfId="1691" xr:uid="{987CF61B-E2D2-4E30-8394-9716EEDA0267}"/>
    <cellStyle name="Percent 13 5 2" xfId="1692" xr:uid="{4F862BF5-34BB-459F-8C3B-2FA9BAEA6CA3}"/>
    <cellStyle name="Percent 13 5 3" xfId="1693" xr:uid="{D4FD80EB-1DD8-4265-94DB-975098945D5E}"/>
    <cellStyle name="Percent 13 5 4" xfId="1694" xr:uid="{2BF75981-813E-407B-A266-51FE6C78BD94}"/>
    <cellStyle name="Percent 13 6" xfId="1695" xr:uid="{B9D9EB68-3516-4B47-B380-551A2D303F76}"/>
    <cellStyle name="Percent 13 6 2" xfId="1696" xr:uid="{B1DCCFED-7456-4312-9CBD-BCCA98E765D4}"/>
    <cellStyle name="Percent 13 6 3" xfId="1697" xr:uid="{362BEB14-D9A4-4BF0-B2FB-C9020458A69E}"/>
    <cellStyle name="Percent 14" xfId="1698" xr:uid="{68F4BD74-E3ED-4A24-8EE7-604213A5ADF8}"/>
    <cellStyle name="Percent 14 2" xfId="1699" xr:uid="{4B212898-A385-4A8F-B52C-BB546C26CE36}"/>
    <cellStyle name="Percent 14 2 2" xfId="1700" xr:uid="{BBBCD8E6-BC0A-4F32-9930-E3B5A5D51A57}"/>
    <cellStyle name="Percent 14 2 2 2" xfId="1701" xr:uid="{D94DFD93-A6E9-4087-9E3F-A389AAA5F126}"/>
    <cellStyle name="Percent 14 2 3" xfId="1702" xr:uid="{94ADE8F4-3C90-48EE-B61E-FEA84055EB07}"/>
    <cellStyle name="Percent 14 2 3 2" xfId="1703" xr:uid="{1F71A5F3-D8B9-4CE8-B590-0ED724EA02ED}"/>
    <cellStyle name="Percent 14 2 3 3" xfId="1704" xr:uid="{F9CED3D1-6275-4F0B-A95D-32CD9546DE99}"/>
    <cellStyle name="Percent 14 2 3 4" xfId="1705" xr:uid="{6CA44747-B566-4F7E-B68B-FB7F5646F0F3}"/>
    <cellStyle name="Percent 14 2 4" xfId="1706" xr:uid="{EB88DAEF-C404-4DA0-9A68-202EF10C36C1}"/>
    <cellStyle name="Percent 14 2 4 2" xfId="1707" xr:uid="{54F6E22D-42C3-440E-8532-C317121A1034}"/>
    <cellStyle name="Percent 14 2 4 3" xfId="1708" xr:uid="{AD53F3F3-6BCD-4CCA-9E64-6DDA6AD6BC40}"/>
    <cellStyle name="Percent 14 2 4 4" xfId="1709" xr:uid="{ED04B20F-70A0-4A3D-83D1-A65D24399F4C}"/>
    <cellStyle name="Percent 14 2 5" xfId="1710" xr:uid="{A9C0BFE2-E39B-445A-9A0A-D0A6448DB39C}"/>
    <cellStyle name="Percent 14 2 5 2" xfId="1711" xr:uid="{2EA09F24-08D0-4813-897D-AA0C538C0860}"/>
    <cellStyle name="Percent 14 2 5 3" xfId="1712" xr:uid="{7A3A8878-08E6-4377-877E-06AA20176AE9}"/>
    <cellStyle name="Percent 14 3" xfId="1713" xr:uid="{336FA860-CFE4-4E8B-98F7-13E436D50D16}"/>
    <cellStyle name="Percent 14 3 2" xfId="1714" xr:uid="{4CFE45EC-AB3E-4B40-8DCE-6AC88AE93D00}"/>
    <cellStyle name="Percent 14 4" xfId="1715" xr:uid="{4ACE94F4-D370-4D20-94CA-8A2936D132CC}"/>
    <cellStyle name="Percent 14 4 2" xfId="1716" xr:uid="{5BA8887A-2249-4312-97FF-C5C45F9418B1}"/>
    <cellStyle name="Percent 14 4 3" xfId="1717" xr:uid="{6DB48514-1AF6-4EA7-BECC-75CA9C5845A9}"/>
    <cellStyle name="Percent 14 4 4" xfId="1718" xr:uid="{B320294F-7025-4FB4-9220-7D3CDFA0F40A}"/>
    <cellStyle name="Percent 14 5" xfId="1719" xr:uid="{4F8C137F-BD1B-4212-9A5D-DB4B896EB2F5}"/>
    <cellStyle name="Percent 14 5 2" xfId="1720" xr:uid="{6A31BE58-C5DA-4FE8-BAEC-63E66A4BAC7A}"/>
    <cellStyle name="Percent 14 5 3" xfId="1721" xr:uid="{29F3C438-DCBB-41FB-BA75-2DAC3B483707}"/>
    <cellStyle name="Percent 14 5 4" xfId="1722" xr:uid="{91507697-7574-4440-877E-21AC111D6BFD}"/>
    <cellStyle name="Percent 14 6" xfId="1723" xr:uid="{4F27FA7E-1799-4C62-A784-36A1A2D58645}"/>
    <cellStyle name="Percent 14 6 2" xfId="1724" xr:uid="{4CBD4041-AB66-4D73-9A34-43A18738CA31}"/>
    <cellStyle name="Percent 14 6 3" xfId="1725" xr:uid="{54AC5625-0EE8-4491-90D4-93978AC69165}"/>
    <cellStyle name="Percent 15" xfId="1726" xr:uid="{00CCACA0-35DE-45C4-870F-D5821A264DDC}"/>
    <cellStyle name="Percent 15 2" xfId="1727" xr:uid="{D6B74216-29A4-4640-A555-CB6F90216B42}"/>
    <cellStyle name="Percent 15 2 2" xfId="1728" xr:uid="{2922B48A-F5C0-49F8-884B-00F63E1E171E}"/>
    <cellStyle name="Percent 15 2 2 2" xfId="1729" xr:uid="{ABBDAEA0-288B-494D-ADDA-1199EE5A5A25}"/>
    <cellStyle name="Percent 15 2 3" xfId="1730" xr:uid="{8FDA6A4F-F823-4BC0-A734-6ACDE308CCBE}"/>
    <cellStyle name="Percent 15 2 3 2" xfId="1731" xr:uid="{98548C3B-A74E-4E1F-ADF4-58E779F0212D}"/>
    <cellStyle name="Percent 15 2 3 3" xfId="1732" xr:uid="{69310947-658D-4814-AFB7-497278D8E932}"/>
    <cellStyle name="Percent 15 2 3 4" xfId="1733" xr:uid="{626B3747-F1CC-415C-A95B-3F5193CE481D}"/>
    <cellStyle name="Percent 15 2 4" xfId="1734" xr:uid="{100B8C5F-119E-4781-A81E-D5011B5CCB18}"/>
    <cellStyle name="Percent 15 2 4 2" xfId="1735" xr:uid="{7C9AD7CF-7A20-42D1-9C67-9A72DE28F004}"/>
    <cellStyle name="Percent 15 2 4 3" xfId="1736" xr:uid="{17E735A4-F155-4039-8E64-3577F625B6BA}"/>
    <cellStyle name="Percent 15 2 4 4" xfId="1737" xr:uid="{168A2DB1-216B-453F-86F1-94B075B185D7}"/>
    <cellStyle name="Percent 15 2 5" xfId="1738" xr:uid="{264EF5B2-818B-4A3C-97EE-DC8A9402815D}"/>
    <cellStyle name="Percent 15 2 5 2" xfId="1739" xr:uid="{C7CE145D-22FC-42A1-98D9-71416DA2688E}"/>
    <cellStyle name="Percent 15 2 5 3" xfId="1740" xr:uid="{0EF44700-FB67-4C42-8CD7-0C47E54B2F69}"/>
    <cellStyle name="Percent 15 3" xfId="1741" xr:uid="{B31DB581-3C64-4DD2-B9F3-749674170481}"/>
    <cellStyle name="Percent 15 3 2" xfId="1742" xr:uid="{FE8E7B83-BDF9-4B6B-BE9F-DE544AEC77C4}"/>
    <cellStyle name="Percent 15 4" xfId="1743" xr:uid="{67BE081E-5D81-4F35-8B22-A4F2F40F760B}"/>
    <cellStyle name="Percent 15 4 2" xfId="1744" xr:uid="{7FDA0C15-6799-488A-839B-77135EBFDC3F}"/>
    <cellStyle name="Percent 15 4 3" xfId="1745" xr:uid="{C709213B-FE6D-496B-B0AE-14AC189642DC}"/>
    <cellStyle name="Percent 15 4 4" xfId="1746" xr:uid="{FB99293D-8D85-4F64-B7A0-60835D649807}"/>
    <cellStyle name="Percent 15 5" xfId="1747" xr:uid="{CC1CBD95-7133-4BFF-94AA-7045ADCEC039}"/>
    <cellStyle name="Percent 15 5 2" xfId="1748" xr:uid="{9F7D2A0C-5E96-4AE9-98B2-30F8F3B95066}"/>
    <cellStyle name="Percent 15 5 3" xfId="1749" xr:uid="{47B6CF4E-744C-4195-87AD-33770D23EE31}"/>
    <cellStyle name="Percent 15 5 4" xfId="1750" xr:uid="{25A1D1BF-3D55-42F2-AD6A-4D27B9611D2C}"/>
    <cellStyle name="Percent 15 6" xfId="1751" xr:uid="{1BB6E323-0F53-4C5D-845C-E26347FDCC2C}"/>
    <cellStyle name="Percent 15 6 2" xfId="1752" xr:uid="{BFFE2456-2543-4EE3-B4CA-84B356102362}"/>
    <cellStyle name="Percent 15 6 3" xfId="1753" xr:uid="{1BF4E0D1-C7EB-4D0F-B963-4F73ED2723C3}"/>
    <cellStyle name="Percent 16" xfId="1754" xr:uid="{88048090-E1C5-4390-9368-D7878B6A9FB1}"/>
    <cellStyle name="Percent 16 2" xfId="1755" xr:uid="{7D6592AF-EB69-4DD9-8D1E-CA90E6A4E2A8}"/>
    <cellStyle name="Percent 16 2 2" xfId="1756" xr:uid="{A792E76D-B7D5-4420-9791-1F907A2E1B26}"/>
    <cellStyle name="Percent 16 2 2 2" xfId="1757" xr:uid="{70AE2089-DDA4-4E95-847A-0EB44A85B8E6}"/>
    <cellStyle name="Percent 16 2 3" xfId="1758" xr:uid="{413D3963-ADCC-4120-AC79-0CC2C155D514}"/>
    <cellStyle name="Percent 16 3" xfId="1759" xr:uid="{1692FE5F-0A7D-45E2-92DD-04AB49157F6D}"/>
    <cellStyle name="Percent 16 3 2" xfId="1760" xr:uid="{C3DA90A5-D42C-478B-9787-9C46A038F98A}"/>
    <cellStyle name="Percent 16 4" xfId="1761" xr:uid="{271BA2AD-5935-4118-9030-E9C9BDD06120}"/>
    <cellStyle name="Percent 16 4 2" xfId="1762" xr:uid="{F61CDC0B-D129-413C-8818-F0F85B25C022}"/>
    <cellStyle name="Percent 16 4 3" xfId="1763" xr:uid="{0FD95AE4-4CE9-450E-95A3-C6781A1D9694}"/>
    <cellStyle name="Percent 16 4 4" xfId="1764" xr:uid="{40012402-4D6D-45FF-8339-274D463033EB}"/>
    <cellStyle name="Percent 16 5" xfId="1765" xr:uid="{D7A8ED62-365A-4C3D-BA2F-B8B3C80B3927}"/>
    <cellStyle name="Percent 16 5 2" xfId="1766" xr:uid="{2DFAA421-B149-4404-9747-823F1A8C9891}"/>
    <cellStyle name="Percent 16 5 3" xfId="1767" xr:uid="{B8BE4EE5-C25B-46EC-ABAF-C47787DD8C62}"/>
    <cellStyle name="Percent 17" xfId="1768" xr:uid="{A289D550-C94C-4837-936A-7E8108A10BBD}"/>
    <cellStyle name="Percent 17 2" xfId="1769" xr:uid="{3BB21B75-CA02-459E-AC81-8D095275D02D}"/>
    <cellStyle name="Percent 17 2 2" xfId="1770" xr:uid="{9ED1C463-B809-4535-BD67-F1384F4691F6}"/>
    <cellStyle name="Percent 17 3" xfId="1771" xr:uid="{8AC4D16D-CD95-4943-BAD5-5133B0F63F73}"/>
    <cellStyle name="Percent 17 3 2" xfId="1772" xr:uid="{3CFC9F72-A965-4238-96BB-F4F66103B696}"/>
    <cellStyle name="Percent 17 3 3" xfId="1773" xr:uid="{312D0745-AE1F-485E-941E-911D7FDE37EA}"/>
    <cellStyle name="Percent 17 3 4" xfId="1774" xr:uid="{E8572E6F-767C-4469-BFE7-ECE41E9C8FAD}"/>
    <cellStyle name="Percent 17 4" xfId="1775" xr:uid="{22AEA1F4-34D6-46E8-9FD0-FD2D177D801F}"/>
    <cellStyle name="Percent 17 4 2" xfId="1776" xr:uid="{753B02B8-2CCB-426B-9C21-9F5A30612519}"/>
    <cellStyle name="Percent 17 4 3" xfId="1777" xr:uid="{C2BC9CB2-8D74-4227-B0F5-EF4DD5237596}"/>
    <cellStyle name="Percent 17 4 4" xfId="1778" xr:uid="{670E3C40-2643-4B92-B18E-F464212D68C3}"/>
    <cellStyle name="Percent 17 5" xfId="1779" xr:uid="{DFFDF298-BAD3-4510-853A-2A7D02C08921}"/>
    <cellStyle name="Percent 17 5 2" xfId="1780" xr:uid="{9D217A7D-AF59-4E4A-B8BA-F8F453B544D4}"/>
    <cellStyle name="Percent 17 5 3" xfId="1781" xr:uid="{4AC039B6-198D-4765-B1C6-FF107DAB5ED5}"/>
    <cellStyle name="Percent 18" xfId="1782" xr:uid="{6AAFB26D-A1D7-4909-9F7D-63C9A9AF0EBF}"/>
    <cellStyle name="Percent 18 2" xfId="1783" xr:uid="{CB2D145C-B7FA-4063-80CF-7E8412ADC157}"/>
    <cellStyle name="Percent 18 2 2" xfId="1784" xr:uid="{3B4D2471-6302-4381-A9C5-B799110DD4E8}"/>
    <cellStyle name="Percent 18 2 3" xfId="1785" xr:uid="{CF2E2EB7-AADB-4E8B-AADA-0BA71826BC86}"/>
    <cellStyle name="Percent 18 2 4" xfId="1786" xr:uid="{7D28DD33-20C6-4F41-8F9C-F5409CC2FCB6}"/>
    <cellStyle name="Percent 19" xfId="1787" xr:uid="{7D91E1A6-EDF9-43E3-AB5A-E0F4C9909856}"/>
    <cellStyle name="Percent 19 2" xfId="1788" xr:uid="{F018C32F-9B78-4F46-B97A-2E5C8B7ED9C8}"/>
    <cellStyle name="Percent 19 2 2" xfId="1789" xr:uid="{CFB7F5DF-F4DC-4EB9-B596-AD7B1C006F46}"/>
    <cellStyle name="Percent 19 2 3" xfId="1790" xr:uid="{C0CFFB1E-6A79-4765-812E-74737CD984C7}"/>
    <cellStyle name="Percent 19 2 4" xfId="1791" xr:uid="{E784AC02-5F31-4350-8981-E9694D2DAE51}"/>
    <cellStyle name="Percent 2" xfId="495" xr:uid="{578DCC18-B5FB-483E-B576-427ED8CCEBCF}"/>
    <cellStyle name="Percent 2 10" xfId="496" xr:uid="{704CFC93-44B6-4278-BA21-981B4BEF94C7}"/>
    <cellStyle name="Percent 2 10 2" xfId="1792" xr:uid="{B4459F00-FE41-4538-989A-E85CC2769724}"/>
    <cellStyle name="Percent 2 11" xfId="497" xr:uid="{1A1249BB-0E82-4CD6-8D60-22C30A9ACDDE}"/>
    <cellStyle name="Percent 2 11 2" xfId="1793" xr:uid="{B823A372-139A-4154-97CA-43E8A3EFD1EB}"/>
    <cellStyle name="Percent 2 12" xfId="498" xr:uid="{C70B3B2A-1149-4271-94A1-5AFDCCB79F8D}"/>
    <cellStyle name="Percent 2 12 2" xfId="1794" xr:uid="{69B64E63-657C-49BF-ACCC-0635A4DE2FB1}"/>
    <cellStyle name="Percent 2 13" xfId="499" xr:uid="{2816C76A-FEE0-4365-823D-0B5CDFE30785}"/>
    <cellStyle name="Percent 2 13 2" xfId="1795" xr:uid="{41985778-E389-4858-B190-D23B94D878C9}"/>
    <cellStyle name="Percent 2 14" xfId="500" xr:uid="{48CA0F44-01A6-417A-8EC4-E56F80877FE2}"/>
    <cellStyle name="Percent 2 14 2" xfId="1796" xr:uid="{F79986EB-FE95-4E15-9CB4-D1881D3E16C7}"/>
    <cellStyle name="Percent 2 15" xfId="501" xr:uid="{D08FC1A9-A3F2-4131-B629-D90027FEE6F2}"/>
    <cellStyle name="Percent 2 15 2" xfId="1797" xr:uid="{1472FA13-AB35-44AD-940C-999B5AD3AB27}"/>
    <cellStyle name="Percent 2 15 2 2" xfId="1798" xr:uid="{E2D3D80E-2820-4FAD-AFBB-25D62563B03C}"/>
    <cellStyle name="Percent 2 15 3" xfId="1799" xr:uid="{DCF2843F-4F3F-4AB3-AC7B-01C4A50E2A04}"/>
    <cellStyle name="Percent 2 15 3 2" xfId="1800" xr:uid="{C0349861-9F92-4E23-A145-8D5B1BEDC98B}"/>
    <cellStyle name="Percent 2 15 3 2 2" xfId="1801" xr:uid="{1D082BFF-B8B7-4300-960E-7B8BFA85391F}"/>
    <cellStyle name="Percent 2 15 3 2 2 2" xfId="1802" xr:uid="{F22ADCC3-161F-403B-846E-6A2EC3C634B6}"/>
    <cellStyle name="Percent 2 15 3 2 2 2 2" xfId="1803" xr:uid="{310BB4F7-C0D0-4D6F-B8A5-61FEB3FC14A9}"/>
    <cellStyle name="Percent 2 15 3 2 2 3" xfId="1804" xr:uid="{0B90ACF0-AE0D-422A-BAA3-7F03FA9AC9BD}"/>
    <cellStyle name="Percent 2 15 3 2 2 3 2" xfId="1805" xr:uid="{3162D064-2F3B-417A-B88D-898BAC9DE48D}"/>
    <cellStyle name="Percent 2 15 3 2 2 3 3" xfId="1806" xr:uid="{87668EA8-AB7F-431C-9078-1292D8702A53}"/>
    <cellStyle name="Percent 2 15 3 2 2 3 4" xfId="1807" xr:uid="{F4061104-02DF-4314-81F6-73C4A86F5D4A}"/>
    <cellStyle name="Percent 2 15 3 2 2 4" xfId="1808" xr:uid="{DD590844-2E76-4EFD-85D4-82ABFA648EBC}"/>
    <cellStyle name="Percent 2 15 3 2 2 4 2" xfId="1809" xr:uid="{B1B54500-9713-4D48-A611-8171EBA949BE}"/>
    <cellStyle name="Percent 2 15 3 2 2 4 3" xfId="1810" xr:uid="{2E5B7F59-131C-4FCD-8009-C3DBAAB17F3C}"/>
    <cellStyle name="Percent 2 15 3 2 2 4 4" xfId="1811" xr:uid="{CC644AA6-B02C-49E1-819D-9857D2CB2ECD}"/>
    <cellStyle name="Percent 2 15 3 2 2 5" xfId="1812" xr:uid="{007EA541-A997-4DF5-A327-0DF1E5AE085C}"/>
    <cellStyle name="Percent 2 15 3 2 2 5 2" xfId="1813" xr:uid="{9B35CA13-5716-4C6B-9766-1A3E0802505C}"/>
    <cellStyle name="Percent 2 15 3 2 2 5 3" xfId="1814" xr:uid="{872CD3EB-A187-409C-8811-2C04BC19A439}"/>
    <cellStyle name="Percent 2 15 3 2 3" xfId="1815" xr:uid="{4E27286F-6CA0-4D3A-B121-803B438B84E5}"/>
    <cellStyle name="Percent 2 15 3 2 3 2" xfId="1816" xr:uid="{64DCA197-8998-461B-920A-B45E0B4E3258}"/>
    <cellStyle name="Percent 2 15 3 2 4" xfId="1817" xr:uid="{D5DFE93B-D5B0-4663-B9FC-6BBBB56C23D9}"/>
    <cellStyle name="Percent 2 15 3 2 4 2" xfId="1818" xr:uid="{8C775919-08E7-4145-9D14-AC9E415A7ACD}"/>
    <cellStyle name="Percent 2 15 3 2 4 3" xfId="1819" xr:uid="{C6FD914E-5F6C-4941-B69A-40E58A4B5506}"/>
    <cellStyle name="Percent 2 15 3 2 4 4" xfId="1820" xr:uid="{0A67EF25-14A5-4AFD-ACEE-2152C46F0C52}"/>
    <cellStyle name="Percent 2 15 3 2 5" xfId="1821" xr:uid="{702CD744-16C9-4CEC-AFBC-03F953FF0988}"/>
    <cellStyle name="Percent 2 15 3 2 5 2" xfId="1822" xr:uid="{3D6F2241-4C6A-409D-B601-A1538A338694}"/>
    <cellStyle name="Percent 2 15 3 2 5 3" xfId="1823" xr:uid="{C78C0353-1618-4BB5-AE1D-F4F7E7E35AC6}"/>
    <cellStyle name="Percent 2 15 3 2 5 4" xfId="1824" xr:uid="{AEFD2F5B-BE43-40E3-AD2F-29028D358C0F}"/>
    <cellStyle name="Percent 2 15 3 2 6" xfId="1825" xr:uid="{6DBAF45C-D03C-4712-99C0-EAA5071F68BE}"/>
    <cellStyle name="Percent 2 15 3 2 6 2" xfId="1826" xr:uid="{A1A6CDA3-12A1-4A6A-B1A4-4031B955BED6}"/>
    <cellStyle name="Percent 2 15 3 2 6 3" xfId="1827" xr:uid="{FE5B4824-2D4F-40B0-A8FF-3AE87A3059B6}"/>
    <cellStyle name="Percent 2 15 3 3" xfId="1828" xr:uid="{AB68DFFF-9ABD-4761-A3F1-279C6CC09910}"/>
    <cellStyle name="Percent 2 15 3 3 2" xfId="1829" xr:uid="{1D84365F-96C0-4E46-955D-9BD5765B9237}"/>
    <cellStyle name="Percent 2 15 3 3 2 2" xfId="1830" xr:uid="{9D23CE0C-814B-4D2C-A83F-279249907112}"/>
    <cellStyle name="Percent 2 15 3 3 3" xfId="1831" xr:uid="{71DE31CF-3734-449F-B313-F8D727885830}"/>
    <cellStyle name="Percent 2 15 3 3 3 2" xfId="1832" xr:uid="{0DC87A54-610D-4B12-B8EF-BF0250A4F20F}"/>
    <cellStyle name="Percent 2 15 3 3 3 3" xfId="1833" xr:uid="{BA1CEE35-57D5-40B4-8F5D-6C902486D609}"/>
    <cellStyle name="Percent 2 15 3 3 3 4" xfId="1834" xr:uid="{5FBE159E-EFAE-4761-BC0D-9154BD3CCA23}"/>
    <cellStyle name="Percent 2 15 3 3 4" xfId="1835" xr:uid="{39E7F69C-F86B-4D8C-9A78-525784C4A20B}"/>
    <cellStyle name="Percent 2 15 3 3 4 2" xfId="1836" xr:uid="{8C61BD24-4825-4F3A-B738-B696598E9767}"/>
    <cellStyle name="Percent 2 15 3 3 4 3" xfId="1837" xr:uid="{839ADDFF-C925-422D-9708-EAF938F9A7F3}"/>
    <cellStyle name="Percent 2 15 3 3 4 4" xfId="1838" xr:uid="{031CCA6A-0C1C-43AB-8425-30A51951DF21}"/>
    <cellStyle name="Percent 2 15 3 3 5" xfId="1839" xr:uid="{09AA14FF-DCA0-4871-80C6-D917E5F10CCC}"/>
    <cellStyle name="Percent 2 15 3 3 5 2" xfId="1840" xr:uid="{30876DE7-BE0D-4F63-8D69-343CBF859C05}"/>
    <cellStyle name="Percent 2 15 3 3 5 3" xfId="1841" xr:uid="{16F00AEA-1929-46CB-A69C-6217D3CBAB32}"/>
    <cellStyle name="Percent 2 15 3 4" xfId="1842" xr:uid="{D0BC41F0-BCA9-4993-B05E-9994BB85497A}"/>
    <cellStyle name="Percent 2 15 3 4 2" xfId="1843" xr:uid="{4B460860-E354-451C-A958-1B01B200E7A9}"/>
    <cellStyle name="Percent 2 15 3 5" xfId="1844" xr:uid="{ED7176A2-3057-4702-BD9D-5A7D6FBA5746}"/>
    <cellStyle name="Percent 2 15 3 5 2" xfId="1845" xr:uid="{6EDEB43B-3390-474D-9909-991D68F5031B}"/>
    <cellStyle name="Percent 2 15 3 5 3" xfId="1846" xr:uid="{7667BE2C-CF2B-43D8-A93A-B93E0E83AA0B}"/>
    <cellStyle name="Percent 2 15 3 5 4" xfId="1847" xr:uid="{CD1EE9BC-FC26-45F1-9E0E-3B264BC6F863}"/>
    <cellStyle name="Percent 2 15 3 6" xfId="1848" xr:uid="{3C228FAB-60CD-4231-9A79-7206FFCAB55B}"/>
    <cellStyle name="Percent 2 15 3 6 2" xfId="1849" xr:uid="{A4E260D7-C9F8-4451-BDF0-B442B6A8146A}"/>
    <cellStyle name="Percent 2 15 3 6 3" xfId="1850" xr:uid="{18DDFB8A-078C-4D11-A093-41D826B1CA54}"/>
    <cellStyle name="Percent 2 15 3 6 4" xfId="1851" xr:uid="{09107E53-8D0F-49EB-BD40-91B0001FD6CF}"/>
    <cellStyle name="Percent 2 15 3 7" xfId="1852" xr:uid="{D1155EE1-3582-4573-92C1-5BC8E84B0D5A}"/>
    <cellStyle name="Percent 2 15 3 7 2" xfId="1853" xr:uid="{35CD562B-0054-47A9-A136-91E5501C0903}"/>
    <cellStyle name="Percent 2 15 3 7 3" xfId="1854" xr:uid="{129299E1-A637-44F8-8551-FB31283E3D80}"/>
    <cellStyle name="Percent 2 15 4" xfId="1855" xr:uid="{A71F6FC5-AE51-4D5D-8634-1BDC1A0D1AC4}"/>
    <cellStyle name="Percent 2 15 4 2" xfId="1856" xr:uid="{B3E274AC-20E0-4E25-9EF6-F2FEFF295739}"/>
    <cellStyle name="Percent 2 15 4 2 2" xfId="1857" xr:uid="{94D69002-EAAD-4924-9CD2-CD56A7548EAD}"/>
    <cellStyle name="Percent 2 15 4 2 2 2" xfId="1858" xr:uid="{A20DFBE8-9B19-4927-A5B4-7E6192D6B659}"/>
    <cellStyle name="Percent 2 15 4 2 3" xfId="1859" xr:uid="{CD538189-3A15-4995-9406-6AE32A359AA8}"/>
    <cellStyle name="Percent 2 15 4 2 3 2" xfId="1860" xr:uid="{9217C1E3-F986-43DE-9CE7-160F8BD4F812}"/>
    <cellStyle name="Percent 2 15 4 2 3 3" xfId="1861" xr:uid="{29D9BC1E-5C17-4137-A2BB-F663FB31E7D2}"/>
    <cellStyle name="Percent 2 15 4 2 3 4" xfId="1862" xr:uid="{FB8F4C0C-F87A-4EAB-A13D-7F45727621A4}"/>
    <cellStyle name="Percent 2 15 4 2 4" xfId="1863" xr:uid="{1669ABBD-E58A-4D54-A239-F7E8BA2C72FB}"/>
    <cellStyle name="Percent 2 15 4 2 4 2" xfId="1864" xr:uid="{389B22F8-4370-4D83-B70C-D51B9A07F4AA}"/>
    <cellStyle name="Percent 2 15 4 2 4 3" xfId="1865" xr:uid="{446871C1-18C4-413C-A638-DE86DD0D9255}"/>
    <cellStyle name="Percent 2 15 4 2 4 4" xfId="1866" xr:uid="{4E2FA942-E523-4B8F-8B57-03F5074EA28F}"/>
    <cellStyle name="Percent 2 15 4 2 5" xfId="1867" xr:uid="{539D31A7-75BE-4CD8-AA6C-68C6093CAF4B}"/>
    <cellStyle name="Percent 2 15 4 2 5 2" xfId="1868" xr:uid="{035A705B-9DE2-41A0-AAB4-560A9F06BD13}"/>
    <cellStyle name="Percent 2 15 4 2 5 3" xfId="1869" xr:uid="{4C727E33-2DB4-4EEF-81EA-9062464CCA45}"/>
    <cellStyle name="Percent 2 15 4 3" xfId="1870" xr:uid="{9AF42124-745A-4926-8971-D143C67ED5EC}"/>
    <cellStyle name="Percent 2 15 4 3 2" xfId="1871" xr:uid="{E00FF651-C491-41C4-8D84-F207615BFD6D}"/>
    <cellStyle name="Percent 2 15 4 4" xfId="1872" xr:uid="{57BD3239-A9BE-432A-89FE-7A1696D39CE3}"/>
    <cellStyle name="Percent 2 15 4 4 2" xfId="1873" xr:uid="{A474C4C1-5568-4F80-BCD2-5C4E3DD6EFE4}"/>
    <cellStyle name="Percent 2 15 4 4 3" xfId="1874" xr:uid="{60D0B6DA-D5AC-4AEA-BC9D-01D748927527}"/>
    <cellStyle name="Percent 2 15 4 4 4" xfId="1875" xr:uid="{3FF96E13-64A8-4B82-86EB-2FBCD3CBD8A7}"/>
    <cellStyle name="Percent 2 15 4 5" xfId="1876" xr:uid="{AEBA29B9-D75A-43D3-A374-93890B2EFA78}"/>
    <cellStyle name="Percent 2 15 4 5 2" xfId="1877" xr:uid="{20CBE157-4A87-4F95-8B76-FEC48441FBC8}"/>
    <cellStyle name="Percent 2 15 4 5 3" xfId="1878" xr:uid="{0BB73593-C34D-4D8B-B6A2-4E289FFF17C0}"/>
    <cellStyle name="Percent 2 15 4 5 4" xfId="1879" xr:uid="{98B83F37-88F1-442D-85B8-6DF8ED34C602}"/>
    <cellStyle name="Percent 2 15 4 6" xfId="1880" xr:uid="{50AA9E3D-2AAD-4459-80DF-6FB6B8C1E7C4}"/>
    <cellStyle name="Percent 2 15 4 6 2" xfId="1881" xr:uid="{B77D0F26-97E8-436A-934C-729AB1C50A1D}"/>
    <cellStyle name="Percent 2 15 4 6 3" xfId="1882" xr:uid="{A4781EA5-986B-4B0F-953C-524F974BCB83}"/>
    <cellStyle name="Percent 2 15 5" xfId="1883" xr:uid="{B415CF9E-C508-4179-8DDA-189A872DB254}"/>
    <cellStyle name="Percent 2 16" xfId="1884" xr:uid="{99A31CC3-A689-49BF-8D15-5F5587F54D4C}"/>
    <cellStyle name="Percent 2 16 2" xfId="1885" xr:uid="{7B8B9151-3500-4D65-9AEB-17C54A603520}"/>
    <cellStyle name="Percent 2 16 2 2" xfId="1886" xr:uid="{6EDC1C2D-5556-4BB8-B4CA-D24273966E3F}"/>
    <cellStyle name="Percent 2 16 2 2 2" xfId="1887" xr:uid="{EB383CA2-AF4B-4181-A91A-1910C72BCF69}"/>
    <cellStyle name="Percent 2 16 2 2 2 2" xfId="1888" xr:uid="{97F7B35D-778C-4EBC-9327-80714920823C}"/>
    <cellStyle name="Percent 2 16 2 2 3" xfId="1889" xr:uid="{19244B3C-B914-4A58-AEFF-EE4767826093}"/>
    <cellStyle name="Percent 2 16 2 2 3 2" xfId="1890" xr:uid="{A739B1F2-7909-4C81-881F-CE5B385DC50A}"/>
    <cellStyle name="Percent 2 16 2 2 3 3" xfId="1891" xr:uid="{D5012576-1499-49CB-8616-79431CF6D17F}"/>
    <cellStyle name="Percent 2 16 2 2 3 4" xfId="1892" xr:uid="{89BCC422-8DBB-4111-80FF-10014621A112}"/>
    <cellStyle name="Percent 2 16 2 2 4" xfId="1893" xr:uid="{4237F3FB-1045-4FDD-B292-05775AB6D144}"/>
    <cellStyle name="Percent 2 16 2 2 4 2" xfId="1894" xr:uid="{031E61FF-496E-4423-9A2C-317630EDA4F8}"/>
    <cellStyle name="Percent 2 16 2 2 4 3" xfId="1895" xr:uid="{2184F3AF-00F0-434A-995F-5EEB126C7B72}"/>
    <cellStyle name="Percent 2 16 2 2 4 4" xfId="1896" xr:uid="{9F66FFAF-814E-4D5D-9E6E-205377CBDBAF}"/>
    <cellStyle name="Percent 2 16 2 2 5" xfId="1897" xr:uid="{473A6C3D-AC46-472E-9EE1-A338119E33CE}"/>
    <cellStyle name="Percent 2 16 2 2 5 2" xfId="1898" xr:uid="{24A54E12-FF5F-43DC-8381-8C6BBD85D592}"/>
    <cellStyle name="Percent 2 16 2 2 5 3" xfId="1899" xr:uid="{956820F8-5360-4B13-AD12-CBF924D034CB}"/>
    <cellStyle name="Percent 2 16 2 3" xfId="1900" xr:uid="{B972C163-C701-42C9-A86E-E18F61636836}"/>
    <cellStyle name="Percent 2 16 2 3 2" xfId="1901" xr:uid="{45BD54D3-FD74-4D3D-97E2-FDCE481F92A4}"/>
    <cellStyle name="Percent 2 16 2 4" xfId="1902" xr:uid="{80D80D33-A126-46C9-A921-F77A6D6DE572}"/>
    <cellStyle name="Percent 2 16 2 4 2" xfId="1903" xr:uid="{256B10F3-1FF5-40BA-8BB7-E0E2EBEFB7E2}"/>
    <cellStyle name="Percent 2 16 2 4 3" xfId="1904" xr:uid="{1FD9F71B-299F-4956-96F1-2A772AEE8B80}"/>
    <cellStyle name="Percent 2 16 2 4 4" xfId="1905" xr:uid="{3E3D78FC-F989-4AF4-8EF5-E4B45318C4B5}"/>
    <cellStyle name="Percent 2 16 2 5" xfId="1906" xr:uid="{B71276B0-8B86-48BA-81F5-F3C40C68F9D3}"/>
    <cellStyle name="Percent 2 16 2 5 2" xfId="1907" xr:uid="{5BD9651E-7E84-4C6A-A762-B32CB5BEF54F}"/>
    <cellStyle name="Percent 2 16 2 5 3" xfId="1908" xr:uid="{BEB44CDE-0710-476C-A48D-51841F359B53}"/>
    <cellStyle name="Percent 2 16 2 5 4" xfId="1909" xr:uid="{A2A42012-9022-4271-8897-01CAE9826669}"/>
    <cellStyle name="Percent 2 16 2 6" xfId="1910" xr:uid="{5F04588F-A1DE-4D2B-B22B-472B5D20231E}"/>
    <cellStyle name="Percent 2 16 2 6 2" xfId="1911" xr:uid="{AA2D4934-07CB-4BAB-A0C6-B583288348C1}"/>
    <cellStyle name="Percent 2 16 2 6 3" xfId="1912" xr:uid="{F7ED7D1D-F901-452B-A67A-A58757F13906}"/>
    <cellStyle name="Percent 2 16 3" xfId="1913" xr:uid="{539D1C65-7397-4676-B030-3C715D50A6F9}"/>
    <cellStyle name="Percent 2 16 3 2" xfId="1914" xr:uid="{44EE4918-DAC6-4928-974C-2712B3752AC5}"/>
    <cellStyle name="Percent 2 16 3 2 2" xfId="1915" xr:uid="{B8A32627-65F3-4169-BE3B-63AA9E90C375}"/>
    <cellStyle name="Percent 2 16 3 3" xfId="1916" xr:uid="{2163C512-059F-4B4A-87EF-BAFD15DBB27D}"/>
    <cellStyle name="Percent 2 16 3 3 2" xfId="1917" xr:uid="{4BB6FE6F-F4EE-41FC-9B5B-216F43EA33ED}"/>
    <cellStyle name="Percent 2 16 3 3 3" xfId="1918" xr:uid="{A12B59AB-9889-46BE-82E6-DD81DD322269}"/>
    <cellStyle name="Percent 2 16 3 3 4" xfId="1919" xr:uid="{280F0D98-BD9D-48DB-BB73-02599265F422}"/>
    <cellStyle name="Percent 2 16 3 4" xfId="1920" xr:uid="{83AA6132-7773-435E-992E-57575A5F8D84}"/>
    <cellStyle name="Percent 2 16 3 4 2" xfId="1921" xr:uid="{6E9813BB-7EAE-4560-87DD-07AFC34119B0}"/>
    <cellStyle name="Percent 2 16 3 4 3" xfId="1922" xr:uid="{9EE9EF5F-6C5B-4142-9A1D-E7F2EF742C57}"/>
    <cellStyle name="Percent 2 16 3 4 4" xfId="1923" xr:uid="{D52A9D14-1DD3-499F-BF55-12F947159A32}"/>
    <cellStyle name="Percent 2 16 3 5" xfId="1924" xr:uid="{9688FA75-B806-40EC-800B-7CFEF5CF4F3D}"/>
    <cellStyle name="Percent 2 16 3 5 2" xfId="1925" xr:uid="{C4E72B8D-4CC3-4308-9E72-DD5CCCFBE505}"/>
    <cellStyle name="Percent 2 16 3 5 3" xfId="1926" xr:uid="{0C3FFD4B-B0F4-4261-9EF4-F5A305CE718B}"/>
    <cellStyle name="Percent 2 16 4" xfId="1927" xr:uid="{BA1E7B88-1E1D-495E-959E-67CE000A53F3}"/>
    <cellStyle name="Percent 2 16 4 2" xfId="1928" xr:uid="{86F1E191-9F6F-439D-BCAD-77E2934528DA}"/>
    <cellStyle name="Percent 2 16 5" xfId="1929" xr:uid="{D755F586-72F9-4BB2-AFFD-349267B89829}"/>
    <cellStyle name="Percent 2 16 5 2" xfId="1930" xr:uid="{59F56252-864B-4B00-ABAF-96FEA679D440}"/>
    <cellStyle name="Percent 2 16 5 3" xfId="1931" xr:uid="{23024A4D-5A20-47EA-9965-D7002800EBE7}"/>
    <cellStyle name="Percent 2 16 5 4" xfId="1932" xr:uid="{120B6D0B-AE24-4A49-A2D4-27C7EAFD055D}"/>
    <cellStyle name="Percent 2 16 6" xfId="1933" xr:uid="{3C4CC4C1-9DA0-4E8A-81AC-6D9E4A97CFCB}"/>
    <cellStyle name="Percent 2 16 6 2" xfId="1934" xr:uid="{FD06C4C5-E38F-4545-9F35-C14DFE2C44C4}"/>
    <cellStyle name="Percent 2 16 6 3" xfId="1935" xr:uid="{E3DB943E-CDC1-48B0-8BDD-81954AA4C46B}"/>
    <cellStyle name="Percent 2 16 6 4" xfId="1936" xr:uid="{23E6AADC-F107-4B6E-8F4A-2A72848AD4BB}"/>
    <cellStyle name="Percent 2 16 7" xfId="1937" xr:uid="{A3813075-584A-4DED-B59B-82C965B75093}"/>
    <cellStyle name="Percent 2 16 7 2" xfId="1938" xr:uid="{08A80E48-2639-4BC4-939D-94FEFE4D91E5}"/>
    <cellStyle name="Percent 2 16 7 3" xfId="1939" xr:uid="{4946EF28-F290-4FD8-A251-F979B8AB0461}"/>
    <cellStyle name="Percent 2 17" xfId="1940" xr:uid="{4146C4F5-86EF-4B62-9702-136D139E0BA1}"/>
    <cellStyle name="Percent 2 17 2" xfId="1941" xr:uid="{8C51D7F2-0855-439F-B7FC-1442F0269B31}"/>
    <cellStyle name="Percent 2 17 2 2" xfId="1942" xr:uid="{46804FC4-9C39-4949-86F3-8A358FE2C935}"/>
    <cellStyle name="Percent 2 17 3" xfId="1943" xr:uid="{EE37AC6C-3718-4D3D-81D8-3A821737030C}"/>
    <cellStyle name="Percent 2 17 3 2" xfId="1944" xr:uid="{1DA57C6B-7F51-41CB-BAC6-F459BAA13902}"/>
    <cellStyle name="Percent 2 17 3 3" xfId="1945" xr:uid="{ED379A32-7D67-4CB0-BD0E-C04C8838B4BB}"/>
    <cellStyle name="Percent 2 17 3 4" xfId="1946" xr:uid="{3DFAF736-B332-4D40-A657-F47EF07F3F2B}"/>
    <cellStyle name="Percent 2 17 4" xfId="1947" xr:uid="{629EA1E0-6E30-4533-BF5B-0FF7EDB94F17}"/>
    <cellStyle name="Percent 2 18" xfId="1948" xr:uid="{9E22012C-1569-42D2-88DF-41F655FA69E4}"/>
    <cellStyle name="Percent 2 18 2" xfId="1949" xr:uid="{71FC76FD-BFBC-40C2-9D00-B15498F239BA}"/>
    <cellStyle name="Percent 2 18 2 2" xfId="1950" xr:uid="{47F78882-CB82-44D8-BBFC-67AF827C4071}"/>
    <cellStyle name="Percent 2 18 2 2 2" xfId="1951" xr:uid="{A5238DF3-11DC-4F55-9DD3-76F28956BF73}"/>
    <cellStyle name="Percent 2 18 2 2 3" xfId="1952" xr:uid="{B805ED9A-2A96-41F7-B66C-30231C23B1CC}"/>
    <cellStyle name="Percent 2 18 2 2 4" xfId="1953" xr:uid="{2E4FFCAD-D6ED-4F53-8DE2-6D00EAADDF43}"/>
    <cellStyle name="Percent 2 18 2 3" xfId="1954" xr:uid="{CDE3D7AA-64CE-4989-BC96-0EE356905E4C}"/>
    <cellStyle name="Percent 2 18 2 4" xfId="1955" xr:uid="{16CC6E70-04E5-448A-B893-EDE42EAD05E1}"/>
    <cellStyle name="Percent 2 18 3" xfId="1956" xr:uid="{C47193A3-441B-44E0-86ED-E38D649DC379}"/>
    <cellStyle name="Percent 2 18 3 2" xfId="1957" xr:uid="{A58525C6-1748-4DB2-BF45-4D63A0E62874}"/>
    <cellStyle name="Percent 2 18 3 3" xfId="1958" xr:uid="{C7FAF103-5AB1-4B88-B777-B5D76250AAE6}"/>
    <cellStyle name="Percent 2 18 3 4" xfId="1959" xr:uid="{04602D80-B07A-494F-A6FA-700701AFD273}"/>
    <cellStyle name="Percent 2 18 4" xfId="1960" xr:uid="{86C7F08D-AF79-4528-8996-C13FCC496251}"/>
    <cellStyle name="Percent 2 18 4 2" xfId="1961" xr:uid="{FC43299D-1E8D-496A-80DF-48D9164102FC}"/>
    <cellStyle name="Percent 2 18 4 3" xfId="1962" xr:uid="{B5D1D185-FA87-4508-882A-BA0994B121FA}"/>
    <cellStyle name="Percent 2 19" xfId="1963" xr:uid="{C4DA9345-6BB2-43C3-A481-8F76BF3CA2AD}"/>
    <cellStyle name="Percent 2 19 2" xfId="1964" xr:uid="{179578A5-7F82-41A3-A91A-4CC65C5AF369}"/>
    <cellStyle name="Percent 2 2" xfId="502" xr:uid="{6EA70515-1D8F-4926-B963-61ED7A6C0182}"/>
    <cellStyle name="Percent 2 2 2" xfId="1965" xr:uid="{15B7D3C8-F578-4407-B1AA-EB15DD40EE79}"/>
    <cellStyle name="Percent 2 2 2 2" xfId="1966" xr:uid="{1BC66058-CCC9-4A58-AF7F-FA735D2EBA09}"/>
    <cellStyle name="Percent 2 2 3" xfId="1967" xr:uid="{5DCE7417-FBEE-4DC7-B996-F6281DCD875B}"/>
    <cellStyle name="Percent 2 20" xfId="1968" xr:uid="{4DE5B939-5D5E-4D10-B7F6-613B4804D95F}"/>
    <cellStyle name="Percent 2 20 2" xfId="1969" xr:uid="{9A141271-E329-4EDE-8F2D-80AF599F8757}"/>
    <cellStyle name="Percent 2 20 3" xfId="1970" xr:uid="{D37E8D05-024E-47C6-971F-CE0F42F363C0}"/>
    <cellStyle name="Percent 2 20 4" xfId="1971" xr:uid="{CE6BB89E-7B87-4029-97B0-803B8154D8B3}"/>
    <cellStyle name="Percent 2 21" xfId="1972" xr:uid="{34C46DD7-2CA2-4556-928B-65C3A9B5FC6B}"/>
    <cellStyle name="Percent 2 21 2" xfId="1973" xr:uid="{FBAFA36C-9F3F-40EA-AA7F-7C864643B1A6}"/>
    <cellStyle name="Percent 2 21 3" xfId="1974" xr:uid="{84C900AB-CEFA-42CB-8971-E88421E0FB5F}"/>
    <cellStyle name="Percent 2 3" xfId="503" xr:uid="{22DF0585-258F-46FF-AC40-8CCF8B2D76EC}"/>
    <cellStyle name="Percent 2 3 2" xfId="1975" xr:uid="{317F3983-6BD2-4222-9041-567741F41E10}"/>
    <cellStyle name="Percent 2 4" xfId="504" xr:uid="{3F5D6AA2-E380-4463-81D8-03702D5E3491}"/>
    <cellStyle name="Percent 2 4 2" xfId="1976" xr:uid="{D842D56F-6DC8-418B-8D66-03110A8A67F5}"/>
    <cellStyle name="Percent 2 5" xfId="505" xr:uid="{9F3B5FF2-E01C-4CF1-868F-356B147F9519}"/>
    <cellStyle name="Percent 2 5 2" xfId="1977" xr:uid="{BC3F5BD7-783E-4424-94DA-9558CEA50A02}"/>
    <cellStyle name="Percent 2 6" xfId="506" xr:uid="{217ED5E8-E318-487D-AC2A-9AA42EC0382C}"/>
    <cellStyle name="Percent 2 6 2" xfId="1978" xr:uid="{B5B175BB-A912-4A7C-8458-B8A7ED1B3471}"/>
    <cellStyle name="Percent 2 7" xfId="507" xr:uid="{88AE8122-77ED-4328-B250-B2654BABCD1E}"/>
    <cellStyle name="Percent 2 7 2" xfId="1979" xr:uid="{3231AF1F-8F24-4457-9E5B-9A848E9C0BE0}"/>
    <cellStyle name="Percent 2 8" xfId="508" xr:uid="{0D6CB346-EE17-4C3C-9CD9-4CF96A98B234}"/>
    <cellStyle name="Percent 2 8 2" xfId="1980" xr:uid="{5866E1A1-4109-4BCB-ADCA-D551C1EB890A}"/>
    <cellStyle name="Percent 2 9" xfId="509" xr:uid="{485BEB43-5132-4DC0-8386-9218E52671EF}"/>
    <cellStyle name="Percent 2 9 2" xfId="1981" xr:uid="{34CA34DE-7EDA-4290-A006-07BCEFBB75A6}"/>
    <cellStyle name="Percent 20" xfId="1982" xr:uid="{2994A3AC-F4C9-492F-A574-B2A3EC4D5BC8}"/>
    <cellStyle name="Percent 21" xfId="1983" xr:uid="{759C9396-F743-4F40-A32B-A5DEA741A869}"/>
    <cellStyle name="Percent 22" xfId="1984" xr:uid="{2BF72303-2480-4808-8BA7-49DD8C0DADA6}"/>
    <cellStyle name="Percent 23" xfId="1985" xr:uid="{0D5E7143-0D18-44C0-82CD-3A5873C49DD8}"/>
    <cellStyle name="Percent 23 2" xfId="1986" xr:uid="{80C98C82-3B58-43F8-B6AC-2A9FD9034F5E}"/>
    <cellStyle name="Percent 23 2 2" xfId="1987" xr:uid="{17534331-8773-4685-9AF3-B38BACEEEF55}"/>
    <cellStyle name="Percent 23 3" xfId="1988" xr:uid="{5785CCF1-21DF-4AD9-A14C-2104207E09DA}"/>
    <cellStyle name="Percent 24" xfId="1989" xr:uid="{19505084-A95C-4A25-9ADE-36FA2C9D59C0}"/>
    <cellStyle name="Percent 24 2" xfId="1990" xr:uid="{AF802996-875D-45B7-BA78-59659E013881}"/>
    <cellStyle name="Percent 24 2 2" xfId="1991" xr:uid="{3F2641C7-6417-4DE6-B7A0-FC1DAC8D2BF3}"/>
    <cellStyle name="Percent 24 3" xfId="1992" xr:uid="{406A4F33-40B6-47DD-A221-6A15C0CE9ADC}"/>
    <cellStyle name="Percent 25" xfId="1993" xr:uid="{E29D3703-D51F-47F5-8101-13C0C0DA0758}"/>
    <cellStyle name="Percent 26" xfId="1994" xr:uid="{F573C7AC-E02A-4F8E-A0A6-3F9D43A145C0}"/>
    <cellStyle name="Percent 26 2" xfId="1995" xr:uid="{47D10C62-3B49-470E-A40A-66DBD804B24F}"/>
    <cellStyle name="Percent 27" xfId="1996" xr:uid="{F1609DCB-AB1B-4148-97FD-CBD7D9134131}"/>
    <cellStyle name="Percent 28" xfId="1997" xr:uid="{363FC114-2606-4CEC-9C5E-3F21FCA63571}"/>
    <cellStyle name="Percent 29" xfId="1998" xr:uid="{06732DD3-3E19-4FBC-9882-F1832DD06828}"/>
    <cellStyle name="Percent 3" xfId="510" xr:uid="{959F0A8D-3476-421D-8E35-32A66593B608}"/>
    <cellStyle name="Percent 3 2" xfId="1999" xr:uid="{A5FA5CF3-74EA-41FE-BC60-7C3D8C3069B5}"/>
    <cellStyle name="Percent 3 2 2" xfId="2000" xr:uid="{7B376AB9-41A4-47D1-80D6-C2493A6D16B4}"/>
    <cellStyle name="Percent 3 3" xfId="2001" xr:uid="{201B4B88-B8DA-4718-80DE-4D87F18B4EE5}"/>
    <cellStyle name="Percent 3 3 2" xfId="2002" xr:uid="{D0A8515E-BBFC-43B4-974A-CFA10AA50A0D}"/>
    <cellStyle name="Percent 3 4" xfId="2003" xr:uid="{F840FAC8-64F0-493C-B7C8-15CC63C892A5}"/>
    <cellStyle name="Percent 3 5" xfId="2149" xr:uid="{B01C7B71-3565-47A9-B60F-0A1B1915B879}"/>
    <cellStyle name="Percent 30" xfId="2004" xr:uid="{B7EAEC73-28C3-466D-8480-EA4165E54669}"/>
    <cellStyle name="Percent 31" xfId="2005" xr:uid="{C988F81A-F3F3-45B3-8D88-175F938D60DF}"/>
    <cellStyle name="Percent 31 2" xfId="2006" xr:uid="{88F189E6-C528-4C9C-ADA4-F541FFDF7881}"/>
    <cellStyle name="Percent 31 3" xfId="2007" xr:uid="{39CC2774-6B0A-4C30-85D5-2073D9900195}"/>
    <cellStyle name="Percent 32" xfId="2008" xr:uid="{6C2C99FA-B076-4355-BE83-A69AAF309FDD}"/>
    <cellStyle name="Percent 33" xfId="2009" xr:uid="{D548D6FB-E43F-452C-8427-6C9FBA42B1E9}"/>
    <cellStyle name="Percent 34" xfId="2010" xr:uid="{06DD0F7B-6E00-4D0E-B890-B4ABAF6D2722}"/>
    <cellStyle name="Percent 35" xfId="2011" xr:uid="{58523967-3113-4C17-969B-1C1D7D851338}"/>
    <cellStyle name="Percent 36" xfId="2012" xr:uid="{6A3EF641-9197-445F-8B5D-5E2E3021DDD6}"/>
    <cellStyle name="Percent 37" xfId="2013" xr:uid="{38EB6A50-9988-4B7A-A027-969FCC0C87B0}"/>
    <cellStyle name="Percent 38" xfId="2014" xr:uid="{7E5EE2CB-4DDB-41CF-AE4D-CA8702BF4671}"/>
    <cellStyle name="Percent 39" xfId="2015" xr:uid="{85935A9E-4B7F-4F2C-986D-A557FDA5A370}"/>
    <cellStyle name="Percent 4" xfId="511" xr:uid="{64A6C59B-C679-4F3D-8787-713DB432FA83}"/>
    <cellStyle name="Percent 4 2" xfId="512" xr:uid="{2B670467-769C-44B8-B7D9-B22A4D8BBDC8}"/>
    <cellStyle name="Percent 4 2 2" xfId="513" xr:uid="{4490E132-C4CD-4634-BDC8-E4BA563B17EA}"/>
    <cellStyle name="Percent 4 2 2 2" xfId="2016" xr:uid="{255E2FFA-F99C-4E38-9780-F10F61801D37}"/>
    <cellStyle name="Percent 4 2 3" xfId="2017" xr:uid="{3888480A-AC59-4E53-99AC-9609FF490C31}"/>
    <cellStyle name="Percent 4 2 3 2" xfId="2018" xr:uid="{663CB9BA-FBE1-43A9-861A-3046344A35A4}"/>
    <cellStyle name="Percent 4 2 4" xfId="2019" xr:uid="{ED07FA58-EE5A-4EEF-AC6C-37F6E55392CF}"/>
    <cellStyle name="Percent 4 3" xfId="2020" xr:uid="{76870A6B-E0F1-425A-9147-8C6AEACC515B}"/>
    <cellStyle name="Percent 40" xfId="2021" xr:uid="{A72F20A5-DAAB-4FFE-9694-A739BB523560}"/>
    <cellStyle name="Percent 41" xfId="2022" xr:uid="{4195F504-8102-4384-8617-0B0EC9B65511}"/>
    <cellStyle name="Percent 42" xfId="2023" xr:uid="{2CA576BB-E9DD-4653-90EE-A79ABE41C7C0}"/>
    <cellStyle name="Percent 43" xfId="2024" xr:uid="{46067381-909A-40C5-877A-80105DC03E9C}"/>
    <cellStyle name="Percent 44" xfId="2025" xr:uid="{2277563A-31F6-4C5D-8D27-94E410E6E327}"/>
    <cellStyle name="Percent 45" xfId="2026" xr:uid="{62EC2BC4-D673-4494-9993-8AA269B854EA}"/>
    <cellStyle name="Percent 46" xfId="2027" xr:uid="{82D8FDCB-AA48-44A0-A23D-FB98DCCE0583}"/>
    <cellStyle name="Percent 47" xfId="2028" xr:uid="{5BDAEDFB-EDED-4553-97F3-A832A6F23778}"/>
    <cellStyle name="Percent 48" xfId="2029" xr:uid="{901ED2EC-B2C6-465F-85B9-E77EF3C8C9E3}"/>
    <cellStyle name="Percent 49" xfId="2158" xr:uid="{4C109886-DC12-4557-A91A-C128D26EF6AE}"/>
    <cellStyle name="Percent 5" xfId="514" xr:uid="{F82948AF-83A4-40A7-AB4B-A460A4BCE66B}"/>
    <cellStyle name="Percent 5 2" xfId="2030" xr:uid="{FD385E24-D560-437C-B777-51B462C90CDE}"/>
    <cellStyle name="Percent 50" xfId="2227" xr:uid="{CABCEEB5-74D0-4E66-BD01-203320ACEF08}"/>
    <cellStyle name="Percent 6" xfId="515" xr:uid="{2795A896-18C1-4677-9ECD-FD4DA484A8D7}"/>
    <cellStyle name="Percent 7" xfId="516" xr:uid="{E5606AB4-0DE5-4D92-A6E1-925E5A542F80}"/>
    <cellStyle name="Percent 7 2" xfId="2031" xr:uid="{6D0D8DF8-77FC-43A2-8833-5C227E10A4B9}"/>
    <cellStyle name="Percent 8" xfId="2032" xr:uid="{6CC61AD8-274C-4602-A876-8DB5D1BA1AF6}"/>
    <cellStyle name="Percent 8 2" xfId="2033" xr:uid="{7188637A-D96A-4921-8AFC-88A3A137F372}"/>
    <cellStyle name="Percent 8 2 2" xfId="2034" xr:uid="{51570D5C-0237-4EB7-94C9-988C4621DA21}"/>
    <cellStyle name="Percent 8 2 2 2" xfId="2035" xr:uid="{184C93FC-E0CB-4D12-A9CA-EDFA3A25C004}"/>
    <cellStyle name="Percent 8 2 2 2 2" xfId="2036" xr:uid="{4B4F985D-5505-4757-A89F-A461FF101F1B}"/>
    <cellStyle name="Percent 8 2 2 3" xfId="2037" xr:uid="{30FA1949-078E-44F1-8E36-8D0D1662105A}"/>
    <cellStyle name="Percent 8 2 2 3 2" xfId="2038" xr:uid="{9F49FAB6-B05D-4FDB-9607-CA0E1A4C3423}"/>
    <cellStyle name="Percent 8 2 2 3 3" xfId="2039" xr:uid="{FD1C6414-B861-4EA0-8F13-6825087B599D}"/>
    <cellStyle name="Percent 8 2 2 3 4" xfId="2040" xr:uid="{2A62A83A-470C-473D-89FA-CCDD733A13E0}"/>
    <cellStyle name="Percent 8 2 2 4" xfId="2041" xr:uid="{FBCAEC73-E8B7-42B3-A645-F7BA48EF5EEB}"/>
    <cellStyle name="Percent 8 2 2 4 2" xfId="2042" xr:uid="{284F5B5D-5E81-4F78-934D-42B030C590F2}"/>
    <cellStyle name="Percent 8 2 2 4 3" xfId="2043" xr:uid="{9EB7C5E6-A396-4429-86F7-B8E14FF495A1}"/>
    <cellStyle name="Percent 8 2 2 4 4" xfId="2044" xr:uid="{039005F2-4035-4FB5-9B4B-8E9B05E91BD7}"/>
    <cellStyle name="Percent 8 2 2 5" xfId="2045" xr:uid="{9BA20BAD-3570-4EC9-BA38-6EF57D907EFB}"/>
    <cellStyle name="Percent 8 2 2 5 2" xfId="2046" xr:uid="{3ECA901D-F574-4F40-8DD9-D080A9E37AA3}"/>
    <cellStyle name="Percent 8 2 2 5 3" xfId="2047" xr:uid="{1B8FE71F-1E32-4527-8D88-D6049F7E6133}"/>
    <cellStyle name="Percent 8 2 3" xfId="2048" xr:uid="{B3124C17-D85D-42ED-8CAF-F0D77759028B}"/>
    <cellStyle name="Percent 8 2 3 2" xfId="2049" xr:uid="{50879CA6-D63C-4150-9C6B-3F805E90D848}"/>
    <cellStyle name="Percent 8 2 4" xfId="2050" xr:uid="{A0449BA7-F62F-4EC7-B6F5-8D1DD2127204}"/>
    <cellStyle name="Percent 8 2 4 2" xfId="2051" xr:uid="{A4B42211-D659-4BD5-9455-41AAB66570BF}"/>
    <cellStyle name="Percent 8 2 4 3" xfId="2052" xr:uid="{736A1378-C249-4D09-A0CE-0E86A55E02F1}"/>
    <cellStyle name="Percent 8 2 4 4" xfId="2053" xr:uid="{4E500B5A-CCC9-42DC-B0D8-FFD202DC1E50}"/>
    <cellStyle name="Percent 8 2 5" xfId="2054" xr:uid="{E305BF6A-ACFC-403C-9F59-D97277221ED7}"/>
    <cellStyle name="Percent 8 2 5 2" xfId="2055" xr:uid="{A9391FDF-4743-472E-972D-40052309FA68}"/>
    <cellStyle name="Percent 8 2 5 3" xfId="2056" xr:uid="{F0294271-EB5D-4623-AD25-43E2522F2B3B}"/>
    <cellStyle name="Percent 8 2 5 4" xfId="2057" xr:uid="{64E70531-3043-4C70-96AF-0A47FF77DAF7}"/>
    <cellStyle name="Percent 8 2 6" xfId="2058" xr:uid="{C970F913-B8D7-46E4-9134-112A55537572}"/>
    <cellStyle name="Percent 8 2 6 2" xfId="2059" xr:uid="{F576E099-939D-4BA9-A51D-C451E7C9B572}"/>
    <cellStyle name="Percent 8 2 6 3" xfId="2060" xr:uid="{A56E4AB5-7134-4470-9727-5075418DC806}"/>
    <cellStyle name="Percent 8 3" xfId="2061" xr:uid="{E92A7013-D9B8-4FD9-9899-3DECF6D96CF5}"/>
    <cellStyle name="Percent 8 4" xfId="2062" xr:uid="{78BECBBE-84E2-41B6-8871-67C5950843BE}"/>
    <cellStyle name="Percent 9" xfId="2063" xr:uid="{D5D869D8-3AD9-4E0D-A69F-804E64D16A4C}"/>
    <cellStyle name="Percent 9 2" xfId="2064" xr:uid="{E79A6C29-DC07-4487-B66A-CA48F0E70079}"/>
    <cellStyle name="Popis" xfId="517" xr:uid="{9999C146-2BC8-4DBE-ABC6-5F20485309BF}"/>
    <cellStyle name="Popis 2" xfId="2065" xr:uid="{AAA093D1-5AB6-4697-8135-BDDE360BD783}"/>
    <cellStyle name="Prosent_Ark1" xfId="2066" xr:uid="{B60EC46A-8376-44C0-A3AB-224619BA2CFB}"/>
    <cellStyle name="Query" xfId="2067" xr:uid="{8C0712F5-9910-4997-9838-D69712036B15}"/>
    <cellStyle name="Ratio" xfId="2068" xr:uid="{3B957156-A367-402A-8BF9-29DA8358E829}"/>
    <cellStyle name="Sheet Title" xfId="518" xr:uid="{B0AAE11A-0B47-4BF8-BB0D-5550CAF8CB1A}"/>
    <cellStyle name="SheetHeader1" xfId="2069" xr:uid="{7159C896-6FAE-44E7-B206-A359487FB24B}"/>
    <cellStyle name="SheetHeader2" xfId="2070" xr:uid="{05FC23A7-CEC3-464D-9695-DCC99844B1D8}"/>
    <cellStyle name="SheetHeader3" xfId="2071" xr:uid="{A4E9105D-5738-404D-8A9C-550BC606D171}"/>
    <cellStyle name="Sledovaný hypertextový odkaz" xfId="519" xr:uid="{C33B0B18-056D-4BEC-ACBF-6CC37A39A16B}"/>
    <cellStyle name="Sledovaný hypertextový odkaz 2" xfId="2072" xr:uid="{DC36A284-21B3-4E44-AE09-03D13374B460}"/>
    <cellStyle name="Sledovaný hypertextový odkaz 2 2" xfId="2073" xr:uid="{EDFBDBC2-60A7-44B6-93DF-91501ED389F2}"/>
    <cellStyle name="Standard 9 Rahmen grau" xfId="2074" xr:uid="{2D083509-269B-4024-8DDC-F43683C3CAAB}"/>
    <cellStyle name="Standard 9 Rahmen grau 10" xfId="2075" xr:uid="{57A23659-63EF-4906-8E2B-1C2FF7187D7C}"/>
    <cellStyle name="Standard 9 Rahmen grau 2" xfId="2076" xr:uid="{C8B07A43-1F47-418A-A165-A6D70251E958}"/>
    <cellStyle name="Standard 9 Rahmen grau 2 2" xfId="2077" xr:uid="{6ED0D8C6-E259-48BA-8C29-4C53D11219C7}"/>
    <cellStyle name="Standard 9 Rahmen grau 3" xfId="2078" xr:uid="{3F0F84B2-3EFB-4071-AB34-7039B49616FF}"/>
    <cellStyle name="Standard 9 Rahmen grau 3 2" xfId="2079" xr:uid="{5A722AA4-8A3C-42B1-A5D9-C06CE7501791}"/>
    <cellStyle name="Standard 9 Rahmen grau 4" xfId="2080" xr:uid="{29AC15CB-B38D-40FC-B1B0-2999CED9EB94}"/>
    <cellStyle name="Standard 9 Rahmen grau 4 2" xfId="2081" xr:uid="{4864D3C0-99B9-4DAA-B064-64EEFCB98D90}"/>
    <cellStyle name="Standard 9 Rahmen grau 5" xfId="2082" xr:uid="{BE295C8C-B62F-40DB-B13D-1FF1C672D01B}"/>
    <cellStyle name="Standard 9 Rahmen grau 5 2" xfId="2083" xr:uid="{79F58868-16D3-4D69-8E22-2020994F3BD3}"/>
    <cellStyle name="Standard 9 Rahmen grau 6" xfId="2084" xr:uid="{B77EA0AE-C96F-4B37-971C-B0370AADDB32}"/>
    <cellStyle name="Standard 9 Rahmen grau 6 2" xfId="2085" xr:uid="{26CE14BD-F856-40AB-A81E-A3FA9092B62B}"/>
    <cellStyle name="Standard 9 Rahmen grau 7" xfId="2086" xr:uid="{A2ACAE6B-AFA5-4DD6-B5B7-043CFAD37BD7}"/>
    <cellStyle name="Standard 9 Rahmen grau 7 2" xfId="2087" xr:uid="{9521E770-1F13-4C2C-8CB6-BB9FA9D5EDE3}"/>
    <cellStyle name="Standard 9 Rahmen grau 8" xfId="2088" xr:uid="{17B271DE-CF4D-4382-B6B2-FC43E8D88B20}"/>
    <cellStyle name="Standard 9 Rahmen grau 8 2" xfId="2089" xr:uid="{9850745C-91FF-4E8C-8A7E-D77E19D29E9A}"/>
    <cellStyle name="Standard 9 Rahmen grau 9" xfId="2090" xr:uid="{E501151A-823E-41D9-8BD9-120C8BCEEC31}"/>
    <cellStyle name="Standard 9 Rahmen grau 9 2" xfId="2091" xr:uid="{8A87F8E8-5ABA-43B2-AE8D-A5322827CB05}"/>
    <cellStyle name="Standard_BS14" xfId="520" xr:uid="{3E2D93FE-FA59-4745-AAA2-98D87EBB05F1}"/>
    <cellStyle name="Style 1" xfId="521" xr:uid="{7CA0C2ED-91D1-49D7-969A-C7DEECDBF61E}"/>
    <cellStyle name="Style 1 2" xfId="522" xr:uid="{E5DAC8DE-D84D-4AB9-95E5-058D11CE881F}"/>
    <cellStyle name="subhead" xfId="2092" xr:uid="{4E90BE44-0ED8-4FD3-B952-E82E912E71EB}"/>
    <cellStyle name="sub-total" xfId="2093" xr:uid="{60F969AD-B641-4732-9F10-006585A77BBC}"/>
    <cellStyle name="sub-total 2" xfId="2094" xr:uid="{DBD883E2-D80F-40DC-9DCB-B80A969D7476}"/>
    <cellStyle name="T" xfId="2095" xr:uid="{38B5703A-3753-4649-A63F-8B93AB910DF0}"/>
    <cellStyle name="Table_Heading" xfId="2096" xr:uid="{D6095386-BC6C-4A40-B38A-4F541B5EFE92}"/>
    <cellStyle name="Technical_Input" xfId="2097" xr:uid="{33B7AE9F-7BB4-4BF6-A746-FDF5B1B40881}"/>
    <cellStyle name="test" xfId="2098" xr:uid="{4DA8F660-C546-406B-BFAF-5D09217733C1}"/>
    <cellStyle name="THERE SHOULD BE NO BLANK  LINE BETWEEN THE USED LINES" xfId="2099" xr:uid="{D566573C-E888-4DCA-8966-1C456B220F49}"/>
    <cellStyle name="THERE SHOULD BE NO BLANK  LINE BETWEEN THE USED LINES 2" xfId="2100" xr:uid="{0D919D18-ADDB-4271-A580-0D34B0A2F9F3}"/>
    <cellStyle name="Times New Roman" xfId="523" xr:uid="{5CF83E61-18A7-4BA7-A6A9-285D1FE75EBC}"/>
    <cellStyle name="Title 2" xfId="524" xr:uid="{6E3A9AE5-D92B-4399-AEB4-E884BA5848B1}"/>
    <cellStyle name="Title 3" xfId="525" xr:uid="{A37FED74-359E-44BC-9D27-1AB7FB1C72B5}"/>
    <cellStyle name="Title 4" xfId="526" xr:uid="{4519E586-1C11-498D-B642-2FECEB1E43A3}"/>
    <cellStyle name="Total 2" xfId="527" xr:uid="{DECFB463-42DA-4BB7-A9D8-59341D61D73C}"/>
    <cellStyle name="Total 2 2" xfId="2101" xr:uid="{7FDB661A-281A-487F-ACDA-57E368CE2E6E}"/>
    <cellStyle name="Total 3" xfId="528" xr:uid="{738077CE-7B79-446A-81C8-E98122E13564}"/>
    <cellStyle name="Total 3 2" xfId="2102" xr:uid="{F5C1F167-7A1D-4C13-91EA-F4980D07EC35}"/>
    <cellStyle name="Total 3 3" xfId="2103" xr:uid="{94C8569E-FDC4-471B-9D12-C634C735A03D}"/>
    <cellStyle name="Total 4" xfId="529" xr:uid="{DC8532D8-DDE2-46B3-A543-D59C8A326E74}"/>
    <cellStyle name="Total 4 2" xfId="2104" xr:uid="{919182C9-06E5-4B8C-99A9-F029FE54B969}"/>
    <cellStyle name="Tusenskille [0]_Ark1" xfId="2105" xr:uid="{0C60DE30-A484-4BBC-89A5-E486A31E07AE}"/>
    <cellStyle name="Tusenskille_Ark1" xfId="2106" xr:uid="{DCA2AB25-F4C9-47B8-A1B0-DA1BE1F5BB37}"/>
    <cellStyle name="Tusental (0)_Appx 2 Action plan" xfId="2107" xr:uid="{1E8E1DB1-BC0F-4A0D-A681-7B9D33D66159}"/>
    <cellStyle name="Tusental_Appx 2 Action plan" xfId="2108" xr:uid="{0433AC8E-95C6-4CE0-9D4A-527C0C0E2C89}"/>
    <cellStyle name="unit" xfId="2109" xr:uid="{2A7E7C3C-EBA0-4E6A-9390-B384522EF31C}"/>
    <cellStyle name="Valuta (0)_Appx 2 Action plan" xfId="2110" xr:uid="{4C9A7352-6D11-43EF-A339-C5907A2C1765}"/>
    <cellStyle name="Valuta [0]_Ark1" xfId="2111" xr:uid="{0B29D030-1FD7-46C3-9D72-9A2E097B8439}"/>
    <cellStyle name="Valuta_Appx 2 Action plan" xfId="2112" xr:uid="{6601E388-0438-4B31-BD8D-B03E7A4B2DF7}"/>
    <cellStyle name="Währung [0]_Sheet1" xfId="2113" xr:uid="{9916C326-F139-43B0-8880-7D32FE99FD7D}"/>
    <cellStyle name="Währung_Sheet1" xfId="2114" xr:uid="{A0EC3ED6-30D4-490E-BFDD-1D3773C48730}"/>
    <cellStyle name="Warning Text 2" xfId="530" xr:uid="{03619592-E45F-4E30-A15A-4858FBB265C6}"/>
    <cellStyle name="Warning Text 3" xfId="531" xr:uid="{56EB43D9-E5AD-449B-A4C0-2005A9BF1AF5}"/>
    <cellStyle name="Warning Text 4" xfId="532" xr:uid="{D77451C2-74C6-4276-9FA1-10CB5C0A0094}"/>
    <cellStyle name="WIP" xfId="2115" xr:uid="{F37BC0BA-242B-46BC-8C16-6CF50B2677D1}"/>
    <cellStyle name="백분율_95" xfId="533" xr:uid="{53807D27-CA39-42E0-974A-355591E1A5A8}"/>
    <cellStyle name="쉼표 [0]_Pipalkoti project_PTCUL_Price Proposal_break down" xfId="2116" xr:uid="{FEA2B94F-7C3C-4BA1-995F-F7A73346A2C5}"/>
    <cellStyle name="콤마 [0]_1.24분기 평가표 " xfId="2117" xr:uid="{CD31E96F-A2D8-4BCC-B7D2-3F72742FDD96}"/>
    <cellStyle name="콤마_1.24분기 평가표 " xfId="2118" xr:uid="{8275C76B-29A3-4124-8594-43AD4F966B31}"/>
    <cellStyle name="통화 [0]_1.24분기 평가표 " xfId="2119" xr:uid="{72524076-2FCD-42F7-B3CB-835DD5EB30B0}"/>
    <cellStyle name="통화_1.24분기 평가표 " xfId="2120" xr:uid="{97D71B9D-3A33-42F0-B1CD-43B7446698D3}"/>
    <cellStyle name="표준_0N-HANDLING " xfId="534" xr:uid="{DF8DE20C-A341-4E74-8AF7-8BE34C60A94F}"/>
    <cellStyle name="常规_Sheet1" xfId="2121" xr:uid="{D7683FE1-5A90-404E-AFE2-00F82B39B7C5}"/>
    <cellStyle name="標準_B50SUM" xfId="2122" xr:uid="{EB8F9B02-4CC3-4119-B553-53F12C76A26F}"/>
  </cellStyles>
  <dxfs count="1539"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</dxfs>
  <tableStyles count="0" defaultTableStyle="TableStyleMedium2" defaultPivotStyle="PivotStyleLight16"/>
  <colors>
    <mruColors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5.emf"/><Relationship Id="rId5" Type="http://schemas.openxmlformats.org/officeDocument/2006/relationships/image" Target="../media/image4.emf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8282</xdr:colOff>
      <xdr:row>2</xdr:row>
      <xdr:rowOff>7326</xdr:rowOff>
    </xdr:from>
    <xdr:to>
      <xdr:col>26</xdr:col>
      <xdr:colOff>264724</xdr:colOff>
      <xdr:row>3</xdr:row>
      <xdr:rowOff>190499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2945738A-D0C7-4E7E-AB17-160E5F612E49}"/>
            </a:ext>
          </a:extLst>
        </xdr:cNvPr>
        <xdr:cNvSpPr/>
      </xdr:nvSpPr>
      <xdr:spPr>
        <a:xfrm>
          <a:off x="15248282" y="375626"/>
          <a:ext cx="866042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12370</xdr:colOff>
      <xdr:row>2</xdr:row>
      <xdr:rowOff>0</xdr:rowOff>
    </xdr:from>
    <xdr:to>
      <xdr:col>23</xdr:col>
      <xdr:colOff>268812</xdr:colOff>
      <xdr:row>3</xdr:row>
      <xdr:rowOff>183173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154F52BA-F8C6-49A3-A7AA-219B0268E877}"/>
            </a:ext>
          </a:extLst>
        </xdr:cNvPr>
        <xdr:cNvSpPr/>
      </xdr:nvSpPr>
      <xdr:spPr>
        <a:xfrm>
          <a:off x="13423570" y="368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10583</xdr:colOff>
      <xdr:row>2</xdr:row>
      <xdr:rowOff>21167</xdr:rowOff>
    </xdr:from>
    <xdr:to>
      <xdr:col>21</xdr:col>
      <xdr:colOff>2441</xdr:colOff>
      <xdr:row>4</xdr:row>
      <xdr:rowOff>3257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4F838070-A230-425D-B551-1B3FA9D99EED}"/>
            </a:ext>
          </a:extLst>
        </xdr:cNvPr>
        <xdr:cNvSpPr/>
      </xdr:nvSpPr>
      <xdr:spPr>
        <a:xfrm>
          <a:off x="11592983" y="389467"/>
          <a:ext cx="1211058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</xdr:row>
      <xdr:rowOff>31750</xdr:rowOff>
    </xdr:from>
    <xdr:to>
      <xdr:col>29</xdr:col>
      <xdr:colOff>256442</xdr:colOff>
      <xdr:row>4</xdr:row>
      <xdr:rowOff>13840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86D33D00-F887-43E8-9A27-F8BE078A0B21}"/>
            </a:ext>
          </a:extLst>
        </xdr:cNvPr>
        <xdr:cNvSpPr/>
      </xdr:nvSpPr>
      <xdr:spPr>
        <a:xfrm>
          <a:off x="170688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</xdr:row>
      <xdr:rowOff>21167</xdr:rowOff>
    </xdr:from>
    <xdr:to>
      <xdr:col>32</xdr:col>
      <xdr:colOff>256442</xdr:colOff>
      <xdr:row>4</xdr:row>
      <xdr:rowOff>3257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A2AEC90E-D1E7-4FF6-86C0-9BD47C4180A0}"/>
            </a:ext>
          </a:extLst>
        </xdr:cNvPr>
        <xdr:cNvSpPr/>
      </xdr:nvSpPr>
      <xdr:spPr>
        <a:xfrm>
          <a:off x="18897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</xdr:row>
      <xdr:rowOff>31750</xdr:rowOff>
    </xdr:from>
    <xdr:to>
      <xdr:col>35</xdr:col>
      <xdr:colOff>256442</xdr:colOff>
      <xdr:row>4</xdr:row>
      <xdr:rowOff>13840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A171717D-F670-4185-AD78-4A189649A416}"/>
            </a:ext>
          </a:extLst>
        </xdr:cNvPr>
        <xdr:cNvSpPr/>
      </xdr:nvSpPr>
      <xdr:spPr>
        <a:xfrm>
          <a:off x="207264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</xdr:row>
      <xdr:rowOff>19844</xdr:rowOff>
    </xdr:from>
    <xdr:to>
      <xdr:col>38</xdr:col>
      <xdr:colOff>237392</xdr:colOff>
      <xdr:row>4</xdr:row>
      <xdr:rowOff>1934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46E04AE-7C2E-4B31-9F6E-8B86E08534E7}"/>
            </a:ext>
          </a:extLst>
        </xdr:cNvPr>
        <xdr:cNvSpPr/>
      </xdr:nvSpPr>
      <xdr:spPr>
        <a:xfrm>
          <a:off x="22555200" y="388144"/>
          <a:ext cx="84699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415396</xdr:colOff>
      <xdr:row>2</xdr:row>
      <xdr:rowOff>31750</xdr:rowOff>
    </xdr:from>
    <xdr:to>
      <xdr:col>41</xdr:col>
      <xdr:colOff>252473</xdr:colOff>
      <xdr:row>4</xdr:row>
      <xdr:rowOff>13840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31C82C97-429E-432A-8572-8E38D4725CF4}"/>
            </a:ext>
          </a:extLst>
        </xdr:cNvPr>
        <xdr:cNvSpPr/>
      </xdr:nvSpPr>
      <xdr:spPr>
        <a:xfrm>
          <a:off x="24189796" y="400050"/>
          <a:ext cx="1056277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</xdr:row>
      <xdr:rowOff>0</xdr:rowOff>
    </xdr:from>
    <xdr:to>
      <xdr:col>41</xdr:col>
      <xdr:colOff>256442</xdr:colOff>
      <xdr:row>12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05DFAE80-1D5B-4DDD-9236-D456C5092236}"/>
            </a:ext>
          </a:extLst>
        </xdr:cNvPr>
        <xdr:cNvSpPr/>
      </xdr:nvSpPr>
      <xdr:spPr>
        <a:xfrm>
          <a:off x="24384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256442</xdr:colOff>
      <xdr:row>12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2967201F-DA5E-4952-A075-F9F2D99F5C87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BB914B31-EF7D-47CB-9AD5-873296F9FB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</xdr:row>
      <xdr:rowOff>0</xdr:rowOff>
    </xdr:from>
    <xdr:to>
      <xdr:col>32</xdr:col>
      <xdr:colOff>256442</xdr:colOff>
      <xdr:row>12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6B25DA13-8D1B-4683-9CE5-59C88F0A5844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256442</xdr:colOff>
      <xdr:row>12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5B8F3AD0-A5E9-49B7-B300-D5BEE16B2911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</xdr:row>
      <xdr:rowOff>0</xdr:rowOff>
    </xdr:from>
    <xdr:to>
      <xdr:col>26</xdr:col>
      <xdr:colOff>256442</xdr:colOff>
      <xdr:row>12</xdr:row>
      <xdr:rowOff>183173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3A35B349-0901-470A-B612-B1255963C035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256442</xdr:colOff>
      <xdr:row>12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C11CC7E2-68E6-4BDE-94F9-5724F867715B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A2679BED-6652-42AC-8E96-8C4C6E321A6F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17</xdr:col>
      <xdr:colOff>256442</xdr:colOff>
      <xdr:row>12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ACE0E32E-AD34-416B-83C8-03D6C7D37566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A6F92A01-8F05-43AC-A26A-B24413707914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AB00EFBA-28FC-4909-8E9A-99C1C54D9775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20</xdr:row>
      <xdr:rowOff>0</xdr:rowOff>
    </xdr:from>
    <xdr:to>
      <xdr:col>11</xdr:col>
      <xdr:colOff>256442</xdr:colOff>
      <xdr:row>21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66B242AF-0B26-4851-8E9A-FEF65922F2D3}"/>
            </a:ext>
          </a:extLst>
        </xdr:cNvPr>
        <xdr:cNvSpPr/>
      </xdr:nvSpPr>
      <xdr:spPr>
        <a:xfrm>
          <a:off x="60960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20</xdr:row>
      <xdr:rowOff>0</xdr:rowOff>
    </xdr:from>
    <xdr:to>
      <xdr:col>14</xdr:col>
      <xdr:colOff>256442</xdr:colOff>
      <xdr:row>21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923F838F-E681-4CDA-8D80-63569620253E}"/>
            </a:ext>
          </a:extLst>
        </xdr:cNvPr>
        <xdr:cNvSpPr/>
      </xdr:nvSpPr>
      <xdr:spPr>
        <a:xfrm>
          <a:off x="79248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256442</xdr:colOff>
      <xdr:row>21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FC765F5C-5C29-4EA7-983A-1EEE137BF343}"/>
            </a:ext>
          </a:extLst>
        </xdr:cNvPr>
        <xdr:cNvSpPr/>
      </xdr:nvSpPr>
      <xdr:spPr>
        <a:xfrm>
          <a:off x="97536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20</xdr:row>
      <xdr:rowOff>0</xdr:rowOff>
    </xdr:from>
    <xdr:to>
      <xdr:col>20</xdr:col>
      <xdr:colOff>256442</xdr:colOff>
      <xdr:row>21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66149AA0-3318-464E-AC8E-D895C007C731}"/>
            </a:ext>
          </a:extLst>
        </xdr:cNvPr>
        <xdr:cNvSpPr/>
      </xdr:nvSpPr>
      <xdr:spPr>
        <a:xfrm>
          <a:off x="11582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20</xdr:row>
      <xdr:rowOff>0</xdr:rowOff>
    </xdr:from>
    <xdr:to>
      <xdr:col>23</xdr:col>
      <xdr:colOff>256442</xdr:colOff>
      <xdr:row>21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83F46B2B-4734-4154-BE2C-38469D7B744B}"/>
            </a:ext>
          </a:extLst>
        </xdr:cNvPr>
        <xdr:cNvSpPr/>
      </xdr:nvSpPr>
      <xdr:spPr>
        <a:xfrm>
          <a:off x="13411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20</xdr:row>
      <xdr:rowOff>0</xdr:rowOff>
    </xdr:from>
    <xdr:to>
      <xdr:col>26</xdr:col>
      <xdr:colOff>256442</xdr:colOff>
      <xdr:row>21</xdr:row>
      <xdr:rowOff>183173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928DE483-7438-489D-A23D-D4D40EE517B3}"/>
            </a:ext>
          </a:extLst>
        </xdr:cNvPr>
        <xdr:cNvSpPr/>
      </xdr:nvSpPr>
      <xdr:spPr>
        <a:xfrm>
          <a:off x="15240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20</xdr:row>
      <xdr:rowOff>0</xdr:rowOff>
    </xdr:from>
    <xdr:to>
      <xdr:col>29</xdr:col>
      <xdr:colOff>256442</xdr:colOff>
      <xdr:row>21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F7EFDC46-3C61-4606-AAAE-F94721AD0CF7}"/>
            </a:ext>
          </a:extLst>
        </xdr:cNvPr>
        <xdr:cNvSpPr/>
      </xdr:nvSpPr>
      <xdr:spPr>
        <a:xfrm>
          <a:off x="170688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20</xdr:row>
      <xdr:rowOff>0</xdr:rowOff>
    </xdr:from>
    <xdr:to>
      <xdr:col>32</xdr:col>
      <xdr:colOff>256442</xdr:colOff>
      <xdr:row>21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77AF69B6-B65D-4DF3-908C-E9635F3804F7}"/>
            </a:ext>
          </a:extLst>
        </xdr:cNvPr>
        <xdr:cNvSpPr/>
      </xdr:nvSpPr>
      <xdr:spPr>
        <a:xfrm>
          <a:off x="188976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20</xdr:row>
      <xdr:rowOff>0</xdr:rowOff>
    </xdr:from>
    <xdr:to>
      <xdr:col>35</xdr:col>
      <xdr:colOff>256442</xdr:colOff>
      <xdr:row>21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EA48A1EF-3A04-40EC-B7BA-42C358CBF021}"/>
            </a:ext>
          </a:extLst>
        </xdr:cNvPr>
        <xdr:cNvSpPr/>
      </xdr:nvSpPr>
      <xdr:spPr>
        <a:xfrm>
          <a:off x="20726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20</xdr:row>
      <xdr:rowOff>0</xdr:rowOff>
    </xdr:from>
    <xdr:to>
      <xdr:col>38</xdr:col>
      <xdr:colOff>256442</xdr:colOff>
      <xdr:row>21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509294F0-4117-4E62-8224-2FC33EF2BDE7}"/>
            </a:ext>
          </a:extLst>
        </xdr:cNvPr>
        <xdr:cNvSpPr/>
      </xdr:nvSpPr>
      <xdr:spPr>
        <a:xfrm>
          <a:off x="22555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20</xdr:row>
      <xdr:rowOff>0</xdr:rowOff>
    </xdr:from>
    <xdr:to>
      <xdr:col>41</xdr:col>
      <xdr:colOff>256442</xdr:colOff>
      <xdr:row>21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7C440807-4B8F-419C-9847-8939F1834471}"/>
            </a:ext>
          </a:extLst>
        </xdr:cNvPr>
        <xdr:cNvSpPr/>
      </xdr:nvSpPr>
      <xdr:spPr>
        <a:xfrm>
          <a:off x="24384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</xdr:row>
      <xdr:rowOff>0</xdr:rowOff>
    </xdr:from>
    <xdr:to>
      <xdr:col>5</xdr:col>
      <xdr:colOff>256442</xdr:colOff>
      <xdr:row>12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E2A37E8B-9068-4E65-AD85-D606078A8590}"/>
            </a:ext>
          </a:extLst>
        </xdr:cNvPr>
        <xdr:cNvSpPr/>
      </xdr:nvSpPr>
      <xdr:spPr>
        <a:xfrm>
          <a:off x="2438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04AD188-688B-4D0E-AB10-DC92A930CA7E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DA5D86E6-504C-491B-9A95-9A53DA7700DF}"/>
            </a:ext>
          </a:extLst>
        </xdr:cNvPr>
        <xdr:cNvSpPr/>
      </xdr:nvSpPr>
      <xdr:spPr>
        <a:xfrm>
          <a:off x="24384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256442</xdr:colOff>
      <xdr:row>21</xdr:row>
      <xdr:rowOff>183173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0A87CA58-0E23-45DD-9401-EA4F075B2299}"/>
            </a:ext>
          </a:extLst>
        </xdr:cNvPr>
        <xdr:cNvSpPr/>
      </xdr:nvSpPr>
      <xdr:spPr>
        <a:xfrm>
          <a:off x="42672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2</xdr:col>
      <xdr:colOff>256442</xdr:colOff>
      <xdr:row>12</xdr:row>
      <xdr:rowOff>183173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D9DB763B-8304-4BE1-8281-6912D838F685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10583</xdr:colOff>
      <xdr:row>20</xdr:row>
      <xdr:rowOff>10584</xdr:rowOff>
    </xdr:from>
    <xdr:to>
      <xdr:col>3</xdr:col>
      <xdr:colOff>2441</xdr:colOff>
      <xdr:row>22</xdr:row>
      <xdr:rowOff>3257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2853BF78-B487-4BAF-A24F-E014F6F80D04}"/>
            </a:ext>
          </a:extLst>
        </xdr:cNvPr>
        <xdr:cNvSpPr/>
      </xdr:nvSpPr>
      <xdr:spPr>
        <a:xfrm>
          <a:off x="620183" y="3325284"/>
          <a:ext cx="1211058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29</xdr:row>
      <xdr:rowOff>0</xdr:rowOff>
    </xdr:from>
    <xdr:to>
      <xdr:col>2</xdr:col>
      <xdr:colOff>256442</xdr:colOff>
      <xdr:row>30</xdr:row>
      <xdr:rowOff>183173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id="{B9D124F8-8A21-4E25-BA92-4F640D2731DF}"/>
            </a:ext>
          </a:extLst>
        </xdr:cNvPr>
        <xdr:cNvSpPr/>
      </xdr:nvSpPr>
      <xdr:spPr>
        <a:xfrm>
          <a:off x="609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29</xdr:row>
      <xdr:rowOff>0</xdr:rowOff>
    </xdr:from>
    <xdr:to>
      <xdr:col>5</xdr:col>
      <xdr:colOff>256442</xdr:colOff>
      <xdr:row>30</xdr:row>
      <xdr:rowOff>183173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id="{96C3CEEB-FF86-4CD9-B4B4-DD9A2C287470}"/>
            </a:ext>
          </a:extLst>
        </xdr:cNvPr>
        <xdr:cNvSpPr/>
      </xdr:nvSpPr>
      <xdr:spPr>
        <a:xfrm>
          <a:off x="2438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8</xdr:col>
      <xdr:colOff>256442</xdr:colOff>
      <xdr:row>30</xdr:row>
      <xdr:rowOff>183173</xdr:rowOff>
    </xdr:to>
    <xdr:sp macro="" textlink="">
      <xdr:nvSpPr>
        <xdr:cNvPr id="40" name="Isosceles Triangle 39">
          <a:extLst>
            <a:ext uri="{FF2B5EF4-FFF2-40B4-BE49-F238E27FC236}">
              <a16:creationId xmlns:a16="http://schemas.microsoft.com/office/drawing/2014/main" id="{5FE4A49E-7088-4AC8-B1DB-C22447527030}"/>
            </a:ext>
          </a:extLst>
        </xdr:cNvPr>
        <xdr:cNvSpPr/>
      </xdr:nvSpPr>
      <xdr:spPr>
        <a:xfrm>
          <a:off x="4267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29</xdr:row>
      <xdr:rowOff>0</xdr:rowOff>
    </xdr:from>
    <xdr:to>
      <xdr:col>11</xdr:col>
      <xdr:colOff>256442</xdr:colOff>
      <xdr:row>30</xdr:row>
      <xdr:rowOff>183173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E5322337-D813-46B7-B5CB-BF8D585B0598}"/>
            </a:ext>
          </a:extLst>
        </xdr:cNvPr>
        <xdr:cNvSpPr/>
      </xdr:nvSpPr>
      <xdr:spPr>
        <a:xfrm>
          <a:off x="6096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14</xdr:col>
      <xdr:colOff>256442</xdr:colOff>
      <xdr:row>30</xdr:row>
      <xdr:rowOff>183173</xdr:rowOff>
    </xdr:to>
    <xdr:sp macro="" textlink="">
      <xdr:nvSpPr>
        <xdr:cNvPr id="42" name="Isosceles Triangle 41">
          <a:extLst>
            <a:ext uri="{FF2B5EF4-FFF2-40B4-BE49-F238E27FC236}">
              <a16:creationId xmlns:a16="http://schemas.microsoft.com/office/drawing/2014/main" id="{611B7F18-4CD4-4F5E-8503-E5C49C9B65D7}"/>
            </a:ext>
          </a:extLst>
        </xdr:cNvPr>
        <xdr:cNvSpPr/>
      </xdr:nvSpPr>
      <xdr:spPr>
        <a:xfrm>
          <a:off x="7924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29</xdr:row>
      <xdr:rowOff>0</xdr:rowOff>
    </xdr:from>
    <xdr:to>
      <xdr:col>17</xdr:col>
      <xdr:colOff>256442</xdr:colOff>
      <xdr:row>30</xdr:row>
      <xdr:rowOff>183173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id="{15F59411-E18F-4F26-9DEB-6B783EDC0B70}"/>
            </a:ext>
          </a:extLst>
        </xdr:cNvPr>
        <xdr:cNvSpPr/>
      </xdr:nvSpPr>
      <xdr:spPr>
        <a:xfrm>
          <a:off x="9753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29</xdr:row>
      <xdr:rowOff>0</xdr:rowOff>
    </xdr:from>
    <xdr:to>
      <xdr:col>20</xdr:col>
      <xdr:colOff>256442</xdr:colOff>
      <xdr:row>30</xdr:row>
      <xdr:rowOff>183173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id="{E0094C2F-506F-422D-849C-4E1838353AD0}"/>
            </a:ext>
          </a:extLst>
        </xdr:cNvPr>
        <xdr:cNvSpPr/>
      </xdr:nvSpPr>
      <xdr:spPr>
        <a:xfrm>
          <a:off x="11582400" y="4787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29</xdr:row>
      <xdr:rowOff>0</xdr:rowOff>
    </xdr:from>
    <xdr:to>
      <xdr:col>23</xdr:col>
      <xdr:colOff>256442</xdr:colOff>
      <xdr:row>30</xdr:row>
      <xdr:rowOff>183173</xdr:rowOff>
    </xdr:to>
    <xdr:sp macro="" textlink="">
      <xdr:nvSpPr>
        <xdr:cNvPr id="45" name="Isosceles Triangle 44">
          <a:extLst>
            <a:ext uri="{FF2B5EF4-FFF2-40B4-BE49-F238E27FC236}">
              <a16:creationId xmlns:a16="http://schemas.microsoft.com/office/drawing/2014/main" id="{E1016E3F-8E92-481B-A1FB-98023C27919F}"/>
            </a:ext>
          </a:extLst>
        </xdr:cNvPr>
        <xdr:cNvSpPr/>
      </xdr:nvSpPr>
      <xdr:spPr>
        <a:xfrm>
          <a:off x="13411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29</xdr:row>
      <xdr:rowOff>0</xdr:rowOff>
    </xdr:from>
    <xdr:to>
      <xdr:col>26</xdr:col>
      <xdr:colOff>256442</xdr:colOff>
      <xdr:row>30</xdr:row>
      <xdr:rowOff>183173</xdr:rowOff>
    </xdr:to>
    <xdr:sp macro="" textlink="">
      <xdr:nvSpPr>
        <xdr:cNvPr id="46" name="Isosceles Triangle 45">
          <a:extLst>
            <a:ext uri="{FF2B5EF4-FFF2-40B4-BE49-F238E27FC236}">
              <a16:creationId xmlns:a16="http://schemas.microsoft.com/office/drawing/2014/main" id="{CF536A5E-CDFF-45D6-96E0-109631417F77}"/>
            </a:ext>
          </a:extLst>
        </xdr:cNvPr>
        <xdr:cNvSpPr/>
      </xdr:nvSpPr>
      <xdr:spPr>
        <a:xfrm>
          <a:off x="15240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29</xdr:col>
      <xdr:colOff>256442</xdr:colOff>
      <xdr:row>30</xdr:row>
      <xdr:rowOff>183173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539EF699-944E-4B3D-AAEB-4D9B0F6EF95E}"/>
            </a:ext>
          </a:extLst>
        </xdr:cNvPr>
        <xdr:cNvSpPr/>
      </xdr:nvSpPr>
      <xdr:spPr>
        <a:xfrm>
          <a:off x="17068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11906</xdr:colOff>
      <xdr:row>29</xdr:row>
      <xdr:rowOff>0</xdr:rowOff>
    </xdr:from>
    <xdr:to>
      <xdr:col>33</xdr:col>
      <xdr:colOff>6410</xdr:colOff>
      <xdr:row>30</xdr:row>
      <xdr:rowOff>183173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9A0A7D4A-331C-4307-B307-B74F0112E5B4}"/>
            </a:ext>
          </a:extLst>
        </xdr:cNvPr>
        <xdr:cNvSpPr/>
      </xdr:nvSpPr>
      <xdr:spPr>
        <a:xfrm>
          <a:off x="18909506" y="47879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29</xdr:row>
      <xdr:rowOff>0</xdr:rowOff>
    </xdr:from>
    <xdr:to>
      <xdr:col>35</xdr:col>
      <xdr:colOff>256442</xdr:colOff>
      <xdr:row>30</xdr:row>
      <xdr:rowOff>183173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44AD094C-2D1E-4F5D-9173-E5BD9778AC8D}"/>
            </a:ext>
          </a:extLst>
        </xdr:cNvPr>
        <xdr:cNvSpPr/>
      </xdr:nvSpPr>
      <xdr:spPr>
        <a:xfrm>
          <a:off x="20726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36</xdr:col>
      <xdr:colOff>427934</xdr:colOff>
      <xdr:row>28</xdr:row>
      <xdr:rowOff>188799</xdr:rowOff>
    </xdr:from>
    <xdr:to>
      <xdr:col>39</xdr:col>
      <xdr:colOff>4418</xdr:colOff>
      <xdr:row>30</xdr:row>
      <xdr:rowOff>181472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5027C551-23A8-4BB9-8051-200DF33AE705}"/>
            </a:ext>
          </a:extLst>
        </xdr:cNvPr>
        <xdr:cNvSpPr/>
      </xdr:nvSpPr>
      <xdr:spPr>
        <a:xfrm>
          <a:off x="22373534" y="4786199"/>
          <a:ext cx="140528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29</xdr:row>
      <xdr:rowOff>0</xdr:rowOff>
    </xdr:from>
    <xdr:to>
      <xdr:col>41</xdr:col>
      <xdr:colOff>256442</xdr:colOff>
      <xdr:row>30</xdr:row>
      <xdr:rowOff>183173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63A9D769-3B8A-4E73-82DA-DEB508C2307A}"/>
            </a:ext>
          </a:extLst>
        </xdr:cNvPr>
        <xdr:cNvSpPr/>
      </xdr:nvSpPr>
      <xdr:spPr>
        <a:xfrm>
          <a:off x="24384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38</xdr:row>
      <xdr:rowOff>0</xdr:rowOff>
    </xdr:from>
    <xdr:to>
      <xdr:col>2</xdr:col>
      <xdr:colOff>256442</xdr:colOff>
      <xdr:row>39</xdr:row>
      <xdr:rowOff>183173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89701F98-C33D-4CF1-8C1D-4CA3D0AA955E}"/>
            </a:ext>
          </a:extLst>
        </xdr:cNvPr>
        <xdr:cNvSpPr/>
      </xdr:nvSpPr>
      <xdr:spPr>
        <a:xfrm>
          <a:off x="609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5</xdr:col>
      <xdr:colOff>256442</xdr:colOff>
      <xdr:row>39</xdr:row>
      <xdr:rowOff>183173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EDB287EF-37C4-4DDA-A626-DF1C5A4FC257}"/>
            </a:ext>
          </a:extLst>
        </xdr:cNvPr>
        <xdr:cNvSpPr/>
      </xdr:nvSpPr>
      <xdr:spPr>
        <a:xfrm>
          <a:off x="2438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256441</xdr:colOff>
      <xdr:row>40</xdr:row>
      <xdr:rowOff>3718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BCF7F5E3-764E-461E-927A-CA8558F5BB79}"/>
            </a:ext>
          </a:extLst>
        </xdr:cNvPr>
        <xdr:cNvSpPr/>
      </xdr:nvSpPr>
      <xdr:spPr>
        <a:xfrm>
          <a:off x="7687917" y="6274906"/>
          <a:ext cx="1102924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-1</xdr:colOff>
      <xdr:row>38</xdr:row>
      <xdr:rowOff>13804</xdr:rowOff>
    </xdr:from>
    <xdr:to>
      <xdr:col>8</xdr:col>
      <xdr:colOff>256442</xdr:colOff>
      <xdr:row>40</xdr:row>
      <xdr:rowOff>3716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5030327B-461D-4F54-83B8-A074C74ABB05}"/>
            </a:ext>
          </a:extLst>
        </xdr:cNvPr>
        <xdr:cNvSpPr/>
      </xdr:nvSpPr>
      <xdr:spPr>
        <a:xfrm>
          <a:off x="4267199" y="6274904"/>
          <a:ext cx="866043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1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37A188A8-F037-4276-B200-2BAE1AC574BB}"/>
            </a:ext>
          </a:extLst>
        </xdr:cNvPr>
        <xdr:cNvSpPr/>
      </xdr:nvSpPr>
      <xdr:spPr>
        <a:xfrm>
          <a:off x="6096001" y="6261100"/>
          <a:ext cx="866041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38</xdr:row>
      <xdr:rowOff>0</xdr:rowOff>
    </xdr:from>
    <xdr:to>
      <xdr:col>17</xdr:col>
      <xdr:colOff>256442</xdr:colOff>
      <xdr:row>39</xdr:row>
      <xdr:rowOff>183173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BA62CFC0-BD64-48EB-A4ED-586A8289E374}"/>
            </a:ext>
          </a:extLst>
        </xdr:cNvPr>
        <xdr:cNvSpPr/>
      </xdr:nvSpPr>
      <xdr:spPr>
        <a:xfrm>
          <a:off x="9753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38</xdr:row>
      <xdr:rowOff>0</xdr:rowOff>
    </xdr:from>
    <xdr:to>
      <xdr:col>20</xdr:col>
      <xdr:colOff>256442</xdr:colOff>
      <xdr:row>39</xdr:row>
      <xdr:rowOff>183173</xdr:rowOff>
    </xdr:to>
    <xdr:sp macro="" textlink="">
      <xdr:nvSpPr>
        <xdr:cNvPr id="58" name="Isosceles Triangle 57">
          <a:extLst>
            <a:ext uri="{FF2B5EF4-FFF2-40B4-BE49-F238E27FC236}">
              <a16:creationId xmlns:a16="http://schemas.microsoft.com/office/drawing/2014/main" id="{FE7FEEAE-0914-431C-8E91-A25CF250CED0}"/>
            </a:ext>
          </a:extLst>
        </xdr:cNvPr>
        <xdr:cNvSpPr/>
      </xdr:nvSpPr>
      <xdr:spPr>
        <a:xfrm>
          <a:off x="11582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38</xdr:row>
      <xdr:rowOff>0</xdr:rowOff>
    </xdr:from>
    <xdr:to>
      <xdr:col>23</xdr:col>
      <xdr:colOff>256442</xdr:colOff>
      <xdr:row>39</xdr:row>
      <xdr:rowOff>183173</xdr:rowOff>
    </xdr:to>
    <xdr:sp macro="" textlink="">
      <xdr:nvSpPr>
        <xdr:cNvPr id="59" name="Isosceles Triangle 58">
          <a:extLst>
            <a:ext uri="{FF2B5EF4-FFF2-40B4-BE49-F238E27FC236}">
              <a16:creationId xmlns:a16="http://schemas.microsoft.com/office/drawing/2014/main" id="{EE373DF4-146B-4F78-A221-E07A8C07CFCD}"/>
            </a:ext>
          </a:extLst>
        </xdr:cNvPr>
        <xdr:cNvSpPr/>
      </xdr:nvSpPr>
      <xdr:spPr>
        <a:xfrm>
          <a:off x="13411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38</xdr:row>
      <xdr:rowOff>0</xdr:rowOff>
    </xdr:from>
    <xdr:to>
      <xdr:col>26</xdr:col>
      <xdr:colOff>256442</xdr:colOff>
      <xdr:row>39</xdr:row>
      <xdr:rowOff>183173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D63F47A5-10EF-4761-BB74-3BB6BF1EB2D4}"/>
            </a:ext>
          </a:extLst>
        </xdr:cNvPr>
        <xdr:cNvSpPr/>
      </xdr:nvSpPr>
      <xdr:spPr>
        <a:xfrm>
          <a:off x="15240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11760</xdr:colOff>
      <xdr:row>38</xdr:row>
      <xdr:rowOff>0</xdr:rowOff>
    </xdr:from>
    <xdr:to>
      <xdr:col>33</xdr:col>
      <xdr:colOff>0</xdr:colOff>
      <xdr:row>39</xdr:row>
      <xdr:rowOff>183172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C636DFE8-65A4-422D-BA58-164E6D7FC52B}"/>
            </a:ext>
          </a:extLst>
        </xdr:cNvPr>
        <xdr:cNvSpPr/>
      </xdr:nvSpPr>
      <xdr:spPr>
        <a:xfrm>
          <a:off x="18909360" y="6261100"/>
          <a:ext cx="1207440" cy="36732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27</xdr:col>
      <xdr:colOff>359481</xdr:colOff>
      <xdr:row>38</xdr:row>
      <xdr:rowOff>0</xdr:rowOff>
    </xdr:from>
    <xdr:to>
      <xdr:col>30</xdr:col>
      <xdr:colOff>9499</xdr:colOff>
      <xdr:row>39</xdr:row>
      <xdr:rowOff>183173</xdr:rowOff>
    </xdr:to>
    <xdr:sp macro="" textlink="">
      <xdr:nvSpPr>
        <xdr:cNvPr id="62" name="Isosceles Triangle 61">
          <a:extLst>
            <a:ext uri="{FF2B5EF4-FFF2-40B4-BE49-F238E27FC236}">
              <a16:creationId xmlns:a16="http://schemas.microsoft.com/office/drawing/2014/main" id="{81B5A095-D619-446A-A223-2C3E18285D0C}"/>
            </a:ext>
          </a:extLst>
        </xdr:cNvPr>
        <xdr:cNvSpPr/>
      </xdr:nvSpPr>
      <xdr:spPr>
        <a:xfrm>
          <a:off x="16818681" y="6261100"/>
          <a:ext cx="1478818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38</xdr:row>
      <xdr:rowOff>0</xdr:rowOff>
    </xdr:from>
    <xdr:to>
      <xdr:col>35</xdr:col>
      <xdr:colOff>256442</xdr:colOff>
      <xdr:row>39</xdr:row>
      <xdr:rowOff>183173</xdr:rowOff>
    </xdr:to>
    <xdr:sp macro="" textlink="">
      <xdr:nvSpPr>
        <xdr:cNvPr id="63" name="Isosceles Triangle 62">
          <a:extLst>
            <a:ext uri="{FF2B5EF4-FFF2-40B4-BE49-F238E27FC236}">
              <a16:creationId xmlns:a16="http://schemas.microsoft.com/office/drawing/2014/main" id="{258343F3-71A0-4A3A-AFA5-F596B1F28926}"/>
            </a:ext>
          </a:extLst>
        </xdr:cNvPr>
        <xdr:cNvSpPr/>
      </xdr:nvSpPr>
      <xdr:spPr>
        <a:xfrm>
          <a:off x="20726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38</xdr:row>
      <xdr:rowOff>0</xdr:rowOff>
    </xdr:from>
    <xdr:to>
      <xdr:col>38</xdr:col>
      <xdr:colOff>256442</xdr:colOff>
      <xdr:row>39</xdr:row>
      <xdr:rowOff>183173</xdr:rowOff>
    </xdr:to>
    <xdr:sp macro="" textlink="">
      <xdr:nvSpPr>
        <xdr:cNvPr id="64" name="Isosceles Triangle 63">
          <a:extLst>
            <a:ext uri="{FF2B5EF4-FFF2-40B4-BE49-F238E27FC236}">
              <a16:creationId xmlns:a16="http://schemas.microsoft.com/office/drawing/2014/main" id="{98FDCCD0-A8CB-4C88-9189-788B3F00AAF1}"/>
            </a:ext>
          </a:extLst>
        </xdr:cNvPr>
        <xdr:cNvSpPr/>
      </xdr:nvSpPr>
      <xdr:spPr>
        <a:xfrm>
          <a:off x="22555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38</xdr:row>
      <xdr:rowOff>0</xdr:rowOff>
    </xdr:from>
    <xdr:to>
      <xdr:col>41</xdr:col>
      <xdr:colOff>256442</xdr:colOff>
      <xdr:row>39</xdr:row>
      <xdr:rowOff>183173</xdr:rowOff>
    </xdr:to>
    <xdr:sp macro="" textlink="">
      <xdr:nvSpPr>
        <xdr:cNvPr id="65" name="Isosceles Triangle 64">
          <a:extLst>
            <a:ext uri="{FF2B5EF4-FFF2-40B4-BE49-F238E27FC236}">
              <a16:creationId xmlns:a16="http://schemas.microsoft.com/office/drawing/2014/main" id="{421A17F6-8AA7-434C-BD79-0B19F90BAA0F}"/>
            </a:ext>
          </a:extLst>
        </xdr:cNvPr>
        <xdr:cNvSpPr/>
      </xdr:nvSpPr>
      <xdr:spPr>
        <a:xfrm>
          <a:off x="24384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47</xdr:row>
      <xdr:rowOff>0</xdr:rowOff>
    </xdr:from>
    <xdr:to>
      <xdr:col>2</xdr:col>
      <xdr:colOff>256442</xdr:colOff>
      <xdr:row>48</xdr:row>
      <xdr:rowOff>183173</xdr:rowOff>
    </xdr:to>
    <xdr:sp macro="" textlink="">
      <xdr:nvSpPr>
        <xdr:cNvPr id="66" name="Isosceles Triangle 65">
          <a:extLst>
            <a:ext uri="{FF2B5EF4-FFF2-40B4-BE49-F238E27FC236}">
              <a16:creationId xmlns:a16="http://schemas.microsoft.com/office/drawing/2014/main" id="{91AA0BBE-FB03-4ED4-B306-6576FA9348C2}"/>
            </a:ext>
          </a:extLst>
        </xdr:cNvPr>
        <xdr:cNvSpPr/>
      </xdr:nvSpPr>
      <xdr:spPr>
        <a:xfrm>
          <a:off x="609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47</xdr:row>
      <xdr:rowOff>0</xdr:rowOff>
    </xdr:from>
    <xdr:to>
      <xdr:col>5</xdr:col>
      <xdr:colOff>256442</xdr:colOff>
      <xdr:row>48</xdr:row>
      <xdr:rowOff>183173</xdr:rowOff>
    </xdr:to>
    <xdr:sp macro="" textlink="">
      <xdr:nvSpPr>
        <xdr:cNvPr id="67" name="Isosceles Triangle 66">
          <a:extLst>
            <a:ext uri="{FF2B5EF4-FFF2-40B4-BE49-F238E27FC236}">
              <a16:creationId xmlns:a16="http://schemas.microsoft.com/office/drawing/2014/main" id="{71699EBE-D818-4430-A90D-8461B5BB8B6C}"/>
            </a:ext>
          </a:extLst>
        </xdr:cNvPr>
        <xdr:cNvSpPr/>
      </xdr:nvSpPr>
      <xdr:spPr>
        <a:xfrm>
          <a:off x="24384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47</xdr:row>
      <xdr:rowOff>0</xdr:rowOff>
    </xdr:from>
    <xdr:to>
      <xdr:col>8</xdr:col>
      <xdr:colOff>256442</xdr:colOff>
      <xdr:row>48</xdr:row>
      <xdr:rowOff>183173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1B275195-C8F2-475F-A70F-77AD6B53C614}"/>
            </a:ext>
          </a:extLst>
        </xdr:cNvPr>
        <xdr:cNvSpPr/>
      </xdr:nvSpPr>
      <xdr:spPr>
        <a:xfrm>
          <a:off x="4267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47</xdr:row>
      <xdr:rowOff>0</xdr:rowOff>
    </xdr:from>
    <xdr:to>
      <xdr:col>11</xdr:col>
      <xdr:colOff>256442</xdr:colOff>
      <xdr:row>48</xdr:row>
      <xdr:rowOff>183173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5ED688A4-E42E-4C54-A4A9-E64A8EDE65B9}"/>
            </a:ext>
          </a:extLst>
        </xdr:cNvPr>
        <xdr:cNvSpPr/>
      </xdr:nvSpPr>
      <xdr:spPr>
        <a:xfrm>
          <a:off x="6096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47</xdr:row>
      <xdr:rowOff>0</xdr:rowOff>
    </xdr:from>
    <xdr:to>
      <xdr:col>14</xdr:col>
      <xdr:colOff>256442</xdr:colOff>
      <xdr:row>48</xdr:row>
      <xdr:rowOff>183173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95CADE57-4298-4DB5-B8FB-447656475CB6}"/>
            </a:ext>
          </a:extLst>
        </xdr:cNvPr>
        <xdr:cNvSpPr/>
      </xdr:nvSpPr>
      <xdr:spPr>
        <a:xfrm>
          <a:off x="7924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47</xdr:row>
      <xdr:rowOff>0</xdr:rowOff>
    </xdr:from>
    <xdr:to>
      <xdr:col>17</xdr:col>
      <xdr:colOff>256442</xdr:colOff>
      <xdr:row>48</xdr:row>
      <xdr:rowOff>183173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D9213411-E3DB-451B-A41D-FDAFCDAD19A1}"/>
            </a:ext>
          </a:extLst>
        </xdr:cNvPr>
        <xdr:cNvSpPr/>
      </xdr:nvSpPr>
      <xdr:spPr>
        <a:xfrm>
          <a:off x="9753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47</xdr:row>
      <xdr:rowOff>11906</xdr:rowOff>
    </xdr:from>
    <xdr:to>
      <xdr:col>20</xdr:col>
      <xdr:colOff>256442</xdr:colOff>
      <xdr:row>49</xdr:row>
      <xdr:rowOff>4579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080391DF-F2D8-4CB7-A060-B84896EC5BBA}"/>
            </a:ext>
          </a:extLst>
        </xdr:cNvPr>
        <xdr:cNvSpPr/>
      </xdr:nvSpPr>
      <xdr:spPr>
        <a:xfrm>
          <a:off x="11582400" y="7746206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47</xdr:row>
      <xdr:rowOff>0</xdr:rowOff>
    </xdr:from>
    <xdr:to>
      <xdr:col>23</xdr:col>
      <xdr:colOff>256442</xdr:colOff>
      <xdr:row>48</xdr:row>
      <xdr:rowOff>183173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07EF5F8F-356C-4112-AD39-FD7D097F777C}"/>
            </a:ext>
          </a:extLst>
        </xdr:cNvPr>
        <xdr:cNvSpPr/>
      </xdr:nvSpPr>
      <xdr:spPr>
        <a:xfrm>
          <a:off x="13411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47</xdr:row>
      <xdr:rowOff>0</xdr:rowOff>
    </xdr:from>
    <xdr:to>
      <xdr:col>26</xdr:col>
      <xdr:colOff>256442</xdr:colOff>
      <xdr:row>48</xdr:row>
      <xdr:rowOff>183173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05ADC3BB-FEED-409F-A152-4F94FFBD8718}"/>
            </a:ext>
          </a:extLst>
        </xdr:cNvPr>
        <xdr:cNvSpPr/>
      </xdr:nvSpPr>
      <xdr:spPr>
        <a:xfrm>
          <a:off x="15240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47</xdr:row>
      <xdr:rowOff>0</xdr:rowOff>
    </xdr:from>
    <xdr:to>
      <xdr:col>29</xdr:col>
      <xdr:colOff>256442</xdr:colOff>
      <xdr:row>48</xdr:row>
      <xdr:rowOff>183173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FF24F789-E4AF-4AD7-B168-972745678EC4}"/>
            </a:ext>
          </a:extLst>
        </xdr:cNvPr>
        <xdr:cNvSpPr/>
      </xdr:nvSpPr>
      <xdr:spPr>
        <a:xfrm>
          <a:off x="17068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47</xdr:row>
      <xdr:rowOff>0</xdr:rowOff>
    </xdr:from>
    <xdr:to>
      <xdr:col>32</xdr:col>
      <xdr:colOff>256442</xdr:colOff>
      <xdr:row>48</xdr:row>
      <xdr:rowOff>183173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678362EC-E807-4811-B61E-99156DA9152D}"/>
            </a:ext>
          </a:extLst>
        </xdr:cNvPr>
        <xdr:cNvSpPr/>
      </xdr:nvSpPr>
      <xdr:spPr>
        <a:xfrm>
          <a:off x="18897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256442</xdr:colOff>
      <xdr:row>48</xdr:row>
      <xdr:rowOff>183173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ACB09E15-5087-4F87-87C6-C7604914AE57}"/>
            </a:ext>
          </a:extLst>
        </xdr:cNvPr>
        <xdr:cNvSpPr/>
      </xdr:nvSpPr>
      <xdr:spPr>
        <a:xfrm>
          <a:off x="20726400" y="7734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47</xdr:row>
      <xdr:rowOff>0</xdr:rowOff>
    </xdr:from>
    <xdr:to>
      <xdr:col>38</xdr:col>
      <xdr:colOff>256442</xdr:colOff>
      <xdr:row>48</xdr:row>
      <xdr:rowOff>183173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13445E87-4819-4962-9300-BFDC74835A9E}"/>
            </a:ext>
          </a:extLst>
        </xdr:cNvPr>
        <xdr:cNvSpPr/>
      </xdr:nvSpPr>
      <xdr:spPr>
        <a:xfrm>
          <a:off x="22555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47</xdr:row>
      <xdr:rowOff>0</xdr:rowOff>
    </xdr:from>
    <xdr:to>
      <xdr:col>41</xdr:col>
      <xdr:colOff>256442</xdr:colOff>
      <xdr:row>48</xdr:row>
      <xdr:rowOff>183173</xdr:rowOff>
    </xdr:to>
    <xdr:sp macro="" textlink="">
      <xdr:nvSpPr>
        <xdr:cNvPr id="79" name="Isosceles Triangle 78">
          <a:extLst>
            <a:ext uri="{FF2B5EF4-FFF2-40B4-BE49-F238E27FC236}">
              <a16:creationId xmlns:a16="http://schemas.microsoft.com/office/drawing/2014/main" id="{5CB85C7B-9FD8-451F-9FA9-05C6E41DFD24}"/>
            </a:ext>
          </a:extLst>
        </xdr:cNvPr>
        <xdr:cNvSpPr/>
      </xdr:nvSpPr>
      <xdr:spPr>
        <a:xfrm>
          <a:off x="24384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56</xdr:row>
      <xdr:rowOff>0</xdr:rowOff>
    </xdr:from>
    <xdr:to>
      <xdr:col>5</xdr:col>
      <xdr:colOff>256442</xdr:colOff>
      <xdr:row>57</xdr:row>
      <xdr:rowOff>183173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45DF33F5-2F8C-40AE-8BAA-F74A66F93FC5}"/>
            </a:ext>
          </a:extLst>
        </xdr:cNvPr>
        <xdr:cNvSpPr/>
      </xdr:nvSpPr>
      <xdr:spPr>
        <a:xfrm>
          <a:off x="2438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8</xdr:col>
      <xdr:colOff>256442</xdr:colOff>
      <xdr:row>57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6492E627-BD77-4930-9373-03DED5CCE8E6}"/>
            </a:ext>
          </a:extLst>
        </xdr:cNvPr>
        <xdr:cNvSpPr/>
      </xdr:nvSpPr>
      <xdr:spPr>
        <a:xfrm>
          <a:off x="4267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56</xdr:row>
      <xdr:rowOff>0</xdr:rowOff>
    </xdr:from>
    <xdr:to>
      <xdr:col>11</xdr:col>
      <xdr:colOff>256442</xdr:colOff>
      <xdr:row>57</xdr:row>
      <xdr:rowOff>183173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CCD459EB-84C8-4EA7-938E-F12307F7C44E}"/>
            </a:ext>
          </a:extLst>
        </xdr:cNvPr>
        <xdr:cNvSpPr/>
      </xdr:nvSpPr>
      <xdr:spPr>
        <a:xfrm>
          <a:off x="6096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56</xdr:row>
      <xdr:rowOff>0</xdr:rowOff>
    </xdr:from>
    <xdr:to>
      <xdr:col>14</xdr:col>
      <xdr:colOff>256442</xdr:colOff>
      <xdr:row>57</xdr:row>
      <xdr:rowOff>183173</xdr:rowOff>
    </xdr:to>
    <xdr:sp macro="" textlink="">
      <xdr:nvSpPr>
        <xdr:cNvPr id="84" name="Isosceles Triangle 83">
          <a:extLst>
            <a:ext uri="{FF2B5EF4-FFF2-40B4-BE49-F238E27FC236}">
              <a16:creationId xmlns:a16="http://schemas.microsoft.com/office/drawing/2014/main" id="{5EDA355E-4E54-46AF-8346-A0D965E0B796}"/>
            </a:ext>
          </a:extLst>
        </xdr:cNvPr>
        <xdr:cNvSpPr/>
      </xdr:nvSpPr>
      <xdr:spPr>
        <a:xfrm>
          <a:off x="7924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56</xdr:row>
      <xdr:rowOff>0</xdr:rowOff>
    </xdr:from>
    <xdr:to>
      <xdr:col>17</xdr:col>
      <xdr:colOff>256442</xdr:colOff>
      <xdr:row>57</xdr:row>
      <xdr:rowOff>183173</xdr:rowOff>
    </xdr:to>
    <xdr:sp macro="" textlink="">
      <xdr:nvSpPr>
        <xdr:cNvPr id="85" name="Isosceles Triangle 84">
          <a:extLst>
            <a:ext uri="{FF2B5EF4-FFF2-40B4-BE49-F238E27FC236}">
              <a16:creationId xmlns:a16="http://schemas.microsoft.com/office/drawing/2014/main" id="{9D9C4C22-4AB1-4E2E-A23B-0D97A44D9707}"/>
            </a:ext>
          </a:extLst>
        </xdr:cNvPr>
        <xdr:cNvSpPr/>
      </xdr:nvSpPr>
      <xdr:spPr>
        <a:xfrm>
          <a:off x="9753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56</xdr:row>
      <xdr:rowOff>0</xdr:rowOff>
    </xdr:from>
    <xdr:to>
      <xdr:col>20</xdr:col>
      <xdr:colOff>256442</xdr:colOff>
      <xdr:row>57</xdr:row>
      <xdr:rowOff>183173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F039D6C0-8529-4C01-A8C0-01B977DB4072}"/>
            </a:ext>
          </a:extLst>
        </xdr:cNvPr>
        <xdr:cNvSpPr/>
      </xdr:nvSpPr>
      <xdr:spPr>
        <a:xfrm>
          <a:off x="11582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56</xdr:row>
      <xdr:rowOff>0</xdr:rowOff>
    </xdr:from>
    <xdr:to>
      <xdr:col>23</xdr:col>
      <xdr:colOff>256442</xdr:colOff>
      <xdr:row>57</xdr:row>
      <xdr:rowOff>183173</xdr:rowOff>
    </xdr:to>
    <xdr:sp macro="" textlink="">
      <xdr:nvSpPr>
        <xdr:cNvPr id="87" name="Isosceles Triangle 86">
          <a:extLst>
            <a:ext uri="{FF2B5EF4-FFF2-40B4-BE49-F238E27FC236}">
              <a16:creationId xmlns:a16="http://schemas.microsoft.com/office/drawing/2014/main" id="{2FE096E4-E318-4579-8E91-41086AB02A95}"/>
            </a:ext>
          </a:extLst>
        </xdr:cNvPr>
        <xdr:cNvSpPr/>
      </xdr:nvSpPr>
      <xdr:spPr>
        <a:xfrm>
          <a:off x="13411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56</xdr:row>
      <xdr:rowOff>0</xdr:rowOff>
    </xdr:from>
    <xdr:to>
      <xdr:col>26</xdr:col>
      <xdr:colOff>256442</xdr:colOff>
      <xdr:row>57</xdr:row>
      <xdr:rowOff>183173</xdr:rowOff>
    </xdr:to>
    <xdr:sp macro="" textlink="">
      <xdr:nvSpPr>
        <xdr:cNvPr id="88" name="Isosceles Triangle 87">
          <a:extLst>
            <a:ext uri="{FF2B5EF4-FFF2-40B4-BE49-F238E27FC236}">
              <a16:creationId xmlns:a16="http://schemas.microsoft.com/office/drawing/2014/main" id="{661F23E3-F6A0-4DA8-BA98-08AAB0E2BACD}"/>
            </a:ext>
          </a:extLst>
        </xdr:cNvPr>
        <xdr:cNvSpPr/>
      </xdr:nvSpPr>
      <xdr:spPr>
        <a:xfrm>
          <a:off x="15240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56</xdr:row>
      <xdr:rowOff>0</xdr:rowOff>
    </xdr:from>
    <xdr:to>
      <xdr:col>29</xdr:col>
      <xdr:colOff>256442</xdr:colOff>
      <xdr:row>57</xdr:row>
      <xdr:rowOff>183173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D8B7C3E1-EE18-46B7-9E1A-E1D15B3F9B1A}"/>
            </a:ext>
          </a:extLst>
        </xdr:cNvPr>
        <xdr:cNvSpPr/>
      </xdr:nvSpPr>
      <xdr:spPr>
        <a:xfrm>
          <a:off x="17068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56</xdr:row>
      <xdr:rowOff>0</xdr:rowOff>
    </xdr:from>
    <xdr:to>
      <xdr:col>32</xdr:col>
      <xdr:colOff>256442</xdr:colOff>
      <xdr:row>57</xdr:row>
      <xdr:rowOff>183173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09644334-34D0-4FE6-864B-70605BD9F428}"/>
            </a:ext>
          </a:extLst>
        </xdr:cNvPr>
        <xdr:cNvSpPr/>
      </xdr:nvSpPr>
      <xdr:spPr>
        <a:xfrm>
          <a:off x="18897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56</xdr:row>
      <xdr:rowOff>0</xdr:rowOff>
    </xdr:from>
    <xdr:to>
      <xdr:col>35</xdr:col>
      <xdr:colOff>256442</xdr:colOff>
      <xdr:row>57</xdr:row>
      <xdr:rowOff>183173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FAA15AAA-1F47-4002-9F4C-579836B8E279}"/>
            </a:ext>
          </a:extLst>
        </xdr:cNvPr>
        <xdr:cNvSpPr/>
      </xdr:nvSpPr>
      <xdr:spPr>
        <a:xfrm>
          <a:off x="20726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56</xdr:row>
      <xdr:rowOff>0</xdr:rowOff>
    </xdr:from>
    <xdr:to>
      <xdr:col>38</xdr:col>
      <xdr:colOff>256442</xdr:colOff>
      <xdr:row>57</xdr:row>
      <xdr:rowOff>183173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EA20975F-BFF1-42CD-91F8-093A055E17AC}"/>
            </a:ext>
          </a:extLst>
        </xdr:cNvPr>
        <xdr:cNvSpPr/>
      </xdr:nvSpPr>
      <xdr:spPr>
        <a:xfrm>
          <a:off x="22555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56</xdr:row>
      <xdr:rowOff>0</xdr:rowOff>
    </xdr:from>
    <xdr:to>
      <xdr:col>41</xdr:col>
      <xdr:colOff>256442</xdr:colOff>
      <xdr:row>57</xdr:row>
      <xdr:rowOff>183173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CD5212DF-D35D-4AF0-8B3B-DB9BF5E0590F}"/>
            </a:ext>
          </a:extLst>
        </xdr:cNvPr>
        <xdr:cNvSpPr/>
      </xdr:nvSpPr>
      <xdr:spPr>
        <a:xfrm>
          <a:off x="24384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65</xdr:row>
      <xdr:rowOff>0</xdr:rowOff>
    </xdr:from>
    <xdr:to>
      <xdr:col>2</xdr:col>
      <xdr:colOff>256442</xdr:colOff>
      <xdr:row>66</xdr:row>
      <xdr:rowOff>183173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6E5D5DE0-4389-46AF-92E4-A094998FDF66}"/>
            </a:ext>
          </a:extLst>
        </xdr:cNvPr>
        <xdr:cNvSpPr/>
      </xdr:nvSpPr>
      <xdr:spPr>
        <a:xfrm>
          <a:off x="6096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65</xdr:row>
      <xdr:rowOff>0</xdr:rowOff>
    </xdr:from>
    <xdr:to>
      <xdr:col>5</xdr:col>
      <xdr:colOff>256442</xdr:colOff>
      <xdr:row>66</xdr:row>
      <xdr:rowOff>183173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3C95E1A8-1D5E-48AC-A966-8B772057948C}"/>
            </a:ext>
          </a:extLst>
        </xdr:cNvPr>
        <xdr:cNvSpPr/>
      </xdr:nvSpPr>
      <xdr:spPr>
        <a:xfrm>
          <a:off x="24384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183173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AEAA0035-AE94-4BE7-AA1B-F350238B9A84}"/>
            </a:ext>
          </a:extLst>
        </xdr:cNvPr>
        <xdr:cNvSpPr/>
      </xdr:nvSpPr>
      <xdr:spPr>
        <a:xfrm>
          <a:off x="4267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183173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FBEC311E-0A5A-47A0-A220-D73FEA96C6AC}"/>
            </a:ext>
          </a:extLst>
        </xdr:cNvPr>
        <xdr:cNvSpPr/>
      </xdr:nvSpPr>
      <xdr:spPr>
        <a:xfrm>
          <a:off x="6096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183173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1A1F198B-C594-425A-96B1-372C12A437A1}"/>
            </a:ext>
          </a:extLst>
        </xdr:cNvPr>
        <xdr:cNvSpPr/>
      </xdr:nvSpPr>
      <xdr:spPr>
        <a:xfrm>
          <a:off x="79248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183173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6CA8C3D1-FFFB-4415-8237-8A7EDAEC1ED9}"/>
            </a:ext>
          </a:extLst>
        </xdr:cNvPr>
        <xdr:cNvSpPr/>
      </xdr:nvSpPr>
      <xdr:spPr>
        <a:xfrm>
          <a:off x="9753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65</xdr:row>
      <xdr:rowOff>0</xdr:rowOff>
    </xdr:from>
    <xdr:to>
      <xdr:col>20</xdr:col>
      <xdr:colOff>256442</xdr:colOff>
      <xdr:row>66</xdr:row>
      <xdr:rowOff>183173</xdr:rowOff>
    </xdr:to>
    <xdr:sp macro="" textlink="">
      <xdr:nvSpPr>
        <xdr:cNvPr id="100" name="Isosceles Triangle 99">
          <a:extLst>
            <a:ext uri="{FF2B5EF4-FFF2-40B4-BE49-F238E27FC236}">
              <a16:creationId xmlns:a16="http://schemas.microsoft.com/office/drawing/2014/main" id="{8FC5C780-9877-451B-B427-5084401A0056}"/>
            </a:ext>
          </a:extLst>
        </xdr:cNvPr>
        <xdr:cNvSpPr/>
      </xdr:nvSpPr>
      <xdr:spPr>
        <a:xfrm>
          <a:off x="11582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65</xdr:row>
      <xdr:rowOff>0</xdr:rowOff>
    </xdr:from>
    <xdr:to>
      <xdr:col>23</xdr:col>
      <xdr:colOff>256442</xdr:colOff>
      <xdr:row>66</xdr:row>
      <xdr:rowOff>183173</xdr:rowOff>
    </xdr:to>
    <xdr:sp macro="" textlink="">
      <xdr:nvSpPr>
        <xdr:cNvPr id="101" name="Isosceles Triangle 100">
          <a:extLst>
            <a:ext uri="{FF2B5EF4-FFF2-40B4-BE49-F238E27FC236}">
              <a16:creationId xmlns:a16="http://schemas.microsoft.com/office/drawing/2014/main" id="{05454B86-A568-4C82-8BBC-0B4B8D58DBC8}"/>
            </a:ext>
          </a:extLst>
        </xdr:cNvPr>
        <xdr:cNvSpPr/>
      </xdr:nvSpPr>
      <xdr:spPr>
        <a:xfrm>
          <a:off x="13411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183173</xdr:rowOff>
    </xdr:to>
    <xdr:sp macro="" textlink="">
      <xdr:nvSpPr>
        <xdr:cNvPr id="102" name="Isosceles Triangle 101">
          <a:extLst>
            <a:ext uri="{FF2B5EF4-FFF2-40B4-BE49-F238E27FC236}">
              <a16:creationId xmlns:a16="http://schemas.microsoft.com/office/drawing/2014/main" id="{75EAA473-0210-44D6-99D5-A9C3BD880CD6}"/>
            </a:ext>
          </a:extLst>
        </xdr:cNvPr>
        <xdr:cNvSpPr/>
      </xdr:nvSpPr>
      <xdr:spPr>
        <a:xfrm>
          <a:off x="152400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183173</xdr:rowOff>
    </xdr:to>
    <xdr:sp macro="" textlink="">
      <xdr:nvSpPr>
        <xdr:cNvPr id="103" name="Isosceles Triangle 102">
          <a:extLst>
            <a:ext uri="{FF2B5EF4-FFF2-40B4-BE49-F238E27FC236}">
              <a16:creationId xmlns:a16="http://schemas.microsoft.com/office/drawing/2014/main" id="{10BFC4D4-1AC8-41C5-A62F-01DD7B74F27C}"/>
            </a:ext>
          </a:extLst>
        </xdr:cNvPr>
        <xdr:cNvSpPr/>
      </xdr:nvSpPr>
      <xdr:spPr>
        <a:xfrm>
          <a:off x="170688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65</xdr:row>
      <xdr:rowOff>0</xdr:rowOff>
    </xdr:from>
    <xdr:to>
      <xdr:col>32</xdr:col>
      <xdr:colOff>256442</xdr:colOff>
      <xdr:row>66</xdr:row>
      <xdr:rowOff>183173</xdr:rowOff>
    </xdr:to>
    <xdr:sp macro="" textlink="">
      <xdr:nvSpPr>
        <xdr:cNvPr id="104" name="Isosceles Triangle 103">
          <a:extLst>
            <a:ext uri="{FF2B5EF4-FFF2-40B4-BE49-F238E27FC236}">
              <a16:creationId xmlns:a16="http://schemas.microsoft.com/office/drawing/2014/main" id="{1DFD0FFC-F05F-463F-A46F-4AF7AD96A4C4}"/>
            </a:ext>
          </a:extLst>
        </xdr:cNvPr>
        <xdr:cNvSpPr/>
      </xdr:nvSpPr>
      <xdr:spPr>
        <a:xfrm>
          <a:off x="18897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183173</xdr:rowOff>
    </xdr:to>
    <xdr:sp macro="" textlink="">
      <xdr:nvSpPr>
        <xdr:cNvPr id="105" name="Isosceles Triangle 104">
          <a:extLst>
            <a:ext uri="{FF2B5EF4-FFF2-40B4-BE49-F238E27FC236}">
              <a16:creationId xmlns:a16="http://schemas.microsoft.com/office/drawing/2014/main" id="{A3B657C0-F948-4349-9742-734C85DC18E9}"/>
            </a:ext>
          </a:extLst>
        </xdr:cNvPr>
        <xdr:cNvSpPr/>
      </xdr:nvSpPr>
      <xdr:spPr>
        <a:xfrm>
          <a:off x="20726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183173</xdr:rowOff>
    </xdr:to>
    <xdr:sp macro="" textlink="">
      <xdr:nvSpPr>
        <xdr:cNvPr id="106" name="Isosceles Triangle 105">
          <a:extLst>
            <a:ext uri="{FF2B5EF4-FFF2-40B4-BE49-F238E27FC236}">
              <a16:creationId xmlns:a16="http://schemas.microsoft.com/office/drawing/2014/main" id="{F2DD6B99-98F7-48E4-936C-9C2040E15167}"/>
            </a:ext>
          </a:extLst>
        </xdr:cNvPr>
        <xdr:cNvSpPr/>
      </xdr:nvSpPr>
      <xdr:spPr>
        <a:xfrm>
          <a:off x="225552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183173</xdr:rowOff>
    </xdr:to>
    <xdr:sp macro="" textlink="">
      <xdr:nvSpPr>
        <xdr:cNvPr id="107" name="Isosceles Triangle 106">
          <a:extLst>
            <a:ext uri="{FF2B5EF4-FFF2-40B4-BE49-F238E27FC236}">
              <a16:creationId xmlns:a16="http://schemas.microsoft.com/office/drawing/2014/main" id="{29C880E3-8A73-400B-AD21-B4149FB475E7}"/>
            </a:ext>
          </a:extLst>
        </xdr:cNvPr>
        <xdr:cNvSpPr/>
      </xdr:nvSpPr>
      <xdr:spPr>
        <a:xfrm>
          <a:off x="24384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183173</xdr:rowOff>
    </xdr:to>
    <xdr:sp macro="" textlink="">
      <xdr:nvSpPr>
        <xdr:cNvPr id="108" name="Isosceles Triangle 107">
          <a:extLst>
            <a:ext uri="{FF2B5EF4-FFF2-40B4-BE49-F238E27FC236}">
              <a16:creationId xmlns:a16="http://schemas.microsoft.com/office/drawing/2014/main" id="{91161E6E-F15E-464A-9312-EE3C2F1F3BF8}"/>
            </a:ext>
          </a:extLst>
        </xdr:cNvPr>
        <xdr:cNvSpPr/>
      </xdr:nvSpPr>
      <xdr:spPr>
        <a:xfrm>
          <a:off x="609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183173</xdr:rowOff>
    </xdr:to>
    <xdr:sp macro="" textlink="">
      <xdr:nvSpPr>
        <xdr:cNvPr id="109" name="Isosceles Triangle 108">
          <a:extLst>
            <a:ext uri="{FF2B5EF4-FFF2-40B4-BE49-F238E27FC236}">
              <a16:creationId xmlns:a16="http://schemas.microsoft.com/office/drawing/2014/main" id="{CB82ACFD-8736-4C4E-92FB-FF4599E582DC}"/>
            </a:ext>
          </a:extLst>
        </xdr:cNvPr>
        <xdr:cNvSpPr/>
      </xdr:nvSpPr>
      <xdr:spPr>
        <a:xfrm>
          <a:off x="2438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183173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46888A31-C397-43C0-9B3E-3444B0D2F1BD}"/>
            </a:ext>
          </a:extLst>
        </xdr:cNvPr>
        <xdr:cNvSpPr/>
      </xdr:nvSpPr>
      <xdr:spPr>
        <a:xfrm>
          <a:off x="4267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183173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1437D30F-38FD-45A9-BFDC-846A6E27E640}"/>
            </a:ext>
          </a:extLst>
        </xdr:cNvPr>
        <xdr:cNvSpPr/>
      </xdr:nvSpPr>
      <xdr:spPr>
        <a:xfrm>
          <a:off x="6096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183173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9BC28427-F2F9-4659-9868-398AA5E1BC4B}"/>
            </a:ext>
          </a:extLst>
        </xdr:cNvPr>
        <xdr:cNvSpPr/>
      </xdr:nvSpPr>
      <xdr:spPr>
        <a:xfrm>
          <a:off x="7924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74</xdr:row>
      <xdr:rowOff>0</xdr:rowOff>
    </xdr:from>
    <xdr:to>
      <xdr:col>17</xdr:col>
      <xdr:colOff>256442</xdr:colOff>
      <xdr:row>75</xdr:row>
      <xdr:rowOff>183173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E9575B40-6CC4-4FD9-9338-14E32F73B818}"/>
            </a:ext>
          </a:extLst>
        </xdr:cNvPr>
        <xdr:cNvSpPr/>
      </xdr:nvSpPr>
      <xdr:spPr>
        <a:xfrm>
          <a:off x="9753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183173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0C6177CA-F706-441E-94F4-6F9AFC3C3AF5}"/>
            </a:ext>
          </a:extLst>
        </xdr:cNvPr>
        <xdr:cNvSpPr/>
      </xdr:nvSpPr>
      <xdr:spPr>
        <a:xfrm>
          <a:off x="11582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183173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013CF533-4585-4A1C-9331-D36525308E8E}"/>
            </a:ext>
          </a:extLst>
        </xdr:cNvPr>
        <xdr:cNvSpPr/>
      </xdr:nvSpPr>
      <xdr:spPr>
        <a:xfrm>
          <a:off x="13411200" y="12153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183173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A56B67CE-630C-4CBE-BFAA-39C041B46802}"/>
            </a:ext>
          </a:extLst>
        </xdr:cNvPr>
        <xdr:cNvSpPr/>
      </xdr:nvSpPr>
      <xdr:spPr>
        <a:xfrm>
          <a:off x="15240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183173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FD250074-136D-4B23-84C0-9515809AD349}"/>
            </a:ext>
          </a:extLst>
        </xdr:cNvPr>
        <xdr:cNvSpPr/>
      </xdr:nvSpPr>
      <xdr:spPr>
        <a:xfrm>
          <a:off x="17068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183173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8F8F74EC-4A29-483D-9A17-2F8F20D05FAA}"/>
            </a:ext>
          </a:extLst>
        </xdr:cNvPr>
        <xdr:cNvSpPr/>
      </xdr:nvSpPr>
      <xdr:spPr>
        <a:xfrm>
          <a:off x="18897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183173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D09657DD-3DE2-4C9C-8F84-C03489EEF505}"/>
            </a:ext>
          </a:extLst>
        </xdr:cNvPr>
        <xdr:cNvSpPr/>
      </xdr:nvSpPr>
      <xdr:spPr>
        <a:xfrm>
          <a:off x="20726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183173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281566B4-2AE0-4185-A04B-CD69769FC122}"/>
            </a:ext>
          </a:extLst>
        </xdr:cNvPr>
        <xdr:cNvSpPr/>
      </xdr:nvSpPr>
      <xdr:spPr>
        <a:xfrm>
          <a:off x="22555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183173</xdr:rowOff>
    </xdr:to>
    <xdr:sp macro="" textlink="">
      <xdr:nvSpPr>
        <xdr:cNvPr id="121" name="Isosceles Triangle 120">
          <a:extLst>
            <a:ext uri="{FF2B5EF4-FFF2-40B4-BE49-F238E27FC236}">
              <a16:creationId xmlns:a16="http://schemas.microsoft.com/office/drawing/2014/main" id="{A02643A6-C82B-41EB-B2C4-AB23B5BC6B61}"/>
            </a:ext>
          </a:extLst>
        </xdr:cNvPr>
        <xdr:cNvSpPr/>
      </xdr:nvSpPr>
      <xdr:spPr>
        <a:xfrm>
          <a:off x="24384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83</xdr:row>
      <xdr:rowOff>0</xdr:rowOff>
    </xdr:from>
    <xdr:to>
      <xdr:col>2</xdr:col>
      <xdr:colOff>256442</xdr:colOff>
      <xdr:row>84</xdr:row>
      <xdr:rowOff>183173</xdr:rowOff>
    </xdr:to>
    <xdr:sp macro="" textlink="">
      <xdr:nvSpPr>
        <xdr:cNvPr id="122" name="Isosceles Triangle 121">
          <a:extLst>
            <a:ext uri="{FF2B5EF4-FFF2-40B4-BE49-F238E27FC236}">
              <a16:creationId xmlns:a16="http://schemas.microsoft.com/office/drawing/2014/main" id="{2B141B78-059C-4655-82CE-212AA89B2EDE}"/>
            </a:ext>
          </a:extLst>
        </xdr:cNvPr>
        <xdr:cNvSpPr/>
      </xdr:nvSpPr>
      <xdr:spPr>
        <a:xfrm>
          <a:off x="609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183173</xdr:rowOff>
    </xdr:to>
    <xdr:sp macro="" textlink="">
      <xdr:nvSpPr>
        <xdr:cNvPr id="123" name="Isosceles Triangle 122">
          <a:extLst>
            <a:ext uri="{FF2B5EF4-FFF2-40B4-BE49-F238E27FC236}">
              <a16:creationId xmlns:a16="http://schemas.microsoft.com/office/drawing/2014/main" id="{26681F17-99E3-4433-BE7C-B900E996E4D7}"/>
            </a:ext>
          </a:extLst>
        </xdr:cNvPr>
        <xdr:cNvSpPr/>
      </xdr:nvSpPr>
      <xdr:spPr>
        <a:xfrm>
          <a:off x="2438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183173</xdr:rowOff>
    </xdr:to>
    <xdr:sp macro="" textlink="">
      <xdr:nvSpPr>
        <xdr:cNvPr id="124" name="Isosceles Triangle 123">
          <a:extLst>
            <a:ext uri="{FF2B5EF4-FFF2-40B4-BE49-F238E27FC236}">
              <a16:creationId xmlns:a16="http://schemas.microsoft.com/office/drawing/2014/main" id="{384FCE50-9E8A-4AED-8913-80861C5CD9FA}"/>
            </a:ext>
          </a:extLst>
        </xdr:cNvPr>
        <xdr:cNvSpPr/>
      </xdr:nvSpPr>
      <xdr:spPr>
        <a:xfrm>
          <a:off x="4267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83</xdr:row>
      <xdr:rowOff>0</xdr:rowOff>
    </xdr:from>
    <xdr:to>
      <xdr:col>11</xdr:col>
      <xdr:colOff>256442</xdr:colOff>
      <xdr:row>84</xdr:row>
      <xdr:rowOff>183173</xdr:rowOff>
    </xdr:to>
    <xdr:sp macro="" textlink="">
      <xdr:nvSpPr>
        <xdr:cNvPr id="125" name="Isosceles Triangle 124">
          <a:extLst>
            <a:ext uri="{FF2B5EF4-FFF2-40B4-BE49-F238E27FC236}">
              <a16:creationId xmlns:a16="http://schemas.microsoft.com/office/drawing/2014/main" id="{82E25A18-C41B-4022-9B4A-CAC917FBA28D}"/>
            </a:ext>
          </a:extLst>
        </xdr:cNvPr>
        <xdr:cNvSpPr/>
      </xdr:nvSpPr>
      <xdr:spPr>
        <a:xfrm>
          <a:off x="6096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183173</xdr:rowOff>
    </xdr:to>
    <xdr:sp macro="" textlink="">
      <xdr:nvSpPr>
        <xdr:cNvPr id="126" name="Isosceles Triangle 125">
          <a:extLst>
            <a:ext uri="{FF2B5EF4-FFF2-40B4-BE49-F238E27FC236}">
              <a16:creationId xmlns:a16="http://schemas.microsoft.com/office/drawing/2014/main" id="{B34DC9A3-68E2-40C7-8B03-BB2B1A3F21FF}"/>
            </a:ext>
          </a:extLst>
        </xdr:cNvPr>
        <xdr:cNvSpPr/>
      </xdr:nvSpPr>
      <xdr:spPr>
        <a:xfrm>
          <a:off x="7924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15</xdr:col>
      <xdr:colOff>404813</xdr:colOff>
      <xdr:row>83</xdr:row>
      <xdr:rowOff>0</xdr:rowOff>
    </xdr:from>
    <xdr:to>
      <xdr:col>17</xdr:col>
      <xdr:colOff>244536</xdr:colOff>
      <xdr:row>84</xdr:row>
      <xdr:rowOff>183173</xdr:rowOff>
    </xdr:to>
    <xdr:sp macro="" textlink="">
      <xdr:nvSpPr>
        <xdr:cNvPr id="127" name="Isosceles Triangle 126">
          <a:extLst>
            <a:ext uri="{FF2B5EF4-FFF2-40B4-BE49-F238E27FC236}">
              <a16:creationId xmlns:a16="http://schemas.microsoft.com/office/drawing/2014/main" id="{6E690C7F-E151-4A55-9BEC-887784B7A712}"/>
            </a:ext>
          </a:extLst>
        </xdr:cNvPr>
        <xdr:cNvSpPr/>
      </xdr:nvSpPr>
      <xdr:spPr>
        <a:xfrm>
          <a:off x="9548813" y="13627100"/>
          <a:ext cx="105892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183173</xdr:rowOff>
    </xdr:to>
    <xdr:sp macro="" textlink="">
      <xdr:nvSpPr>
        <xdr:cNvPr id="128" name="Isosceles Triangle 127">
          <a:extLst>
            <a:ext uri="{FF2B5EF4-FFF2-40B4-BE49-F238E27FC236}">
              <a16:creationId xmlns:a16="http://schemas.microsoft.com/office/drawing/2014/main" id="{A1D167F5-872B-40FF-B2AD-315AD9FB713D}"/>
            </a:ext>
          </a:extLst>
        </xdr:cNvPr>
        <xdr:cNvSpPr/>
      </xdr:nvSpPr>
      <xdr:spPr>
        <a:xfrm>
          <a:off x="11582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183173</xdr:rowOff>
    </xdr:to>
    <xdr:sp macro="" textlink="">
      <xdr:nvSpPr>
        <xdr:cNvPr id="129" name="Isosceles Triangle 128">
          <a:extLst>
            <a:ext uri="{FF2B5EF4-FFF2-40B4-BE49-F238E27FC236}">
              <a16:creationId xmlns:a16="http://schemas.microsoft.com/office/drawing/2014/main" id="{AB3CF91E-408E-4EA3-9A1F-A125D5C30BB8}"/>
            </a:ext>
          </a:extLst>
        </xdr:cNvPr>
        <xdr:cNvSpPr/>
      </xdr:nvSpPr>
      <xdr:spPr>
        <a:xfrm>
          <a:off x="13411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183173</xdr:rowOff>
    </xdr:to>
    <xdr:sp macro="" textlink="">
      <xdr:nvSpPr>
        <xdr:cNvPr id="130" name="Isosceles Triangle 129">
          <a:extLst>
            <a:ext uri="{FF2B5EF4-FFF2-40B4-BE49-F238E27FC236}">
              <a16:creationId xmlns:a16="http://schemas.microsoft.com/office/drawing/2014/main" id="{9E0E3B2D-E862-4292-8486-1DC660FB2F80}"/>
            </a:ext>
          </a:extLst>
        </xdr:cNvPr>
        <xdr:cNvSpPr/>
      </xdr:nvSpPr>
      <xdr:spPr>
        <a:xfrm>
          <a:off x="15240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183173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4FDB3AA5-6E5D-4B7C-9AF5-AF02D1DB4C78}"/>
            </a:ext>
          </a:extLst>
        </xdr:cNvPr>
        <xdr:cNvSpPr/>
      </xdr:nvSpPr>
      <xdr:spPr>
        <a:xfrm>
          <a:off x="17068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83</xdr:row>
      <xdr:rowOff>0</xdr:rowOff>
    </xdr:from>
    <xdr:to>
      <xdr:col>32</xdr:col>
      <xdr:colOff>256442</xdr:colOff>
      <xdr:row>84</xdr:row>
      <xdr:rowOff>183173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BE8A5CAA-F612-4492-BBEC-152A6F7837DE}"/>
            </a:ext>
          </a:extLst>
        </xdr:cNvPr>
        <xdr:cNvSpPr/>
      </xdr:nvSpPr>
      <xdr:spPr>
        <a:xfrm>
          <a:off x="18897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183173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075C0370-E38D-474C-8FFD-5F7D16DA6D2B}"/>
            </a:ext>
          </a:extLst>
        </xdr:cNvPr>
        <xdr:cNvSpPr/>
      </xdr:nvSpPr>
      <xdr:spPr>
        <a:xfrm>
          <a:off x="20726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83</xdr:row>
      <xdr:rowOff>0</xdr:rowOff>
    </xdr:from>
    <xdr:to>
      <xdr:col>38</xdr:col>
      <xdr:colOff>256442</xdr:colOff>
      <xdr:row>84</xdr:row>
      <xdr:rowOff>183173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458D7C23-D441-4AD4-B274-2645CE30B5A5}"/>
            </a:ext>
          </a:extLst>
        </xdr:cNvPr>
        <xdr:cNvSpPr/>
      </xdr:nvSpPr>
      <xdr:spPr>
        <a:xfrm>
          <a:off x="22555200" y="13627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256442</xdr:colOff>
      <xdr:row>84</xdr:row>
      <xdr:rowOff>183173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91283299-7B25-4A48-9909-49197A101522}"/>
            </a:ext>
          </a:extLst>
        </xdr:cNvPr>
        <xdr:cNvSpPr/>
      </xdr:nvSpPr>
      <xdr:spPr>
        <a:xfrm>
          <a:off x="24384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256442</xdr:colOff>
      <xdr:row>93</xdr:row>
      <xdr:rowOff>183173</xdr:rowOff>
    </xdr:to>
    <xdr:sp macro="" textlink="">
      <xdr:nvSpPr>
        <xdr:cNvPr id="136" name="Isosceles Triangle 135">
          <a:extLst>
            <a:ext uri="{FF2B5EF4-FFF2-40B4-BE49-F238E27FC236}">
              <a16:creationId xmlns:a16="http://schemas.microsoft.com/office/drawing/2014/main" id="{AE9BBC65-12AE-4F71-8E72-90EF1B3430AC}"/>
            </a:ext>
          </a:extLst>
        </xdr:cNvPr>
        <xdr:cNvSpPr/>
      </xdr:nvSpPr>
      <xdr:spPr>
        <a:xfrm>
          <a:off x="609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183173</xdr:rowOff>
    </xdr:to>
    <xdr:sp macro="" textlink="">
      <xdr:nvSpPr>
        <xdr:cNvPr id="137" name="Isosceles Triangle 136">
          <a:extLst>
            <a:ext uri="{FF2B5EF4-FFF2-40B4-BE49-F238E27FC236}">
              <a16:creationId xmlns:a16="http://schemas.microsoft.com/office/drawing/2014/main" id="{F9D94E5B-D1C7-4F68-A6FF-982CFB9E37D7}"/>
            </a:ext>
          </a:extLst>
        </xdr:cNvPr>
        <xdr:cNvSpPr/>
      </xdr:nvSpPr>
      <xdr:spPr>
        <a:xfrm>
          <a:off x="24384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256442</xdr:colOff>
      <xdr:row>93</xdr:row>
      <xdr:rowOff>183173</xdr:rowOff>
    </xdr:to>
    <xdr:sp macro="" textlink="">
      <xdr:nvSpPr>
        <xdr:cNvPr id="138" name="Isosceles Triangle 137">
          <a:extLst>
            <a:ext uri="{FF2B5EF4-FFF2-40B4-BE49-F238E27FC236}">
              <a16:creationId xmlns:a16="http://schemas.microsoft.com/office/drawing/2014/main" id="{3FB8D049-F97C-4D3A-8B0C-94866BD3842C}"/>
            </a:ext>
          </a:extLst>
        </xdr:cNvPr>
        <xdr:cNvSpPr/>
      </xdr:nvSpPr>
      <xdr:spPr>
        <a:xfrm>
          <a:off x="4267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256442</xdr:colOff>
      <xdr:row>93</xdr:row>
      <xdr:rowOff>183173</xdr:rowOff>
    </xdr:to>
    <xdr:sp macro="" textlink="">
      <xdr:nvSpPr>
        <xdr:cNvPr id="139" name="Isosceles Triangle 138">
          <a:extLst>
            <a:ext uri="{FF2B5EF4-FFF2-40B4-BE49-F238E27FC236}">
              <a16:creationId xmlns:a16="http://schemas.microsoft.com/office/drawing/2014/main" id="{CAC61E55-EA88-42CA-AC19-912B84201FE0}"/>
            </a:ext>
          </a:extLst>
        </xdr:cNvPr>
        <xdr:cNvSpPr/>
      </xdr:nvSpPr>
      <xdr:spPr>
        <a:xfrm>
          <a:off x="6096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183173</xdr:rowOff>
    </xdr:to>
    <xdr:sp macro="" textlink="">
      <xdr:nvSpPr>
        <xdr:cNvPr id="140" name="Isosceles Triangle 139">
          <a:extLst>
            <a:ext uri="{FF2B5EF4-FFF2-40B4-BE49-F238E27FC236}">
              <a16:creationId xmlns:a16="http://schemas.microsoft.com/office/drawing/2014/main" id="{25AD0405-1B4E-4793-9EB3-9B178EE62E57}"/>
            </a:ext>
          </a:extLst>
        </xdr:cNvPr>
        <xdr:cNvSpPr/>
      </xdr:nvSpPr>
      <xdr:spPr>
        <a:xfrm>
          <a:off x="79248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183173</xdr:rowOff>
    </xdr:to>
    <xdr:sp macro="" textlink="">
      <xdr:nvSpPr>
        <xdr:cNvPr id="141" name="Isosceles Triangle 140">
          <a:extLst>
            <a:ext uri="{FF2B5EF4-FFF2-40B4-BE49-F238E27FC236}">
              <a16:creationId xmlns:a16="http://schemas.microsoft.com/office/drawing/2014/main" id="{1FE029C1-F9A9-4A50-80A7-B071FD33A145}"/>
            </a:ext>
          </a:extLst>
        </xdr:cNvPr>
        <xdr:cNvSpPr/>
      </xdr:nvSpPr>
      <xdr:spPr>
        <a:xfrm>
          <a:off x="9753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408215</xdr:colOff>
      <xdr:row>92</xdr:row>
      <xdr:rowOff>0</xdr:rowOff>
    </xdr:from>
    <xdr:to>
      <xdr:col>20</xdr:col>
      <xdr:colOff>244072</xdr:colOff>
      <xdr:row>93</xdr:row>
      <xdr:rowOff>183173</xdr:rowOff>
    </xdr:to>
    <xdr:sp macro="" textlink="">
      <xdr:nvSpPr>
        <xdr:cNvPr id="142" name="Isosceles Triangle 141">
          <a:extLst>
            <a:ext uri="{FF2B5EF4-FFF2-40B4-BE49-F238E27FC236}">
              <a16:creationId xmlns:a16="http://schemas.microsoft.com/office/drawing/2014/main" id="{9E515BCA-B855-4492-A75F-3630CF0EFEB8}"/>
            </a:ext>
          </a:extLst>
        </xdr:cNvPr>
        <xdr:cNvSpPr/>
      </xdr:nvSpPr>
      <xdr:spPr>
        <a:xfrm>
          <a:off x="11381015" y="15100300"/>
          <a:ext cx="1055057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92</xdr:row>
      <xdr:rowOff>0</xdr:rowOff>
    </xdr:from>
    <xdr:to>
      <xdr:col>23</xdr:col>
      <xdr:colOff>256442</xdr:colOff>
      <xdr:row>93</xdr:row>
      <xdr:rowOff>183173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4ACA87C2-301D-4062-89DD-BBA6E6306215}"/>
            </a:ext>
          </a:extLst>
        </xdr:cNvPr>
        <xdr:cNvSpPr/>
      </xdr:nvSpPr>
      <xdr:spPr>
        <a:xfrm>
          <a:off x="134112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183173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3BBE2747-4040-44B6-996B-AE4B6ADAC9E7}"/>
            </a:ext>
          </a:extLst>
        </xdr:cNvPr>
        <xdr:cNvSpPr/>
      </xdr:nvSpPr>
      <xdr:spPr>
        <a:xfrm>
          <a:off x="15240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92</xdr:row>
      <xdr:rowOff>0</xdr:rowOff>
    </xdr:from>
    <xdr:to>
      <xdr:col>29</xdr:col>
      <xdr:colOff>256442</xdr:colOff>
      <xdr:row>93</xdr:row>
      <xdr:rowOff>183173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15246F84-EC17-41CA-A16E-693D083D434D}"/>
            </a:ext>
          </a:extLst>
        </xdr:cNvPr>
        <xdr:cNvSpPr/>
      </xdr:nvSpPr>
      <xdr:spPr>
        <a:xfrm>
          <a:off x="170688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92</xdr:row>
      <xdr:rowOff>0</xdr:rowOff>
    </xdr:from>
    <xdr:to>
      <xdr:col>32</xdr:col>
      <xdr:colOff>256442</xdr:colOff>
      <xdr:row>93</xdr:row>
      <xdr:rowOff>183173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2A9B02FC-EF8C-4ACE-B597-05B838E65510}"/>
            </a:ext>
          </a:extLst>
        </xdr:cNvPr>
        <xdr:cNvSpPr/>
      </xdr:nvSpPr>
      <xdr:spPr>
        <a:xfrm>
          <a:off x="188976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183173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CA7A4FF9-5030-4A29-A4F8-8BA6E595FB15}"/>
            </a:ext>
          </a:extLst>
        </xdr:cNvPr>
        <xdr:cNvSpPr/>
      </xdr:nvSpPr>
      <xdr:spPr>
        <a:xfrm>
          <a:off x="207264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183173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84B464BD-D405-4ABB-9103-73AE17EB64AF}"/>
            </a:ext>
          </a:extLst>
        </xdr:cNvPr>
        <xdr:cNvSpPr/>
      </xdr:nvSpPr>
      <xdr:spPr>
        <a:xfrm>
          <a:off x="22555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183173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97A9CCE7-2E52-47EB-B27B-11C92766A5CD}"/>
            </a:ext>
          </a:extLst>
        </xdr:cNvPr>
        <xdr:cNvSpPr/>
      </xdr:nvSpPr>
      <xdr:spPr>
        <a:xfrm>
          <a:off x="24384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183173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E2456928-8084-4822-8E36-33F9D6432C90}"/>
            </a:ext>
          </a:extLst>
        </xdr:cNvPr>
        <xdr:cNvSpPr/>
      </xdr:nvSpPr>
      <xdr:spPr>
        <a:xfrm>
          <a:off x="609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101</xdr:row>
      <xdr:rowOff>0</xdr:rowOff>
    </xdr:from>
    <xdr:to>
      <xdr:col>5</xdr:col>
      <xdr:colOff>256442</xdr:colOff>
      <xdr:row>102</xdr:row>
      <xdr:rowOff>183173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011F3A74-546B-4316-92C4-1FE0BAB3DD90}"/>
            </a:ext>
          </a:extLst>
        </xdr:cNvPr>
        <xdr:cNvSpPr/>
      </xdr:nvSpPr>
      <xdr:spPr>
        <a:xfrm>
          <a:off x="2438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183173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60F0E18A-9918-4168-88F6-DF3D4E534D5D}"/>
            </a:ext>
          </a:extLst>
        </xdr:cNvPr>
        <xdr:cNvSpPr/>
      </xdr:nvSpPr>
      <xdr:spPr>
        <a:xfrm>
          <a:off x="6096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183173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D8EB75EF-ECC0-4B89-97EC-38EF878A69A8}"/>
            </a:ext>
          </a:extLst>
        </xdr:cNvPr>
        <xdr:cNvSpPr/>
      </xdr:nvSpPr>
      <xdr:spPr>
        <a:xfrm>
          <a:off x="7924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101</xdr:row>
      <xdr:rowOff>0</xdr:rowOff>
    </xdr:from>
    <xdr:to>
      <xdr:col>17</xdr:col>
      <xdr:colOff>256442</xdr:colOff>
      <xdr:row>102</xdr:row>
      <xdr:rowOff>183173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DEA27FC9-D068-4999-9929-AB60FF31EEF3}"/>
            </a:ext>
          </a:extLst>
        </xdr:cNvPr>
        <xdr:cNvSpPr/>
      </xdr:nvSpPr>
      <xdr:spPr>
        <a:xfrm>
          <a:off x="9753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256442</xdr:colOff>
      <xdr:row>102</xdr:row>
      <xdr:rowOff>183173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AC0CFB5B-EAC5-4539-9400-F03EA8B55EF5}"/>
            </a:ext>
          </a:extLst>
        </xdr:cNvPr>
        <xdr:cNvSpPr/>
      </xdr:nvSpPr>
      <xdr:spPr>
        <a:xfrm>
          <a:off x="11582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101</xdr:row>
      <xdr:rowOff>0</xdr:rowOff>
    </xdr:from>
    <xdr:to>
      <xdr:col>23</xdr:col>
      <xdr:colOff>256442</xdr:colOff>
      <xdr:row>102</xdr:row>
      <xdr:rowOff>183173</xdr:rowOff>
    </xdr:to>
    <xdr:sp macro="" textlink="">
      <xdr:nvSpPr>
        <xdr:cNvPr id="157" name="Isosceles Triangle 156">
          <a:extLst>
            <a:ext uri="{FF2B5EF4-FFF2-40B4-BE49-F238E27FC236}">
              <a16:creationId xmlns:a16="http://schemas.microsoft.com/office/drawing/2014/main" id="{7AB2270F-FEC8-4D38-A634-7D1C00494D4C}"/>
            </a:ext>
          </a:extLst>
        </xdr:cNvPr>
        <xdr:cNvSpPr/>
      </xdr:nvSpPr>
      <xdr:spPr>
        <a:xfrm>
          <a:off x="134112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183173</xdr:rowOff>
    </xdr:to>
    <xdr:sp macro="" textlink="">
      <xdr:nvSpPr>
        <xdr:cNvPr id="158" name="Isosceles Triangle 157">
          <a:extLst>
            <a:ext uri="{FF2B5EF4-FFF2-40B4-BE49-F238E27FC236}">
              <a16:creationId xmlns:a16="http://schemas.microsoft.com/office/drawing/2014/main" id="{C607D6B7-E55A-4514-B3B5-E5E4D68C3C61}"/>
            </a:ext>
          </a:extLst>
        </xdr:cNvPr>
        <xdr:cNvSpPr/>
      </xdr:nvSpPr>
      <xdr:spPr>
        <a:xfrm>
          <a:off x="152400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183173</xdr:rowOff>
    </xdr:to>
    <xdr:sp macro="" textlink="">
      <xdr:nvSpPr>
        <xdr:cNvPr id="159" name="Isosceles Triangle 158">
          <a:extLst>
            <a:ext uri="{FF2B5EF4-FFF2-40B4-BE49-F238E27FC236}">
              <a16:creationId xmlns:a16="http://schemas.microsoft.com/office/drawing/2014/main" id="{BD181FE9-3A48-4906-8312-F8E7EF55A233}"/>
            </a:ext>
          </a:extLst>
        </xdr:cNvPr>
        <xdr:cNvSpPr/>
      </xdr:nvSpPr>
      <xdr:spPr>
        <a:xfrm>
          <a:off x="17068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101</xdr:row>
      <xdr:rowOff>0</xdr:rowOff>
    </xdr:from>
    <xdr:to>
      <xdr:col>32</xdr:col>
      <xdr:colOff>256442</xdr:colOff>
      <xdr:row>102</xdr:row>
      <xdr:rowOff>183173</xdr:rowOff>
    </xdr:to>
    <xdr:sp macro="" textlink="">
      <xdr:nvSpPr>
        <xdr:cNvPr id="160" name="Isosceles Triangle 159">
          <a:extLst>
            <a:ext uri="{FF2B5EF4-FFF2-40B4-BE49-F238E27FC236}">
              <a16:creationId xmlns:a16="http://schemas.microsoft.com/office/drawing/2014/main" id="{A28AC45F-9C43-44E4-A3EB-A560DB9E43CE}"/>
            </a:ext>
          </a:extLst>
        </xdr:cNvPr>
        <xdr:cNvSpPr/>
      </xdr:nvSpPr>
      <xdr:spPr>
        <a:xfrm>
          <a:off x="18897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101</xdr:row>
      <xdr:rowOff>0</xdr:rowOff>
    </xdr:from>
    <xdr:to>
      <xdr:col>35</xdr:col>
      <xdr:colOff>256442</xdr:colOff>
      <xdr:row>102</xdr:row>
      <xdr:rowOff>183173</xdr:rowOff>
    </xdr:to>
    <xdr:sp macro="" textlink="">
      <xdr:nvSpPr>
        <xdr:cNvPr id="161" name="Isosceles Triangle 160">
          <a:extLst>
            <a:ext uri="{FF2B5EF4-FFF2-40B4-BE49-F238E27FC236}">
              <a16:creationId xmlns:a16="http://schemas.microsoft.com/office/drawing/2014/main" id="{172B7508-2BA4-42CA-A658-64FDFF2EBA60}"/>
            </a:ext>
          </a:extLst>
        </xdr:cNvPr>
        <xdr:cNvSpPr/>
      </xdr:nvSpPr>
      <xdr:spPr>
        <a:xfrm>
          <a:off x="207264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183173</xdr:rowOff>
    </xdr:to>
    <xdr:sp macro="" textlink="">
      <xdr:nvSpPr>
        <xdr:cNvPr id="162" name="Isosceles Triangle 161">
          <a:extLst>
            <a:ext uri="{FF2B5EF4-FFF2-40B4-BE49-F238E27FC236}">
              <a16:creationId xmlns:a16="http://schemas.microsoft.com/office/drawing/2014/main" id="{3BE06BEE-FF1B-4257-BC7A-FBCB6F1DCC54}"/>
            </a:ext>
          </a:extLst>
        </xdr:cNvPr>
        <xdr:cNvSpPr/>
      </xdr:nvSpPr>
      <xdr:spPr>
        <a:xfrm>
          <a:off x="225552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183173</xdr:rowOff>
    </xdr:to>
    <xdr:sp macro="" textlink="">
      <xdr:nvSpPr>
        <xdr:cNvPr id="163" name="Isosceles Triangle 162">
          <a:extLst>
            <a:ext uri="{FF2B5EF4-FFF2-40B4-BE49-F238E27FC236}">
              <a16:creationId xmlns:a16="http://schemas.microsoft.com/office/drawing/2014/main" id="{9EDA8210-123B-48D7-9051-6E62B4DE2601}"/>
            </a:ext>
          </a:extLst>
        </xdr:cNvPr>
        <xdr:cNvSpPr/>
      </xdr:nvSpPr>
      <xdr:spPr>
        <a:xfrm>
          <a:off x="24384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110</xdr:row>
      <xdr:rowOff>0</xdr:rowOff>
    </xdr:from>
    <xdr:to>
      <xdr:col>2</xdr:col>
      <xdr:colOff>256442</xdr:colOff>
      <xdr:row>111</xdr:row>
      <xdr:rowOff>183173</xdr:rowOff>
    </xdr:to>
    <xdr:sp macro="" textlink="">
      <xdr:nvSpPr>
        <xdr:cNvPr id="164" name="Isosceles Triangle 163">
          <a:extLst>
            <a:ext uri="{FF2B5EF4-FFF2-40B4-BE49-F238E27FC236}">
              <a16:creationId xmlns:a16="http://schemas.microsoft.com/office/drawing/2014/main" id="{241ABA92-2748-4204-8841-DE45397E3992}"/>
            </a:ext>
          </a:extLst>
        </xdr:cNvPr>
        <xdr:cNvSpPr/>
      </xdr:nvSpPr>
      <xdr:spPr>
        <a:xfrm>
          <a:off x="609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256442</xdr:colOff>
      <xdr:row>111</xdr:row>
      <xdr:rowOff>183173</xdr:rowOff>
    </xdr:to>
    <xdr:sp macro="" textlink="">
      <xdr:nvSpPr>
        <xdr:cNvPr id="165" name="Isosceles Triangle 164">
          <a:extLst>
            <a:ext uri="{FF2B5EF4-FFF2-40B4-BE49-F238E27FC236}">
              <a16:creationId xmlns:a16="http://schemas.microsoft.com/office/drawing/2014/main" id="{788D9CD1-8763-45E4-9D24-5B680440C1DE}"/>
            </a:ext>
          </a:extLst>
        </xdr:cNvPr>
        <xdr:cNvSpPr/>
      </xdr:nvSpPr>
      <xdr:spPr>
        <a:xfrm>
          <a:off x="24384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110</xdr:row>
      <xdr:rowOff>0</xdr:rowOff>
    </xdr:from>
    <xdr:to>
      <xdr:col>8</xdr:col>
      <xdr:colOff>256442</xdr:colOff>
      <xdr:row>111</xdr:row>
      <xdr:rowOff>183173</xdr:rowOff>
    </xdr:to>
    <xdr:sp macro="" textlink="">
      <xdr:nvSpPr>
        <xdr:cNvPr id="166" name="Isosceles Triangle 165">
          <a:extLst>
            <a:ext uri="{FF2B5EF4-FFF2-40B4-BE49-F238E27FC236}">
              <a16:creationId xmlns:a16="http://schemas.microsoft.com/office/drawing/2014/main" id="{68AA2C7A-0594-4E23-B07F-59C18F9AE8F9}"/>
            </a:ext>
          </a:extLst>
        </xdr:cNvPr>
        <xdr:cNvSpPr/>
      </xdr:nvSpPr>
      <xdr:spPr>
        <a:xfrm>
          <a:off x="42672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110</xdr:row>
      <xdr:rowOff>0</xdr:rowOff>
    </xdr:from>
    <xdr:to>
      <xdr:col>11</xdr:col>
      <xdr:colOff>256442</xdr:colOff>
      <xdr:row>111</xdr:row>
      <xdr:rowOff>183173</xdr:rowOff>
    </xdr:to>
    <xdr:sp macro="" textlink="">
      <xdr:nvSpPr>
        <xdr:cNvPr id="167" name="Isosceles Triangle 166">
          <a:extLst>
            <a:ext uri="{FF2B5EF4-FFF2-40B4-BE49-F238E27FC236}">
              <a16:creationId xmlns:a16="http://schemas.microsoft.com/office/drawing/2014/main" id="{72F4CD0A-2943-4D8E-958C-EF995FB2B088}"/>
            </a:ext>
          </a:extLst>
        </xdr:cNvPr>
        <xdr:cNvSpPr/>
      </xdr:nvSpPr>
      <xdr:spPr>
        <a:xfrm>
          <a:off x="6096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110</xdr:row>
      <xdr:rowOff>0</xdr:rowOff>
    </xdr:from>
    <xdr:to>
      <xdr:col>14</xdr:col>
      <xdr:colOff>256442</xdr:colOff>
      <xdr:row>111</xdr:row>
      <xdr:rowOff>183173</xdr:rowOff>
    </xdr:to>
    <xdr:sp macro="" textlink="">
      <xdr:nvSpPr>
        <xdr:cNvPr id="168" name="Isosceles Triangle 167">
          <a:extLst>
            <a:ext uri="{FF2B5EF4-FFF2-40B4-BE49-F238E27FC236}">
              <a16:creationId xmlns:a16="http://schemas.microsoft.com/office/drawing/2014/main" id="{D5B46E5F-78CF-49AF-B626-4B3DF68A25BC}"/>
            </a:ext>
          </a:extLst>
        </xdr:cNvPr>
        <xdr:cNvSpPr/>
      </xdr:nvSpPr>
      <xdr:spPr>
        <a:xfrm>
          <a:off x="7924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110</xdr:row>
      <xdr:rowOff>0</xdr:rowOff>
    </xdr:from>
    <xdr:to>
      <xdr:col>17</xdr:col>
      <xdr:colOff>256442</xdr:colOff>
      <xdr:row>111</xdr:row>
      <xdr:rowOff>183173</xdr:rowOff>
    </xdr:to>
    <xdr:sp macro="" textlink="">
      <xdr:nvSpPr>
        <xdr:cNvPr id="169" name="Isosceles Triangle 168">
          <a:extLst>
            <a:ext uri="{FF2B5EF4-FFF2-40B4-BE49-F238E27FC236}">
              <a16:creationId xmlns:a16="http://schemas.microsoft.com/office/drawing/2014/main" id="{3AB7E3F5-3682-4390-A426-856AC9A5822C}"/>
            </a:ext>
          </a:extLst>
        </xdr:cNvPr>
        <xdr:cNvSpPr/>
      </xdr:nvSpPr>
      <xdr:spPr>
        <a:xfrm>
          <a:off x="9753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110</xdr:row>
      <xdr:rowOff>0</xdr:rowOff>
    </xdr:from>
    <xdr:to>
      <xdr:col>20</xdr:col>
      <xdr:colOff>256442</xdr:colOff>
      <xdr:row>111</xdr:row>
      <xdr:rowOff>183173</xdr:rowOff>
    </xdr:to>
    <xdr:sp macro="" textlink="">
      <xdr:nvSpPr>
        <xdr:cNvPr id="170" name="Isosceles Triangle 169">
          <a:extLst>
            <a:ext uri="{FF2B5EF4-FFF2-40B4-BE49-F238E27FC236}">
              <a16:creationId xmlns:a16="http://schemas.microsoft.com/office/drawing/2014/main" id="{B65920A8-240B-41D8-BC91-7C59371BD77D}"/>
            </a:ext>
          </a:extLst>
        </xdr:cNvPr>
        <xdr:cNvSpPr/>
      </xdr:nvSpPr>
      <xdr:spPr>
        <a:xfrm>
          <a:off x="11582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13607</xdr:colOff>
      <xdr:row>110</xdr:row>
      <xdr:rowOff>13607</xdr:rowOff>
    </xdr:from>
    <xdr:to>
      <xdr:col>23</xdr:col>
      <xdr:colOff>270049</xdr:colOff>
      <xdr:row>112</xdr:row>
      <xdr:rowOff>6280</xdr:rowOff>
    </xdr:to>
    <xdr:sp macro="" textlink="">
      <xdr:nvSpPr>
        <xdr:cNvPr id="171" name="Isosceles Triangle 170">
          <a:extLst>
            <a:ext uri="{FF2B5EF4-FFF2-40B4-BE49-F238E27FC236}">
              <a16:creationId xmlns:a16="http://schemas.microsoft.com/office/drawing/2014/main" id="{B0BC5C4B-1145-4EF6-889D-82D1CDD3F486}"/>
            </a:ext>
          </a:extLst>
        </xdr:cNvPr>
        <xdr:cNvSpPr/>
      </xdr:nvSpPr>
      <xdr:spPr>
        <a:xfrm>
          <a:off x="13424807" y="18060307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110</xdr:row>
      <xdr:rowOff>0</xdr:rowOff>
    </xdr:from>
    <xdr:to>
      <xdr:col>26</xdr:col>
      <xdr:colOff>256442</xdr:colOff>
      <xdr:row>111</xdr:row>
      <xdr:rowOff>183173</xdr:rowOff>
    </xdr:to>
    <xdr:sp macro="" textlink="">
      <xdr:nvSpPr>
        <xdr:cNvPr id="172" name="Isosceles Triangle 171">
          <a:extLst>
            <a:ext uri="{FF2B5EF4-FFF2-40B4-BE49-F238E27FC236}">
              <a16:creationId xmlns:a16="http://schemas.microsoft.com/office/drawing/2014/main" id="{056449C9-4ECE-4BE6-836D-BD332251E626}"/>
            </a:ext>
          </a:extLst>
        </xdr:cNvPr>
        <xdr:cNvSpPr/>
      </xdr:nvSpPr>
      <xdr:spPr>
        <a:xfrm>
          <a:off x="15240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110</xdr:row>
      <xdr:rowOff>0</xdr:rowOff>
    </xdr:from>
    <xdr:to>
      <xdr:col>29</xdr:col>
      <xdr:colOff>256442</xdr:colOff>
      <xdr:row>111</xdr:row>
      <xdr:rowOff>183173</xdr:rowOff>
    </xdr:to>
    <xdr:sp macro="" textlink="">
      <xdr:nvSpPr>
        <xdr:cNvPr id="173" name="Isosceles Triangle 172">
          <a:extLst>
            <a:ext uri="{FF2B5EF4-FFF2-40B4-BE49-F238E27FC236}">
              <a16:creationId xmlns:a16="http://schemas.microsoft.com/office/drawing/2014/main" id="{25960298-65FF-46B0-84BC-87E605FBB853}"/>
            </a:ext>
          </a:extLst>
        </xdr:cNvPr>
        <xdr:cNvSpPr/>
      </xdr:nvSpPr>
      <xdr:spPr>
        <a:xfrm>
          <a:off x="17068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110</xdr:row>
      <xdr:rowOff>0</xdr:rowOff>
    </xdr:from>
    <xdr:to>
      <xdr:col>32</xdr:col>
      <xdr:colOff>256442</xdr:colOff>
      <xdr:row>111</xdr:row>
      <xdr:rowOff>183173</xdr:rowOff>
    </xdr:to>
    <xdr:sp macro="" textlink="">
      <xdr:nvSpPr>
        <xdr:cNvPr id="174" name="Isosceles Triangle 173">
          <a:extLst>
            <a:ext uri="{FF2B5EF4-FFF2-40B4-BE49-F238E27FC236}">
              <a16:creationId xmlns:a16="http://schemas.microsoft.com/office/drawing/2014/main" id="{3F0BB322-6A3D-48D8-9A94-1C64FB68C127}"/>
            </a:ext>
          </a:extLst>
        </xdr:cNvPr>
        <xdr:cNvSpPr/>
      </xdr:nvSpPr>
      <xdr:spPr>
        <a:xfrm>
          <a:off x="18897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110</xdr:row>
      <xdr:rowOff>0</xdr:rowOff>
    </xdr:from>
    <xdr:to>
      <xdr:col>35</xdr:col>
      <xdr:colOff>256442</xdr:colOff>
      <xdr:row>111</xdr:row>
      <xdr:rowOff>183173</xdr:rowOff>
    </xdr:to>
    <xdr:sp macro="" textlink="">
      <xdr:nvSpPr>
        <xdr:cNvPr id="175" name="Isosceles Triangle 174">
          <a:extLst>
            <a:ext uri="{FF2B5EF4-FFF2-40B4-BE49-F238E27FC236}">
              <a16:creationId xmlns:a16="http://schemas.microsoft.com/office/drawing/2014/main" id="{B553A42F-FA9A-4312-9873-3BAFD493E944}"/>
            </a:ext>
          </a:extLst>
        </xdr:cNvPr>
        <xdr:cNvSpPr/>
      </xdr:nvSpPr>
      <xdr:spPr>
        <a:xfrm>
          <a:off x="20726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183173</xdr:rowOff>
    </xdr:to>
    <xdr:sp macro="" textlink="">
      <xdr:nvSpPr>
        <xdr:cNvPr id="176" name="Isosceles Triangle 175">
          <a:extLst>
            <a:ext uri="{FF2B5EF4-FFF2-40B4-BE49-F238E27FC236}">
              <a16:creationId xmlns:a16="http://schemas.microsoft.com/office/drawing/2014/main" id="{8C8AB955-2D73-4921-8F4D-2ED332ADB528}"/>
            </a:ext>
          </a:extLst>
        </xdr:cNvPr>
        <xdr:cNvSpPr/>
      </xdr:nvSpPr>
      <xdr:spPr>
        <a:xfrm>
          <a:off x="225552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183173</xdr:rowOff>
    </xdr:to>
    <xdr:sp macro="" textlink="">
      <xdr:nvSpPr>
        <xdr:cNvPr id="177" name="Isosceles Triangle 176">
          <a:extLst>
            <a:ext uri="{FF2B5EF4-FFF2-40B4-BE49-F238E27FC236}">
              <a16:creationId xmlns:a16="http://schemas.microsoft.com/office/drawing/2014/main" id="{AAB3F60F-CFCB-4A1A-9A35-864BF7F4645F}"/>
            </a:ext>
          </a:extLst>
        </xdr:cNvPr>
        <xdr:cNvSpPr/>
      </xdr:nvSpPr>
      <xdr:spPr>
        <a:xfrm>
          <a:off x="243840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183173</xdr:rowOff>
    </xdr:to>
    <xdr:sp macro="" textlink="">
      <xdr:nvSpPr>
        <xdr:cNvPr id="178" name="Isosceles Triangle 177">
          <a:extLst>
            <a:ext uri="{FF2B5EF4-FFF2-40B4-BE49-F238E27FC236}">
              <a16:creationId xmlns:a16="http://schemas.microsoft.com/office/drawing/2014/main" id="{7EC422EC-0F9C-46A6-A7A2-1AA82DB0BDA3}"/>
            </a:ext>
          </a:extLst>
        </xdr:cNvPr>
        <xdr:cNvSpPr/>
      </xdr:nvSpPr>
      <xdr:spPr>
        <a:xfrm>
          <a:off x="609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119</xdr:row>
      <xdr:rowOff>0</xdr:rowOff>
    </xdr:from>
    <xdr:to>
      <xdr:col>5</xdr:col>
      <xdr:colOff>256442</xdr:colOff>
      <xdr:row>120</xdr:row>
      <xdr:rowOff>183173</xdr:rowOff>
    </xdr:to>
    <xdr:sp macro="" textlink="">
      <xdr:nvSpPr>
        <xdr:cNvPr id="179" name="Isosceles Triangle 178">
          <a:extLst>
            <a:ext uri="{FF2B5EF4-FFF2-40B4-BE49-F238E27FC236}">
              <a16:creationId xmlns:a16="http://schemas.microsoft.com/office/drawing/2014/main" id="{3A0C4169-9FDC-480F-A6A7-39966ECD5CC6}"/>
            </a:ext>
          </a:extLst>
        </xdr:cNvPr>
        <xdr:cNvSpPr/>
      </xdr:nvSpPr>
      <xdr:spPr>
        <a:xfrm>
          <a:off x="2438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183173</xdr:rowOff>
    </xdr:to>
    <xdr:sp macro="" textlink="">
      <xdr:nvSpPr>
        <xdr:cNvPr id="180" name="Isosceles Triangle 179">
          <a:extLst>
            <a:ext uri="{FF2B5EF4-FFF2-40B4-BE49-F238E27FC236}">
              <a16:creationId xmlns:a16="http://schemas.microsoft.com/office/drawing/2014/main" id="{7F72258E-B05D-4F16-BD1D-D4C9E7DF9CD7}"/>
            </a:ext>
          </a:extLst>
        </xdr:cNvPr>
        <xdr:cNvSpPr/>
      </xdr:nvSpPr>
      <xdr:spPr>
        <a:xfrm>
          <a:off x="4267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183173</xdr:rowOff>
    </xdr:to>
    <xdr:sp macro="" textlink="">
      <xdr:nvSpPr>
        <xdr:cNvPr id="181" name="Isosceles Triangle 180">
          <a:extLst>
            <a:ext uri="{FF2B5EF4-FFF2-40B4-BE49-F238E27FC236}">
              <a16:creationId xmlns:a16="http://schemas.microsoft.com/office/drawing/2014/main" id="{B486C01C-C515-4C42-B2D7-7371EB9A06CF}"/>
            </a:ext>
          </a:extLst>
        </xdr:cNvPr>
        <xdr:cNvSpPr/>
      </xdr:nvSpPr>
      <xdr:spPr>
        <a:xfrm>
          <a:off x="60960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183173</xdr:rowOff>
    </xdr:to>
    <xdr:sp macro="" textlink="">
      <xdr:nvSpPr>
        <xdr:cNvPr id="182" name="Isosceles Triangle 181">
          <a:extLst>
            <a:ext uri="{FF2B5EF4-FFF2-40B4-BE49-F238E27FC236}">
              <a16:creationId xmlns:a16="http://schemas.microsoft.com/office/drawing/2014/main" id="{E2A44FA9-E254-42A4-9E08-9C4158470C32}"/>
            </a:ext>
          </a:extLst>
        </xdr:cNvPr>
        <xdr:cNvSpPr/>
      </xdr:nvSpPr>
      <xdr:spPr>
        <a:xfrm>
          <a:off x="79248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183173</xdr:rowOff>
    </xdr:to>
    <xdr:sp macro="" textlink="">
      <xdr:nvSpPr>
        <xdr:cNvPr id="183" name="Isosceles Triangle 182">
          <a:extLst>
            <a:ext uri="{FF2B5EF4-FFF2-40B4-BE49-F238E27FC236}">
              <a16:creationId xmlns:a16="http://schemas.microsoft.com/office/drawing/2014/main" id="{8C5F003F-2DA5-41FB-8A4F-792E3A401AD8}"/>
            </a:ext>
          </a:extLst>
        </xdr:cNvPr>
        <xdr:cNvSpPr/>
      </xdr:nvSpPr>
      <xdr:spPr>
        <a:xfrm>
          <a:off x="9753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119</xdr:row>
      <xdr:rowOff>0</xdr:rowOff>
    </xdr:from>
    <xdr:to>
      <xdr:col>20</xdr:col>
      <xdr:colOff>256442</xdr:colOff>
      <xdr:row>120</xdr:row>
      <xdr:rowOff>183173</xdr:rowOff>
    </xdr:to>
    <xdr:sp macro="" textlink="">
      <xdr:nvSpPr>
        <xdr:cNvPr id="184" name="Isosceles Triangle 183">
          <a:extLst>
            <a:ext uri="{FF2B5EF4-FFF2-40B4-BE49-F238E27FC236}">
              <a16:creationId xmlns:a16="http://schemas.microsoft.com/office/drawing/2014/main" id="{B7C21B77-3FBB-4F28-8852-257418C6487C}"/>
            </a:ext>
          </a:extLst>
        </xdr:cNvPr>
        <xdr:cNvSpPr/>
      </xdr:nvSpPr>
      <xdr:spPr>
        <a:xfrm>
          <a:off x="11582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183173</xdr:rowOff>
    </xdr:to>
    <xdr:sp macro="" textlink="">
      <xdr:nvSpPr>
        <xdr:cNvPr id="185" name="Isosceles Triangle 184">
          <a:extLst>
            <a:ext uri="{FF2B5EF4-FFF2-40B4-BE49-F238E27FC236}">
              <a16:creationId xmlns:a16="http://schemas.microsoft.com/office/drawing/2014/main" id="{9E4C6156-B02C-4AAD-AD20-7BA3ED278DAD}"/>
            </a:ext>
          </a:extLst>
        </xdr:cNvPr>
        <xdr:cNvSpPr/>
      </xdr:nvSpPr>
      <xdr:spPr>
        <a:xfrm>
          <a:off x="13411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</xdr:row>
      <xdr:rowOff>21167</xdr:rowOff>
    </xdr:from>
    <xdr:to>
      <xdr:col>5</xdr:col>
      <xdr:colOff>256442</xdr:colOff>
      <xdr:row>4</xdr:row>
      <xdr:rowOff>3257</xdr:rowOff>
    </xdr:to>
    <xdr:sp macro="" textlink="">
      <xdr:nvSpPr>
        <xdr:cNvPr id="186" name="Isosceles Triangle 185">
          <a:extLst>
            <a:ext uri="{FF2B5EF4-FFF2-40B4-BE49-F238E27FC236}">
              <a16:creationId xmlns:a16="http://schemas.microsoft.com/office/drawing/2014/main" id="{3A2C8936-3146-484C-A69D-6B558BF2A046}"/>
            </a:ext>
          </a:extLst>
        </xdr:cNvPr>
        <xdr:cNvSpPr/>
      </xdr:nvSpPr>
      <xdr:spPr>
        <a:xfrm>
          <a:off x="24384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</xdr:row>
      <xdr:rowOff>21166</xdr:rowOff>
    </xdr:from>
    <xdr:to>
      <xdr:col>8</xdr:col>
      <xdr:colOff>256442</xdr:colOff>
      <xdr:row>4</xdr:row>
      <xdr:rowOff>3256</xdr:rowOff>
    </xdr:to>
    <xdr:sp macro="" textlink="">
      <xdr:nvSpPr>
        <xdr:cNvPr id="187" name="Isosceles Triangle 186">
          <a:extLst>
            <a:ext uri="{FF2B5EF4-FFF2-40B4-BE49-F238E27FC236}">
              <a16:creationId xmlns:a16="http://schemas.microsoft.com/office/drawing/2014/main" id="{BD4E661A-6CBF-4EEB-9C97-DD14D9477D74}"/>
            </a:ext>
          </a:extLst>
        </xdr:cNvPr>
        <xdr:cNvSpPr/>
      </xdr:nvSpPr>
      <xdr:spPr>
        <a:xfrm>
          <a:off x="4267200" y="389466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</xdr:row>
      <xdr:rowOff>31750</xdr:rowOff>
    </xdr:from>
    <xdr:to>
      <xdr:col>11</xdr:col>
      <xdr:colOff>256442</xdr:colOff>
      <xdr:row>4</xdr:row>
      <xdr:rowOff>13840</xdr:rowOff>
    </xdr:to>
    <xdr:sp macro="" textlink="">
      <xdr:nvSpPr>
        <xdr:cNvPr id="188" name="Isosceles Triangle 187">
          <a:extLst>
            <a:ext uri="{FF2B5EF4-FFF2-40B4-BE49-F238E27FC236}">
              <a16:creationId xmlns:a16="http://schemas.microsoft.com/office/drawing/2014/main" id="{32F260EE-5BE9-438A-9F99-04C1C241BDFC}"/>
            </a:ext>
          </a:extLst>
        </xdr:cNvPr>
        <xdr:cNvSpPr/>
      </xdr:nvSpPr>
      <xdr:spPr>
        <a:xfrm>
          <a:off x="60960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</xdr:row>
      <xdr:rowOff>31750</xdr:rowOff>
    </xdr:from>
    <xdr:to>
      <xdr:col>14</xdr:col>
      <xdr:colOff>256442</xdr:colOff>
      <xdr:row>4</xdr:row>
      <xdr:rowOff>13840</xdr:rowOff>
    </xdr:to>
    <xdr:sp macro="" textlink="">
      <xdr:nvSpPr>
        <xdr:cNvPr id="189" name="Isosceles Triangle 188">
          <a:extLst>
            <a:ext uri="{FF2B5EF4-FFF2-40B4-BE49-F238E27FC236}">
              <a16:creationId xmlns:a16="http://schemas.microsoft.com/office/drawing/2014/main" id="{7D4C4EE7-076F-49F5-A1B2-D8CE57A5598D}"/>
            </a:ext>
          </a:extLst>
        </xdr:cNvPr>
        <xdr:cNvSpPr/>
      </xdr:nvSpPr>
      <xdr:spPr>
        <a:xfrm>
          <a:off x="7924800" y="4000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</xdr:row>
      <xdr:rowOff>21167</xdr:rowOff>
    </xdr:from>
    <xdr:to>
      <xdr:col>17</xdr:col>
      <xdr:colOff>256442</xdr:colOff>
      <xdr:row>4</xdr:row>
      <xdr:rowOff>3257</xdr:rowOff>
    </xdr:to>
    <xdr:sp macro="" textlink="">
      <xdr:nvSpPr>
        <xdr:cNvPr id="190" name="Isosceles Triangle 189">
          <a:extLst>
            <a:ext uri="{FF2B5EF4-FFF2-40B4-BE49-F238E27FC236}">
              <a16:creationId xmlns:a16="http://schemas.microsoft.com/office/drawing/2014/main" id="{8949B552-38C3-4490-96EB-974282E638C7}"/>
            </a:ext>
          </a:extLst>
        </xdr:cNvPr>
        <xdr:cNvSpPr/>
      </xdr:nvSpPr>
      <xdr:spPr>
        <a:xfrm>
          <a:off x="9753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141</xdr:row>
      <xdr:rowOff>21167</xdr:rowOff>
    </xdr:from>
    <xdr:to>
      <xdr:col>5</xdr:col>
      <xdr:colOff>256442</xdr:colOff>
      <xdr:row>143</xdr:row>
      <xdr:rowOff>3257</xdr:rowOff>
    </xdr:to>
    <xdr:sp macro="" textlink="">
      <xdr:nvSpPr>
        <xdr:cNvPr id="191" name="Isosceles Triangle 190">
          <a:extLst>
            <a:ext uri="{FF2B5EF4-FFF2-40B4-BE49-F238E27FC236}">
              <a16:creationId xmlns:a16="http://schemas.microsoft.com/office/drawing/2014/main" id="{3D263B8E-EFB8-4EFD-BF79-B40C8173C9DC}"/>
            </a:ext>
          </a:extLst>
        </xdr:cNvPr>
        <xdr:cNvSpPr/>
      </xdr:nvSpPr>
      <xdr:spPr>
        <a:xfrm>
          <a:off x="2438400" y="232240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141</xdr:row>
      <xdr:rowOff>21166</xdr:rowOff>
    </xdr:from>
    <xdr:to>
      <xdr:col>8</xdr:col>
      <xdr:colOff>256442</xdr:colOff>
      <xdr:row>143</xdr:row>
      <xdr:rowOff>3256</xdr:rowOff>
    </xdr:to>
    <xdr:sp macro="" textlink="">
      <xdr:nvSpPr>
        <xdr:cNvPr id="192" name="Isosceles Triangle 191">
          <a:extLst>
            <a:ext uri="{FF2B5EF4-FFF2-40B4-BE49-F238E27FC236}">
              <a16:creationId xmlns:a16="http://schemas.microsoft.com/office/drawing/2014/main" id="{C0191F37-2510-4CC9-8A35-6798BAF8CF23}"/>
            </a:ext>
          </a:extLst>
        </xdr:cNvPr>
        <xdr:cNvSpPr/>
      </xdr:nvSpPr>
      <xdr:spPr>
        <a:xfrm>
          <a:off x="4267200" y="232240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141</xdr:row>
      <xdr:rowOff>31750</xdr:rowOff>
    </xdr:from>
    <xdr:to>
      <xdr:col>11</xdr:col>
      <xdr:colOff>256442</xdr:colOff>
      <xdr:row>143</xdr:row>
      <xdr:rowOff>13840</xdr:rowOff>
    </xdr:to>
    <xdr:sp macro="" textlink="">
      <xdr:nvSpPr>
        <xdr:cNvPr id="193" name="Isosceles Triangle 192">
          <a:extLst>
            <a:ext uri="{FF2B5EF4-FFF2-40B4-BE49-F238E27FC236}">
              <a16:creationId xmlns:a16="http://schemas.microsoft.com/office/drawing/2014/main" id="{48FFC6E8-3B19-44D8-8CF8-F371094381FC}"/>
            </a:ext>
          </a:extLst>
        </xdr:cNvPr>
        <xdr:cNvSpPr/>
      </xdr:nvSpPr>
      <xdr:spPr>
        <a:xfrm>
          <a:off x="6096000" y="232346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141</xdr:row>
      <xdr:rowOff>137583</xdr:rowOff>
    </xdr:from>
    <xdr:to>
      <xdr:col>5</xdr:col>
      <xdr:colOff>105834</xdr:colOff>
      <xdr:row>142</xdr:row>
      <xdr:rowOff>127000</xdr:rowOff>
    </xdr:to>
    <xdr:sp macro="" textlink="">
      <xdr:nvSpPr>
        <xdr:cNvPr id="194" name="5-Point Star 520">
          <a:extLst>
            <a:ext uri="{FF2B5EF4-FFF2-40B4-BE49-F238E27FC236}">
              <a16:creationId xmlns:a16="http://schemas.microsoft.com/office/drawing/2014/main" id="{E591F375-F305-412B-8F80-FFB0126BB1E5}"/>
            </a:ext>
          </a:extLst>
        </xdr:cNvPr>
        <xdr:cNvSpPr/>
      </xdr:nvSpPr>
      <xdr:spPr>
        <a:xfrm>
          <a:off x="2597150" y="233404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141</xdr:row>
      <xdr:rowOff>10583</xdr:rowOff>
    </xdr:from>
    <xdr:to>
      <xdr:col>7</xdr:col>
      <xdr:colOff>254000</xdr:colOff>
      <xdr:row>141</xdr:row>
      <xdr:rowOff>21167</xdr:rowOff>
    </xdr:to>
    <xdr:cxnSp macro="">
      <xdr:nvCxnSpPr>
        <xdr:cNvPr id="195" name="Curved Connector 523">
          <a:extLst>
            <a:ext uri="{FF2B5EF4-FFF2-40B4-BE49-F238E27FC236}">
              <a16:creationId xmlns:a16="http://schemas.microsoft.com/office/drawing/2014/main" id="{C5F54D48-92E8-4A27-8C11-F4E483762535}"/>
            </a:ext>
          </a:extLst>
        </xdr:cNvPr>
        <xdr:cNvCxnSpPr/>
      </xdr:nvCxnSpPr>
      <xdr:spPr>
        <a:xfrm rot="16200000" flipH="1">
          <a:off x="3601508" y="223043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138</xdr:row>
      <xdr:rowOff>178593</xdr:rowOff>
    </xdr:from>
    <xdr:to>
      <xdr:col>4</xdr:col>
      <xdr:colOff>247997</xdr:colOff>
      <xdr:row>141</xdr:row>
      <xdr:rowOff>166993</xdr:rowOff>
    </xdr:to>
    <xdr:cxnSp macro="">
      <xdr:nvCxnSpPr>
        <xdr:cNvPr id="196" name="Straight Arrow Connector 195">
          <a:extLst>
            <a:ext uri="{FF2B5EF4-FFF2-40B4-BE49-F238E27FC236}">
              <a16:creationId xmlns:a16="http://schemas.microsoft.com/office/drawing/2014/main" id="{CDF56FD9-AD6A-4884-890E-BBCAE4BFA6E0}"/>
            </a:ext>
          </a:extLst>
        </xdr:cNvPr>
        <xdr:cNvCxnSpPr/>
      </xdr:nvCxnSpPr>
      <xdr:spPr>
        <a:xfrm>
          <a:off x="2126457" y="228290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139</xdr:row>
      <xdr:rowOff>-1</xdr:rowOff>
    </xdr:from>
    <xdr:to>
      <xdr:col>6</xdr:col>
      <xdr:colOff>60854</xdr:colOff>
      <xdr:row>141</xdr:row>
      <xdr:rowOff>111125</xdr:rowOff>
    </xdr:to>
    <xdr:cxnSp macro="">
      <xdr:nvCxnSpPr>
        <xdr:cNvPr id="197" name="Straight Arrow Connector 196">
          <a:extLst>
            <a:ext uri="{FF2B5EF4-FFF2-40B4-BE49-F238E27FC236}">
              <a16:creationId xmlns:a16="http://schemas.microsoft.com/office/drawing/2014/main" id="{F34539C0-1C88-461F-A48B-FC49B01B04F2}"/>
            </a:ext>
          </a:extLst>
        </xdr:cNvPr>
        <xdr:cNvCxnSpPr/>
      </xdr:nvCxnSpPr>
      <xdr:spPr>
        <a:xfrm>
          <a:off x="3705225" y="228345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139</xdr:row>
      <xdr:rowOff>-1</xdr:rowOff>
    </xdr:from>
    <xdr:to>
      <xdr:col>9</xdr:col>
      <xdr:colOff>35718</xdr:colOff>
      <xdr:row>141</xdr:row>
      <xdr:rowOff>83343</xdr:rowOff>
    </xdr:to>
    <xdr:cxnSp macro="">
      <xdr:nvCxnSpPr>
        <xdr:cNvPr id="198" name="Straight Arrow Connector 197">
          <a:extLst>
            <a:ext uri="{FF2B5EF4-FFF2-40B4-BE49-F238E27FC236}">
              <a16:creationId xmlns:a16="http://schemas.microsoft.com/office/drawing/2014/main" id="{9C84FE9F-4D26-488B-90C0-F08DFAA9B905}"/>
            </a:ext>
          </a:extLst>
        </xdr:cNvPr>
        <xdr:cNvCxnSpPr/>
      </xdr:nvCxnSpPr>
      <xdr:spPr>
        <a:xfrm>
          <a:off x="5522118" y="228345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141</xdr:row>
      <xdr:rowOff>10584</xdr:rowOff>
    </xdr:from>
    <xdr:to>
      <xdr:col>4</xdr:col>
      <xdr:colOff>105833</xdr:colOff>
      <xdr:row>142</xdr:row>
      <xdr:rowOff>148167</xdr:rowOff>
    </xdr:to>
    <xdr:cxnSp macro="">
      <xdr:nvCxnSpPr>
        <xdr:cNvPr id="199" name="Straight Arrow Connector 198">
          <a:extLst>
            <a:ext uri="{FF2B5EF4-FFF2-40B4-BE49-F238E27FC236}">
              <a16:creationId xmlns:a16="http://schemas.microsoft.com/office/drawing/2014/main" id="{0601758F-939E-426F-841F-49D0FDA26C77}"/>
            </a:ext>
          </a:extLst>
        </xdr:cNvPr>
        <xdr:cNvCxnSpPr/>
      </xdr:nvCxnSpPr>
      <xdr:spPr>
        <a:xfrm>
          <a:off x="1452034" y="232134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144</xdr:row>
      <xdr:rowOff>116417</xdr:rowOff>
    </xdr:from>
    <xdr:to>
      <xdr:col>4</xdr:col>
      <xdr:colOff>0</xdr:colOff>
      <xdr:row>144</xdr:row>
      <xdr:rowOff>116417</xdr:rowOff>
    </xdr:to>
    <xdr:cxnSp macro="">
      <xdr:nvCxnSpPr>
        <xdr:cNvPr id="200" name="Straight Arrow Connector 199">
          <a:extLst>
            <a:ext uri="{FF2B5EF4-FFF2-40B4-BE49-F238E27FC236}">
              <a16:creationId xmlns:a16="http://schemas.microsoft.com/office/drawing/2014/main" id="{194349BD-161C-48D7-82AD-FD41D71D2A6E}"/>
            </a:ext>
          </a:extLst>
        </xdr:cNvPr>
        <xdr:cNvCxnSpPr/>
      </xdr:nvCxnSpPr>
      <xdr:spPr>
        <a:xfrm>
          <a:off x="2019300" y="238717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144</xdr:row>
      <xdr:rowOff>52917</xdr:rowOff>
    </xdr:from>
    <xdr:ext cx="230186" cy="271084"/>
    <xdr:pic>
      <xdr:nvPicPr>
        <xdr:cNvPr id="201" name="Picture 200" descr="A black and white symbol&#10;&#10;Description automatically generated">
          <a:extLst>
            <a:ext uri="{FF2B5EF4-FFF2-40B4-BE49-F238E27FC236}">
              <a16:creationId xmlns:a16="http://schemas.microsoft.com/office/drawing/2014/main" id="{F07786B0-D055-4184-A7B1-5F5E2EB98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238082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145</xdr:row>
      <xdr:rowOff>127001</xdr:rowOff>
    </xdr:from>
    <xdr:to>
      <xdr:col>6</xdr:col>
      <xdr:colOff>51593</xdr:colOff>
      <xdr:row>147</xdr:row>
      <xdr:rowOff>0</xdr:rowOff>
    </xdr:to>
    <xdr:cxnSp macro="">
      <xdr:nvCxnSpPr>
        <xdr:cNvPr id="202" name="Straight Arrow Connector 201">
          <a:extLst>
            <a:ext uri="{FF2B5EF4-FFF2-40B4-BE49-F238E27FC236}">
              <a16:creationId xmlns:a16="http://schemas.microsoft.com/office/drawing/2014/main" id="{3BBAEC25-ABBD-47ED-96E6-D2EF55612D6C}"/>
            </a:ext>
          </a:extLst>
        </xdr:cNvPr>
        <xdr:cNvCxnSpPr/>
      </xdr:nvCxnSpPr>
      <xdr:spPr>
        <a:xfrm flipH="1" flipV="1">
          <a:off x="3666860" y="240665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146</xdr:row>
      <xdr:rowOff>71437</xdr:rowOff>
    </xdr:from>
    <xdr:to>
      <xdr:col>10</xdr:col>
      <xdr:colOff>35719</xdr:colOff>
      <xdr:row>146</xdr:row>
      <xdr:rowOff>178593</xdr:rowOff>
    </xdr:to>
    <xdr:cxnSp macro="">
      <xdr:nvCxnSpPr>
        <xdr:cNvPr id="203" name="Straight Arrow Connector 202">
          <a:extLst>
            <a:ext uri="{FF2B5EF4-FFF2-40B4-BE49-F238E27FC236}">
              <a16:creationId xmlns:a16="http://schemas.microsoft.com/office/drawing/2014/main" id="{4BAF6C05-FBAA-4A8C-8B79-6665B4BDA66C}"/>
            </a:ext>
          </a:extLst>
        </xdr:cNvPr>
        <xdr:cNvCxnSpPr/>
      </xdr:nvCxnSpPr>
      <xdr:spPr>
        <a:xfrm flipH="1" flipV="1">
          <a:off x="5879306" y="241950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190500</xdr:colOff>
      <xdr:row>3</xdr:row>
      <xdr:rowOff>105832</xdr:rowOff>
    </xdr:from>
    <xdr:ext cx="148518" cy="483992"/>
    <xdr:pic>
      <xdr:nvPicPr>
        <xdr:cNvPr id="204" name="Picture 203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9A9EC7B3-BEC0-42AC-AD8F-EDA870B184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6649700" y="658282"/>
          <a:ext cx="148518" cy="483992"/>
        </a:xfrm>
        <a:prstGeom prst="rect">
          <a:avLst/>
        </a:prstGeom>
      </xdr:spPr>
    </xdr:pic>
    <xdr:clientData/>
  </xdr:oneCellAnchor>
  <xdr:oneCellAnchor>
    <xdr:from>
      <xdr:col>6</xdr:col>
      <xdr:colOff>114886</xdr:colOff>
      <xdr:row>12</xdr:row>
      <xdr:rowOff>22420</xdr:rowOff>
    </xdr:from>
    <xdr:ext cx="135485" cy="530293"/>
    <xdr:pic>
      <xdr:nvPicPr>
        <xdr:cNvPr id="205" name="Picture 20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EA151562-26A2-456F-997A-30F5BFCC97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3772486" y="2048070"/>
          <a:ext cx="135485" cy="530293"/>
        </a:xfrm>
        <a:prstGeom prst="rect">
          <a:avLst/>
        </a:prstGeom>
      </xdr:spPr>
    </xdr:pic>
    <xdr:clientData/>
  </xdr:oneCellAnchor>
  <xdr:twoCellAnchor>
    <xdr:from>
      <xdr:col>15</xdr:col>
      <xdr:colOff>38713</xdr:colOff>
      <xdr:row>146</xdr:row>
      <xdr:rowOff>88460</xdr:rowOff>
    </xdr:from>
    <xdr:to>
      <xdr:col>15</xdr:col>
      <xdr:colOff>401817</xdr:colOff>
      <xdr:row>147</xdr:row>
      <xdr:rowOff>66317</xdr:rowOff>
    </xdr:to>
    <xdr:sp macro="" textlink="">
      <xdr:nvSpPr>
        <xdr:cNvPr id="206" name="Lightning Bolt 205">
          <a:extLst>
            <a:ext uri="{FF2B5EF4-FFF2-40B4-BE49-F238E27FC236}">
              <a16:creationId xmlns:a16="http://schemas.microsoft.com/office/drawing/2014/main" id="{34BF37E1-2C60-49F1-B244-E4F2F0B347D8}"/>
            </a:ext>
          </a:extLst>
        </xdr:cNvPr>
        <xdr:cNvSpPr/>
      </xdr:nvSpPr>
      <xdr:spPr>
        <a:xfrm rot="2857557">
          <a:off x="9283261" y="241115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144</xdr:row>
      <xdr:rowOff>96357</xdr:rowOff>
    </xdr:from>
    <xdr:to>
      <xdr:col>16</xdr:col>
      <xdr:colOff>10464</xdr:colOff>
      <xdr:row>145</xdr:row>
      <xdr:rowOff>82237</xdr:rowOff>
    </xdr:to>
    <xdr:sp macro="" textlink="">
      <xdr:nvSpPr>
        <xdr:cNvPr id="207" name="Lightning Bolt 206">
          <a:extLst>
            <a:ext uri="{FF2B5EF4-FFF2-40B4-BE49-F238E27FC236}">
              <a16:creationId xmlns:a16="http://schemas.microsoft.com/office/drawing/2014/main" id="{03782817-300C-4A15-91DD-AAEABB89D310}"/>
            </a:ext>
          </a:extLst>
        </xdr:cNvPr>
        <xdr:cNvSpPr/>
      </xdr:nvSpPr>
      <xdr:spPr>
        <a:xfrm rot="2857557">
          <a:off x="9405456" y="236631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140</xdr:row>
      <xdr:rowOff>23811</xdr:rowOff>
    </xdr:from>
    <xdr:to>
      <xdr:col>15</xdr:col>
      <xdr:colOff>273845</xdr:colOff>
      <xdr:row>141</xdr:row>
      <xdr:rowOff>168780</xdr:rowOff>
    </xdr:to>
    <xdr:sp macro="" textlink="">
      <xdr:nvSpPr>
        <xdr:cNvPr id="208" name="Arrow: Up 207">
          <a:extLst>
            <a:ext uri="{FF2B5EF4-FFF2-40B4-BE49-F238E27FC236}">
              <a16:creationId xmlns:a16="http://schemas.microsoft.com/office/drawing/2014/main" id="{C6BC877C-CA5F-439E-8E56-15B48DB4149B}"/>
            </a:ext>
          </a:extLst>
        </xdr:cNvPr>
        <xdr:cNvSpPr/>
      </xdr:nvSpPr>
      <xdr:spPr>
        <a:xfrm>
          <a:off x="9274971" y="230425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138</xdr:row>
      <xdr:rowOff>11906</xdr:rowOff>
    </xdr:from>
    <xdr:to>
      <xdr:col>15</xdr:col>
      <xdr:colOff>261938</xdr:colOff>
      <xdr:row>139</xdr:row>
      <xdr:rowOff>168782</xdr:rowOff>
    </xdr:to>
    <xdr:sp macro="" textlink="">
      <xdr:nvSpPr>
        <xdr:cNvPr id="209" name="Arrow: Up 208">
          <a:extLst>
            <a:ext uri="{FF2B5EF4-FFF2-40B4-BE49-F238E27FC236}">
              <a16:creationId xmlns:a16="http://schemas.microsoft.com/office/drawing/2014/main" id="{E31D7C2D-AB0F-4C2B-9E3A-AD85194A4875}"/>
            </a:ext>
          </a:extLst>
        </xdr:cNvPr>
        <xdr:cNvSpPr/>
      </xdr:nvSpPr>
      <xdr:spPr>
        <a:xfrm>
          <a:off x="9274970" y="226623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142</xdr:row>
      <xdr:rowOff>-1</xdr:rowOff>
    </xdr:from>
    <xdr:to>
      <xdr:col>15</xdr:col>
      <xdr:colOff>273844</xdr:colOff>
      <xdr:row>143</xdr:row>
      <xdr:rowOff>180305</xdr:rowOff>
    </xdr:to>
    <xdr:sp macro="" textlink="">
      <xdr:nvSpPr>
        <xdr:cNvPr id="210" name="Arrow: Up-Down 209">
          <a:extLst>
            <a:ext uri="{FF2B5EF4-FFF2-40B4-BE49-F238E27FC236}">
              <a16:creationId xmlns:a16="http://schemas.microsoft.com/office/drawing/2014/main" id="{ED025438-60EF-4908-8F30-8391DEABBA82}"/>
            </a:ext>
          </a:extLst>
        </xdr:cNvPr>
        <xdr:cNvSpPr/>
      </xdr:nvSpPr>
      <xdr:spPr>
        <a:xfrm>
          <a:off x="9286874" y="233870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142</xdr:row>
      <xdr:rowOff>107156</xdr:rowOff>
    </xdr:from>
    <xdr:ext cx="253593" cy="571499"/>
    <xdr:pic>
      <xdr:nvPicPr>
        <xdr:cNvPr id="211" name="Picture 95405" descr="LADDER">
          <a:extLst>
            <a:ext uri="{FF2B5EF4-FFF2-40B4-BE49-F238E27FC236}">
              <a16:creationId xmlns:a16="http://schemas.microsoft.com/office/drawing/2014/main" id="{934DDE21-2DE8-4E9D-9E62-90C323F52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737180" y="234942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138</xdr:row>
      <xdr:rowOff>81940</xdr:rowOff>
    </xdr:from>
    <xdr:ext cx="202407" cy="626944"/>
    <xdr:pic>
      <xdr:nvPicPr>
        <xdr:cNvPr id="212" name="Picture 21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B53D2B9-F972-4D9E-8852-17190A4960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227323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3</xdr:col>
      <xdr:colOff>119062</xdr:colOff>
      <xdr:row>3</xdr:row>
      <xdr:rowOff>178594</xdr:rowOff>
    </xdr:from>
    <xdr:to>
      <xdr:col>3</xdr:col>
      <xdr:colOff>261937</xdr:colOff>
      <xdr:row>6</xdr:row>
      <xdr:rowOff>14002</xdr:rowOff>
    </xdr:to>
    <xdr:sp macro="" textlink="">
      <xdr:nvSpPr>
        <xdr:cNvPr id="213" name="Arrow: Up 212">
          <a:extLst>
            <a:ext uri="{FF2B5EF4-FFF2-40B4-BE49-F238E27FC236}">
              <a16:creationId xmlns:a16="http://schemas.microsoft.com/office/drawing/2014/main" id="{370CEFE4-6CA0-46B8-B3EC-FD86099F05D6}"/>
            </a:ext>
          </a:extLst>
        </xdr:cNvPr>
        <xdr:cNvSpPr/>
      </xdr:nvSpPr>
      <xdr:spPr>
        <a:xfrm>
          <a:off x="1947862" y="731044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119063</xdr:colOff>
      <xdr:row>3</xdr:row>
      <xdr:rowOff>166687</xdr:rowOff>
    </xdr:from>
    <xdr:to>
      <xdr:col>12</xdr:col>
      <xdr:colOff>261938</xdr:colOff>
      <xdr:row>6</xdr:row>
      <xdr:rowOff>2095</xdr:rowOff>
    </xdr:to>
    <xdr:sp macro="" textlink="">
      <xdr:nvSpPr>
        <xdr:cNvPr id="214" name="Arrow: Up 213">
          <a:extLst>
            <a:ext uri="{FF2B5EF4-FFF2-40B4-BE49-F238E27FC236}">
              <a16:creationId xmlns:a16="http://schemas.microsoft.com/office/drawing/2014/main" id="{1B46B6EB-8D20-4E35-86BC-BBCE77DB9AB5}"/>
            </a:ext>
          </a:extLst>
        </xdr:cNvPr>
        <xdr:cNvSpPr/>
      </xdr:nvSpPr>
      <xdr:spPr>
        <a:xfrm>
          <a:off x="7434263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119062</xdr:colOff>
      <xdr:row>3</xdr:row>
      <xdr:rowOff>166687</xdr:rowOff>
    </xdr:from>
    <xdr:to>
      <xdr:col>15</xdr:col>
      <xdr:colOff>261937</xdr:colOff>
      <xdr:row>6</xdr:row>
      <xdr:rowOff>2095</xdr:rowOff>
    </xdr:to>
    <xdr:sp macro="" textlink="">
      <xdr:nvSpPr>
        <xdr:cNvPr id="215" name="Arrow: Up 214">
          <a:extLst>
            <a:ext uri="{FF2B5EF4-FFF2-40B4-BE49-F238E27FC236}">
              <a16:creationId xmlns:a16="http://schemas.microsoft.com/office/drawing/2014/main" id="{19567747-F1BE-4E27-9FAC-36B8562B8D21}"/>
            </a:ext>
          </a:extLst>
        </xdr:cNvPr>
        <xdr:cNvSpPr/>
      </xdr:nvSpPr>
      <xdr:spPr>
        <a:xfrm>
          <a:off x="9263062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</xdr:row>
      <xdr:rowOff>154782</xdr:rowOff>
    </xdr:from>
    <xdr:to>
      <xdr:col>21</xdr:col>
      <xdr:colOff>273844</xdr:colOff>
      <xdr:row>5</xdr:row>
      <xdr:rowOff>180690</xdr:rowOff>
    </xdr:to>
    <xdr:sp macro="" textlink="">
      <xdr:nvSpPr>
        <xdr:cNvPr id="216" name="Arrow: Up 215">
          <a:extLst>
            <a:ext uri="{FF2B5EF4-FFF2-40B4-BE49-F238E27FC236}">
              <a16:creationId xmlns:a16="http://schemas.microsoft.com/office/drawing/2014/main" id="{5533AF08-794F-487F-8CDC-E2FB87ABA682}"/>
            </a:ext>
          </a:extLst>
        </xdr:cNvPr>
        <xdr:cNvSpPr/>
      </xdr:nvSpPr>
      <xdr:spPr>
        <a:xfrm>
          <a:off x="12932569" y="707232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3</xdr:row>
      <xdr:rowOff>166687</xdr:rowOff>
    </xdr:from>
    <xdr:to>
      <xdr:col>27</xdr:col>
      <xdr:colOff>178594</xdr:colOff>
      <xdr:row>6</xdr:row>
      <xdr:rowOff>2095</xdr:rowOff>
    </xdr:to>
    <xdr:sp macro="" textlink="">
      <xdr:nvSpPr>
        <xdr:cNvPr id="217" name="Arrow: Up 216">
          <a:extLst>
            <a:ext uri="{FF2B5EF4-FFF2-40B4-BE49-F238E27FC236}">
              <a16:creationId xmlns:a16="http://schemas.microsoft.com/office/drawing/2014/main" id="{5D294E7C-214B-4657-82F9-937FE7DF243C}"/>
            </a:ext>
          </a:extLst>
        </xdr:cNvPr>
        <xdr:cNvSpPr/>
      </xdr:nvSpPr>
      <xdr:spPr>
        <a:xfrm>
          <a:off x="1649491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47625</xdr:colOff>
      <xdr:row>3</xdr:row>
      <xdr:rowOff>166688</xdr:rowOff>
    </xdr:from>
    <xdr:to>
      <xdr:col>30</xdr:col>
      <xdr:colOff>190500</xdr:colOff>
      <xdr:row>6</xdr:row>
      <xdr:rowOff>2096</xdr:rowOff>
    </xdr:to>
    <xdr:sp macro="" textlink="">
      <xdr:nvSpPr>
        <xdr:cNvPr id="218" name="Arrow: Up 217">
          <a:extLst>
            <a:ext uri="{FF2B5EF4-FFF2-40B4-BE49-F238E27FC236}">
              <a16:creationId xmlns:a16="http://schemas.microsoft.com/office/drawing/2014/main" id="{94B765A9-90E7-4DED-97D3-1AB5FB2BBFF9}"/>
            </a:ext>
          </a:extLst>
        </xdr:cNvPr>
        <xdr:cNvSpPr/>
      </xdr:nvSpPr>
      <xdr:spPr>
        <a:xfrm>
          <a:off x="18335625" y="719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238125</xdr:colOff>
      <xdr:row>3</xdr:row>
      <xdr:rowOff>178593</xdr:rowOff>
    </xdr:from>
    <xdr:to>
      <xdr:col>30</xdr:col>
      <xdr:colOff>381001</xdr:colOff>
      <xdr:row>6</xdr:row>
      <xdr:rowOff>13618</xdr:rowOff>
    </xdr:to>
    <xdr:sp macro="" textlink="">
      <xdr:nvSpPr>
        <xdr:cNvPr id="219" name="Arrow: Up-Down 218">
          <a:extLst>
            <a:ext uri="{FF2B5EF4-FFF2-40B4-BE49-F238E27FC236}">
              <a16:creationId xmlns:a16="http://schemas.microsoft.com/office/drawing/2014/main" id="{86BC00EE-5D8A-4651-86A5-264C78008821}"/>
            </a:ext>
          </a:extLst>
        </xdr:cNvPr>
        <xdr:cNvSpPr/>
      </xdr:nvSpPr>
      <xdr:spPr>
        <a:xfrm>
          <a:off x="18526125" y="731043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3</xdr:row>
      <xdr:rowOff>166687</xdr:rowOff>
    </xdr:from>
    <xdr:to>
      <xdr:col>36</xdr:col>
      <xdr:colOff>285750</xdr:colOff>
      <xdr:row>6</xdr:row>
      <xdr:rowOff>2095</xdr:rowOff>
    </xdr:to>
    <xdr:sp macro="" textlink="">
      <xdr:nvSpPr>
        <xdr:cNvPr id="220" name="Arrow: Up 219">
          <a:extLst>
            <a:ext uri="{FF2B5EF4-FFF2-40B4-BE49-F238E27FC236}">
              <a16:creationId xmlns:a16="http://schemas.microsoft.com/office/drawing/2014/main" id="{23E8CAEF-E7CC-4E7E-AD5C-8DB9275136BA}"/>
            </a:ext>
          </a:extLst>
        </xdr:cNvPr>
        <xdr:cNvSpPr/>
      </xdr:nvSpPr>
      <xdr:spPr>
        <a:xfrm>
          <a:off x="2208847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3</xdr:row>
      <xdr:rowOff>166687</xdr:rowOff>
    </xdr:from>
    <xdr:to>
      <xdr:col>39</xdr:col>
      <xdr:colOff>273844</xdr:colOff>
      <xdr:row>6</xdr:row>
      <xdr:rowOff>2095</xdr:rowOff>
    </xdr:to>
    <xdr:sp macro="" textlink="">
      <xdr:nvSpPr>
        <xdr:cNvPr id="221" name="Arrow: Up 220">
          <a:extLst>
            <a:ext uri="{FF2B5EF4-FFF2-40B4-BE49-F238E27FC236}">
              <a16:creationId xmlns:a16="http://schemas.microsoft.com/office/drawing/2014/main" id="{0825FB01-590B-40A7-A157-D7F96E3872EE}"/>
            </a:ext>
          </a:extLst>
        </xdr:cNvPr>
        <xdr:cNvSpPr/>
      </xdr:nvSpPr>
      <xdr:spPr>
        <a:xfrm>
          <a:off x="2390536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23813</xdr:colOff>
      <xdr:row>12</xdr:row>
      <xdr:rowOff>154782</xdr:rowOff>
    </xdr:from>
    <xdr:to>
      <xdr:col>6</xdr:col>
      <xdr:colOff>119062</xdr:colOff>
      <xdr:row>14</xdr:row>
      <xdr:rowOff>180690</xdr:rowOff>
    </xdr:to>
    <xdr:sp macro="" textlink="">
      <xdr:nvSpPr>
        <xdr:cNvPr id="222" name="Arrow: Up 221">
          <a:extLst>
            <a:ext uri="{FF2B5EF4-FFF2-40B4-BE49-F238E27FC236}">
              <a16:creationId xmlns:a16="http://schemas.microsoft.com/office/drawing/2014/main" id="{DABC995D-3C99-47AC-9326-3739365A5FDA}"/>
            </a:ext>
          </a:extLst>
        </xdr:cNvPr>
        <xdr:cNvSpPr/>
      </xdr:nvSpPr>
      <xdr:spPr>
        <a:xfrm>
          <a:off x="3681413" y="2180432"/>
          <a:ext cx="95249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142876</xdr:colOff>
      <xdr:row>12</xdr:row>
      <xdr:rowOff>154782</xdr:rowOff>
    </xdr:from>
    <xdr:to>
      <xdr:col>6</xdr:col>
      <xdr:colOff>238125</xdr:colOff>
      <xdr:row>14</xdr:row>
      <xdr:rowOff>180307</xdr:rowOff>
    </xdr:to>
    <xdr:sp macro="" textlink="">
      <xdr:nvSpPr>
        <xdr:cNvPr id="223" name="Arrow: Up-Down 222">
          <a:extLst>
            <a:ext uri="{FF2B5EF4-FFF2-40B4-BE49-F238E27FC236}">
              <a16:creationId xmlns:a16="http://schemas.microsoft.com/office/drawing/2014/main" id="{8FAC6DD0-5D1B-44D5-ABB6-431432FA3F4E}"/>
            </a:ext>
          </a:extLst>
        </xdr:cNvPr>
        <xdr:cNvSpPr/>
      </xdr:nvSpPr>
      <xdr:spPr>
        <a:xfrm>
          <a:off x="3800476" y="2180432"/>
          <a:ext cx="95249" cy="3938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59532</xdr:colOff>
      <xdr:row>12</xdr:row>
      <xdr:rowOff>166687</xdr:rowOff>
    </xdr:from>
    <xdr:to>
      <xdr:col>9</xdr:col>
      <xdr:colOff>202407</xdr:colOff>
      <xdr:row>15</xdr:row>
      <xdr:rowOff>2095</xdr:rowOff>
    </xdr:to>
    <xdr:sp macro="" textlink="">
      <xdr:nvSpPr>
        <xdr:cNvPr id="224" name="Arrow: Up 223">
          <a:extLst>
            <a:ext uri="{FF2B5EF4-FFF2-40B4-BE49-F238E27FC236}">
              <a16:creationId xmlns:a16="http://schemas.microsoft.com/office/drawing/2014/main" id="{51E36BB6-B3AF-40F9-93F0-0FC54C11E26D}"/>
            </a:ext>
          </a:extLst>
        </xdr:cNvPr>
        <xdr:cNvSpPr/>
      </xdr:nvSpPr>
      <xdr:spPr>
        <a:xfrm>
          <a:off x="5545932" y="21923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214312</xdr:colOff>
      <xdr:row>12</xdr:row>
      <xdr:rowOff>166687</xdr:rowOff>
    </xdr:from>
    <xdr:to>
      <xdr:col>9</xdr:col>
      <xdr:colOff>357187</xdr:colOff>
      <xdr:row>15</xdr:row>
      <xdr:rowOff>2095</xdr:rowOff>
    </xdr:to>
    <xdr:sp macro="" textlink="">
      <xdr:nvSpPr>
        <xdr:cNvPr id="225" name="Arrow: Up 224">
          <a:extLst>
            <a:ext uri="{FF2B5EF4-FFF2-40B4-BE49-F238E27FC236}">
              <a16:creationId xmlns:a16="http://schemas.microsoft.com/office/drawing/2014/main" id="{FC7E9E4A-4C36-4182-BBF2-A058F4FEE2D5}"/>
            </a:ext>
          </a:extLst>
        </xdr:cNvPr>
        <xdr:cNvSpPr/>
      </xdr:nvSpPr>
      <xdr:spPr>
        <a:xfrm>
          <a:off x="5700712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47625</xdr:colOff>
      <xdr:row>12</xdr:row>
      <xdr:rowOff>166687</xdr:rowOff>
    </xdr:from>
    <xdr:to>
      <xdr:col>12</xdr:col>
      <xdr:colOff>190500</xdr:colOff>
      <xdr:row>15</xdr:row>
      <xdr:rowOff>2095</xdr:rowOff>
    </xdr:to>
    <xdr:sp macro="" textlink="">
      <xdr:nvSpPr>
        <xdr:cNvPr id="226" name="Arrow: Up 225">
          <a:extLst>
            <a:ext uri="{FF2B5EF4-FFF2-40B4-BE49-F238E27FC236}">
              <a16:creationId xmlns:a16="http://schemas.microsoft.com/office/drawing/2014/main" id="{AAB4DC26-F804-4196-A246-F20B40215ADE}"/>
            </a:ext>
          </a:extLst>
        </xdr:cNvPr>
        <xdr:cNvSpPr/>
      </xdr:nvSpPr>
      <xdr:spPr>
        <a:xfrm>
          <a:off x="7362825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226218</xdr:colOff>
      <xdr:row>12</xdr:row>
      <xdr:rowOff>166687</xdr:rowOff>
    </xdr:from>
    <xdr:to>
      <xdr:col>12</xdr:col>
      <xdr:colOff>369093</xdr:colOff>
      <xdr:row>15</xdr:row>
      <xdr:rowOff>2095</xdr:rowOff>
    </xdr:to>
    <xdr:sp macro="" textlink="">
      <xdr:nvSpPr>
        <xdr:cNvPr id="227" name="Arrow: Up 226">
          <a:extLst>
            <a:ext uri="{FF2B5EF4-FFF2-40B4-BE49-F238E27FC236}">
              <a16:creationId xmlns:a16="http://schemas.microsoft.com/office/drawing/2014/main" id="{174B642D-DBC8-445A-9C17-A63341FC2DF1}"/>
            </a:ext>
          </a:extLst>
        </xdr:cNvPr>
        <xdr:cNvSpPr/>
      </xdr:nvSpPr>
      <xdr:spPr>
        <a:xfrm>
          <a:off x="7541418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98828</xdr:colOff>
      <xdr:row>12</xdr:row>
      <xdr:rowOff>166688</xdr:rowOff>
    </xdr:from>
    <xdr:to>
      <xdr:col>15</xdr:col>
      <xdr:colOff>241703</xdr:colOff>
      <xdr:row>15</xdr:row>
      <xdr:rowOff>2096</xdr:rowOff>
    </xdr:to>
    <xdr:sp macro="" textlink="">
      <xdr:nvSpPr>
        <xdr:cNvPr id="228" name="Arrow: Up 227">
          <a:extLst>
            <a:ext uri="{FF2B5EF4-FFF2-40B4-BE49-F238E27FC236}">
              <a16:creationId xmlns:a16="http://schemas.microsoft.com/office/drawing/2014/main" id="{6EC7DAF9-085D-4A46-AF8F-D02473B44514}"/>
            </a:ext>
          </a:extLst>
        </xdr:cNvPr>
        <xdr:cNvSpPr/>
      </xdr:nvSpPr>
      <xdr:spPr>
        <a:xfrm>
          <a:off x="9242828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21167</xdr:colOff>
      <xdr:row>12</xdr:row>
      <xdr:rowOff>166688</xdr:rowOff>
    </xdr:from>
    <xdr:to>
      <xdr:col>18</xdr:col>
      <xdr:colOff>164042</xdr:colOff>
      <xdr:row>15</xdr:row>
      <xdr:rowOff>2096</xdr:rowOff>
    </xdr:to>
    <xdr:sp macro="" textlink="">
      <xdr:nvSpPr>
        <xdr:cNvPr id="229" name="Arrow: Up 228">
          <a:extLst>
            <a:ext uri="{FF2B5EF4-FFF2-40B4-BE49-F238E27FC236}">
              <a16:creationId xmlns:a16="http://schemas.microsoft.com/office/drawing/2014/main" id="{D717883B-4777-41BA-A84B-1513490D2A26}"/>
            </a:ext>
          </a:extLst>
        </xdr:cNvPr>
        <xdr:cNvSpPr/>
      </xdr:nvSpPr>
      <xdr:spPr>
        <a:xfrm>
          <a:off x="10993967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165364</xdr:colOff>
      <xdr:row>12</xdr:row>
      <xdr:rowOff>164306</xdr:rowOff>
    </xdr:from>
    <xdr:to>
      <xdr:col>19</xdr:col>
      <xdr:colOff>2910</xdr:colOff>
      <xdr:row>14</xdr:row>
      <xdr:rowOff>190214</xdr:rowOff>
    </xdr:to>
    <xdr:sp macro="" textlink="">
      <xdr:nvSpPr>
        <xdr:cNvPr id="230" name="Arrow: Up 229">
          <a:extLst>
            <a:ext uri="{FF2B5EF4-FFF2-40B4-BE49-F238E27FC236}">
              <a16:creationId xmlns:a16="http://schemas.microsoft.com/office/drawing/2014/main" id="{C1F921FC-C506-4CBB-9892-B117FA1B788C}"/>
            </a:ext>
          </a:extLst>
        </xdr:cNvPr>
        <xdr:cNvSpPr/>
      </xdr:nvSpPr>
      <xdr:spPr>
        <a:xfrm>
          <a:off x="11138164" y="2189956"/>
          <a:ext cx="447146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12</xdr:row>
      <xdr:rowOff>166687</xdr:rowOff>
    </xdr:from>
    <xdr:to>
      <xdr:col>21</xdr:col>
      <xdr:colOff>273844</xdr:colOff>
      <xdr:row>15</xdr:row>
      <xdr:rowOff>2095</xdr:rowOff>
    </xdr:to>
    <xdr:sp macro="" textlink="">
      <xdr:nvSpPr>
        <xdr:cNvPr id="231" name="Arrow: Up 230">
          <a:extLst>
            <a:ext uri="{FF2B5EF4-FFF2-40B4-BE49-F238E27FC236}">
              <a16:creationId xmlns:a16="http://schemas.microsoft.com/office/drawing/2014/main" id="{C9C787E0-E3B1-4614-8910-7AF944CF5B58}"/>
            </a:ext>
          </a:extLst>
        </xdr:cNvPr>
        <xdr:cNvSpPr/>
      </xdr:nvSpPr>
      <xdr:spPr>
        <a:xfrm>
          <a:off x="129325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12</xdr:row>
      <xdr:rowOff>166687</xdr:rowOff>
    </xdr:from>
    <xdr:to>
      <xdr:col>39</xdr:col>
      <xdr:colOff>273844</xdr:colOff>
      <xdr:row>15</xdr:row>
      <xdr:rowOff>2095</xdr:rowOff>
    </xdr:to>
    <xdr:sp macro="" textlink="">
      <xdr:nvSpPr>
        <xdr:cNvPr id="232" name="Arrow: Up 231">
          <a:extLst>
            <a:ext uri="{FF2B5EF4-FFF2-40B4-BE49-F238E27FC236}">
              <a16:creationId xmlns:a16="http://schemas.microsoft.com/office/drawing/2014/main" id="{6F2293B5-573A-4725-91BB-45DC8CFF48FF}"/>
            </a:ext>
          </a:extLst>
        </xdr:cNvPr>
        <xdr:cNvSpPr/>
      </xdr:nvSpPr>
      <xdr:spPr>
        <a:xfrm>
          <a:off x="239053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35719</xdr:colOff>
      <xdr:row>21</xdr:row>
      <xdr:rowOff>166688</xdr:rowOff>
    </xdr:from>
    <xdr:to>
      <xdr:col>3</xdr:col>
      <xdr:colOff>178594</xdr:colOff>
      <xdr:row>24</xdr:row>
      <xdr:rowOff>2096</xdr:rowOff>
    </xdr:to>
    <xdr:sp macro="" textlink="">
      <xdr:nvSpPr>
        <xdr:cNvPr id="233" name="Arrow: Up 232">
          <a:extLst>
            <a:ext uri="{FF2B5EF4-FFF2-40B4-BE49-F238E27FC236}">
              <a16:creationId xmlns:a16="http://schemas.microsoft.com/office/drawing/2014/main" id="{CA9348AA-96F1-4019-AABE-DB0E4B27B04D}"/>
            </a:ext>
          </a:extLst>
        </xdr:cNvPr>
        <xdr:cNvSpPr/>
      </xdr:nvSpPr>
      <xdr:spPr>
        <a:xfrm>
          <a:off x="1864519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21</xdr:row>
      <xdr:rowOff>166688</xdr:rowOff>
    </xdr:from>
    <xdr:to>
      <xdr:col>3</xdr:col>
      <xdr:colOff>357188</xdr:colOff>
      <xdr:row>24</xdr:row>
      <xdr:rowOff>2096</xdr:rowOff>
    </xdr:to>
    <xdr:sp macro="" textlink="">
      <xdr:nvSpPr>
        <xdr:cNvPr id="234" name="Arrow: Up 233">
          <a:extLst>
            <a:ext uri="{FF2B5EF4-FFF2-40B4-BE49-F238E27FC236}">
              <a16:creationId xmlns:a16="http://schemas.microsoft.com/office/drawing/2014/main" id="{7104A496-D363-43E6-B5E1-0CEF93D325AB}"/>
            </a:ext>
          </a:extLst>
        </xdr:cNvPr>
        <xdr:cNvSpPr/>
      </xdr:nvSpPr>
      <xdr:spPr>
        <a:xfrm>
          <a:off x="20431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21</xdr:row>
      <xdr:rowOff>166687</xdr:rowOff>
    </xdr:from>
    <xdr:to>
      <xdr:col>9</xdr:col>
      <xdr:colOff>273844</xdr:colOff>
      <xdr:row>24</xdr:row>
      <xdr:rowOff>2095</xdr:rowOff>
    </xdr:to>
    <xdr:sp macro="" textlink="">
      <xdr:nvSpPr>
        <xdr:cNvPr id="235" name="Arrow: Up 234">
          <a:extLst>
            <a:ext uri="{FF2B5EF4-FFF2-40B4-BE49-F238E27FC236}">
              <a16:creationId xmlns:a16="http://schemas.microsoft.com/office/drawing/2014/main" id="{F5D96E3B-41C8-462A-A4E3-FF8ADE4A4B94}"/>
            </a:ext>
          </a:extLst>
        </xdr:cNvPr>
        <xdr:cNvSpPr/>
      </xdr:nvSpPr>
      <xdr:spPr>
        <a:xfrm>
          <a:off x="5617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21</xdr:row>
      <xdr:rowOff>166687</xdr:rowOff>
    </xdr:from>
    <xdr:to>
      <xdr:col>24</xdr:col>
      <xdr:colOff>273844</xdr:colOff>
      <xdr:row>24</xdr:row>
      <xdr:rowOff>2095</xdr:rowOff>
    </xdr:to>
    <xdr:sp macro="" textlink="">
      <xdr:nvSpPr>
        <xdr:cNvPr id="236" name="Arrow: Up 235">
          <a:extLst>
            <a:ext uri="{FF2B5EF4-FFF2-40B4-BE49-F238E27FC236}">
              <a16:creationId xmlns:a16="http://schemas.microsoft.com/office/drawing/2014/main" id="{E7AA88F2-D48A-4E2A-8805-9BEB1E1EC615}"/>
            </a:ext>
          </a:extLst>
        </xdr:cNvPr>
        <xdr:cNvSpPr/>
      </xdr:nvSpPr>
      <xdr:spPr>
        <a:xfrm>
          <a:off x="14761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21</xdr:row>
      <xdr:rowOff>166687</xdr:rowOff>
    </xdr:from>
    <xdr:to>
      <xdr:col>27</xdr:col>
      <xdr:colOff>285750</xdr:colOff>
      <xdr:row>24</xdr:row>
      <xdr:rowOff>2095</xdr:rowOff>
    </xdr:to>
    <xdr:sp macro="" textlink="">
      <xdr:nvSpPr>
        <xdr:cNvPr id="237" name="Arrow: Up 236">
          <a:extLst>
            <a:ext uri="{FF2B5EF4-FFF2-40B4-BE49-F238E27FC236}">
              <a16:creationId xmlns:a16="http://schemas.microsoft.com/office/drawing/2014/main" id="{2F8999FC-8E75-4E2F-8155-6CD32CDE56CB}"/>
            </a:ext>
          </a:extLst>
        </xdr:cNvPr>
        <xdr:cNvSpPr/>
      </xdr:nvSpPr>
      <xdr:spPr>
        <a:xfrm>
          <a:off x="16602075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119063</xdr:colOff>
      <xdr:row>30</xdr:row>
      <xdr:rowOff>166687</xdr:rowOff>
    </xdr:from>
    <xdr:to>
      <xdr:col>3</xdr:col>
      <xdr:colOff>261938</xdr:colOff>
      <xdr:row>33</xdr:row>
      <xdr:rowOff>2095</xdr:rowOff>
    </xdr:to>
    <xdr:sp macro="" textlink="">
      <xdr:nvSpPr>
        <xdr:cNvPr id="238" name="Arrow: Up 237">
          <a:extLst>
            <a:ext uri="{FF2B5EF4-FFF2-40B4-BE49-F238E27FC236}">
              <a16:creationId xmlns:a16="http://schemas.microsoft.com/office/drawing/2014/main" id="{14B380A1-66A2-42B9-B5C9-A55967C982BA}"/>
            </a:ext>
          </a:extLst>
        </xdr:cNvPr>
        <xdr:cNvSpPr/>
      </xdr:nvSpPr>
      <xdr:spPr>
        <a:xfrm>
          <a:off x="1947863" y="5138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130969</xdr:colOff>
      <xdr:row>30</xdr:row>
      <xdr:rowOff>166688</xdr:rowOff>
    </xdr:from>
    <xdr:to>
      <xdr:col>18</xdr:col>
      <xdr:colOff>273844</xdr:colOff>
      <xdr:row>33</xdr:row>
      <xdr:rowOff>2096</xdr:rowOff>
    </xdr:to>
    <xdr:sp macro="" textlink="">
      <xdr:nvSpPr>
        <xdr:cNvPr id="239" name="Arrow: Up 238">
          <a:extLst>
            <a:ext uri="{FF2B5EF4-FFF2-40B4-BE49-F238E27FC236}">
              <a16:creationId xmlns:a16="http://schemas.microsoft.com/office/drawing/2014/main" id="{EC34C5D6-3F83-4820-B530-97FB6917A3B3}"/>
            </a:ext>
          </a:extLst>
        </xdr:cNvPr>
        <xdr:cNvSpPr/>
      </xdr:nvSpPr>
      <xdr:spPr>
        <a:xfrm>
          <a:off x="11103769" y="5138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30</xdr:row>
      <xdr:rowOff>178594</xdr:rowOff>
    </xdr:from>
    <xdr:to>
      <xdr:col>21</xdr:col>
      <xdr:colOff>273844</xdr:colOff>
      <xdr:row>33</xdr:row>
      <xdr:rowOff>14002</xdr:rowOff>
    </xdr:to>
    <xdr:sp macro="" textlink="">
      <xdr:nvSpPr>
        <xdr:cNvPr id="240" name="Arrow: Up 239">
          <a:extLst>
            <a:ext uri="{FF2B5EF4-FFF2-40B4-BE49-F238E27FC236}">
              <a16:creationId xmlns:a16="http://schemas.microsoft.com/office/drawing/2014/main" id="{15364332-3FF8-4E81-8FEB-52089169CD1F}"/>
            </a:ext>
          </a:extLst>
        </xdr:cNvPr>
        <xdr:cNvSpPr/>
      </xdr:nvSpPr>
      <xdr:spPr>
        <a:xfrm>
          <a:off x="12932569" y="51506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130968</xdr:colOff>
      <xdr:row>30</xdr:row>
      <xdr:rowOff>166687</xdr:rowOff>
    </xdr:from>
    <xdr:to>
      <xdr:col>33</xdr:col>
      <xdr:colOff>273844</xdr:colOff>
      <xdr:row>33</xdr:row>
      <xdr:rowOff>1712</xdr:rowOff>
    </xdr:to>
    <xdr:sp macro="" textlink="">
      <xdr:nvSpPr>
        <xdr:cNvPr id="241" name="Arrow: Up-Down 240">
          <a:extLst>
            <a:ext uri="{FF2B5EF4-FFF2-40B4-BE49-F238E27FC236}">
              <a16:creationId xmlns:a16="http://schemas.microsoft.com/office/drawing/2014/main" id="{1B6BAD5E-26CB-40B7-9FF6-7396DF7EDD4F}"/>
            </a:ext>
          </a:extLst>
        </xdr:cNvPr>
        <xdr:cNvSpPr/>
      </xdr:nvSpPr>
      <xdr:spPr>
        <a:xfrm>
          <a:off x="20247768" y="5138737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130968</xdr:colOff>
      <xdr:row>39</xdr:row>
      <xdr:rowOff>166688</xdr:rowOff>
    </xdr:from>
    <xdr:to>
      <xdr:col>21</xdr:col>
      <xdr:colOff>273843</xdr:colOff>
      <xdr:row>42</xdr:row>
      <xdr:rowOff>2096</xdr:rowOff>
    </xdr:to>
    <xdr:sp macro="" textlink="">
      <xdr:nvSpPr>
        <xdr:cNvPr id="242" name="Arrow: Up 241">
          <a:extLst>
            <a:ext uri="{FF2B5EF4-FFF2-40B4-BE49-F238E27FC236}">
              <a16:creationId xmlns:a16="http://schemas.microsoft.com/office/drawing/2014/main" id="{50A96292-ABD8-4079-95D3-E204075639AB}"/>
            </a:ext>
          </a:extLst>
        </xdr:cNvPr>
        <xdr:cNvSpPr/>
      </xdr:nvSpPr>
      <xdr:spPr>
        <a:xfrm>
          <a:off x="129325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130968</xdr:colOff>
      <xdr:row>39</xdr:row>
      <xdr:rowOff>166688</xdr:rowOff>
    </xdr:from>
    <xdr:to>
      <xdr:col>30</xdr:col>
      <xdr:colOff>273843</xdr:colOff>
      <xdr:row>42</xdr:row>
      <xdr:rowOff>2096</xdr:rowOff>
    </xdr:to>
    <xdr:sp macro="" textlink="">
      <xdr:nvSpPr>
        <xdr:cNvPr id="243" name="Arrow: Up 242">
          <a:extLst>
            <a:ext uri="{FF2B5EF4-FFF2-40B4-BE49-F238E27FC236}">
              <a16:creationId xmlns:a16="http://schemas.microsoft.com/office/drawing/2014/main" id="{B9818E97-B5B8-440B-B1D4-1CD071816DCF}"/>
            </a:ext>
          </a:extLst>
        </xdr:cNvPr>
        <xdr:cNvSpPr/>
      </xdr:nvSpPr>
      <xdr:spPr>
        <a:xfrm>
          <a:off x="184189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130969</xdr:colOff>
      <xdr:row>48</xdr:row>
      <xdr:rowOff>166688</xdr:rowOff>
    </xdr:from>
    <xdr:to>
      <xdr:col>36</xdr:col>
      <xdr:colOff>273844</xdr:colOff>
      <xdr:row>51</xdr:row>
      <xdr:rowOff>2096</xdr:rowOff>
    </xdr:to>
    <xdr:sp macro="" textlink="">
      <xdr:nvSpPr>
        <xdr:cNvPr id="244" name="Arrow: Up 243">
          <a:extLst>
            <a:ext uri="{FF2B5EF4-FFF2-40B4-BE49-F238E27FC236}">
              <a16:creationId xmlns:a16="http://schemas.microsoft.com/office/drawing/2014/main" id="{3C85DC18-7AF6-4AC0-B735-49A56400C95C}"/>
            </a:ext>
          </a:extLst>
        </xdr:cNvPr>
        <xdr:cNvSpPr/>
      </xdr:nvSpPr>
      <xdr:spPr>
        <a:xfrm>
          <a:off x="22076569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47625</xdr:colOff>
      <xdr:row>48</xdr:row>
      <xdr:rowOff>166687</xdr:rowOff>
    </xdr:from>
    <xdr:to>
      <xdr:col>39</xdr:col>
      <xdr:colOff>190500</xdr:colOff>
      <xdr:row>51</xdr:row>
      <xdr:rowOff>2095</xdr:rowOff>
    </xdr:to>
    <xdr:sp macro="" textlink="">
      <xdr:nvSpPr>
        <xdr:cNvPr id="245" name="Arrow: Up 244">
          <a:extLst>
            <a:ext uri="{FF2B5EF4-FFF2-40B4-BE49-F238E27FC236}">
              <a16:creationId xmlns:a16="http://schemas.microsoft.com/office/drawing/2014/main" id="{660CADC0-4402-4AB3-9ECC-D3A89915D993}"/>
            </a:ext>
          </a:extLst>
        </xdr:cNvPr>
        <xdr:cNvSpPr/>
      </xdr:nvSpPr>
      <xdr:spPr>
        <a:xfrm>
          <a:off x="23822025" y="8085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226219</xdr:colOff>
      <xdr:row>48</xdr:row>
      <xdr:rowOff>166688</xdr:rowOff>
    </xdr:from>
    <xdr:to>
      <xdr:col>39</xdr:col>
      <xdr:colOff>369094</xdr:colOff>
      <xdr:row>51</xdr:row>
      <xdr:rowOff>2096</xdr:rowOff>
    </xdr:to>
    <xdr:sp macro="" textlink="">
      <xdr:nvSpPr>
        <xdr:cNvPr id="246" name="Arrow: Up 245">
          <a:extLst>
            <a:ext uri="{FF2B5EF4-FFF2-40B4-BE49-F238E27FC236}">
              <a16:creationId xmlns:a16="http://schemas.microsoft.com/office/drawing/2014/main" id="{55F66D4B-B345-4AF9-BE82-0B2E3E296C8E}"/>
            </a:ext>
          </a:extLst>
        </xdr:cNvPr>
        <xdr:cNvSpPr/>
      </xdr:nvSpPr>
      <xdr:spPr>
        <a:xfrm>
          <a:off x="24000619" y="8085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142875</xdr:colOff>
      <xdr:row>57</xdr:row>
      <xdr:rowOff>166688</xdr:rowOff>
    </xdr:from>
    <xdr:to>
      <xdr:col>3</xdr:col>
      <xdr:colOff>285750</xdr:colOff>
      <xdr:row>60</xdr:row>
      <xdr:rowOff>2096</xdr:rowOff>
    </xdr:to>
    <xdr:sp macro="" textlink="">
      <xdr:nvSpPr>
        <xdr:cNvPr id="247" name="Arrow: Up 246">
          <a:extLst>
            <a:ext uri="{FF2B5EF4-FFF2-40B4-BE49-F238E27FC236}">
              <a16:creationId xmlns:a16="http://schemas.microsoft.com/office/drawing/2014/main" id="{1B9A40E8-CD9A-4853-BFCA-972DDF439C1F}"/>
            </a:ext>
          </a:extLst>
        </xdr:cNvPr>
        <xdr:cNvSpPr/>
      </xdr:nvSpPr>
      <xdr:spPr>
        <a:xfrm>
          <a:off x="1971675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130969</xdr:colOff>
      <xdr:row>57</xdr:row>
      <xdr:rowOff>166688</xdr:rowOff>
    </xdr:from>
    <xdr:to>
      <xdr:col>12</xdr:col>
      <xdr:colOff>273844</xdr:colOff>
      <xdr:row>60</xdr:row>
      <xdr:rowOff>2096</xdr:rowOff>
    </xdr:to>
    <xdr:sp macro="" textlink="">
      <xdr:nvSpPr>
        <xdr:cNvPr id="248" name="Arrow: Up 247">
          <a:extLst>
            <a:ext uri="{FF2B5EF4-FFF2-40B4-BE49-F238E27FC236}">
              <a16:creationId xmlns:a16="http://schemas.microsoft.com/office/drawing/2014/main" id="{2131ACBC-A26D-4C2C-B3D5-FB3417729240}"/>
            </a:ext>
          </a:extLst>
        </xdr:cNvPr>
        <xdr:cNvSpPr/>
      </xdr:nvSpPr>
      <xdr:spPr>
        <a:xfrm>
          <a:off x="74461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57</xdr:row>
      <xdr:rowOff>166688</xdr:rowOff>
    </xdr:from>
    <xdr:to>
      <xdr:col>24</xdr:col>
      <xdr:colOff>273844</xdr:colOff>
      <xdr:row>60</xdr:row>
      <xdr:rowOff>2096</xdr:rowOff>
    </xdr:to>
    <xdr:sp macro="" textlink="">
      <xdr:nvSpPr>
        <xdr:cNvPr id="249" name="Arrow: Up 248">
          <a:extLst>
            <a:ext uri="{FF2B5EF4-FFF2-40B4-BE49-F238E27FC236}">
              <a16:creationId xmlns:a16="http://schemas.microsoft.com/office/drawing/2014/main" id="{7901297C-6F28-47D2-8028-E7C4E1794A57}"/>
            </a:ext>
          </a:extLst>
        </xdr:cNvPr>
        <xdr:cNvSpPr/>
      </xdr:nvSpPr>
      <xdr:spPr>
        <a:xfrm>
          <a:off x="147613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57</xdr:row>
      <xdr:rowOff>166687</xdr:rowOff>
    </xdr:from>
    <xdr:to>
      <xdr:col>27</xdr:col>
      <xdr:colOff>178594</xdr:colOff>
      <xdr:row>60</xdr:row>
      <xdr:rowOff>2095</xdr:rowOff>
    </xdr:to>
    <xdr:sp macro="" textlink="">
      <xdr:nvSpPr>
        <xdr:cNvPr id="250" name="Arrow: Up 249">
          <a:extLst>
            <a:ext uri="{FF2B5EF4-FFF2-40B4-BE49-F238E27FC236}">
              <a16:creationId xmlns:a16="http://schemas.microsoft.com/office/drawing/2014/main" id="{4B586A89-A664-439B-B7B6-E853E148AA5F}"/>
            </a:ext>
          </a:extLst>
        </xdr:cNvPr>
        <xdr:cNvSpPr/>
      </xdr:nvSpPr>
      <xdr:spPr>
        <a:xfrm>
          <a:off x="16494919" y="9558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214313</xdr:colOff>
      <xdr:row>57</xdr:row>
      <xdr:rowOff>166688</xdr:rowOff>
    </xdr:from>
    <xdr:to>
      <xdr:col>27</xdr:col>
      <xdr:colOff>357188</xdr:colOff>
      <xdr:row>60</xdr:row>
      <xdr:rowOff>2096</xdr:rowOff>
    </xdr:to>
    <xdr:sp macro="" textlink="">
      <xdr:nvSpPr>
        <xdr:cNvPr id="251" name="Arrow: Up 250">
          <a:extLst>
            <a:ext uri="{FF2B5EF4-FFF2-40B4-BE49-F238E27FC236}">
              <a16:creationId xmlns:a16="http://schemas.microsoft.com/office/drawing/2014/main" id="{2D61B558-CEF6-4062-B94C-801B60667BD7}"/>
            </a:ext>
          </a:extLst>
        </xdr:cNvPr>
        <xdr:cNvSpPr/>
      </xdr:nvSpPr>
      <xdr:spPr>
        <a:xfrm>
          <a:off x="16673513" y="9558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66</xdr:row>
      <xdr:rowOff>166687</xdr:rowOff>
    </xdr:from>
    <xdr:to>
      <xdr:col>27</xdr:col>
      <xdr:colOff>285750</xdr:colOff>
      <xdr:row>69</xdr:row>
      <xdr:rowOff>2095</xdr:rowOff>
    </xdr:to>
    <xdr:sp macro="" textlink="">
      <xdr:nvSpPr>
        <xdr:cNvPr id="252" name="Arrow: Up 251">
          <a:extLst>
            <a:ext uri="{FF2B5EF4-FFF2-40B4-BE49-F238E27FC236}">
              <a16:creationId xmlns:a16="http://schemas.microsoft.com/office/drawing/2014/main" id="{8CB959C5-4E91-463D-BAB3-6798D54BAFF2}"/>
            </a:ext>
          </a:extLst>
        </xdr:cNvPr>
        <xdr:cNvSpPr/>
      </xdr:nvSpPr>
      <xdr:spPr>
        <a:xfrm>
          <a:off x="16602075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66</xdr:row>
      <xdr:rowOff>166688</xdr:rowOff>
    </xdr:from>
    <xdr:to>
      <xdr:col>30</xdr:col>
      <xdr:colOff>285750</xdr:colOff>
      <xdr:row>69</xdr:row>
      <xdr:rowOff>2096</xdr:rowOff>
    </xdr:to>
    <xdr:sp macro="" textlink="">
      <xdr:nvSpPr>
        <xdr:cNvPr id="253" name="Arrow: Up 252">
          <a:extLst>
            <a:ext uri="{FF2B5EF4-FFF2-40B4-BE49-F238E27FC236}">
              <a16:creationId xmlns:a16="http://schemas.microsoft.com/office/drawing/2014/main" id="{75CDE4CE-CAB4-45D7-A28B-99D7E6064B73}"/>
            </a:ext>
          </a:extLst>
        </xdr:cNvPr>
        <xdr:cNvSpPr/>
      </xdr:nvSpPr>
      <xdr:spPr>
        <a:xfrm>
          <a:off x="18430875" y="11031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119062</xdr:colOff>
      <xdr:row>66</xdr:row>
      <xdr:rowOff>166687</xdr:rowOff>
    </xdr:from>
    <xdr:to>
      <xdr:col>33</xdr:col>
      <xdr:colOff>261937</xdr:colOff>
      <xdr:row>69</xdr:row>
      <xdr:rowOff>2095</xdr:rowOff>
    </xdr:to>
    <xdr:sp macro="" textlink="">
      <xdr:nvSpPr>
        <xdr:cNvPr id="254" name="Arrow: Up 253">
          <a:extLst>
            <a:ext uri="{FF2B5EF4-FFF2-40B4-BE49-F238E27FC236}">
              <a16:creationId xmlns:a16="http://schemas.microsoft.com/office/drawing/2014/main" id="{A6349B20-AC86-48D3-9FA7-720F8665C565}"/>
            </a:ext>
          </a:extLst>
        </xdr:cNvPr>
        <xdr:cNvSpPr/>
      </xdr:nvSpPr>
      <xdr:spPr>
        <a:xfrm>
          <a:off x="20235862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66</xdr:row>
      <xdr:rowOff>166688</xdr:rowOff>
    </xdr:from>
    <xdr:to>
      <xdr:col>36</xdr:col>
      <xdr:colOff>285750</xdr:colOff>
      <xdr:row>69</xdr:row>
      <xdr:rowOff>2096</xdr:rowOff>
    </xdr:to>
    <xdr:sp macro="" textlink="">
      <xdr:nvSpPr>
        <xdr:cNvPr id="255" name="Arrow: Up 254">
          <a:extLst>
            <a:ext uri="{FF2B5EF4-FFF2-40B4-BE49-F238E27FC236}">
              <a16:creationId xmlns:a16="http://schemas.microsoft.com/office/drawing/2014/main" id="{F6A75100-3A61-40BE-B6BA-93F80C2660AB}"/>
            </a:ext>
          </a:extLst>
        </xdr:cNvPr>
        <xdr:cNvSpPr/>
      </xdr:nvSpPr>
      <xdr:spPr>
        <a:xfrm>
          <a:off x="22088475" y="11031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75</xdr:row>
      <xdr:rowOff>166687</xdr:rowOff>
    </xdr:from>
    <xdr:to>
      <xdr:col>3</xdr:col>
      <xdr:colOff>261937</xdr:colOff>
      <xdr:row>78</xdr:row>
      <xdr:rowOff>2095</xdr:rowOff>
    </xdr:to>
    <xdr:sp macro="" textlink="">
      <xdr:nvSpPr>
        <xdr:cNvPr id="256" name="Arrow: Up 255">
          <a:extLst>
            <a:ext uri="{FF2B5EF4-FFF2-40B4-BE49-F238E27FC236}">
              <a16:creationId xmlns:a16="http://schemas.microsoft.com/office/drawing/2014/main" id="{6DD0E0D9-7230-4CC6-B34F-DFA0643F3F7E}"/>
            </a:ext>
          </a:extLst>
        </xdr:cNvPr>
        <xdr:cNvSpPr/>
      </xdr:nvSpPr>
      <xdr:spPr>
        <a:xfrm>
          <a:off x="1947862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75</xdr:row>
      <xdr:rowOff>166688</xdr:rowOff>
    </xdr:from>
    <xdr:to>
      <xdr:col>6</xdr:col>
      <xdr:colOff>261938</xdr:colOff>
      <xdr:row>78</xdr:row>
      <xdr:rowOff>2096</xdr:rowOff>
    </xdr:to>
    <xdr:sp macro="" textlink="">
      <xdr:nvSpPr>
        <xdr:cNvPr id="257" name="Arrow: Up 256">
          <a:extLst>
            <a:ext uri="{FF2B5EF4-FFF2-40B4-BE49-F238E27FC236}">
              <a16:creationId xmlns:a16="http://schemas.microsoft.com/office/drawing/2014/main" id="{0446C133-53AE-49F7-A5CD-E61E2927DE74}"/>
            </a:ext>
          </a:extLst>
        </xdr:cNvPr>
        <xdr:cNvSpPr/>
      </xdr:nvSpPr>
      <xdr:spPr>
        <a:xfrm>
          <a:off x="3776663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75</xdr:row>
      <xdr:rowOff>166688</xdr:rowOff>
    </xdr:from>
    <xdr:to>
      <xdr:col>9</xdr:col>
      <xdr:colOff>273844</xdr:colOff>
      <xdr:row>78</xdr:row>
      <xdr:rowOff>2096</xdr:rowOff>
    </xdr:to>
    <xdr:sp macro="" textlink="">
      <xdr:nvSpPr>
        <xdr:cNvPr id="258" name="Arrow: Up 257">
          <a:extLst>
            <a:ext uri="{FF2B5EF4-FFF2-40B4-BE49-F238E27FC236}">
              <a16:creationId xmlns:a16="http://schemas.microsoft.com/office/drawing/2014/main" id="{D8F499C2-9B35-40B5-A092-EB80B1DFAE11}"/>
            </a:ext>
          </a:extLst>
        </xdr:cNvPr>
        <xdr:cNvSpPr/>
      </xdr:nvSpPr>
      <xdr:spPr>
        <a:xfrm>
          <a:off x="56173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75</xdr:row>
      <xdr:rowOff>166688</xdr:rowOff>
    </xdr:from>
    <xdr:to>
      <xdr:col>12</xdr:col>
      <xdr:colOff>178594</xdr:colOff>
      <xdr:row>78</xdr:row>
      <xdr:rowOff>2096</xdr:rowOff>
    </xdr:to>
    <xdr:sp macro="" textlink="">
      <xdr:nvSpPr>
        <xdr:cNvPr id="259" name="Arrow: Up 258">
          <a:extLst>
            <a:ext uri="{FF2B5EF4-FFF2-40B4-BE49-F238E27FC236}">
              <a16:creationId xmlns:a16="http://schemas.microsoft.com/office/drawing/2014/main" id="{D2D54B3A-1388-40F9-8130-F3174172588F}"/>
            </a:ext>
          </a:extLst>
        </xdr:cNvPr>
        <xdr:cNvSpPr/>
      </xdr:nvSpPr>
      <xdr:spPr>
        <a:xfrm>
          <a:off x="735091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190500</xdr:colOff>
      <xdr:row>75</xdr:row>
      <xdr:rowOff>166688</xdr:rowOff>
    </xdr:from>
    <xdr:to>
      <xdr:col>12</xdr:col>
      <xdr:colOff>333375</xdr:colOff>
      <xdr:row>78</xdr:row>
      <xdr:rowOff>2096</xdr:rowOff>
    </xdr:to>
    <xdr:sp macro="" textlink="">
      <xdr:nvSpPr>
        <xdr:cNvPr id="260" name="Arrow: Up 259">
          <a:extLst>
            <a:ext uri="{FF2B5EF4-FFF2-40B4-BE49-F238E27FC236}">
              <a16:creationId xmlns:a16="http://schemas.microsoft.com/office/drawing/2014/main" id="{F1A5EC3A-4EB9-4BC8-9000-F788922C4647}"/>
            </a:ext>
          </a:extLst>
        </xdr:cNvPr>
        <xdr:cNvSpPr/>
      </xdr:nvSpPr>
      <xdr:spPr>
        <a:xfrm>
          <a:off x="7505700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142875</xdr:colOff>
      <xdr:row>75</xdr:row>
      <xdr:rowOff>166688</xdr:rowOff>
    </xdr:from>
    <xdr:to>
      <xdr:col>15</xdr:col>
      <xdr:colOff>285750</xdr:colOff>
      <xdr:row>78</xdr:row>
      <xdr:rowOff>2096</xdr:rowOff>
    </xdr:to>
    <xdr:sp macro="" textlink="">
      <xdr:nvSpPr>
        <xdr:cNvPr id="261" name="Arrow: Up 260">
          <a:extLst>
            <a:ext uri="{FF2B5EF4-FFF2-40B4-BE49-F238E27FC236}">
              <a16:creationId xmlns:a16="http://schemas.microsoft.com/office/drawing/2014/main" id="{287B4A1B-73DF-4CE1-A694-1C3F97F7A6F8}"/>
            </a:ext>
          </a:extLst>
        </xdr:cNvPr>
        <xdr:cNvSpPr/>
      </xdr:nvSpPr>
      <xdr:spPr>
        <a:xfrm>
          <a:off x="9286875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142875</xdr:colOff>
      <xdr:row>75</xdr:row>
      <xdr:rowOff>166688</xdr:rowOff>
    </xdr:from>
    <xdr:to>
      <xdr:col>18</xdr:col>
      <xdr:colOff>285750</xdr:colOff>
      <xdr:row>78</xdr:row>
      <xdr:rowOff>2096</xdr:rowOff>
    </xdr:to>
    <xdr:sp macro="" textlink="">
      <xdr:nvSpPr>
        <xdr:cNvPr id="262" name="Arrow: Up 261">
          <a:extLst>
            <a:ext uri="{FF2B5EF4-FFF2-40B4-BE49-F238E27FC236}">
              <a16:creationId xmlns:a16="http://schemas.microsoft.com/office/drawing/2014/main" id="{15AC9EF7-7799-44C7-87C0-F536B4E35102}"/>
            </a:ext>
          </a:extLst>
        </xdr:cNvPr>
        <xdr:cNvSpPr/>
      </xdr:nvSpPr>
      <xdr:spPr>
        <a:xfrm>
          <a:off x="11115675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75</xdr:row>
      <xdr:rowOff>166688</xdr:rowOff>
    </xdr:from>
    <xdr:to>
      <xdr:col>21</xdr:col>
      <xdr:colOff>273844</xdr:colOff>
      <xdr:row>78</xdr:row>
      <xdr:rowOff>2096</xdr:rowOff>
    </xdr:to>
    <xdr:sp macro="" textlink="">
      <xdr:nvSpPr>
        <xdr:cNvPr id="263" name="Arrow: Up 262">
          <a:extLst>
            <a:ext uri="{FF2B5EF4-FFF2-40B4-BE49-F238E27FC236}">
              <a16:creationId xmlns:a16="http://schemas.microsoft.com/office/drawing/2014/main" id="{AD00381A-605F-43D6-BD73-F94D7EB68A13}"/>
            </a:ext>
          </a:extLst>
        </xdr:cNvPr>
        <xdr:cNvSpPr/>
      </xdr:nvSpPr>
      <xdr:spPr>
        <a:xfrm>
          <a:off x="129325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75</xdr:row>
      <xdr:rowOff>166688</xdr:rowOff>
    </xdr:from>
    <xdr:to>
      <xdr:col>24</xdr:col>
      <xdr:colOff>273844</xdr:colOff>
      <xdr:row>78</xdr:row>
      <xdr:rowOff>2096</xdr:rowOff>
    </xdr:to>
    <xdr:sp macro="" textlink="">
      <xdr:nvSpPr>
        <xdr:cNvPr id="264" name="Arrow: Up 263">
          <a:extLst>
            <a:ext uri="{FF2B5EF4-FFF2-40B4-BE49-F238E27FC236}">
              <a16:creationId xmlns:a16="http://schemas.microsoft.com/office/drawing/2014/main" id="{3349C3AA-78EE-4B61-8C90-D711CFD9A833}"/>
            </a:ext>
          </a:extLst>
        </xdr:cNvPr>
        <xdr:cNvSpPr/>
      </xdr:nvSpPr>
      <xdr:spPr>
        <a:xfrm>
          <a:off x="1476136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75</xdr:row>
      <xdr:rowOff>166687</xdr:rowOff>
    </xdr:from>
    <xdr:to>
      <xdr:col>27</xdr:col>
      <xdr:colOff>285750</xdr:colOff>
      <xdr:row>78</xdr:row>
      <xdr:rowOff>2095</xdr:rowOff>
    </xdr:to>
    <xdr:sp macro="" textlink="">
      <xdr:nvSpPr>
        <xdr:cNvPr id="265" name="Arrow: Up 264">
          <a:extLst>
            <a:ext uri="{FF2B5EF4-FFF2-40B4-BE49-F238E27FC236}">
              <a16:creationId xmlns:a16="http://schemas.microsoft.com/office/drawing/2014/main" id="{A20B09DE-93FA-4DCC-84CD-069FB18E786B}"/>
            </a:ext>
          </a:extLst>
        </xdr:cNvPr>
        <xdr:cNvSpPr/>
      </xdr:nvSpPr>
      <xdr:spPr>
        <a:xfrm>
          <a:off x="16602075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84</xdr:row>
      <xdr:rowOff>166688</xdr:rowOff>
    </xdr:from>
    <xdr:to>
      <xdr:col>6</xdr:col>
      <xdr:colOff>273844</xdr:colOff>
      <xdr:row>87</xdr:row>
      <xdr:rowOff>2096</xdr:rowOff>
    </xdr:to>
    <xdr:sp macro="" textlink="">
      <xdr:nvSpPr>
        <xdr:cNvPr id="266" name="Arrow: Up 265">
          <a:extLst>
            <a:ext uri="{FF2B5EF4-FFF2-40B4-BE49-F238E27FC236}">
              <a16:creationId xmlns:a16="http://schemas.microsoft.com/office/drawing/2014/main" id="{402B27B5-D408-4DB1-AB38-2DE137F616B5}"/>
            </a:ext>
          </a:extLst>
        </xdr:cNvPr>
        <xdr:cNvSpPr/>
      </xdr:nvSpPr>
      <xdr:spPr>
        <a:xfrm>
          <a:off x="37885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142875</xdr:colOff>
      <xdr:row>84</xdr:row>
      <xdr:rowOff>166687</xdr:rowOff>
    </xdr:from>
    <xdr:to>
      <xdr:col>9</xdr:col>
      <xdr:colOff>285750</xdr:colOff>
      <xdr:row>87</xdr:row>
      <xdr:rowOff>2095</xdr:rowOff>
    </xdr:to>
    <xdr:sp macro="" textlink="">
      <xdr:nvSpPr>
        <xdr:cNvPr id="267" name="Arrow: Up 266">
          <a:extLst>
            <a:ext uri="{FF2B5EF4-FFF2-40B4-BE49-F238E27FC236}">
              <a16:creationId xmlns:a16="http://schemas.microsoft.com/office/drawing/2014/main" id="{056EC46B-D57B-4D79-9A10-265D7ACF1B48}"/>
            </a:ext>
          </a:extLst>
        </xdr:cNvPr>
        <xdr:cNvSpPr/>
      </xdr:nvSpPr>
      <xdr:spPr>
        <a:xfrm>
          <a:off x="562927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142875</xdr:colOff>
      <xdr:row>84</xdr:row>
      <xdr:rowOff>166688</xdr:rowOff>
    </xdr:from>
    <xdr:to>
      <xdr:col>12</xdr:col>
      <xdr:colOff>285751</xdr:colOff>
      <xdr:row>87</xdr:row>
      <xdr:rowOff>1713</xdr:rowOff>
    </xdr:to>
    <xdr:sp macro="" textlink="">
      <xdr:nvSpPr>
        <xdr:cNvPr id="268" name="Arrow: Up-Down 267">
          <a:extLst>
            <a:ext uri="{FF2B5EF4-FFF2-40B4-BE49-F238E27FC236}">
              <a16:creationId xmlns:a16="http://schemas.microsoft.com/office/drawing/2014/main" id="{B90CCBFE-63D2-405C-9C16-CFD7F42F6040}"/>
            </a:ext>
          </a:extLst>
        </xdr:cNvPr>
        <xdr:cNvSpPr/>
      </xdr:nvSpPr>
      <xdr:spPr>
        <a:xfrm>
          <a:off x="7458075" y="13977938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47625</xdr:colOff>
      <xdr:row>84</xdr:row>
      <xdr:rowOff>166687</xdr:rowOff>
    </xdr:from>
    <xdr:to>
      <xdr:col>21</xdr:col>
      <xdr:colOff>190500</xdr:colOff>
      <xdr:row>87</xdr:row>
      <xdr:rowOff>2095</xdr:rowOff>
    </xdr:to>
    <xdr:sp macro="" textlink="">
      <xdr:nvSpPr>
        <xdr:cNvPr id="269" name="Arrow: Up 268">
          <a:extLst>
            <a:ext uri="{FF2B5EF4-FFF2-40B4-BE49-F238E27FC236}">
              <a16:creationId xmlns:a16="http://schemas.microsoft.com/office/drawing/2014/main" id="{455F2B84-A9D7-481D-9890-717A19E8CC75}"/>
            </a:ext>
          </a:extLst>
        </xdr:cNvPr>
        <xdr:cNvSpPr/>
      </xdr:nvSpPr>
      <xdr:spPr>
        <a:xfrm>
          <a:off x="1284922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214312</xdr:colOff>
      <xdr:row>84</xdr:row>
      <xdr:rowOff>166687</xdr:rowOff>
    </xdr:from>
    <xdr:to>
      <xdr:col>21</xdr:col>
      <xdr:colOff>357187</xdr:colOff>
      <xdr:row>87</xdr:row>
      <xdr:rowOff>2095</xdr:rowOff>
    </xdr:to>
    <xdr:sp macro="" textlink="">
      <xdr:nvSpPr>
        <xdr:cNvPr id="270" name="Arrow: Up 269">
          <a:extLst>
            <a:ext uri="{FF2B5EF4-FFF2-40B4-BE49-F238E27FC236}">
              <a16:creationId xmlns:a16="http://schemas.microsoft.com/office/drawing/2014/main" id="{DAD45F50-1ADD-40A5-9885-527D84B08D47}"/>
            </a:ext>
          </a:extLst>
        </xdr:cNvPr>
        <xdr:cNvSpPr/>
      </xdr:nvSpPr>
      <xdr:spPr>
        <a:xfrm>
          <a:off x="13015912" y="139779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84</xdr:row>
      <xdr:rowOff>166688</xdr:rowOff>
    </xdr:from>
    <xdr:to>
      <xdr:col>30</xdr:col>
      <xdr:colOff>285750</xdr:colOff>
      <xdr:row>87</xdr:row>
      <xdr:rowOff>2096</xdr:rowOff>
    </xdr:to>
    <xdr:sp macro="" textlink="">
      <xdr:nvSpPr>
        <xdr:cNvPr id="271" name="Arrow: Up 270">
          <a:extLst>
            <a:ext uri="{FF2B5EF4-FFF2-40B4-BE49-F238E27FC236}">
              <a16:creationId xmlns:a16="http://schemas.microsoft.com/office/drawing/2014/main" id="{92169788-BEC4-46E9-86A6-9380ECA2D9BC}"/>
            </a:ext>
          </a:extLst>
        </xdr:cNvPr>
        <xdr:cNvSpPr/>
      </xdr:nvSpPr>
      <xdr:spPr>
        <a:xfrm>
          <a:off x="18430875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130969</xdr:colOff>
      <xdr:row>84</xdr:row>
      <xdr:rowOff>166688</xdr:rowOff>
    </xdr:from>
    <xdr:to>
      <xdr:col>33</xdr:col>
      <xdr:colOff>273844</xdr:colOff>
      <xdr:row>87</xdr:row>
      <xdr:rowOff>2096</xdr:rowOff>
    </xdr:to>
    <xdr:sp macro="" textlink="">
      <xdr:nvSpPr>
        <xdr:cNvPr id="272" name="Arrow: Up 271">
          <a:extLst>
            <a:ext uri="{FF2B5EF4-FFF2-40B4-BE49-F238E27FC236}">
              <a16:creationId xmlns:a16="http://schemas.microsoft.com/office/drawing/2014/main" id="{2ECA537A-863C-4510-99A1-12B9D430CF2C}"/>
            </a:ext>
          </a:extLst>
        </xdr:cNvPr>
        <xdr:cNvSpPr/>
      </xdr:nvSpPr>
      <xdr:spPr>
        <a:xfrm>
          <a:off x="202477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84</xdr:row>
      <xdr:rowOff>166687</xdr:rowOff>
    </xdr:from>
    <xdr:to>
      <xdr:col>39</xdr:col>
      <xdr:colOff>273844</xdr:colOff>
      <xdr:row>87</xdr:row>
      <xdr:rowOff>2095</xdr:rowOff>
    </xdr:to>
    <xdr:sp macro="" textlink="">
      <xdr:nvSpPr>
        <xdr:cNvPr id="273" name="Arrow: Up 272">
          <a:extLst>
            <a:ext uri="{FF2B5EF4-FFF2-40B4-BE49-F238E27FC236}">
              <a16:creationId xmlns:a16="http://schemas.microsoft.com/office/drawing/2014/main" id="{290D66E6-612A-424A-96EA-4136C699A04D}"/>
            </a:ext>
          </a:extLst>
        </xdr:cNvPr>
        <xdr:cNvSpPr/>
      </xdr:nvSpPr>
      <xdr:spPr>
        <a:xfrm>
          <a:off x="23905369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93</xdr:row>
      <xdr:rowOff>166688</xdr:rowOff>
    </xdr:from>
    <xdr:to>
      <xdr:col>3</xdr:col>
      <xdr:colOff>273843</xdr:colOff>
      <xdr:row>96</xdr:row>
      <xdr:rowOff>2096</xdr:rowOff>
    </xdr:to>
    <xdr:sp macro="" textlink="">
      <xdr:nvSpPr>
        <xdr:cNvPr id="274" name="Arrow: Up 273">
          <a:extLst>
            <a:ext uri="{FF2B5EF4-FFF2-40B4-BE49-F238E27FC236}">
              <a16:creationId xmlns:a16="http://schemas.microsoft.com/office/drawing/2014/main" id="{901FFEFB-87C9-484D-8154-AA473F249E87}"/>
            </a:ext>
          </a:extLst>
        </xdr:cNvPr>
        <xdr:cNvSpPr/>
      </xdr:nvSpPr>
      <xdr:spPr>
        <a:xfrm>
          <a:off x="1959768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93</xdr:row>
      <xdr:rowOff>178593</xdr:rowOff>
    </xdr:from>
    <xdr:to>
      <xdr:col>6</xdr:col>
      <xdr:colOff>261938</xdr:colOff>
      <xdr:row>96</xdr:row>
      <xdr:rowOff>14001</xdr:rowOff>
    </xdr:to>
    <xdr:sp macro="" textlink="">
      <xdr:nvSpPr>
        <xdr:cNvPr id="275" name="Arrow: Up 274">
          <a:extLst>
            <a:ext uri="{FF2B5EF4-FFF2-40B4-BE49-F238E27FC236}">
              <a16:creationId xmlns:a16="http://schemas.microsoft.com/office/drawing/2014/main" id="{F38E0FF6-6916-4743-91E9-B06EB5C69640}"/>
            </a:ext>
          </a:extLst>
        </xdr:cNvPr>
        <xdr:cNvSpPr/>
      </xdr:nvSpPr>
      <xdr:spPr>
        <a:xfrm>
          <a:off x="3776663" y="15463043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35718</xdr:colOff>
      <xdr:row>93</xdr:row>
      <xdr:rowOff>166688</xdr:rowOff>
    </xdr:from>
    <xdr:to>
      <xdr:col>15</xdr:col>
      <xdr:colOff>178593</xdr:colOff>
      <xdr:row>96</xdr:row>
      <xdr:rowOff>2096</xdr:rowOff>
    </xdr:to>
    <xdr:sp macro="" textlink="">
      <xdr:nvSpPr>
        <xdr:cNvPr id="276" name="Arrow: Up 275">
          <a:extLst>
            <a:ext uri="{FF2B5EF4-FFF2-40B4-BE49-F238E27FC236}">
              <a16:creationId xmlns:a16="http://schemas.microsoft.com/office/drawing/2014/main" id="{2E16EA03-0368-4691-A5E7-809DDBAB9EF1}"/>
            </a:ext>
          </a:extLst>
        </xdr:cNvPr>
        <xdr:cNvSpPr/>
      </xdr:nvSpPr>
      <xdr:spPr>
        <a:xfrm>
          <a:off x="9179718" y="15451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214313</xdr:colOff>
      <xdr:row>93</xdr:row>
      <xdr:rowOff>166687</xdr:rowOff>
    </xdr:from>
    <xdr:to>
      <xdr:col>15</xdr:col>
      <xdr:colOff>357188</xdr:colOff>
      <xdr:row>96</xdr:row>
      <xdr:rowOff>2095</xdr:rowOff>
    </xdr:to>
    <xdr:sp macro="" textlink="">
      <xdr:nvSpPr>
        <xdr:cNvPr id="277" name="Arrow: Up 276">
          <a:extLst>
            <a:ext uri="{FF2B5EF4-FFF2-40B4-BE49-F238E27FC236}">
              <a16:creationId xmlns:a16="http://schemas.microsoft.com/office/drawing/2014/main" id="{1562750E-5C15-452F-A426-570B576EF156}"/>
            </a:ext>
          </a:extLst>
        </xdr:cNvPr>
        <xdr:cNvSpPr/>
      </xdr:nvSpPr>
      <xdr:spPr>
        <a:xfrm>
          <a:off x="9358313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119063</xdr:colOff>
      <xdr:row>93</xdr:row>
      <xdr:rowOff>178594</xdr:rowOff>
    </xdr:from>
    <xdr:to>
      <xdr:col>24</xdr:col>
      <xdr:colOff>261938</xdr:colOff>
      <xdr:row>96</xdr:row>
      <xdr:rowOff>14002</xdr:rowOff>
    </xdr:to>
    <xdr:sp macro="" textlink="">
      <xdr:nvSpPr>
        <xdr:cNvPr id="278" name="Arrow: Up 277">
          <a:extLst>
            <a:ext uri="{FF2B5EF4-FFF2-40B4-BE49-F238E27FC236}">
              <a16:creationId xmlns:a16="http://schemas.microsoft.com/office/drawing/2014/main" id="{AE405D1F-F542-4521-A96F-91311860A029}"/>
            </a:ext>
          </a:extLst>
        </xdr:cNvPr>
        <xdr:cNvSpPr/>
      </xdr:nvSpPr>
      <xdr:spPr>
        <a:xfrm>
          <a:off x="14749463" y="154630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93</xdr:row>
      <xdr:rowOff>178593</xdr:rowOff>
    </xdr:from>
    <xdr:to>
      <xdr:col>27</xdr:col>
      <xdr:colOff>285750</xdr:colOff>
      <xdr:row>96</xdr:row>
      <xdr:rowOff>14001</xdr:rowOff>
    </xdr:to>
    <xdr:sp macro="" textlink="">
      <xdr:nvSpPr>
        <xdr:cNvPr id="279" name="Arrow: Up 278">
          <a:extLst>
            <a:ext uri="{FF2B5EF4-FFF2-40B4-BE49-F238E27FC236}">
              <a16:creationId xmlns:a16="http://schemas.microsoft.com/office/drawing/2014/main" id="{3F2FBFEE-DE19-48B1-A324-4033C686E374}"/>
            </a:ext>
          </a:extLst>
        </xdr:cNvPr>
        <xdr:cNvSpPr/>
      </xdr:nvSpPr>
      <xdr:spPr>
        <a:xfrm>
          <a:off x="16602075" y="15463043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93</xdr:row>
      <xdr:rowOff>178594</xdr:rowOff>
    </xdr:from>
    <xdr:to>
      <xdr:col>30</xdr:col>
      <xdr:colOff>285751</xdr:colOff>
      <xdr:row>96</xdr:row>
      <xdr:rowOff>13619</xdr:rowOff>
    </xdr:to>
    <xdr:sp macro="" textlink="">
      <xdr:nvSpPr>
        <xdr:cNvPr id="280" name="Arrow: Up-Down 279">
          <a:extLst>
            <a:ext uri="{FF2B5EF4-FFF2-40B4-BE49-F238E27FC236}">
              <a16:creationId xmlns:a16="http://schemas.microsoft.com/office/drawing/2014/main" id="{F4AB3876-3AC5-438B-8AA9-434BD7F72768}"/>
            </a:ext>
          </a:extLst>
        </xdr:cNvPr>
        <xdr:cNvSpPr/>
      </xdr:nvSpPr>
      <xdr:spPr>
        <a:xfrm>
          <a:off x="18430875" y="15463044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93</xdr:row>
      <xdr:rowOff>166688</xdr:rowOff>
    </xdr:from>
    <xdr:to>
      <xdr:col>39</xdr:col>
      <xdr:colOff>285750</xdr:colOff>
      <xdr:row>96</xdr:row>
      <xdr:rowOff>2096</xdr:rowOff>
    </xdr:to>
    <xdr:sp macro="" textlink="">
      <xdr:nvSpPr>
        <xdr:cNvPr id="281" name="Arrow: Up 280">
          <a:extLst>
            <a:ext uri="{FF2B5EF4-FFF2-40B4-BE49-F238E27FC236}">
              <a16:creationId xmlns:a16="http://schemas.microsoft.com/office/drawing/2014/main" id="{993040DE-CE02-4413-8A01-8E56384B3FAA}"/>
            </a:ext>
          </a:extLst>
        </xdr:cNvPr>
        <xdr:cNvSpPr/>
      </xdr:nvSpPr>
      <xdr:spPr>
        <a:xfrm>
          <a:off x="23917275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102</xdr:row>
      <xdr:rowOff>166688</xdr:rowOff>
    </xdr:from>
    <xdr:to>
      <xdr:col>3</xdr:col>
      <xdr:colOff>261937</xdr:colOff>
      <xdr:row>105</xdr:row>
      <xdr:rowOff>2096</xdr:rowOff>
    </xdr:to>
    <xdr:sp macro="" textlink="">
      <xdr:nvSpPr>
        <xdr:cNvPr id="282" name="Arrow: Up 281">
          <a:extLst>
            <a:ext uri="{FF2B5EF4-FFF2-40B4-BE49-F238E27FC236}">
              <a16:creationId xmlns:a16="http://schemas.microsoft.com/office/drawing/2014/main" id="{20069652-A588-440B-BAE3-C8DD75CA77A9}"/>
            </a:ext>
          </a:extLst>
        </xdr:cNvPr>
        <xdr:cNvSpPr/>
      </xdr:nvSpPr>
      <xdr:spPr>
        <a:xfrm>
          <a:off x="1947862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130968</xdr:colOff>
      <xdr:row>102</xdr:row>
      <xdr:rowOff>166688</xdr:rowOff>
    </xdr:from>
    <xdr:to>
      <xdr:col>18</xdr:col>
      <xdr:colOff>273843</xdr:colOff>
      <xdr:row>105</xdr:row>
      <xdr:rowOff>2096</xdr:rowOff>
    </xdr:to>
    <xdr:sp macro="" textlink="">
      <xdr:nvSpPr>
        <xdr:cNvPr id="283" name="Arrow: Up 282">
          <a:extLst>
            <a:ext uri="{FF2B5EF4-FFF2-40B4-BE49-F238E27FC236}">
              <a16:creationId xmlns:a16="http://schemas.microsoft.com/office/drawing/2014/main" id="{FB96F9C6-A36D-4B83-8D95-DB673119AF12}"/>
            </a:ext>
          </a:extLst>
        </xdr:cNvPr>
        <xdr:cNvSpPr/>
      </xdr:nvSpPr>
      <xdr:spPr>
        <a:xfrm>
          <a:off x="1110376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102</xdr:row>
      <xdr:rowOff>178594</xdr:rowOff>
    </xdr:from>
    <xdr:to>
      <xdr:col>21</xdr:col>
      <xdr:colOff>273844</xdr:colOff>
      <xdr:row>105</xdr:row>
      <xdr:rowOff>14002</xdr:rowOff>
    </xdr:to>
    <xdr:sp macro="" textlink="">
      <xdr:nvSpPr>
        <xdr:cNvPr id="284" name="Arrow: Up 283">
          <a:extLst>
            <a:ext uri="{FF2B5EF4-FFF2-40B4-BE49-F238E27FC236}">
              <a16:creationId xmlns:a16="http://schemas.microsoft.com/office/drawing/2014/main" id="{8A3413FE-8243-464C-BE7A-06571DE5764A}"/>
            </a:ext>
          </a:extLst>
        </xdr:cNvPr>
        <xdr:cNvSpPr/>
      </xdr:nvSpPr>
      <xdr:spPr>
        <a:xfrm>
          <a:off x="12932569" y="169362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35718</xdr:colOff>
      <xdr:row>102</xdr:row>
      <xdr:rowOff>166688</xdr:rowOff>
    </xdr:from>
    <xdr:to>
      <xdr:col>24</xdr:col>
      <xdr:colOff>178593</xdr:colOff>
      <xdr:row>105</xdr:row>
      <xdr:rowOff>2096</xdr:rowOff>
    </xdr:to>
    <xdr:sp macro="" textlink="">
      <xdr:nvSpPr>
        <xdr:cNvPr id="285" name="Arrow: Up 284">
          <a:extLst>
            <a:ext uri="{FF2B5EF4-FFF2-40B4-BE49-F238E27FC236}">
              <a16:creationId xmlns:a16="http://schemas.microsoft.com/office/drawing/2014/main" id="{2E2337E9-E417-4B7B-8347-9040F68F905D}"/>
            </a:ext>
          </a:extLst>
        </xdr:cNvPr>
        <xdr:cNvSpPr/>
      </xdr:nvSpPr>
      <xdr:spPr>
        <a:xfrm>
          <a:off x="1466611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202406</xdr:colOff>
      <xdr:row>102</xdr:row>
      <xdr:rowOff>166688</xdr:rowOff>
    </xdr:from>
    <xdr:to>
      <xdr:col>24</xdr:col>
      <xdr:colOff>345281</xdr:colOff>
      <xdr:row>105</xdr:row>
      <xdr:rowOff>2096</xdr:rowOff>
    </xdr:to>
    <xdr:sp macro="" textlink="">
      <xdr:nvSpPr>
        <xdr:cNvPr id="286" name="Arrow: Up 285">
          <a:extLst>
            <a:ext uri="{FF2B5EF4-FFF2-40B4-BE49-F238E27FC236}">
              <a16:creationId xmlns:a16="http://schemas.microsoft.com/office/drawing/2014/main" id="{E51D6669-BCAD-4852-9064-6DE8055BDC0A}"/>
            </a:ext>
          </a:extLst>
        </xdr:cNvPr>
        <xdr:cNvSpPr/>
      </xdr:nvSpPr>
      <xdr:spPr>
        <a:xfrm>
          <a:off x="14832806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119063</xdr:colOff>
      <xdr:row>102</xdr:row>
      <xdr:rowOff>166688</xdr:rowOff>
    </xdr:from>
    <xdr:to>
      <xdr:col>27</xdr:col>
      <xdr:colOff>261938</xdr:colOff>
      <xdr:row>105</xdr:row>
      <xdr:rowOff>2096</xdr:rowOff>
    </xdr:to>
    <xdr:sp macro="" textlink="">
      <xdr:nvSpPr>
        <xdr:cNvPr id="287" name="Arrow: Up 286">
          <a:extLst>
            <a:ext uri="{FF2B5EF4-FFF2-40B4-BE49-F238E27FC236}">
              <a16:creationId xmlns:a16="http://schemas.microsoft.com/office/drawing/2014/main" id="{645927A8-A22F-4A28-930E-D777415A67F6}"/>
            </a:ext>
          </a:extLst>
        </xdr:cNvPr>
        <xdr:cNvSpPr/>
      </xdr:nvSpPr>
      <xdr:spPr>
        <a:xfrm>
          <a:off x="16578263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119063</xdr:colOff>
      <xdr:row>102</xdr:row>
      <xdr:rowOff>166687</xdr:rowOff>
    </xdr:from>
    <xdr:to>
      <xdr:col>30</xdr:col>
      <xdr:colOff>261938</xdr:colOff>
      <xdr:row>105</xdr:row>
      <xdr:rowOff>2095</xdr:rowOff>
    </xdr:to>
    <xdr:sp macro="" textlink="">
      <xdr:nvSpPr>
        <xdr:cNvPr id="288" name="Arrow: Up 287">
          <a:extLst>
            <a:ext uri="{FF2B5EF4-FFF2-40B4-BE49-F238E27FC236}">
              <a16:creationId xmlns:a16="http://schemas.microsoft.com/office/drawing/2014/main" id="{B9C0E5E4-0F97-407B-84F6-49C8E6332246}"/>
            </a:ext>
          </a:extLst>
        </xdr:cNvPr>
        <xdr:cNvSpPr/>
      </xdr:nvSpPr>
      <xdr:spPr>
        <a:xfrm>
          <a:off x="18407063" y="16924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102</xdr:row>
      <xdr:rowOff>166688</xdr:rowOff>
    </xdr:from>
    <xdr:to>
      <xdr:col>39</xdr:col>
      <xdr:colOff>285750</xdr:colOff>
      <xdr:row>105</xdr:row>
      <xdr:rowOff>2096</xdr:rowOff>
    </xdr:to>
    <xdr:sp macro="" textlink="">
      <xdr:nvSpPr>
        <xdr:cNvPr id="289" name="Arrow: Up 288">
          <a:extLst>
            <a:ext uri="{FF2B5EF4-FFF2-40B4-BE49-F238E27FC236}">
              <a16:creationId xmlns:a16="http://schemas.microsoft.com/office/drawing/2014/main" id="{E9C8EE88-6C0B-429F-B883-16BD0420E1CD}"/>
            </a:ext>
          </a:extLst>
        </xdr:cNvPr>
        <xdr:cNvSpPr/>
      </xdr:nvSpPr>
      <xdr:spPr>
        <a:xfrm>
          <a:off x="23917275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111</xdr:row>
      <xdr:rowOff>166688</xdr:rowOff>
    </xdr:from>
    <xdr:to>
      <xdr:col>6</xdr:col>
      <xdr:colOff>273844</xdr:colOff>
      <xdr:row>114</xdr:row>
      <xdr:rowOff>2096</xdr:rowOff>
    </xdr:to>
    <xdr:sp macro="" textlink="">
      <xdr:nvSpPr>
        <xdr:cNvPr id="290" name="Arrow: Up 289">
          <a:extLst>
            <a:ext uri="{FF2B5EF4-FFF2-40B4-BE49-F238E27FC236}">
              <a16:creationId xmlns:a16="http://schemas.microsoft.com/office/drawing/2014/main" id="{F81B3305-AB52-4ECA-9B3D-13587875E37A}"/>
            </a:ext>
          </a:extLst>
        </xdr:cNvPr>
        <xdr:cNvSpPr/>
      </xdr:nvSpPr>
      <xdr:spPr>
        <a:xfrm>
          <a:off x="3788569" y="18397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111</xdr:row>
      <xdr:rowOff>166688</xdr:rowOff>
    </xdr:from>
    <xdr:to>
      <xdr:col>3</xdr:col>
      <xdr:colOff>261937</xdr:colOff>
      <xdr:row>114</xdr:row>
      <xdr:rowOff>2096</xdr:rowOff>
    </xdr:to>
    <xdr:sp macro="" textlink="">
      <xdr:nvSpPr>
        <xdr:cNvPr id="291" name="Arrow: Up 290">
          <a:extLst>
            <a:ext uri="{FF2B5EF4-FFF2-40B4-BE49-F238E27FC236}">
              <a16:creationId xmlns:a16="http://schemas.microsoft.com/office/drawing/2014/main" id="{23E89DF6-385A-4E45-9CB7-5606D740CD5E}"/>
            </a:ext>
          </a:extLst>
        </xdr:cNvPr>
        <xdr:cNvSpPr/>
      </xdr:nvSpPr>
      <xdr:spPr>
        <a:xfrm>
          <a:off x="19478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183173</xdr:rowOff>
    </xdr:to>
    <xdr:sp macro="" textlink="">
      <xdr:nvSpPr>
        <xdr:cNvPr id="292" name="Isosceles Triangle 291">
          <a:extLst>
            <a:ext uri="{FF2B5EF4-FFF2-40B4-BE49-F238E27FC236}">
              <a16:creationId xmlns:a16="http://schemas.microsoft.com/office/drawing/2014/main" id="{426766D2-14B4-4F15-8016-06312D4B5013}"/>
            </a:ext>
          </a:extLst>
        </xdr:cNvPr>
        <xdr:cNvSpPr/>
      </xdr:nvSpPr>
      <xdr:spPr>
        <a:xfrm>
          <a:off x="152400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256443</xdr:colOff>
      <xdr:row>120</xdr:row>
      <xdr:rowOff>183173</xdr:rowOff>
    </xdr:to>
    <xdr:sp macro="" textlink="">
      <xdr:nvSpPr>
        <xdr:cNvPr id="293" name="Isosceles Triangle 292">
          <a:extLst>
            <a:ext uri="{FF2B5EF4-FFF2-40B4-BE49-F238E27FC236}">
              <a16:creationId xmlns:a16="http://schemas.microsoft.com/office/drawing/2014/main" id="{470E1D2E-8486-45C8-80AE-CD065C54B797}"/>
            </a:ext>
          </a:extLst>
        </xdr:cNvPr>
        <xdr:cNvSpPr/>
      </xdr:nvSpPr>
      <xdr:spPr>
        <a:xfrm>
          <a:off x="17068800" y="19519900"/>
          <a:ext cx="8660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119</xdr:row>
      <xdr:rowOff>0</xdr:rowOff>
    </xdr:from>
    <xdr:to>
      <xdr:col>32</xdr:col>
      <xdr:colOff>256443</xdr:colOff>
      <xdr:row>120</xdr:row>
      <xdr:rowOff>183173</xdr:rowOff>
    </xdr:to>
    <xdr:sp macro="" textlink="">
      <xdr:nvSpPr>
        <xdr:cNvPr id="294" name="Isosceles Triangle 293">
          <a:extLst>
            <a:ext uri="{FF2B5EF4-FFF2-40B4-BE49-F238E27FC236}">
              <a16:creationId xmlns:a16="http://schemas.microsoft.com/office/drawing/2014/main" id="{3B095014-7A85-492A-9F69-DB3907BAB788}"/>
            </a:ext>
          </a:extLst>
        </xdr:cNvPr>
        <xdr:cNvSpPr/>
      </xdr:nvSpPr>
      <xdr:spPr>
        <a:xfrm>
          <a:off x="188976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119</xdr:row>
      <xdr:rowOff>0</xdr:rowOff>
    </xdr:from>
    <xdr:to>
      <xdr:col>35</xdr:col>
      <xdr:colOff>256442</xdr:colOff>
      <xdr:row>120</xdr:row>
      <xdr:rowOff>183173</xdr:rowOff>
    </xdr:to>
    <xdr:sp macro="" textlink="">
      <xdr:nvSpPr>
        <xdr:cNvPr id="295" name="Isosceles Triangle 294">
          <a:extLst>
            <a:ext uri="{FF2B5EF4-FFF2-40B4-BE49-F238E27FC236}">
              <a16:creationId xmlns:a16="http://schemas.microsoft.com/office/drawing/2014/main" id="{E450A964-5C61-44E0-9C9F-9E52FA70C014}"/>
            </a:ext>
          </a:extLst>
        </xdr:cNvPr>
        <xdr:cNvSpPr/>
      </xdr:nvSpPr>
      <xdr:spPr>
        <a:xfrm>
          <a:off x="207264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119</xdr:row>
      <xdr:rowOff>0</xdr:rowOff>
    </xdr:from>
    <xdr:to>
      <xdr:col>38</xdr:col>
      <xdr:colOff>256442</xdr:colOff>
      <xdr:row>120</xdr:row>
      <xdr:rowOff>183173</xdr:rowOff>
    </xdr:to>
    <xdr:sp macro="" textlink="">
      <xdr:nvSpPr>
        <xdr:cNvPr id="296" name="Isosceles Triangle 295">
          <a:extLst>
            <a:ext uri="{FF2B5EF4-FFF2-40B4-BE49-F238E27FC236}">
              <a16:creationId xmlns:a16="http://schemas.microsoft.com/office/drawing/2014/main" id="{E0CC14DC-07DA-412A-84A5-E5594672F152}"/>
            </a:ext>
          </a:extLst>
        </xdr:cNvPr>
        <xdr:cNvSpPr/>
      </xdr:nvSpPr>
      <xdr:spPr>
        <a:xfrm>
          <a:off x="225552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119</xdr:row>
      <xdr:rowOff>0</xdr:rowOff>
    </xdr:from>
    <xdr:to>
      <xdr:col>41</xdr:col>
      <xdr:colOff>256443</xdr:colOff>
      <xdr:row>120</xdr:row>
      <xdr:rowOff>183173</xdr:rowOff>
    </xdr:to>
    <xdr:sp macro="" textlink="">
      <xdr:nvSpPr>
        <xdr:cNvPr id="297" name="Isosceles Triangle 296">
          <a:extLst>
            <a:ext uri="{FF2B5EF4-FFF2-40B4-BE49-F238E27FC236}">
              <a16:creationId xmlns:a16="http://schemas.microsoft.com/office/drawing/2014/main" id="{BC71AFC4-5F80-465E-9CAE-F1F2A20BD615}"/>
            </a:ext>
          </a:extLst>
        </xdr:cNvPr>
        <xdr:cNvSpPr/>
      </xdr:nvSpPr>
      <xdr:spPr>
        <a:xfrm>
          <a:off x="243840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128</xdr:row>
      <xdr:rowOff>0</xdr:rowOff>
    </xdr:from>
    <xdr:to>
      <xdr:col>2</xdr:col>
      <xdr:colOff>256442</xdr:colOff>
      <xdr:row>129</xdr:row>
      <xdr:rowOff>183173</xdr:rowOff>
    </xdr:to>
    <xdr:sp macro="" textlink="">
      <xdr:nvSpPr>
        <xdr:cNvPr id="298" name="Isosceles Triangle 297">
          <a:extLst>
            <a:ext uri="{FF2B5EF4-FFF2-40B4-BE49-F238E27FC236}">
              <a16:creationId xmlns:a16="http://schemas.microsoft.com/office/drawing/2014/main" id="{EBD5B62C-CFBF-4049-ABC3-C670FEFAFE12}"/>
            </a:ext>
          </a:extLst>
        </xdr:cNvPr>
        <xdr:cNvSpPr/>
      </xdr:nvSpPr>
      <xdr:spPr>
        <a:xfrm>
          <a:off x="609600" y="20993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66943</xdr:colOff>
      <xdr:row>111</xdr:row>
      <xdr:rowOff>182002</xdr:rowOff>
    </xdr:from>
    <xdr:to>
      <xdr:col>13</xdr:col>
      <xdr:colOff>50681</xdr:colOff>
      <xdr:row>113</xdr:row>
      <xdr:rowOff>78829</xdr:rowOff>
    </xdr:to>
    <xdr:sp macro="" textlink="">
      <xdr:nvSpPr>
        <xdr:cNvPr id="299" name="Lightning Bolt 298">
          <a:extLst>
            <a:ext uri="{FF2B5EF4-FFF2-40B4-BE49-F238E27FC236}">
              <a16:creationId xmlns:a16="http://schemas.microsoft.com/office/drawing/2014/main" id="{216EA628-B22D-4C5B-B1EE-170D9FBA6018}"/>
            </a:ext>
          </a:extLst>
        </xdr:cNvPr>
        <xdr:cNvSpPr/>
      </xdr:nvSpPr>
      <xdr:spPr>
        <a:xfrm rot="2857557">
          <a:off x="7546248" y="18248747"/>
          <a:ext cx="265127" cy="593338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111</xdr:row>
      <xdr:rowOff>154781</xdr:rowOff>
    </xdr:from>
    <xdr:to>
      <xdr:col>12</xdr:col>
      <xdr:colOff>178594</xdr:colOff>
      <xdr:row>113</xdr:row>
      <xdr:rowOff>180689</xdr:rowOff>
    </xdr:to>
    <xdr:sp macro="" textlink="">
      <xdr:nvSpPr>
        <xdr:cNvPr id="300" name="Arrow: Up 299">
          <a:extLst>
            <a:ext uri="{FF2B5EF4-FFF2-40B4-BE49-F238E27FC236}">
              <a16:creationId xmlns:a16="http://schemas.microsoft.com/office/drawing/2014/main" id="{04655584-25C7-4114-ADA5-CE9DA8DA33B7}"/>
            </a:ext>
          </a:extLst>
        </xdr:cNvPr>
        <xdr:cNvSpPr/>
      </xdr:nvSpPr>
      <xdr:spPr>
        <a:xfrm>
          <a:off x="7350919" y="18385631"/>
          <a:ext cx="142875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0</xdr:colOff>
      <xdr:row>112</xdr:row>
      <xdr:rowOff>0</xdr:rowOff>
    </xdr:from>
    <xdr:to>
      <xdr:col>18</xdr:col>
      <xdr:colOff>400457</xdr:colOff>
      <xdr:row>113</xdr:row>
      <xdr:rowOff>87327</xdr:rowOff>
    </xdr:to>
    <xdr:sp macro="" textlink="">
      <xdr:nvSpPr>
        <xdr:cNvPr id="301" name="Lightning Bolt 300">
          <a:extLst>
            <a:ext uri="{FF2B5EF4-FFF2-40B4-BE49-F238E27FC236}">
              <a16:creationId xmlns:a16="http://schemas.microsoft.com/office/drawing/2014/main" id="{CA22351B-7D1D-4A42-8E9F-758CFD9A6097}"/>
            </a:ext>
          </a:extLst>
        </xdr:cNvPr>
        <xdr:cNvSpPr/>
      </xdr:nvSpPr>
      <xdr:spPr>
        <a:xfrm rot="2857557">
          <a:off x="11037290" y="18350510"/>
          <a:ext cx="271477" cy="40045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251755</xdr:colOff>
      <xdr:row>112</xdr:row>
      <xdr:rowOff>31363</xdr:rowOff>
    </xdr:from>
    <xdr:to>
      <xdr:col>28</xdr:col>
      <xdr:colOff>7187</xdr:colOff>
      <xdr:row>113</xdr:row>
      <xdr:rowOff>82582</xdr:rowOff>
    </xdr:to>
    <xdr:sp macro="" textlink="">
      <xdr:nvSpPr>
        <xdr:cNvPr id="302" name="Lightning Bolt 301">
          <a:extLst>
            <a:ext uri="{FF2B5EF4-FFF2-40B4-BE49-F238E27FC236}">
              <a16:creationId xmlns:a16="http://schemas.microsoft.com/office/drawing/2014/main" id="{BA94D5AB-0038-46C6-A56D-394E1F993AE2}"/>
            </a:ext>
          </a:extLst>
        </xdr:cNvPr>
        <xdr:cNvSpPr/>
      </xdr:nvSpPr>
      <xdr:spPr>
        <a:xfrm rot="2857557">
          <a:off x="16470986" y="18076732"/>
          <a:ext cx="235369" cy="974632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119062</xdr:colOff>
      <xdr:row>111</xdr:row>
      <xdr:rowOff>166688</xdr:rowOff>
    </xdr:from>
    <xdr:to>
      <xdr:col>30</xdr:col>
      <xdr:colOff>261937</xdr:colOff>
      <xdr:row>114</xdr:row>
      <xdr:rowOff>2096</xdr:rowOff>
    </xdr:to>
    <xdr:sp macro="" textlink="">
      <xdr:nvSpPr>
        <xdr:cNvPr id="303" name="Arrow: Up 302">
          <a:extLst>
            <a:ext uri="{FF2B5EF4-FFF2-40B4-BE49-F238E27FC236}">
              <a16:creationId xmlns:a16="http://schemas.microsoft.com/office/drawing/2014/main" id="{1226951E-0CC9-42C4-88D6-ACA48061F4CA}"/>
            </a:ext>
          </a:extLst>
        </xdr:cNvPr>
        <xdr:cNvSpPr/>
      </xdr:nvSpPr>
      <xdr:spPr>
        <a:xfrm>
          <a:off x="184070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35719</xdr:colOff>
      <xdr:row>111</xdr:row>
      <xdr:rowOff>166687</xdr:rowOff>
    </xdr:from>
    <xdr:to>
      <xdr:col>33</xdr:col>
      <xdr:colOff>178594</xdr:colOff>
      <xdr:row>114</xdr:row>
      <xdr:rowOff>2095</xdr:rowOff>
    </xdr:to>
    <xdr:sp macro="" textlink="">
      <xdr:nvSpPr>
        <xdr:cNvPr id="304" name="Arrow: Up 303">
          <a:extLst>
            <a:ext uri="{FF2B5EF4-FFF2-40B4-BE49-F238E27FC236}">
              <a16:creationId xmlns:a16="http://schemas.microsoft.com/office/drawing/2014/main" id="{8DFEA927-ED3A-4CC6-BAE5-FDDB1D72D5B2}"/>
            </a:ext>
          </a:extLst>
        </xdr:cNvPr>
        <xdr:cNvSpPr/>
      </xdr:nvSpPr>
      <xdr:spPr>
        <a:xfrm>
          <a:off x="20152519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214312</xdr:colOff>
      <xdr:row>111</xdr:row>
      <xdr:rowOff>166687</xdr:rowOff>
    </xdr:from>
    <xdr:to>
      <xdr:col>33</xdr:col>
      <xdr:colOff>357187</xdr:colOff>
      <xdr:row>114</xdr:row>
      <xdr:rowOff>2095</xdr:rowOff>
    </xdr:to>
    <xdr:sp macro="" textlink="">
      <xdr:nvSpPr>
        <xdr:cNvPr id="305" name="Arrow: Up 304">
          <a:extLst>
            <a:ext uri="{FF2B5EF4-FFF2-40B4-BE49-F238E27FC236}">
              <a16:creationId xmlns:a16="http://schemas.microsoft.com/office/drawing/2014/main" id="{8925972D-C436-4F0D-9210-71CA3A70A4CB}"/>
            </a:ext>
          </a:extLst>
        </xdr:cNvPr>
        <xdr:cNvSpPr/>
      </xdr:nvSpPr>
      <xdr:spPr>
        <a:xfrm>
          <a:off x="20331112" y="183975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120</xdr:row>
      <xdr:rowOff>166688</xdr:rowOff>
    </xdr:from>
    <xdr:to>
      <xdr:col>3</xdr:col>
      <xdr:colOff>273843</xdr:colOff>
      <xdr:row>123</xdr:row>
      <xdr:rowOff>2096</xdr:rowOff>
    </xdr:to>
    <xdr:sp macro="" textlink="">
      <xdr:nvSpPr>
        <xdr:cNvPr id="306" name="Arrow: Up 305">
          <a:extLst>
            <a:ext uri="{FF2B5EF4-FFF2-40B4-BE49-F238E27FC236}">
              <a16:creationId xmlns:a16="http://schemas.microsoft.com/office/drawing/2014/main" id="{0671C8F0-D5E5-4C4C-8A7B-E776994D3CFD}"/>
            </a:ext>
          </a:extLst>
        </xdr:cNvPr>
        <xdr:cNvSpPr/>
      </xdr:nvSpPr>
      <xdr:spPr>
        <a:xfrm>
          <a:off x="1959768" y="19870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154779</xdr:colOff>
      <xdr:row>145</xdr:row>
      <xdr:rowOff>190499</xdr:rowOff>
    </xdr:from>
    <xdr:to>
      <xdr:col>20</xdr:col>
      <xdr:colOff>130967</xdr:colOff>
      <xdr:row>147</xdr:row>
      <xdr:rowOff>166687</xdr:rowOff>
    </xdr:to>
    <xdr:sp macro="" textlink="">
      <xdr:nvSpPr>
        <xdr:cNvPr id="307" name="Arrow: U-Turn 306">
          <a:extLst>
            <a:ext uri="{FF2B5EF4-FFF2-40B4-BE49-F238E27FC236}">
              <a16:creationId xmlns:a16="http://schemas.microsoft.com/office/drawing/2014/main" id="{C3301752-00A0-4F41-8A74-AA3519F107AF}"/>
            </a:ext>
          </a:extLst>
        </xdr:cNvPr>
        <xdr:cNvSpPr/>
      </xdr:nvSpPr>
      <xdr:spPr>
        <a:xfrm>
          <a:off x="11737179" y="241236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119064</xdr:colOff>
      <xdr:row>121</xdr:row>
      <xdr:rowOff>47626</xdr:rowOff>
    </xdr:from>
    <xdr:to>
      <xdr:col>30</xdr:col>
      <xdr:colOff>357188</xdr:colOff>
      <xdr:row>122</xdr:row>
      <xdr:rowOff>166688</xdr:rowOff>
    </xdr:to>
    <xdr:sp macro="" textlink="">
      <xdr:nvSpPr>
        <xdr:cNvPr id="308" name="Arrow: U-Turn 307">
          <a:extLst>
            <a:ext uri="{FF2B5EF4-FFF2-40B4-BE49-F238E27FC236}">
              <a16:creationId xmlns:a16="http://schemas.microsoft.com/office/drawing/2014/main" id="{8232D7D9-AC17-454F-AD66-6E713470B5ED}"/>
            </a:ext>
          </a:extLst>
        </xdr:cNvPr>
        <xdr:cNvSpPr/>
      </xdr:nvSpPr>
      <xdr:spPr>
        <a:xfrm>
          <a:off x="18407064" y="19935826"/>
          <a:ext cx="238124" cy="303212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oneCellAnchor>
    <xdr:from>
      <xdr:col>9</xdr:col>
      <xdr:colOff>0</xdr:colOff>
      <xdr:row>86</xdr:row>
      <xdr:rowOff>183173</xdr:rowOff>
    </xdr:from>
    <xdr:ext cx="230186" cy="271084"/>
    <xdr:pic>
      <xdr:nvPicPr>
        <xdr:cNvPr id="309" name="Picture 308" descr="A black and white symbol&#10;&#10;Description automatically generated">
          <a:extLst>
            <a:ext uri="{FF2B5EF4-FFF2-40B4-BE49-F238E27FC236}">
              <a16:creationId xmlns:a16="http://schemas.microsoft.com/office/drawing/2014/main" id="{D81505CA-41A3-4483-926A-27B6F38CE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362723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87</xdr:row>
      <xdr:rowOff>0</xdr:rowOff>
    </xdr:from>
    <xdr:ext cx="230186" cy="271084"/>
    <xdr:pic>
      <xdr:nvPicPr>
        <xdr:cNvPr id="310" name="Picture 309" descr="A black and white symbol&#10;&#10;Description automatically generated">
          <a:extLst>
            <a:ext uri="{FF2B5EF4-FFF2-40B4-BE49-F238E27FC236}">
              <a16:creationId xmlns:a16="http://schemas.microsoft.com/office/drawing/2014/main" id="{C1848401-D0C8-49D0-9AC9-096BCC28D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87</xdr:row>
      <xdr:rowOff>0</xdr:rowOff>
    </xdr:from>
    <xdr:ext cx="230186" cy="271084"/>
    <xdr:pic>
      <xdr:nvPicPr>
        <xdr:cNvPr id="311" name="Picture 310" descr="A black and white symbol&#10;&#10;Description automatically generated">
          <a:extLst>
            <a:ext uri="{FF2B5EF4-FFF2-40B4-BE49-F238E27FC236}">
              <a16:creationId xmlns:a16="http://schemas.microsoft.com/office/drawing/2014/main" id="{864B5833-75A4-4C2A-807F-4DE38F25F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78</xdr:row>
      <xdr:rowOff>0</xdr:rowOff>
    </xdr:from>
    <xdr:ext cx="230186" cy="271084"/>
    <xdr:pic>
      <xdr:nvPicPr>
        <xdr:cNvPr id="312" name="Picture 311" descr="A black and white symbol&#10;&#10;Description automatically generated">
          <a:extLst>
            <a:ext uri="{FF2B5EF4-FFF2-40B4-BE49-F238E27FC236}">
              <a16:creationId xmlns:a16="http://schemas.microsoft.com/office/drawing/2014/main" id="{2C5A9DB1-C127-4148-B4F5-DE5375FF4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24</xdr:row>
      <xdr:rowOff>0</xdr:rowOff>
    </xdr:from>
    <xdr:ext cx="230186" cy="271084"/>
    <xdr:pic>
      <xdr:nvPicPr>
        <xdr:cNvPr id="313" name="Picture 312" descr="A black and white symbol&#10;&#10;Description automatically generated">
          <a:extLst>
            <a:ext uri="{FF2B5EF4-FFF2-40B4-BE49-F238E27FC236}">
              <a16:creationId xmlns:a16="http://schemas.microsoft.com/office/drawing/2014/main" id="{9CC20318-F8A8-4240-ADC2-72068DDC5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24</xdr:row>
      <xdr:rowOff>0</xdr:rowOff>
    </xdr:from>
    <xdr:ext cx="230186" cy="271084"/>
    <xdr:pic>
      <xdr:nvPicPr>
        <xdr:cNvPr id="314" name="Picture 313" descr="A black and white symbol&#10;&#10;Description automatically generated">
          <a:extLst>
            <a:ext uri="{FF2B5EF4-FFF2-40B4-BE49-F238E27FC236}">
              <a16:creationId xmlns:a16="http://schemas.microsoft.com/office/drawing/2014/main" id="{B734B9A7-D75A-480A-827B-8A15610E2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69</xdr:row>
      <xdr:rowOff>0</xdr:rowOff>
    </xdr:from>
    <xdr:ext cx="230186" cy="271084"/>
    <xdr:pic>
      <xdr:nvPicPr>
        <xdr:cNvPr id="315" name="Picture 314" descr="A black and white symbol&#10;&#10;Description automatically generated">
          <a:extLst>
            <a:ext uri="{FF2B5EF4-FFF2-40B4-BE49-F238E27FC236}">
              <a16:creationId xmlns:a16="http://schemas.microsoft.com/office/drawing/2014/main" id="{AE2D4939-2D49-4BEA-9012-9320995F0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33</xdr:row>
      <xdr:rowOff>0</xdr:rowOff>
    </xdr:from>
    <xdr:ext cx="230186" cy="271084"/>
    <xdr:pic>
      <xdr:nvPicPr>
        <xdr:cNvPr id="316" name="Picture 315" descr="A black and white symbol&#10;&#10;Description automatically generated">
          <a:extLst>
            <a:ext uri="{FF2B5EF4-FFF2-40B4-BE49-F238E27FC236}">
              <a16:creationId xmlns:a16="http://schemas.microsoft.com/office/drawing/2014/main" id="{528DD55D-4A9C-4086-81F6-65B969A23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69</xdr:row>
      <xdr:rowOff>0</xdr:rowOff>
    </xdr:from>
    <xdr:ext cx="230186" cy="271084"/>
    <xdr:pic>
      <xdr:nvPicPr>
        <xdr:cNvPr id="317" name="Picture 316" descr="A black and white symbol&#10;&#10;Description automatically generated">
          <a:extLst>
            <a:ext uri="{FF2B5EF4-FFF2-40B4-BE49-F238E27FC236}">
              <a16:creationId xmlns:a16="http://schemas.microsoft.com/office/drawing/2014/main" id="{07AB198D-6A59-4D70-AD39-71BB194F5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69</xdr:row>
      <xdr:rowOff>0</xdr:rowOff>
    </xdr:from>
    <xdr:ext cx="230186" cy="271084"/>
    <xdr:pic>
      <xdr:nvPicPr>
        <xdr:cNvPr id="318" name="Picture 317" descr="A black and white symbol&#10;&#10;Description automatically generated">
          <a:extLst>
            <a:ext uri="{FF2B5EF4-FFF2-40B4-BE49-F238E27FC236}">
              <a16:creationId xmlns:a16="http://schemas.microsoft.com/office/drawing/2014/main" id="{A20FA736-4BC7-4AAA-A73A-925E01B48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69</xdr:row>
      <xdr:rowOff>0</xdr:rowOff>
    </xdr:from>
    <xdr:ext cx="230186" cy="271084"/>
    <xdr:pic>
      <xdr:nvPicPr>
        <xdr:cNvPr id="319" name="Picture 318" descr="A black and white symbol&#10;&#10;Description automatically generated">
          <a:extLst>
            <a:ext uri="{FF2B5EF4-FFF2-40B4-BE49-F238E27FC236}">
              <a16:creationId xmlns:a16="http://schemas.microsoft.com/office/drawing/2014/main" id="{E954E651-4AFF-4222-A483-7479F375D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114</xdr:row>
      <xdr:rowOff>0</xdr:rowOff>
    </xdr:from>
    <xdr:ext cx="230186" cy="271084"/>
    <xdr:pic>
      <xdr:nvPicPr>
        <xdr:cNvPr id="320" name="Picture 319" descr="A black and white symbol&#10;&#10;Description automatically generated">
          <a:extLst>
            <a:ext uri="{FF2B5EF4-FFF2-40B4-BE49-F238E27FC236}">
              <a16:creationId xmlns:a16="http://schemas.microsoft.com/office/drawing/2014/main" id="{64288499-D036-4C9E-8D78-3BCF498E3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109</xdr:row>
      <xdr:rowOff>0</xdr:rowOff>
    </xdr:from>
    <xdr:ext cx="561698" cy="193584"/>
    <xdr:pic>
      <xdr:nvPicPr>
        <xdr:cNvPr id="321" name="Picture 320">
          <a:extLst>
            <a:ext uri="{FF2B5EF4-FFF2-40B4-BE49-F238E27FC236}">
              <a16:creationId xmlns:a16="http://schemas.microsoft.com/office/drawing/2014/main" id="{2B0F8CE0-2850-46D6-BF04-2B79EEF0E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0" y="17862550"/>
          <a:ext cx="561698" cy="193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109</xdr:row>
      <xdr:rowOff>0</xdr:rowOff>
    </xdr:from>
    <xdr:ext cx="546833" cy="204910"/>
    <xdr:pic>
      <xdr:nvPicPr>
        <xdr:cNvPr id="322" name="Picture 321">
          <a:extLst>
            <a:ext uri="{FF2B5EF4-FFF2-40B4-BE49-F238E27FC236}">
              <a16:creationId xmlns:a16="http://schemas.microsoft.com/office/drawing/2014/main" id="{579FB5CC-5477-436E-A691-E67427200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17862550"/>
          <a:ext cx="546833" cy="20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5862</xdr:colOff>
      <xdr:row>65</xdr:row>
      <xdr:rowOff>7326</xdr:rowOff>
    </xdr:from>
    <xdr:to>
      <xdr:col>20</xdr:col>
      <xdr:colOff>262304</xdr:colOff>
      <xdr:row>66</xdr:row>
      <xdr:rowOff>184802</xdr:rowOff>
    </xdr:to>
    <xdr:sp macro="" textlink="">
      <xdr:nvSpPr>
        <xdr:cNvPr id="323" name="Isosceles Triangle 322">
          <a:extLst>
            <a:ext uri="{FF2B5EF4-FFF2-40B4-BE49-F238E27FC236}">
              <a16:creationId xmlns:a16="http://schemas.microsoft.com/office/drawing/2014/main" id="{2F4DEEC1-0198-46AE-B4D9-0B7D39833802}"/>
            </a:ext>
          </a:extLst>
        </xdr:cNvPr>
        <xdr:cNvSpPr/>
      </xdr:nvSpPr>
      <xdr:spPr>
        <a:xfrm>
          <a:off x="11588262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2931</xdr:colOff>
      <xdr:row>65</xdr:row>
      <xdr:rowOff>7326</xdr:rowOff>
    </xdr:from>
    <xdr:to>
      <xdr:col>23</xdr:col>
      <xdr:colOff>259373</xdr:colOff>
      <xdr:row>66</xdr:row>
      <xdr:rowOff>184802</xdr:rowOff>
    </xdr:to>
    <xdr:sp macro="" textlink="">
      <xdr:nvSpPr>
        <xdr:cNvPr id="324" name="Isosceles Triangle 323">
          <a:extLst>
            <a:ext uri="{FF2B5EF4-FFF2-40B4-BE49-F238E27FC236}">
              <a16:creationId xmlns:a16="http://schemas.microsoft.com/office/drawing/2014/main" id="{5EDB3A9C-E94F-4D8D-9726-0BCD23F0436A}"/>
            </a:ext>
          </a:extLst>
        </xdr:cNvPr>
        <xdr:cNvSpPr/>
      </xdr:nvSpPr>
      <xdr:spPr>
        <a:xfrm>
          <a:off x="13414131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177476</xdr:rowOff>
    </xdr:to>
    <xdr:sp macro="" textlink="">
      <xdr:nvSpPr>
        <xdr:cNvPr id="325" name="Isosceles Triangle 324">
          <a:extLst>
            <a:ext uri="{FF2B5EF4-FFF2-40B4-BE49-F238E27FC236}">
              <a16:creationId xmlns:a16="http://schemas.microsoft.com/office/drawing/2014/main" id="{B244BFF6-07AE-49EF-A764-103B3DF5E9BC}"/>
            </a:ext>
          </a:extLst>
        </xdr:cNvPr>
        <xdr:cNvSpPr/>
      </xdr:nvSpPr>
      <xdr:spPr>
        <a:xfrm>
          <a:off x="15240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12212</xdr:colOff>
      <xdr:row>73</xdr:row>
      <xdr:rowOff>195384</xdr:rowOff>
    </xdr:from>
    <xdr:to>
      <xdr:col>36</xdr:col>
      <xdr:colOff>0</xdr:colOff>
      <xdr:row>75</xdr:row>
      <xdr:rowOff>177475</xdr:rowOff>
    </xdr:to>
    <xdr:sp macro="" textlink="">
      <xdr:nvSpPr>
        <xdr:cNvPr id="326" name="Isosceles Triangle 325">
          <a:extLst>
            <a:ext uri="{FF2B5EF4-FFF2-40B4-BE49-F238E27FC236}">
              <a16:creationId xmlns:a16="http://schemas.microsoft.com/office/drawing/2014/main" id="{1BB070E7-2586-4129-8766-270DAEE04CB9}"/>
            </a:ext>
          </a:extLst>
        </xdr:cNvPr>
        <xdr:cNvSpPr/>
      </xdr:nvSpPr>
      <xdr:spPr>
        <a:xfrm>
          <a:off x="20738612" y="12152434"/>
          <a:ext cx="1206988" cy="36309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177476</xdr:rowOff>
    </xdr:to>
    <xdr:sp macro="" textlink="">
      <xdr:nvSpPr>
        <xdr:cNvPr id="327" name="Isosceles Triangle 326">
          <a:extLst>
            <a:ext uri="{FF2B5EF4-FFF2-40B4-BE49-F238E27FC236}">
              <a16:creationId xmlns:a16="http://schemas.microsoft.com/office/drawing/2014/main" id="{0105C4B9-868A-4A59-9B88-3330275EDF08}"/>
            </a:ext>
          </a:extLst>
        </xdr:cNvPr>
        <xdr:cNvSpPr/>
      </xdr:nvSpPr>
      <xdr:spPr>
        <a:xfrm>
          <a:off x="18897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69</xdr:row>
      <xdr:rowOff>0</xdr:rowOff>
    </xdr:from>
    <xdr:ext cx="230186" cy="271084"/>
    <xdr:pic>
      <xdr:nvPicPr>
        <xdr:cNvPr id="328" name="Picture 327" descr="A black and white symbol&#10;&#10;Description automatically generated">
          <a:extLst>
            <a:ext uri="{FF2B5EF4-FFF2-40B4-BE49-F238E27FC236}">
              <a16:creationId xmlns:a16="http://schemas.microsoft.com/office/drawing/2014/main" id="{9AAC31E8-1A5D-4FBE-A3BD-66F691321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83</xdr:row>
      <xdr:rowOff>9991</xdr:rowOff>
    </xdr:from>
    <xdr:to>
      <xdr:col>2</xdr:col>
      <xdr:colOff>258637</xdr:colOff>
      <xdr:row>84</xdr:row>
      <xdr:rowOff>177634</xdr:rowOff>
    </xdr:to>
    <xdr:sp macro="" textlink="">
      <xdr:nvSpPr>
        <xdr:cNvPr id="329" name="Isosceles Triangle 328">
          <a:extLst>
            <a:ext uri="{FF2B5EF4-FFF2-40B4-BE49-F238E27FC236}">
              <a16:creationId xmlns:a16="http://schemas.microsoft.com/office/drawing/2014/main" id="{F644513B-1B09-4A8F-8729-E7804477D9ED}"/>
            </a:ext>
          </a:extLst>
        </xdr:cNvPr>
        <xdr:cNvSpPr/>
      </xdr:nvSpPr>
      <xdr:spPr>
        <a:xfrm>
          <a:off x="609600" y="13637091"/>
          <a:ext cx="868237" cy="35179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177476</xdr:rowOff>
    </xdr:to>
    <xdr:sp macro="" textlink="">
      <xdr:nvSpPr>
        <xdr:cNvPr id="330" name="Isosceles Triangle 329">
          <a:extLst>
            <a:ext uri="{FF2B5EF4-FFF2-40B4-BE49-F238E27FC236}">
              <a16:creationId xmlns:a16="http://schemas.microsoft.com/office/drawing/2014/main" id="{886DBDC7-94AC-4B11-B60B-7412511D3916}"/>
            </a:ext>
          </a:extLst>
        </xdr:cNvPr>
        <xdr:cNvSpPr/>
      </xdr:nvSpPr>
      <xdr:spPr>
        <a:xfrm>
          <a:off x="24384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187001</xdr:rowOff>
    </xdr:to>
    <xdr:sp macro="" textlink="">
      <xdr:nvSpPr>
        <xdr:cNvPr id="331" name="Isosceles Triangle 330">
          <a:extLst>
            <a:ext uri="{FF2B5EF4-FFF2-40B4-BE49-F238E27FC236}">
              <a16:creationId xmlns:a16="http://schemas.microsoft.com/office/drawing/2014/main" id="{C38F15D2-6C58-40E5-83C2-45123F78722B}"/>
            </a:ext>
          </a:extLst>
        </xdr:cNvPr>
        <xdr:cNvSpPr/>
      </xdr:nvSpPr>
      <xdr:spPr>
        <a:xfrm>
          <a:off x="22555200" y="12153900"/>
          <a:ext cx="866042" cy="37115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33</xdr:col>
      <xdr:colOff>0</xdr:colOff>
      <xdr:row>78</xdr:row>
      <xdr:rowOff>0</xdr:rowOff>
    </xdr:from>
    <xdr:ext cx="230186" cy="271084"/>
    <xdr:pic>
      <xdr:nvPicPr>
        <xdr:cNvPr id="332" name="Picture 331" descr="A black and white symbol&#10;&#10;Description automatically generated">
          <a:extLst>
            <a:ext uri="{FF2B5EF4-FFF2-40B4-BE49-F238E27FC236}">
              <a16:creationId xmlns:a16="http://schemas.microsoft.com/office/drawing/2014/main" id="{ABD5A52D-2D06-49FE-B563-E27018C63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78</xdr:row>
      <xdr:rowOff>0</xdr:rowOff>
    </xdr:from>
    <xdr:ext cx="230186" cy="271084"/>
    <xdr:pic>
      <xdr:nvPicPr>
        <xdr:cNvPr id="333" name="Picture 332" descr="A black and white symbol&#10;&#10;Description automatically generated">
          <a:extLst>
            <a:ext uri="{FF2B5EF4-FFF2-40B4-BE49-F238E27FC236}">
              <a16:creationId xmlns:a16="http://schemas.microsoft.com/office/drawing/2014/main" id="{36EBB805-6669-4981-B0C7-55FD1E7C9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177475</xdr:rowOff>
    </xdr:to>
    <xdr:sp macro="" textlink="">
      <xdr:nvSpPr>
        <xdr:cNvPr id="334" name="Isosceles Triangle 333">
          <a:extLst>
            <a:ext uri="{FF2B5EF4-FFF2-40B4-BE49-F238E27FC236}">
              <a16:creationId xmlns:a16="http://schemas.microsoft.com/office/drawing/2014/main" id="{BD95D8F7-5FBE-45B8-925F-B8818C4947C7}"/>
            </a:ext>
          </a:extLst>
        </xdr:cNvPr>
        <xdr:cNvSpPr/>
      </xdr:nvSpPr>
      <xdr:spPr>
        <a:xfrm>
          <a:off x="2438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86591</xdr:colOff>
      <xdr:row>87</xdr:row>
      <xdr:rowOff>74220</xdr:rowOff>
    </xdr:from>
    <xdr:ext cx="230186" cy="271084"/>
    <xdr:pic>
      <xdr:nvPicPr>
        <xdr:cNvPr id="335" name="Picture 334" descr="A black and white symbol&#10;&#10;Description automatically generated">
          <a:extLst>
            <a:ext uri="{FF2B5EF4-FFF2-40B4-BE49-F238E27FC236}">
              <a16:creationId xmlns:a16="http://schemas.microsoft.com/office/drawing/2014/main" id="{F5C02BCF-1B4E-4429-9E9D-FFFE5377C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791" y="1443792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87</xdr:row>
      <xdr:rowOff>0</xdr:rowOff>
    </xdr:from>
    <xdr:ext cx="230186" cy="271084"/>
    <xdr:pic>
      <xdr:nvPicPr>
        <xdr:cNvPr id="336" name="Picture 335" descr="A black and white symbol&#10;&#10;Description automatically generated">
          <a:extLst>
            <a:ext uri="{FF2B5EF4-FFF2-40B4-BE49-F238E27FC236}">
              <a16:creationId xmlns:a16="http://schemas.microsoft.com/office/drawing/2014/main" id="{63217959-F0DF-4281-BCA0-88C021BD0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87</xdr:row>
      <xdr:rowOff>0</xdr:rowOff>
    </xdr:from>
    <xdr:ext cx="230186" cy="271084"/>
    <xdr:pic>
      <xdr:nvPicPr>
        <xdr:cNvPr id="337" name="Picture 336" descr="A black and white symbol&#10;&#10;Description automatically generated">
          <a:extLst>
            <a:ext uri="{FF2B5EF4-FFF2-40B4-BE49-F238E27FC236}">
              <a16:creationId xmlns:a16="http://schemas.microsoft.com/office/drawing/2014/main" id="{E3105D39-B62F-4C95-8120-F394C31F5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86</xdr:row>
      <xdr:rowOff>178594</xdr:rowOff>
    </xdr:from>
    <xdr:ext cx="230186" cy="271084"/>
    <xdr:pic>
      <xdr:nvPicPr>
        <xdr:cNvPr id="338" name="Picture 337" descr="A black and white symbol&#10;&#10;Description automatically generated">
          <a:extLst>
            <a:ext uri="{FF2B5EF4-FFF2-40B4-BE49-F238E27FC236}">
              <a16:creationId xmlns:a16="http://schemas.microsoft.com/office/drawing/2014/main" id="{1C632B7B-C2E9-4A88-BF0E-E3514EC71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435814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87</xdr:row>
      <xdr:rowOff>0</xdr:rowOff>
    </xdr:from>
    <xdr:ext cx="230186" cy="271084"/>
    <xdr:pic>
      <xdr:nvPicPr>
        <xdr:cNvPr id="339" name="Picture 338" descr="A black and white symbol&#10;&#10;Description automatically generated">
          <a:extLst>
            <a:ext uri="{FF2B5EF4-FFF2-40B4-BE49-F238E27FC236}">
              <a16:creationId xmlns:a16="http://schemas.microsoft.com/office/drawing/2014/main" id="{FF15F8FB-4DD8-4EF6-8403-A1FB77DAA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87</xdr:row>
      <xdr:rowOff>0</xdr:rowOff>
    </xdr:from>
    <xdr:ext cx="230186" cy="271084"/>
    <xdr:pic>
      <xdr:nvPicPr>
        <xdr:cNvPr id="340" name="Picture 339" descr="A black and white symbol&#10;&#10;Description automatically generated">
          <a:extLst>
            <a:ext uri="{FF2B5EF4-FFF2-40B4-BE49-F238E27FC236}">
              <a16:creationId xmlns:a16="http://schemas.microsoft.com/office/drawing/2014/main" id="{0BDA910D-5526-4D3F-A7C0-90D1122B2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96</xdr:row>
      <xdr:rowOff>0</xdr:rowOff>
    </xdr:from>
    <xdr:ext cx="230186" cy="271084"/>
    <xdr:pic>
      <xdr:nvPicPr>
        <xdr:cNvPr id="341" name="Picture 340" descr="A black and white symbol&#10;&#10;Description automatically generated">
          <a:extLst>
            <a:ext uri="{FF2B5EF4-FFF2-40B4-BE49-F238E27FC236}">
              <a16:creationId xmlns:a16="http://schemas.microsoft.com/office/drawing/2014/main" id="{B4A6FD35-E336-4557-B805-236878482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96</xdr:row>
      <xdr:rowOff>0</xdr:rowOff>
    </xdr:from>
    <xdr:ext cx="230186" cy="271084"/>
    <xdr:pic>
      <xdr:nvPicPr>
        <xdr:cNvPr id="342" name="Picture 341" descr="A black and white symbol&#10;&#10;Description automatically generated">
          <a:extLst>
            <a:ext uri="{FF2B5EF4-FFF2-40B4-BE49-F238E27FC236}">
              <a16:creationId xmlns:a16="http://schemas.microsoft.com/office/drawing/2014/main" id="{D6414589-BF03-417D-A939-1B10FBA72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414581</xdr:colOff>
      <xdr:row>83</xdr:row>
      <xdr:rowOff>10686</xdr:rowOff>
    </xdr:from>
    <xdr:to>
      <xdr:col>11</xdr:col>
      <xdr:colOff>255831</xdr:colOff>
      <xdr:row>84</xdr:row>
      <xdr:rowOff>188161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89677AC7-2D01-4D09-BD12-BBF32206293E}"/>
            </a:ext>
          </a:extLst>
        </xdr:cNvPr>
        <xdr:cNvSpPr/>
      </xdr:nvSpPr>
      <xdr:spPr>
        <a:xfrm>
          <a:off x="5900981" y="13637786"/>
          <a:ext cx="1060450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177475</xdr:rowOff>
    </xdr:to>
    <xdr:sp macro="" textlink="">
      <xdr:nvSpPr>
        <xdr:cNvPr id="344" name="Isosceles Triangle 343">
          <a:extLst>
            <a:ext uri="{FF2B5EF4-FFF2-40B4-BE49-F238E27FC236}">
              <a16:creationId xmlns:a16="http://schemas.microsoft.com/office/drawing/2014/main" id="{D0249E44-5EC8-47F4-829D-EC322FCD168B}"/>
            </a:ext>
          </a:extLst>
        </xdr:cNvPr>
        <xdr:cNvSpPr/>
      </xdr:nvSpPr>
      <xdr:spPr>
        <a:xfrm>
          <a:off x="7924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87</xdr:row>
      <xdr:rowOff>0</xdr:rowOff>
    </xdr:from>
    <xdr:ext cx="230186" cy="271084"/>
    <xdr:pic>
      <xdr:nvPicPr>
        <xdr:cNvPr id="345" name="Picture 344" descr="A black and white symbol&#10;&#10;Description automatically generated">
          <a:extLst>
            <a:ext uri="{FF2B5EF4-FFF2-40B4-BE49-F238E27FC236}">
              <a16:creationId xmlns:a16="http://schemas.microsoft.com/office/drawing/2014/main" id="{AFC3283A-706D-4F31-A185-DBC14DDB9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83</xdr:row>
      <xdr:rowOff>0</xdr:rowOff>
    </xdr:from>
    <xdr:to>
      <xdr:col>17</xdr:col>
      <xdr:colOff>256442</xdr:colOff>
      <xdr:row>84</xdr:row>
      <xdr:rowOff>177475</xdr:rowOff>
    </xdr:to>
    <xdr:sp macro="" textlink="">
      <xdr:nvSpPr>
        <xdr:cNvPr id="346" name="Isosceles Triangle 345">
          <a:extLst>
            <a:ext uri="{FF2B5EF4-FFF2-40B4-BE49-F238E27FC236}">
              <a16:creationId xmlns:a16="http://schemas.microsoft.com/office/drawing/2014/main" id="{F5F85A1C-519E-4F13-A21F-37C0D741043C}"/>
            </a:ext>
          </a:extLst>
        </xdr:cNvPr>
        <xdr:cNvSpPr/>
      </xdr:nvSpPr>
      <xdr:spPr>
        <a:xfrm>
          <a:off x="97536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177475</xdr:rowOff>
    </xdr:to>
    <xdr:sp macro="" textlink="">
      <xdr:nvSpPr>
        <xdr:cNvPr id="347" name="Isosceles Triangle 346">
          <a:extLst>
            <a:ext uri="{FF2B5EF4-FFF2-40B4-BE49-F238E27FC236}">
              <a16:creationId xmlns:a16="http://schemas.microsoft.com/office/drawing/2014/main" id="{6517087A-6D44-467C-AAA7-CD95CE1FB223}"/>
            </a:ext>
          </a:extLst>
        </xdr:cNvPr>
        <xdr:cNvSpPr/>
      </xdr:nvSpPr>
      <xdr:spPr>
        <a:xfrm>
          <a:off x="4267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33</xdr:row>
      <xdr:rowOff>0</xdr:rowOff>
    </xdr:from>
    <xdr:ext cx="230186" cy="271084"/>
    <xdr:pic>
      <xdr:nvPicPr>
        <xdr:cNvPr id="348" name="Picture 347" descr="A black and white symbol&#10;&#10;Description automatically generated">
          <a:extLst>
            <a:ext uri="{FF2B5EF4-FFF2-40B4-BE49-F238E27FC236}">
              <a16:creationId xmlns:a16="http://schemas.microsoft.com/office/drawing/2014/main" id="{54BA15AF-C777-4E04-B95B-ECF16CF1E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177475</xdr:rowOff>
    </xdr:to>
    <xdr:sp macro="" textlink="">
      <xdr:nvSpPr>
        <xdr:cNvPr id="349" name="Isosceles Triangle 348">
          <a:extLst>
            <a:ext uri="{FF2B5EF4-FFF2-40B4-BE49-F238E27FC236}">
              <a16:creationId xmlns:a16="http://schemas.microsoft.com/office/drawing/2014/main" id="{703E34AF-6061-4EB8-8AAF-7A433C4AEED1}"/>
            </a:ext>
          </a:extLst>
        </xdr:cNvPr>
        <xdr:cNvSpPr/>
      </xdr:nvSpPr>
      <xdr:spPr>
        <a:xfrm>
          <a:off x="13411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177475</xdr:rowOff>
    </xdr:to>
    <xdr:sp macro="" textlink="">
      <xdr:nvSpPr>
        <xdr:cNvPr id="350" name="Isosceles Triangle 349">
          <a:extLst>
            <a:ext uri="{FF2B5EF4-FFF2-40B4-BE49-F238E27FC236}">
              <a16:creationId xmlns:a16="http://schemas.microsoft.com/office/drawing/2014/main" id="{A7017059-1AC2-48D2-9E52-C5D9869CDD49}"/>
            </a:ext>
          </a:extLst>
        </xdr:cNvPr>
        <xdr:cNvSpPr/>
      </xdr:nvSpPr>
      <xdr:spPr>
        <a:xfrm>
          <a:off x="152400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177475</xdr:rowOff>
    </xdr:to>
    <xdr:sp macro="" textlink="">
      <xdr:nvSpPr>
        <xdr:cNvPr id="351" name="Isosceles Triangle 350">
          <a:extLst>
            <a:ext uri="{FF2B5EF4-FFF2-40B4-BE49-F238E27FC236}">
              <a16:creationId xmlns:a16="http://schemas.microsoft.com/office/drawing/2014/main" id="{2A21DA9C-8CDE-4783-970B-76A22565EED1}"/>
            </a:ext>
          </a:extLst>
        </xdr:cNvPr>
        <xdr:cNvSpPr/>
      </xdr:nvSpPr>
      <xdr:spPr>
        <a:xfrm>
          <a:off x="17068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82</xdr:row>
      <xdr:rowOff>178594</xdr:rowOff>
    </xdr:from>
    <xdr:to>
      <xdr:col>33</xdr:col>
      <xdr:colOff>24423</xdr:colOff>
      <xdr:row>84</xdr:row>
      <xdr:rowOff>165569</xdr:rowOff>
    </xdr:to>
    <xdr:sp macro="" textlink="">
      <xdr:nvSpPr>
        <xdr:cNvPr id="352" name="Isosceles Triangle 351">
          <a:extLst>
            <a:ext uri="{FF2B5EF4-FFF2-40B4-BE49-F238E27FC236}">
              <a16:creationId xmlns:a16="http://schemas.microsoft.com/office/drawing/2014/main" id="{35194845-C794-4BFC-8BCD-D9E408151C08}"/>
            </a:ext>
          </a:extLst>
        </xdr:cNvPr>
        <xdr:cNvSpPr/>
      </xdr:nvSpPr>
      <xdr:spPr>
        <a:xfrm>
          <a:off x="18897600" y="13621544"/>
          <a:ext cx="1243623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177475</xdr:rowOff>
    </xdr:to>
    <xdr:sp macro="" textlink="">
      <xdr:nvSpPr>
        <xdr:cNvPr id="353" name="Isosceles Triangle 352">
          <a:extLst>
            <a:ext uri="{FF2B5EF4-FFF2-40B4-BE49-F238E27FC236}">
              <a16:creationId xmlns:a16="http://schemas.microsoft.com/office/drawing/2014/main" id="{22972634-D1C2-48C3-AD27-87FEE6620B64}"/>
            </a:ext>
          </a:extLst>
        </xdr:cNvPr>
        <xdr:cNvSpPr/>
      </xdr:nvSpPr>
      <xdr:spPr>
        <a:xfrm>
          <a:off x="20726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86</xdr:row>
      <xdr:rowOff>0</xdr:rowOff>
    </xdr:from>
    <xdr:ext cx="230186" cy="271084"/>
    <xdr:pic>
      <xdr:nvPicPr>
        <xdr:cNvPr id="354" name="Picture 353" descr="A black and white symbol&#10;&#10;Description automatically generated">
          <a:extLst>
            <a:ext uri="{FF2B5EF4-FFF2-40B4-BE49-F238E27FC236}">
              <a16:creationId xmlns:a16="http://schemas.microsoft.com/office/drawing/2014/main" id="{6FD53947-7E7F-4F74-AFBD-94AF3D412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4179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24</xdr:row>
      <xdr:rowOff>0</xdr:rowOff>
    </xdr:from>
    <xdr:ext cx="230186" cy="271084"/>
    <xdr:pic>
      <xdr:nvPicPr>
        <xdr:cNvPr id="355" name="Picture 354" descr="A black and white symbol&#10;&#10;Description automatically generated">
          <a:extLst>
            <a:ext uri="{FF2B5EF4-FFF2-40B4-BE49-F238E27FC236}">
              <a16:creationId xmlns:a16="http://schemas.microsoft.com/office/drawing/2014/main" id="{B6167DA8-8803-4906-9E7B-094258A9C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33</xdr:row>
      <xdr:rowOff>0</xdr:rowOff>
    </xdr:from>
    <xdr:ext cx="230186" cy="271084"/>
    <xdr:pic>
      <xdr:nvPicPr>
        <xdr:cNvPr id="356" name="Picture 355" descr="A black and white symbol&#10;&#10;Description automatically generated">
          <a:extLst>
            <a:ext uri="{FF2B5EF4-FFF2-40B4-BE49-F238E27FC236}">
              <a16:creationId xmlns:a16="http://schemas.microsoft.com/office/drawing/2014/main" id="{91C08B5A-949B-47B2-B6B6-83E43DB80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24</xdr:row>
      <xdr:rowOff>0</xdr:rowOff>
    </xdr:from>
    <xdr:ext cx="230186" cy="271084"/>
    <xdr:pic>
      <xdr:nvPicPr>
        <xdr:cNvPr id="357" name="Picture 356" descr="A black and white symbol&#10;&#10;Description automatically generated">
          <a:extLst>
            <a:ext uri="{FF2B5EF4-FFF2-40B4-BE49-F238E27FC236}">
              <a16:creationId xmlns:a16="http://schemas.microsoft.com/office/drawing/2014/main" id="{95C47906-4776-4014-82D8-446D1D1F8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69</xdr:row>
      <xdr:rowOff>0</xdr:rowOff>
    </xdr:from>
    <xdr:ext cx="230186" cy="271084"/>
    <xdr:pic>
      <xdr:nvPicPr>
        <xdr:cNvPr id="358" name="Picture 357" descr="A black and white symbol&#10;&#10;Description automatically generated">
          <a:extLst>
            <a:ext uri="{FF2B5EF4-FFF2-40B4-BE49-F238E27FC236}">
              <a16:creationId xmlns:a16="http://schemas.microsoft.com/office/drawing/2014/main" id="{1A29D519-4FE7-40F3-8805-513D67884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69</xdr:row>
      <xdr:rowOff>0</xdr:rowOff>
    </xdr:from>
    <xdr:ext cx="230186" cy="271084"/>
    <xdr:pic>
      <xdr:nvPicPr>
        <xdr:cNvPr id="359" name="Picture 358" descr="A black and white symbol&#10;&#10;Description automatically generated">
          <a:extLst>
            <a:ext uri="{FF2B5EF4-FFF2-40B4-BE49-F238E27FC236}">
              <a16:creationId xmlns:a16="http://schemas.microsoft.com/office/drawing/2014/main" id="{F74197FF-FD28-404D-B56A-BCC9E29A5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123</xdr:row>
      <xdr:rowOff>0</xdr:rowOff>
    </xdr:from>
    <xdr:ext cx="230186" cy="271084"/>
    <xdr:pic>
      <xdr:nvPicPr>
        <xdr:cNvPr id="360" name="Picture 359" descr="A black and white symbol&#10;&#10;Description automatically generated">
          <a:extLst>
            <a:ext uri="{FF2B5EF4-FFF2-40B4-BE49-F238E27FC236}">
              <a16:creationId xmlns:a16="http://schemas.microsoft.com/office/drawing/2014/main" id="{2D13768C-026C-4F78-BD4D-136D21362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78</xdr:row>
      <xdr:rowOff>0</xdr:rowOff>
    </xdr:from>
    <xdr:ext cx="230186" cy="271084"/>
    <xdr:pic>
      <xdr:nvPicPr>
        <xdr:cNvPr id="361" name="Picture 360" descr="A black and white symbol&#10;&#10;Description automatically generated">
          <a:extLst>
            <a:ext uri="{FF2B5EF4-FFF2-40B4-BE49-F238E27FC236}">
              <a16:creationId xmlns:a16="http://schemas.microsoft.com/office/drawing/2014/main" id="{A1C116C4-073C-4FAC-851E-AE6D86A0A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69</xdr:row>
      <xdr:rowOff>0</xdr:rowOff>
    </xdr:from>
    <xdr:ext cx="230186" cy="271084"/>
    <xdr:pic>
      <xdr:nvPicPr>
        <xdr:cNvPr id="362" name="Picture 361" descr="A black and white symbol&#10;&#10;Description automatically generated">
          <a:extLst>
            <a:ext uri="{FF2B5EF4-FFF2-40B4-BE49-F238E27FC236}">
              <a16:creationId xmlns:a16="http://schemas.microsoft.com/office/drawing/2014/main" id="{921A060C-6A26-444D-B260-0A1070483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69</xdr:row>
      <xdr:rowOff>0</xdr:rowOff>
    </xdr:from>
    <xdr:ext cx="230186" cy="271084"/>
    <xdr:pic>
      <xdr:nvPicPr>
        <xdr:cNvPr id="363" name="Picture 362" descr="A black and white symbol&#10;&#10;Description automatically generated">
          <a:extLst>
            <a:ext uri="{FF2B5EF4-FFF2-40B4-BE49-F238E27FC236}">
              <a16:creationId xmlns:a16="http://schemas.microsoft.com/office/drawing/2014/main" id="{B6D37B6C-2E5A-45BD-BA05-9E381FF1B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105</xdr:row>
      <xdr:rowOff>0</xdr:rowOff>
    </xdr:from>
    <xdr:ext cx="230186" cy="271084"/>
    <xdr:pic>
      <xdr:nvPicPr>
        <xdr:cNvPr id="364" name="Picture 363" descr="A black and white symbol&#10;&#10;Description automatically generated">
          <a:extLst>
            <a:ext uri="{FF2B5EF4-FFF2-40B4-BE49-F238E27FC236}">
              <a16:creationId xmlns:a16="http://schemas.microsoft.com/office/drawing/2014/main" id="{5EB8C6A9-5762-48C7-ACC1-E254D2A80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105</xdr:row>
      <xdr:rowOff>0</xdr:rowOff>
    </xdr:from>
    <xdr:ext cx="230186" cy="271084"/>
    <xdr:pic>
      <xdr:nvPicPr>
        <xdr:cNvPr id="365" name="Picture 364" descr="A black and white symbol&#10;&#10;Description automatically generated">
          <a:extLst>
            <a:ext uri="{FF2B5EF4-FFF2-40B4-BE49-F238E27FC236}">
              <a16:creationId xmlns:a16="http://schemas.microsoft.com/office/drawing/2014/main" id="{41B41DF1-607F-4F72-99B5-FBEE92239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123</xdr:row>
      <xdr:rowOff>0</xdr:rowOff>
    </xdr:from>
    <xdr:ext cx="230186" cy="271084"/>
    <xdr:pic>
      <xdr:nvPicPr>
        <xdr:cNvPr id="366" name="Picture 365" descr="A black and white symbol&#10;&#10;Description automatically generated">
          <a:extLst>
            <a:ext uri="{FF2B5EF4-FFF2-40B4-BE49-F238E27FC236}">
              <a16:creationId xmlns:a16="http://schemas.microsoft.com/office/drawing/2014/main" id="{A627512D-7408-45CA-8B17-631403606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24</xdr:row>
      <xdr:rowOff>0</xdr:rowOff>
    </xdr:from>
    <xdr:ext cx="230186" cy="271084"/>
    <xdr:pic>
      <xdr:nvPicPr>
        <xdr:cNvPr id="367" name="Picture 366" descr="A black and white symbol&#10;&#10;Description automatically generated">
          <a:extLst>
            <a:ext uri="{FF2B5EF4-FFF2-40B4-BE49-F238E27FC236}">
              <a16:creationId xmlns:a16="http://schemas.microsoft.com/office/drawing/2014/main" id="{5569592D-7CFE-4994-AA5E-53E51957D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33</xdr:row>
      <xdr:rowOff>0</xdr:rowOff>
    </xdr:from>
    <xdr:ext cx="230186" cy="271084"/>
    <xdr:pic>
      <xdr:nvPicPr>
        <xdr:cNvPr id="368" name="Picture 367" descr="A black and white symbol&#10;&#10;Description automatically generated">
          <a:extLst>
            <a:ext uri="{FF2B5EF4-FFF2-40B4-BE49-F238E27FC236}">
              <a16:creationId xmlns:a16="http://schemas.microsoft.com/office/drawing/2014/main" id="{AFE8FBC8-CF8F-44B7-9138-1E7469FAF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5567</xdr:colOff>
      <xdr:row>122</xdr:row>
      <xdr:rowOff>158029</xdr:rowOff>
    </xdr:from>
    <xdr:ext cx="230186" cy="271084"/>
    <xdr:pic>
      <xdr:nvPicPr>
        <xdr:cNvPr id="369" name="Picture 368" descr="A black and white symbol&#10;&#10;Description automatically generated">
          <a:extLst>
            <a:ext uri="{FF2B5EF4-FFF2-40B4-BE49-F238E27FC236}">
              <a16:creationId xmlns:a16="http://schemas.microsoft.com/office/drawing/2014/main" id="{A49C55BB-F3C1-44BA-AE51-3F0A8AC71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1967" y="20230379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123</xdr:row>
      <xdr:rowOff>0</xdr:rowOff>
    </xdr:from>
    <xdr:ext cx="230186" cy="271084"/>
    <xdr:pic>
      <xdr:nvPicPr>
        <xdr:cNvPr id="370" name="Picture 369" descr="A black and white symbol&#10;&#10;Description automatically generated">
          <a:extLst>
            <a:ext uri="{FF2B5EF4-FFF2-40B4-BE49-F238E27FC236}">
              <a16:creationId xmlns:a16="http://schemas.microsoft.com/office/drawing/2014/main" id="{6D4D8ECF-8223-4D24-8771-FF412E339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123</xdr:row>
      <xdr:rowOff>0</xdr:rowOff>
    </xdr:from>
    <xdr:ext cx="230186" cy="271084"/>
    <xdr:pic>
      <xdr:nvPicPr>
        <xdr:cNvPr id="371" name="Picture 370" descr="A black and white symbol&#10;&#10;Description automatically generated">
          <a:extLst>
            <a:ext uri="{FF2B5EF4-FFF2-40B4-BE49-F238E27FC236}">
              <a16:creationId xmlns:a16="http://schemas.microsoft.com/office/drawing/2014/main" id="{622B5314-4978-4FCC-B864-1423C66BD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96</xdr:row>
      <xdr:rowOff>0</xdr:rowOff>
    </xdr:from>
    <xdr:ext cx="230186" cy="271084"/>
    <xdr:pic>
      <xdr:nvPicPr>
        <xdr:cNvPr id="372" name="Picture 371" descr="A black and white symbol&#10;&#10;Description automatically generated">
          <a:extLst>
            <a:ext uri="{FF2B5EF4-FFF2-40B4-BE49-F238E27FC236}">
              <a16:creationId xmlns:a16="http://schemas.microsoft.com/office/drawing/2014/main" id="{5E984CA2-D295-4F4A-8C55-084B9789F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33</xdr:row>
      <xdr:rowOff>0</xdr:rowOff>
    </xdr:from>
    <xdr:ext cx="230186" cy="271084"/>
    <xdr:pic>
      <xdr:nvPicPr>
        <xdr:cNvPr id="373" name="Picture 372" descr="A black and white symbol&#10;&#10;Description automatically generated">
          <a:extLst>
            <a:ext uri="{FF2B5EF4-FFF2-40B4-BE49-F238E27FC236}">
              <a16:creationId xmlns:a16="http://schemas.microsoft.com/office/drawing/2014/main" id="{45C43892-611A-4095-99B2-ABE493215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123</xdr:row>
      <xdr:rowOff>0</xdr:rowOff>
    </xdr:from>
    <xdr:ext cx="230186" cy="271084"/>
    <xdr:pic>
      <xdr:nvPicPr>
        <xdr:cNvPr id="374" name="Picture 373" descr="A black and white symbol&#10;&#10;Description automatically generated">
          <a:extLst>
            <a:ext uri="{FF2B5EF4-FFF2-40B4-BE49-F238E27FC236}">
              <a16:creationId xmlns:a16="http://schemas.microsoft.com/office/drawing/2014/main" id="{08F4E919-B2ED-440F-AA2C-2953F21EF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123</xdr:row>
      <xdr:rowOff>0</xdr:rowOff>
    </xdr:from>
    <xdr:ext cx="230186" cy="271084"/>
    <xdr:pic>
      <xdr:nvPicPr>
        <xdr:cNvPr id="375" name="Picture 374" descr="A black and white symbol&#10;&#10;Description automatically generated">
          <a:extLst>
            <a:ext uri="{FF2B5EF4-FFF2-40B4-BE49-F238E27FC236}">
              <a16:creationId xmlns:a16="http://schemas.microsoft.com/office/drawing/2014/main" id="{E1A88F6A-D9AA-4E32-80F7-DA4D1CB36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123</xdr:row>
      <xdr:rowOff>0</xdr:rowOff>
    </xdr:from>
    <xdr:ext cx="230186" cy="271084"/>
    <xdr:pic>
      <xdr:nvPicPr>
        <xdr:cNvPr id="376" name="Picture 375" descr="A black and white symbol&#10;&#10;Description automatically generated">
          <a:extLst>
            <a:ext uri="{FF2B5EF4-FFF2-40B4-BE49-F238E27FC236}">
              <a16:creationId xmlns:a16="http://schemas.microsoft.com/office/drawing/2014/main" id="{51A8B86F-E316-4181-8FA4-BE933CEBE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2</xdr:row>
      <xdr:rowOff>8797</xdr:rowOff>
    </xdr:from>
    <xdr:to>
      <xdr:col>2</xdr:col>
      <xdr:colOff>256441</xdr:colOff>
      <xdr:row>3</xdr:row>
      <xdr:rowOff>176439</xdr:rowOff>
    </xdr:to>
    <xdr:sp macro="" textlink="">
      <xdr:nvSpPr>
        <xdr:cNvPr id="377" name="Isosceles Triangle 376">
          <a:extLst>
            <a:ext uri="{FF2B5EF4-FFF2-40B4-BE49-F238E27FC236}">
              <a16:creationId xmlns:a16="http://schemas.microsoft.com/office/drawing/2014/main" id="{4F917AE1-85B2-4606-B773-81E1EAEABE01}"/>
            </a:ext>
          </a:extLst>
        </xdr:cNvPr>
        <xdr:cNvSpPr/>
      </xdr:nvSpPr>
      <xdr:spPr>
        <a:xfrm>
          <a:off x="609600" y="377097"/>
          <a:ext cx="866041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87</xdr:row>
      <xdr:rowOff>0</xdr:rowOff>
    </xdr:from>
    <xdr:ext cx="230186" cy="271084"/>
    <xdr:pic>
      <xdr:nvPicPr>
        <xdr:cNvPr id="378" name="Picture 377" descr="A black and white symbol&#10;&#10;Description automatically generated">
          <a:extLst>
            <a:ext uri="{FF2B5EF4-FFF2-40B4-BE49-F238E27FC236}">
              <a16:creationId xmlns:a16="http://schemas.microsoft.com/office/drawing/2014/main" id="{556E5F98-7D5D-459A-BDDC-AF2A02C12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177475</xdr:rowOff>
    </xdr:to>
    <xdr:sp macro="" textlink="">
      <xdr:nvSpPr>
        <xdr:cNvPr id="379" name="Isosceles Triangle 378">
          <a:extLst>
            <a:ext uri="{FF2B5EF4-FFF2-40B4-BE49-F238E27FC236}">
              <a16:creationId xmlns:a16="http://schemas.microsoft.com/office/drawing/2014/main" id="{6B7E7693-FCF6-4E53-A76A-A1730934DBCC}"/>
            </a:ext>
          </a:extLst>
        </xdr:cNvPr>
        <xdr:cNvSpPr/>
      </xdr:nvSpPr>
      <xdr:spPr>
        <a:xfrm>
          <a:off x="11582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177476</xdr:rowOff>
    </xdr:to>
    <xdr:sp macro="" textlink="">
      <xdr:nvSpPr>
        <xdr:cNvPr id="380" name="Isosceles Triangle 379">
          <a:extLst>
            <a:ext uri="{FF2B5EF4-FFF2-40B4-BE49-F238E27FC236}">
              <a16:creationId xmlns:a16="http://schemas.microsoft.com/office/drawing/2014/main" id="{04CC5D5C-F57F-4FF2-BC2D-61B1C321618A}"/>
            </a:ext>
          </a:extLst>
        </xdr:cNvPr>
        <xdr:cNvSpPr/>
      </xdr:nvSpPr>
      <xdr:spPr>
        <a:xfrm>
          <a:off x="6096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177476</xdr:rowOff>
    </xdr:to>
    <xdr:sp macro="" textlink="">
      <xdr:nvSpPr>
        <xdr:cNvPr id="381" name="Isosceles Triangle 380">
          <a:extLst>
            <a:ext uri="{FF2B5EF4-FFF2-40B4-BE49-F238E27FC236}">
              <a16:creationId xmlns:a16="http://schemas.microsoft.com/office/drawing/2014/main" id="{7431F28A-7E35-42FA-8E79-C007F6D8A85B}"/>
            </a:ext>
          </a:extLst>
        </xdr:cNvPr>
        <xdr:cNvSpPr/>
      </xdr:nvSpPr>
      <xdr:spPr>
        <a:xfrm>
          <a:off x="4267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12370</xdr:colOff>
      <xdr:row>74</xdr:row>
      <xdr:rowOff>0</xdr:rowOff>
    </xdr:from>
    <xdr:to>
      <xdr:col>26</xdr:col>
      <xdr:colOff>240236</xdr:colOff>
      <xdr:row>75</xdr:row>
      <xdr:rowOff>177476</xdr:rowOff>
    </xdr:to>
    <xdr:sp macro="" textlink="">
      <xdr:nvSpPr>
        <xdr:cNvPr id="382" name="Isosceles Triangle 381">
          <a:extLst>
            <a:ext uri="{FF2B5EF4-FFF2-40B4-BE49-F238E27FC236}">
              <a16:creationId xmlns:a16="http://schemas.microsoft.com/office/drawing/2014/main" id="{303C93C0-AC65-4859-AE64-6C97153E623A}"/>
            </a:ext>
          </a:extLst>
        </xdr:cNvPr>
        <xdr:cNvSpPr/>
      </xdr:nvSpPr>
      <xdr:spPr>
        <a:xfrm>
          <a:off x="152523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78</xdr:row>
      <xdr:rowOff>0</xdr:rowOff>
    </xdr:from>
    <xdr:ext cx="230186" cy="271084"/>
    <xdr:pic>
      <xdr:nvPicPr>
        <xdr:cNvPr id="383" name="Picture 382" descr="A black and white symbol&#10;&#10;Description automatically generated">
          <a:extLst>
            <a:ext uri="{FF2B5EF4-FFF2-40B4-BE49-F238E27FC236}">
              <a16:creationId xmlns:a16="http://schemas.microsoft.com/office/drawing/2014/main" id="{D1AE6C97-D99D-45CA-AAF3-D732C0445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177476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674F3246-DFE1-4A9B-86E6-6606823AD630}"/>
            </a:ext>
          </a:extLst>
        </xdr:cNvPr>
        <xdr:cNvSpPr/>
      </xdr:nvSpPr>
      <xdr:spPr>
        <a:xfrm>
          <a:off x="7924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123702</xdr:colOff>
      <xdr:row>96</xdr:row>
      <xdr:rowOff>136071</xdr:rowOff>
    </xdr:from>
    <xdr:ext cx="230186" cy="271084"/>
    <xdr:pic>
      <xdr:nvPicPr>
        <xdr:cNvPr id="385" name="Picture 384" descr="A black and white symbol&#10;&#10;Description automatically generated">
          <a:extLst>
            <a:ext uri="{FF2B5EF4-FFF2-40B4-BE49-F238E27FC236}">
              <a16:creationId xmlns:a16="http://schemas.microsoft.com/office/drawing/2014/main" id="{E5DCFA5B-41E5-4303-B405-3C0FD49CA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902" y="1597297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96</xdr:row>
      <xdr:rowOff>0</xdr:rowOff>
    </xdr:from>
    <xdr:ext cx="230186" cy="271084"/>
    <xdr:pic>
      <xdr:nvPicPr>
        <xdr:cNvPr id="386" name="Picture 385" descr="A black and white symbol&#10;&#10;Description automatically generated">
          <a:extLst>
            <a:ext uri="{FF2B5EF4-FFF2-40B4-BE49-F238E27FC236}">
              <a16:creationId xmlns:a16="http://schemas.microsoft.com/office/drawing/2014/main" id="{6535C729-D337-453C-9A78-BD7C7918E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96</xdr:row>
      <xdr:rowOff>0</xdr:rowOff>
    </xdr:from>
    <xdr:ext cx="230186" cy="271084"/>
    <xdr:pic>
      <xdr:nvPicPr>
        <xdr:cNvPr id="388" name="Picture 387" descr="A black and white symbol&#10;&#10;Description automatically generated">
          <a:extLst>
            <a:ext uri="{FF2B5EF4-FFF2-40B4-BE49-F238E27FC236}">
              <a16:creationId xmlns:a16="http://schemas.microsoft.com/office/drawing/2014/main" id="{766BD28F-E7A7-489D-9100-A90B6FD50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78</xdr:row>
      <xdr:rowOff>0</xdr:rowOff>
    </xdr:from>
    <xdr:ext cx="230186" cy="271084"/>
    <xdr:pic>
      <xdr:nvPicPr>
        <xdr:cNvPr id="389" name="Picture 388" descr="A black and white symbol&#10;&#10;Description automatically generated">
          <a:extLst>
            <a:ext uri="{FF2B5EF4-FFF2-40B4-BE49-F238E27FC236}">
              <a16:creationId xmlns:a16="http://schemas.microsoft.com/office/drawing/2014/main" id="{FC72BA6D-6085-4F54-A540-9172A44E3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30</xdr:col>
      <xdr:colOff>454173</xdr:colOff>
      <xdr:row>64</xdr:row>
      <xdr:rowOff>189336</xdr:rowOff>
    </xdr:from>
    <xdr:to>
      <xdr:col>33</xdr:col>
      <xdr:colOff>6100</xdr:colOff>
      <xdr:row>66</xdr:row>
      <xdr:rowOff>181260</xdr:rowOff>
    </xdr:to>
    <xdr:sp macro="" textlink="">
      <xdr:nvSpPr>
        <xdr:cNvPr id="390" name="Isosceles Triangle 389">
          <a:extLst>
            <a:ext uri="{FF2B5EF4-FFF2-40B4-BE49-F238E27FC236}">
              <a16:creationId xmlns:a16="http://schemas.microsoft.com/office/drawing/2014/main" id="{439F8ADA-76A2-4E5B-AE7D-E017FAE5DDCF}"/>
            </a:ext>
          </a:extLst>
        </xdr:cNvPr>
        <xdr:cNvSpPr/>
      </xdr:nvSpPr>
      <xdr:spPr>
        <a:xfrm>
          <a:off x="18742173" y="10679536"/>
          <a:ext cx="1380727" cy="366574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177476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700CD1B3-5911-4D92-B05D-03B1F012E004}"/>
            </a:ext>
          </a:extLst>
        </xdr:cNvPr>
        <xdr:cNvSpPr/>
      </xdr:nvSpPr>
      <xdr:spPr>
        <a:xfrm>
          <a:off x="97536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177476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1111A408-137D-4F36-B66E-EFB865AA61CC}"/>
            </a:ext>
          </a:extLst>
        </xdr:cNvPr>
        <xdr:cNvSpPr/>
      </xdr:nvSpPr>
      <xdr:spPr>
        <a:xfrm>
          <a:off x="17068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12370</xdr:colOff>
      <xdr:row>74</xdr:row>
      <xdr:rowOff>0</xdr:rowOff>
    </xdr:from>
    <xdr:to>
      <xdr:col>17</xdr:col>
      <xdr:colOff>240236</xdr:colOff>
      <xdr:row>75</xdr:row>
      <xdr:rowOff>177476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B3F24F3C-91B0-4C28-A0CC-0862F2E469EC}"/>
            </a:ext>
          </a:extLst>
        </xdr:cNvPr>
        <xdr:cNvSpPr/>
      </xdr:nvSpPr>
      <xdr:spPr>
        <a:xfrm>
          <a:off x="97659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78</xdr:row>
      <xdr:rowOff>0</xdr:rowOff>
    </xdr:from>
    <xdr:ext cx="230186" cy="271084"/>
    <xdr:pic>
      <xdr:nvPicPr>
        <xdr:cNvPr id="394" name="Picture 393" descr="A black and white symbol&#10;&#10;Description automatically generated">
          <a:extLst>
            <a:ext uri="{FF2B5EF4-FFF2-40B4-BE49-F238E27FC236}">
              <a16:creationId xmlns:a16="http://schemas.microsoft.com/office/drawing/2014/main" id="{F17516AE-9580-47D3-A693-55A2937A6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177475</xdr:rowOff>
    </xdr:to>
    <xdr:sp macro="" textlink="">
      <xdr:nvSpPr>
        <xdr:cNvPr id="395" name="Isosceles Triangle 394">
          <a:extLst>
            <a:ext uri="{FF2B5EF4-FFF2-40B4-BE49-F238E27FC236}">
              <a16:creationId xmlns:a16="http://schemas.microsoft.com/office/drawing/2014/main" id="{FFA11841-E53A-41C0-A711-8F3A41E46505}"/>
            </a:ext>
          </a:extLst>
        </xdr:cNvPr>
        <xdr:cNvSpPr/>
      </xdr:nvSpPr>
      <xdr:spPr>
        <a:xfrm>
          <a:off x="24384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177475</xdr:rowOff>
    </xdr:to>
    <xdr:sp macro="" textlink="">
      <xdr:nvSpPr>
        <xdr:cNvPr id="396" name="Isosceles Triangle 395">
          <a:extLst>
            <a:ext uri="{FF2B5EF4-FFF2-40B4-BE49-F238E27FC236}">
              <a16:creationId xmlns:a16="http://schemas.microsoft.com/office/drawing/2014/main" id="{7D833D5A-9CEF-4B7C-B08D-2C954342E396}"/>
            </a:ext>
          </a:extLst>
        </xdr:cNvPr>
        <xdr:cNvSpPr/>
      </xdr:nvSpPr>
      <xdr:spPr>
        <a:xfrm>
          <a:off x="225552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177476</xdr:rowOff>
    </xdr:to>
    <xdr:sp macro="" textlink="">
      <xdr:nvSpPr>
        <xdr:cNvPr id="397" name="Isosceles Triangle 396">
          <a:extLst>
            <a:ext uri="{FF2B5EF4-FFF2-40B4-BE49-F238E27FC236}">
              <a16:creationId xmlns:a16="http://schemas.microsoft.com/office/drawing/2014/main" id="{54BCC2DF-3787-4B24-8367-9AE2E85C2793}"/>
            </a:ext>
          </a:extLst>
        </xdr:cNvPr>
        <xdr:cNvSpPr/>
      </xdr:nvSpPr>
      <xdr:spPr>
        <a:xfrm>
          <a:off x="22555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69</xdr:row>
      <xdr:rowOff>0</xdr:rowOff>
    </xdr:from>
    <xdr:ext cx="230186" cy="271084"/>
    <xdr:pic>
      <xdr:nvPicPr>
        <xdr:cNvPr id="398" name="Picture 397" descr="A black and white symbol&#10;&#10;Description automatically generated">
          <a:extLst>
            <a:ext uri="{FF2B5EF4-FFF2-40B4-BE49-F238E27FC236}">
              <a16:creationId xmlns:a16="http://schemas.microsoft.com/office/drawing/2014/main" id="{A6FE778E-1184-4A46-8726-AFCAB5CA2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177476</xdr:rowOff>
    </xdr:to>
    <xdr:sp macro="" textlink="">
      <xdr:nvSpPr>
        <xdr:cNvPr id="399" name="Isosceles Triangle 398">
          <a:extLst>
            <a:ext uri="{FF2B5EF4-FFF2-40B4-BE49-F238E27FC236}">
              <a16:creationId xmlns:a16="http://schemas.microsoft.com/office/drawing/2014/main" id="{A26C8477-3CCF-434A-9169-1D6C04D473C7}"/>
            </a:ext>
          </a:extLst>
        </xdr:cNvPr>
        <xdr:cNvSpPr/>
      </xdr:nvSpPr>
      <xdr:spPr>
        <a:xfrm>
          <a:off x="207264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69</xdr:row>
      <xdr:rowOff>0</xdr:rowOff>
    </xdr:from>
    <xdr:ext cx="230186" cy="271084"/>
    <xdr:pic>
      <xdr:nvPicPr>
        <xdr:cNvPr id="400" name="Picture 399" descr="A black and white symbol&#10;&#10;Description automatically generated">
          <a:extLst>
            <a:ext uri="{FF2B5EF4-FFF2-40B4-BE49-F238E27FC236}">
              <a16:creationId xmlns:a16="http://schemas.microsoft.com/office/drawing/2014/main" id="{AD42EC01-9094-46EA-AD9C-FDE105DDD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177476</xdr:rowOff>
    </xdr:to>
    <xdr:sp macro="" textlink="">
      <xdr:nvSpPr>
        <xdr:cNvPr id="401" name="Isosceles Triangle 400">
          <a:extLst>
            <a:ext uri="{FF2B5EF4-FFF2-40B4-BE49-F238E27FC236}">
              <a16:creationId xmlns:a16="http://schemas.microsoft.com/office/drawing/2014/main" id="{95E631BE-9AD6-405D-87A3-D5EDDFB47912}"/>
            </a:ext>
          </a:extLst>
        </xdr:cNvPr>
        <xdr:cNvSpPr/>
      </xdr:nvSpPr>
      <xdr:spPr>
        <a:xfrm>
          <a:off x="24384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177475</xdr:rowOff>
    </xdr:to>
    <xdr:sp macro="" textlink="">
      <xdr:nvSpPr>
        <xdr:cNvPr id="402" name="Isosceles Triangle 401">
          <a:extLst>
            <a:ext uri="{FF2B5EF4-FFF2-40B4-BE49-F238E27FC236}">
              <a16:creationId xmlns:a16="http://schemas.microsoft.com/office/drawing/2014/main" id="{F3E1A157-BA91-4469-B27F-E46A89170DCE}"/>
            </a:ext>
          </a:extLst>
        </xdr:cNvPr>
        <xdr:cNvSpPr/>
      </xdr:nvSpPr>
      <xdr:spPr>
        <a:xfrm>
          <a:off x="6096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105</xdr:row>
      <xdr:rowOff>0</xdr:rowOff>
    </xdr:from>
    <xdr:ext cx="230186" cy="271084"/>
    <xdr:pic>
      <xdr:nvPicPr>
        <xdr:cNvPr id="403" name="Picture 402" descr="A black and white symbol&#10;&#10;Description automatically generated">
          <a:extLst>
            <a:ext uri="{FF2B5EF4-FFF2-40B4-BE49-F238E27FC236}">
              <a16:creationId xmlns:a16="http://schemas.microsoft.com/office/drawing/2014/main" id="{8DA91428-32C1-41D3-A45D-CED31C710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74</xdr:row>
      <xdr:rowOff>0</xdr:rowOff>
    </xdr:from>
    <xdr:to>
      <xdr:col>5</xdr:col>
      <xdr:colOff>256443</xdr:colOff>
      <xdr:row>75</xdr:row>
      <xdr:rowOff>177476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A8B4B852-0B36-47C1-A274-0FF90FF9AAA0}"/>
            </a:ext>
          </a:extLst>
        </xdr:cNvPr>
        <xdr:cNvSpPr/>
      </xdr:nvSpPr>
      <xdr:spPr>
        <a:xfrm>
          <a:off x="2438400" y="121539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78</xdr:row>
      <xdr:rowOff>0</xdr:rowOff>
    </xdr:from>
    <xdr:ext cx="230186" cy="271084"/>
    <xdr:pic>
      <xdr:nvPicPr>
        <xdr:cNvPr id="405" name="Picture 404" descr="A black and white symbol&#10;&#10;Description automatically generated">
          <a:extLst>
            <a:ext uri="{FF2B5EF4-FFF2-40B4-BE49-F238E27FC236}">
              <a16:creationId xmlns:a16="http://schemas.microsoft.com/office/drawing/2014/main" id="{79903CFD-17CD-4208-94DE-6172E503E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177476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12BE9853-CEE1-4B12-AEA2-FCF4EEC33DCF}"/>
            </a:ext>
          </a:extLst>
        </xdr:cNvPr>
        <xdr:cNvSpPr/>
      </xdr:nvSpPr>
      <xdr:spPr>
        <a:xfrm>
          <a:off x="42672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78</xdr:row>
      <xdr:rowOff>0</xdr:rowOff>
    </xdr:from>
    <xdr:ext cx="230186" cy="271084"/>
    <xdr:pic>
      <xdr:nvPicPr>
        <xdr:cNvPr id="407" name="Picture 406" descr="A black and white symbol&#10;&#10;Description automatically generated">
          <a:extLst>
            <a:ext uri="{FF2B5EF4-FFF2-40B4-BE49-F238E27FC236}">
              <a16:creationId xmlns:a16="http://schemas.microsoft.com/office/drawing/2014/main" id="{C321FB9D-F0B6-45A6-8175-283E7AAFC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101</xdr:row>
      <xdr:rowOff>0</xdr:rowOff>
    </xdr:from>
    <xdr:to>
      <xdr:col>5</xdr:col>
      <xdr:colOff>256443</xdr:colOff>
      <xdr:row>102</xdr:row>
      <xdr:rowOff>177475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ECE3EAC0-F353-4CD5-AA6C-A18861C0A852}"/>
            </a:ext>
          </a:extLst>
        </xdr:cNvPr>
        <xdr:cNvSpPr/>
      </xdr:nvSpPr>
      <xdr:spPr>
        <a:xfrm>
          <a:off x="2438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105</xdr:row>
      <xdr:rowOff>0</xdr:rowOff>
    </xdr:from>
    <xdr:ext cx="230186" cy="271084"/>
    <xdr:pic>
      <xdr:nvPicPr>
        <xdr:cNvPr id="409" name="Picture 408" descr="A black and white symbol&#10;&#10;Description automatically generated">
          <a:extLst>
            <a:ext uri="{FF2B5EF4-FFF2-40B4-BE49-F238E27FC236}">
              <a16:creationId xmlns:a16="http://schemas.microsoft.com/office/drawing/2014/main" id="{2D9B49F8-0102-4F0C-902B-17224FEE9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177476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F6E91413-93E6-4DB8-941C-EEB930ACEAC4}"/>
            </a:ext>
          </a:extLst>
        </xdr:cNvPr>
        <xdr:cNvSpPr/>
      </xdr:nvSpPr>
      <xdr:spPr>
        <a:xfrm>
          <a:off x="609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148442</xdr:colOff>
      <xdr:row>78</xdr:row>
      <xdr:rowOff>37110</xdr:rowOff>
    </xdr:from>
    <xdr:ext cx="230186" cy="271084"/>
    <xdr:pic>
      <xdr:nvPicPr>
        <xdr:cNvPr id="411" name="Picture 410" descr="A black and white symbol&#10;&#10;Description automatically generated">
          <a:extLst>
            <a:ext uri="{FF2B5EF4-FFF2-40B4-BE49-F238E27FC236}">
              <a16:creationId xmlns:a16="http://schemas.microsoft.com/office/drawing/2014/main" id="{6707A9AE-1C63-4A38-9FA3-EA59CD66B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7642" y="1292761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177475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87D9567D-92BB-4BA8-BACD-CB3851528AE7}"/>
            </a:ext>
          </a:extLst>
        </xdr:cNvPr>
        <xdr:cNvSpPr/>
      </xdr:nvSpPr>
      <xdr:spPr>
        <a:xfrm>
          <a:off x="79248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177475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37F12DC6-6CF2-40A2-8FB6-A5803A5EDE55}"/>
            </a:ext>
          </a:extLst>
        </xdr:cNvPr>
        <xdr:cNvSpPr/>
      </xdr:nvSpPr>
      <xdr:spPr>
        <a:xfrm>
          <a:off x="225552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114</xdr:row>
      <xdr:rowOff>0</xdr:rowOff>
    </xdr:from>
    <xdr:ext cx="230186" cy="271084"/>
    <xdr:pic>
      <xdr:nvPicPr>
        <xdr:cNvPr id="414" name="Picture 413" descr="A black and white symbol&#10;&#10;Description automatically generated">
          <a:extLst>
            <a:ext uri="{FF2B5EF4-FFF2-40B4-BE49-F238E27FC236}">
              <a16:creationId xmlns:a16="http://schemas.microsoft.com/office/drawing/2014/main" id="{8F732705-C956-4716-8EC3-82C90233E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12370</xdr:colOff>
      <xdr:row>74</xdr:row>
      <xdr:rowOff>0</xdr:rowOff>
    </xdr:from>
    <xdr:to>
      <xdr:col>14</xdr:col>
      <xdr:colOff>240236</xdr:colOff>
      <xdr:row>75</xdr:row>
      <xdr:rowOff>177476</xdr:rowOff>
    </xdr:to>
    <xdr:sp macro="" textlink="">
      <xdr:nvSpPr>
        <xdr:cNvPr id="415" name="Isosceles Triangle 414">
          <a:extLst>
            <a:ext uri="{FF2B5EF4-FFF2-40B4-BE49-F238E27FC236}">
              <a16:creationId xmlns:a16="http://schemas.microsoft.com/office/drawing/2014/main" id="{A845353B-4146-4D97-A297-72A8119AB10C}"/>
            </a:ext>
          </a:extLst>
        </xdr:cNvPr>
        <xdr:cNvSpPr/>
      </xdr:nvSpPr>
      <xdr:spPr>
        <a:xfrm>
          <a:off x="79371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78</xdr:row>
      <xdr:rowOff>0</xdr:rowOff>
    </xdr:from>
    <xdr:ext cx="230186" cy="271084"/>
    <xdr:pic>
      <xdr:nvPicPr>
        <xdr:cNvPr id="416" name="Picture 415" descr="A black and white symbol&#10;&#10;Description automatically generated">
          <a:extLst>
            <a:ext uri="{FF2B5EF4-FFF2-40B4-BE49-F238E27FC236}">
              <a16:creationId xmlns:a16="http://schemas.microsoft.com/office/drawing/2014/main" id="{55BAD2DC-8981-479C-841B-C831BBE2E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78</xdr:row>
      <xdr:rowOff>0</xdr:rowOff>
    </xdr:from>
    <xdr:ext cx="230186" cy="271084"/>
    <xdr:pic>
      <xdr:nvPicPr>
        <xdr:cNvPr id="417" name="Picture 416" descr="A black and white symbol&#10;&#10;Description automatically generated">
          <a:extLst>
            <a:ext uri="{FF2B5EF4-FFF2-40B4-BE49-F238E27FC236}">
              <a16:creationId xmlns:a16="http://schemas.microsoft.com/office/drawing/2014/main" id="{C95534C8-9CC2-4B0C-A51B-82856626D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177475</xdr:rowOff>
    </xdr:to>
    <xdr:sp macro="" textlink="">
      <xdr:nvSpPr>
        <xdr:cNvPr id="418" name="Isosceles Triangle 417">
          <a:extLst>
            <a:ext uri="{FF2B5EF4-FFF2-40B4-BE49-F238E27FC236}">
              <a16:creationId xmlns:a16="http://schemas.microsoft.com/office/drawing/2014/main" id="{9D4080CB-CBE9-4417-BCCE-082D6B30AF4A}"/>
            </a:ext>
          </a:extLst>
        </xdr:cNvPr>
        <xdr:cNvSpPr/>
      </xdr:nvSpPr>
      <xdr:spPr>
        <a:xfrm>
          <a:off x="20726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96</xdr:row>
      <xdr:rowOff>0</xdr:rowOff>
    </xdr:from>
    <xdr:ext cx="230186" cy="271084"/>
    <xdr:pic>
      <xdr:nvPicPr>
        <xdr:cNvPr id="419" name="Picture 418" descr="A black and white symbol&#10;&#10;Description automatically generated">
          <a:extLst>
            <a:ext uri="{FF2B5EF4-FFF2-40B4-BE49-F238E27FC236}">
              <a16:creationId xmlns:a16="http://schemas.microsoft.com/office/drawing/2014/main" id="{51CC9C23-41C5-47A5-AC04-FC30590E9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11906</xdr:colOff>
      <xdr:row>74</xdr:row>
      <xdr:rowOff>0</xdr:rowOff>
    </xdr:from>
    <xdr:to>
      <xdr:col>20</xdr:col>
      <xdr:colOff>239772</xdr:colOff>
      <xdr:row>75</xdr:row>
      <xdr:rowOff>177476</xdr:rowOff>
    </xdr:to>
    <xdr:sp macro="" textlink="">
      <xdr:nvSpPr>
        <xdr:cNvPr id="420" name="Isosceles Triangle 419">
          <a:extLst>
            <a:ext uri="{FF2B5EF4-FFF2-40B4-BE49-F238E27FC236}">
              <a16:creationId xmlns:a16="http://schemas.microsoft.com/office/drawing/2014/main" id="{105E69FC-9EA7-41D5-A093-E8B0E6CF9F84}"/>
            </a:ext>
          </a:extLst>
        </xdr:cNvPr>
        <xdr:cNvSpPr/>
      </xdr:nvSpPr>
      <xdr:spPr>
        <a:xfrm>
          <a:off x="11594306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19538</xdr:colOff>
      <xdr:row>128</xdr:row>
      <xdr:rowOff>0</xdr:rowOff>
    </xdr:from>
    <xdr:to>
      <xdr:col>5</xdr:col>
      <xdr:colOff>275981</xdr:colOff>
      <xdr:row>129</xdr:row>
      <xdr:rowOff>183173</xdr:rowOff>
    </xdr:to>
    <xdr:sp macro="" textlink="">
      <xdr:nvSpPr>
        <xdr:cNvPr id="421" name="Isosceles Triangle 420">
          <a:extLst>
            <a:ext uri="{FF2B5EF4-FFF2-40B4-BE49-F238E27FC236}">
              <a16:creationId xmlns:a16="http://schemas.microsoft.com/office/drawing/2014/main" id="{D22BFB8E-C528-4268-820C-9400BDDCAF10}"/>
            </a:ext>
          </a:extLst>
        </xdr:cNvPr>
        <xdr:cNvSpPr/>
      </xdr:nvSpPr>
      <xdr:spPr>
        <a:xfrm>
          <a:off x="1191846" y="23817385"/>
          <a:ext cx="539750" cy="368788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177475</xdr:rowOff>
    </xdr:to>
    <xdr:sp macro="" textlink="">
      <xdr:nvSpPr>
        <xdr:cNvPr id="422" name="Isosceles Triangle 421">
          <a:extLst>
            <a:ext uri="{FF2B5EF4-FFF2-40B4-BE49-F238E27FC236}">
              <a16:creationId xmlns:a16="http://schemas.microsoft.com/office/drawing/2014/main" id="{D02EC990-0457-4840-8691-46E82596A156}"/>
            </a:ext>
          </a:extLst>
        </xdr:cNvPr>
        <xdr:cNvSpPr/>
      </xdr:nvSpPr>
      <xdr:spPr>
        <a:xfrm>
          <a:off x="243840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101</xdr:row>
      <xdr:rowOff>0</xdr:rowOff>
    </xdr:from>
    <xdr:to>
      <xdr:col>8</xdr:col>
      <xdr:colOff>256442</xdr:colOff>
      <xdr:row>102</xdr:row>
      <xdr:rowOff>177475</xdr:rowOff>
    </xdr:to>
    <xdr:sp macro="" textlink="">
      <xdr:nvSpPr>
        <xdr:cNvPr id="423" name="Isosceles Triangle 422">
          <a:extLst>
            <a:ext uri="{FF2B5EF4-FFF2-40B4-BE49-F238E27FC236}">
              <a16:creationId xmlns:a16="http://schemas.microsoft.com/office/drawing/2014/main" id="{2CE098F5-3B03-4FD2-A08E-CE1258721FF4}"/>
            </a:ext>
          </a:extLst>
        </xdr:cNvPr>
        <xdr:cNvSpPr/>
      </xdr:nvSpPr>
      <xdr:spPr>
        <a:xfrm>
          <a:off x="4267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92</xdr:row>
      <xdr:rowOff>0</xdr:rowOff>
    </xdr:from>
    <xdr:to>
      <xdr:col>20</xdr:col>
      <xdr:colOff>256443</xdr:colOff>
      <xdr:row>93</xdr:row>
      <xdr:rowOff>177475</xdr:rowOff>
    </xdr:to>
    <xdr:sp macro="" textlink="">
      <xdr:nvSpPr>
        <xdr:cNvPr id="424" name="Isosceles Triangle 423">
          <a:extLst>
            <a:ext uri="{FF2B5EF4-FFF2-40B4-BE49-F238E27FC236}">
              <a16:creationId xmlns:a16="http://schemas.microsoft.com/office/drawing/2014/main" id="{AD6C2486-BA82-44A7-A6A4-9BE1AECD79FD}"/>
            </a:ext>
          </a:extLst>
        </xdr:cNvPr>
        <xdr:cNvSpPr/>
      </xdr:nvSpPr>
      <xdr:spPr>
        <a:xfrm>
          <a:off x="11582400" y="151003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256441</xdr:colOff>
      <xdr:row>93</xdr:row>
      <xdr:rowOff>177475</xdr:rowOff>
    </xdr:to>
    <xdr:sp macro="" textlink="">
      <xdr:nvSpPr>
        <xdr:cNvPr id="425" name="Isosceles Triangle 424">
          <a:extLst>
            <a:ext uri="{FF2B5EF4-FFF2-40B4-BE49-F238E27FC236}">
              <a16:creationId xmlns:a16="http://schemas.microsoft.com/office/drawing/2014/main" id="{F1E4BE9C-C3C8-4E03-B355-A5545DB689B1}"/>
            </a:ext>
          </a:extLst>
        </xdr:cNvPr>
        <xdr:cNvSpPr/>
      </xdr:nvSpPr>
      <xdr:spPr>
        <a:xfrm>
          <a:off x="6096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177475</xdr:rowOff>
    </xdr:to>
    <xdr:sp macro="" textlink="">
      <xdr:nvSpPr>
        <xdr:cNvPr id="426" name="Isosceles Triangle 425">
          <a:extLst>
            <a:ext uri="{FF2B5EF4-FFF2-40B4-BE49-F238E27FC236}">
              <a16:creationId xmlns:a16="http://schemas.microsoft.com/office/drawing/2014/main" id="{27BB9878-1025-4123-ACAB-58F680D6B3B0}"/>
            </a:ext>
          </a:extLst>
        </xdr:cNvPr>
        <xdr:cNvSpPr/>
      </xdr:nvSpPr>
      <xdr:spPr>
        <a:xfrm>
          <a:off x="6096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105</xdr:row>
      <xdr:rowOff>0</xdr:rowOff>
    </xdr:from>
    <xdr:ext cx="230186" cy="271084"/>
    <xdr:pic>
      <xdr:nvPicPr>
        <xdr:cNvPr id="427" name="Picture 426" descr="A black and white symbol&#10;&#10;Description automatically generated">
          <a:extLst>
            <a:ext uri="{FF2B5EF4-FFF2-40B4-BE49-F238E27FC236}">
              <a16:creationId xmlns:a16="http://schemas.microsoft.com/office/drawing/2014/main" id="{4E0E5238-ABB4-48FB-ADFD-A81FC698C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177475</xdr:rowOff>
    </xdr:to>
    <xdr:sp macro="" textlink="">
      <xdr:nvSpPr>
        <xdr:cNvPr id="428" name="Isosceles Triangle 427">
          <a:extLst>
            <a:ext uri="{FF2B5EF4-FFF2-40B4-BE49-F238E27FC236}">
              <a16:creationId xmlns:a16="http://schemas.microsoft.com/office/drawing/2014/main" id="{CC65188F-EEBE-4666-8D95-5BFA305816CC}"/>
            </a:ext>
          </a:extLst>
        </xdr:cNvPr>
        <xdr:cNvSpPr/>
      </xdr:nvSpPr>
      <xdr:spPr>
        <a:xfrm>
          <a:off x="609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11906</xdr:colOff>
      <xdr:row>74</xdr:row>
      <xdr:rowOff>0</xdr:rowOff>
    </xdr:from>
    <xdr:to>
      <xdr:col>29</xdr:col>
      <xdr:colOff>220722</xdr:colOff>
      <xdr:row>75</xdr:row>
      <xdr:rowOff>177476</xdr:rowOff>
    </xdr:to>
    <xdr:sp macro="" textlink="">
      <xdr:nvSpPr>
        <xdr:cNvPr id="429" name="Isosceles Triangle 428">
          <a:extLst>
            <a:ext uri="{FF2B5EF4-FFF2-40B4-BE49-F238E27FC236}">
              <a16:creationId xmlns:a16="http://schemas.microsoft.com/office/drawing/2014/main" id="{D789EB35-E586-4AF7-B75B-55B2DE469F64}"/>
            </a:ext>
          </a:extLst>
        </xdr:cNvPr>
        <xdr:cNvSpPr/>
      </xdr:nvSpPr>
      <xdr:spPr>
        <a:xfrm>
          <a:off x="17080706" y="12153900"/>
          <a:ext cx="81841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177475</xdr:rowOff>
    </xdr:to>
    <xdr:sp macro="" textlink="">
      <xdr:nvSpPr>
        <xdr:cNvPr id="430" name="Isosceles Triangle 429">
          <a:extLst>
            <a:ext uri="{FF2B5EF4-FFF2-40B4-BE49-F238E27FC236}">
              <a16:creationId xmlns:a16="http://schemas.microsoft.com/office/drawing/2014/main" id="{56146154-D1CD-49E7-8651-102319CA5D23}"/>
            </a:ext>
          </a:extLst>
        </xdr:cNvPr>
        <xdr:cNvSpPr/>
      </xdr:nvSpPr>
      <xdr:spPr>
        <a:xfrm>
          <a:off x="4267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177475</xdr:rowOff>
    </xdr:to>
    <xdr:sp macro="" textlink="">
      <xdr:nvSpPr>
        <xdr:cNvPr id="431" name="Isosceles Triangle 430">
          <a:extLst>
            <a:ext uri="{FF2B5EF4-FFF2-40B4-BE49-F238E27FC236}">
              <a16:creationId xmlns:a16="http://schemas.microsoft.com/office/drawing/2014/main" id="{8F149A04-E5A8-4E17-96DD-B52855E635C7}"/>
            </a:ext>
          </a:extLst>
        </xdr:cNvPr>
        <xdr:cNvSpPr/>
      </xdr:nvSpPr>
      <xdr:spPr>
        <a:xfrm>
          <a:off x="7924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105</xdr:row>
      <xdr:rowOff>0</xdr:rowOff>
    </xdr:from>
    <xdr:ext cx="230186" cy="271084"/>
    <xdr:pic>
      <xdr:nvPicPr>
        <xdr:cNvPr id="432" name="Picture 431" descr="A black and white symbol&#10;&#10;Description automatically generated">
          <a:extLst>
            <a:ext uri="{FF2B5EF4-FFF2-40B4-BE49-F238E27FC236}">
              <a16:creationId xmlns:a16="http://schemas.microsoft.com/office/drawing/2014/main" id="{499A6E6A-85E9-4E6E-8150-0491CEAB4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177475</xdr:rowOff>
    </xdr:to>
    <xdr:sp macro="" textlink="">
      <xdr:nvSpPr>
        <xdr:cNvPr id="433" name="Isosceles Triangle 432">
          <a:extLst>
            <a:ext uri="{FF2B5EF4-FFF2-40B4-BE49-F238E27FC236}">
              <a16:creationId xmlns:a16="http://schemas.microsoft.com/office/drawing/2014/main" id="{3ED960AF-0E0F-404B-965C-3B0A83D22F22}"/>
            </a:ext>
          </a:extLst>
        </xdr:cNvPr>
        <xdr:cNvSpPr/>
      </xdr:nvSpPr>
      <xdr:spPr>
        <a:xfrm>
          <a:off x="2438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177476</xdr:rowOff>
    </xdr:to>
    <xdr:sp macro="" textlink="">
      <xdr:nvSpPr>
        <xdr:cNvPr id="434" name="Isosceles Triangle 433">
          <a:extLst>
            <a:ext uri="{FF2B5EF4-FFF2-40B4-BE49-F238E27FC236}">
              <a16:creationId xmlns:a16="http://schemas.microsoft.com/office/drawing/2014/main" id="{6D34CD21-C6CD-488A-A4DC-FFDFA28D4819}"/>
            </a:ext>
          </a:extLst>
        </xdr:cNvPr>
        <xdr:cNvSpPr/>
      </xdr:nvSpPr>
      <xdr:spPr>
        <a:xfrm>
          <a:off x="6096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78</xdr:row>
      <xdr:rowOff>0</xdr:rowOff>
    </xdr:from>
    <xdr:ext cx="230186" cy="271084"/>
    <xdr:pic>
      <xdr:nvPicPr>
        <xdr:cNvPr id="435" name="Picture 434" descr="A black and white symbol&#10;&#10;Description automatically generated">
          <a:extLst>
            <a:ext uri="{FF2B5EF4-FFF2-40B4-BE49-F238E27FC236}">
              <a16:creationId xmlns:a16="http://schemas.microsoft.com/office/drawing/2014/main" id="{480506A0-D0BE-4CD0-91C7-4F8F077D2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105</xdr:row>
      <xdr:rowOff>0</xdr:rowOff>
    </xdr:from>
    <xdr:ext cx="230186" cy="271084"/>
    <xdr:pic>
      <xdr:nvPicPr>
        <xdr:cNvPr id="437" name="Picture 436" descr="A black and white symbol&#10;&#10;Description automatically generated">
          <a:extLst>
            <a:ext uri="{FF2B5EF4-FFF2-40B4-BE49-F238E27FC236}">
              <a16:creationId xmlns:a16="http://schemas.microsoft.com/office/drawing/2014/main" id="{40DB4468-04B6-4F4C-AD11-B975A91A8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119</xdr:row>
      <xdr:rowOff>0</xdr:rowOff>
    </xdr:from>
    <xdr:to>
      <xdr:col>5</xdr:col>
      <xdr:colOff>256443</xdr:colOff>
      <xdr:row>120</xdr:row>
      <xdr:rowOff>177475</xdr:rowOff>
    </xdr:to>
    <xdr:sp macro="" textlink="">
      <xdr:nvSpPr>
        <xdr:cNvPr id="438" name="Isosceles Triangle 437">
          <a:extLst>
            <a:ext uri="{FF2B5EF4-FFF2-40B4-BE49-F238E27FC236}">
              <a16:creationId xmlns:a16="http://schemas.microsoft.com/office/drawing/2014/main" id="{CE47EBC2-5A01-4F8D-A747-4E25250BC79F}"/>
            </a:ext>
          </a:extLst>
        </xdr:cNvPr>
        <xdr:cNvSpPr/>
      </xdr:nvSpPr>
      <xdr:spPr>
        <a:xfrm>
          <a:off x="2438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123</xdr:row>
      <xdr:rowOff>0</xdr:rowOff>
    </xdr:from>
    <xdr:ext cx="230186" cy="271084"/>
    <xdr:pic>
      <xdr:nvPicPr>
        <xdr:cNvPr id="439" name="Picture 438" descr="A black and white symbol&#10;&#10;Description automatically generated">
          <a:extLst>
            <a:ext uri="{FF2B5EF4-FFF2-40B4-BE49-F238E27FC236}">
              <a16:creationId xmlns:a16="http://schemas.microsoft.com/office/drawing/2014/main" id="{712C9238-ED57-4D84-AA0E-4680812E8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177475</xdr:rowOff>
    </xdr:to>
    <xdr:sp macro="" textlink="">
      <xdr:nvSpPr>
        <xdr:cNvPr id="440" name="Isosceles Triangle 439">
          <a:extLst>
            <a:ext uri="{FF2B5EF4-FFF2-40B4-BE49-F238E27FC236}">
              <a16:creationId xmlns:a16="http://schemas.microsoft.com/office/drawing/2014/main" id="{6196DF2D-F9E7-4AD3-A7CE-BE95D3C352A5}"/>
            </a:ext>
          </a:extLst>
        </xdr:cNvPr>
        <xdr:cNvSpPr/>
      </xdr:nvSpPr>
      <xdr:spPr>
        <a:xfrm>
          <a:off x="15240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177475</xdr:rowOff>
    </xdr:to>
    <xdr:sp macro="" textlink="">
      <xdr:nvSpPr>
        <xdr:cNvPr id="441" name="Isosceles Triangle 440">
          <a:extLst>
            <a:ext uri="{FF2B5EF4-FFF2-40B4-BE49-F238E27FC236}">
              <a16:creationId xmlns:a16="http://schemas.microsoft.com/office/drawing/2014/main" id="{DB4B83BB-7F64-440E-B353-1C16526A4ADA}"/>
            </a:ext>
          </a:extLst>
        </xdr:cNvPr>
        <xdr:cNvSpPr/>
      </xdr:nvSpPr>
      <xdr:spPr>
        <a:xfrm>
          <a:off x="6096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256441</xdr:colOff>
      <xdr:row>84</xdr:row>
      <xdr:rowOff>177475</xdr:rowOff>
    </xdr:to>
    <xdr:sp macro="" textlink="">
      <xdr:nvSpPr>
        <xdr:cNvPr id="442" name="Isosceles Triangle 441">
          <a:extLst>
            <a:ext uri="{FF2B5EF4-FFF2-40B4-BE49-F238E27FC236}">
              <a16:creationId xmlns:a16="http://schemas.microsoft.com/office/drawing/2014/main" id="{D6AEC7BD-24D5-4485-A268-ADDAB8A04B4B}"/>
            </a:ext>
          </a:extLst>
        </xdr:cNvPr>
        <xdr:cNvSpPr/>
      </xdr:nvSpPr>
      <xdr:spPr>
        <a:xfrm>
          <a:off x="24384000" y="136271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177475</xdr:rowOff>
    </xdr:to>
    <xdr:sp macro="" textlink="">
      <xdr:nvSpPr>
        <xdr:cNvPr id="443" name="Isosceles Triangle 442">
          <a:extLst>
            <a:ext uri="{FF2B5EF4-FFF2-40B4-BE49-F238E27FC236}">
              <a16:creationId xmlns:a16="http://schemas.microsoft.com/office/drawing/2014/main" id="{9C60AA12-71FB-4215-B72C-2CB8B50C43AB}"/>
            </a:ext>
          </a:extLst>
        </xdr:cNvPr>
        <xdr:cNvSpPr/>
      </xdr:nvSpPr>
      <xdr:spPr>
        <a:xfrm>
          <a:off x="17068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177475</xdr:rowOff>
    </xdr:to>
    <xdr:sp macro="" textlink="">
      <xdr:nvSpPr>
        <xdr:cNvPr id="444" name="Isosceles Triangle 443">
          <a:extLst>
            <a:ext uri="{FF2B5EF4-FFF2-40B4-BE49-F238E27FC236}">
              <a16:creationId xmlns:a16="http://schemas.microsoft.com/office/drawing/2014/main" id="{964C4A77-ADFF-4054-AE34-0D987C055854}"/>
            </a:ext>
          </a:extLst>
        </xdr:cNvPr>
        <xdr:cNvSpPr/>
      </xdr:nvSpPr>
      <xdr:spPr>
        <a:xfrm>
          <a:off x="9753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256442</xdr:colOff>
      <xdr:row>120</xdr:row>
      <xdr:rowOff>177475</xdr:rowOff>
    </xdr:to>
    <xdr:sp macro="" textlink="">
      <xdr:nvSpPr>
        <xdr:cNvPr id="445" name="Isosceles Triangle 444">
          <a:extLst>
            <a:ext uri="{FF2B5EF4-FFF2-40B4-BE49-F238E27FC236}">
              <a16:creationId xmlns:a16="http://schemas.microsoft.com/office/drawing/2014/main" id="{3EE9F723-A705-46C3-800B-A2E6DE94196F}"/>
            </a:ext>
          </a:extLst>
        </xdr:cNvPr>
        <xdr:cNvSpPr/>
      </xdr:nvSpPr>
      <xdr:spPr>
        <a:xfrm>
          <a:off x="17068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256441</xdr:colOff>
      <xdr:row>93</xdr:row>
      <xdr:rowOff>177475</xdr:rowOff>
    </xdr:to>
    <xdr:sp macro="" textlink="">
      <xdr:nvSpPr>
        <xdr:cNvPr id="446" name="Isosceles Triangle 445">
          <a:extLst>
            <a:ext uri="{FF2B5EF4-FFF2-40B4-BE49-F238E27FC236}">
              <a16:creationId xmlns:a16="http://schemas.microsoft.com/office/drawing/2014/main" id="{599FBF15-C5D9-483E-A85C-DE14F47C63A0}"/>
            </a:ext>
          </a:extLst>
        </xdr:cNvPr>
        <xdr:cNvSpPr/>
      </xdr:nvSpPr>
      <xdr:spPr>
        <a:xfrm>
          <a:off x="42672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96</xdr:row>
      <xdr:rowOff>0</xdr:rowOff>
    </xdr:from>
    <xdr:ext cx="230186" cy="271084"/>
    <xdr:pic>
      <xdr:nvPicPr>
        <xdr:cNvPr id="447" name="Picture 446" descr="A black and white symbol&#10;&#10;Description automatically generated">
          <a:extLst>
            <a:ext uri="{FF2B5EF4-FFF2-40B4-BE49-F238E27FC236}">
              <a16:creationId xmlns:a16="http://schemas.microsoft.com/office/drawing/2014/main" id="{7E591314-C9DD-4160-BE5D-8C8E3D656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177475</xdr:rowOff>
    </xdr:to>
    <xdr:sp macro="" textlink="">
      <xdr:nvSpPr>
        <xdr:cNvPr id="448" name="Isosceles Triangle 447">
          <a:extLst>
            <a:ext uri="{FF2B5EF4-FFF2-40B4-BE49-F238E27FC236}">
              <a16:creationId xmlns:a16="http://schemas.microsoft.com/office/drawing/2014/main" id="{8B9149CE-2E64-4FF2-BFE5-6BDF04586E0F}"/>
            </a:ext>
          </a:extLst>
        </xdr:cNvPr>
        <xdr:cNvSpPr/>
      </xdr:nvSpPr>
      <xdr:spPr>
        <a:xfrm>
          <a:off x="24384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177475</xdr:rowOff>
    </xdr:to>
    <xdr:sp macro="" textlink="">
      <xdr:nvSpPr>
        <xdr:cNvPr id="449" name="Isosceles Triangle 448">
          <a:extLst>
            <a:ext uri="{FF2B5EF4-FFF2-40B4-BE49-F238E27FC236}">
              <a16:creationId xmlns:a16="http://schemas.microsoft.com/office/drawing/2014/main" id="{EB4830D5-D4E8-47C5-81CD-CC27D9DAF6B7}"/>
            </a:ext>
          </a:extLst>
        </xdr:cNvPr>
        <xdr:cNvSpPr/>
      </xdr:nvSpPr>
      <xdr:spPr>
        <a:xfrm>
          <a:off x="15240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177475</xdr:rowOff>
    </xdr:to>
    <xdr:sp macro="" textlink="">
      <xdr:nvSpPr>
        <xdr:cNvPr id="450" name="Isosceles Triangle 449">
          <a:extLst>
            <a:ext uri="{FF2B5EF4-FFF2-40B4-BE49-F238E27FC236}">
              <a16:creationId xmlns:a16="http://schemas.microsoft.com/office/drawing/2014/main" id="{A7432492-73C8-4D74-9AFB-91F1753FED62}"/>
            </a:ext>
          </a:extLst>
        </xdr:cNvPr>
        <xdr:cNvSpPr/>
      </xdr:nvSpPr>
      <xdr:spPr>
        <a:xfrm>
          <a:off x="7924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256443</xdr:colOff>
      <xdr:row>111</xdr:row>
      <xdr:rowOff>177475</xdr:rowOff>
    </xdr:to>
    <xdr:sp macro="" textlink="">
      <xdr:nvSpPr>
        <xdr:cNvPr id="451" name="Isosceles Triangle 450">
          <a:extLst>
            <a:ext uri="{FF2B5EF4-FFF2-40B4-BE49-F238E27FC236}">
              <a16:creationId xmlns:a16="http://schemas.microsoft.com/office/drawing/2014/main" id="{459CA5E0-97F3-46E8-882B-41D24783C878}"/>
            </a:ext>
          </a:extLst>
        </xdr:cNvPr>
        <xdr:cNvSpPr/>
      </xdr:nvSpPr>
      <xdr:spPr>
        <a:xfrm>
          <a:off x="2438400" y="180467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256441</xdr:colOff>
      <xdr:row>93</xdr:row>
      <xdr:rowOff>177475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id="{38CF43C5-C5F2-49B3-89A3-183B4BC94444}"/>
            </a:ext>
          </a:extLst>
        </xdr:cNvPr>
        <xdr:cNvSpPr/>
      </xdr:nvSpPr>
      <xdr:spPr>
        <a:xfrm>
          <a:off x="60960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256443</xdr:colOff>
      <xdr:row>102</xdr:row>
      <xdr:rowOff>177475</xdr:rowOff>
    </xdr:to>
    <xdr:sp macro="" textlink="">
      <xdr:nvSpPr>
        <xdr:cNvPr id="453" name="Isosceles Triangle 452">
          <a:extLst>
            <a:ext uri="{FF2B5EF4-FFF2-40B4-BE49-F238E27FC236}">
              <a16:creationId xmlns:a16="http://schemas.microsoft.com/office/drawing/2014/main" id="{7858D2CA-7057-4E69-B5DB-552CD6879278}"/>
            </a:ext>
          </a:extLst>
        </xdr:cNvPr>
        <xdr:cNvSpPr/>
      </xdr:nvSpPr>
      <xdr:spPr>
        <a:xfrm>
          <a:off x="11582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105</xdr:row>
      <xdr:rowOff>0</xdr:rowOff>
    </xdr:from>
    <xdr:ext cx="230186" cy="271084"/>
    <xdr:pic>
      <xdr:nvPicPr>
        <xdr:cNvPr id="454" name="Picture 453" descr="A black and white symbol&#10;&#10;Description automatically generated">
          <a:extLst>
            <a:ext uri="{FF2B5EF4-FFF2-40B4-BE49-F238E27FC236}">
              <a16:creationId xmlns:a16="http://schemas.microsoft.com/office/drawing/2014/main" id="{219FB192-3236-4237-A56A-FE99F733A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177475</xdr:rowOff>
    </xdr:to>
    <xdr:sp macro="" textlink="">
      <xdr:nvSpPr>
        <xdr:cNvPr id="455" name="Isosceles Triangle 454">
          <a:extLst>
            <a:ext uri="{FF2B5EF4-FFF2-40B4-BE49-F238E27FC236}">
              <a16:creationId xmlns:a16="http://schemas.microsoft.com/office/drawing/2014/main" id="{81B80544-482F-4DC3-A820-91F85B11518A}"/>
            </a:ext>
          </a:extLst>
        </xdr:cNvPr>
        <xdr:cNvSpPr/>
      </xdr:nvSpPr>
      <xdr:spPr>
        <a:xfrm>
          <a:off x="13411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177475</xdr:rowOff>
    </xdr:to>
    <xdr:sp macro="" textlink="">
      <xdr:nvSpPr>
        <xdr:cNvPr id="456" name="Isosceles Triangle 455">
          <a:extLst>
            <a:ext uri="{FF2B5EF4-FFF2-40B4-BE49-F238E27FC236}">
              <a16:creationId xmlns:a16="http://schemas.microsoft.com/office/drawing/2014/main" id="{B250C3D6-1283-40CC-997A-6CD29875202A}"/>
            </a:ext>
          </a:extLst>
        </xdr:cNvPr>
        <xdr:cNvSpPr/>
      </xdr:nvSpPr>
      <xdr:spPr>
        <a:xfrm>
          <a:off x="22555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105</xdr:row>
      <xdr:rowOff>0</xdr:rowOff>
    </xdr:from>
    <xdr:ext cx="230186" cy="271084"/>
    <xdr:pic>
      <xdr:nvPicPr>
        <xdr:cNvPr id="457" name="Picture 456" descr="A black and white symbol&#10;&#10;Description automatically generated">
          <a:extLst>
            <a:ext uri="{FF2B5EF4-FFF2-40B4-BE49-F238E27FC236}">
              <a16:creationId xmlns:a16="http://schemas.microsoft.com/office/drawing/2014/main" id="{CEA8648F-02AF-4A06-BE7C-ED4FF36EA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119</xdr:row>
      <xdr:rowOff>0</xdr:rowOff>
    </xdr:from>
    <xdr:to>
      <xdr:col>20</xdr:col>
      <xdr:colOff>256443</xdr:colOff>
      <xdr:row>120</xdr:row>
      <xdr:rowOff>177475</xdr:rowOff>
    </xdr:to>
    <xdr:sp macro="" textlink="">
      <xdr:nvSpPr>
        <xdr:cNvPr id="458" name="Isosceles Triangle 457">
          <a:extLst>
            <a:ext uri="{FF2B5EF4-FFF2-40B4-BE49-F238E27FC236}">
              <a16:creationId xmlns:a16="http://schemas.microsoft.com/office/drawing/2014/main" id="{97B4F2CB-EB25-4E0A-8754-FF128D8177DA}"/>
            </a:ext>
          </a:extLst>
        </xdr:cNvPr>
        <xdr:cNvSpPr/>
      </xdr:nvSpPr>
      <xdr:spPr>
        <a:xfrm>
          <a:off x="11582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177475</xdr:rowOff>
    </xdr:to>
    <xdr:sp macro="" textlink="">
      <xdr:nvSpPr>
        <xdr:cNvPr id="459" name="Isosceles Triangle 458">
          <a:extLst>
            <a:ext uri="{FF2B5EF4-FFF2-40B4-BE49-F238E27FC236}">
              <a16:creationId xmlns:a16="http://schemas.microsoft.com/office/drawing/2014/main" id="{BFC233C6-6944-451A-B171-8B2AB662D5C5}"/>
            </a:ext>
          </a:extLst>
        </xdr:cNvPr>
        <xdr:cNvSpPr/>
      </xdr:nvSpPr>
      <xdr:spPr>
        <a:xfrm>
          <a:off x="97536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96</xdr:row>
      <xdr:rowOff>0</xdr:rowOff>
    </xdr:from>
    <xdr:ext cx="230186" cy="271084"/>
    <xdr:pic>
      <xdr:nvPicPr>
        <xdr:cNvPr id="460" name="Picture 459" descr="A black and white symbol&#10;&#10;Description automatically generated">
          <a:extLst>
            <a:ext uri="{FF2B5EF4-FFF2-40B4-BE49-F238E27FC236}">
              <a16:creationId xmlns:a16="http://schemas.microsoft.com/office/drawing/2014/main" id="{8B6A4166-6DD3-4A99-ACC0-640A77CCC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177475</xdr:rowOff>
    </xdr:to>
    <xdr:sp macro="" textlink="">
      <xdr:nvSpPr>
        <xdr:cNvPr id="461" name="Isosceles Triangle 460">
          <a:extLst>
            <a:ext uri="{FF2B5EF4-FFF2-40B4-BE49-F238E27FC236}">
              <a16:creationId xmlns:a16="http://schemas.microsoft.com/office/drawing/2014/main" id="{1ABE4113-E64D-4EF2-A381-D8C5A6C790B1}"/>
            </a:ext>
          </a:extLst>
        </xdr:cNvPr>
        <xdr:cNvSpPr/>
      </xdr:nvSpPr>
      <xdr:spPr>
        <a:xfrm>
          <a:off x="15240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96</xdr:row>
      <xdr:rowOff>0</xdr:rowOff>
    </xdr:from>
    <xdr:ext cx="230186" cy="271084"/>
    <xdr:pic>
      <xdr:nvPicPr>
        <xdr:cNvPr id="462" name="Picture 461" descr="A black and white symbol&#10;&#10;Description automatically generated">
          <a:extLst>
            <a:ext uri="{FF2B5EF4-FFF2-40B4-BE49-F238E27FC236}">
              <a16:creationId xmlns:a16="http://schemas.microsoft.com/office/drawing/2014/main" id="{5E678B7B-0B7E-4A56-A274-E53540672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11</xdr:row>
      <xdr:rowOff>0</xdr:rowOff>
    </xdr:from>
    <xdr:to>
      <xdr:col>26</xdr:col>
      <xdr:colOff>256441</xdr:colOff>
      <xdr:row>12</xdr:row>
      <xdr:rowOff>177476</xdr:rowOff>
    </xdr:to>
    <xdr:sp macro="" textlink="">
      <xdr:nvSpPr>
        <xdr:cNvPr id="463" name="Isosceles Triangle 462">
          <a:extLst>
            <a:ext uri="{FF2B5EF4-FFF2-40B4-BE49-F238E27FC236}">
              <a16:creationId xmlns:a16="http://schemas.microsoft.com/office/drawing/2014/main" id="{452D15D8-1DE1-46F1-AE58-03806EB6B863}"/>
            </a:ext>
          </a:extLst>
        </xdr:cNvPr>
        <xdr:cNvSpPr/>
      </xdr:nvSpPr>
      <xdr:spPr>
        <a:xfrm>
          <a:off x="15240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15</xdr:row>
      <xdr:rowOff>0</xdr:rowOff>
    </xdr:from>
    <xdr:ext cx="230186" cy="271084"/>
    <xdr:pic>
      <xdr:nvPicPr>
        <xdr:cNvPr id="464" name="Picture 463" descr="A black and white symbol&#10;&#10;Description automatically generated">
          <a:extLst>
            <a:ext uri="{FF2B5EF4-FFF2-40B4-BE49-F238E27FC236}">
              <a16:creationId xmlns:a16="http://schemas.microsoft.com/office/drawing/2014/main" id="{2EA1D913-D8D4-43B7-B288-4E76D2E36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60</xdr:row>
      <xdr:rowOff>0</xdr:rowOff>
    </xdr:from>
    <xdr:ext cx="230186" cy="271084"/>
    <xdr:pic>
      <xdr:nvPicPr>
        <xdr:cNvPr id="466" name="Picture 465" descr="A black and white symbol&#10;&#10;Description automatically generated">
          <a:extLst>
            <a:ext uri="{FF2B5EF4-FFF2-40B4-BE49-F238E27FC236}">
              <a16:creationId xmlns:a16="http://schemas.microsoft.com/office/drawing/2014/main" id="{268D9778-3FA9-4C8A-89CE-DB49AD19D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177476</xdr:rowOff>
    </xdr:to>
    <xdr:sp macro="" textlink="">
      <xdr:nvSpPr>
        <xdr:cNvPr id="467" name="Isosceles Triangle 466">
          <a:extLst>
            <a:ext uri="{FF2B5EF4-FFF2-40B4-BE49-F238E27FC236}">
              <a16:creationId xmlns:a16="http://schemas.microsoft.com/office/drawing/2014/main" id="{0F759C8E-10DF-4393-881E-5A332FDF8FAC}"/>
            </a:ext>
          </a:extLst>
        </xdr:cNvPr>
        <xdr:cNvSpPr/>
      </xdr:nvSpPr>
      <xdr:spPr>
        <a:xfrm>
          <a:off x="2438400" y="3314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256443</xdr:colOff>
      <xdr:row>48</xdr:row>
      <xdr:rowOff>177476</xdr:rowOff>
    </xdr:to>
    <xdr:sp macro="" textlink="">
      <xdr:nvSpPr>
        <xdr:cNvPr id="468" name="Isosceles Triangle 467">
          <a:extLst>
            <a:ext uri="{FF2B5EF4-FFF2-40B4-BE49-F238E27FC236}">
              <a16:creationId xmlns:a16="http://schemas.microsoft.com/office/drawing/2014/main" id="{03045B5B-02AE-4214-BBB1-86D221A60D1B}"/>
            </a:ext>
          </a:extLst>
        </xdr:cNvPr>
        <xdr:cNvSpPr/>
      </xdr:nvSpPr>
      <xdr:spPr>
        <a:xfrm>
          <a:off x="20726400" y="77343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51</xdr:row>
      <xdr:rowOff>0</xdr:rowOff>
    </xdr:from>
    <xdr:ext cx="230186" cy="271084"/>
    <xdr:pic>
      <xdr:nvPicPr>
        <xdr:cNvPr id="469" name="Picture 468" descr="A black and white symbol&#10;&#10;Description automatically generated">
          <a:extLst>
            <a:ext uri="{FF2B5EF4-FFF2-40B4-BE49-F238E27FC236}">
              <a16:creationId xmlns:a16="http://schemas.microsoft.com/office/drawing/2014/main" id="{550D353F-B820-4C53-AF64-B2D53302D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15</xdr:row>
      <xdr:rowOff>0</xdr:rowOff>
    </xdr:from>
    <xdr:ext cx="230186" cy="271084"/>
    <xdr:pic>
      <xdr:nvPicPr>
        <xdr:cNvPr id="470" name="Picture 469" descr="A black and white symbol&#10;&#10;Description automatically generated">
          <a:extLst>
            <a:ext uri="{FF2B5EF4-FFF2-40B4-BE49-F238E27FC236}">
              <a16:creationId xmlns:a16="http://schemas.microsoft.com/office/drawing/2014/main" id="{6DA4287B-0C35-4864-82EF-4026D1CEC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60</xdr:row>
      <xdr:rowOff>0</xdr:rowOff>
    </xdr:from>
    <xdr:ext cx="230186" cy="271084"/>
    <xdr:pic>
      <xdr:nvPicPr>
        <xdr:cNvPr id="472" name="Picture 471" descr="A black and white symbol&#10;&#10;Description automatically generated">
          <a:extLst>
            <a:ext uri="{FF2B5EF4-FFF2-40B4-BE49-F238E27FC236}">
              <a16:creationId xmlns:a16="http://schemas.microsoft.com/office/drawing/2014/main" id="{DB913642-CC88-43F5-9EC2-27B126164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11</xdr:row>
      <xdr:rowOff>0</xdr:rowOff>
    </xdr:from>
    <xdr:to>
      <xdr:col>41</xdr:col>
      <xdr:colOff>256441</xdr:colOff>
      <xdr:row>12</xdr:row>
      <xdr:rowOff>177476</xdr:rowOff>
    </xdr:to>
    <xdr:sp macro="" textlink="">
      <xdr:nvSpPr>
        <xdr:cNvPr id="473" name="Isosceles Triangle 472">
          <a:extLst>
            <a:ext uri="{FF2B5EF4-FFF2-40B4-BE49-F238E27FC236}">
              <a16:creationId xmlns:a16="http://schemas.microsoft.com/office/drawing/2014/main" id="{CECEA13A-9F68-4BB7-B72C-8A1F7661EBF0}"/>
            </a:ext>
          </a:extLst>
        </xdr:cNvPr>
        <xdr:cNvSpPr/>
      </xdr:nvSpPr>
      <xdr:spPr>
        <a:xfrm>
          <a:off x="24384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256441</xdr:colOff>
      <xdr:row>12</xdr:row>
      <xdr:rowOff>177476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id="{74AB5A78-F4F9-4648-B549-6215FE3FE146}"/>
            </a:ext>
          </a:extLst>
        </xdr:cNvPr>
        <xdr:cNvSpPr/>
      </xdr:nvSpPr>
      <xdr:spPr>
        <a:xfrm>
          <a:off x="22555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15</xdr:row>
      <xdr:rowOff>0</xdr:rowOff>
    </xdr:from>
    <xdr:ext cx="230186" cy="271084"/>
    <xdr:pic>
      <xdr:nvPicPr>
        <xdr:cNvPr id="475" name="Picture 474" descr="A black and white symbol&#10;&#10;Description automatically generated">
          <a:extLst>
            <a:ext uri="{FF2B5EF4-FFF2-40B4-BE49-F238E27FC236}">
              <a16:creationId xmlns:a16="http://schemas.microsoft.com/office/drawing/2014/main" id="{F3EAE765-F15F-4BAC-92B2-4947FDE85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60</xdr:row>
      <xdr:rowOff>0</xdr:rowOff>
    </xdr:from>
    <xdr:ext cx="230186" cy="271084"/>
    <xdr:pic>
      <xdr:nvPicPr>
        <xdr:cNvPr id="476" name="Picture 475" descr="A black and white symbol&#10;&#10;Description automatically generated">
          <a:extLst>
            <a:ext uri="{FF2B5EF4-FFF2-40B4-BE49-F238E27FC236}">
              <a16:creationId xmlns:a16="http://schemas.microsoft.com/office/drawing/2014/main" id="{B01A32E2-CC75-4609-A20A-C147A76F5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177476</xdr:rowOff>
    </xdr:to>
    <xdr:sp macro="" textlink="">
      <xdr:nvSpPr>
        <xdr:cNvPr id="477" name="Isosceles Triangle 476">
          <a:extLst>
            <a:ext uri="{FF2B5EF4-FFF2-40B4-BE49-F238E27FC236}">
              <a16:creationId xmlns:a16="http://schemas.microsoft.com/office/drawing/2014/main" id="{8ACBD97A-00D4-49EA-82A6-B866F07FD3EE}"/>
            </a:ext>
          </a:extLst>
        </xdr:cNvPr>
        <xdr:cNvSpPr/>
      </xdr:nvSpPr>
      <xdr:spPr>
        <a:xfrm>
          <a:off x="20726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256441</xdr:colOff>
      <xdr:row>21</xdr:row>
      <xdr:rowOff>177476</xdr:rowOff>
    </xdr:to>
    <xdr:sp macro="" textlink="">
      <xdr:nvSpPr>
        <xdr:cNvPr id="478" name="Isosceles Triangle 477">
          <a:extLst>
            <a:ext uri="{FF2B5EF4-FFF2-40B4-BE49-F238E27FC236}">
              <a16:creationId xmlns:a16="http://schemas.microsoft.com/office/drawing/2014/main" id="{C8892909-5BF2-44F7-BC6C-DFDD462B1F24}"/>
            </a:ext>
          </a:extLst>
        </xdr:cNvPr>
        <xdr:cNvSpPr/>
      </xdr:nvSpPr>
      <xdr:spPr>
        <a:xfrm>
          <a:off x="42672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256441</xdr:colOff>
      <xdr:row>21</xdr:row>
      <xdr:rowOff>177476</xdr:rowOff>
    </xdr:to>
    <xdr:sp macro="" textlink="">
      <xdr:nvSpPr>
        <xdr:cNvPr id="479" name="Isosceles Triangle 478">
          <a:extLst>
            <a:ext uri="{FF2B5EF4-FFF2-40B4-BE49-F238E27FC236}">
              <a16:creationId xmlns:a16="http://schemas.microsoft.com/office/drawing/2014/main" id="{8DCE926E-4259-452E-8801-E8EDA63510D6}"/>
            </a:ext>
          </a:extLst>
        </xdr:cNvPr>
        <xdr:cNvSpPr/>
      </xdr:nvSpPr>
      <xdr:spPr>
        <a:xfrm>
          <a:off x="97536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24</xdr:row>
      <xdr:rowOff>0</xdr:rowOff>
    </xdr:from>
    <xdr:ext cx="230186" cy="271084"/>
    <xdr:pic>
      <xdr:nvPicPr>
        <xdr:cNvPr id="480" name="Picture 479" descr="A black and white symbol&#10;&#10;Description automatically generated">
          <a:extLst>
            <a:ext uri="{FF2B5EF4-FFF2-40B4-BE49-F238E27FC236}">
              <a16:creationId xmlns:a16="http://schemas.microsoft.com/office/drawing/2014/main" id="{3A65D2AA-0328-41F5-AE18-1E4014500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11</xdr:row>
      <xdr:rowOff>0</xdr:rowOff>
    </xdr:from>
    <xdr:to>
      <xdr:col>17</xdr:col>
      <xdr:colOff>256441</xdr:colOff>
      <xdr:row>12</xdr:row>
      <xdr:rowOff>177476</xdr:rowOff>
    </xdr:to>
    <xdr:sp macro="" textlink="">
      <xdr:nvSpPr>
        <xdr:cNvPr id="481" name="Isosceles Triangle 480">
          <a:extLst>
            <a:ext uri="{FF2B5EF4-FFF2-40B4-BE49-F238E27FC236}">
              <a16:creationId xmlns:a16="http://schemas.microsoft.com/office/drawing/2014/main" id="{804D146F-DDA6-461B-B1A5-E045A52FD6B2}"/>
            </a:ext>
          </a:extLst>
        </xdr:cNvPr>
        <xdr:cNvSpPr/>
      </xdr:nvSpPr>
      <xdr:spPr>
        <a:xfrm>
          <a:off x="9753600" y="1841500"/>
          <a:ext cx="866041" cy="361626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15</xdr:row>
      <xdr:rowOff>0</xdr:rowOff>
    </xdr:from>
    <xdr:ext cx="230186" cy="271084"/>
    <xdr:pic>
      <xdr:nvPicPr>
        <xdr:cNvPr id="482" name="Picture 481" descr="A black and white symbol&#10;&#10;Description automatically generated">
          <a:extLst>
            <a:ext uri="{FF2B5EF4-FFF2-40B4-BE49-F238E27FC236}">
              <a16:creationId xmlns:a16="http://schemas.microsoft.com/office/drawing/2014/main" id="{325325F0-02A9-4147-805D-84DA79A05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60</xdr:row>
      <xdr:rowOff>0</xdr:rowOff>
    </xdr:from>
    <xdr:ext cx="230186" cy="271084"/>
    <xdr:pic>
      <xdr:nvPicPr>
        <xdr:cNvPr id="484" name="Picture 483" descr="A black and white symbol&#10;&#10;Description automatically generated">
          <a:extLst>
            <a:ext uri="{FF2B5EF4-FFF2-40B4-BE49-F238E27FC236}">
              <a16:creationId xmlns:a16="http://schemas.microsoft.com/office/drawing/2014/main" id="{656B4522-CFDC-4947-97B4-A16973A65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177476</xdr:rowOff>
    </xdr:to>
    <xdr:sp macro="" textlink="">
      <xdr:nvSpPr>
        <xdr:cNvPr id="486" name="Isosceles Triangle 485">
          <a:extLst>
            <a:ext uri="{FF2B5EF4-FFF2-40B4-BE49-F238E27FC236}">
              <a16:creationId xmlns:a16="http://schemas.microsoft.com/office/drawing/2014/main" id="{0BB62FA4-A7DC-49D6-815D-E9A4ACD47DED}"/>
            </a:ext>
          </a:extLst>
        </xdr:cNvPr>
        <xdr:cNvSpPr/>
      </xdr:nvSpPr>
      <xdr:spPr>
        <a:xfrm>
          <a:off x="11582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15</xdr:row>
      <xdr:rowOff>0</xdr:rowOff>
    </xdr:from>
    <xdr:ext cx="230186" cy="271084"/>
    <xdr:pic>
      <xdr:nvPicPr>
        <xdr:cNvPr id="487" name="Picture 486" descr="A black and white symbol&#10;&#10;Description automatically generated">
          <a:extLst>
            <a:ext uri="{FF2B5EF4-FFF2-40B4-BE49-F238E27FC236}">
              <a16:creationId xmlns:a16="http://schemas.microsoft.com/office/drawing/2014/main" id="{22B1C887-9EC6-47B9-B0A3-0027692A7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0</xdr:colOff>
      <xdr:row>4</xdr:row>
      <xdr:rowOff>0</xdr:rowOff>
    </xdr:from>
    <xdr:ext cx="557901" cy="377641"/>
    <xdr:pic>
      <xdr:nvPicPr>
        <xdr:cNvPr id="488" name="Picture 487">
          <a:extLst>
            <a:ext uri="{FF2B5EF4-FFF2-40B4-BE49-F238E27FC236}">
              <a16:creationId xmlns:a16="http://schemas.microsoft.com/office/drawing/2014/main" id="{DB1DC1D5-48B6-403D-8FD5-4DE2D878F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55200" y="736600"/>
          <a:ext cx="557901" cy="377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11</xdr:row>
      <xdr:rowOff>0</xdr:rowOff>
    </xdr:from>
    <xdr:to>
      <xdr:col>14</xdr:col>
      <xdr:colOff>256441</xdr:colOff>
      <xdr:row>12</xdr:row>
      <xdr:rowOff>177476</xdr:rowOff>
    </xdr:to>
    <xdr:sp macro="" textlink="">
      <xdr:nvSpPr>
        <xdr:cNvPr id="489" name="Isosceles Triangle 488">
          <a:extLst>
            <a:ext uri="{FF2B5EF4-FFF2-40B4-BE49-F238E27FC236}">
              <a16:creationId xmlns:a16="http://schemas.microsoft.com/office/drawing/2014/main" id="{F4943AC5-D033-47B1-897F-98F62AA5EAB7}"/>
            </a:ext>
          </a:extLst>
        </xdr:cNvPr>
        <xdr:cNvSpPr/>
      </xdr:nvSpPr>
      <xdr:spPr>
        <a:xfrm>
          <a:off x="79248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15</xdr:row>
      <xdr:rowOff>0</xdr:rowOff>
    </xdr:from>
    <xdr:ext cx="230186" cy="271084"/>
    <xdr:pic>
      <xdr:nvPicPr>
        <xdr:cNvPr id="490" name="Picture 489" descr="A black and white symbol&#10;&#10;Description automatically generated">
          <a:extLst>
            <a:ext uri="{FF2B5EF4-FFF2-40B4-BE49-F238E27FC236}">
              <a16:creationId xmlns:a16="http://schemas.microsoft.com/office/drawing/2014/main" id="{2CC927D3-EE20-4EDA-A061-6B266AA89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20</xdr:row>
      <xdr:rowOff>0</xdr:rowOff>
    </xdr:from>
    <xdr:to>
      <xdr:col>14</xdr:col>
      <xdr:colOff>256441</xdr:colOff>
      <xdr:row>21</xdr:row>
      <xdr:rowOff>177476</xdr:rowOff>
    </xdr:to>
    <xdr:sp macro="" textlink="">
      <xdr:nvSpPr>
        <xdr:cNvPr id="491" name="Isosceles Triangle 490">
          <a:extLst>
            <a:ext uri="{FF2B5EF4-FFF2-40B4-BE49-F238E27FC236}">
              <a16:creationId xmlns:a16="http://schemas.microsoft.com/office/drawing/2014/main" id="{0E0229F4-06B4-434B-9E80-E7D9F5387CC3}"/>
            </a:ext>
          </a:extLst>
        </xdr:cNvPr>
        <xdr:cNvSpPr/>
      </xdr:nvSpPr>
      <xdr:spPr>
        <a:xfrm>
          <a:off x="79248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24</xdr:row>
      <xdr:rowOff>0</xdr:rowOff>
    </xdr:from>
    <xdr:ext cx="230186" cy="271084"/>
    <xdr:pic>
      <xdr:nvPicPr>
        <xdr:cNvPr id="492" name="Picture 491" descr="A black and white symbol&#10;&#10;Description automatically generated">
          <a:extLst>
            <a:ext uri="{FF2B5EF4-FFF2-40B4-BE49-F238E27FC236}">
              <a16:creationId xmlns:a16="http://schemas.microsoft.com/office/drawing/2014/main" id="{1DE88D46-F4E5-4FE7-B536-EAC8AEDF9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-1</xdr:colOff>
      <xdr:row>11</xdr:row>
      <xdr:rowOff>0</xdr:rowOff>
    </xdr:from>
    <xdr:to>
      <xdr:col>17</xdr:col>
      <xdr:colOff>256439</xdr:colOff>
      <xdr:row>12</xdr:row>
      <xdr:rowOff>177476</xdr:rowOff>
    </xdr:to>
    <xdr:sp macro="" textlink="">
      <xdr:nvSpPr>
        <xdr:cNvPr id="493" name="Isosceles Triangle 492">
          <a:extLst>
            <a:ext uri="{FF2B5EF4-FFF2-40B4-BE49-F238E27FC236}">
              <a16:creationId xmlns:a16="http://schemas.microsoft.com/office/drawing/2014/main" id="{D43A5805-5EF4-4848-BBE3-2DB2154FDA28}"/>
            </a:ext>
          </a:extLst>
        </xdr:cNvPr>
        <xdr:cNvSpPr/>
      </xdr:nvSpPr>
      <xdr:spPr>
        <a:xfrm>
          <a:off x="9753599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256441</xdr:colOff>
      <xdr:row>12</xdr:row>
      <xdr:rowOff>177476</xdr:rowOff>
    </xdr:to>
    <xdr:sp macro="" textlink="">
      <xdr:nvSpPr>
        <xdr:cNvPr id="494" name="Isosceles Triangle 493">
          <a:extLst>
            <a:ext uri="{FF2B5EF4-FFF2-40B4-BE49-F238E27FC236}">
              <a16:creationId xmlns:a16="http://schemas.microsoft.com/office/drawing/2014/main" id="{7503ED73-7E0B-42D2-8921-9442CC36F0D2}"/>
            </a:ext>
          </a:extLst>
        </xdr:cNvPr>
        <xdr:cNvSpPr/>
      </xdr:nvSpPr>
      <xdr:spPr>
        <a:xfrm>
          <a:off x="13411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15</xdr:row>
      <xdr:rowOff>0</xdr:rowOff>
    </xdr:from>
    <xdr:ext cx="230186" cy="271084"/>
    <xdr:pic>
      <xdr:nvPicPr>
        <xdr:cNvPr id="495" name="Picture 494" descr="A black and white symbol&#10;&#10;Description automatically generated">
          <a:extLst>
            <a:ext uri="{FF2B5EF4-FFF2-40B4-BE49-F238E27FC236}">
              <a16:creationId xmlns:a16="http://schemas.microsoft.com/office/drawing/2014/main" id="{A85DFF85-AF91-4846-90BD-746C6D39B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20</xdr:row>
      <xdr:rowOff>0</xdr:rowOff>
    </xdr:from>
    <xdr:to>
      <xdr:col>11</xdr:col>
      <xdr:colOff>256441</xdr:colOff>
      <xdr:row>21</xdr:row>
      <xdr:rowOff>177476</xdr:rowOff>
    </xdr:to>
    <xdr:sp macro="" textlink="">
      <xdr:nvSpPr>
        <xdr:cNvPr id="496" name="Isosceles Triangle 495">
          <a:extLst>
            <a:ext uri="{FF2B5EF4-FFF2-40B4-BE49-F238E27FC236}">
              <a16:creationId xmlns:a16="http://schemas.microsoft.com/office/drawing/2014/main" id="{1E6333CC-82F6-4E52-A54F-D1BDED8AF9F5}"/>
            </a:ext>
          </a:extLst>
        </xdr:cNvPr>
        <xdr:cNvSpPr/>
      </xdr:nvSpPr>
      <xdr:spPr>
        <a:xfrm>
          <a:off x="60960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24</xdr:row>
      <xdr:rowOff>0</xdr:rowOff>
    </xdr:from>
    <xdr:ext cx="230186" cy="271084"/>
    <xdr:pic>
      <xdr:nvPicPr>
        <xdr:cNvPr id="497" name="Picture 496" descr="A black and white symbol&#10;&#10;Description automatically generated">
          <a:extLst>
            <a:ext uri="{FF2B5EF4-FFF2-40B4-BE49-F238E27FC236}">
              <a16:creationId xmlns:a16="http://schemas.microsoft.com/office/drawing/2014/main" id="{6FD02991-33EE-42B9-BAF1-C137C8EF9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11</xdr:row>
      <xdr:rowOff>0</xdr:rowOff>
    </xdr:from>
    <xdr:to>
      <xdr:col>11</xdr:col>
      <xdr:colOff>256440</xdr:colOff>
      <xdr:row>12</xdr:row>
      <xdr:rowOff>177476</xdr:rowOff>
    </xdr:to>
    <xdr:sp macro="" textlink="">
      <xdr:nvSpPr>
        <xdr:cNvPr id="498" name="Isosceles Triangle 497">
          <a:extLst>
            <a:ext uri="{FF2B5EF4-FFF2-40B4-BE49-F238E27FC236}">
              <a16:creationId xmlns:a16="http://schemas.microsoft.com/office/drawing/2014/main" id="{8BE33188-0527-4367-9156-775A7AC3EEF7}"/>
            </a:ext>
          </a:extLst>
        </xdr:cNvPr>
        <xdr:cNvSpPr/>
      </xdr:nvSpPr>
      <xdr:spPr>
        <a:xfrm>
          <a:off x="6096000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15</xdr:row>
      <xdr:rowOff>0</xdr:rowOff>
    </xdr:from>
    <xdr:ext cx="230186" cy="271084"/>
    <xdr:pic>
      <xdr:nvPicPr>
        <xdr:cNvPr id="499" name="Picture 498" descr="A black and white symbol&#10;&#10;Description automatically generated">
          <a:extLst>
            <a:ext uri="{FF2B5EF4-FFF2-40B4-BE49-F238E27FC236}">
              <a16:creationId xmlns:a16="http://schemas.microsoft.com/office/drawing/2014/main" id="{DF66225B-D9A1-4F18-BDD4-C5BF5E2CE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28</xdr:col>
      <xdr:colOff>148272</xdr:colOff>
      <xdr:row>74</xdr:row>
      <xdr:rowOff>123701</xdr:rowOff>
    </xdr:from>
    <xdr:to>
      <xdr:col>29</xdr:col>
      <xdr:colOff>95356</xdr:colOff>
      <xdr:row>75</xdr:row>
      <xdr:rowOff>113118</xdr:rowOff>
    </xdr:to>
    <xdr:sp macro="" textlink="">
      <xdr:nvSpPr>
        <xdr:cNvPr id="500" name="5-Point Star 520">
          <a:extLst>
            <a:ext uri="{FF2B5EF4-FFF2-40B4-BE49-F238E27FC236}">
              <a16:creationId xmlns:a16="http://schemas.microsoft.com/office/drawing/2014/main" id="{68946FB2-43DF-4EE8-9D35-CD747B81D395}"/>
            </a:ext>
          </a:extLst>
        </xdr:cNvPr>
        <xdr:cNvSpPr/>
      </xdr:nvSpPr>
      <xdr:spPr>
        <a:xfrm>
          <a:off x="17217072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147172</xdr:colOff>
      <xdr:row>74</xdr:row>
      <xdr:rowOff>136707</xdr:rowOff>
    </xdr:from>
    <xdr:to>
      <xdr:col>32</xdr:col>
      <xdr:colOff>94256</xdr:colOff>
      <xdr:row>75</xdr:row>
      <xdr:rowOff>126124</xdr:rowOff>
    </xdr:to>
    <xdr:sp macro="" textlink="">
      <xdr:nvSpPr>
        <xdr:cNvPr id="501" name="5-Point Star 520">
          <a:extLst>
            <a:ext uri="{FF2B5EF4-FFF2-40B4-BE49-F238E27FC236}">
              <a16:creationId xmlns:a16="http://schemas.microsoft.com/office/drawing/2014/main" id="{59883414-D328-402C-AD4F-E0BA859E2180}"/>
            </a:ext>
          </a:extLst>
        </xdr:cNvPr>
        <xdr:cNvSpPr/>
      </xdr:nvSpPr>
      <xdr:spPr>
        <a:xfrm>
          <a:off x="19044772" y="1229060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160811</xdr:colOff>
      <xdr:row>74</xdr:row>
      <xdr:rowOff>123701</xdr:rowOff>
    </xdr:from>
    <xdr:to>
      <xdr:col>5</xdr:col>
      <xdr:colOff>107895</xdr:colOff>
      <xdr:row>75</xdr:row>
      <xdr:rowOff>113118</xdr:rowOff>
    </xdr:to>
    <xdr:sp macro="" textlink="">
      <xdr:nvSpPr>
        <xdr:cNvPr id="502" name="5-Point Star 520">
          <a:extLst>
            <a:ext uri="{FF2B5EF4-FFF2-40B4-BE49-F238E27FC236}">
              <a16:creationId xmlns:a16="http://schemas.microsoft.com/office/drawing/2014/main" id="{C02511CB-5B3E-4415-B545-A5CEBC82B107}"/>
            </a:ext>
          </a:extLst>
        </xdr:cNvPr>
        <xdr:cNvSpPr/>
      </xdr:nvSpPr>
      <xdr:spPr>
        <a:xfrm>
          <a:off x="2599211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148442</xdr:colOff>
      <xdr:row>74</xdr:row>
      <xdr:rowOff>160812</xdr:rowOff>
    </xdr:from>
    <xdr:to>
      <xdr:col>8</xdr:col>
      <xdr:colOff>95526</xdr:colOff>
      <xdr:row>75</xdr:row>
      <xdr:rowOff>150229</xdr:rowOff>
    </xdr:to>
    <xdr:sp macro="" textlink="">
      <xdr:nvSpPr>
        <xdr:cNvPr id="503" name="5-Point Star 520">
          <a:extLst>
            <a:ext uri="{FF2B5EF4-FFF2-40B4-BE49-F238E27FC236}">
              <a16:creationId xmlns:a16="http://schemas.microsoft.com/office/drawing/2014/main" id="{0B5EFA15-AC04-4A12-8AD5-B891079C28AC}"/>
            </a:ext>
          </a:extLst>
        </xdr:cNvPr>
        <xdr:cNvSpPr/>
      </xdr:nvSpPr>
      <xdr:spPr>
        <a:xfrm>
          <a:off x="4415642" y="12314712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173182</xdr:colOff>
      <xdr:row>74</xdr:row>
      <xdr:rowOff>111331</xdr:rowOff>
    </xdr:from>
    <xdr:to>
      <xdr:col>11</xdr:col>
      <xdr:colOff>120266</xdr:colOff>
      <xdr:row>75</xdr:row>
      <xdr:rowOff>100748</xdr:rowOff>
    </xdr:to>
    <xdr:sp macro="" textlink="">
      <xdr:nvSpPr>
        <xdr:cNvPr id="504" name="5-Point Star 520">
          <a:extLst>
            <a:ext uri="{FF2B5EF4-FFF2-40B4-BE49-F238E27FC236}">
              <a16:creationId xmlns:a16="http://schemas.microsoft.com/office/drawing/2014/main" id="{74039BB9-088F-40DC-99DB-24455C10165D}"/>
            </a:ext>
          </a:extLst>
        </xdr:cNvPr>
        <xdr:cNvSpPr/>
      </xdr:nvSpPr>
      <xdr:spPr>
        <a:xfrm>
          <a:off x="6269182" y="1226523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148441</xdr:colOff>
      <xdr:row>74</xdr:row>
      <xdr:rowOff>123701</xdr:rowOff>
    </xdr:from>
    <xdr:to>
      <xdr:col>14</xdr:col>
      <xdr:colOff>95526</xdr:colOff>
      <xdr:row>75</xdr:row>
      <xdr:rowOff>113118</xdr:rowOff>
    </xdr:to>
    <xdr:sp macro="" textlink="">
      <xdr:nvSpPr>
        <xdr:cNvPr id="505" name="5-Point Star 520">
          <a:extLst>
            <a:ext uri="{FF2B5EF4-FFF2-40B4-BE49-F238E27FC236}">
              <a16:creationId xmlns:a16="http://schemas.microsoft.com/office/drawing/2014/main" id="{5A640C2C-0B10-4885-B5C3-A33C8B64DDB8}"/>
            </a:ext>
          </a:extLst>
        </xdr:cNvPr>
        <xdr:cNvSpPr/>
      </xdr:nvSpPr>
      <xdr:spPr>
        <a:xfrm>
          <a:off x="8073241" y="12277601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169899</xdr:colOff>
      <xdr:row>74</xdr:row>
      <xdr:rowOff>160054</xdr:rowOff>
    </xdr:from>
    <xdr:to>
      <xdr:col>35</xdr:col>
      <xdr:colOff>116983</xdr:colOff>
      <xdr:row>75</xdr:row>
      <xdr:rowOff>149471</xdr:rowOff>
    </xdr:to>
    <xdr:sp macro="" textlink="">
      <xdr:nvSpPr>
        <xdr:cNvPr id="506" name="5-Point Star 520">
          <a:extLst>
            <a:ext uri="{FF2B5EF4-FFF2-40B4-BE49-F238E27FC236}">
              <a16:creationId xmlns:a16="http://schemas.microsoft.com/office/drawing/2014/main" id="{25001ED0-4388-47E1-B5C8-3FDBE362602C}"/>
            </a:ext>
          </a:extLst>
        </xdr:cNvPr>
        <xdr:cNvSpPr/>
      </xdr:nvSpPr>
      <xdr:spPr>
        <a:xfrm>
          <a:off x="20896299" y="12313954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158750</xdr:colOff>
      <xdr:row>74</xdr:row>
      <xdr:rowOff>149077</xdr:rowOff>
    </xdr:from>
    <xdr:to>
      <xdr:col>38</xdr:col>
      <xdr:colOff>105834</xdr:colOff>
      <xdr:row>75</xdr:row>
      <xdr:rowOff>138494</xdr:rowOff>
    </xdr:to>
    <xdr:sp macro="" textlink="">
      <xdr:nvSpPr>
        <xdr:cNvPr id="507" name="5-Point Star 520">
          <a:extLst>
            <a:ext uri="{FF2B5EF4-FFF2-40B4-BE49-F238E27FC236}">
              <a16:creationId xmlns:a16="http://schemas.microsoft.com/office/drawing/2014/main" id="{5A0C2D3D-DFE6-45D0-A460-585B8931F6DD}"/>
            </a:ext>
          </a:extLst>
        </xdr:cNvPr>
        <xdr:cNvSpPr/>
      </xdr:nvSpPr>
      <xdr:spPr>
        <a:xfrm>
          <a:off x="22713950" y="1230297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7916</xdr:colOff>
      <xdr:row>2</xdr:row>
      <xdr:rowOff>16906</xdr:rowOff>
    </xdr:from>
    <xdr:to>
      <xdr:col>14</xdr:col>
      <xdr:colOff>264359</xdr:colOff>
      <xdr:row>3</xdr:row>
      <xdr:rowOff>184548</xdr:rowOff>
    </xdr:to>
    <xdr:sp macro="" textlink="">
      <xdr:nvSpPr>
        <xdr:cNvPr id="508" name="Isosceles Triangle 507">
          <a:extLst>
            <a:ext uri="{FF2B5EF4-FFF2-40B4-BE49-F238E27FC236}">
              <a16:creationId xmlns:a16="http://schemas.microsoft.com/office/drawing/2014/main" id="{48BB158B-652A-4A26-A6E7-E815994CCC32}"/>
            </a:ext>
          </a:extLst>
        </xdr:cNvPr>
        <xdr:cNvSpPr/>
      </xdr:nvSpPr>
      <xdr:spPr>
        <a:xfrm>
          <a:off x="7932716" y="385206"/>
          <a:ext cx="866043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148100</xdr:colOff>
      <xdr:row>65</xdr:row>
      <xdr:rowOff>118750</xdr:rowOff>
    </xdr:from>
    <xdr:to>
      <xdr:col>26</xdr:col>
      <xdr:colOff>95184</xdr:colOff>
      <xdr:row>66</xdr:row>
      <xdr:rowOff>108167</xdr:rowOff>
    </xdr:to>
    <xdr:sp macro="" textlink="">
      <xdr:nvSpPr>
        <xdr:cNvPr id="509" name="5-Point Star 520">
          <a:extLst>
            <a:ext uri="{FF2B5EF4-FFF2-40B4-BE49-F238E27FC236}">
              <a16:creationId xmlns:a16="http://schemas.microsoft.com/office/drawing/2014/main" id="{12BAAF8A-DB10-4CB8-BEC9-49249F728E18}"/>
            </a:ext>
          </a:extLst>
        </xdr:cNvPr>
        <xdr:cNvSpPr/>
      </xdr:nvSpPr>
      <xdr:spPr>
        <a:xfrm>
          <a:off x="15388100" y="1079945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159543</xdr:colOff>
      <xdr:row>74</xdr:row>
      <xdr:rowOff>124336</xdr:rowOff>
    </xdr:from>
    <xdr:to>
      <xdr:col>41</xdr:col>
      <xdr:colOff>106627</xdr:colOff>
      <xdr:row>75</xdr:row>
      <xdr:rowOff>113753</xdr:rowOff>
    </xdr:to>
    <xdr:sp macro="" textlink="">
      <xdr:nvSpPr>
        <xdr:cNvPr id="510" name="5-Point Star 520">
          <a:extLst>
            <a:ext uri="{FF2B5EF4-FFF2-40B4-BE49-F238E27FC236}">
              <a16:creationId xmlns:a16="http://schemas.microsoft.com/office/drawing/2014/main" id="{29C59F7B-0E3F-490F-A1B2-A4ABF34333F4}"/>
            </a:ext>
          </a:extLst>
        </xdr:cNvPr>
        <xdr:cNvSpPr/>
      </xdr:nvSpPr>
      <xdr:spPr>
        <a:xfrm>
          <a:off x="24543543" y="12278236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125092</xdr:colOff>
      <xdr:row>65</xdr:row>
      <xdr:rowOff>149370</xdr:rowOff>
    </xdr:from>
    <xdr:to>
      <xdr:col>29</xdr:col>
      <xdr:colOff>72176</xdr:colOff>
      <xdr:row>66</xdr:row>
      <xdr:rowOff>138787</xdr:rowOff>
    </xdr:to>
    <xdr:sp macro="" textlink="">
      <xdr:nvSpPr>
        <xdr:cNvPr id="511" name="5-Point Star 520">
          <a:extLst>
            <a:ext uri="{FF2B5EF4-FFF2-40B4-BE49-F238E27FC236}">
              <a16:creationId xmlns:a16="http://schemas.microsoft.com/office/drawing/2014/main" id="{B854E1CA-1A0F-4D13-810A-8F39D60DA000}"/>
            </a:ext>
          </a:extLst>
        </xdr:cNvPr>
        <xdr:cNvSpPr/>
      </xdr:nvSpPr>
      <xdr:spPr>
        <a:xfrm>
          <a:off x="17193892" y="1083007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134297</xdr:colOff>
      <xdr:row>65</xdr:row>
      <xdr:rowOff>140555</xdr:rowOff>
    </xdr:from>
    <xdr:to>
      <xdr:col>32</xdr:col>
      <xdr:colOff>81381</xdr:colOff>
      <xdr:row>66</xdr:row>
      <xdr:rowOff>129972</xdr:rowOff>
    </xdr:to>
    <xdr:sp macro="" textlink="">
      <xdr:nvSpPr>
        <xdr:cNvPr id="512" name="5-Point Star 520">
          <a:extLst>
            <a:ext uri="{FF2B5EF4-FFF2-40B4-BE49-F238E27FC236}">
              <a16:creationId xmlns:a16="http://schemas.microsoft.com/office/drawing/2014/main" id="{445C4512-6B67-40AF-9BDD-953FC483713C}"/>
            </a:ext>
          </a:extLst>
        </xdr:cNvPr>
        <xdr:cNvSpPr/>
      </xdr:nvSpPr>
      <xdr:spPr>
        <a:xfrm>
          <a:off x="19031897" y="1082125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157555</xdr:colOff>
      <xdr:row>65</xdr:row>
      <xdr:rowOff>145359</xdr:rowOff>
    </xdr:from>
    <xdr:to>
      <xdr:col>35</xdr:col>
      <xdr:colOff>104639</xdr:colOff>
      <xdr:row>66</xdr:row>
      <xdr:rowOff>134776</xdr:rowOff>
    </xdr:to>
    <xdr:sp macro="" textlink="">
      <xdr:nvSpPr>
        <xdr:cNvPr id="513" name="5-Point Star 520">
          <a:extLst>
            <a:ext uri="{FF2B5EF4-FFF2-40B4-BE49-F238E27FC236}">
              <a16:creationId xmlns:a16="http://schemas.microsoft.com/office/drawing/2014/main" id="{FAFC82D0-4244-4595-A84A-8D012BF93179}"/>
            </a:ext>
          </a:extLst>
        </xdr:cNvPr>
        <xdr:cNvSpPr/>
      </xdr:nvSpPr>
      <xdr:spPr>
        <a:xfrm>
          <a:off x="20883955" y="1082605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147979</xdr:colOff>
      <xdr:row>65</xdr:row>
      <xdr:rowOff>147049</xdr:rowOff>
    </xdr:from>
    <xdr:to>
      <xdr:col>38</xdr:col>
      <xdr:colOff>95063</xdr:colOff>
      <xdr:row>66</xdr:row>
      <xdr:rowOff>136466</xdr:rowOff>
    </xdr:to>
    <xdr:sp macro="" textlink="">
      <xdr:nvSpPr>
        <xdr:cNvPr id="514" name="5-Point Star 520">
          <a:extLst>
            <a:ext uri="{FF2B5EF4-FFF2-40B4-BE49-F238E27FC236}">
              <a16:creationId xmlns:a16="http://schemas.microsoft.com/office/drawing/2014/main" id="{D1427944-4948-464C-8829-37F17A7F7228}"/>
            </a:ext>
          </a:extLst>
        </xdr:cNvPr>
        <xdr:cNvSpPr/>
      </xdr:nvSpPr>
      <xdr:spPr>
        <a:xfrm>
          <a:off x="22703179" y="1082774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149370</xdr:colOff>
      <xdr:row>83</xdr:row>
      <xdr:rowOff>147978</xdr:rowOff>
    </xdr:from>
    <xdr:to>
      <xdr:col>2</xdr:col>
      <xdr:colOff>96454</xdr:colOff>
      <xdr:row>84</xdr:row>
      <xdr:rowOff>137395</xdr:rowOff>
    </xdr:to>
    <xdr:sp macro="" textlink="">
      <xdr:nvSpPr>
        <xdr:cNvPr id="515" name="5-Point Star 520">
          <a:extLst>
            <a:ext uri="{FF2B5EF4-FFF2-40B4-BE49-F238E27FC236}">
              <a16:creationId xmlns:a16="http://schemas.microsoft.com/office/drawing/2014/main" id="{87314211-43EA-4733-8289-75D5D0211E14}"/>
            </a:ext>
          </a:extLst>
        </xdr:cNvPr>
        <xdr:cNvSpPr/>
      </xdr:nvSpPr>
      <xdr:spPr>
        <a:xfrm>
          <a:off x="758970" y="137750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148441</xdr:colOff>
      <xdr:row>83</xdr:row>
      <xdr:rowOff>123701</xdr:rowOff>
    </xdr:from>
    <xdr:to>
      <xdr:col>5</xdr:col>
      <xdr:colOff>74221</xdr:colOff>
      <xdr:row>84</xdr:row>
      <xdr:rowOff>123701</xdr:rowOff>
    </xdr:to>
    <xdr:sp macro="" textlink="">
      <xdr:nvSpPr>
        <xdr:cNvPr id="516" name="5-Point Star 520">
          <a:extLst>
            <a:ext uri="{FF2B5EF4-FFF2-40B4-BE49-F238E27FC236}">
              <a16:creationId xmlns:a16="http://schemas.microsoft.com/office/drawing/2014/main" id="{F6A6FA14-48D4-4F57-8617-9D49D6958314}"/>
            </a:ext>
          </a:extLst>
        </xdr:cNvPr>
        <xdr:cNvSpPr/>
      </xdr:nvSpPr>
      <xdr:spPr>
        <a:xfrm flipH="1">
          <a:off x="2586841" y="1375080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6</xdr:col>
      <xdr:colOff>0</xdr:colOff>
      <xdr:row>6</xdr:row>
      <xdr:rowOff>0</xdr:rowOff>
    </xdr:from>
    <xdr:ext cx="230186" cy="271084"/>
    <xdr:pic>
      <xdr:nvPicPr>
        <xdr:cNvPr id="517" name="Picture 516" descr="A black and white symbol&#10;&#10;Description automatically generated">
          <a:extLst>
            <a:ext uri="{FF2B5EF4-FFF2-40B4-BE49-F238E27FC236}">
              <a16:creationId xmlns:a16="http://schemas.microsoft.com/office/drawing/2014/main" id="{0782E424-B577-4600-9E72-E79DDD7A2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</xdr:row>
      <xdr:rowOff>0</xdr:rowOff>
    </xdr:from>
    <xdr:ext cx="230186" cy="271084"/>
    <xdr:pic>
      <xdr:nvPicPr>
        <xdr:cNvPr id="518" name="Picture 517" descr="A black and white symbol&#10;&#10;Description automatically generated">
          <a:extLst>
            <a:ext uri="{FF2B5EF4-FFF2-40B4-BE49-F238E27FC236}">
              <a16:creationId xmlns:a16="http://schemas.microsoft.com/office/drawing/2014/main" id="{AED7F1DF-CBB5-4E54-BD2E-9E06469B8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</xdr:row>
      <xdr:rowOff>0</xdr:rowOff>
    </xdr:from>
    <xdr:ext cx="230186" cy="271084"/>
    <xdr:pic>
      <xdr:nvPicPr>
        <xdr:cNvPr id="519" name="Picture 518" descr="A black and white symbol&#10;&#10;Description automatically generated">
          <a:extLst>
            <a:ext uri="{FF2B5EF4-FFF2-40B4-BE49-F238E27FC236}">
              <a16:creationId xmlns:a16="http://schemas.microsoft.com/office/drawing/2014/main" id="{92E4CEE0-8127-4339-875D-CF70DE7AB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</xdr:row>
      <xdr:rowOff>0</xdr:rowOff>
    </xdr:from>
    <xdr:ext cx="230186" cy="271084"/>
    <xdr:pic>
      <xdr:nvPicPr>
        <xdr:cNvPr id="520" name="Picture 519" descr="A black and white symbol&#10;&#10;Description automatically generated">
          <a:extLst>
            <a:ext uri="{FF2B5EF4-FFF2-40B4-BE49-F238E27FC236}">
              <a16:creationId xmlns:a16="http://schemas.microsoft.com/office/drawing/2014/main" id="{793F039F-B47B-4289-ACBF-3E4ED888A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</xdr:row>
      <xdr:rowOff>0</xdr:rowOff>
    </xdr:from>
    <xdr:ext cx="230186" cy="271084"/>
    <xdr:pic>
      <xdr:nvPicPr>
        <xdr:cNvPr id="521" name="Picture 520" descr="A black and white symbol&#10;&#10;Description automatically generated">
          <a:extLst>
            <a:ext uri="{FF2B5EF4-FFF2-40B4-BE49-F238E27FC236}">
              <a16:creationId xmlns:a16="http://schemas.microsoft.com/office/drawing/2014/main" id="{1152FBC0-1E8B-4CE1-89AA-6822B46A3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</xdr:row>
      <xdr:rowOff>0</xdr:rowOff>
    </xdr:from>
    <xdr:ext cx="230186" cy="271084"/>
    <xdr:pic>
      <xdr:nvPicPr>
        <xdr:cNvPr id="522" name="Picture 521" descr="A black and white symbol&#10;&#10;Description automatically generated">
          <a:extLst>
            <a:ext uri="{FF2B5EF4-FFF2-40B4-BE49-F238E27FC236}">
              <a16:creationId xmlns:a16="http://schemas.microsoft.com/office/drawing/2014/main" id="{526CFD26-3B3B-4CA1-B622-502FDFF19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33</xdr:row>
      <xdr:rowOff>0</xdr:rowOff>
    </xdr:from>
    <xdr:ext cx="230186" cy="271084"/>
    <xdr:pic>
      <xdr:nvPicPr>
        <xdr:cNvPr id="523" name="Picture 522" descr="A black and white symbol&#10;&#10;Description automatically generated">
          <a:extLst>
            <a:ext uri="{FF2B5EF4-FFF2-40B4-BE49-F238E27FC236}">
              <a16:creationId xmlns:a16="http://schemas.microsoft.com/office/drawing/2014/main" id="{8A417534-083C-4C7E-AEED-B47026BC5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147977</xdr:colOff>
      <xdr:row>65</xdr:row>
      <xdr:rowOff>147978</xdr:rowOff>
    </xdr:from>
    <xdr:to>
      <xdr:col>17</xdr:col>
      <xdr:colOff>95061</xdr:colOff>
      <xdr:row>66</xdr:row>
      <xdr:rowOff>137395</xdr:rowOff>
    </xdr:to>
    <xdr:sp macro="" textlink="">
      <xdr:nvSpPr>
        <xdr:cNvPr id="524" name="5-Point Star 520">
          <a:extLst>
            <a:ext uri="{FF2B5EF4-FFF2-40B4-BE49-F238E27FC236}">
              <a16:creationId xmlns:a16="http://schemas.microsoft.com/office/drawing/2014/main" id="{700D6B9D-4C10-41BF-B49E-41FF595669A9}"/>
            </a:ext>
          </a:extLst>
        </xdr:cNvPr>
        <xdr:cNvSpPr/>
      </xdr:nvSpPr>
      <xdr:spPr>
        <a:xfrm>
          <a:off x="9901577" y="108286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12</xdr:col>
      <xdr:colOff>0</xdr:colOff>
      <xdr:row>33</xdr:row>
      <xdr:rowOff>0</xdr:rowOff>
    </xdr:from>
    <xdr:ext cx="230186" cy="271084"/>
    <xdr:pic>
      <xdr:nvPicPr>
        <xdr:cNvPr id="525" name="Picture 524" descr="A black and white symbol&#10;&#10;Description automatically generated">
          <a:extLst>
            <a:ext uri="{FF2B5EF4-FFF2-40B4-BE49-F238E27FC236}">
              <a16:creationId xmlns:a16="http://schemas.microsoft.com/office/drawing/2014/main" id="{6BD587A9-B049-4345-B429-A48EE6850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</xdr:row>
      <xdr:rowOff>0</xdr:rowOff>
    </xdr:from>
    <xdr:ext cx="230186" cy="271084"/>
    <xdr:pic>
      <xdr:nvPicPr>
        <xdr:cNvPr id="526" name="Picture 525" descr="A black and white symbol&#10;&#10;Description automatically generated">
          <a:extLst>
            <a:ext uri="{FF2B5EF4-FFF2-40B4-BE49-F238E27FC236}">
              <a16:creationId xmlns:a16="http://schemas.microsoft.com/office/drawing/2014/main" id="{568B82BC-AC63-4F65-8F99-1D9C7561E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33</xdr:row>
      <xdr:rowOff>0</xdr:rowOff>
    </xdr:from>
    <xdr:ext cx="230186" cy="271084"/>
    <xdr:pic>
      <xdr:nvPicPr>
        <xdr:cNvPr id="527" name="Picture 526" descr="A black and white symbol&#10;&#10;Description automatically generated">
          <a:extLst>
            <a:ext uri="{FF2B5EF4-FFF2-40B4-BE49-F238E27FC236}">
              <a16:creationId xmlns:a16="http://schemas.microsoft.com/office/drawing/2014/main" id="{DF462C0D-FC4D-40C0-9955-4F633187A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</xdr:row>
      <xdr:rowOff>0</xdr:rowOff>
    </xdr:from>
    <xdr:ext cx="230186" cy="271084"/>
    <xdr:pic>
      <xdr:nvPicPr>
        <xdr:cNvPr id="528" name="Picture 527" descr="A black and white symbol&#10;&#10;Description automatically generated">
          <a:extLst>
            <a:ext uri="{FF2B5EF4-FFF2-40B4-BE49-F238E27FC236}">
              <a16:creationId xmlns:a16="http://schemas.microsoft.com/office/drawing/2014/main" id="{0BC0153B-9B04-46BF-8692-6D78CEAEA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148440</xdr:colOff>
      <xdr:row>65</xdr:row>
      <xdr:rowOff>173182</xdr:rowOff>
    </xdr:from>
    <xdr:to>
      <xdr:col>20</xdr:col>
      <xdr:colOff>95523</xdr:colOff>
      <xdr:row>66</xdr:row>
      <xdr:rowOff>162599</xdr:rowOff>
    </xdr:to>
    <xdr:sp macro="" textlink="">
      <xdr:nvSpPr>
        <xdr:cNvPr id="529" name="5-Point Star 520">
          <a:extLst>
            <a:ext uri="{FF2B5EF4-FFF2-40B4-BE49-F238E27FC236}">
              <a16:creationId xmlns:a16="http://schemas.microsoft.com/office/drawing/2014/main" id="{4E1697A5-098B-48D6-9C42-6C3FA183CDA9}"/>
            </a:ext>
          </a:extLst>
        </xdr:cNvPr>
        <xdr:cNvSpPr/>
      </xdr:nvSpPr>
      <xdr:spPr>
        <a:xfrm>
          <a:off x="11730840" y="1085388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149370</xdr:colOff>
      <xdr:row>65</xdr:row>
      <xdr:rowOff>148442</xdr:rowOff>
    </xdr:from>
    <xdr:to>
      <xdr:col>23</xdr:col>
      <xdr:colOff>96453</xdr:colOff>
      <xdr:row>66</xdr:row>
      <xdr:rowOff>137859</xdr:rowOff>
    </xdr:to>
    <xdr:sp macro="" textlink="">
      <xdr:nvSpPr>
        <xdr:cNvPr id="530" name="5-Point Star 520">
          <a:extLst>
            <a:ext uri="{FF2B5EF4-FFF2-40B4-BE49-F238E27FC236}">
              <a16:creationId xmlns:a16="http://schemas.microsoft.com/office/drawing/2014/main" id="{5EAAB9F5-5428-4C6D-A267-D8A487C10038}"/>
            </a:ext>
          </a:extLst>
        </xdr:cNvPr>
        <xdr:cNvSpPr/>
      </xdr:nvSpPr>
      <xdr:spPr>
        <a:xfrm>
          <a:off x="13560570" y="1082914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160812</xdr:colOff>
      <xdr:row>74</xdr:row>
      <xdr:rowOff>148441</xdr:rowOff>
    </xdr:from>
    <xdr:to>
      <xdr:col>2</xdr:col>
      <xdr:colOff>107896</xdr:colOff>
      <xdr:row>75</xdr:row>
      <xdr:rowOff>137858</xdr:rowOff>
    </xdr:to>
    <xdr:sp macro="" textlink="">
      <xdr:nvSpPr>
        <xdr:cNvPr id="531" name="5-Point Star 520">
          <a:extLst>
            <a:ext uri="{FF2B5EF4-FFF2-40B4-BE49-F238E27FC236}">
              <a16:creationId xmlns:a16="http://schemas.microsoft.com/office/drawing/2014/main" id="{51E5E6DA-3FAC-410D-A9B4-7CF8802F7A66}"/>
            </a:ext>
          </a:extLst>
        </xdr:cNvPr>
        <xdr:cNvSpPr/>
      </xdr:nvSpPr>
      <xdr:spPr>
        <a:xfrm>
          <a:off x="770412" y="1230234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</xdr:row>
      <xdr:rowOff>0</xdr:rowOff>
    </xdr:from>
    <xdr:ext cx="230186" cy="271084"/>
    <xdr:pic>
      <xdr:nvPicPr>
        <xdr:cNvPr id="532" name="Picture 531" descr="A black and white symbol&#10;&#10;Description automatically generated">
          <a:extLst>
            <a:ext uri="{FF2B5EF4-FFF2-40B4-BE49-F238E27FC236}">
              <a16:creationId xmlns:a16="http://schemas.microsoft.com/office/drawing/2014/main" id="{99F82B88-1E38-4625-BF6A-7109FD309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173183</xdr:colOff>
      <xdr:row>83</xdr:row>
      <xdr:rowOff>148441</xdr:rowOff>
    </xdr:from>
    <xdr:to>
      <xdr:col>8</xdr:col>
      <xdr:colOff>98963</xdr:colOff>
      <xdr:row>84</xdr:row>
      <xdr:rowOff>148441</xdr:rowOff>
    </xdr:to>
    <xdr:sp macro="" textlink="">
      <xdr:nvSpPr>
        <xdr:cNvPr id="533" name="5-Point Star 520">
          <a:extLst>
            <a:ext uri="{FF2B5EF4-FFF2-40B4-BE49-F238E27FC236}">
              <a16:creationId xmlns:a16="http://schemas.microsoft.com/office/drawing/2014/main" id="{23B55B11-E54C-413E-938C-755718C7453A}"/>
            </a:ext>
          </a:extLst>
        </xdr:cNvPr>
        <xdr:cNvSpPr/>
      </xdr:nvSpPr>
      <xdr:spPr>
        <a:xfrm flipH="1">
          <a:off x="4440383" y="1377554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15</xdr:row>
      <xdr:rowOff>0</xdr:rowOff>
    </xdr:from>
    <xdr:ext cx="230186" cy="271084"/>
    <xdr:pic>
      <xdr:nvPicPr>
        <xdr:cNvPr id="534" name="Picture 533" descr="A black and white symbol&#10;&#10;Description automatically generated">
          <a:extLst>
            <a:ext uri="{FF2B5EF4-FFF2-40B4-BE49-F238E27FC236}">
              <a16:creationId xmlns:a16="http://schemas.microsoft.com/office/drawing/2014/main" id="{CF94BA79-9645-446D-BE4B-65E5A086D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</xdr:row>
      <xdr:rowOff>0</xdr:rowOff>
    </xdr:from>
    <xdr:ext cx="230186" cy="271084"/>
    <xdr:pic>
      <xdr:nvPicPr>
        <xdr:cNvPr id="535" name="Picture 534" descr="A black and white symbol&#10;&#10;Description automatically generated">
          <a:extLst>
            <a:ext uri="{FF2B5EF4-FFF2-40B4-BE49-F238E27FC236}">
              <a16:creationId xmlns:a16="http://schemas.microsoft.com/office/drawing/2014/main" id="{B3C02953-8D32-453C-8954-0517A2120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3457</xdr:colOff>
      <xdr:row>2</xdr:row>
      <xdr:rowOff>9305</xdr:rowOff>
    </xdr:from>
    <xdr:to>
      <xdr:col>26</xdr:col>
      <xdr:colOff>264538</xdr:colOff>
      <xdr:row>3</xdr:row>
      <xdr:rowOff>188148</xdr:rowOff>
    </xdr:to>
    <xdr:sp macro="" textlink="">
      <xdr:nvSpPr>
        <xdr:cNvPr id="536" name="Isosceles Triangle 535">
          <a:extLst>
            <a:ext uri="{FF2B5EF4-FFF2-40B4-BE49-F238E27FC236}">
              <a16:creationId xmlns:a16="http://schemas.microsoft.com/office/drawing/2014/main" id="{3C443273-C3B1-4975-84B8-32C2B33FA51D}"/>
            </a:ext>
          </a:extLst>
        </xdr:cNvPr>
        <xdr:cNvSpPr/>
      </xdr:nvSpPr>
      <xdr:spPr>
        <a:xfrm>
          <a:off x="15243457" y="377605"/>
          <a:ext cx="870681" cy="35664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oneCellAnchor>
    <xdr:from>
      <xdr:col>27</xdr:col>
      <xdr:colOff>0</xdr:colOff>
      <xdr:row>6</xdr:row>
      <xdr:rowOff>0</xdr:rowOff>
    </xdr:from>
    <xdr:ext cx="230186" cy="271084"/>
    <xdr:pic>
      <xdr:nvPicPr>
        <xdr:cNvPr id="537" name="Picture 536" descr="A black and white symbol&#10;&#10;Description automatically generated">
          <a:extLst>
            <a:ext uri="{FF2B5EF4-FFF2-40B4-BE49-F238E27FC236}">
              <a16:creationId xmlns:a16="http://schemas.microsoft.com/office/drawing/2014/main" id="{837C131E-A621-4EE0-AB1F-43B05D3D4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60</xdr:row>
      <xdr:rowOff>0</xdr:rowOff>
    </xdr:from>
    <xdr:ext cx="230186" cy="271084"/>
    <xdr:pic>
      <xdr:nvPicPr>
        <xdr:cNvPr id="539" name="Picture 538" descr="A black and white symbol&#10;&#10;Description automatically generated">
          <a:extLst>
            <a:ext uri="{FF2B5EF4-FFF2-40B4-BE49-F238E27FC236}">
              <a16:creationId xmlns:a16="http://schemas.microsoft.com/office/drawing/2014/main" id="{F2EC2857-84DA-4240-BECD-FFF81ACB7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2721</xdr:colOff>
      <xdr:row>29</xdr:row>
      <xdr:rowOff>0</xdr:rowOff>
    </xdr:from>
    <xdr:to>
      <xdr:col>20</xdr:col>
      <xdr:colOff>259163</xdr:colOff>
      <xdr:row>30</xdr:row>
      <xdr:rowOff>183173</xdr:rowOff>
    </xdr:to>
    <xdr:sp macro="" textlink="">
      <xdr:nvSpPr>
        <xdr:cNvPr id="540" name="Isosceles Triangle 539">
          <a:extLst>
            <a:ext uri="{FF2B5EF4-FFF2-40B4-BE49-F238E27FC236}">
              <a16:creationId xmlns:a16="http://schemas.microsoft.com/office/drawing/2014/main" id="{622A06F9-32BE-485F-B939-7C9EC7A09979}"/>
            </a:ext>
          </a:extLst>
        </xdr:cNvPr>
        <xdr:cNvSpPr/>
      </xdr:nvSpPr>
      <xdr:spPr>
        <a:xfrm>
          <a:off x="11585121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60</xdr:row>
      <xdr:rowOff>0</xdr:rowOff>
    </xdr:from>
    <xdr:ext cx="230186" cy="271084"/>
    <xdr:pic>
      <xdr:nvPicPr>
        <xdr:cNvPr id="542" name="Picture 541" descr="A black and white symbol&#10;&#10;Description automatically generated">
          <a:extLst>
            <a:ext uri="{FF2B5EF4-FFF2-40B4-BE49-F238E27FC236}">
              <a16:creationId xmlns:a16="http://schemas.microsoft.com/office/drawing/2014/main" id="{195DD36E-0137-4C93-A66C-42926BE7E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158956</xdr:colOff>
      <xdr:row>74</xdr:row>
      <xdr:rowOff>128185</xdr:rowOff>
    </xdr:from>
    <xdr:to>
      <xdr:col>17</xdr:col>
      <xdr:colOff>106041</xdr:colOff>
      <xdr:row>75</xdr:row>
      <xdr:rowOff>117602</xdr:rowOff>
    </xdr:to>
    <xdr:sp macro="" textlink="">
      <xdr:nvSpPr>
        <xdr:cNvPr id="543" name="5-Point Star 520">
          <a:extLst>
            <a:ext uri="{FF2B5EF4-FFF2-40B4-BE49-F238E27FC236}">
              <a16:creationId xmlns:a16="http://schemas.microsoft.com/office/drawing/2014/main" id="{A7567619-2456-46D1-AFEE-C55E4EC31095}"/>
            </a:ext>
          </a:extLst>
        </xdr:cNvPr>
        <xdr:cNvSpPr/>
      </xdr:nvSpPr>
      <xdr:spPr>
        <a:xfrm>
          <a:off x="9912556" y="12282085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158956</xdr:colOff>
      <xdr:row>74</xdr:row>
      <xdr:rowOff>151998</xdr:rowOff>
    </xdr:from>
    <xdr:to>
      <xdr:col>20</xdr:col>
      <xdr:colOff>106042</xdr:colOff>
      <xdr:row>75</xdr:row>
      <xdr:rowOff>141415</xdr:rowOff>
    </xdr:to>
    <xdr:sp macro="" textlink="">
      <xdr:nvSpPr>
        <xdr:cNvPr id="544" name="5-Point Star 520">
          <a:extLst>
            <a:ext uri="{FF2B5EF4-FFF2-40B4-BE49-F238E27FC236}">
              <a16:creationId xmlns:a16="http://schemas.microsoft.com/office/drawing/2014/main" id="{BFCD8F86-2C60-4BAA-A436-42F1AF7DC7B3}"/>
            </a:ext>
          </a:extLst>
        </xdr:cNvPr>
        <xdr:cNvSpPr/>
      </xdr:nvSpPr>
      <xdr:spPr>
        <a:xfrm>
          <a:off x="11741356" y="12305898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157565</xdr:colOff>
      <xdr:row>74</xdr:row>
      <xdr:rowOff>175810</xdr:rowOff>
    </xdr:from>
    <xdr:to>
      <xdr:col>23</xdr:col>
      <xdr:colOff>104650</xdr:colOff>
      <xdr:row>75</xdr:row>
      <xdr:rowOff>165227</xdr:rowOff>
    </xdr:to>
    <xdr:sp macro="" textlink="">
      <xdr:nvSpPr>
        <xdr:cNvPr id="545" name="5-Point Star 520">
          <a:extLst>
            <a:ext uri="{FF2B5EF4-FFF2-40B4-BE49-F238E27FC236}">
              <a16:creationId xmlns:a16="http://schemas.microsoft.com/office/drawing/2014/main" id="{0CE4CE66-954B-40AC-A63A-838D235AAA41}"/>
            </a:ext>
          </a:extLst>
        </xdr:cNvPr>
        <xdr:cNvSpPr/>
      </xdr:nvSpPr>
      <xdr:spPr>
        <a:xfrm>
          <a:off x="13568765" y="12329710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157565</xdr:colOff>
      <xdr:row>74</xdr:row>
      <xdr:rowOff>140091</xdr:rowOff>
    </xdr:from>
    <xdr:to>
      <xdr:col>26</xdr:col>
      <xdr:colOff>104651</xdr:colOff>
      <xdr:row>75</xdr:row>
      <xdr:rowOff>129508</xdr:rowOff>
    </xdr:to>
    <xdr:sp macro="" textlink="">
      <xdr:nvSpPr>
        <xdr:cNvPr id="546" name="5-Point Star 520">
          <a:extLst>
            <a:ext uri="{FF2B5EF4-FFF2-40B4-BE49-F238E27FC236}">
              <a16:creationId xmlns:a16="http://schemas.microsoft.com/office/drawing/2014/main" id="{4F46EAFB-64BA-4064-89E7-B1F73CFD7374}"/>
            </a:ext>
          </a:extLst>
        </xdr:cNvPr>
        <xdr:cNvSpPr/>
      </xdr:nvSpPr>
      <xdr:spPr>
        <a:xfrm>
          <a:off x="15397565" y="12293991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167298</xdr:colOff>
      <xdr:row>83</xdr:row>
      <xdr:rowOff>150813</xdr:rowOff>
    </xdr:from>
    <xdr:to>
      <xdr:col>11</xdr:col>
      <xdr:colOff>93077</xdr:colOff>
      <xdr:row>84</xdr:row>
      <xdr:rowOff>150813</xdr:rowOff>
    </xdr:to>
    <xdr:sp macro="" textlink="">
      <xdr:nvSpPr>
        <xdr:cNvPr id="547" name="5-Point Star 520">
          <a:extLst>
            <a:ext uri="{FF2B5EF4-FFF2-40B4-BE49-F238E27FC236}">
              <a16:creationId xmlns:a16="http://schemas.microsoft.com/office/drawing/2014/main" id="{15798C64-4A1B-49B9-A327-83BE5163CA25}"/>
            </a:ext>
          </a:extLst>
        </xdr:cNvPr>
        <xdr:cNvSpPr/>
      </xdr:nvSpPr>
      <xdr:spPr>
        <a:xfrm flipH="1">
          <a:off x="6263298" y="1377791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144096</xdr:colOff>
      <xdr:row>83</xdr:row>
      <xdr:rowOff>140128</xdr:rowOff>
    </xdr:from>
    <xdr:to>
      <xdr:col>14</xdr:col>
      <xdr:colOff>69875</xdr:colOff>
      <xdr:row>84</xdr:row>
      <xdr:rowOff>140128</xdr:rowOff>
    </xdr:to>
    <xdr:sp macro="" textlink="">
      <xdr:nvSpPr>
        <xdr:cNvPr id="548" name="5-Point Star 520">
          <a:extLst>
            <a:ext uri="{FF2B5EF4-FFF2-40B4-BE49-F238E27FC236}">
              <a16:creationId xmlns:a16="http://schemas.microsoft.com/office/drawing/2014/main" id="{A27B0F78-1E31-436C-941F-257EEF1B2B86}"/>
            </a:ext>
          </a:extLst>
        </xdr:cNvPr>
        <xdr:cNvSpPr/>
      </xdr:nvSpPr>
      <xdr:spPr>
        <a:xfrm flipH="1">
          <a:off x="8068896" y="1376722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179815</xdr:colOff>
      <xdr:row>83</xdr:row>
      <xdr:rowOff>128222</xdr:rowOff>
    </xdr:from>
    <xdr:to>
      <xdr:col>17</xdr:col>
      <xdr:colOff>105594</xdr:colOff>
      <xdr:row>84</xdr:row>
      <xdr:rowOff>128222</xdr:rowOff>
    </xdr:to>
    <xdr:sp macro="" textlink="">
      <xdr:nvSpPr>
        <xdr:cNvPr id="549" name="5-Point Star 520">
          <a:extLst>
            <a:ext uri="{FF2B5EF4-FFF2-40B4-BE49-F238E27FC236}">
              <a16:creationId xmlns:a16="http://schemas.microsoft.com/office/drawing/2014/main" id="{0E5BB0E0-CCFD-4973-9F16-337CA4987375}"/>
            </a:ext>
          </a:extLst>
        </xdr:cNvPr>
        <xdr:cNvSpPr/>
      </xdr:nvSpPr>
      <xdr:spPr>
        <a:xfrm flipH="1">
          <a:off x="9933415" y="1375532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170862</xdr:colOff>
      <xdr:row>83</xdr:row>
      <xdr:rowOff>148132</xdr:rowOff>
    </xdr:from>
    <xdr:to>
      <xdr:col>20</xdr:col>
      <xdr:colOff>96642</xdr:colOff>
      <xdr:row>84</xdr:row>
      <xdr:rowOff>148132</xdr:rowOff>
    </xdr:to>
    <xdr:sp macro="" textlink="">
      <xdr:nvSpPr>
        <xdr:cNvPr id="550" name="5-Point Star 520">
          <a:extLst>
            <a:ext uri="{FF2B5EF4-FFF2-40B4-BE49-F238E27FC236}">
              <a16:creationId xmlns:a16="http://schemas.microsoft.com/office/drawing/2014/main" id="{B9BE5466-0FFF-49A1-8388-AA56A1D19267}"/>
            </a:ext>
          </a:extLst>
        </xdr:cNvPr>
        <xdr:cNvSpPr/>
      </xdr:nvSpPr>
      <xdr:spPr>
        <a:xfrm flipH="1">
          <a:off x="11753262" y="1377523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154171</xdr:colOff>
      <xdr:row>83</xdr:row>
      <xdr:rowOff>136464</xdr:rowOff>
    </xdr:from>
    <xdr:to>
      <xdr:col>23</xdr:col>
      <xdr:colOff>79950</xdr:colOff>
      <xdr:row>84</xdr:row>
      <xdr:rowOff>136464</xdr:rowOff>
    </xdr:to>
    <xdr:sp macro="" textlink="">
      <xdr:nvSpPr>
        <xdr:cNvPr id="551" name="5-Point Star 520">
          <a:extLst>
            <a:ext uri="{FF2B5EF4-FFF2-40B4-BE49-F238E27FC236}">
              <a16:creationId xmlns:a16="http://schemas.microsoft.com/office/drawing/2014/main" id="{7E36D7D9-411B-4907-AF61-2312AF09ACA1}"/>
            </a:ext>
          </a:extLst>
        </xdr:cNvPr>
        <xdr:cNvSpPr/>
      </xdr:nvSpPr>
      <xdr:spPr>
        <a:xfrm flipH="1">
          <a:off x="13565371" y="1376356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166076</xdr:colOff>
      <xdr:row>83</xdr:row>
      <xdr:rowOff>136464</xdr:rowOff>
    </xdr:from>
    <xdr:to>
      <xdr:col>26</xdr:col>
      <xdr:colOff>91856</xdr:colOff>
      <xdr:row>84</xdr:row>
      <xdr:rowOff>136464</xdr:rowOff>
    </xdr:to>
    <xdr:sp macro="" textlink="">
      <xdr:nvSpPr>
        <xdr:cNvPr id="552" name="5-Point Star 520">
          <a:extLst>
            <a:ext uri="{FF2B5EF4-FFF2-40B4-BE49-F238E27FC236}">
              <a16:creationId xmlns:a16="http://schemas.microsoft.com/office/drawing/2014/main" id="{048E118F-66C8-4ED7-B381-D0A53E049E42}"/>
            </a:ext>
          </a:extLst>
        </xdr:cNvPr>
        <xdr:cNvSpPr/>
      </xdr:nvSpPr>
      <xdr:spPr>
        <a:xfrm flipH="1">
          <a:off x="15406076" y="1376356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142264</xdr:colOff>
      <xdr:row>83</xdr:row>
      <xdr:rowOff>148372</xdr:rowOff>
    </xdr:from>
    <xdr:to>
      <xdr:col>29</xdr:col>
      <xdr:colOff>68044</xdr:colOff>
      <xdr:row>84</xdr:row>
      <xdr:rowOff>148372</xdr:rowOff>
    </xdr:to>
    <xdr:sp macro="" textlink="">
      <xdr:nvSpPr>
        <xdr:cNvPr id="553" name="5-Point Star 520">
          <a:extLst>
            <a:ext uri="{FF2B5EF4-FFF2-40B4-BE49-F238E27FC236}">
              <a16:creationId xmlns:a16="http://schemas.microsoft.com/office/drawing/2014/main" id="{28D19883-7BFE-4B35-8661-48616DB6BDD5}"/>
            </a:ext>
          </a:extLst>
        </xdr:cNvPr>
        <xdr:cNvSpPr/>
      </xdr:nvSpPr>
      <xdr:spPr>
        <a:xfrm flipH="1">
          <a:off x="17211064" y="1377547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167603</xdr:colOff>
      <xdr:row>83</xdr:row>
      <xdr:rowOff>136466</xdr:rowOff>
    </xdr:from>
    <xdr:to>
      <xdr:col>32</xdr:col>
      <xdr:colOff>93383</xdr:colOff>
      <xdr:row>84</xdr:row>
      <xdr:rowOff>136466</xdr:rowOff>
    </xdr:to>
    <xdr:sp macro="" textlink="">
      <xdr:nvSpPr>
        <xdr:cNvPr id="554" name="5-Point Star 520">
          <a:extLst>
            <a:ext uri="{FF2B5EF4-FFF2-40B4-BE49-F238E27FC236}">
              <a16:creationId xmlns:a16="http://schemas.microsoft.com/office/drawing/2014/main" id="{F5C638B0-5C8B-4197-A39E-1FC952233F86}"/>
            </a:ext>
          </a:extLst>
        </xdr:cNvPr>
        <xdr:cNvSpPr/>
      </xdr:nvSpPr>
      <xdr:spPr>
        <a:xfrm flipH="1">
          <a:off x="19065203" y="1376356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9525</xdr:colOff>
      <xdr:row>11</xdr:row>
      <xdr:rowOff>0</xdr:rowOff>
    </xdr:from>
    <xdr:to>
      <xdr:col>6</xdr:col>
      <xdr:colOff>4029</xdr:colOff>
      <xdr:row>12</xdr:row>
      <xdr:rowOff>183173</xdr:rowOff>
    </xdr:to>
    <xdr:sp macro="" textlink="">
      <xdr:nvSpPr>
        <xdr:cNvPr id="555" name="Isosceles Triangle 554">
          <a:extLst>
            <a:ext uri="{FF2B5EF4-FFF2-40B4-BE49-F238E27FC236}">
              <a16:creationId xmlns:a16="http://schemas.microsoft.com/office/drawing/2014/main" id="{4D6E85AB-A3D0-4025-B7C0-C2307F9AFE34}"/>
            </a:ext>
          </a:extLst>
        </xdr:cNvPr>
        <xdr:cNvSpPr/>
      </xdr:nvSpPr>
      <xdr:spPr>
        <a:xfrm>
          <a:off x="2447925" y="18415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15</xdr:row>
      <xdr:rowOff>0</xdr:rowOff>
    </xdr:from>
    <xdr:ext cx="230186" cy="271084"/>
    <xdr:pic>
      <xdr:nvPicPr>
        <xdr:cNvPr id="556" name="Picture 555" descr="A black and white symbol&#10;&#10;Description automatically generated">
          <a:extLst>
            <a:ext uri="{FF2B5EF4-FFF2-40B4-BE49-F238E27FC236}">
              <a16:creationId xmlns:a16="http://schemas.microsoft.com/office/drawing/2014/main" id="{1B64664F-53E3-4D93-B0D8-2660A1C27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118598</xdr:colOff>
      <xdr:row>83</xdr:row>
      <xdr:rowOff>148133</xdr:rowOff>
    </xdr:from>
    <xdr:to>
      <xdr:col>41</xdr:col>
      <xdr:colOff>44378</xdr:colOff>
      <xdr:row>84</xdr:row>
      <xdr:rowOff>148133</xdr:rowOff>
    </xdr:to>
    <xdr:sp macro="" textlink="">
      <xdr:nvSpPr>
        <xdr:cNvPr id="557" name="5-Point Star 520">
          <a:extLst>
            <a:ext uri="{FF2B5EF4-FFF2-40B4-BE49-F238E27FC236}">
              <a16:creationId xmlns:a16="http://schemas.microsoft.com/office/drawing/2014/main" id="{70DCB362-4A46-45F0-AA7A-97A756ADD8AA}"/>
            </a:ext>
          </a:extLst>
        </xdr:cNvPr>
        <xdr:cNvSpPr/>
      </xdr:nvSpPr>
      <xdr:spPr>
        <a:xfrm flipH="1">
          <a:off x="24502598" y="1377523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182304</xdr:colOff>
      <xdr:row>92</xdr:row>
      <xdr:rowOff>132360</xdr:rowOff>
    </xdr:from>
    <xdr:to>
      <xdr:col>2</xdr:col>
      <xdr:colOff>108084</xdr:colOff>
      <xdr:row>93</xdr:row>
      <xdr:rowOff>132360</xdr:rowOff>
    </xdr:to>
    <xdr:sp macro="" textlink="">
      <xdr:nvSpPr>
        <xdr:cNvPr id="558" name="5-Point Star 520">
          <a:extLst>
            <a:ext uri="{FF2B5EF4-FFF2-40B4-BE49-F238E27FC236}">
              <a16:creationId xmlns:a16="http://schemas.microsoft.com/office/drawing/2014/main" id="{8B8B082D-E53B-4C7F-847F-25EDF6135B64}"/>
            </a:ext>
          </a:extLst>
        </xdr:cNvPr>
        <xdr:cNvSpPr/>
      </xdr:nvSpPr>
      <xdr:spPr>
        <a:xfrm flipH="1">
          <a:off x="791904" y="1523266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92</xdr:row>
      <xdr:rowOff>132360</xdr:rowOff>
    </xdr:from>
    <xdr:to>
      <xdr:col>5</xdr:col>
      <xdr:colOff>70510</xdr:colOff>
      <xdr:row>93</xdr:row>
      <xdr:rowOff>132360</xdr:rowOff>
    </xdr:to>
    <xdr:sp macro="" textlink="">
      <xdr:nvSpPr>
        <xdr:cNvPr id="559" name="5-Point Star 520">
          <a:extLst>
            <a:ext uri="{FF2B5EF4-FFF2-40B4-BE49-F238E27FC236}">
              <a16:creationId xmlns:a16="http://schemas.microsoft.com/office/drawing/2014/main" id="{243EED91-C8F5-4C7C-9003-6984CB1FA087}"/>
            </a:ext>
          </a:extLst>
        </xdr:cNvPr>
        <xdr:cNvSpPr/>
      </xdr:nvSpPr>
      <xdr:spPr>
        <a:xfrm flipH="1">
          <a:off x="2583131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151532</xdr:colOff>
      <xdr:row>92</xdr:row>
      <xdr:rowOff>156172</xdr:rowOff>
    </xdr:from>
    <xdr:to>
      <xdr:col>8</xdr:col>
      <xdr:colOff>107155</xdr:colOff>
      <xdr:row>93</xdr:row>
      <xdr:rowOff>166687</xdr:rowOff>
    </xdr:to>
    <xdr:sp macro="" textlink="">
      <xdr:nvSpPr>
        <xdr:cNvPr id="560" name="5-Point Star 520">
          <a:extLst>
            <a:ext uri="{FF2B5EF4-FFF2-40B4-BE49-F238E27FC236}">
              <a16:creationId xmlns:a16="http://schemas.microsoft.com/office/drawing/2014/main" id="{8471D251-927D-4254-A299-9E6387C24B78}"/>
            </a:ext>
          </a:extLst>
        </xdr:cNvPr>
        <xdr:cNvSpPr/>
      </xdr:nvSpPr>
      <xdr:spPr>
        <a:xfrm flipH="1" flipV="1">
          <a:off x="4418732" y="15256472"/>
          <a:ext cx="565223" cy="19466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151998</xdr:colOff>
      <xdr:row>92</xdr:row>
      <xdr:rowOff>132360</xdr:rowOff>
    </xdr:from>
    <xdr:to>
      <xdr:col>11</xdr:col>
      <xdr:colOff>77777</xdr:colOff>
      <xdr:row>93</xdr:row>
      <xdr:rowOff>132360</xdr:rowOff>
    </xdr:to>
    <xdr:sp macro="" textlink="">
      <xdr:nvSpPr>
        <xdr:cNvPr id="561" name="5-Point Star 520">
          <a:extLst>
            <a:ext uri="{FF2B5EF4-FFF2-40B4-BE49-F238E27FC236}">
              <a16:creationId xmlns:a16="http://schemas.microsoft.com/office/drawing/2014/main" id="{4229DCE1-5B1F-4B63-8ED5-E123E0210D89}"/>
            </a:ext>
          </a:extLst>
        </xdr:cNvPr>
        <xdr:cNvSpPr/>
      </xdr:nvSpPr>
      <xdr:spPr>
        <a:xfrm flipH="1">
          <a:off x="6247998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158029</xdr:colOff>
      <xdr:row>92</xdr:row>
      <xdr:rowOff>144267</xdr:rowOff>
    </xdr:from>
    <xdr:to>
      <xdr:col>14</xdr:col>
      <xdr:colOff>83808</xdr:colOff>
      <xdr:row>93</xdr:row>
      <xdr:rowOff>144267</xdr:rowOff>
    </xdr:to>
    <xdr:sp macro="" textlink="">
      <xdr:nvSpPr>
        <xdr:cNvPr id="562" name="5-Point Star 520">
          <a:extLst>
            <a:ext uri="{FF2B5EF4-FFF2-40B4-BE49-F238E27FC236}">
              <a16:creationId xmlns:a16="http://schemas.microsoft.com/office/drawing/2014/main" id="{411524B9-A149-4B16-8225-4EAAFEAD8214}"/>
            </a:ext>
          </a:extLst>
        </xdr:cNvPr>
        <xdr:cNvSpPr/>
      </xdr:nvSpPr>
      <xdr:spPr>
        <a:xfrm flipH="1">
          <a:off x="8082829" y="15244567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129112</xdr:colOff>
      <xdr:row>92</xdr:row>
      <xdr:rowOff>132361</xdr:rowOff>
    </xdr:from>
    <xdr:to>
      <xdr:col>17</xdr:col>
      <xdr:colOff>54891</xdr:colOff>
      <xdr:row>93</xdr:row>
      <xdr:rowOff>132361</xdr:rowOff>
    </xdr:to>
    <xdr:sp macro="" textlink="">
      <xdr:nvSpPr>
        <xdr:cNvPr id="563" name="5-Point Star 520">
          <a:extLst>
            <a:ext uri="{FF2B5EF4-FFF2-40B4-BE49-F238E27FC236}">
              <a16:creationId xmlns:a16="http://schemas.microsoft.com/office/drawing/2014/main" id="{6CAE7EAC-16CA-4BD7-B05C-A1F07A5711D6}"/>
            </a:ext>
          </a:extLst>
        </xdr:cNvPr>
        <xdr:cNvSpPr/>
      </xdr:nvSpPr>
      <xdr:spPr>
        <a:xfrm flipH="1">
          <a:off x="9882712" y="15232661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153390</xdr:colOff>
      <xdr:row>92</xdr:row>
      <xdr:rowOff>132361</xdr:rowOff>
    </xdr:from>
    <xdr:to>
      <xdr:col>20</xdr:col>
      <xdr:colOff>79170</xdr:colOff>
      <xdr:row>93</xdr:row>
      <xdr:rowOff>132361</xdr:rowOff>
    </xdr:to>
    <xdr:sp macro="" textlink="">
      <xdr:nvSpPr>
        <xdr:cNvPr id="564" name="5-Point Star 520">
          <a:extLst>
            <a:ext uri="{FF2B5EF4-FFF2-40B4-BE49-F238E27FC236}">
              <a16:creationId xmlns:a16="http://schemas.microsoft.com/office/drawing/2014/main" id="{DD6E0BD0-7DD1-429B-95E8-0825FA86A974}"/>
            </a:ext>
          </a:extLst>
        </xdr:cNvPr>
        <xdr:cNvSpPr/>
      </xdr:nvSpPr>
      <xdr:spPr>
        <a:xfrm flipH="1">
          <a:off x="11735790" y="152326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154781</xdr:colOff>
      <xdr:row>92</xdr:row>
      <xdr:rowOff>119062</xdr:rowOff>
    </xdr:from>
    <xdr:to>
      <xdr:col>26</xdr:col>
      <xdr:colOff>80561</xdr:colOff>
      <xdr:row>93</xdr:row>
      <xdr:rowOff>119062</xdr:rowOff>
    </xdr:to>
    <xdr:sp macro="" textlink="">
      <xdr:nvSpPr>
        <xdr:cNvPr id="565" name="5-Point Star 520">
          <a:extLst>
            <a:ext uri="{FF2B5EF4-FFF2-40B4-BE49-F238E27FC236}">
              <a16:creationId xmlns:a16="http://schemas.microsoft.com/office/drawing/2014/main" id="{551AB15D-FA8E-4A40-BA03-92F816BD6C32}"/>
            </a:ext>
          </a:extLst>
        </xdr:cNvPr>
        <xdr:cNvSpPr/>
      </xdr:nvSpPr>
      <xdr:spPr>
        <a:xfrm flipH="1">
          <a:off x="15394781" y="1521936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158933</xdr:colOff>
      <xdr:row>101</xdr:row>
      <xdr:rowOff>128348</xdr:rowOff>
    </xdr:from>
    <xdr:to>
      <xdr:col>2</xdr:col>
      <xdr:colOff>84713</xdr:colOff>
      <xdr:row>102</xdr:row>
      <xdr:rowOff>128348</xdr:rowOff>
    </xdr:to>
    <xdr:sp macro="" textlink="">
      <xdr:nvSpPr>
        <xdr:cNvPr id="566" name="5-Point Star 520">
          <a:extLst>
            <a:ext uri="{FF2B5EF4-FFF2-40B4-BE49-F238E27FC236}">
              <a16:creationId xmlns:a16="http://schemas.microsoft.com/office/drawing/2014/main" id="{682EF0B9-BFA8-49FA-A67F-3375A4FF608E}"/>
            </a:ext>
          </a:extLst>
        </xdr:cNvPr>
        <xdr:cNvSpPr/>
      </xdr:nvSpPr>
      <xdr:spPr>
        <a:xfrm flipH="1">
          <a:off x="768533" y="1670184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168544</xdr:colOff>
      <xdr:row>101</xdr:row>
      <xdr:rowOff>116589</xdr:rowOff>
    </xdr:from>
    <xdr:to>
      <xdr:col>5</xdr:col>
      <xdr:colOff>94323</xdr:colOff>
      <xdr:row>102</xdr:row>
      <xdr:rowOff>116589</xdr:rowOff>
    </xdr:to>
    <xdr:sp macro="" textlink="">
      <xdr:nvSpPr>
        <xdr:cNvPr id="567" name="5-Point Star 520">
          <a:extLst>
            <a:ext uri="{FF2B5EF4-FFF2-40B4-BE49-F238E27FC236}">
              <a16:creationId xmlns:a16="http://schemas.microsoft.com/office/drawing/2014/main" id="{D3E45A21-20F1-4070-A769-35E05B515253}"/>
            </a:ext>
          </a:extLst>
        </xdr:cNvPr>
        <xdr:cNvSpPr/>
      </xdr:nvSpPr>
      <xdr:spPr>
        <a:xfrm flipH="1">
          <a:off x="2606944" y="1669008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30</xdr:col>
      <xdr:colOff>0</xdr:colOff>
      <xdr:row>60</xdr:row>
      <xdr:rowOff>0</xdr:rowOff>
    </xdr:from>
    <xdr:ext cx="230186" cy="271084"/>
    <xdr:pic>
      <xdr:nvPicPr>
        <xdr:cNvPr id="568" name="Picture 567" descr="A black and white symbol&#10;&#10;Description automatically generated">
          <a:extLst>
            <a:ext uri="{FF2B5EF4-FFF2-40B4-BE49-F238E27FC236}">
              <a16:creationId xmlns:a16="http://schemas.microsoft.com/office/drawing/2014/main" id="{2615AFB9-CFD1-445E-8835-C5BBC6536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131830</xdr:colOff>
      <xdr:row>83</xdr:row>
      <xdr:rowOff>135557</xdr:rowOff>
    </xdr:from>
    <xdr:to>
      <xdr:col>38</xdr:col>
      <xdr:colOff>57608</xdr:colOff>
      <xdr:row>84</xdr:row>
      <xdr:rowOff>135557</xdr:rowOff>
    </xdr:to>
    <xdr:sp macro="" textlink="">
      <xdr:nvSpPr>
        <xdr:cNvPr id="569" name="5-Point Star 520">
          <a:extLst>
            <a:ext uri="{FF2B5EF4-FFF2-40B4-BE49-F238E27FC236}">
              <a16:creationId xmlns:a16="http://schemas.microsoft.com/office/drawing/2014/main" id="{C22BAC52-026A-4883-B70E-5D54761F65A8}"/>
            </a:ext>
          </a:extLst>
        </xdr:cNvPr>
        <xdr:cNvSpPr/>
      </xdr:nvSpPr>
      <xdr:spPr>
        <a:xfrm flipH="1">
          <a:off x="22687030" y="137626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65</xdr:col>
      <xdr:colOff>278606</xdr:colOff>
      <xdr:row>72</xdr:row>
      <xdr:rowOff>130969</xdr:rowOff>
    </xdr:from>
    <xdr:to>
      <xdr:col>65</xdr:col>
      <xdr:colOff>466322</xdr:colOff>
      <xdr:row>73</xdr:row>
      <xdr:rowOff>130969</xdr:rowOff>
    </xdr:to>
    <xdr:sp macro="" textlink="">
      <xdr:nvSpPr>
        <xdr:cNvPr id="570" name="5-Point Star 520">
          <a:extLst>
            <a:ext uri="{FF2B5EF4-FFF2-40B4-BE49-F238E27FC236}">
              <a16:creationId xmlns:a16="http://schemas.microsoft.com/office/drawing/2014/main" id="{9F96DF80-B74B-4B90-AC44-FAD231EB1EE8}"/>
            </a:ext>
          </a:extLst>
        </xdr:cNvPr>
        <xdr:cNvSpPr/>
      </xdr:nvSpPr>
      <xdr:spPr>
        <a:xfrm flipH="1">
          <a:off x="39293006" y="11916569"/>
          <a:ext cx="187716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0</xdr:colOff>
      <xdr:row>105</xdr:row>
      <xdr:rowOff>0</xdr:rowOff>
    </xdr:from>
    <xdr:ext cx="230186" cy="271084"/>
    <xdr:pic>
      <xdr:nvPicPr>
        <xdr:cNvPr id="571" name="Picture 570" descr="A black and white symbol&#10;&#10;Description automatically generated">
          <a:extLst>
            <a:ext uri="{FF2B5EF4-FFF2-40B4-BE49-F238E27FC236}">
              <a16:creationId xmlns:a16="http://schemas.microsoft.com/office/drawing/2014/main" id="{22742646-FFF2-44BC-9EB7-C095C82A1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214313</xdr:colOff>
      <xdr:row>21</xdr:row>
      <xdr:rowOff>166688</xdr:rowOff>
    </xdr:from>
    <xdr:to>
      <xdr:col>0</xdr:col>
      <xdr:colOff>357188</xdr:colOff>
      <xdr:row>24</xdr:row>
      <xdr:rowOff>2096</xdr:rowOff>
    </xdr:to>
    <xdr:sp macro="" textlink="">
      <xdr:nvSpPr>
        <xdr:cNvPr id="572" name="Arrow: Up 571">
          <a:extLst>
            <a:ext uri="{FF2B5EF4-FFF2-40B4-BE49-F238E27FC236}">
              <a16:creationId xmlns:a16="http://schemas.microsoft.com/office/drawing/2014/main" id="{0E408930-4DE1-4113-BD4E-A7E678145EC4}"/>
            </a:ext>
          </a:extLst>
        </xdr:cNvPr>
        <xdr:cNvSpPr/>
      </xdr:nvSpPr>
      <xdr:spPr>
        <a:xfrm>
          <a:off x="2143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33</xdr:col>
      <xdr:colOff>0</xdr:colOff>
      <xdr:row>96</xdr:row>
      <xdr:rowOff>0</xdr:rowOff>
    </xdr:from>
    <xdr:ext cx="230186" cy="271084"/>
    <xdr:pic>
      <xdr:nvPicPr>
        <xdr:cNvPr id="573" name="Picture 572" descr="A black and white symbol&#10;&#10;Description automatically generated">
          <a:extLst>
            <a:ext uri="{FF2B5EF4-FFF2-40B4-BE49-F238E27FC236}">
              <a16:creationId xmlns:a16="http://schemas.microsoft.com/office/drawing/2014/main" id="{3A86F554-CE51-4772-982C-1B6B4EA53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</xdr:row>
      <xdr:rowOff>0</xdr:rowOff>
    </xdr:from>
    <xdr:ext cx="230186" cy="271084"/>
    <xdr:pic>
      <xdr:nvPicPr>
        <xdr:cNvPr id="574" name="Picture 573" descr="A black and white symbol&#10;&#10;Description automatically generated">
          <a:extLst>
            <a:ext uri="{FF2B5EF4-FFF2-40B4-BE49-F238E27FC236}">
              <a16:creationId xmlns:a16="http://schemas.microsoft.com/office/drawing/2014/main" id="{1B0A44F4-882C-478A-A4E1-1A22F2D8B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105</xdr:row>
      <xdr:rowOff>0</xdr:rowOff>
    </xdr:from>
    <xdr:ext cx="230186" cy="271084"/>
    <xdr:pic>
      <xdr:nvPicPr>
        <xdr:cNvPr id="575" name="Picture 574" descr="A black and white symbol&#10;&#10;Description automatically generated">
          <a:extLst>
            <a:ext uri="{FF2B5EF4-FFF2-40B4-BE49-F238E27FC236}">
              <a16:creationId xmlns:a16="http://schemas.microsoft.com/office/drawing/2014/main" id="{8EEE3CED-A684-4984-8156-54C599275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51</xdr:row>
      <xdr:rowOff>0</xdr:rowOff>
    </xdr:from>
    <xdr:ext cx="230186" cy="271084"/>
    <xdr:pic>
      <xdr:nvPicPr>
        <xdr:cNvPr id="576" name="Picture 575" descr="A black and white symbol&#10;&#10;Description automatically generated">
          <a:extLst>
            <a:ext uri="{FF2B5EF4-FFF2-40B4-BE49-F238E27FC236}">
              <a16:creationId xmlns:a16="http://schemas.microsoft.com/office/drawing/2014/main" id="{C58537F0-8B2C-4C27-9781-5BFE988F4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60</xdr:row>
      <xdr:rowOff>0</xdr:rowOff>
    </xdr:from>
    <xdr:ext cx="230186" cy="271084"/>
    <xdr:pic>
      <xdr:nvPicPr>
        <xdr:cNvPr id="577" name="Picture 576" descr="A black and white symbol&#10;&#10;Description automatically generated">
          <a:extLst>
            <a:ext uri="{FF2B5EF4-FFF2-40B4-BE49-F238E27FC236}">
              <a16:creationId xmlns:a16="http://schemas.microsoft.com/office/drawing/2014/main" id="{6316FFBF-6DC3-45E6-89E9-BCDA28E06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60</xdr:row>
      <xdr:rowOff>0</xdr:rowOff>
    </xdr:from>
    <xdr:ext cx="230186" cy="271084"/>
    <xdr:pic>
      <xdr:nvPicPr>
        <xdr:cNvPr id="578" name="Picture 577" descr="A black and white symbol&#10;&#10;Description automatically generated">
          <a:extLst>
            <a:ext uri="{FF2B5EF4-FFF2-40B4-BE49-F238E27FC236}">
              <a16:creationId xmlns:a16="http://schemas.microsoft.com/office/drawing/2014/main" id="{207C9C1C-2FA3-4A29-99EA-EB1AEE0F9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123</xdr:row>
      <xdr:rowOff>0</xdr:rowOff>
    </xdr:from>
    <xdr:ext cx="230186" cy="271084"/>
    <xdr:pic>
      <xdr:nvPicPr>
        <xdr:cNvPr id="579" name="Picture 578" descr="A black and white symbol&#10;&#10;Description automatically generated">
          <a:extLst>
            <a:ext uri="{FF2B5EF4-FFF2-40B4-BE49-F238E27FC236}">
              <a16:creationId xmlns:a16="http://schemas.microsoft.com/office/drawing/2014/main" id="{A6489D14-C13B-4090-AB98-49F8D23A9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123</xdr:row>
      <xdr:rowOff>0</xdr:rowOff>
    </xdr:from>
    <xdr:ext cx="230186" cy="271084"/>
    <xdr:pic>
      <xdr:nvPicPr>
        <xdr:cNvPr id="580" name="Picture 579" descr="A black and white symbol&#10;&#10;Description automatically generated">
          <a:extLst>
            <a:ext uri="{FF2B5EF4-FFF2-40B4-BE49-F238E27FC236}">
              <a16:creationId xmlns:a16="http://schemas.microsoft.com/office/drawing/2014/main" id="{2E5A03BF-8FCF-4892-94A6-698F1EEF5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123</xdr:row>
      <xdr:rowOff>0</xdr:rowOff>
    </xdr:from>
    <xdr:ext cx="230186" cy="271084"/>
    <xdr:pic>
      <xdr:nvPicPr>
        <xdr:cNvPr id="581" name="Picture 580" descr="A black and white symbol&#10;&#10;Description automatically generated">
          <a:extLst>
            <a:ext uri="{FF2B5EF4-FFF2-40B4-BE49-F238E27FC236}">
              <a16:creationId xmlns:a16="http://schemas.microsoft.com/office/drawing/2014/main" id="{143CCD97-0431-49FB-8FE0-D0DBFFD31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164368</xdr:colOff>
      <xdr:row>101</xdr:row>
      <xdr:rowOff>152308</xdr:rowOff>
    </xdr:from>
    <xdr:to>
      <xdr:col>14</xdr:col>
      <xdr:colOff>90147</xdr:colOff>
      <xdr:row>102</xdr:row>
      <xdr:rowOff>152308</xdr:rowOff>
    </xdr:to>
    <xdr:sp macro="" textlink="">
      <xdr:nvSpPr>
        <xdr:cNvPr id="582" name="5-Point Star 520">
          <a:extLst>
            <a:ext uri="{FF2B5EF4-FFF2-40B4-BE49-F238E27FC236}">
              <a16:creationId xmlns:a16="http://schemas.microsoft.com/office/drawing/2014/main" id="{8BBEF558-9224-4A76-8EC4-8447783E8C25}"/>
            </a:ext>
          </a:extLst>
        </xdr:cNvPr>
        <xdr:cNvSpPr/>
      </xdr:nvSpPr>
      <xdr:spPr>
        <a:xfrm flipH="1">
          <a:off x="8089168" y="1672580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180975</xdr:colOff>
      <xdr:row>101</xdr:row>
      <xdr:rowOff>142875</xdr:rowOff>
    </xdr:from>
    <xdr:to>
      <xdr:col>17</xdr:col>
      <xdr:colOff>106754</xdr:colOff>
      <xdr:row>102</xdr:row>
      <xdr:rowOff>142875</xdr:rowOff>
    </xdr:to>
    <xdr:sp macro="" textlink="">
      <xdr:nvSpPr>
        <xdr:cNvPr id="583" name="5-Point Star 520">
          <a:extLst>
            <a:ext uri="{FF2B5EF4-FFF2-40B4-BE49-F238E27FC236}">
              <a16:creationId xmlns:a16="http://schemas.microsoft.com/office/drawing/2014/main" id="{8EDA26A6-4459-4FCD-BDDF-F1B692190BF0}"/>
            </a:ext>
          </a:extLst>
        </xdr:cNvPr>
        <xdr:cNvSpPr/>
      </xdr:nvSpPr>
      <xdr:spPr>
        <a:xfrm flipH="1">
          <a:off x="9934575" y="167163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166981</xdr:colOff>
      <xdr:row>101</xdr:row>
      <xdr:rowOff>107451</xdr:rowOff>
    </xdr:from>
    <xdr:to>
      <xdr:col>8</xdr:col>
      <xdr:colOff>92761</xdr:colOff>
      <xdr:row>102</xdr:row>
      <xdr:rowOff>107451</xdr:rowOff>
    </xdr:to>
    <xdr:sp macro="" textlink="">
      <xdr:nvSpPr>
        <xdr:cNvPr id="584" name="5-Point Star 520">
          <a:extLst>
            <a:ext uri="{FF2B5EF4-FFF2-40B4-BE49-F238E27FC236}">
              <a16:creationId xmlns:a16="http://schemas.microsoft.com/office/drawing/2014/main" id="{1EA29C3F-96DF-4628-8E57-EB25B2517D84}"/>
            </a:ext>
          </a:extLst>
        </xdr:cNvPr>
        <xdr:cNvSpPr/>
      </xdr:nvSpPr>
      <xdr:spPr>
        <a:xfrm flipH="1">
          <a:off x="4434181" y="1668095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154782</xdr:colOff>
      <xdr:row>101</xdr:row>
      <xdr:rowOff>95250</xdr:rowOff>
    </xdr:from>
    <xdr:to>
      <xdr:col>11</xdr:col>
      <xdr:colOff>80561</xdr:colOff>
      <xdr:row>102</xdr:row>
      <xdr:rowOff>95250</xdr:rowOff>
    </xdr:to>
    <xdr:sp macro="" textlink="">
      <xdr:nvSpPr>
        <xdr:cNvPr id="585" name="5-Point Star 520">
          <a:extLst>
            <a:ext uri="{FF2B5EF4-FFF2-40B4-BE49-F238E27FC236}">
              <a16:creationId xmlns:a16="http://schemas.microsoft.com/office/drawing/2014/main" id="{1ED3F6E9-70D3-4256-9847-9A5AB715D402}"/>
            </a:ext>
          </a:extLst>
        </xdr:cNvPr>
        <xdr:cNvSpPr/>
      </xdr:nvSpPr>
      <xdr:spPr>
        <a:xfrm flipH="1">
          <a:off x="6250782" y="1666875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142875</xdr:colOff>
      <xdr:row>65</xdr:row>
      <xdr:rowOff>142875</xdr:rowOff>
    </xdr:from>
    <xdr:to>
      <xdr:col>41</xdr:col>
      <xdr:colOff>89959</xdr:colOff>
      <xdr:row>66</xdr:row>
      <xdr:rowOff>132292</xdr:rowOff>
    </xdr:to>
    <xdr:sp macro="" textlink="">
      <xdr:nvSpPr>
        <xdr:cNvPr id="586" name="5-Point Star 520">
          <a:extLst>
            <a:ext uri="{FF2B5EF4-FFF2-40B4-BE49-F238E27FC236}">
              <a16:creationId xmlns:a16="http://schemas.microsoft.com/office/drawing/2014/main" id="{C7BCDBE1-0F6F-49D6-8346-6BA17DC34C18}"/>
            </a:ext>
          </a:extLst>
        </xdr:cNvPr>
        <xdr:cNvSpPr/>
      </xdr:nvSpPr>
      <xdr:spPr>
        <a:xfrm>
          <a:off x="24526875" y="1082357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166687</xdr:colOff>
      <xdr:row>101</xdr:row>
      <xdr:rowOff>130968</xdr:rowOff>
    </xdr:from>
    <xdr:to>
      <xdr:col>20</xdr:col>
      <xdr:colOff>92467</xdr:colOff>
      <xdr:row>102</xdr:row>
      <xdr:rowOff>130968</xdr:rowOff>
    </xdr:to>
    <xdr:sp macro="" textlink="">
      <xdr:nvSpPr>
        <xdr:cNvPr id="587" name="5-Point Star 520">
          <a:extLst>
            <a:ext uri="{FF2B5EF4-FFF2-40B4-BE49-F238E27FC236}">
              <a16:creationId xmlns:a16="http://schemas.microsoft.com/office/drawing/2014/main" id="{5F3FED32-EE98-43C1-B715-4D59D96A5CBA}"/>
            </a:ext>
          </a:extLst>
        </xdr:cNvPr>
        <xdr:cNvSpPr/>
      </xdr:nvSpPr>
      <xdr:spPr>
        <a:xfrm flipH="1">
          <a:off x="11749087" y="167044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166688</xdr:colOff>
      <xdr:row>92</xdr:row>
      <xdr:rowOff>119063</xdr:rowOff>
    </xdr:from>
    <xdr:to>
      <xdr:col>32</xdr:col>
      <xdr:colOff>92468</xdr:colOff>
      <xdr:row>93</xdr:row>
      <xdr:rowOff>119063</xdr:rowOff>
    </xdr:to>
    <xdr:sp macro="" textlink="">
      <xdr:nvSpPr>
        <xdr:cNvPr id="588" name="5-Point Star 520">
          <a:extLst>
            <a:ext uri="{FF2B5EF4-FFF2-40B4-BE49-F238E27FC236}">
              <a16:creationId xmlns:a16="http://schemas.microsoft.com/office/drawing/2014/main" id="{A7351681-C904-4D84-B425-83C8260C253A}"/>
            </a:ext>
          </a:extLst>
        </xdr:cNvPr>
        <xdr:cNvSpPr/>
      </xdr:nvSpPr>
      <xdr:spPr>
        <a:xfrm flipH="1">
          <a:off x="19064288" y="15219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166688</xdr:colOff>
      <xdr:row>101</xdr:row>
      <xdr:rowOff>154634</xdr:rowOff>
    </xdr:from>
    <xdr:to>
      <xdr:col>23</xdr:col>
      <xdr:colOff>92467</xdr:colOff>
      <xdr:row>102</xdr:row>
      <xdr:rowOff>154634</xdr:rowOff>
    </xdr:to>
    <xdr:sp macro="" textlink="">
      <xdr:nvSpPr>
        <xdr:cNvPr id="589" name="5-Point Star 520">
          <a:extLst>
            <a:ext uri="{FF2B5EF4-FFF2-40B4-BE49-F238E27FC236}">
              <a16:creationId xmlns:a16="http://schemas.microsoft.com/office/drawing/2014/main" id="{18E66400-0C95-4D5B-873A-CE071B2B2734}"/>
            </a:ext>
          </a:extLst>
        </xdr:cNvPr>
        <xdr:cNvSpPr/>
      </xdr:nvSpPr>
      <xdr:spPr>
        <a:xfrm flipH="1">
          <a:off x="13577888" y="1672813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166687</xdr:colOff>
      <xdr:row>92</xdr:row>
      <xdr:rowOff>130968</xdr:rowOff>
    </xdr:from>
    <xdr:to>
      <xdr:col>35</xdr:col>
      <xdr:colOff>92467</xdr:colOff>
      <xdr:row>93</xdr:row>
      <xdr:rowOff>130968</xdr:rowOff>
    </xdr:to>
    <xdr:sp macro="" textlink="">
      <xdr:nvSpPr>
        <xdr:cNvPr id="590" name="5-Point Star 520">
          <a:extLst>
            <a:ext uri="{FF2B5EF4-FFF2-40B4-BE49-F238E27FC236}">
              <a16:creationId xmlns:a16="http://schemas.microsoft.com/office/drawing/2014/main" id="{5F87E846-7D98-4F37-863A-63436F698A7F}"/>
            </a:ext>
          </a:extLst>
        </xdr:cNvPr>
        <xdr:cNvSpPr/>
      </xdr:nvSpPr>
      <xdr:spPr>
        <a:xfrm flipH="1">
          <a:off x="20893087" y="15231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154782</xdr:colOff>
      <xdr:row>92</xdr:row>
      <xdr:rowOff>119063</xdr:rowOff>
    </xdr:from>
    <xdr:to>
      <xdr:col>38</xdr:col>
      <xdr:colOff>80561</xdr:colOff>
      <xdr:row>93</xdr:row>
      <xdr:rowOff>119063</xdr:rowOff>
    </xdr:to>
    <xdr:sp macro="" textlink="">
      <xdr:nvSpPr>
        <xdr:cNvPr id="591" name="5-Point Star 520">
          <a:extLst>
            <a:ext uri="{FF2B5EF4-FFF2-40B4-BE49-F238E27FC236}">
              <a16:creationId xmlns:a16="http://schemas.microsoft.com/office/drawing/2014/main" id="{486865A7-FFD9-4A31-9535-DE5C8CAC64B6}"/>
            </a:ext>
          </a:extLst>
        </xdr:cNvPr>
        <xdr:cNvSpPr/>
      </xdr:nvSpPr>
      <xdr:spPr>
        <a:xfrm flipH="1">
          <a:off x="22709982" y="1521936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142875</xdr:colOff>
      <xdr:row>119</xdr:row>
      <xdr:rowOff>119063</xdr:rowOff>
    </xdr:from>
    <xdr:to>
      <xdr:col>5</xdr:col>
      <xdr:colOff>68653</xdr:colOff>
      <xdr:row>120</xdr:row>
      <xdr:rowOff>119063</xdr:rowOff>
    </xdr:to>
    <xdr:sp macro="" textlink="">
      <xdr:nvSpPr>
        <xdr:cNvPr id="592" name="5-Point Star 520">
          <a:extLst>
            <a:ext uri="{FF2B5EF4-FFF2-40B4-BE49-F238E27FC236}">
              <a16:creationId xmlns:a16="http://schemas.microsoft.com/office/drawing/2014/main" id="{E2CC7F21-78F9-4484-B18F-A6F0D56CAE92}"/>
            </a:ext>
          </a:extLst>
        </xdr:cNvPr>
        <xdr:cNvSpPr/>
      </xdr:nvSpPr>
      <xdr:spPr>
        <a:xfrm flipH="1">
          <a:off x="2581275" y="19638963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154488</xdr:colOff>
      <xdr:row>110</xdr:row>
      <xdr:rowOff>119062</xdr:rowOff>
    </xdr:from>
    <xdr:to>
      <xdr:col>41</xdr:col>
      <xdr:colOff>80266</xdr:colOff>
      <xdr:row>111</xdr:row>
      <xdr:rowOff>119062</xdr:rowOff>
    </xdr:to>
    <xdr:sp macro="" textlink="">
      <xdr:nvSpPr>
        <xdr:cNvPr id="593" name="5-Point Star 520">
          <a:extLst>
            <a:ext uri="{FF2B5EF4-FFF2-40B4-BE49-F238E27FC236}">
              <a16:creationId xmlns:a16="http://schemas.microsoft.com/office/drawing/2014/main" id="{1753F87D-8991-4C98-8A95-16E7C2C4D8C8}"/>
            </a:ext>
          </a:extLst>
        </xdr:cNvPr>
        <xdr:cNvSpPr/>
      </xdr:nvSpPr>
      <xdr:spPr>
        <a:xfrm flipH="1">
          <a:off x="24538488" y="18165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154486</xdr:colOff>
      <xdr:row>110</xdr:row>
      <xdr:rowOff>131409</xdr:rowOff>
    </xdr:from>
    <xdr:to>
      <xdr:col>38</xdr:col>
      <xdr:colOff>80264</xdr:colOff>
      <xdr:row>111</xdr:row>
      <xdr:rowOff>131409</xdr:rowOff>
    </xdr:to>
    <xdr:sp macro="" textlink="">
      <xdr:nvSpPr>
        <xdr:cNvPr id="594" name="5-Point Star 520">
          <a:extLst>
            <a:ext uri="{FF2B5EF4-FFF2-40B4-BE49-F238E27FC236}">
              <a16:creationId xmlns:a16="http://schemas.microsoft.com/office/drawing/2014/main" id="{6FAF8DB9-5706-4127-8D1C-E510DE1BFF94}"/>
            </a:ext>
          </a:extLst>
        </xdr:cNvPr>
        <xdr:cNvSpPr/>
      </xdr:nvSpPr>
      <xdr:spPr>
        <a:xfrm flipH="1">
          <a:off x="22709686" y="1817810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178594</xdr:colOff>
      <xdr:row>110</xdr:row>
      <xdr:rowOff>130968</xdr:rowOff>
    </xdr:from>
    <xdr:to>
      <xdr:col>5</xdr:col>
      <xdr:colOff>104372</xdr:colOff>
      <xdr:row>111</xdr:row>
      <xdr:rowOff>130968</xdr:rowOff>
    </xdr:to>
    <xdr:sp macro="" textlink="">
      <xdr:nvSpPr>
        <xdr:cNvPr id="595" name="5-Point Star 520">
          <a:extLst>
            <a:ext uri="{FF2B5EF4-FFF2-40B4-BE49-F238E27FC236}">
              <a16:creationId xmlns:a16="http://schemas.microsoft.com/office/drawing/2014/main" id="{F86E4E00-8A69-41AD-90E6-7D318DCB6811}"/>
            </a:ext>
          </a:extLst>
        </xdr:cNvPr>
        <xdr:cNvSpPr/>
      </xdr:nvSpPr>
      <xdr:spPr>
        <a:xfrm flipH="1">
          <a:off x="2616994" y="181776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166100</xdr:colOff>
      <xdr:row>101</xdr:row>
      <xdr:rowOff>131116</xdr:rowOff>
    </xdr:from>
    <xdr:to>
      <xdr:col>26</xdr:col>
      <xdr:colOff>91879</xdr:colOff>
      <xdr:row>102</xdr:row>
      <xdr:rowOff>131116</xdr:rowOff>
    </xdr:to>
    <xdr:sp macro="" textlink="">
      <xdr:nvSpPr>
        <xdr:cNvPr id="596" name="5-Point Star 520">
          <a:extLst>
            <a:ext uri="{FF2B5EF4-FFF2-40B4-BE49-F238E27FC236}">
              <a16:creationId xmlns:a16="http://schemas.microsoft.com/office/drawing/2014/main" id="{2131CDAE-D567-4F62-8232-DE7DC76DEA45}"/>
            </a:ext>
          </a:extLst>
        </xdr:cNvPr>
        <xdr:cNvSpPr/>
      </xdr:nvSpPr>
      <xdr:spPr>
        <a:xfrm flipH="1">
          <a:off x="15406100" y="1670461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143168</xdr:colOff>
      <xdr:row>101</xdr:row>
      <xdr:rowOff>131262</xdr:rowOff>
    </xdr:from>
    <xdr:to>
      <xdr:col>32</xdr:col>
      <xdr:colOff>68947</xdr:colOff>
      <xdr:row>102</xdr:row>
      <xdr:rowOff>131262</xdr:rowOff>
    </xdr:to>
    <xdr:sp macro="" textlink="">
      <xdr:nvSpPr>
        <xdr:cNvPr id="597" name="5-Point Star 520">
          <a:extLst>
            <a:ext uri="{FF2B5EF4-FFF2-40B4-BE49-F238E27FC236}">
              <a16:creationId xmlns:a16="http://schemas.microsoft.com/office/drawing/2014/main" id="{36279A59-6E13-4C1B-8F81-46FE1E8013BD}"/>
            </a:ext>
          </a:extLst>
        </xdr:cNvPr>
        <xdr:cNvSpPr/>
      </xdr:nvSpPr>
      <xdr:spPr>
        <a:xfrm flipH="1">
          <a:off x="19040768" y="167047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143168</xdr:colOff>
      <xdr:row>101</xdr:row>
      <xdr:rowOff>119356</xdr:rowOff>
    </xdr:from>
    <xdr:to>
      <xdr:col>29</xdr:col>
      <xdr:colOff>68947</xdr:colOff>
      <xdr:row>102</xdr:row>
      <xdr:rowOff>119356</xdr:rowOff>
    </xdr:to>
    <xdr:sp macro="" textlink="">
      <xdr:nvSpPr>
        <xdr:cNvPr id="598" name="5-Point Star 520">
          <a:extLst>
            <a:ext uri="{FF2B5EF4-FFF2-40B4-BE49-F238E27FC236}">
              <a16:creationId xmlns:a16="http://schemas.microsoft.com/office/drawing/2014/main" id="{C0C85E4F-B72D-47FF-88C0-31A14E742758}"/>
            </a:ext>
          </a:extLst>
        </xdr:cNvPr>
        <xdr:cNvSpPr/>
      </xdr:nvSpPr>
      <xdr:spPr>
        <a:xfrm flipH="1">
          <a:off x="17211968" y="16692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166392</xdr:colOff>
      <xdr:row>101</xdr:row>
      <xdr:rowOff>131262</xdr:rowOff>
    </xdr:from>
    <xdr:to>
      <xdr:col>38</xdr:col>
      <xdr:colOff>92170</xdr:colOff>
      <xdr:row>102</xdr:row>
      <xdr:rowOff>131262</xdr:rowOff>
    </xdr:to>
    <xdr:sp macro="" textlink="">
      <xdr:nvSpPr>
        <xdr:cNvPr id="599" name="5-Point Star 520">
          <a:extLst>
            <a:ext uri="{FF2B5EF4-FFF2-40B4-BE49-F238E27FC236}">
              <a16:creationId xmlns:a16="http://schemas.microsoft.com/office/drawing/2014/main" id="{8C9979EF-A753-42AB-B1C4-5B5808E9E95E}"/>
            </a:ext>
          </a:extLst>
        </xdr:cNvPr>
        <xdr:cNvSpPr/>
      </xdr:nvSpPr>
      <xdr:spPr>
        <a:xfrm flipH="1">
          <a:off x="22721592" y="16704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131557</xdr:colOff>
      <xdr:row>101</xdr:row>
      <xdr:rowOff>119357</xdr:rowOff>
    </xdr:from>
    <xdr:to>
      <xdr:col>41</xdr:col>
      <xdr:colOff>57335</xdr:colOff>
      <xdr:row>102</xdr:row>
      <xdr:rowOff>119357</xdr:rowOff>
    </xdr:to>
    <xdr:sp macro="" textlink="">
      <xdr:nvSpPr>
        <xdr:cNvPr id="600" name="5-Point Star 520">
          <a:extLst>
            <a:ext uri="{FF2B5EF4-FFF2-40B4-BE49-F238E27FC236}">
              <a16:creationId xmlns:a16="http://schemas.microsoft.com/office/drawing/2014/main" id="{A63A7CDF-86C8-409F-B5D9-E294E7DB4C0D}"/>
            </a:ext>
          </a:extLst>
        </xdr:cNvPr>
        <xdr:cNvSpPr/>
      </xdr:nvSpPr>
      <xdr:spPr>
        <a:xfrm flipH="1">
          <a:off x="24515557" y="166928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166687</xdr:colOff>
      <xdr:row>119</xdr:row>
      <xdr:rowOff>130969</xdr:rowOff>
    </xdr:from>
    <xdr:to>
      <xdr:col>2</xdr:col>
      <xdr:colOff>92466</xdr:colOff>
      <xdr:row>120</xdr:row>
      <xdr:rowOff>130969</xdr:rowOff>
    </xdr:to>
    <xdr:sp macro="" textlink="">
      <xdr:nvSpPr>
        <xdr:cNvPr id="601" name="5-Point Star 520">
          <a:extLst>
            <a:ext uri="{FF2B5EF4-FFF2-40B4-BE49-F238E27FC236}">
              <a16:creationId xmlns:a16="http://schemas.microsoft.com/office/drawing/2014/main" id="{8E84C0E5-BB4D-4053-AA4D-E84748E41C1D}"/>
            </a:ext>
          </a:extLst>
        </xdr:cNvPr>
        <xdr:cNvSpPr/>
      </xdr:nvSpPr>
      <xdr:spPr>
        <a:xfrm flipH="1">
          <a:off x="776287" y="196508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1058</xdr:colOff>
      <xdr:row>20</xdr:row>
      <xdr:rowOff>22491</xdr:rowOff>
    </xdr:from>
    <xdr:to>
      <xdr:col>2</xdr:col>
      <xdr:colOff>257501</xdr:colOff>
      <xdr:row>22</xdr:row>
      <xdr:rowOff>9467</xdr:rowOff>
    </xdr:to>
    <xdr:sp macro="" textlink="">
      <xdr:nvSpPr>
        <xdr:cNvPr id="602" name="Isosceles Triangle 601">
          <a:extLst>
            <a:ext uri="{FF2B5EF4-FFF2-40B4-BE49-F238E27FC236}">
              <a16:creationId xmlns:a16="http://schemas.microsoft.com/office/drawing/2014/main" id="{4A40C7E7-7F8E-40DE-B5D4-FE75BAFA404A}"/>
            </a:ext>
          </a:extLst>
        </xdr:cNvPr>
        <xdr:cNvSpPr/>
      </xdr:nvSpPr>
      <xdr:spPr>
        <a:xfrm>
          <a:off x="610658" y="3337191"/>
          <a:ext cx="866043" cy="35527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190500</xdr:colOff>
      <xdr:row>83</xdr:row>
      <xdr:rowOff>154781</xdr:rowOff>
    </xdr:from>
    <xdr:to>
      <xdr:col>35</xdr:col>
      <xdr:colOff>116280</xdr:colOff>
      <xdr:row>84</xdr:row>
      <xdr:rowOff>154781</xdr:rowOff>
    </xdr:to>
    <xdr:sp macro="" textlink="">
      <xdr:nvSpPr>
        <xdr:cNvPr id="603" name="5-Point Star 520">
          <a:extLst>
            <a:ext uri="{FF2B5EF4-FFF2-40B4-BE49-F238E27FC236}">
              <a16:creationId xmlns:a16="http://schemas.microsoft.com/office/drawing/2014/main" id="{D4FE4E59-1F4C-4101-A2DC-F88C39D8DAEC}"/>
            </a:ext>
          </a:extLst>
        </xdr:cNvPr>
        <xdr:cNvSpPr/>
      </xdr:nvSpPr>
      <xdr:spPr>
        <a:xfrm flipH="1">
          <a:off x="20916900" y="1378188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178593</xdr:colOff>
      <xdr:row>110</xdr:row>
      <xdr:rowOff>107156</xdr:rowOff>
    </xdr:from>
    <xdr:to>
      <xdr:col>2</xdr:col>
      <xdr:colOff>104372</xdr:colOff>
      <xdr:row>111</xdr:row>
      <xdr:rowOff>107156</xdr:rowOff>
    </xdr:to>
    <xdr:sp macro="" textlink="">
      <xdr:nvSpPr>
        <xdr:cNvPr id="604" name="5-Point Star 520">
          <a:extLst>
            <a:ext uri="{FF2B5EF4-FFF2-40B4-BE49-F238E27FC236}">
              <a16:creationId xmlns:a16="http://schemas.microsoft.com/office/drawing/2014/main" id="{49DFA148-855A-4648-98E1-04A72649FF00}"/>
            </a:ext>
          </a:extLst>
        </xdr:cNvPr>
        <xdr:cNvSpPr/>
      </xdr:nvSpPr>
      <xdr:spPr>
        <a:xfrm flipH="1">
          <a:off x="788193" y="18153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15</xdr:col>
      <xdr:colOff>0</xdr:colOff>
      <xdr:row>33</xdr:row>
      <xdr:rowOff>0</xdr:rowOff>
    </xdr:from>
    <xdr:ext cx="230186" cy="271084"/>
    <xdr:pic>
      <xdr:nvPicPr>
        <xdr:cNvPr id="605" name="Picture 604" descr="A black and white symbol&#10;&#10;Description automatically generated">
          <a:extLst>
            <a:ext uri="{FF2B5EF4-FFF2-40B4-BE49-F238E27FC236}">
              <a16:creationId xmlns:a16="http://schemas.microsoft.com/office/drawing/2014/main" id="{0C44D6AE-9120-4946-B1CE-082EFDE37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33</xdr:row>
      <xdr:rowOff>0</xdr:rowOff>
    </xdr:from>
    <xdr:ext cx="230186" cy="271084"/>
    <xdr:pic>
      <xdr:nvPicPr>
        <xdr:cNvPr id="606" name="Picture 605" descr="A black and white symbol&#10;&#10;Description automatically generated">
          <a:extLst>
            <a:ext uri="{FF2B5EF4-FFF2-40B4-BE49-F238E27FC236}">
              <a16:creationId xmlns:a16="http://schemas.microsoft.com/office/drawing/2014/main" id="{2C22BC69-1B6F-413A-B86A-0C7261387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142875</xdr:colOff>
      <xdr:row>119</xdr:row>
      <xdr:rowOff>119062</xdr:rowOff>
    </xdr:from>
    <xdr:to>
      <xdr:col>8</xdr:col>
      <xdr:colOff>68654</xdr:colOff>
      <xdr:row>120</xdr:row>
      <xdr:rowOff>119062</xdr:rowOff>
    </xdr:to>
    <xdr:sp macro="" textlink="">
      <xdr:nvSpPr>
        <xdr:cNvPr id="607" name="5-Point Star 520">
          <a:extLst>
            <a:ext uri="{FF2B5EF4-FFF2-40B4-BE49-F238E27FC236}">
              <a16:creationId xmlns:a16="http://schemas.microsoft.com/office/drawing/2014/main" id="{76D4CA34-2B98-444D-9556-FB6F015C93AB}"/>
            </a:ext>
          </a:extLst>
        </xdr:cNvPr>
        <xdr:cNvSpPr/>
      </xdr:nvSpPr>
      <xdr:spPr>
        <a:xfrm flipH="1">
          <a:off x="4410075" y="196389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166688</xdr:colOff>
      <xdr:row>119</xdr:row>
      <xdr:rowOff>130969</xdr:rowOff>
    </xdr:from>
    <xdr:to>
      <xdr:col>17</xdr:col>
      <xdr:colOff>92466</xdr:colOff>
      <xdr:row>120</xdr:row>
      <xdr:rowOff>130969</xdr:rowOff>
    </xdr:to>
    <xdr:sp macro="" textlink="">
      <xdr:nvSpPr>
        <xdr:cNvPr id="608" name="5-Point Star 520">
          <a:extLst>
            <a:ext uri="{FF2B5EF4-FFF2-40B4-BE49-F238E27FC236}">
              <a16:creationId xmlns:a16="http://schemas.microsoft.com/office/drawing/2014/main" id="{344B49FC-D539-4AA2-BA97-30291F798DE8}"/>
            </a:ext>
          </a:extLst>
        </xdr:cNvPr>
        <xdr:cNvSpPr/>
      </xdr:nvSpPr>
      <xdr:spPr>
        <a:xfrm flipH="1">
          <a:off x="9920288" y="1965086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178594</xdr:colOff>
      <xdr:row>119</xdr:row>
      <xdr:rowOff>107156</xdr:rowOff>
    </xdr:from>
    <xdr:to>
      <xdr:col>11</xdr:col>
      <xdr:colOff>104372</xdr:colOff>
      <xdr:row>120</xdr:row>
      <xdr:rowOff>107156</xdr:rowOff>
    </xdr:to>
    <xdr:sp macro="" textlink="">
      <xdr:nvSpPr>
        <xdr:cNvPr id="609" name="5-Point Star 520">
          <a:extLst>
            <a:ext uri="{FF2B5EF4-FFF2-40B4-BE49-F238E27FC236}">
              <a16:creationId xmlns:a16="http://schemas.microsoft.com/office/drawing/2014/main" id="{903589D5-8065-457B-B14E-DD47022437BB}"/>
            </a:ext>
          </a:extLst>
        </xdr:cNvPr>
        <xdr:cNvSpPr/>
      </xdr:nvSpPr>
      <xdr:spPr>
        <a:xfrm flipH="1">
          <a:off x="6274594" y="19627056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166687</xdr:colOff>
      <xdr:row>119</xdr:row>
      <xdr:rowOff>130968</xdr:rowOff>
    </xdr:from>
    <xdr:to>
      <xdr:col>14</xdr:col>
      <xdr:colOff>92465</xdr:colOff>
      <xdr:row>120</xdr:row>
      <xdr:rowOff>130968</xdr:rowOff>
    </xdr:to>
    <xdr:sp macro="" textlink="">
      <xdr:nvSpPr>
        <xdr:cNvPr id="610" name="5-Point Star 520">
          <a:extLst>
            <a:ext uri="{FF2B5EF4-FFF2-40B4-BE49-F238E27FC236}">
              <a16:creationId xmlns:a16="http://schemas.microsoft.com/office/drawing/2014/main" id="{40EE9C2C-13AB-4DF2-99E3-ABABB9CDD0F7}"/>
            </a:ext>
          </a:extLst>
        </xdr:cNvPr>
        <xdr:cNvSpPr/>
      </xdr:nvSpPr>
      <xdr:spPr>
        <a:xfrm flipH="1">
          <a:off x="8091487" y="196508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119</xdr:row>
      <xdr:rowOff>131410</xdr:rowOff>
    </xdr:from>
    <xdr:to>
      <xdr:col>20</xdr:col>
      <xdr:colOff>104373</xdr:colOff>
      <xdr:row>120</xdr:row>
      <xdr:rowOff>131410</xdr:rowOff>
    </xdr:to>
    <xdr:sp macro="" textlink="">
      <xdr:nvSpPr>
        <xdr:cNvPr id="611" name="5-Point Star 520">
          <a:extLst>
            <a:ext uri="{FF2B5EF4-FFF2-40B4-BE49-F238E27FC236}">
              <a16:creationId xmlns:a16="http://schemas.microsoft.com/office/drawing/2014/main" id="{2F43D118-2FB0-467D-B532-93BD5E8661C9}"/>
            </a:ext>
          </a:extLst>
        </xdr:cNvPr>
        <xdr:cNvSpPr/>
      </xdr:nvSpPr>
      <xdr:spPr>
        <a:xfrm flipH="1">
          <a:off x="11760994" y="1965131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238273</xdr:colOff>
      <xdr:row>64</xdr:row>
      <xdr:rowOff>176829</xdr:rowOff>
    </xdr:from>
    <xdr:to>
      <xdr:col>42</xdr:col>
      <xdr:colOff>226219</xdr:colOff>
      <xdr:row>65</xdr:row>
      <xdr:rowOff>142875</xdr:rowOff>
    </xdr:to>
    <xdr:cxnSp macro="">
      <xdr:nvCxnSpPr>
        <xdr:cNvPr id="612" name="Curved Connector 522">
          <a:extLst>
            <a:ext uri="{FF2B5EF4-FFF2-40B4-BE49-F238E27FC236}">
              <a16:creationId xmlns:a16="http://schemas.microsoft.com/office/drawing/2014/main" id="{1B53C28E-0762-4EA0-9C23-32D50635AE6D}"/>
            </a:ext>
          </a:extLst>
        </xdr:cNvPr>
        <xdr:cNvCxnSpPr/>
      </xdr:nvCxnSpPr>
      <xdr:spPr>
        <a:xfrm>
          <a:off x="24622273" y="10673379"/>
          <a:ext cx="1207146" cy="150196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0</xdr:col>
      <xdr:colOff>43503</xdr:colOff>
      <xdr:row>73</xdr:row>
      <xdr:rowOff>189177</xdr:rowOff>
    </xdr:from>
    <xdr:to>
      <xdr:col>2</xdr:col>
      <xdr:colOff>11907</xdr:colOff>
      <xdr:row>74</xdr:row>
      <xdr:rowOff>174930</xdr:rowOff>
    </xdr:to>
    <xdr:cxnSp macro="">
      <xdr:nvCxnSpPr>
        <xdr:cNvPr id="613" name="Curved Connector 522">
          <a:extLst>
            <a:ext uri="{FF2B5EF4-FFF2-40B4-BE49-F238E27FC236}">
              <a16:creationId xmlns:a16="http://schemas.microsoft.com/office/drawing/2014/main" id="{D06BE278-911D-4921-80CC-68348D5E920F}"/>
            </a:ext>
          </a:extLst>
        </xdr:cNvPr>
        <xdr:cNvCxnSpPr/>
      </xdr:nvCxnSpPr>
      <xdr:spPr>
        <a:xfrm flipV="1">
          <a:off x="43503" y="12152577"/>
          <a:ext cx="1187604" cy="176253"/>
        </a:xfrm>
        <a:prstGeom prst="curvedConnector3">
          <a:avLst>
            <a:gd name="adj1" fmla="val 76776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153380</xdr:colOff>
      <xdr:row>2</xdr:row>
      <xdr:rowOff>136263</xdr:rowOff>
    </xdr:from>
    <xdr:to>
      <xdr:col>2</xdr:col>
      <xdr:colOff>79160</xdr:colOff>
      <xdr:row>3</xdr:row>
      <xdr:rowOff>136263</xdr:rowOff>
    </xdr:to>
    <xdr:sp macro="" textlink="">
      <xdr:nvSpPr>
        <xdr:cNvPr id="614" name="5-Point Star 520">
          <a:extLst>
            <a:ext uri="{FF2B5EF4-FFF2-40B4-BE49-F238E27FC236}">
              <a16:creationId xmlns:a16="http://schemas.microsoft.com/office/drawing/2014/main" id="{849E80B9-B438-49E1-8B97-7DC3D166A2AE}"/>
            </a:ext>
          </a:extLst>
        </xdr:cNvPr>
        <xdr:cNvSpPr/>
      </xdr:nvSpPr>
      <xdr:spPr>
        <a:xfrm flipH="1">
          <a:off x="762980" y="504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176213</xdr:colOff>
      <xdr:row>2</xdr:row>
      <xdr:rowOff>140229</xdr:rowOff>
    </xdr:from>
    <xdr:to>
      <xdr:col>5</xdr:col>
      <xdr:colOff>101992</xdr:colOff>
      <xdr:row>3</xdr:row>
      <xdr:rowOff>140229</xdr:rowOff>
    </xdr:to>
    <xdr:sp macro="" textlink="">
      <xdr:nvSpPr>
        <xdr:cNvPr id="615" name="5-Point Star 520">
          <a:extLst>
            <a:ext uri="{FF2B5EF4-FFF2-40B4-BE49-F238E27FC236}">
              <a16:creationId xmlns:a16="http://schemas.microsoft.com/office/drawing/2014/main" id="{C6E1180C-2D7B-4D96-B476-57A77ADFED7E}"/>
            </a:ext>
          </a:extLst>
        </xdr:cNvPr>
        <xdr:cNvSpPr/>
      </xdr:nvSpPr>
      <xdr:spPr>
        <a:xfrm flipH="1">
          <a:off x="2614613" y="50852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183355</xdr:colOff>
      <xdr:row>2</xdr:row>
      <xdr:rowOff>116416</xdr:rowOff>
    </xdr:from>
    <xdr:to>
      <xdr:col>8</xdr:col>
      <xdr:colOff>109135</xdr:colOff>
      <xdr:row>3</xdr:row>
      <xdr:rowOff>116416</xdr:rowOff>
    </xdr:to>
    <xdr:sp macro="" textlink="">
      <xdr:nvSpPr>
        <xdr:cNvPr id="616" name="5-Point Star 520">
          <a:extLst>
            <a:ext uri="{FF2B5EF4-FFF2-40B4-BE49-F238E27FC236}">
              <a16:creationId xmlns:a16="http://schemas.microsoft.com/office/drawing/2014/main" id="{7F6194A8-45E4-42DB-B18F-3089039FA1BF}"/>
            </a:ext>
          </a:extLst>
        </xdr:cNvPr>
        <xdr:cNvSpPr/>
      </xdr:nvSpPr>
      <xdr:spPr>
        <a:xfrm flipH="1">
          <a:off x="4450555" y="48471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154781</xdr:colOff>
      <xdr:row>2</xdr:row>
      <xdr:rowOff>178593</xdr:rowOff>
    </xdr:from>
    <xdr:to>
      <xdr:col>11</xdr:col>
      <xdr:colOff>80560</xdr:colOff>
      <xdr:row>3</xdr:row>
      <xdr:rowOff>178593</xdr:rowOff>
    </xdr:to>
    <xdr:sp macro="" textlink="">
      <xdr:nvSpPr>
        <xdr:cNvPr id="617" name="5-Point Star 520">
          <a:extLst>
            <a:ext uri="{FF2B5EF4-FFF2-40B4-BE49-F238E27FC236}">
              <a16:creationId xmlns:a16="http://schemas.microsoft.com/office/drawing/2014/main" id="{D5C5F3C6-076E-4770-AABB-7BBA6622B1F1}"/>
            </a:ext>
          </a:extLst>
        </xdr:cNvPr>
        <xdr:cNvSpPr/>
      </xdr:nvSpPr>
      <xdr:spPr>
        <a:xfrm flipH="1">
          <a:off x="6250781" y="5468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178594</xdr:colOff>
      <xdr:row>2</xdr:row>
      <xdr:rowOff>142875</xdr:rowOff>
    </xdr:from>
    <xdr:to>
      <xdr:col>14</xdr:col>
      <xdr:colOff>104373</xdr:colOff>
      <xdr:row>3</xdr:row>
      <xdr:rowOff>142875</xdr:rowOff>
    </xdr:to>
    <xdr:sp macro="" textlink="">
      <xdr:nvSpPr>
        <xdr:cNvPr id="618" name="5-Point Star 520">
          <a:extLst>
            <a:ext uri="{FF2B5EF4-FFF2-40B4-BE49-F238E27FC236}">
              <a16:creationId xmlns:a16="http://schemas.microsoft.com/office/drawing/2014/main" id="{E640622C-470F-444F-B6F3-8E0768F44B73}"/>
            </a:ext>
          </a:extLst>
        </xdr:cNvPr>
        <xdr:cNvSpPr/>
      </xdr:nvSpPr>
      <xdr:spPr>
        <a:xfrm flipH="1">
          <a:off x="8103394" y="5111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2</xdr:row>
      <xdr:rowOff>119063</xdr:rowOff>
    </xdr:from>
    <xdr:to>
      <xdr:col>20</xdr:col>
      <xdr:colOff>104374</xdr:colOff>
      <xdr:row>3</xdr:row>
      <xdr:rowOff>119063</xdr:rowOff>
    </xdr:to>
    <xdr:sp macro="" textlink="">
      <xdr:nvSpPr>
        <xdr:cNvPr id="619" name="5-Point Star 520">
          <a:extLst>
            <a:ext uri="{FF2B5EF4-FFF2-40B4-BE49-F238E27FC236}">
              <a16:creationId xmlns:a16="http://schemas.microsoft.com/office/drawing/2014/main" id="{2F86194C-18CA-4477-AA73-1A6FF5300AC7}"/>
            </a:ext>
          </a:extLst>
        </xdr:cNvPr>
        <xdr:cNvSpPr/>
      </xdr:nvSpPr>
      <xdr:spPr>
        <a:xfrm flipH="1">
          <a:off x="11760994" y="487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166687</xdr:colOff>
      <xdr:row>2</xdr:row>
      <xdr:rowOff>130969</xdr:rowOff>
    </xdr:from>
    <xdr:to>
      <xdr:col>17</xdr:col>
      <xdr:colOff>92466</xdr:colOff>
      <xdr:row>3</xdr:row>
      <xdr:rowOff>130969</xdr:rowOff>
    </xdr:to>
    <xdr:sp macro="" textlink="">
      <xdr:nvSpPr>
        <xdr:cNvPr id="620" name="5-Point Star 520">
          <a:extLst>
            <a:ext uri="{FF2B5EF4-FFF2-40B4-BE49-F238E27FC236}">
              <a16:creationId xmlns:a16="http://schemas.microsoft.com/office/drawing/2014/main" id="{A57761D4-AD15-4455-AB65-B8E2E03C9C51}"/>
            </a:ext>
          </a:extLst>
        </xdr:cNvPr>
        <xdr:cNvSpPr/>
      </xdr:nvSpPr>
      <xdr:spPr>
        <a:xfrm flipH="1">
          <a:off x="9920287" y="4992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152871</xdr:colOff>
      <xdr:row>2</xdr:row>
      <xdr:rowOff>152870</xdr:rowOff>
    </xdr:from>
    <xdr:to>
      <xdr:col>23</xdr:col>
      <xdr:colOff>78651</xdr:colOff>
      <xdr:row>3</xdr:row>
      <xdr:rowOff>152870</xdr:rowOff>
    </xdr:to>
    <xdr:sp macro="" textlink="">
      <xdr:nvSpPr>
        <xdr:cNvPr id="621" name="5-Point Star 520">
          <a:extLst>
            <a:ext uri="{FF2B5EF4-FFF2-40B4-BE49-F238E27FC236}">
              <a16:creationId xmlns:a16="http://schemas.microsoft.com/office/drawing/2014/main" id="{586CF02E-DD84-4FA1-AEBC-C1C43C1E6514}"/>
            </a:ext>
          </a:extLst>
        </xdr:cNvPr>
        <xdr:cNvSpPr/>
      </xdr:nvSpPr>
      <xdr:spPr>
        <a:xfrm flipH="1">
          <a:off x="13564071" y="52117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152871</xdr:colOff>
      <xdr:row>2</xdr:row>
      <xdr:rowOff>152871</xdr:rowOff>
    </xdr:from>
    <xdr:to>
      <xdr:col>26</xdr:col>
      <xdr:colOff>78651</xdr:colOff>
      <xdr:row>3</xdr:row>
      <xdr:rowOff>152871</xdr:rowOff>
    </xdr:to>
    <xdr:sp macro="" textlink="">
      <xdr:nvSpPr>
        <xdr:cNvPr id="622" name="5-Point Star 520">
          <a:extLst>
            <a:ext uri="{FF2B5EF4-FFF2-40B4-BE49-F238E27FC236}">
              <a16:creationId xmlns:a16="http://schemas.microsoft.com/office/drawing/2014/main" id="{90B10174-2858-479E-9326-D705AA7397AA}"/>
            </a:ext>
          </a:extLst>
        </xdr:cNvPr>
        <xdr:cNvSpPr/>
      </xdr:nvSpPr>
      <xdr:spPr>
        <a:xfrm flipH="1">
          <a:off x="15392871" y="52117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141112</xdr:colOff>
      <xdr:row>2</xdr:row>
      <xdr:rowOff>141112</xdr:rowOff>
    </xdr:from>
    <xdr:to>
      <xdr:col>32</xdr:col>
      <xdr:colOff>66892</xdr:colOff>
      <xdr:row>3</xdr:row>
      <xdr:rowOff>141112</xdr:rowOff>
    </xdr:to>
    <xdr:sp macro="" textlink="">
      <xdr:nvSpPr>
        <xdr:cNvPr id="623" name="5-Point Star 520">
          <a:extLst>
            <a:ext uri="{FF2B5EF4-FFF2-40B4-BE49-F238E27FC236}">
              <a16:creationId xmlns:a16="http://schemas.microsoft.com/office/drawing/2014/main" id="{1C3610EC-C91B-4223-9955-CA29F9FAC629}"/>
            </a:ext>
          </a:extLst>
        </xdr:cNvPr>
        <xdr:cNvSpPr/>
      </xdr:nvSpPr>
      <xdr:spPr>
        <a:xfrm flipH="1">
          <a:off x="19038712" y="50941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188148</xdr:colOff>
      <xdr:row>119</xdr:row>
      <xdr:rowOff>117593</xdr:rowOff>
    </xdr:from>
    <xdr:to>
      <xdr:col>23</xdr:col>
      <xdr:colOff>113927</xdr:colOff>
      <xdr:row>120</xdr:row>
      <xdr:rowOff>117593</xdr:rowOff>
    </xdr:to>
    <xdr:sp macro="" textlink="">
      <xdr:nvSpPr>
        <xdr:cNvPr id="624" name="5-Point Star 520">
          <a:extLst>
            <a:ext uri="{FF2B5EF4-FFF2-40B4-BE49-F238E27FC236}">
              <a16:creationId xmlns:a16="http://schemas.microsoft.com/office/drawing/2014/main" id="{97D5E023-22C2-479F-A8BD-4778A10A1B61}"/>
            </a:ext>
          </a:extLst>
        </xdr:cNvPr>
        <xdr:cNvSpPr/>
      </xdr:nvSpPr>
      <xdr:spPr>
        <a:xfrm flipH="1">
          <a:off x="13599348" y="196374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164630</xdr:colOff>
      <xdr:row>119</xdr:row>
      <xdr:rowOff>129352</xdr:rowOff>
    </xdr:from>
    <xdr:to>
      <xdr:col>26</xdr:col>
      <xdr:colOff>90409</xdr:colOff>
      <xdr:row>120</xdr:row>
      <xdr:rowOff>129352</xdr:rowOff>
    </xdr:to>
    <xdr:sp macro="" textlink="">
      <xdr:nvSpPr>
        <xdr:cNvPr id="625" name="5-Point Star 520">
          <a:extLst>
            <a:ext uri="{FF2B5EF4-FFF2-40B4-BE49-F238E27FC236}">
              <a16:creationId xmlns:a16="http://schemas.microsoft.com/office/drawing/2014/main" id="{1D47CEAF-9FC8-42C2-B3D4-FAF15FA053B0}"/>
            </a:ext>
          </a:extLst>
        </xdr:cNvPr>
        <xdr:cNvSpPr/>
      </xdr:nvSpPr>
      <xdr:spPr>
        <a:xfrm flipH="1">
          <a:off x="15404630" y="1964925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152869</xdr:colOff>
      <xdr:row>119</xdr:row>
      <xdr:rowOff>152870</xdr:rowOff>
    </xdr:from>
    <xdr:to>
      <xdr:col>29</xdr:col>
      <xdr:colOff>90407</xdr:colOff>
      <xdr:row>120</xdr:row>
      <xdr:rowOff>152870</xdr:rowOff>
    </xdr:to>
    <xdr:sp macro="" textlink="">
      <xdr:nvSpPr>
        <xdr:cNvPr id="626" name="5-Point Star 520">
          <a:extLst>
            <a:ext uri="{FF2B5EF4-FFF2-40B4-BE49-F238E27FC236}">
              <a16:creationId xmlns:a16="http://schemas.microsoft.com/office/drawing/2014/main" id="{ABCFD36B-E964-49EB-A855-FAE737DF3988}"/>
            </a:ext>
          </a:extLst>
        </xdr:cNvPr>
        <xdr:cNvSpPr/>
      </xdr:nvSpPr>
      <xdr:spPr>
        <a:xfrm flipH="1">
          <a:off x="17221669" y="19672770"/>
          <a:ext cx="54713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23519</xdr:colOff>
      <xdr:row>141</xdr:row>
      <xdr:rowOff>23520</xdr:rowOff>
    </xdr:from>
    <xdr:to>
      <xdr:col>11</xdr:col>
      <xdr:colOff>23519</xdr:colOff>
      <xdr:row>141</xdr:row>
      <xdr:rowOff>34104</xdr:rowOff>
    </xdr:to>
    <xdr:cxnSp macro="">
      <xdr:nvCxnSpPr>
        <xdr:cNvPr id="627" name="Curved Connector 522">
          <a:extLst>
            <a:ext uri="{FF2B5EF4-FFF2-40B4-BE49-F238E27FC236}">
              <a16:creationId xmlns:a16="http://schemas.microsoft.com/office/drawing/2014/main" id="{593FB758-CDD7-4BF8-93A8-F64EE3492153}"/>
            </a:ext>
          </a:extLst>
        </xdr:cNvPr>
        <xdr:cNvCxnSpPr/>
      </xdr:nvCxnSpPr>
      <xdr:spPr>
        <a:xfrm rot="16200000" flipH="1">
          <a:off x="5809427" y="22317312"/>
          <a:ext cx="10584" cy="1828800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141111</xdr:colOff>
      <xdr:row>11</xdr:row>
      <xdr:rowOff>141111</xdr:rowOff>
    </xdr:from>
    <xdr:to>
      <xdr:col>2</xdr:col>
      <xdr:colOff>66891</xdr:colOff>
      <xdr:row>12</xdr:row>
      <xdr:rowOff>141111</xdr:rowOff>
    </xdr:to>
    <xdr:sp macro="" textlink="">
      <xdr:nvSpPr>
        <xdr:cNvPr id="628" name="5-Point Star 520">
          <a:extLst>
            <a:ext uri="{FF2B5EF4-FFF2-40B4-BE49-F238E27FC236}">
              <a16:creationId xmlns:a16="http://schemas.microsoft.com/office/drawing/2014/main" id="{311AE732-DB50-464B-A1A3-A25B51638FF5}"/>
            </a:ext>
          </a:extLst>
        </xdr:cNvPr>
        <xdr:cNvSpPr/>
      </xdr:nvSpPr>
      <xdr:spPr>
        <a:xfrm flipH="1">
          <a:off x="750711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152871</xdr:colOff>
      <xdr:row>2</xdr:row>
      <xdr:rowOff>176389</xdr:rowOff>
    </xdr:from>
    <xdr:to>
      <xdr:col>35</xdr:col>
      <xdr:colOff>78651</xdr:colOff>
      <xdr:row>3</xdr:row>
      <xdr:rowOff>176389</xdr:rowOff>
    </xdr:to>
    <xdr:sp macro="" textlink="">
      <xdr:nvSpPr>
        <xdr:cNvPr id="629" name="5-Point Star 520">
          <a:extLst>
            <a:ext uri="{FF2B5EF4-FFF2-40B4-BE49-F238E27FC236}">
              <a16:creationId xmlns:a16="http://schemas.microsoft.com/office/drawing/2014/main" id="{00BC7D0F-0B9C-4E7E-AB73-3966A963C75E}"/>
            </a:ext>
          </a:extLst>
        </xdr:cNvPr>
        <xdr:cNvSpPr/>
      </xdr:nvSpPr>
      <xdr:spPr>
        <a:xfrm flipH="1">
          <a:off x="20879271" y="54468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70556</xdr:colOff>
      <xdr:row>65</xdr:row>
      <xdr:rowOff>0</xdr:rowOff>
    </xdr:from>
    <xdr:to>
      <xdr:col>19</xdr:col>
      <xdr:colOff>188149</xdr:colOff>
      <xdr:row>65</xdr:row>
      <xdr:rowOff>10584</xdr:rowOff>
    </xdr:to>
    <xdr:cxnSp macro="">
      <xdr:nvCxnSpPr>
        <xdr:cNvPr id="630" name="Curved Connector 523">
          <a:extLst>
            <a:ext uri="{FF2B5EF4-FFF2-40B4-BE49-F238E27FC236}">
              <a16:creationId xmlns:a16="http://schemas.microsoft.com/office/drawing/2014/main" id="{48BD9B35-416E-4A19-A179-4BA5631FC206}"/>
            </a:ext>
          </a:extLst>
        </xdr:cNvPr>
        <xdr:cNvCxnSpPr/>
      </xdr:nvCxnSpPr>
      <xdr:spPr>
        <a:xfrm rot="16200000" flipH="1">
          <a:off x="11096861" y="10017595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23519</xdr:colOff>
      <xdr:row>65</xdr:row>
      <xdr:rowOff>1</xdr:rowOff>
    </xdr:from>
    <xdr:to>
      <xdr:col>22</xdr:col>
      <xdr:colOff>223427</xdr:colOff>
      <xdr:row>65</xdr:row>
      <xdr:rowOff>10585</xdr:rowOff>
    </xdr:to>
    <xdr:cxnSp macro="">
      <xdr:nvCxnSpPr>
        <xdr:cNvPr id="631" name="Curved Connector 523">
          <a:extLst>
            <a:ext uri="{FF2B5EF4-FFF2-40B4-BE49-F238E27FC236}">
              <a16:creationId xmlns:a16="http://schemas.microsoft.com/office/drawing/2014/main" id="{3DAC6464-7983-403B-9C80-34346E3CD194}"/>
            </a:ext>
          </a:extLst>
        </xdr:cNvPr>
        <xdr:cNvCxnSpPr/>
      </xdr:nvCxnSpPr>
      <xdr:spPr>
        <a:xfrm rot="16200000" flipH="1">
          <a:off x="12919781" y="9976439"/>
          <a:ext cx="10584" cy="14191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70557</xdr:colOff>
      <xdr:row>65</xdr:row>
      <xdr:rowOff>1</xdr:rowOff>
    </xdr:from>
    <xdr:to>
      <xdr:col>25</xdr:col>
      <xdr:colOff>188149</xdr:colOff>
      <xdr:row>65</xdr:row>
      <xdr:rowOff>10585</xdr:rowOff>
    </xdr:to>
    <xdr:cxnSp macro="">
      <xdr:nvCxnSpPr>
        <xdr:cNvPr id="632" name="Curved Connector 523">
          <a:extLst>
            <a:ext uri="{FF2B5EF4-FFF2-40B4-BE49-F238E27FC236}">
              <a16:creationId xmlns:a16="http://schemas.microsoft.com/office/drawing/2014/main" id="{65B90C82-BA2A-4644-93B7-762E88B4E2A4}"/>
            </a:ext>
          </a:extLst>
        </xdr:cNvPr>
        <xdr:cNvCxnSpPr/>
      </xdr:nvCxnSpPr>
      <xdr:spPr>
        <a:xfrm rot="16200000" flipH="1">
          <a:off x="14754461" y="10017597"/>
          <a:ext cx="10584" cy="13367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35279</xdr:colOff>
      <xdr:row>65</xdr:row>
      <xdr:rowOff>1</xdr:rowOff>
    </xdr:from>
    <xdr:to>
      <xdr:col>28</xdr:col>
      <xdr:colOff>199909</xdr:colOff>
      <xdr:row>65</xdr:row>
      <xdr:rowOff>10585</xdr:rowOff>
    </xdr:to>
    <xdr:cxnSp macro="">
      <xdr:nvCxnSpPr>
        <xdr:cNvPr id="633" name="Curved Connector 523">
          <a:extLst>
            <a:ext uri="{FF2B5EF4-FFF2-40B4-BE49-F238E27FC236}">
              <a16:creationId xmlns:a16="http://schemas.microsoft.com/office/drawing/2014/main" id="{688BB6D8-6ADC-45ED-97A4-5A51A7D9F368}"/>
            </a:ext>
          </a:extLst>
        </xdr:cNvPr>
        <xdr:cNvCxnSpPr/>
      </xdr:nvCxnSpPr>
      <xdr:spPr>
        <a:xfrm rot="16200000" flipH="1">
          <a:off x="16571502" y="9994078"/>
          <a:ext cx="10584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35278</xdr:colOff>
      <xdr:row>64</xdr:row>
      <xdr:rowOff>176390</xdr:rowOff>
    </xdr:from>
    <xdr:to>
      <xdr:col>31</xdr:col>
      <xdr:colOff>176390</xdr:colOff>
      <xdr:row>64</xdr:row>
      <xdr:rowOff>186974</xdr:rowOff>
    </xdr:to>
    <xdr:cxnSp macro="">
      <xdr:nvCxnSpPr>
        <xdr:cNvPr id="634" name="Curved Connector 523">
          <a:extLst>
            <a:ext uri="{FF2B5EF4-FFF2-40B4-BE49-F238E27FC236}">
              <a16:creationId xmlns:a16="http://schemas.microsoft.com/office/drawing/2014/main" id="{00D9B758-4032-47EB-BC95-B112A7AB5D0C}"/>
            </a:ext>
          </a:extLst>
        </xdr:cNvPr>
        <xdr:cNvCxnSpPr/>
      </xdr:nvCxnSpPr>
      <xdr:spPr>
        <a:xfrm rot="16200000" flipH="1">
          <a:off x="18388542" y="9998076"/>
          <a:ext cx="10584" cy="136031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23520</xdr:colOff>
      <xdr:row>65</xdr:row>
      <xdr:rowOff>1</xdr:rowOff>
    </xdr:from>
    <xdr:to>
      <xdr:col>34</xdr:col>
      <xdr:colOff>164631</xdr:colOff>
      <xdr:row>65</xdr:row>
      <xdr:rowOff>10585</xdr:rowOff>
    </xdr:to>
    <xdr:cxnSp macro="">
      <xdr:nvCxnSpPr>
        <xdr:cNvPr id="635" name="Curved Connector 523">
          <a:extLst>
            <a:ext uri="{FF2B5EF4-FFF2-40B4-BE49-F238E27FC236}">
              <a16:creationId xmlns:a16="http://schemas.microsoft.com/office/drawing/2014/main" id="{08172737-7BEB-4D8B-97B8-4F8F47635D2C}"/>
            </a:ext>
          </a:extLst>
        </xdr:cNvPr>
        <xdr:cNvCxnSpPr/>
      </xdr:nvCxnSpPr>
      <xdr:spPr>
        <a:xfrm rot="16200000" flipH="1">
          <a:off x="20205584" y="10005837"/>
          <a:ext cx="10584" cy="136031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258705</xdr:colOff>
      <xdr:row>64</xdr:row>
      <xdr:rowOff>164630</xdr:rowOff>
    </xdr:from>
    <xdr:to>
      <xdr:col>37</xdr:col>
      <xdr:colOff>235187</xdr:colOff>
      <xdr:row>64</xdr:row>
      <xdr:rowOff>175214</xdr:rowOff>
    </xdr:to>
    <xdr:cxnSp macro="">
      <xdr:nvCxnSpPr>
        <xdr:cNvPr id="636" name="Curved Connector 523">
          <a:extLst>
            <a:ext uri="{FF2B5EF4-FFF2-40B4-BE49-F238E27FC236}">
              <a16:creationId xmlns:a16="http://schemas.microsoft.com/office/drawing/2014/main" id="{98DDBB5C-B7C4-497E-A625-613888B1C00E}"/>
            </a:ext>
          </a:extLst>
        </xdr:cNvPr>
        <xdr:cNvCxnSpPr/>
      </xdr:nvCxnSpPr>
      <xdr:spPr>
        <a:xfrm rot="16200000" flipH="1">
          <a:off x="21882454" y="9763831"/>
          <a:ext cx="10584" cy="18052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35280</xdr:colOff>
      <xdr:row>64</xdr:row>
      <xdr:rowOff>176389</xdr:rowOff>
    </xdr:from>
    <xdr:to>
      <xdr:col>40</xdr:col>
      <xdr:colOff>188150</xdr:colOff>
      <xdr:row>64</xdr:row>
      <xdr:rowOff>186973</xdr:rowOff>
    </xdr:to>
    <xdr:cxnSp macro="">
      <xdr:nvCxnSpPr>
        <xdr:cNvPr id="637" name="Curved Connector 523">
          <a:extLst>
            <a:ext uri="{FF2B5EF4-FFF2-40B4-BE49-F238E27FC236}">
              <a16:creationId xmlns:a16="http://schemas.microsoft.com/office/drawing/2014/main" id="{9C1F8430-1936-453A-BDE9-D03DD1CD1C68}"/>
            </a:ext>
          </a:extLst>
        </xdr:cNvPr>
        <xdr:cNvCxnSpPr/>
      </xdr:nvCxnSpPr>
      <xdr:spPr>
        <a:xfrm rot="16200000" flipH="1">
          <a:off x="23880823" y="9992196"/>
          <a:ext cx="10584" cy="13720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73</xdr:row>
      <xdr:rowOff>176389</xdr:rowOff>
    </xdr:from>
    <xdr:to>
      <xdr:col>4</xdr:col>
      <xdr:colOff>176390</xdr:colOff>
      <xdr:row>73</xdr:row>
      <xdr:rowOff>186973</xdr:rowOff>
    </xdr:to>
    <xdr:cxnSp macro="">
      <xdr:nvCxnSpPr>
        <xdr:cNvPr id="638" name="Curved Connector 523">
          <a:extLst>
            <a:ext uri="{FF2B5EF4-FFF2-40B4-BE49-F238E27FC236}">
              <a16:creationId xmlns:a16="http://schemas.microsoft.com/office/drawing/2014/main" id="{804D6962-CE60-4A2A-9897-7A1218B1C7A5}"/>
            </a:ext>
          </a:extLst>
        </xdr:cNvPr>
        <xdr:cNvCxnSpPr/>
      </xdr:nvCxnSpPr>
      <xdr:spPr>
        <a:xfrm rot="16200000" flipH="1">
          <a:off x="1911704" y="11453636"/>
          <a:ext cx="10584" cy="139558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11761</xdr:colOff>
      <xdr:row>73</xdr:row>
      <xdr:rowOff>176390</xdr:rowOff>
    </xdr:from>
    <xdr:to>
      <xdr:col>8</xdr:col>
      <xdr:colOff>47040</xdr:colOff>
      <xdr:row>73</xdr:row>
      <xdr:rowOff>186974</xdr:rowOff>
    </xdr:to>
    <xdr:cxnSp macro="">
      <xdr:nvCxnSpPr>
        <xdr:cNvPr id="639" name="Curved Connector 522">
          <a:extLst>
            <a:ext uri="{FF2B5EF4-FFF2-40B4-BE49-F238E27FC236}">
              <a16:creationId xmlns:a16="http://schemas.microsoft.com/office/drawing/2014/main" id="{A3C10CEF-2312-4CF6-B7C9-487EBDF9B522}"/>
            </a:ext>
          </a:extLst>
        </xdr:cNvPr>
        <xdr:cNvCxnSpPr/>
      </xdr:nvCxnSpPr>
      <xdr:spPr>
        <a:xfrm rot="16200000" flipH="1">
          <a:off x="3986509" y="11219392"/>
          <a:ext cx="10584" cy="186407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11761</xdr:colOff>
      <xdr:row>74</xdr:row>
      <xdr:rowOff>1</xdr:rowOff>
    </xdr:from>
    <xdr:to>
      <xdr:col>11</xdr:col>
      <xdr:colOff>11761</xdr:colOff>
      <xdr:row>74</xdr:row>
      <xdr:rowOff>10585</xdr:rowOff>
    </xdr:to>
    <xdr:cxnSp macro="">
      <xdr:nvCxnSpPr>
        <xdr:cNvPr id="640" name="Curved Connector 522">
          <a:extLst>
            <a:ext uri="{FF2B5EF4-FFF2-40B4-BE49-F238E27FC236}">
              <a16:creationId xmlns:a16="http://schemas.microsoft.com/office/drawing/2014/main" id="{FF528763-84B0-4A38-9D10-F840ABE2DD97}"/>
            </a:ext>
          </a:extLst>
        </xdr:cNvPr>
        <xdr:cNvCxnSpPr/>
      </xdr:nvCxnSpPr>
      <xdr:spPr>
        <a:xfrm rot="16200000" flipH="1">
          <a:off x="5797669" y="11244793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58797</xdr:colOff>
      <xdr:row>74</xdr:row>
      <xdr:rowOff>11760</xdr:rowOff>
    </xdr:from>
    <xdr:to>
      <xdr:col>13</xdr:col>
      <xdr:colOff>211668</xdr:colOff>
      <xdr:row>74</xdr:row>
      <xdr:rowOff>22344</xdr:rowOff>
    </xdr:to>
    <xdr:cxnSp macro="">
      <xdr:nvCxnSpPr>
        <xdr:cNvPr id="641" name="Curved Connector 522">
          <a:extLst>
            <a:ext uri="{FF2B5EF4-FFF2-40B4-BE49-F238E27FC236}">
              <a16:creationId xmlns:a16="http://schemas.microsoft.com/office/drawing/2014/main" id="{2F7B447E-7103-45D5-AF7F-F355AD6B5A45}"/>
            </a:ext>
          </a:extLst>
        </xdr:cNvPr>
        <xdr:cNvCxnSpPr/>
      </xdr:nvCxnSpPr>
      <xdr:spPr>
        <a:xfrm rot="16200000" flipH="1">
          <a:off x="7445141" y="11484916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74</xdr:row>
      <xdr:rowOff>1</xdr:rowOff>
    </xdr:from>
    <xdr:to>
      <xdr:col>16</xdr:col>
      <xdr:colOff>246945</xdr:colOff>
      <xdr:row>74</xdr:row>
      <xdr:rowOff>10585</xdr:rowOff>
    </xdr:to>
    <xdr:cxnSp macro="">
      <xdr:nvCxnSpPr>
        <xdr:cNvPr id="642" name="Curved Connector 522">
          <a:extLst>
            <a:ext uri="{FF2B5EF4-FFF2-40B4-BE49-F238E27FC236}">
              <a16:creationId xmlns:a16="http://schemas.microsoft.com/office/drawing/2014/main" id="{FD22C072-22F9-433A-B364-2CF8E0F3E389}"/>
            </a:ext>
          </a:extLst>
        </xdr:cNvPr>
        <xdr:cNvCxnSpPr/>
      </xdr:nvCxnSpPr>
      <xdr:spPr>
        <a:xfrm rot="16200000" flipH="1">
          <a:off x="9262181" y="11426121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176389</xdr:colOff>
      <xdr:row>11</xdr:row>
      <xdr:rowOff>141111</xdr:rowOff>
    </xdr:from>
    <xdr:to>
      <xdr:col>5</xdr:col>
      <xdr:colOff>102169</xdr:colOff>
      <xdr:row>12</xdr:row>
      <xdr:rowOff>141111</xdr:rowOff>
    </xdr:to>
    <xdr:sp macro="" textlink="">
      <xdr:nvSpPr>
        <xdr:cNvPr id="643" name="5-Point Star 520">
          <a:extLst>
            <a:ext uri="{FF2B5EF4-FFF2-40B4-BE49-F238E27FC236}">
              <a16:creationId xmlns:a16="http://schemas.microsoft.com/office/drawing/2014/main" id="{D7539649-AAB4-4389-B539-31F9BC5CD6B8}"/>
            </a:ext>
          </a:extLst>
        </xdr:cNvPr>
        <xdr:cNvSpPr/>
      </xdr:nvSpPr>
      <xdr:spPr>
        <a:xfrm flipH="1">
          <a:off x="2614789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164629</xdr:colOff>
      <xdr:row>11</xdr:row>
      <xdr:rowOff>141112</xdr:rowOff>
    </xdr:from>
    <xdr:to>
      <xdr:col>8</xdr:col>
      <xdr:colOff>90410</xdr:colOff>
      <xdr:row>12</xdr:row>
      <xdr:rowOff>141112</xdr:rowOff>
    </xdr:to>
    <xdr:sp macro="" textlink="">
      <xdr:nvSpPr>
        <xdr:cNvPr id="644" name="5-Point Star 520">
          <a:extLst>
            <a:ext uri="{FF2B5EF4-FFF2-40B4-BE49-F238E27FC236}">
              <a16:creationId xmlns:a16="http://schemas.microsoft.com/office/drawing/2014/main" id="{694DF732-2277-428A-9A38-B7079E4D07DF}"/>
            </a:ext>
          </a:extLst>
        </xdr:cNvPr>
        <xdr:cNvSpPr/>
      </xdr:nvSpPr>
      <xdr:spPr>
        <a:xfrm flipH="1">
          <a:off x="4431829" y="198261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70554</xdr:colOff>
      <xdr:row>2</xdr:row>
      <xdr:rowOff>23519</xdr:rowOff>
    </xdr:from>
    <xdr:to>
      <xdr:col>25</xdr:col>
      <xdr:colOff>188147</xdr:colOff>
      <xdr:row>2</xdr:row>
      <xdr:rowOff>34103</xdr:rowOff>
    </xdr:to>
    <xdr:cxnSp macro="">
      <xdr:nvCxnSpPr>
        <xdr:cNvPr id="645" name="Curved Connector 523">
          <a:extLst>
            <a:ext uri="{FF2B5EF4-FFF2-40B4-BE49-F238E27FC236}">
              <a16:creationId xmlns:a16="http://schemas.microsoft.com/office/drawing/2014/main" id="{F80A14B4-436D-4F70-9480-EF3A99833667}"/>
            </a:ext>
          </a:extLst>
        </xdr:cNvPr>
        <xdr:cNvCxnSpPr/>
      </xdr:nvCxnSpPr>
      <xdr:spPr>
        <a:xfrm rot="16200000" flipH="1">
          <a:off x="14754459" y="-27128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152723</xdr:colOff>
      <xdr:row>92</xdr:row>
      <xdr:rowOff>117445</xdr:rowOff>
    </xdr:from>
    <xdr:to>
      <xdr:col>29</xdr:col>
      <xdr:colOff>90263</xdr:colOff>
      <xdr:row>93</xdr:row>
      <xdr:rowOff>117445</xdr:rowOff>
    </xdr:to>
    <xdr:sp macro="" textlink="">
      <xdr:nvSpPr>
        <xdr:cNvPr id="646" name="5-Point Star 520">
          <a:extLst>
            <a:ext uri="{FF2B5EF4-FFF2-40B4-BE49-F238E27FC236}">
              <a16:creationId xmlns:a16="http://schemas.microsoft.com/office/drawing/2014/main" id="{9CB430F6-909C-47E5-AC69-AF12C2B83CC3}"/>
            </a:ext>
          </a:extLst>
        </xdr:cNvPr>
        <xdr:cNvSpPr/>
      </xdr:nvSpPr>
      <xdr:spPr>
        <a:xfrm flipH="1">
          <a:off x="17221523" y="15217745"/>
          <a:ext cx="54714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141111</xdr:colOff>
      <xdr:row>92</xdr:row>
      <xdr:rowOff>117151</xdr:rowOff>
    </xdr:from>
    <xdr:to>
      <xdr:col>41</xdr:col>
      <xdr:colOff>66892</xdr:colOff>
      <xdr:row>93</xdr:row>
      <xdr:rowOff>117151</xdr:rowOff>
    </xdr:to>
    <xdr:sp macro="" textlink="">
      <xdr:nvSpPr>
        <xdr:cNvPr id="647" name="5-Point Star 520">
          <a:extLst>
            <a:ext uri="{FF2B5EF4-FFF2-40B4-BE49-F238E27FC236}">
              <a16:creationId xmlns:a16="http://schemas.microsoft.com/office/drawing/2014/main" id="{49018B40-8D54-401E-9E3C-69B9C3424DE5}"/>
            </a:ext>
          </a:extLst>
        </xdr:cNvPr>
        <xdr:cNvSpPr/>
      </xdr:nvSpPr>
      <xdr:spPr>
        <a:xfrm flipH="1">
          <a:off x="24525111" y="1521745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58796</xdr:colOff>
      <xdr:row>2</xdr:row>
      <xdr:rowOff>0</xdr:rowOff>
    </xdr:from>
    <xdr:to>
      <xdr:col>22</xdr:col>
      <xdr:colOff>211667</xdr:colOff>
      <xdr:row>2</xdr:row>
      <xdr:rowOff>10584</xdr:rowOff>
    </xdr:to>
    <xdr:cxnSp macro="">
      <xdr:nvCxnSpPr>
        <xdr:cNvPr id="648" name="Curved Connector 523">
          <a:extLst>
            <a:ext uri="{FF2B5EF4-FFF2-40B4-BE49-F238E27FC236}">
              <a16:creationId xmlns:a16="http://schemas.microsoft.com/office/drawing/2014/main" id="{45E65D04-6FA1-4BC6-B5FD-745F324CE275}"/>
            </a:ext>
          </a:extLst>
        </xdr:cNvPr>
        <xdr:cNvCxnSpPr/>
      </xdr:nvCxnSpPr>
      <xdr:spPr>
        <a:xfrm rot="16200000" flipH="1">
          <a:off x="12931540" y="-312444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59091</xdr:colOff>
      <xdr:row>1</xdr:row>
      <xdr:rowOff>237978</xdr:rowOff>
    </xdr:from>
    <xdr:to>
      <xdr:col>19</xdr:col>
      <xdr:colOff>223721</xdr:colOff>
      <xdr:row>2</xdr:row>
      <xdr:rowOff>10437</xdr:rowOff>
    </xdr:to>
    <xdr:cxnSp macro="">
      <xdr:nvCxnSpPr>
        <xdr:cNvPr id="649" name="Curved Connector 523">
          <a:extLst>
            <a:ext uri="{FF2B5EF4-FFF2-40B4-BE49-F238E27FC236}">
              <a16:creationId xmlns:a16="http://schemas.microsoft.com/office/drawing/2014/main" id="{5D8E32E2-E348-4634-963C-A560F251B97E}"/>
            </a:ext>
          </a:extLst>
        </xdr:cNvPr>
        <xdr:cNvCxnSpPr/>
      </xdr:nvCxnSpPr>
      <xdr:spPr>
        <a:xfrm rot="16200000" flipH="1">
          <a:off x="11110501" y="-316882"/>
          <a:ext cx="7409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59532</xdr:colOff>
      <xdr:row>1</xdr:row>
      <xdr:rowOff>226218</xdr:rowOff>
    </xdr:from>
    <xdr:to>
      <xdr:col>4</xdr:col>
      <xdr:colOff>176537</xdr:colOff>
      <xdr:row>1</xdr:row>
      <xdr:rowOff>236802</xdr:rowOff>
    </xdr:to>
    <xdr:cxnSp macro="">
      <xdr:nvCxnSpPr>
        <xdr:cNvPr id="650" name="Curved Connector 523">
          <a:extLst>
            <a:ext uri="{FF2B5EF4-FFF2-40B4-BE49-F238E27FC236}">
              <a16:creationId xmlns:a16="http://schemas.microsoft.com/office/drawing/2014/main" id="{610DF587-30BA-424A-A76A-3D2A2C9A376A}"/>
            </a:ext>
          </a:extLst>
        </xdr:cNvPr>
        <xdr:cNvCxnSpPr/>
      </xdr:nvCxnSpPr>
      <xdr:spPr>
        <a:xfrm rot="16200000" flipH="1">
          <a:off x="1944718" y="-300068"/>
          <a:ext cx="4234" cy="13362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71438</xdr:colOff>
      <xdr:row>2</xdr:row>
      <xdr:rowOff>23813</xdr:rowOff>
    </xdr:from>
    <xdr:to>
      <xdr:col>10</xdr:col>
      <xdr:colOff>176536</xdr:colOff>
      <xdr:row>2</xdr:row>
      <xdr:rowOff>34397</xdr:rowOff>
    </xdr:to>
    <xdr:cxnSp macro="">
      <xdr:nvCxnSpPr>
        <xdr:cNvPr id="651" name="Curved Connector 523">
          <a:extLst>
            <a:ext uri="{FF2B5EF4-FFF2-40B4-BE49-F238E27FC236}">
              <a16:creationId xmlns:a16="http://schemas.microsoft.com/office/drawing/2014/main" id="{B65BB819-5EC7-49EF-8EA5-1E8FAE2F8724}"/>
            </a:ext>
          </a:extLst>
        </xdr:cNvPr>
        <xdr:cNvCxnSpPr/>
      </xdr:nvCxnSpPr>
      <xdr:spPr>
        <a:xfrm rot="16200000" flipH="1">
          <a:off x="5605095" y="-264744"/>
          <a:ext cx="10584" cy="132429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11906</xdr:colOff>
      <xdr:row>2</xdr:row>
      <xdr:rowOff>11906</xdr:rowOff>
    </xdr:from>
    <xdr:to>
      <xdr:col>7</xdr:col>
      <xdr:colOff>212255</xdr:colOff>
      <xdr:row>2</xdr:row>
      <xdr:rowOff>22490</xdr:rowOff>
    </xdr:to>
    <xdr:cxnSp macro="">
      <xdr:nvCxnSpPr>
        <xdr:cNvPr id="652" name="Curved Connector 523">
          <a:extLst>
            <a:ext uri="{FF2B5EF4-FFF2-40B4-BE49-F238E27FC236}">
              <a16:creationId xmlns:a16="http://schemas.microsoft.com/office/drawing/2014/main" id="{475DD0CF-D37B-40E7-94D1-3B43918352F5}"/>
            </a:ext>
          </a:extLst>
        </xdr:cNvPr>
        <xdr:cNvCxnSpPr/>
      </xdr:nvCxnSpPr>
      <xdr:spPr>
        <a:xfrm rot="16200000" flipH="1">
          <a:off x="3764389" y="-324277"/>
          <a:ext cx="10584" cy="14195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71438</xdr:colOff>
      <xdr:row>2</xdr:row>
      <xdr:rowOff>11907</xdr:rowOff>
    </xdr:from>
    <xdr:to>
      <xdr:col>13</xdr:col>
      <xdr:colOff>176537</xdr:colOff>
      <xdr:row>2</xdr:row>
      <xdr:rowOff>22491</xdr:rowOff>
    </xdr:to>
    <xdr:cxnSp macro="">
      <xdr:nvCxnSpPr>
        <xdr:cNvPr id="653" name="Curved Connector 523">
          <a:extLst>
            <a:ext uri="{FF2B5EF4-FFF2-40B4-BE49-F238E27FC236}">
              <a16:creationId xmlns:a16="http://schemas.microsoft.com/office/drawing/2014/main" id="{B0E9DD54-3D85-4A69-8556-9A4406D99B23}"/>
            </a:ext>
          </a:extLst>
        </xdr:cNvPr>
        <xdr:cNvCxnSpPr/>
      </xdr:nvCxnSpPr>
      <xdr:spPr>
        <a:xfrm rot="16200000" flipH="1">
          <a:off x="7433896" y="-276651"/>
          <a:ext cx="10584" cy="132429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59531</xdr:colOff>
      <xdr:row>2</xdr:row>
      <xdr:rowOff>23813</xdr:rowOff>
    </xdr:from>
    <xdr:to>
      <xdr:col>16</xdr:col>
      <xdr:colOff>200349</xdr:colOff>
      <xdr:row>2</xdr:row>
      <xdr:rowOff>34397</xdr:rowOff>
    </xdr:to>
    <xdr:cxnSp macro="">
      <xdr:nvCxnSpPr>
        <xdr:cNvPr id="654" name="Curved Connector 523">
          <a:extLst>
            <a:ext uri="{FF2B5EF4-FFF2-40B4-BE49-F238E27FC236}">
              <a16:creationId xmlns:a16="http://schemas.microsoft.com/office/drawing/2014/main" id="{4BE8465B-817A-40FC-A95F-C2485DCBBC0A}"/>
            </a:ext>
          </a:extLst>
        </xdr:cNvPr>
        <xdr:cNvCxnSpPr/>
      </xdr:nvCxnSpPr>
      <xdr:spPr>
        <a:xfrm rot="16200000" flipH="1">
          <a:off x="9268648" y="-282604"/>
          <a:ext cx="10584" cy="13600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178594</xdr:colOff>
      <xdr:row>11</xdr:row>
      <xdr:rowOff>119062</xdr:rowOff>
    </xdr:from>
    <xdr:to>
      <xdr:col>11</xdr:col>
      <xdr:colOff>104375</xdr:colOff>
      <xdr:row>12</xdr:row>
      <xdr:rowOff>119062</xdr:rowOff>
    </xdr:to>
    <xdr:sp macro="" textlink="">
      <xdr:nvSpPr>
        <xdr:cNvPr id="655" name="5-Point Star 520">
          <a:extLst>
            <a:ext uri="{FF2B5EF4-FFF2-40B4-BE49-F238E27FC236}">
              <a16:creationId xmlns:a16="http://schemas.microsoft.com/office/drawing/2014/main" id="{CD51254C-ACCB-443A-A625-BC9DDF2D5635}"/>
            </a:ext>
          </a:extLst>
        </xdr:cNvPr>
        <xdr:cNvSpPr/>
      </xdr:nvSpPr>
      <xdr:spPr>
        <a:xfrm flipH="1">
          <a:off x="6274594" y="196056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166688</xdr:colOff>
      <xdr:row>11</xdr:row>
      <xdr:rowOff>130969</xdr:rowOff>
    </xdr:from>
    <xdr:to>
      <xdr:col>14</xdr:col>
      <xdr:colOff>92468</xdr:colOff>
      <xdr:row>12</xdr:row>
      <xdr:rowOff>130969</xdr:rowOff>
    </xdr:to>
    <xdr:sp macro="" textlink="">
      <xdr:nvSpPr>
        <xdr:cNvPr id="656" name="5-Point Star 520">
          <a:extLst>
            <a:ext uri="{FF2B5EF4-FFF2-40B4-BE49-F238E27FC236}">
              <a16:creationId xmlns:a16="http://schemas.microsoft.com/office/drawing/2014/main" id="{7B5A49A8-9274-4A5A-97F9-B494B8E7E097}"/>
            </a:ext>
          </a:extLst>
        </xdr:cNvPr>
        <xdr:cNvSpPr/>
      </xdr:nvSpPr>
      <xdr:spPr>
        <a:xfrm flipH="1">
          <a:off x="8091488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154781</xdr:colOff>
      <xdr:row>11</xdr:row>
      <xdr:rowOff>119063</xdr:rowOff>
    </xdr:from>
    <xdr:to>
      <xdr:col>17</xdr:col>
      <xdr:colOff>80561</xdr:colOff>
      <xdr:row>12</xdr:row>
      <xdr:rowOff>119063</xdr:rowOff>
    </xdr:to>
    <xdr:sp macro="" textlink="">
      <xdr:nvSpPr>
        <xdr:cNvPr id="657" name="5-Point Star 520">
          <a:extLst>
            <a:ext uri="{FF2B5EF4-FFF2-40B4-BE49-F238E27FC236}">
              <a16:creationId xmlns:a16="http://schemas.microsoft.com/office/drawing/2014/main" id="{5E4209E2-34DD-4FCF-BB49-3FF4C23B69EA}"/>
            </a:ext>
          </a:extLst>
        </xdr:cNvPr>
        <xdr:cNvSpPr/>
      </xdr:nvSpPr>
      <xdr:spPr>
        <a:xfrm flipH="1">
          <a:off x="9908381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</xdr:row>
      <xdr:rowOff>119063</xdr:rowOff>
    </xdr:from>
    <xdr:to>
      <xdr:col>20</xdr:col>
      <xdr:colOff>104375</xdr:colOff>
      <xdr:row>12</xdr:row>
      <xdr:rowOff>119063</xdr:rowOff>
    </xdr:to>
    <xdr:sp macro="" textlink="">
      <xdr:nvSpPr>
        <xdr:cNvPr id="658" name="5-Point Star 520">
          <a:extLst>
            <a:ext uri="{FF2B5EF4-FFF2-40B4-BE49-F238E27FC236}">
              <a16:creationId xmlns:a16="http://schemas.microsoft.com/office/drawing/2014/main" id="{76405DC2-4351-4B98-88E6-BB6BED171B95}"/>
            </a:ext>
          </a:extLst>
        </xdr:cNvPr>
        <xdr:cNvSpPr/>
      </xdr:nvSpPr>
      <xdr:spPr>
        <a:xfrm flipH="1">
          <a:off x="11760994" y="196056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178594</xdr:colOff>
      <xdr:row>11</xdr:row>
      <xdr:rowOff>130969</xdr:rowOff>
    </xdr:from>
    <xdr:to>
      <xdr:col>23</xdr:col>
      <xdr:colOff>104374</xdr:colOff>
      <xdr:row>12</xdr:row>
      <xdr:rowOff>130969</xdr:rowOff>
    </xdr:to>
    <xdr:sp macro="" textlink="">
      <xdr:nvSpPr>
        <xdr:cNvPr id="659" name="5-Point Star 520">
          <a:extLst>
            <a:ext uri="{FF2B5EF4-FFF2-40B4-BE49-F238E27FC236}">
              <a16:creationId xmlns:a16="http://schemas.microsoft.com/office/drawing/2014/main" id="{64FF0AA9-AEA4-46AF-8410-F41E2612506E}"/>
            </a:ext>
          </a:extLst>
        </xdr:cNvPr>
        <xdr:cNvSpPr/>
      </xdr:nvSpPr>
      <xdr:spPr>
        <a:xfrm flipH="1">
          <a:off x="13589794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178593</xdr:colOff>
      <xdr:row>11</xdr:row>
      <xdr:rowOff>142875</xdr:rowOff>
    </xdr:from>
    <xdr:to>
      <xdr:col>26</xdr:col>
      <xdr:colOff>104373</xdr:colOff>
      <xdr:row>12</xdr:row>
      <xdr:rowOff>142875</xdr:rowOff>
    </xdr:to>
    <xdr:sp macro="" textlink="">
      <xdr:nvSpPr>
        <xdr:cNvPr id="660" name="5-Point Star 520">
          <a:extLst>
            <a:ext uri="{FF2B5EF4-FFF2-40B4-BE49-F238E27FC236}">
              <a16:creationId xmlns:a16="http://schemas.microsoft.com/office/drawing/2014/main" id="{A35CC3E2-45A0-4F6D-968C-79104FB9C5DC}"/>
            </a:ext>
          </a:extLst>
        </xdr:cNvPr>
        <xdr:cNvSpPr/>
      </xdr:nvSpPr>
      <xdr:spPr>
        <a:xfrm flipH="1">
          <a:off x="15418593" y="198437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51</xdr:row>
      <xdr:rowOff>0</xdr:rowOff>
    </xdr:from>
    <xdr:ext cx="230186" cy="271084"/>
    <xdr:pic>
      <xdr:nvPicPr>
        <xdr:cNvPr id="661" name="Picture 660" descr="A black and white symbol&#10;&#10;Description automatically generated">
          <a:extLst>
            <a:ext uri="{FF2B5EF4-FFF2-40B4-BE49-F238E27FC236}">
              <a16:creationId xmlns:a16="http://schemas.microsoft.com/office/drawing/2014/main" id="{3FA4F087-6DD2-4F1A-AF5B-E0A7BCF44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51</xdr:row>
      <xdr:rowOff>0</xdr:rowOff>
    </xdr:from>
    <xdr:ext cx="230186" cy="271084"/>
    <xdr:pic>
      <xdr:nvPicPr>
        <xdr:cNvPr id="662" name="Picture 661" descr="A black and white symbol&#10;&#10;Description automatically generated">
          <a:extLst>
            <a:ext uri="{FF2B5EF4-FFF2-40B4-BE49-F238E27FC236}">
              <a16:creationId xmlns:a16="http://schemas.microsoft.com/office/drawing/2014/main" id="{4322E297-7014-47C2-872B-40F88ED27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51</xdr:row>
      <xdr:rowOff>0</xdr:rowOff>
    </xdr:from>
    <xdr:ext cx="230186" cy="271084"/>
    <xdr:pic>
      <xdr:nvPicPr>
        <xdr:cNvPr id="663" name="Picture 662" descr="A black and white symbol&#10;&#10;Description automatically generated">
          <a:extLst>
            <a:ext uri="{FF2B5EF4-FFF2-40B4-BE49-F238E27FC236}">
              <a16:creationId xmlns:a16="http://schemas.microsoft.com/office/drawing/2014/main" id="{03618691-5AB9-4510-852C-6216EE7AE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51</xdr:row>
      <xdr:rowOff>0</xdr:rowOff>
    </xdr:from>
    <xdr:ext cx="230186" cy="271084"/>
    <xdr:pic>
      <xdr:nvPicPr>
        <xdr:cNvPr id="664" name="Picture 663" descr="A black and white symbol&#10;&#10;Description automatically generated">
          <a:extLst>
            <a:ext uri="{FF2B5EF4-FFF2-40B4-BE49-F238E27FC236}">
              <a16:creationId xmlns:a16="http://schemas.microsoft.com/office/drawing/2014/main" id="{E6C6CEB4-435E-4FF4-9720-907441DA2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51</xdr:row>
      <xdr:rowOff>0</xdr:rowOff>
    </xdr:from>
    <xdr:ext cx="230186" cy="271084"/>
    <xdr:pic>
      <xdr:nvPicPr>
        <xdr:cNvPr id="665" name="Picture 664" descr="A black and white symbol&#10;&#10;Description automatically generated">
          <a:extLst>
            <a:ext uri="{FF2B5EF4-FFF2-40B4-BE49-F238E27FC236}">
              <a16:creationId xmlns:a16="http://schemas.microsoft.com/office/drawing/2014/main" id="{958B05CE-8879-4339-8348-5142F847A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51</xdr:row>
      <xdr:rowOff>0</xdr:rowOff>
    </xdr:from>
    <xdr:ext cx="230186" cy="271084"/>
    <xdr:pic>
      <xdr:nvPicPr>
        <xdr:cNvPr id="666" name="Picture 665" descr="A black and white symbol&#10;&#10;Description automatically generated">
          <a:extLst>
            <a:ext uri="{FF2B5EF4-FFF2-40B4-BE49-F238E27FC236}">
              <a16:creationId xmlns:a16="http://schemas.microsoft.com/office/drawing/2014/main" id="{37166D9A-698B-45F7-A6D1-7E8679A68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51</xdr:row>
      <xdr:rowOff>0</xdr:rowOff>
    </xdr:from>
    <xdr:ext cx="230186" cy="271084"/>
    <xdr:pic>
      <xdr:nvPicPr>
        <xdr:cNvPr id="667" name="Picture 666" descr="A black and white symbol&#10;&#10;Description automatically generated">
          <a:extLst>
            <a:ext uri="{FF2B5EF4-FFF2-40B4-BE49-F238E27FC236}">
              <a16:creationId xmlns:a16="http://schemas.microsoft.com/office/drawing/2014/main" id="{33E0F75B-EC17-4ECD-AA2D-4BDBC0D71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51</xdr:row>
      <xdr:rowOff>0</xdr:rowOff>
    </xdr:from>
    <xdr:ext cx="230186" cy="271084"/>
    <xdr:pic>
      <xdr:nvPicPr>
        <xdr:cNvPr id="668" name="Picture 667" descr="A black and white symbol&#10;&#10;Description automatically generated">
          <a:extLst>
            <a:ext uri="{FF2B5EF4-FFF2-40B4-BE49-F238E27FC236}">
              <a16:creationId xmlns:a16="http://schemas.microsoft.com/office/drawing/2014/main" id="{7CC07BA6-4376-4D59-A201-F17635F1D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51</xdr:row>
      <xdr:rowOff>0</xdr:rowOff>
    </xdr:from>
    <xdr:ext cx="230186" cy="271084"/>
    <xdr:pic>
      <xdr:nvPicPr>
        <xdr:cNvPr id="669" name="Picture 668" descr="A black and white symbol&#10;&#10;Description automatically generated">
          <a:extLst>
            <a:ext uri="{FF2B5EF4-FFF2-40B4-BE49-F238E27FC236}">
              <a16:creationId xmlns:a16="http://schemas.microsoft.com/office/drawing/2014/main" id="{0A6BB29A-445B-4262-AAE0-3BE2CA6EE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51</xdr:row>
      <xdr:rowOff>0</xdr:rowOff>
    </xdr:from>
    <xdr:ext cx="230186" cy="271084"/>
    <xdr:pic>
      <xdr:nvPicPr>
        <xdr:cNvPr id="670" name="Picture 669" descr="A black and white symbol&#10;&#10;Description automatically generated">
          <a:extLst>
            <a:ext uri="{FF2B5EF4-FFF2-40B4-BE49-F238E27FC236}">
              <a16:creationId xmlns:a16="http://schemas.microsoft.com/office/drawing/2014/main" id="{5DCB8929-0676-4641-8FDB-C706B6372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51</xdr:row>
      <xdr:rowOff>0</xdr:rowOff>
    </xdr:from>
    <xdr:ext cx="230186" cy="271084"/>
    <xdr:pic>
      <xdr:nvPicPr>
        <xdr:cNvPr id="671" name="Picture 670" descr="A black and white symbol&#10;&#10;Description automatically generated">
          <a:extLst>
            <a:ext uri="{FF2B5EF4-FFF2-40B4-BE49-F238E27FC236}">
              <a16:creationId xmlns:a16="http://schemas.microsoft.com/office/drawing/2014/main" id="{7B034AEC-45F8-4701-8B71-423A17F26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166688</xdr:colOff>
      <xdr:row>11</xdr:row>
      <xdr:rowOff>119063</xdr:rowOff>
    </xdr:from>
    <xdr:to>
      <xdr:col>35</xdr:col>
      <xdr:colOff>92468</xdr:colOff>
      <xdr:row>12</xdr:row>
      <xdr:rowOff>119063</xdr:rowOff>
    </xdr:to>
    <xdr:sp macro="" textlink="">
      <xdr:nvSpPr>
        <xdr:cNvPr id="672" name="5-Point Star 520">
          <a:extLst>
            <a:ext uri="{FF2B5EF4-FFF2-40B4-BE49-F238E27FC236}">
              <a16:creationId xmlns:a16="http://schemas.microsoft.com/office/drawing/2014/main" id="{36450C45-1FC1-4E23-8735-15ACC2034A9C}"/>
            </a:ext>
          </a:extLst>
        </xdr:cNvPr>
        <xdr:cNvSpPr/>
      </xdr:nvSpPr>
      <xdr:spPr>
        <a:xfrm flipH="1">
          <a:off x="20893088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269876</xdr:colOff>
      <xdr:row>73</xdr:row>
      <xdr:rowOff>166689</xdr:rowOff>
    </xdr:from>
    <xdr:to>
      <xdr:col>19</xdr:col>
      <xdr:colOff>270758</xdr:colOff>
      <xdr:row>73</xdr:row>
      <xdr:rowOff>177273</xdr:rowOff>
    </xdr:to>
    <xdr:cxnSp macro="">
      <xdr:nvCxnSpPr>
        <xdr:cNvPr id="673" name="Curved Connector 522">
          <a:extLst>
            <a:ext uri="{FF2B5EF4-FFF2-40B4-BE49-F238E27FC236}">
              <a16:creationId xmlns:a16="http://schemas.microsoft.com/office/drawing/2014/main" id="{7EF08A57-84D1-456D-9158-565059856EBB}"/>
            </a:ext>
          </a:extLst>
        </xdr:cNvPr>
        <xdr:cNvCxnSpPr/>
      </xdr:nvCxnSpPr>
      <xdr:spPr>
        <a:xfrm rot="16200000" flipH="1">
          <a:off x="10933025" y="11226890"/>
          <a:ext cx="10584" cy="18296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269876</xdr:colOff>
      <xdr:row>73</xdr:row>
      <xdr:rowOff>166689</xdr:rowOff>
    </xdr:from>
    <xdr:to>
      <xdr:col>22</xdr:col>
      <xdr:colOff>223133</xdr:colOff>
      <xdr:row>73</xdr:row>
      <xdr:rowOff>177273</xdr:rowOff>
    </xdr:to>
    <xdr:cxnSp macro="">
      <xdr:nvCxnSpPr>
        <xdr:cNvPr id="674" name="Curved Connector 522">
          <a:extLst>
            <a:ext uri="{FF2B5EF4-FFF2-40B4-BE49-F238E27FC236}">
              <a16:creationId xmlns:a16="http://schemas.microsoft.com/office/drawing/2014/main" id="{0AD603FB-1446-46E0-BF70-BF5B1BCE87B8}"/>
            </a:ext>
          </a:extLst>
        </xdr:cNvPr>
        <xdr:cNvCxnSpPr/>
      </xdr:nvCxnSpPr>
      <xdr:spPr>
        <a:xfrm rot="16200000" flipH="1">
          <a:off x="12738013" y="11250702"/>
          <a:ext cx="10584" cy="1782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74</xdr:row>
      <xdr:rowOff>0</xdr:rowOff>
    </xdr:from>
    <xdr:to>
      <xdr:col>25</xdr:col>
      <xdr:colOff>246944</xdr:colOff>
      <xdr:row>74</xdr:row>
      <xdr:rowOff>10584</xdr:rowOff>
    </xdr:to>
    <xdr:cxnSp macro="">
      <xdr:nvCxnSpPr>
        <xdr:cNvPr id="675" name="Curved Connector 522">
          <a:extLst>
            <a:ext uri="{FF2B5EF4-FFF2-40B4-BE49-F238E27FC236}">
              <a16:creationId xmlns:a16="http://schemas.microsoft.com/office/drawing/2014/main" id="{A06D82E3-5238-44FE-B628-3FA7BF040173}"/>
            </a:ext>
          </a:extLst>
        </xdr:cNvPr>
        <xdr:cNvCxnSpPr/>
      </xdr:nvCxnSpPr>
      <xdr:spPr>
        <a:xfrm rot="16200000" flipH="1">
          <a:off x="14748580" y="11426120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74</xdr:row>
      <xdr:rowOff>0</xdr:rowOff>
    </xdr:from>
    <xdr:to>
      <xdr:col>28</xdr:col>
      <xdr:colOff>231069</xdr:colOff>
      <xdr:row>74</xdr:row>
      <xdr:rowOff>10584</xdr:rowOff>
    </xdr:to>
    <xdr:cxnSp macro="">
      <xdr:nvCxnSpPr>
        <xdr:cNvPr id="676" name="Curved Connector 522">
          <a:extLst>
            <a:ext uri="{FF2B5EF4-FFF2-40B4-BE49-F238E27FC236}">
              <a16:creationId xmlns:a16="http://schemas.microsoft.com/office/drawing/2014/main" id="{3D326841-F3F4-423B-9B08-FF4B6AA56CCB}"/>
            </a:ext>
          </a:extLst>
        </xdr:cNvPr>
        <xdr:cNvCxnSpPr/>
      </xdr:nvCxnSpPr>
      <xdr:spPr>
        <a:xfrm rot="16200000" flipH="1">
          <a:off x="16569443" y="11434057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167830</xdr:colOff>
      <xdr:row>11</xdr:row>
      <xdr:rowOff>143166</xdr:rowOff>
    </xdr:from>
    <xdr:to>
      <xdr:col>38</xdr:col>
      <xdr:colOff>93609</xdr:colOff>
      <xdr:row>12</xdr:row>
      <xdr:rowOff>143166</xdr:rowOff>
    </xdr:to>
    <xdr:sp macro="" textlink="">
      <xdr:nvSpPr>
        <xdr:cNvPr id="683" name="5-Point Star 520">
          <a:extLst>
            <a:ext uri="{FF2B5EF4-FFF2-40B4-BE49-F238E27FC236}">
              <a16:creationId xmlns:a16="http://schemas.microsoft.com/office/drawing/2014/main" id="{C3E9989B-2DBF-484E-B1F7-F8B90720EEA9}"/>
            </a:ext>
          </a:extLst>
        </xdr:cNvPr>
        <xdr:cNvSpPr/>
      </xdr:nvSpPr>
      <xdr:spPr>
        <a:xfrm flipH="1">
          <a:off x="22723030" y="198466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183997</xdr:colOff>
      <xdr:row>11</xdr:row>
      <xdr:rowOff>113486</xdr:rowOff>
    </xdr:from>
    <xdr:to>
      <xdr:col>41</xdr:col>
      <xdr:colOff>109777</xdr:colOff>
      <xdr:row>12</xdr:row>
      <xdr:rowOff>113486</xdr:rowOff>
    </xdr:to>
    <xdr:sp macro="" textlink="">
      <xdr:nvSpPr>
        <xdr:cNvPr id="684" name="5-Point Star 520">
          <a:extLst>
            <a:ext uri="{FF2B5EF4-FFF2-40B4-BE49-F238E27FC236}">
              <a16:creationId xmlns:a16="http://schemas.microsoft.com/office/drawing/2014/main" id="{7C227FC9-5095-4FD0-B751-5637323FB38D}"/>
            </a:ext>
          </a:extLst>
        </xdr:cNvPr>
        <xdr:cNvSpPr/>
      </xdr:nvSpPr>
      <xdr:spPr>
        <a:xfrm flipH="1">
          <a:off x="24567997" y="195498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151871</xdr:colOff>
      <xdr:row>20</xdr:row>
      <xdr:rowOff>137584</xdr:rowOff>
    </xdr:from>
    <xdr:to>
      <xdr:col>2</xdr:col>
      <xdr:colOff>77650</xdr:colOff>
      <xdr:row>21</xdr:row>
      <xdr:rowOff>137584</xdr:rowOff>
    </xdr:to>
    <xdr:sp macro="" textlink="">
      <xdr:nvSpPr>
        <xdr:cNvPr id="685" name="5-Point Star 520">
          <a:extLst>
            <a:ext uri="{FF2B5EF4-FFF2-40B4-BE49-F238E27FC236}">
              <a16:creationId xmlns:a16="http://schemas.microsoft.com/office/drawing/2014/main" id="{EEF06668-4109-4D03-880C-1CFE275C4F31}"/>
            </a:ext>
          </a:extLst>
        </xdr:cNvPr>
        <xdr:cNvSpPr/>
      </xdr:nvSpPr>
      <xdr:spPr>
        <a:xfrm flipH="1">
          <a:off x="761471" y="345228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0</xdr:colOff>
      <xdr:row>73</xdr:row>
      <xdr:rowOff>178594</xdr:rowOff>
    </xdr:from>
    <xdr:to>
      <xdr:col>31</xdr:col>
      <xdr:colOff>195350</xdr:colOff>
      <xdr:row>73</xdr:row>
      <xdr:rowOff>189178</xdr:rowOff>
    </xdr:to>
    <xdr:cxnSp macro="">
      <xdr:nvCxnSpPr>
        <xdr:cNvPr id="686" name="Curved Connector 522">
          <a:extLst>
            <a:ext uri="{FF2B5EF4-FFF2-40B4-BE49-F238E27FC236}">
              <a16:creationId xmlns:a16="http://schemas.microsoft.com/office/drawing/2014/main" id="{91079592-3AB4-49D8-A41B-41C9E0F434F8}"/>
            </a:ext>
          </a:extLst>
        </xdr:cNvPr>
        <xdr:cNvCxnSpPr/>
      </xdr:nvCxnSpPr>
      <xdr:spPr>
        <a:xfrm rot="16200000" flipH="1">
          <a:off x="18383558" y="11443186"/>
          <a:ext cx="423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11907</xdr:colOff>
      <xdr:row>73</xdr:row>
      <xdr:rowOff>178594</xdr:rowOff>
    </xdr:from>
    <xdr:to>
      <xdr:col>34</xdr:col>
      <xdr:colOff>195351</xdr:colOff>
      <xdr:row>73</xdr:row>
      <xdr:rowOff>189178</xdr:rowOff>
    </xdr:to>
    <xdr:cxnSp macro="">
      <xdr:nvCxnSpPr>
        <xdr:cNvPr id="687" name="Curved Connector 522">
          <a:extLst>
            <a:ext uri="{FF2B5EF4-FFF2-40B4-BE49-F238E27FC236}">
              <a16:creationId xmlns:a16="http://schemas.microsoft.com/office/drawing/2014/main" id="{46459965-7CDA-4ED7-8B2D-239FE6F9BBF5}"/>
            </a:ext>
          </a:extLst>
        </xdr:cNvPr>
        <xdr:cNvCxnSpPr/>
      </xdr:nvCxnSpPr>
      <xdr:spPr>
        <a:xfrm rot="16200000" flipH="1">
          <a:off x="20218312" y="11449139"/>
          <a:ext cx="423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226218</xdr:colOff>
      <xdr:row>73</xdr:row>
      <xdr:rowOff>178593</xdr:rowOff>
    </xdr:from>
    <xdr:to>
      <xdr:col>37</xdr:col>
      <xdr:colOff>242974</xdr:colOff>
      <xdr:row>73</xdr:row>
      <xdr:rowOff>189177</xdr:rowOff>
    </xdr:to>
    <xdr:cxnSp macro="">
      <xdr:nvCxnSpPr>
        <xdr:cNvPr id="688" name="Curved Connector 522">
          <a:extLst>
            <a:ext uri="{FF2B5EF4-FFF2-40B4-BE49-F238E27FC236}">
              <a16:creationId xmlns:a16="http://schemas.microsoft.com/office/drawing/2014/main" id="{8AC33958-C742-4713-8604-BE56B00B637B}"/>
            </a:ext>
          </a:extLst>
        </xdr:cNvPr>
        <xdr:cNvCxnSpPr/>
      </xdr:nvCxnSpPr>
      <xdr:spPr>
        <a:xfrm rot="16200000" flipH="1">
          <a:off x="21873279" y="11227682"/>
          <a:ext cx="423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11906</xdr:colOff>
      <xdr:row>74</xdr:row>
      <xdr:rowOff>0</xdr:rowOff>
    </xdr:from>
    <xdr:to>
      <xdr:col>40</xdr:col>
      <xdr:colOff>207256</xdr:colOff>
      <xdr:row>74</xdr:row>
      <xdr:rowOff>10584</xdr:rowOff>
    </xdr:to>
    <xdr:cxnSp macro="">
      <xdr:nvCxnSpPr>
        <xdr:cNvPr id="689" name="Curved Connector 522">
          <a:extLst>
            <a:ext uri="{FF2B5EF4-FFF2-40B4-BE49-F238E27FC236}">
              <a16:creationId xmlns:a16="http://schemas.microsoft.com/office/drawing/2014/main" id="{5110B48A-0AD9-48E2-8E99-BF768B6BE210}"/>
            </a:ext>
          </a:extLst>
        </xdr:cNvPr>
        <xdr:cNvCxnSpPr/>
      </xdr:nvCxnSpPr>
      <xdr:spPr>
        <a:xfrm rot="16200000" flipH="1">
          <a:off x="23878689" y="114519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250031</xdr:colOff>
      <xdr:row>82</xdr:row>
      <xdr:rowOff>166687</xdr:rowOff>
    </xdr:from>
    <xdr:to>
      <xdr:col>4</xdr:col>
      <xdr:colOff>219163</xdr:colOff>
      <xdr:row>82</xdr:row>
      <xdr:rowOff>177271</xdr:rowOff>
    </xdr:to>
    <xdr:cxnSp macro="">
      <xdr:nvCxnSpPr>
        <xdr:cNvPr id="690" name="Curved Connector 522">
          <a:extLst>
            <a:ext uri="{FF2B5EF4-FFF2-40B4-BE49-F238E27FC236}">
              <a16:creationId xmlns:a16="http://schemas.microsoft.com/office/drawing/2014/main" id="{3596B411-14F6-4190-94D9-1A1537AE6552}"/>
            </a:ext>
          </a:extLst>
        </xdr:cNvPr>
        <xdr:cNvCxnSpPr/>
      </xdr:nvCxnSpPr>
      <xdr:spPr>
        <a:xfrm rot="16200000" flipH="1">
          <a:off x="1753305" y="12715963"/>
          <a:ext cx="10584" cy="17979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226220</xdr:colOff>
      <xdr:row>82</xdr:row>
      <xdr:rowOff>154781</xdr:rowOff>
    </xdr:from>
    <xdr:to>
      <xdr:col>8</xdr:col>
      <xdr:colOff>16758</xdr:colOff>
      <xdr:row>82</xdr:row>
      <xdr:rowOff>165365</xdr:rowOff>
    </xdr:to>
    <xdr:cxnSp macro="">
      <xdr:nvCxnSpPr>
        <xdr:cNvPr id="691" name="Curved Connector 522">
          <a:extLst>
            <a:ext uri="{FF2B5EF4-FFF2-40B4-BE49-F238E27FC236}">
              <a16:creationId xmlns:a16="http://schemas.microsoft.com/office/drawing/2014/main" id="{F9585928-F764-4B00-A398-F90CCD1467C4}"/>
            </a:ext>
          </a:extLst>
        </xdr:cNvPr>
        <xdr:cNvCxnSpPr/>
      </xdr:nvCxnSpPr>
      <xdr:spPr>
        <a:xfrm rot="16200000" flipH="1">
          <a:off x="3773797" y="12488554"/>
          <a:ext cx="10584" cy="22289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-1</xdr:colOff>
      <xdr:row>74</xdr:row>
      <xdr:rowOff>23812</xdr:rowOff>
    </xdr:from>
    <xdr:to>
      <xdr:col>42</xdr:col>
      <xdr:colOff>226219</xdr:colOff>
      <xdr:row>74</xdr:row>
      <xdr:rowOff>130969</xdr:rowOff>
    </xdr:to>
    <xdr:cxnSp macro="">
      <xdr:nvCxnSpPr>
        <xdr:cNvPr id="692" name="Curved Connector 522">
          <a:extLst>
            <a:ext uri="{FF2B5EF4-FFF2-40B4-BE49-F238E27FC236}">
              <a16:creationId xmlns:a16="http://schemas.microsoft.com/office/drawing/2014/main" id="{9383B60D-89E0-4FEF-B6E9-696B1B80C745}"/>
            </a:ext>
          </a:extLst>
        </xdr:cNvPr>
        <xdr:cNvCxnSpPr/>
      </xdr:nvCxnSpPr>
      <xdr:spPr>
        <a:xfrm>
          <a:off x="24993599" y="12177712"/>
          <a:ext cx="835820" cy="107157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11907</xdr:colOff>
      <xdr:row>118</xdr:row>
      <xdr:rowOff>154781</xdr:rowOff>
    </xdr:from>
    <xdr:to>
      <xdr:col>10</xdr:col>
      <xdr:colOff>231069</xdr:colOff>
      <xdr:row>118</xdr:row>
      <xdr:rowOff>165365</xdr:rowOff>
    </xdr:to>
    <xdr:cxnSp macro="">
      <xdr:nvCxnSpPr>
        <xdr:cNvPr id="693" name="Curved Connector 522">
          <a:extLst>
            <a:ext uri="{FF2B5EF4-FFF2-40B4-BE49-F238E27FC236}">
              <a16:creationId xmlns:a16="http://schemas.microsoft.com/office/drawing/2014/main" id="{E28A9713-3B2B-4872-A887-83B9C9EB490C}"/>
            </a:ext>
          </a:extLst>
        </xdr:cNvPr>
        <xdr:cNvCxnSpPr/>
      </xdr:nvCxnSpPr>
      <xdr:spPr>
        <a:xfrm rot="16200000" flipH="1">
          <a:off x="5602596" y="18776642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23813</xdr:colOff>
      <xdr:row>118</xdr:row>
      <xdr:rowOff>142875</xdr:rowOff>
    </xdr:from>
    <xdr:to>
      <xdr:col>13</xdr:col>
      <xdr:colOff>242976</xdr:colOff>
      <xdr:row>118</xdr:row>
      <xdr:rowOff>153459</xdr:rowOff>
    </xdr:to>
    <xdr:cxnSp macro="">
      <xdr:nvCxnSpPr>
        <xdr:cNvPr id="694" name="Curved Connector 522">
          <a:extLst>
            <a:ext uri="{FF2B5EF4-FFF2-40B4-BE49-F238E27FC236}">
              <a16:creationId xmlns:a16="http://schemas.microsoft.com/office/drawing/2014/main" id="{40155406-CB33-464D-BF9D-ACCEABDF163D}"/>
            </a:ext>
          </a:extLst>
        </xdr:cNvPr>
        <xdr:cNvCxnSpPr/>
      </xdr:nvCxnSpPr>
      <xdr:spPr>
        <a:xfrm rot="16200000" flipH="1">
          <a:off x="7443303" y="18764735"/>
          <a:ext cx="10584" cy="143836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118</xdr:row>
      <xdr:rowOff>154782</xdr:rowOff>
    </xdr:from>
    <xdr:to>
      <xdr:col>16</xdr:col>
      <xdr:colOff>242975</xdr:colOff>
      <xdr:row>118</xdr:row>
      <xdr:rowOff>165366</xdr:rowOff>
    </xdr:to>
    <xdr:cxnSp macro="">
      <xdr:nvCxnSpPr>
        <xdr:cNvPr id="695" name="Curved Connector 522">
          <a:extLst>
            <a:ext uri="{FF2B5EF4-FFF2-40B4-BE49-F238E27FC236}">
              <a16:creationId xmlns:a16="http://schemas.microsoft.com/office/drawing/2014/main" id="{DB938CF2-D8C3-4256-919B-11350AEA924E}"/>
            </a:ext>
          </a:extLst>
        </xdr:cNvPr>
        <xdr:cNvCxnSpPr/>
      </xdr:nvCxnSpPr>
      <xdr:spPr>
        <a:xfrm rot="16200000" flipH="1">
          <a:off x="9080411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118</xdr:row>
      <xdr:rowOff>154781</xdr:rowOff>
    </xdr:from>
    <xdr:to>
      <xdr:col>20</xdr:col>
      <xdr:colOff>16757</xdr:colOff>
      <xdr:row>118</xdr:row>
      <xdr:rowOff>165365</xdr:rowOff>
    </xdr:to>
    <xdr:cxnSp macro="">
      <xdr:nvCxnSpPr>
        <xdr:cNvPr id="696" name="Curved Connector 522">
          <a:extLst>
            <a:ext uri="{FF2B5EF4-FFF2-40B4-BE49-F238E27FC236}">
              <a16:creationId xmlns:a16="http://schemas.microsoft.com/office/drawing/2014/main" id="{FDFBB4D7-6E2B-4896-90D1-C86D37B98EED}"/>
            </a:ext>
          </a:extLst>
        </xdr:cNvPr>
        <xdr:cNvCxnSpPr/>
      </xdr:nvCxnSpPr>
      <xdr:spPr>
        <a:xfrm rot="16200000" flipH="1">
          <a:off x="11280687" y="18573044"/>
          <a:ext cx="10584" cy="18455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250031</xdr:colOff>
      <xdr:row>118</xdr:row>
      <xdr:rowOff>154781</xdr:rowOff>
    </xdr:from>
    <xdr:to>
      <xdr:col>22</xdr:col>
      <xdr:colOff>231069</xdr:colOff>
      <xdr:row>118</xdr:row>
      <xdr:rowOff>165365</xdr:rowOff>
    </xdr:to>
    <xdr:cxnSp macro="">
      <xdr:nvCxnSpPr>
        <xdr:cNvPr id="697" name="Curved Connector 522">
          <a:extLst>
            <a:ext uri="{FF2B5EF4-FFF2-40B4-BE49-F238E27FC236}">
              <a16:creationId xmlns:a16="http://schemas.microsoft.com/office/drawing/2014/main" id="{2C5C7BB8-8DCE-449C-AC60-AECC26C01FF0}"/>
            </a:ext>
          </a:extLst>
        </xdr:cNvPr>
        <xdr:cNvCxnSpPr/>
      </xdr:nvCxnSpPr>
      <xdr:spPr>
        <a:xfrm rot="16200000" flipH="1">
          <a:off x="12732058" y="18590904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11906</xdr:colOff>
      <xdr:row>118</xdr:row>
      <xdr:rowOff>154782</xdr:rowOff>
    </xdr:from>
    <xdr:to>
      <xdr:col>26</xdr:col>
      <xdr:colOff>4850</xdr:colOff>
      <xdr:row>118</xdr:row>
      <xdr:rowOff>165366</xdr:rowOff>
    </xdr:to>
    <xdr:cxnSp macro="">
      <xdr:nvCxnSpPr>
        <xdr:cNvPr id="698" name="Curved Connector 522">
          <a:extLst>
            <a:ext uri="{FF2B5EF4-FFF2-40B4-BE49-F238E27FC236}">
              <a16:creationId xmlns:a16="http://schemas.microsoft.com/office/drawing/2014/main" id="{803E651F-3428-469B-BFDC-A9D2CF5DC42E}"/>
            </a:ext>
          </a:extLst>
        </xdr:cNvPr>
        <xdr:cNvCxnSpPr/>
      </xdr:nvCxnSpPr>
      <xdr:spPr>
        <a:xfrm rot="16200000" flipH="1">
          <a:off x="14938286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23812</xdr:colOff>
      <xdr:row>118</xdr:row>
      <xdr:rowOff>142875</xdr:rowOff>
    </xdr:from>
    <xdr:to>
      <xdr:col>28</xdr:col>
      <xdr:colOff>254881</xdr:colOff>
      <xdr:row>118</xdr:row>
      <xdr:rowOff>153459</xdr:rowOff>
    </xdr:to>
    <xdr:cxnSp macro="">
      <xdr:nvCxnSpPr>
        <xdr:cNvPr id="699" name="Curved Connector 522">
          <a:extLst>
            <a:ext uri="{FF2B5EF4-FFF2-40B4-BE49-F238E27FC236}">
              <a16:creationId xmlns:a16="http://schemas.microsoft.com/office/drawing/2014/main" id="{66DC3A3B-9873-4082-B791-E71F38AC0186}"/>
            </a:ext>
          </a:extLst>
        </xdr:cNvPr>
        <xdr:cNvCxnSpPr/>
      </xdr:nvCxnSpPr>
      <xdr:spPr>
        <a:xfrm rot="16200000" flipH="1">
          <a:off x="16593255" y="18758782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83346</xdr:colOff>
      <xdr:row>11</xdr:row>
      <xdr:rowOff>1</xdr:rowOff>
    </xdr:from>
    <xdr:to>
      <xdr:col>10</xdr:col>
      <xdr:colOff>165219</xdr:colOff>
      <xdr:row>11</xdr:row>
      <xdr:rowOff>10585</xdr:rowOff>
    </xdr:to>
    <xdr:cxnSp macro="">
      <xdr:nvCxnSpPr>
        <xdr:cNvPr id="700" name="Curved Connector 523">
          <a:extLst>
            <a:ext uri="{FF2B5EF4-FFF2-40B4-BE49-F238E27FC236}">
              <a16:creationId xmlns:a16="http://schemas.microsoft.com/office/drawing/2014/main" id="{90E945F8-0108-4835-AE1F-EED13AB062C8}"/>
            </a:ext>
          </a:extLst>
        </xdr:cNvPr>
        <xdr:cNvCxnSpPr/>
      </xdr:nvCxnSpPr>
      <xdr:spPr>
        <a:xfrm rot="16200000" flipH="1">
          <a:off x="5605391" y="1196256"/>
          <a:ext cx="10584" cy="130107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71439</xdr:colOff>
      <xdr:row>10</xdr:row>
      <xdr:rowOff>178595</xdr:rowOff>
    </xdr:from>
    <xdr:to>
      <xdr:col>13</xdr:col>
      <xdr:colOff>153313</xdr:colOff>
      <xdr:row>10</xdr:row>
      <xdr:rowOff>189179</xdr:rowOff>
    </xdr:to>
    <xdr:cxnSp macro="">
      <xdr:nvCxnSpPr>
        <xdr:cNvPr id="701" name="Curved Connector 523">
          <a:extLst>
            <a:ext uri="{FF2B5EF4-FFF2-40B4-BE49-F238E27FC236}">
              <a16:creationId xmlns:a16="http://schemas.microsoft.com/office/drawing/2014/main" id="{E72C2383-0C02-4BCD-B1CC-168851081FC9}"/>
            </a:ext>
          </a:extLst>
        </xdr:cNvPr>
        <xdr:cNvCxnSpPr/>
      </xdr:nvCxnSpPr>
      <xdr:spPr>
        <a:xfrm rot="16200000" flipH="1">
          <a:off x="7425459" y="1187525"/>
          <a:ext cx="423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47625</xdr:colOff>
      <xdr:row>10</xdr:row>
      <xdr:rowOff>178594</xdr:rowOff>
    </xdr:from>
    <xdr:to>
      <xdr:col>16</xdr:col>
      <xdr:colOff>165218</xdr:colOff>
      <xdr:row>10</xdr:row>
      <xdr:rowOff>189178</xdr:rowOff>
    </xdr:to>
    <xdr:cxnSp macro="">
      <xdr:nvCxnSpPr>
        <xdr:cNvPr id="702" name="Curved Connector 523">
          <a:extLst>
            <a:ext uri="{FF2B5EF4-FFF2-40B4-BE49-F238E27FC236}">
              <a16:creationId xmlns:a16="http://schemas.microsoft.com/office/drawing/2014/main" id="{27AFEE24-964D-400A-9ECD-DCC72D262DF5}"/>
            </a:ext>
          </a:extLst>
        </xdr:cNvPr>
        <xdr:cNvCxnSpPr/>
      </xdr:nvCxnSpPr>
      <xdr:spPr>
        <a:xfrm rot="16200000" flipH="1">
          <a:off x="9248305" y="1169664"/>
          <a:ext cx="423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59532</xdr:colOff>
      <xdr:row>10</xdr:row>
      <xdr:rowOff>154783</xdr:rowOff>
    </xdr:from>
    <xdr:to>
      <xdr:col>19</xdr:col>
      <xdr:colOff>200937</xdr:colOff>
      <xdr:row>10</xdr:row>
      <xdr:rowOff>165367</xdr:rowOff>
    </xdr:to>
    <xdr:cxnSp macro="">
      <xdr:nvCxnSpPr>
        <xdr:cNvPr id="703" name="Curved Connector 523">
          <a:extLst>
            <a:ext uri="{FF2B5EF4-FFF2-40B4-BE49-F238E27FC236}">
              <a16:creationId xmlns:a16="http://schemas.microsoft.com/office/drawing/2014/main" id="{78E61DBB-F46F-4C64-AE12-91C25810B5C8}"/>
            </a:ext>
          </a:extLst>
        </xdr:cNvPr>
        <xdr:cNvCxnSpPr/>
      </xdr:nvCxnSpPr>
      <xdr:spPr>
        <a:xfrm rot="16200000" flipH="1">
          <a:off x="11097743" y="1137122"/>
          <a:ext cx="10584" cy="13606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95251</xdr:colOff>
      <xdr:row>10</xdr:row>
      <xdr:rowOff>166689</xdr:rowOff>
    </xdr:from>
    <xdr:to>
      <xdr:col>22</xdr:col>
      <xdr:colOff>200937</xdr:colOff>
      <xdr:row>10</xdr:row>
      <xdr:rowOff>177273</xdr:rowOff>
    </xdr:to>
    <xdr:cxnSp macro="">
      <xdr:nvCxnSpPr>
        <xdr:cNvPr id="704" name="Curved Connector 523">
          <a:extLst>
            <a:ext uri="{FF2B5EF4-FFF2-40B4-BE49-F238E27FC236}">
              <a16:creationId xmlns:a16="http://schemas.microsoft.com/office/drawing/2014/main" id="{BD5801A7-0EFF-42AE-A682-542A02A57BD4}"/>
            </a:ext>
          </a:extLst>
        </xdr:cNvPr>
        <xdr:cNvCxnSpPr/>
      </xdr:nvCxnSpPr>
      <xdr:spPr>
        <a:xfrm rot="16200000" flipH="1">
          <a:off x="12944402" y="1166888"/>
          <a:ext cx="10584" cy="132488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166688</xdr:colOff>
      <xdr:row>2</xdr:row>
      <xdr:rowOff>138906</xdr:rowOff>
    </xdr:from>
    <xdr:to>
      <xdr:col>38</xdr:col>
      <xdr:colOff>92469</xdr:colOff>
      <xdr:row>3</xdr:row>
      <xdr:rowOff>138906</xdr:rowOff>
    </xdr:to>
    <xdr:sp macro="" textlink="">
      <xdr:nvSpPr>
        <xdr:cNvPr id="705" name="5-Point Star 520">
          <a:extLst>
            <a:ext uri="{FF2B5EF4-FFF2-40B4-BE49-F238E27FC236}">
              <a16:creationId xmlns:a16="http://schemas.microsoft.com/office/drawing/2014/main" id="{B348C62E-DAD2-4E3E-BB73-4E1E0940EEBE}"/>
            </a:ext>
          </a:extLst>
        </xdr:cNvPr>
        <xdr:cNvSpPr/>
      </xdr:nvSpPr>
      <xdr:spPr>
        <a:xfrm flipH="1">
          <a:off x="22721888" y="507206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23813</xdr:colOff>
      <xdr:row>82</xdr:row>
      <xdr:rowOff>166687</xdr:rowOff>
    </xdr:from>
    <xdr:to>
      <xdr:col>10</xdr:col>
      <xdr:colOff>242975</xdr:colOff>
      <xdr:row>82</xdr:row>
      <xdr:rowOff>177271</xdr:rowOff>
    </xdr:to>
    <xdr:cxnSp macro="">
      <xdr:nvCxnSpPr>
        <xdr:cNvPr id="706" name="Curved Connector 522">
          <a:extLst>
            <a:ext uri="{FF2B5EF4-FFF2-40B4-BE49-F238E27FC236}">
              <a16:creationId xmlns:a16="http://schemas.microsoft.com/office/drawing/2014/main" id="{9F7F33F5-D5BC-4D14-9D53-5F0B1E015339}"/>
            </a:ext>
          </a:extLst>
        </xdr:cNvPr>
        <xdr:cNvCxnSpPr/>
      </xdr:nvCxnSpPr>
      <xdr:spPr>
        <a:xfrm rot="16200000" flipH="1">
          <a:off x="5614502" y="12895748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250031</xdr:colOff>
      <xdr:row>82</xdr:row>
      <xdr:rowOff>166688</xdr:rowOff>
    </xdr:from>
    <xdr:to>
      <xdr:col>13</xdr:col>
      <xdr:colOff>207257</xdr:colOff>
      <xdr:row>82</xdr:row>
      <xdr:rowOff>177272</xdr:rowOff>
    </xdr:to>
    <xdr:cxnSp macro="">
      <xdr:nvCxnSpPr>
        <xdr:cNvPr id="707" name="Curved Connector 522">
          <a:extLst>
            <a:ext uri="{FF2B5EF4-FFF2-40B4-BE49-F238E27FC236}">
              <a16:creationId xmlns:a16="http://schemas.microsoft.com/office/drawing/2014/main" id="{B7047BA5-8267-4A4B-B70A-25D152A5344F}"/>
            </a:ext>
          </a:extLst>
        </xdr:cNvPr>
        <xdr:cNvCxnSpPr/>
      </xdr:nvCxnSpPr>
      <xdr:spPr>
        <a:xfrm rot="16200000" flipH="1">
          <a:off x="7233752" y="12721917"/>
          <a:ext cx="10584" cy="178602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82</xdr:row>
      <xdr:rowOff>154781</xdr:rowOff>
    </xdr:from>
    <xdr:to>
      <xdr:col>16</xdr:col>
      <xdr:colOff>242975</xdr:colOff>
      <xdr:row>82</xdr:row>
      <xdr:rowOff>165365</xdr:rowOff>
    </xdr:to>
    <xdr:cxnSp macro="">
      <xdr:nvCxnSpPr>
        <xdr:cNvPr id="708" name="Curved Connector 522">
          <a:extLst>
            <a:ext uri="{FF2B5EF4-FFF2-40B4-BE49-F238E27FC236}">
              <a16:creationId xmlns:a16="http://schemas.microsoft.com/office/drawing/2014/main" id="{1FFED748-D4FE-4273-B374-AC71D37D6C95}"/>
            </a:ext>
          </a:extLst>
        </xdr:cNvPr>
        <xdr:cNvCxnSpPr/>
      </xdr:nvCxnSpPr>
      <xdr:spPr>
        <a:xfrm rot="16200000" flipH="1">
          <a:off x="9080411" y="12692151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238125</xdr:colOff>
      <xdr:row>82</xdr:row>
      <xdr:rowOff>166687</xdr:rowOff>
    </xdr:from>
    <xdr:to>
      <xdr:col>19</xdr:col>
      <xdr:colOff>254881</xdr:colOff>
      <xdr:row>82</xdr:row>
      <xdr:rowOff>177271</xdr:rowOff>
    </xdr:to>
    <xdr:cxnSp macro="">
      <xdr:nvCxnSpPr>
        <xdr:cNvPr id="709" name="Curved Connector 522">
          <a:extLst>
            <a:ext uri="{FF2B5EF4-FFF2-40B4-BE49-F238E27FC236}">
              <a16:creationId xmlns:a16="http://schemas.microsoft.com/office/drawing/2014/main" id="{33C20825-C017-4E0F-9F05-70C0A07E738B}"/>
            </a:ext>
          </a:extLst>
        </xdr:cNvPr>
        <xdr:cNvCxnSpPr/>
      </xdr:nvCxnSpPr>
      <xdr:spPr>
        <a:xfrm rot="16200000" flipH="1">
          <a:off x="10909211" y="12692151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250032</xdr:colOff>
      <xdr:row>82</xdr:row>
      <xdr:rowOff>166688</xdr:rowOff>
    </xdr:from>
    <xdr:to>
      <xdr:col>22</xdr:col>
      <xdr:colOff>231070</xdr:colOff>
      <xdr:row>82</xdr:row>
      <xdr:rowOff>177272</xdr:rowOff>
    </xdr:to>
    <xdr:cxnSp macro="">
      <xdr:nvCxnSpPr>
        <xdr:cNvPr id="710" name="Curved Connector 522">
          <a:extLst>
            <a:ext uri="{FF2B5EF4-FFF2-40B4-BE49-F238E27FC236}">
              <a16:creationId xmlns:a16="http://schemas.microsoft.com/office/drawing/2014/main" id="{A4B8C2D3-5729-4F57-9046-0DB861264BD8}"/>
            </a:ext>
          </a:extLst>
        </xdr:cNvPr>
        <xdr:cNvCxnSpPr/>
      </xdr:nvCxnSpPr>
      <xdr:spPr>
        <a:xfrm rot="16200000" flipH="1">
          <a:off x="12732059" y="12710011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82</xdr:row>
      <xdr:rowOff>142875</xdr:rowOff>
    </xdr:from>
    <xdr:to>
      <xdr:col>25</xdr:col>
      <xdr:colOff>254882</xdr:colOff>
      <xdr:row>82</xdr:row>
      <xdr:rowOff>153459</xdr:rowOff>
    </xdr:to>
    <xdr:cxnSp macro="">
      <xdr:nvCxnSpPr>
        <xdr:cNvPr id="711" name="Curved Connector 522">
          <a:extLst>
            <a:ext uri="{FF2B5EF4-FFF2-40B4-BE49-F238E27FC236}">
              <a16:creationId xmlns:a16="http://schemas.microsoft.com/office/drawing/2014/main" id="{0DE262A0-39A8-4638-B4A3-B9CCEFEDD0F5}"/>
            </a:ext>
          </a:extLst>
        </xdr:cNvPr>
        <xdr:cNvCxnSpPr/>
      </xdr:nvCxnSpPr>
      <xdr:spPr>
        <a:xfrm rot="16200000" flipH="1">
          <a:off x="14752549" y="12854076"/>
          <a:ext cx="10584" cy="14740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-1</xdr:colOff>
      <xdr:row>82</xdr:row>
      <xdr:rowOff>166687</xdr:rowOff>
    </xdr:from>
    <xdr:to>
      <xdr:col>28</xdr:col>
      <xdr:colOff>231068</xdr:colOff>
      <xdr:row>82</xdr:row>
      <xdr:rowOff>177271</xdr:rowOff>
    </xdr:to>
    <xdr:cxnSp macro="">
      <xdr:nvCxnSpPr>
        <xdr:cNvPr id="712" name="Curved Connector 522">
          <a:extLst>
            <a:ext uri="{FF2B5EF4-FFF2-40B4-BE49-F238E27FC236}">
              <a16:creationId xmlns:a16="http://schemas.microsoft.com/office/drawing/2014/main" id="{F63BF489-E22D-4EF0-A7CE-453CBD051F74}"/>
            </a:ext>
          </a:extLst>
        </xdr:cNvPr>
        <xdr:cNvCxnSpPr/>
      </xdr:nvCxnSpPr>
      <xdr:spPr>
        <a:xfrm rot="16200000" flipH="1">
          <a:off x="16569442" y="12889794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35718</xdr:colOff>
      <xdr:row>83</xdr:row>
      <xdr:rowOff>0</xdr:rowOff>
    </xdr:from>
    <xdr:to>
      <xdr:col>31</xdr:col>
      <xdr:colOff>231068</xdr:colOff>
      <xdr:row>83</xdr:row>
      <xdr:rowOff>10584</xdr:rowOff>
    </xdr:to>
    <xdr:cxnSp macro="">
      <xdr:nvCxnSpPr>
        <xdr:cNvPr id="713" name="Curved Connector 522">
          <a:extLst>
            <a:ext uri="{FF2B5EF4-FFF2-40B4-BE49-F238E27FC236}">
              <a16:creationId xmlns:a16="http://schemas.microsoft.com/office/drawing/2014/main" id="{A5A2FC0C-7B48-46A7-A5A6-E1B73D354907}"/>
            </a:ext>
          </a:extLst>
        </xdr:cNvPr>
        <xdr:cNvCxnSpPr/>
      </xdr:nvCxnSpPr>
      <xdr:spPr>
        <a:xfrm rot="16200000" flipH="1">
          <a:off x="18416101" y="129251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35719</xdr:colOff>
      <xdr:row>82</xdr:row>
      <xdr:rowOff>154782</xdr:rowOff>
    </xdr:from>
    <xdr:to>
      <xdr:col>34</xdr:col>
      <xdr:colOff>219163</xdr:colOff>
      <xdr:row>82</xdr:row>
      <xdr:rowOff>165366</xdr:rowOff>
    </xdr:to>
    <xdr:cxnSp macro="">
      <xdr:nvCxnSpPr>
        <xdr:cNvPr id="714" name="Curved Connector 522">
          <a:extLst>
            <a:ext uri="{FF2B5EF4-FFF2-40B4-BE49-F238E27FC236}">
              <a16:creationId xmlns:a16="http://schemas.microsoft.com/office/drawing/2014/main" id="{0CD2A193-C474-4FCC-AAAC-BC606C7F23FF}"/>
            </a:ext>
          </a:extLst>
        </xdr:cNvPr>
        <xdr:cNvCxnSpPr/>
      </xdr:nvCxnSpPr>
      <xdr:spPr>
        <a:xfrm rot="16200000" flipH="1">
          <a:off x="20238949" y="12901702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226219</xdr:colOff>
      <xdr:row>82</xdr:row>
      <xdr:rowOff>154782</xdr:rowOff>
    </xdr:from>
    <xdr:to>
      <xdr:col>37</xdr:col>
      <xdr:colOff>242975</xdr:colOff>
      <xdr:row>82</xdr:row>
      <xdr:rowOff>165366</xdr:rowOff>
    </xdr:to>
    <xdr:cxnSp macro="">
      <xdr:nvCxnSpPr>
        <xdr:cNvPr id="715" name="Curved Connector 522">
          <a:extLst>
            <a:ext uri="{FF2B5EF4-FFF2-40B4-BE49-F238E27FC236}">
              <a16:creationId xmlns:a16="http://schemas.microsoft.com/office/drawing/2014/main" id="{02979E6D-E9B7-4E76-A4A2-BCD8C8E2CA4E}"/>
            </a:ext>
          </a:extLst>
        </xdr:cNvPr>
        <xdr:cNvCxnSpPr/>
      </xdr:nvCxnSpPr>
      <xdr:spPr>
        <a:xfrm rot="16200000" flipH="1">
          <a:off x="21870105" y="12680246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23813</xdr:colOff>
      <xdr:row>82</xdr:row>
      <xdr:rowOff>166688</xdr:rowOff>
    </xdr:from>
    <xdr:to>
      <xdr:col>40</xdr:col>
      <xdr:colOff>219163</xdr:colOff>
      <xdr:row>82</xdr:row>
      <xdr:rowOff>177272</xdr:rowOff>
    </xdr:to>
    <xdr:cxnSp macro="">
      <xdr:nvCxnSpPr>
        <xdr:cNvPr id="716" name="Curved Connector 522">
          <a:extLst>
            <a:ext uri="{FF2B5EF4-FFF2-40B4-BE49-F238E27FC236}">
              <a16:creationId xmlns:a16="http://schemas.microsoft.com/office/drawing/2014/main" id="{2C5E0EA0-1141-42C3-878E-BD80F9CAD195}"/>
            </a:ext>
          </a:extLst>
        </xdr:cNvPr>
        <xdr:cNvCxnSpPr/>
      </xdr:nvCxnSpPr>
      <xdr:spPr>
        <a:xfrm rot="16200000" flipH="1">
          <a:off x="23890596" y="12907655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59531</xdr:colOff>
      <xdr:row>10</xdr:row>
      <xdr:rowOff>166689</xdr:rowOff>
    </xdr:from>
    <xdr:to>
      <xdr:col>25</xdr:col>
      <xdr:colOff>177124</xdr:colOff>
      <xdr:row>10</xdr:row>
      <xdr:rowOff>177273</xdr:rowOff>
    </xdr:to>
    <xdr:cxnSp macro="">
      <xdr:nvCxnSpPr>
        <xdr:cNvPr id="717" name="Curved Connector 523">
          <a:extLst>
            <a:ext uri="{FF2B5EF4-FFF2-40B4-BE49-F238E27FC236}">
              <a16:creationId xmlns:a16="http://schemas.microsoft.com/office/drawing/2014/main" id="{3A5D6C8C-7A3C-403C-ABDA-19E5FC20F815}"/>
            </a:ext>
          </a:extLst>
        </xdr:cNvPr>
        <xdr:cNvCxnSpPr/>
      </xdr:nvCxnSpPr>
      <xdr:spPr>
        <a:xfrm rot="16200000" flipH="1">
          <a:off x="14743436" y="1160934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129647</xdr:colOff>
      <xdr:row>2</xdr:row>
      <xdr:rowOff>162718</xdr:rowOff>
    </xdr:from>
    <xdr:to>
      <xdr:col>41</xdr:col>
      <xdr:colOff>55427</xdr:colOff>
      <xdr:row>3</xdr:row>
      <xdr:rowOff>162718</xdr:rowOff>
    </xdr:to>
    <xdr:sp macro="" textlink="">
      <xdr:nvSpPr>
        <xdr:cNvPr id="718" name="5-Point Star 520">
          <a:extLst>
            <a:ext uri="{FF2B5EF4-FFF2-40B4-BE49-F238E27FC236}">
              <a16:creationId xmlns:a16="http://schemas.microsoft.com/office/drawing/2014/main" id="{3EA78557-77E0-42F6-B226-549477C7FAA7}"/>
            </a:ext>
          </a:extLst>
        </xdr:cNvPr>
        <xdr:cNvSpPr/>
      </xdr:nvSpPr>
      <xdr:spPr>
        <a:xfrm flipH="1">
          <a:off x="24513647" y="53101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20</xdr:row>
      <xdr:rowOff>79943</xdr:rowOff>
    </xdr:from>
    <xdr:to>
      <xdr:col>5</xdr:col>
      <xdr:colOff>70511</xdr:colOff>
      <xdr:row>21</xdr:row>
      <xdr:rowOff>79943</xdr:rowOff>
    </xdr:to>
    <xdr:sp macro="" textlink="">
      <xdr:nvSpPr>
        <xdr:cNvPr id="719" name="5-Point Star 520">
          <a:extLst>
            <a:ext uri="{FF2B5EF4-FFF2-40B4-BE49-F238E27FC236}">
              <a16:creationId xmlns:a16="http://schemas.microsoft.com/office/drawing/2014/main" id="{F36531F0-45C2-4A6D-B5C4-2EB50DEF9AFC}"/>
            </a:ext>
          </a:extLst>
        </xdr:cNvPr>
        <xdr:cNvSpPr/>
      </xdr:nvSpPr>
      <xdr:spPr>
        <a:xfrm flipH="1">
          <a:off x="2583131" y="33946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187252</xdr:colOff>
      <xdr:row>20</xdr:row>
      <xdr:rowOff>115661</xdr:rowOff>
    </xdr:from>
    <xdr:to>
      <xdr:col>8</xdr:col>
      <xdr:colOff>113033</xdr:colOff>
      <xdr:row>21</xdr:row>
      <xdr:rowOff>115661</xdr:rowOff>
    </xdr:to>
    <xdr:sp macro="" textlink="">
      <xdr:nvSpPr>
        <xdr:cNvPr id="720" name="5-Point Star 520">
          <a:extLst>
            <a:ext uri="{FF2B5EF4-FFF2-40B4-BE49-F238E27FC236}">
              <a16:creationId xmlns:a16="http://schemas.microsoft.com/office/drawing/2014/main" id="{FF059FC2-B314-444A-9918-D4D1E50116CF}"/>
            </a:ext>
          </a:extLst>
        </xdr:cNvPr>
        <xdr:cNvSpPr/>
      </xdr:nvSpPr>
      <xdr:spPr>
        <a:xfrm flipH="1">
          <a:off x="4454452" y="343036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168078</xdr:colOff>
      <xdr:row>20</xdr:row>
      <xdr:rowOff>139473</xdr:rowOff>
    </xdr:from>
    <xdr:to>
      <xdr:col>11</xdr:col>
      <xdr:colOff>93859</xdr:colOff>
      <xdr:row>21</xdr:row>
      <xdr:rowOff>139473</xdr:rowOff>
    </xdr:to>
    <xdr:sp macro="" textlink="">
      <xdr:nvSpPr>
        <xdr:cNvPr id="721" name="5-Point Star 520">
          <a:extLst>
            <a:ext uri="{FF2B5EF4-FFF2-40B4-BE49-F238E27FC236}">
              <a16:creationId xmlns:a16="http://schemas.microsoft.com/office/drawing/2014/main" id="{D5CA2E24-111A-4C8B-BA6D-5025B983F45A}"/>
            </a:ext>
          </a:extLst>
        </xdr:cNvPr>
        <xdr:cNvSpPr/>
      </xdr:nvSpPr>
      <xdr:spPr>
        <a:xfrm flipH="1">
          <a:off x="6264078" y="345417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164368</xdr:colOff>
      <xdr:row>20</xdr:row>
      <xdr:rowOff>127568</xdr:rowOff>
    </xdr:from>
    <xdr:to>
      <xdr:col>14</xdr:col>
      <xdr:colOff>90148</xdr:colOff>
      <xdr:row>21</xdr:row>
      <xdr:rowOff>127568</xdr:rowOff>
    </xdr:to>
    <xdr:sp macro="" textlink="">
      <xdr:nvSpPr>
        <xdr:cNvPr id="722" name="5-Point Star 520">
          <a:extLst>
            <a:ext uri="{FF2B5EF4-FFF2-40B4-BE49-F238E27FC236}">
              <a16:creationId xmlns:a16="http://schemas.microsoft.com/office/drawing/2014/main" id="{C49F33CD-CA6E-4FA8-BB80-32B690E926F4}"/>
            </a:ext>
          </a:extLst>
        </xdr:cNvPr>
        <xdr:cNvSpPr/>
      </xdr:nvSpPr>
      <xdr:spPr>
        <a:xfrm flipH="1">
          <a:off x="8089168" y="3442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164832</xdr:colOff>
      <xdr:row>20</xdr:row>
      <xdr:rowOff>115661</xdr:rowOff>
    </xdr:from>
    <xdr:to>
      <xdr:col>17</xdr:col>
      <xdr:colOff>90612</xdr:colOff>
      <xdr:row>21</xdr:row>
      <xdr:rowOff>115661</xdr:rowOff>
    </xdr:to>
    <xdr:sp macro="" textlink="">
      <xdr:nvSpPr>
        <xdr:cNvPr id="723" name="5-Point Star 520">
          <a:extLst>
            <a:ext uri="{FF2B5EF4-FFF2-40B4-BE49-F238E27FC236}">
              <a16:creationId xmlns:a16="http://schemas.microsoft.com/office/drawing/2014/main" id="{84DE46EA-437E-4FDF-8971-E0FCD4B42F59}"/>
            </a:ext>
          </a:extLst>
        </xdr:cNvPr>
        <xdr:cNvSpPr/>
      </xdr:nvSpPr>
      <xdr:spPr>
        <a:xfrm flipH="1">
          <a:off x="9918432" y="34303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3</xdr:row>
      <xdr:rowOff>166687</xdr:rowOff>
    </xdr:from>
    <xdr:to>
      <xdr:col>42</xdr:col>
      <xdr:colOff>190500</xdr:colOff>
      <xdr:row>6</xdr:row>
      <xdr:rowOff>2095</xdr:rowOff>
    </xdr:to>
    <xdr:sp macro="" textlink="">
      <xdr:nvSpPr>
        <xdr:cNvPr id="724" name="Arrow: Up 723">
          <a:extLst>
            <a:ext uri="{FF2B5EF4-FFF2-40B4-BE49-F238E27FC236}">
              <a16:creationId xmlns:a16="http://schemas.microsoft.com/office/drawing/2014/main" id="{231EEF3E-A289-4253-9537-C5E116D7C829}"/>
            </a:ext>
          </a:extLst>
        </xdr:cNvPr>
        <xdr:cNvSpPr/>
      </xdr:nvSpPr>
      <xdr:spPr>
        <a:xfrm>
          <a:off x="2565082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226219</xdr:colOff>
      <xdr:row>3</xdr:row>
      <xdr:rowOff>166687</xdr:rowOff>
    </xdr:from>
    <xdr:to>
      <xdr:col>42</xdr:col>
      <xdr:colOff>369094</xdr:colOff>
      <xdr:row>6</xdr:row>
      <xdr:rowOff>2095</xdr:rowOff>
    </xdr:to>
    <xdr:sp macro="" textlink="">
      <xdr:nvSpPr>
        <xdr:cNvPr id="725" name="Arrow: Up 724">
          <a:extLst>
            <a:ext uri="{FF2B5EF4-FFF2-40B4-BE49-F238E27FC236}">
              <a16:creationId xmlns:a16="http://schemas.microsoft.com/office/drawing/2014/main" id="{32C3F265-B147-4D23-B5B0-60919625D24E}"/>
            </a:ext>
          </a:extLst>
        </xdr:cNvPr>
        <xdr:cNvSpPr/>
      </xdr:nvSpPr>
      <xdr:spPr>
        <a:xfrm>
          <a:off x="25829419" y="719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48</xdr:row>
      <xdr:rowOff>166688</xdr:rowOff>
    </xdr:from>
    <xdr:to>
      <xdr:col>42</xdr:col>
      <xdr:colOff>190500</xdr:colOff>
      <xdr:row>51</xdr:row>
      <xdr:rowOff>2096</xdr:rowOff>
    </xdr:to>
    <xdr:sp macro="" textlink="">
      <xdr:nvSpPr>
        <xdr:cNvPr id="726" name="Arrow: Up 725">
          <a:extLst>
            <a:ext uri="{FF2B5EF4-FFF2-40B4-BE49-F238E27FC236}">
              <a16:creationId xmlns:a16="http://schemas.microsoft.com/office/drawing/2014/main" id="{13AB8BEA-8AAF-49F9-91BB-9069DE53F030}"/>
            </a:ext>
          </a:extLst>
        </xdr:cNvPr>
        <xdr:cNvSpPr/>
      </xdr:nvSpPr>
      <xdr:spPr>
        <a:xfrm>
          <a:off x="25650825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226218</xdr:colOff>
      <xdr:row>48</xdr:row>
      <xdr:rowOff>166687</xdr:rowOff>
    </xdr:from>
    <xdr:to>
      <xdr:col>42</xdr:col>
      <xdr:colOff>369093</xdr:colOff>
      <xdr:row>51</xdr:row>
      <xdr:rowOff>2095</xdr:rowOff>
    </xdr:to>
    <xdr:sp macro="" textlink="">
      <xdr:nvSpPr>
        <xdr:cNvPr id="727" name="Arrow: Up 726">
          <a:extLst>
            <a:ext uri="{FF2B5EF4-FFF2-40B4-BE49-F238E27FC236}">
              <a16:creationId xmlns:a16="http://schemas.microsoft.com/office/drawing/2014/main" id="{3436DBE1-6372-4F9E-9DA0-09C171A57996}"/>
            </a:ext>
          </a:extLst>
        </xdr:cNvPr>
        <xdr:cNvSpPr/>
      </xdr:nvSpPr>
      <xdr:spPr>
        <a:xfrm>
          <a:off x="25829418" y="8085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142875</xdr:colOff>
      <xdr:row>66</xdr:row>
      <xdr:rowOff>154781</xdr:rowOff>
    </xdr:from>
    <xdr:to>
      <xdr:col>42</xdr:col>
      <xdr:colOff>285750</xdr:colOff>
      <xdr:row>68</xdr:row>
      <xdr:rowOff>180689</xdr:rowOff>
    </xdr:to>
    <xdr:sp macro="" textlink="">
      <xdr:nvSpPr>
        <xdr:cNvPr id="728" name="Arrow: Up 727">
          <a:extLst>
            <a:ext uri="{FF2B5EF4-FFF2-40B4-BE49-F238E27FC236}">
              <a16:creationId xmlns:a16="http://schemas.microsoft.com/office/drawing/2014/main" id="{EB511DD2-65D5-428A-8F7E-924B93288CD1}"/>
            </a:ext>
          </a:extLst>
        </xdr:cNvPr>
        <xdr:cNvSpPr/>
      </xdr:nvSpPr>
      <xdr:spPr>
        <a:xfrm>
          <a:off x="25746075" y="11019631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130969</xdr:colOff>
      <xdr:row>75</xdr:row>
      <xdr:rowOff>166688</xdr:rowOff>
    </xdr:from>
    <xdr:to>
      <xdr:col>42</xdr:col>
      <xdr:colOff>273844</xdr:colOff>
      <xdr:row>78</xdr:row>
      <xdr:rowOff>2096</xdr:rowOff>
    </xdr:to>
    <xdr:sp macro="" textlink="">
      <xdr:nvSpPr>
        <xdr:cNvPr id="729" name="Arrow: Up 728">
          <a:extLst>
            <a:ext uri="{FF2B5EF4-FFF2-40B4-BE49-F238E27FC236}">
              <a16:creationId xmlns:a16="http://schemas.microsoft.com/office/drawing/2014/main" id="{6C1ADF57-9EA5-41AA-8D7B-AA14D0A41A99}"/>
            </a:ext>
          </a:extLst>
        </xdr:cNvPr>
        <xdr:cNvSpPr/>
      </xdr:nvSpPr>
      <xdr:spPr>
        <a:xfrm>
          <a:off x="257341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154781</xdr:colOff>
      <xdr:row>93</xdr:row>
      <xdr:rowOff>166687</xdr:rowOff>
    </xdr:from>
    <xdr:to>
      <xdr:col>42</xdr:col>
      <xdr:colOff>297656</xdr:colOff>
      <xdr:row>96</xdr:row>
      <xdr:rowOff>2095</xdr:rowOff>
    </xdr:to>
    <xdr:sp macro="" textlink="">
      <xdr:nvSpPr>
        <xdr:cNvPr id="730" name="Arrow: Up 729">
          <a:extLst>
            <a:ext uri="{FF2B5EF4-FFF2-40B4-BE49-F238E27FC236}">
              <a16:creationId xmlns:a16="http://schemas.microsoft.com/office/drawing/2014/main" id="{88690C43-15CA-422E-A96F-FCA6AF16DF41}"/>
            </a:ext>
          </a:extLst>
        </xdr:cNvPr>
        <xdr:cNvSpPr/>
      </xdr:nvSpPr>
      <xdr:spPr>
        <a:xfrm>
          <a:off x="25757981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119063</xdr:colOff>
      <xdr:row>111</xdr:row>
      <xdr:rowOff>166687</xdr:rowOff>
    </xdr:from>
    <xdr:to>
      <xdr:col>42</xdr:col>
      <xdr:colOff>261938</xdr:colOff>
      <xdr:row>114</xdr:row>
      <xdr:rowOff>2095</xdr:rowOff>
    </xdr:to>
    <xdr:sp macro="" textlink="">
      <xdr:nvSpPr>
        <xdr:cNvPr id="731" name="Arrow: Up 730">
          <a:extLst>
            <a:ext uri="{FF2B5EF4-FFF2-40B4-BE49-F238E27FC236}">
              <a16:creationId xmlns:a16="http://schemas.microsoft.com/office/drawing/2014/main" id="{1D2B6426-24B9-4F87-9A09-66E35719F5DE}"/>
            </a:ext>
          </a:extLst>
        </xdr:cNvPr>
        <xdr:cNvSpPr/>
      </xdr:nvSpPr>
      <xdr:spPr>
        <a:xfrm>
          <a:off x="25722263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42</xdr:col>
      <xdr:colOff>0</xdr:colOff>
      <xdr:row>78</xdr:row>
      <xdr:rowOff>0</xdr:rowOff>
    </xdr:from>
    <xdr:ext cx="230186" cy="271084"/>
    <xdr:pic>
      <xdr:nvPicPr>
        <xdr:cNvPr id="732" name="Picture 731" descr="A black and white symbol&#10;&#10;Description automatically generated">
          <a:extLst>
            <a:ext uri="{FF2B5EF4-FFF2-40B4-BE49-F238E27FC236}">
              <a16:creationId xmlns:a16="http://schemas.microsoft.com/office/drawing/2014/main" id="{274D737D-FC9F-4E10-BDF5-AFAC747C9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114</xdr:row>
      <xdr:rowOff>0</xdr:rowOff>
    </xdr:from>
    <xdr:ext cx="230186" cy="271084"/>
    <xdr:pic>
      <xdr:nvPicPr>
        <xdr:cNvPr id="733" name="Picture 732" descr="A black and white symbol&#10;&#10;Description automatically generated">
          <a:extLst>
            <a:ext uri="{FF2B5EF4-FFF2-40B4-BE49-F238E27FC236}">
              <a16:creationId xmlns:a16="http://schemas.microsoft.com/office/drawing/2014/main" id="{8C2FA86A-E220-496F-BD2B-54448EF2C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87</xdr:row>
      <xdr:rowOff>0</xdr:rowOff>
    </xdr:from>
    <xdr:ext cx="230186" cy="271084"/>
    <xdr:pic>
      <xdr:nvPicPr>
        <xdr:cNvPr id="734" name="Picture 733" descr="A black and white symbol&#10;&#10;Description automatically generated">
          <a:extLst>
            <a:ext uri="{FF2B5EF4-FFF2-40B4-BE49-F238E27FC236}">
              <a16:creationId xmlns:a16="http://schemas.microsoft.com/office/drawing/2014/main" id="{F297FC16-1269-4961-9668-325B11638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96</xdr:row>
      <xdr:rowOff>0</xdr:rowOff>
    </xdr:from>
    <xdr:ext cx="230186" cy="271084"/>
    <xdr:pic>
      <xdr:nvPicPr>
        <xdr:cNvPr id="735" name="Picture 734" descr="A black and white symbol&#10;&#10;Description automatically generated">
          <a:extLst>
            <a:ext uri="{FF2B5EF4-FFF2-40B4-BE49-F238E27FC236}">
              <a16:creationId xmlns:a16="http://schemas.microsoft.com/office/drawing/2014/main" id="{A3429DFD-04E5-40E4-9DEF-4ACE2B88C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69</xdr:row>
      <xdr:rowOff>0</xdr:rowOff>
    </xdr:from>
    <xdr:ext cx="230186" cy="271084"/>
    <xdr:pic>
      <xdr:nvPicPr>
        <xdr:cNvPr id="736" name="Picture 735" descr="A black and white symbol&#10;&#10;Description automatically generated">
          <a:extLst>
            <a:ext uri="{FF2B5EF4-FFF2-40B4-BE49-F238E27FC236}">
              <a16:creationId xmlns:a16="http://schemas.microsoft.com/office/drawing/2014/main" id="{A03C1A3F-1E94-4FEB-9F5D-AACF04007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105</xdr:row>
      <xdr:rowOff>0</xdr:rowOff>
    </xdr:from>
    <xdr:ext cx="230186" cy="271084"/>
    <xdr:pic>
      <xdr:nvPicPr>
        <xdr:cNvPr id="737" name="Picture 736" descr="A black and white symbol&#10;&#10;Description automatically generated">
          <a:extLst>
            <a:ext uri="{FF2B5EF4-FFF2-40B4-BE49-F238E27FC236}">
              <a16:creationId xmlns:a16="http://schemas.microsoft.com/office/drawing/2014/main" id="{6D3B7F60-FB42-4F6D-85A8-04FB399C8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15</xdr:row>
      <xdr:rowOff>0</xdr:rowOff>
    </xdr:from>
    <xdr:ext cx="230186" cy="271084"/>
    <xdr:pic>
      <xdr:nvPicPr>
        <xdr:cNvPr id="738" name="Picture 737" descr="A black and white symbol&#10;&#10;Description automatically generated">
          <a:extLst>
            <a:ext uri="{FF2B5EF4-FFF2-40B4-BE49-F238E27FC236}">
              <a16:creationId xmlns:a16="http://schemas.microsoft.com/office/drawing/2014/main" id="{7046C724-EB53-4F92-8442-244054296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51</xdr:row>
      <xdr:rowOff>0</xdr:rowOff>
    </xdr:from>
    <xdr:ext cx="230186" cy="271084"/>
    <xdr:pic>
      <xdr:nvPicPr>
        <xdr:cNvPr id="739" name="Picture 738" descr="A black and white symbol&#10;&#10;Description automatically generated">
          <a:extLst>
            <a:ext uri="{FF2B5EF4-FFF2-40B4-BE49-F238E27FC236}">
              <a16:creationId xmlns:a16="http://schemas.microsoft.com/office/drawing/2014/main" id="{B9CC1BF5-18C9-4BD7-BF95-0A4F8D546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123</xdr:row>
      <xdr:rowOff>0</xdr:rowOff>
    </xdr:from>
    <xdr:ext cx="230186" cy="271084"/>
    <xdr:pic>
      <xdr:nvPicPr>
        <xdr:cNvPr id="740" name="Picture 739" descr="A black and white symbol&#10;&#10;Description automatically generated">
          <a:extLst>
            <a:ext uri="{FF2B5EF4-FFF2-40B4-BE49-F238E27FC236}">
              <a16:creationId xmlns:a16="http://schemas.microsoft.com/office/drawing/2014/main" id="{4F3708FF-1F45-4060-9863-49E9184CA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42</xdr:col>
      <xdr:colOff>420121</xdr:colOff>
      <xdr:row>29</xdr:row>
      <xdr:rowOff>10205</xdr:rowOff>
    </xdr:from>
    <xdr:to>
      <xdr:col>44</xdr:col>
      <xdr:colOff>228888</xdr:colOff>
      <xdr:row>31</xdr:row>
      <xdr:rowOff>2878</xdr:rowOff>
    </xdr:to>
    <xdr:sp macro="" textlink="">
      <xdr:nvSpPr>
        <xdr:cNvPr id="741" name="Isosceles Triangle 740">
          <a:extLst>
            <a:ext uri="{FF2B5EF4-FFF2-40B4-BE49-F238E27FC236}">
              <a16:creationId xmlns:a16="http://schemas.microsoft.com/office/drawing/2014/main" id="{2FCAE9F4-35AC-4DE3-8776-3C316D8A8075}"/>
            </a:ext>
          </a:extLst>
        </xdr:cNvPr>
        <xdr:cNvSpPr/>
      </xdr:nvSpPr>
      <xdr:spPr>
        <a:xfrm>
          <a:off x="26023321" y="4798105"/>
          <a:ext cx="1027967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179614</xdr:colOff>
      <xdr:row>29</xdr:row>
      <xdr:rowOff>136071</xdr:rowOff>
    </xdr:from>
    <xdr:to>
      <xdr:col>5</xdr:col>
      <xdr:colOff>105395</xdr:colOff>
      <xdr:row>30</xdr:row>
      <xdr:rowOff>136071</xdr:rowOff>
    </xdr:to>
    <xdr:sp macro="" textlink="">
      <xdr:nvSpPr>
        <xdr:cNvPr id="742" name="5-Point Star 520">
          <a:extLst>
            <a:ext uri="{FF2B5EF4-FFF2-40B4-BE49-F238E27FC236}">
              <a16:creationId xmlns:a16="http://schemas.microsoft.com/office/drawing/2014/main" id="{A95186C8-9384-440A-9DB2-9E5261B756E2}"/>
            </a:ext>
          </a:extLst>
        </xdr:cNvPr>
        <xdr:cNvSpPr/>
      </xdr:nvSpPr>
      <xdr:spPr>
        <a:xfrm flipH="1">
          <a:off x="2618014" y="492397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149679</xdr:colOff>
      <xdr:row>29</xdr:row>
      <xdr:rowOff>122464</xdr:rowOff>
    </xdr:from>
    <xdr:to>
      <xdr:col>8</xdr:col>
      <xdr:colOff>75460</xdr:colOff>
      <xdr:row>30</xdr:row>
      <xdr:rowOff>122464</xdr:rowOff>
    </xdr:to>
    <xdr:sp macro="" textlink="">
      <xdr:nvSpPr>
        <xdr:cNvPr id="743" name="5-Point Star 520">
          <a:extLst>
            <a:ext uri="{FF2B5EF4-FFF2-40B4-BE49-F238E27FC236}">
              <a16:creationId xmlns:a16="http://schemas.microsoft.com/office/drawing/2014/main" id="{84FC360E-F771-4348-8BE2-BA941C058253}"/>
            </a:ext>
          </a:extLst>
        </xdr:cNvPr>
        <xdr:cNvSpPr/>
      </xdr:nvSpPr>
      <xdr:spPr>
        <a:xfrm flipH="1">
          <a:off x="44168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176894</xdr:colOff>
      <xdr:row>29</xdr:row>
      <xdr:rowOff>149679</xdr:rowOff>
    </xdr:from>
    <xdr:to>
      <xdr:col>11</xdr:col>
      <xdr:colOff>102675</xdr:colOff>
      <xdr:row>30</xdr:row>
      <xdr:rowOff>149679</xdr:rowOff>
    </xdr:to>
    <xdr:sp macro="" textlink="">
      <xdr:nvSpPr>
        <xdr:cNvPr id="744" name="5-Point Star 520">
          <a:extLst>
            <a:ext uri="{FF2B5EF4-FFF2-40B4-BE49-F238E27FC236}">
              <a16:creationId xmlns:a16="http://schemas.microsoft.com/office/drawing/2014/main" id="{2FCFA76B-B28A-4BDC-8482-DE353D65246A}"/>
            </a:ext>
          </a:extLst>
        </xdr:cNvPr>
        <xdr:cNvSpPr/>
      </xdr:nvSpPr>
      <xdr:spPr>
        <a:xfrm flipH="1">
          <a:off x="6272894" y="4937579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149679</xdr:colOff>
      <xdr:row>29</xdr:row>
      <xdr:rowOff>122464</xdr:rowOff>
    </xdr:from>
    <xdr:to>
      <xdr:col>14</xdr:col>
      <xdr:colOff>75460</xdr:colOff>
      <xdr:row>30</xdr:row>
      <xdr:rowOff>122464</xdr:rowOff>
    </xdr:to>
    <xdr:sp macro="" textlink="">
      <xdr:nvSpPr>
        <xdr:cNvPr id="745" name="5-Point Star 520">
          <a:extLst>
            <a:ext uri="{FF2B5EF4-FFF2-40B4-BE49-F238E27FC236}">
              <a16:creationId xmlns:a16="http://schemas.microsoft.com/office/drawing/2014/main" id="{6BE37CE0-0AFA-45B1-85C4-82EE6C431B84}"/>
            </a:ext>
          </a:extLst>
        </xdr:cNvPr>
        <xdr:cNvSpPr/>
      </xdr:nvSpPr>
      <xdr:spPr>
        <a:xfrm flipH="1">
          <a:off x="80744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40968</xdr:colOff>
      <xdr:row>2</xdr:row>
      <xdr:rowOff>30727</xdr:rowOff>
    </xdr:from>
    <xdr:to>
      <xdr:col>37</xdr:col>
      <xdr:colOff>199529</xdr:colOff>
      <xdr:row>2</xdr:row>
      <xdr:rowOff>41311</xdr:rowOff>
    </xdr:to>
    <xdr:cxnSp macro="">
      <xdr:nvCxnSpPr>
        <xdr:cNvPr id="746" name="Curved Connector 523">
          <a:extLst>
            <a:ext uri="{FF2B5EF4-FFF2-40B4-BE49-F238E27FC236}">
              <a16:creationId xmlns:a16="http://schemas.microsoft.com/office/drawing/2014/main" id="{404709F2-AA6D-45C6-BD7D-857DBBDF5274}"/>
            </a:ext>
          </a:extLst>
        </xdr:cNvPr>
        <xdr:cNvCxnSpPr/>
      </xdr:nvCxnSpPr>
      <xdr:spPr>
        <a:xfrm rot="16200000" flipH="1">
          <a:off x="22060557" y="-284562"/>
          <a:ext cx="10584" cy="137776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40969</xdr:colOff>
      <xdr:row>2</xdr:row>
      <xdr:rowOff>30727</xdr:rowOff>
    </xdr:from>
    <xdr:to>
      <xdr:col>40</xdr:col>
      <xdr:colOff>107352</xdr:colOff>
      <xdr:row>2</xdr:row>
      <xdr:rowOff>41311</xdr:rowOff>
    </xdr:to>
    <xdr:cxnSp macro="">
      <xdr:nvCxnSpPr>
        <xdr:cNvPr id="747" name="Curved Connector 523">
          <a:extLst>
            <a:ext uri="{FF2B5EF4-FFF2-40B4-BE49-F238E27FC236}">
              <a16:creationId xmlns:a16="http://schemas.microsoft.com/office/drawing/2014/main" id="{DCABA1E6-F6F1-4C37-98B6-3C971301DD0C}"/>
            </a:ext>
          </a:extLst>
        </xdr:cNvPr>
        <xdr:cNvCxnSpPr/>
      </xdr:nvCxnSpPr>
      <xdr:spPr>
        <a:xfrm rot="16200000" flipH="1">
          <a:off x="23843269" y="-238473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193260</xdr:colOff>
      <xdr:row>110</xdr:row>
      <xdr:rowOff>124240</xdr:rowOff>
    </xdr:from>
    <xdr:to>
      <xdr:col>23</xdr:col>
      <xdr:colOff>119038</xdr:colOff>
      <xdr:row>111</xdr:row>
      <xdr:rowOff>124240</xdr:rowOff>
    </xdr:to>
    <xdr:sp macro="" textlink="">
      <xdr:nvSpPr>
        <xdr:cNvPr id="748" name="5-Point Star 520">
          <a:extLst>
            <a:ext uri="{FF2B5EF4-FFF2-40B4-BE49-F238E27FC236}">
              <a16:creationId xmlns:a16="http://schemas.microsoft.com/office/drawing/2014/main" id="{DA36F184-DEAC-4D0D-B635-DF2110BE759C}"/>
            </a:ext>
          </a:extLst>
        </xdr:cNvPr>
        <xdr:cNvSpPr/>
      </xdr:nvSpPr>
      <xdr:spPr>
        <a:xfrm flipH="1">
          <a:off x="13604460" y="18170940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138044</xdr:colOff>
      <xdr:row>110</xdr:row>
      <xdr:rowOff>124239</xdr:rowOff>
    </xdr:from>
    <xdr:to>
      <xdr:col>8</xdr:col>
      <xdr:colOff>63823</xdr:colOff>
      <xdr:row>111</xdr:row>
      <xdr:rowOff>124239</xdr:rowOff>
    </xdr:to>
    <xdr:sp macro="" textlink="">
      <xdr:nvSpPr>
        <xdr:cNvPr id="749" name="5-Point Star 520">
          <a:extLst>
            <a:ext uri="{FF2B5EF4-FFF2-40B4-BE49-F238E27FC236}">
              <a16:creationId xmlns:a16="http://schemas.microsoft.com/office/drawing/2014/main" id="{618F6701-D6B3-4D83-AF8F-038A2BB46C39}"/>
            </a:ext>
          </a:extLst>
        </xdr:cNvPr>
        <xdr:cNvSpPr/>
      </xdr:nvSpPr>
      <xdr:spPr>
        <a:xfrm flipH="1">
          <a:off x="4405244" y="1817093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151847</xdr:colOff>
      <xdr:row>110</xdr:row>
      <xdr:rowOff>110435</xdr:rowOff>
    </xdr:from>
    <xdr:to>
      <xdr:col>11</xdr:col>
      <xdr:colOff>77625</xdr:colOff>
      <xdr:row>111</xdr:row>
      <xdr:rowOff>110435</xdr:rowOff>
    </xdr:to>
    <xdr:sp macro="" textlink="">
      <xdr:nvSpPr>
        <xdr:cNvPr id="750" name="5-Point Star 520">
          <a:extLst>
            <a:ext uri="{FF2B5EF4-FFF2-40B4-BE49-F238E27FC236}">
              <a16:creationId xmlns:a16="http://schemas.microsoft.com/office/drawing/2014/main" id="{54E78788-C198-4B3C-B8C5-EBB2F48D5C5E}"/>
            </a:ext>
          </a:extLst>
        </xdr:cNvPr>
        <xdr:cNvSpPr/>
      </xdr:nvSpPr>
      <xdr:spPr>
        <a:xfrm flipH="1">
          <a:off x="6247847" y="18157135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248479</xdr:colOff>
      <xdr:row>92</xdr:row>
      <xdr:rowOff>1</xdr:rowOff>
    </xdr:from>
    <xdr:to>
      <xdr:col>28</xdr:col>
      <xdr:colOff>211054</xdr:colOff>
      <xdr:row>92</xdr:row>
      <xdr:rowOff>10585</xdr:rowOff>
    </xdr:to>
    <xdr:cxnSp macro="">
      <xdr:nvCxnSpPr>
        <xdr:cNvPr id="751" name="Curved Connector 522">
          <a:extLst>
            <a:ext uri="{FF2B5EF4-FFF2-40B4-BE49-F238E27FC236}">
              <a16:creationId xmlns:a16="http://schemas.microsoft.com/office/drawing/2014/main" id="{16885534-6E3F-460E-97FB-A9199AF82DD1}"/>
            </a:ext>
          </a:extLst>
        </xdr:cNvPr>
        <xdr:cNvCxnSpPr/>
      </xdr:nvCxnSpPr>
      <xdr:spPr>
        <a:xfrm rot="16200000" flipH="1">
          <a:off x="16378875" y="14209905"/>
          <a:ext cx="10584" cy="17913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</xdr:colOff>
      <xdr:row>91</xdr:row>
      <xdr:rowOff>165653</xdr:rowOff>
    </xdr:from>
    <xdr:to>
      <xdr:col>31</xdr:col>
      <xdr:colOff>252467</xdr:colOff>
      <xdr:row>91</xdr:row>
      <xdr:rowOff>176237</xdr:rowOff>
    </xdr:to>
    <xdr:cxnSp macro="">
      <xdr:nvCxnSpPr>
        <xdr:cNvPr id="752" name="Curved Connector 522">
          <a:extLst>
            <a:ext uri="{FF2B5EF4-FFF2-40B4-BE49-F238E27FC236}">
              <a16:creationId xmlns:a16="http://schemas.microsoft.com/office/drawing/2014/main" id="{B89A8308-5C60-47D2-B0C1-525EC7C0B12A}"/>
            </a:ext>
          </a:extLst>
        </xdr:cNvPr>
        <xdr:cNvCxnSpPr/>
      </xdr:nvCxnSpPr>
      <xdr:spPr>
        <a:xfrm rot="16200000" flipH="1">
          <a:off x="18408942" y="14351262"/>
          <a:ext cx="10584" cy="14716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55218</xdr:colOff>
      <xdr:row>91</xdr:row>
      <xdr:rowOff>179458</xdr:rowOff>
    </xdr:from>
    <xdr:to>
      <xdr:col>34</xdr:col>
      <xdr:colOff>238662</xdr:colOff>
      <xdr:row>91</xdr:row>
      <xdr:rowOff>190042</xdr:rowOff>
    </xdr:to>
    <xdr:cxnSp macro="">
      <xdr:nvCxnSpPr>
        <xdr:cNvPr id="753" name="Curved Connector 522">
          <a:extLst>
            <a:ext uri="{FF2B5EF4-FFF2-40B4-BE49-F238E27FC236}">
              <a16:creationId xmlns:a16="http://schemas.microsoft.com/office/drawing/2014/main" id="{9FCBAB28-E3F6-4DC5-A860-FD2DB8F92999}"/>
            </a:ext>
          </a:extLst>
        </xdr:cNvPr>
        <xdr:cNvCxnSpPr/>
      </xdr:nvCxnSpPr>
      <xdr:spPr>
        <a:xfrm rot="16200000" flipH="1">
          <a:off x="20261623" y="14396403"/>
          <a:ext cx="4234" cy="1402644"/>
        </a:xfrm>
        <a:prstGeom prst="curvedConnector3">
          <a:avLst>
            <a:gd name="adj1" fmla="val 264404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27609</xdr:colOff>
      <xdr:row>91</xdr:row>
      <xdr:rowOff>179458</xdr:rowOff>
    </xdr:from>
    <xdr:to>
      <xdr:col>37</xdr:col>
      <xdr:colOff>183445</xdr:colOff>
      <xdr:row>91</xdr:row>
      <xdr:rowOff>190042</xdr:rowOff>
    </xdr:to>
    <xdr:cxnSp macro="">
      <xdr:nvCxnSpPr>
        <xdr:cNvPr id="754" name="Curved Connector 522">
          <a:extLst>
            <a:ext uri="{FF2B5EF4-FFF2-40B4-BE49-F238E27FC236}">
              <a16:creationId xmlns:a16="http://schemas.microsoft.com/office/drawing/2014/main" id="{5B6DB3CC-4FB3-4894-AF34-92EC7E4F849B}"/>
            </a:ext>
          </a:extLst>
        </xdr:cNvPr>
        <xdr:cNvCxnSpPr/>
      </xdr:nvCxnSpPr>
      <xdr:spPr>
        <a:xfrm rot="16200000" flipH="1">
          <a:off x="22049010" y="14410207"/>
          <a:ext cx="4234" cy="1375036"/>
        </a:xfrm>
        <a:prstGeom prst="curvedConnector3">
          <a:avLst>
            <a:gd name="adj1" fmla="val 286140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91</xdr:row>
      <xdr:rowOff>165653</xdr:rowOff>
    </xdr:from>
    <xdr:to>
      <xdr:col>40</xdr:col>
      <xdr:colOff>211054</xdr:colOff>
      <xdr:row>91</xdr:row>
      <xdr:rowOff>176237</xdr:rowOff>
    </xdr:to>
    <xdr:cxnSp macro="">
      <xdr:nvCxnSpPr>
        <xdr:cNvPr id="755" name="Curved Connector 522">
          <a:extLst>
            <a:ext uri="{FF2B5EF4-FFF2-40B4-BE49-F238E27FC236}">
              <a16:creationId xmlns:a16="http://schemas.microsoft.com/office/drawing/2014/main" id="{E2E5D5E4-4A32-4B5E-92CB-BABFA65E7FAE}"/>
            </a:ext>
          </a:extLst>
        </xdr:cNvPr>
        <xdr:cNvCxnSpPr/>
      </xdr:nvCxnSpPr>
      <xdr:spPr>
        <a:xfrm rot="16200000" flipH="1">
          <a:off x="23881538" y="14378870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234675</xdr:colOff>
      <xdr:row>100</xdr:row>
      <xdr:rowOff>151849</xdr:rowOff>
    </xdr:from>
    <xdr:to>
      <xdr:col>25</xdr:col>
      <xdr:colOff>224858</xdr:colOff>
      <xdr:row>100</xdr:row>
      <xdr:rowOff>162433</xdr:rowOff>
    </xdr:to>
    <xdr:cxnSp macro="">
      <xdr:nvCxnSpPr>
        <xdr:cNvPr id="756" name="Curved Connector 522">
          <a:extLst>
            <a:ext uri="{FF2B5EF4-FFF2-40B4-BE49-F238E27FC236}">
              <a16:creationId xmlns:a16="http://schemas.microsoft.com/office/drawing/2014/main" id="{D1FF5105-BE39-42AF-ADF4-E7A60850A478}"/>
            </a:ext>
          </a:extLst>
        </xdr:cNvPr>
        <xdr:cNvCxnSpPr/>
      </xdr:nvCxnSpPr>
      <xdr:spPr>
        <a:xfrm rot="16200000" flipH="1">
          <a:off x="14550075" y="15636999"/>
          <a:ext cx="1058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13806</xdr:colOff>
      <xdr:row>100</xdr:row>
      <xdr:rowOff>165653</xdr:rowOff>
    </xdr:from>
    <xdr:to>
      <xdr:col>22</xdr:col>
      <xdr:colOff>252468</xdr:colOff>
      <xdr:row>100</xdr:row>
      <xdr:rowOff>176237</xdr:rowOff>
    </xdr:to>
    <xdr:cxnSp macro="">
      <xdr:nvCxnSpPr>
        <xdr:cNvPr id="757" name="Curved Connector 522">
          <a:extLst>
            <a:ext uri="{FF2B5EF4-FFF2-40B4-BE49-F238E27FC236}">
              <a16:creationId xmlns:a16="http://schemas.microsoft.com/office/drawing/2014/main" id="{369AA6B6-8819-4036-8D2D-8287614B4E17}"/>
            </a:ext>
          </a:extLst>
        </xdr:cNvPr>
        <xdr:cNvCxnSpPr/>
      </xdr:nvCxnSpPr>
      <xdr:spPr>
        <a:xfrm rot="16200000" flipH="1">
          <a:off x="12929445" y="15831364"/>
          <a:ext cx="10584" cy="14578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13806</xdr:colOff>
      <xdr:row>100</xdr:row>
      <xdr:rowOff>165654</xdr:rowOff>
    </xdr:from>
    <xdr:to>
      <xdr:col>20</xdr:col>
      <xdr:colOff>31598</xdr:colOff>
      <xdr:row>100</xdr:row>
      <xdr:rowOff>176238</xdr:rowOff>
    </xdr:to>
    <xdr:cxnSp macro="">
      <xdr:nvCxnSpPr>
        <xdr:cNvPr id="758" name="Curved Connector 522">
          <a:extLst>
            <a:ext uri="{FF2B5EF4-FFF2-40B4-BE49-F238E27FC236}">
              <a16:creationId xmlns:a16="http://schemas.microsoft.com/office/drawing/2014/main" id="{18C9C3DA-654A-4A85-8ACD-EFDAA200E372}"/>
            </a:ext>
          </a:extLst>
        </xdr:cNvPr>
        <xdr:cNvCxnSpPr/>
      </xdr:nvCxnSpPr>
      <xdr:spPr>
        <a:xfrm rot="16200000" flipH="1">
          <a:off x="11295010" y="15637000"/>
          <a:ext cx="10584" cy="18465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13806</xdr:colOff>
      <xdr:row>100</xdr:row>
      <xdr:rowOff>179458</xdr:rowOff>
    </xdr:from>
    <xdr:to>
      <xdr:col>17</xdr:col>
      <xdr:colOff>3989</xdr:colOff>
      <xdr:row>100</xdr:row>
      <xdr:rowOff>190042</xdr:rowOff>
    </xdr:to>
    <xdr:cxnSp macro="">
      <xdr:nvCxnSpPr>
        <xdr:cNvPr id="759" name="Curved Connector 522">
          <a:extLst>
            <a:ext uri="{FF2B5EF4-FFF2-40B4-BE49-F238E27FC236}">
              <a16:creationId xmlns:a16="http://schemas.microsoft.com/office/drawing/2014/main" id="{9068327A-C831-4FC5-9AF1-06B98C69062C}"/>
            </a:ext>
          </a:extLst>
        </xdr:cNvPr>
        <xdr:cNvCxnSpPr/>
      </xdr:nvCxnSpPr>
      <xdr:spPr>
        <a:xfrm rot="16200000" flipH="1">
          <a:off x="9455581" y="15661433"/>
          <a:ext cx="423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13805</xdr:colOff>
      <xdr:row>100</xdr:row>
      <xdr:rowOff>151849</xdr:rowOff>
    </xdr:from>
    <xdr:to>
      <xdr:col>13</xdr:col>
      <xdr:colOff>224858</xdr:colOff>
      <xdr:row>100</xdr:row>
      <xdr:rowOff>162433</xdr:rowOff>
    </xdr:to>
    <xdr:cxnSp macro="">
      <xdr:nvCxnSpPr>
        <xdr:cNvPr id="760" name="Curved Connector 522">
          <a:extLst>
            <a:ext uri="{FF2B5EF4-FFF2-40B4-BE49-F238E27FC236}">
              <a16:creationId xmlns:a16="http://schemas.microsoft.com/office/drawing/2014/main" id="{6E76D9FC-75C3-4842-A02C-2840811A43DE}"/>
            </a:ext>
          </a:extLst>
        </xdr:cNvPr>
        <xdr:cNvCxnSpPr/>
      </xdr:nvCxnSpPr>
      <xdr:spPr>
        <a:xfrm rot="16200000" flipH="1">
          <a:off x="7429240" y="15831364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13806</xdr:colOff>
      <xdr:row>100</xdr:row>
      <xdr:rowOff>165654</xdr:rowOff>
    </xdr:from>
    <xdr:to>
      <xdr:col>10</xdr:col>
      <xdr:colOff>224859</xdr:colOff>
      <xdr:row>100</xdr:row>
      <xdr:rowOff>176238</xdr:rowOff>
    </xdr:to>
    <xdr:cxnSp macro="">
      <xdr:nvCxnSpPr>
        <xdr:cNvPr id="761" name="Curved Connector 522">
          <a:extLst>
            <a:ext uri="{FF2B5EF4-FFF2-40B4-BE49-F238E27FC236}">
              <a16:creationId xmlns:a16="http://schemas.microsoft.com/office/drawing/2014/main" id="{00D5CD8B-0064-45B8-A759-A5A67A3B83B0}"/>
            </a:ext>
          </a:extLst>
        </xdr:cNvPr>
        <xdr:cNvCxnSpPr/>
      </xdr:nvCxnSpPr>
      <xdr:spPr>
        <a:xfrm rot="16200000" flipH="1">
          <a:off x="5600441" y="15845169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248480</xdr:colOff>
      <xdr:row>100</xdr:row>
      <xdr:rowOff>151849</xdr:rowOff>
    </xdr:from>
    <xdr:to>
      <xdr:col>8</xdr:col>
      <xdr:colOff>31598</xdr:colOff>
      <xdr:row>100</xdr:row>
      <xdr:rowOff>162433</xdr:rowOff>
    </xdr:to>
    <xdr:cxnSp macro="">
      <xdr:nvCxnSpPr>
        <xdr:cNvPr id="762" name="Curved Connector 522">
          <a:extLst>
            <a:ext uri="{FF2B5EF4-FFF2-40B4-BE49-F238E27FC236}">
              <a16:creationId xmlns:a16="http://schemas.microsoft.com/office/drawing/2014/main" id="{80C24476-C672-43F9-95B9-24232B3EFAC4}"/>
            </a:ext>
          </a:extLst>
        </xdr:cNvPr>
        <xdr:cNvCxnSpPr/>
      </xdr:nvCxnSpPr>
      <xdr:spPr>
        <a:xfrm rot="16200000" flipH="1">
          <a:off x="3792347" y="15435732"/>
          <a:ext cx="10584" cy="2221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13805</xdr:colOff>
      <xdr:row>100</xdr:row>
      <xdr:rowOff>138045</xdr:rowOff>
    </xdr:from>
    <xdr:to>
      <xdr:col>4</xdr:col>
      <xdr:colOff>238663</xdr:colOff>
      <xdr:row>100</xdr:row>
      <xdr:rowOff>148629</xdr:rowOff>
    </xdr:to>
    <xdr:cxnSp macro="">
      <xdr:nvCxnSpPr>
        <xdr:cNvPr id="763" name="Curved Connector 522">
          <a:extLst>
            <a:ext uri="{FF2B5EF4-FFF2-40B4-BE49-F238E27FC236}">
              <a16:creationId xmlns:a16="http://schemas.microsoft.com/office/drawing/2014/main" id="{5E38B5D2-ABBA-4C06-A4BB-97A6567B4734}"/>
            </a:ext>
          </a:extLst>
        </xdr:cNvPr>
        <xdr:cNvCxnSpPr/>
      </xdr:nvCxnSpPr>
      <xdr:spPr>
        <a:xfrm rot="16200000" flipH="1">
          <a:off x="1949742" y="15810658"/>
          <a:ext cx="1058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151847</xdr:colOff>
      <xdr:row>110</xdr:row>
      <xdr:rowOff>151848</xdr:rowOff>
    </xdr:from>
    <xdr:to>
      <xdr:col>35</xdr:col>
      <xdr:colOff>77625</xdr:colOff>
      <xdr:row>111</xdr:row>
      <xdr:rowOff>151848</xdr:rowOff>
    </xdr:to>
    <xdr:sp macro="" textlink="">
      <xdr:nvSpPr>
        <xdr:cNvPr id="764" name="5-Point Star 520">
          <a:extLst>
            <a:ext uri="{FF2B5EF4-FFF2-40B4-BE49-F238E27FC236}">
              <a16:creationId xmlns:a16="http://schemas.microsoft.com/office/drawing/2014/main" id="{CCA7F5C9-8422-4AFE-ACEF-BCA09FD9D0D6}"/>
            </a:ext>
          </a:extLst>
        </xdr:cNvPr>
        <xdr:cNvSpPr/>
      </xdr:nvSpPr>
      <xdr:spPr>
        <a:xfrm flipH="1">
          <a:off x="20878247" y="1819854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179458</xdr:colOff>
      <xdr:row>20</xdr:row>
      <xdr:rowOff>110435</xdr:rowOff>
    </xdr:from>
    <xdr:to>
      <xdr:col>20</xdr:col>
      <xdr:colOff>105238</xdr:colOff>
      <xdr:row>21</xdr:row>
      <xdr:rowOff>110435</xdr:rowOff>
    </xdr:to>
    <xdr:sp macro="" textlink="">
      <xdr:nvSpPr>
        <xdr:cNvPr id="765" name="5-Point Star 520">
          <a:extLst>
            <a:ext uri="{FF2B5EF4-FFF2-40B4-BE49-F238E27FC236}">
              <a16:creationId xmlns:a16="http://schemas.microsoft.com/office/drawing/2014/main" id="{8F97AA18-57D2-4A75-BF67-90EAA4553FE2}"/>
            </a:ext>
          </a:extLst>
        </xdr:cNvPr>
        <xdr:cNvSpPr/>
      </xdr:nvSpPr>
      <xdr:spPr>
        <a:xfrm flipH="1">
          <a:off x="1176185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20</xdr:row>
      <xdr:rowOff>110435</xdr:rowOff>
    </xdr:from>
    <xdr:to>
      <xdr:col>23</xdr:col>
      <xdr:colOff>77628</xdr:colOff>
      <xdr:row>21</xdr:row>
      <xdr:rowOff>110435</xdr:rowOff>
    </xdr:to>
    <xdr:sp macro="" textlink="">
      <xdr:nvSpPr>
        <xdr:cNvPr id="766" name="5-Point Star 520">
          <a:extLst>
            <a:ext uri="{FF2B5EF4-FFF2-40B4-BE49-F238E27FC236}">
              <a16:creationId xmlns:a16="http://schemas.microsoft.com/office/drawing/2014/main" id="{FE2A366E-AD30-4D5D-AAE3-F5FBD9EC3C42}"/>
            </a:ext>
          </a:extLst>
        </xdr:cNvPr>
        <xdr:cNvSpPr/>
      </xdr:nvSpPr>
      <xdr:spPr>
        <a:xfrm flipH="1">
          <a:off x="1356304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151847</xdr:colOff>
      <xdr:row>20</xdr:row>
      <xdr:rowOff>110435</xdr:rowOff>
    </xdr:from>
    <xdr:to>
      <xdr:col>26</xdr:col>
      <xdr:colOff>77628</xdr:colOff>
      <xdr:row>21</xdr:row>
      <xdr:rowOff>110435</xdr:rowOff>
    </xdr:to>
    <xdr:sp macro="" textlink="">
      <xdr:nvSpPr>
        <xdr:cNvPr id="767" name="5-Point Star 520">
          <a:extLst>
            <a:ext uri="{FF2B5EF4-FFF2-40B4-BE49-F238E27FC236}">
              <a16:creationId xmlns:a16="http://schemas.microsoft.com/office/drawing/2014/main" id="{842FA64C-55C4-48D1-A33B-83E7431C4360}"/>
            </a:ext>
          </a:extLst>
        </xdr:cNvPr>
        <xdr:cNvSpPr/>
      </xdr:nvSpPr>
      <xdr:spPr>
        <a:xfrm flipH="1">
          <a:off x="15391847" y="34251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138044</xdr:colOff>
      <xdr:row>20</xdr:row>
      <xdr:rowOff>138044</xdr:rowOff>
    </xdr:from>
    <xdr:to>
      <xdr:col>29</xdr:col>
      <xdr:colOff>63824</xdr:colOff>
      <xdr:row>21</xdr:row>
      <xdr:rowOff>138044</xdr:rowOff>
    </xdr:to>
    <xdr:sp macro="" textlink="">
      <xdr:nvSpPr>
        <xdr:cNvPr id="768" name="5-Point Star 520">
          <a:extLst>
            <a:ext uri="{FF2B5EF4-FFF2-40B4-BE49-F238E27FC236}">
              <a16:creationId xmlns:a16="http://schemas.microsoft.com/office/drawing/2014/main" id="{D70672E0-E69B-40B4-9574-8239C24EC9E7}"/>
            </a:ext>
          </a:extLst>
        </xdr:cNvPr>
        <xdr:cNvSpPr/>
      </xdr:nvSpPr>
      <xdr:spPr>
        <a:xfrm flipH="1">
          <a:off x="17206844" y="345274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165652</xdr:colOff>
      <xdr:row>20</xdr:row>
      <xdr:rowOff>151848</xdr:rowOff>
    </xdr:from>
    <xdr:to>
      <xdr:col>32</xdr:col>
      <xdr:colOff>91433</xdr:colOff>
      <xdr:row>21</xdr:row>
      <xdr:rowOff>151848</xdr:rowOff>
    </xdr:to>
    <xdr:sp macro="" textlink="">
      <xdr:nvSpPr>
        <xdr:cNvPr id="769" name="5-Point Star 520">
          <a:extLst>
            <a:ext uri="{FF2B5EF4-FFF2-40B4-BE49-F238E27FC236}">
              <a16:creationId xmlns:a16="http://schemas.microsoft.com/office/drawing/2014/main" id="{DC746740-138B-4A16-BE57-02E89D353E82}"/>
            </a:ext>
          </a:extLst>
        </xdr:cNvPr>
        <xdr:cNvSpPr/>
      </xdr:nvSpPr>
      <xdr:spPr>
        <a:xfrm flipH="1">
          <a:off x="19063252" y="3466548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13804</xdr:colOff>
      <xdr:row>109</xdr:row>
      <xdr:rowOff>165653</xdr:rowOff>
    </xdr:from>
    <xdr:to>
      <xdr:col>37</xdr:col>
      <xdr:colOff>177750</xdr:colOff>
      <xdr:row>109</xdr:row>
      <xdr:rowOff>176237</xdr:rowOff>
    </xdr:to>
    <xdr:cxnSp macro="">
      <xdr:nvCxnSpPr>
        <xdr:cNvPr id="770" name="Curved Connector 522">
          <a:extLst>
            <a:ext uri="{FF2B5EF4-FFF2-40B4-BE49-F238E27FC236}">
              <a16:creationId xmlns:a16="http://schemas.microsoft.com/office/drawing/2014/main" id="{57F5FB38-3FAC-4E60-8026-67661751447B}"/>
            </a:ext>
          </a:extLst>
        </xdr:cNvPr>
        <xdr:cNvCxnSpPr/>
      </xdr:nvCxnSpPr>
      <xdr:spPr>
        <a:xfrm rot="16200000" flipH="1">
          <a:off x="22036085" y="17341922"/>
          <a:ext cx="10584" cy="138314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55218</xdr:colOff>
      <xdr:row>110</xdr:row>
      <xdr:rowOff>1</xdr:rowOff>
    </xdr:from>
    <xdr:to>
      <xdr:col>40</xdr:col>
      <xdr:colOff>260577</xdr:colOff>
      <xdr:row>110</xdr:row>
      <xdr:rowOff>10585</xdr:rowOff>
    </xdr:to>
    <xdr:cxnSp macro="">
      <xdr:nvCxnSpPr>
        <xdr:cNvPr id="771" name="Curved Connector 522">
          <a:extLst>
            <a:ext uri="{FF2B5EF4-FFF2-40B4-BE49-F238E27FC236}">
              <a16:creationId xmlns:a16="http://schemas.microsoft.com/office/drawing/2014/main" id="{A6BBFCB0-732A-4BFA-BFC5-11EE70244B1B}"/>
            </a:ext>
          </a:extLst>
        </xdr:cNvPr>
        <xdr:cNvCxnSpPr/>
      </xdr:nvCxnSpPr>
      <xdr:spPr>
        <a:xfrm rot="16200000" flipH="1">
          <a:off x="23927006" y="17339713"/>
          <a:ext cx="10584" cy="142455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13804</xdr:colOff>
      <xdr:row>118</xdr:row>
      <xdr:rowOff>179458</xdr:rowOff>
    </xdr:from>
    <xdr:to>
      <xdr:col>4</xdr:col>
      <xdr:colOff>246772</xdr:colOff>
      <xdr:row>118</xdr:row>
      <xdr:rowOff>190042</xdr:rowOff>
    </xdr:to>
    <xdr:cxnSp macro="">
      <xdr:nvCxnSpPr>
        <xdr:cNvPr id="772" name="Curved Connector 522">
          <a:extLst>
            <a:ext uri="{FF2B5EF4-FFF2-40B4-BE49-F238E27FC236}">
              <a16:creationId xmlns:a16="http://schemas.microsoft.com/office/drawing/2014/main" id="{E48CC4AA-F310-4E51-A7C0-570160C4C169}"/>
            </a:ext>
          </a:extLst>
        </xdr:cNvPr>
        <xdr:cNvCxnSpPr/>
      </xdr:nvCxnSpPr>
      <xdr:spPr>
        <a:xfrm rot="16200000" flipH="1">
          <a:off x="1956971" y="18791241"/>
          <a:ext cx="4234" cy="145216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234676</xdr:colOff>
      <xdr:row>118</xdr:row>
      <xdr:rowOff>165653</xdr:rowOff>
    </xdr:from>
    <xdr:to>
      <xdr:col>8</xdr:col>
      <xdr:colOff>25904</xdr:colOff>
      <xdr:row>118</xdr:row>
      <xdr:rowOff>176237</xdr:rowOff>
    </xdr:to>
    <xdr:cxnSp macro="">
      <xdr:nvCxnSpPr>
        <xdr:cNvPr id="773" name="Curved Connector 522">
          <a:extLst>
            <a:ext uri="{FF2B5EF4-FFF2-40B4-BE49-F238E27FC236}">
              <a16:creationId xmlns:a16="http://schemas.microsoft.com/office/drawing/2014/main" id="{8EE0995E-4E96-472A-ABD6-3671CA5AA227}"/>
            </a:ext>
          </a:extLst>
        </xdr:cNvPr>
        <xdr:cNvCxnSpPr/>
      </xdr:nvCxnSpPr>
      <xdr:spPr>
        <a:xfrm rot="16200000" flipH="1">
          <a:off x="3782598" y="18391881"/>
          <a:ext cx="10584" cy="222962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248478</xdr:colOff>
      <xdr:row>2</xdr:row>
      <xdr:rowOff>27610</xdr:rowOff>
    </xdr:from>
    <xdr:to>
      <xdr:col>43</xdr:col>
      <xdr:colOff>52578</xdr:colOff>
      <xdr:row>2</xdr:row>
      <xdr:rowOff>38194</xdr:rowOff>
    </xdr:to>
    <xdr:cxnSp macro="">
      <xdr:nvCxnSpPr>
        <xdr:cNvPr id="774" name="Curved Connector 523">
          <a:extLst>
            <a:ext uri="{FF2B5EF4-FFF2-40B4-BE49-F238E27FC236}">
              <a16:creationId xmlns:a16="http://schemas.microsoft.com/office/drawing/2014/main" id="{E18C6382-A942-49E4-8752-316A9876418A}"/>
            </a:ext>
          </a:extLst>
        </xdr:cNvPr>
        <xdr:cNvCxnSpPr/>
      </xdr:nvCxnSpPr>
      <xdr:spPr>
        <a:xfrm rot="16200000" flipH="1">
          <a:off x="25443636" y="-415248"/>
          <a:ext cx="10584" cy="16329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151849</xdr:colOff>
      <xdr:row>29</xdr:row>
      <xdr:rowOff>138043</xdr:rowOff>
    </xdr:from>
    <xdr:to>
      <xdr:col>20</xdr:col>
      <xdr:colOff>77629</xdr:colOff>
      <xdr:row>30</xdr:row>
      <xdr:rowOff>138043</xdr:rowOff>
    </xdr:to>
    <xdr:sp macro="" textlink="">
      <xdr:nvSpPr>
        <xdr:cNvPr id="775" name="5-Point Star 520">
          <a:extLst>
            <a:ext uri="{FF2B5EF4-FFF2-40B4-BE49-F238E27FC236}">
              <a16:creationId xmlns:a16="http://schemas.microsoft.com/office/drawing/2014/main" id="{BF6802A1-1D97-462D-80AD-08EA67C8CADA}"/>
            </a:ext>
          </a:extLst>
        </xdr:cNvPr>
        <xdr:cNvSpPr/>
      </xdr:nvSpPr>
      <xdr:spPr>
        <a:xfrm flipH="1">
          <a:off x="11734249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124240</xdr:colOff>
      <xdr:row>29</xdr:row>
      <xdr:rowOff>138043</xdr:rowOff>
    </xdr:from>
    <xdr:to>
      <xdr:col>17</xdr:col>
      <xdr:colOff>50020</xdr:colOff>
      <xdr:row>30</xdr:row>
      <xdr:rowOff>138043</xdr:rowOff>
    </xdr:to>
    <xdr:sp macro="" textlink="">
      <xdr:nvSpPr>
        <xdr:cNvPr id="776" name="5-Point Star 520">
          <a:extLst>
            <a:ext uri="{FF2B5EF4-FFF2-40B4-BE49-F238E27FC236}">
              <a16:creationId xmlns:a16="http://schemas.microsoft.com/office/drawing/2014/main" id="{B12F4559-78C5-4797-9C26-30DC105D646B}"/>
            </a:ext>
          </a:extLst>
        </xdr:cNvPr>
        <xdr:cNvSpPr/>
      </xdr:nvSpPr>
      <xdr:spPr>
        <a:xfrm flipH="1">
          <a:off x="9877840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138044</xdr:colOff>
      <xdr:row>29</xdr:row>
      <xdr:rowOff>138044</xdr:rowOff>
    </xdr:from>
    <xdr:to>
      <xdr:col>26</xdr:col>
      <xdr:colOff>63825</xdr:colOff>
      <xdr:row>30</xdr:row>
      <xdr:rowOff>138044</xdr:rowOff>
    </xdr:to>
    <xdr:sp macro="" textlink="">
      <xdr:nvSpPr>
        <xdr:cNvPr id="777" name="5-Point Star 520">
          <a:extLst>
            <a:ext uri="{FF2B5EF4-FFF2-40B4-BE49-F238E27FC236}">
              <a16:creationId xmlns:a16="http://schemas.microsoft.com/office/drawing/2014/main" id="{59DA1E82-D2A5-461C-B0E7-A20C09D27094}"/>
            </a:ext>
          </a:extLst>
        </xdr:cNvPr>
        <xdr:cNvSpPr/>
      </xdr:nvSpPr>
      <xdr:spPr>
        <a:xfrm flipH="1">
          <a:off x="15378044" y="492594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96630</xdr:colOff>
      <xdr:row>20</xdr:row>
      <xdr:rowOff>0</xdr:rowOff>
    </xdr:from>
    <xdr:to>
      <xdr:col>13</xdr:col>
      <xdr:colOff>178504</xdr:colOff>
      <xdr:row>20</xdr:row>
      <xdr:rowOff>10584</xdr:rowOff>
    </xdr:to>
    <xdr:cxnSp macro="">
      <xdr:nvCxnSpPr>
        <xdr:cNvPr id="779" name="Curved Connector 523">
          <a:extLst>
            <a:ext uri="{FF2B5EF4-FFF2-40B4-BE49-F238E27FC236}">
              <a16:creationId xmlns:a16="http://schemas.microsoft.com/office/drawing/2014/main" id="{B1493687-473F-43D2-B720-C9C8EEC736D8}"/>
            </a:ext>
          </a:extLst>
        </xdr:cNvPr>
        <xdr:cNvCxnSpPr/>
      </xdr:nvCxnSpPr>
      <xdr:spPr>
        <a:xfrm rot="16200000" flipH="1">
          <a:off x="7447475" y="2669455"/>
          <a:ext cx="1058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13805</xdr:colOff>
      <xdr:row>100</xdr:row>
      <xdr:rowOff>165654</xdr:rowOff>
    </xdr:from>
    <xdr:to>
      <xdr:col>28</xdr:col>
      <xdr:colOff>238662</xdr:colOff>
      <xdr:row>100</xdr:row>
      <xdr:rowOff>176238</xdr:rowOff>
    </xdr:to>
    <xdr:cxnSp macro="">
      <xdr:nvCxnSpPr>
        <xdr:cNvPr id="780" name="Curved Connector 522">
          <a:extLst>
            <a:ext uri="{FF2B5EF4-FFF2-40B4-BE49-F238E27FC236}">
              <a16:creationId xmlns:a16="http://schemas.microsoft.com/office/drawing/2014/main" id="{D267C89F-C1BC-461D-B5D9-5FEA327E55D8}"/>
            </a:ext>
          </a:extLst>
        </xdr:cNvPr>
        <xdr:cNvCxnSpPr/>
      </xdr:nvCxnSpPr>
      <xdr:spPr>
        <a:xfrm rot="16200000" flipH="1">
          <a:off x="16580142" y="15838267"/>
          <a:ext cx="10584" cy="1444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27609</xdr:colOff>
      <xdr:row>100</xdr:row>
      <xdr:rowOff>179458</xdr:rowOff>
    </xdr:from>
    <xdr:to>
      <xdr:col>32</xdr:col>
      <xdr:colOff>17793</xdr:colOff>
      <xdr:row>100</xdr:row>
      <xdr:rowOff>190042</xdr:rowOff>
    </xdr:to>
    <xdr:cxnSp macro="">
      <xdr:nvCxnSpPr>
        <xdr:cNvPr id="781" name="Curved Connector 522">
          <a:extLst>
            <a:ext uri="{FF2B5EF4-FFF2-40B4-BE49-F238E27FC236}">
              <a16:creationId xmlns:a16="http://schemas.microsoft.com/office/drawing/2014/main" id="{80459EE2-B076-4999-A803-A4B45417ED21}"/>
            </a:ext>
          </a:extLst>
        </xdr:cNvPr>
        <xdr:cNvCxnSpPr/>
      </xdr:nvCxnSpPr>
      <xdr:spPr>
        <a:xfrm rot="16200000" flipH="1">
          <a:off x="18613384" y="156614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41414</xdr:colOff>
      <xdr:row>101</xdr:row>
      <xdr:rowOff>1</xdr:rowOff>
    </xdr:from>
    <xdr:to>
      <xdr:col>34</xdr:col>
      <xdr:colOff>224858</xdr:colOff>
      <xdr:row>101</xdr:row>
      <xdr:rowOff>10585</xdr:rowOff>
    </xdr:to>
    <xdr:cxnSp macro="">
      <xdr:nvCxnSpPr>
        <xdr:cNvPr id="782" name="Curved Connector 522">
          <a:extLst>
            <a:ext uri="{FF2B5EF4-FFF2-40B4-BE49-F238E27FC236}">
              <a16:creationId xmlns:a16="http://schemas.microsoft.com/office/drawing/2014/main" id="{7EE1C0A2-CE98-480C-B048-02C476A50A18}"/>
            </a:ext>
          </a:extLst>
        </xdr:cNvPr>
        <xdr:cNvCxnSpPr/>
      </xdr:nvCxnSpPr>
      <xdr:spPr>
        <a:xfrm rot="16200000" flipH="1">
          <a:off x="20244644" y="15877471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13804</xdr:colOff>
      <xdr:row>101</xdr:row>
      <xdr:rowOff>0</xdr:rowOff>
    </xdr:from>
    <xdr:to>
      <xdr:col>37</xdr:col>
      <xdr:colOff>169640</xdr:colOff>
      <xdr:row>101</xdr:row>
      <xdr:rowOff>10584</xdr:rowOff>
    </xdr:to>
    <xdr:cxnSp macro="">
      <xdr:nvCxnSpPr>
        <xdr:cNvPr id="783" name="Curved Connector 522">
          <a:extLst>
            <a:ext uri="{FF2B5EF4-FFF2-40B4-BE49-F238E27FC236}">
              <a16:creationId xmlns:a16="http://schemas.microsoft.com/office/drawing/2014/main" id="{9CF1D139-B186-4D81-8D1B-97E26C2E2952}"/>
            </a:ext>
          </a:extLst>
        </xdr:cNvPr>
        <xdr:cNvCxnSpPr/>
      </xdr:nvCxnSpPr>
      <xdr:spPr>
        <a:xfrm rot="16200000" flipH="1">
          <a:off x="22032030" y="15891274"/>
          <a:ext cx="10584" cy="137503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101</xdr:row>
      <xdr:rowOff>1</xdr:rowOff>
    </xdr:from>
    <xdr:to>
      <xdr:col>40</xdr:col>
      <xdr:colOff>211054</xdr:colOff>
      <xdr:row>101</xdr:row>
      <xdr:rowOff>10585</xdr:rowOff>
    </xdr:to>
    <xdr:cxnSp macro="">
      <xdr:nvCxnSpPr>
        <xdr:cNvPr id="784" name="Curved Connector 522">
          <a:extLst>
            <a:ext uri="{FF2B5EF4-FFF2-40B4-BE49-F238E27FC236}">
              <a16:creationId xmlns:a16="http://schemas.microsoft.com/office/drawing/2014/main" id="{54632E94-B677-4F32-B012-695FFEDC43A9}"/>
            </a:ext>
          </a:extLst>
        </xdr:cNvPr>
        <xdr:cNvCxnSpPr/>
      </xdr:nvCxnSpPr>
      <xdr:spPr>
        <a:xfrm rot="16200000" flipH="1">
          <a:off x="23881538" y="15870568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234675</xdr:colOff>
      <xdr:row>100</xdr:row>
      <xdr:rowOff>179458</xdr:rowOff>
    </xdr:from>
    <xdr:to>
      <xdr:col>43</xdr:col>
      <xdr:colOff>169641</xdr:colOff>
      <xdr:row>100</xdr:row>
      <xdr:rowOff>190042</xdr:rowOff>
    </xdr:to>
    <xdr:cxnSp macro="">
      <xdr:nvCxnSpPr>
        <xdr:cNvPr id="785" name="Curved Connector 522">
          <a:extLst>
            <a:ext uri="{FF2B5EF4-FFF2-40B4-BE49-F238E27FC236}">
              <a16:creationId xmlns:a16="http://schemas.microsoft.com/office/drawing/2014/main" id="{88898A99-380B-4868-85AD-0350C040FAF9}"/>
            </a:ext>
          </a:extLst>
        </xdr:cNvPr>
        <xdr:cNvCxnSpPr/>
      </xdr:nvCxnSpPr>
      <xdr:spPr>
        <a:xfrm rot="16200000" flipH="1">
          <a:off x="25498441" y="15689042"/>
          <a:ext cx="4234" cy="17637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109</xdr:row>
      <xdr:rowOff>179458</xdr:rowOff>
    </xdr:from>
    <xdr:to>
      <xdr:col>4</xdr:col>
      <xdr:colOff>224858</xdr:colOff>
      <xdr:row>109</xdr:row>
      <xdr:rowOff>190042</xdr:rowOff>
    </xdr:to>
    <xdr:cxnSp macro="">
      <xdr:nvCxnSpPr>
        <xdr:cNvPr id="786" name="Curved Connector 522">
          <a:extLst>
            <a:ext uri="{FF2B5EF4-FFF2-40B4-BE49-F238E27FC236}">
              <a16:creationId xmlns:a16="http://schemas.microsoft.com/office/drawing/2014/main" id="{E052611E-2CCD-4DB4-AB48-55619AC8AFFA}"/>
            </a:ext>
          </a:extLst>
        </xdr:cNvPr>
        <xdr:cNvCxnSpPr/>
      </xdr:nvCxnSpPr>
      <xdr:spPr>
        <a:xfrm rot="16200000" flipH="1">
          <a:off x="1939112" y="17322096"/>
          <a:ext cx="423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13806</xdr:colOff>
      <xdr:row>109</xdr:row>
      <xdr:rowOff>165653</xdr:rowOff>
    </xdr:from>
    <xdr:to>
      <xdr:col>8</xdr:col>
      <xdr:colOff>59207</xdr:colOff>
      <xdr:row>109</xdr:row>
      <xdr:rowOff>176237</xdr:rowOff>
    </xdr:to>
    <xdr:cxnSp macro="">
      <xdr:nvCxnSpPr>
        <xdr:cNvPr id="787" name="Curved Connector 522">
          <a:extLst>
            <a:ext uri="{FF2B5EF4-FFF2-40B4-BE49-F238E27FC236}">
              <a16:creationId xmlns:a16="http://schemas.microsoft.com/office/drawing/2014/main" id="{105FB5C4-D04E-4C99-8073-E207EB922B44}"/>
            </a:ext>
          </a:extLst>
        </xdr:cNvPr>
        <xdr:cNvCxnSpPr/>
      </xdr:nvCxnSpPr>
      <xdr:spPr>
        <a:xfrm rot="16200000" flipH="1">
          <a:off x="3993615" y="17096394"/>
          <a:ext cx="10584" cy="18742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110</xdr:row>
      <xdr:rowOff>1</xdr:rowOff>
    </xdr:from>
    <xdr:to>
      <xdr:col>11</xdr:col>
      <xdr:colOff>17793</xdr:colOff>
      <xdr:row>110</xdr:row>
      <xdr:rowOff>10585</xdr:rowOff>
    </xdr:to>
    <xdr:cxnSp macro="">
      <xdr:nvCxnSpPr>
        <xdr:cNvPr id="788" name="Curved Connector 522">
          <a:extLst>
            <a:ext uri="{FF2B5EF4-FFF2-40B4-BE49-F238E27FC236}">
              <a16:creationId xmlns:a16="http://schemas.microsoft.com/office/drawing/2014/main" id="{246AC5B8-7AD8-4D05-B868-A858736DB5D9}"/>
            </a:ext>
          </a:extLst>
        </xdr:cNvPr>
        <xdr:cNvCxnSpPr/>
      </xdr:nvCxnSpPr>
      <xdr:spPr>
        <a:xfrm rot="16200000" flipH="1">
          <a:off x="5829316" y="17163208"/>
          <a:ext cx="10584" cy="17775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124240</xdr:colOff>
      <xdr:row>20</xdr:row>
      <xdr:rowOff>13804</xdr:rowOff>
    </xdr:from>
    <xdr:to>
      <xdr:col>22</xdr:col>
      <xdr:colOff>233723</xdr:colOff>
      <xdr:row>20</xdr:row>
      <xdr:rowOff>24388</xdr:rowOff>
    </xdr:to>
    <xdr:cxnSp macro="">
      <xdr:nvCxnSpPr>
        <xdr:cNvPr id="789" name="Curved Connector 523">
          <a:extLst>
            <a:ext uri="{FF2B5EF4-FFF2-40B4-BE49-F238E27FC236}">
              <a16:creationId xmlns:a16="http://schemas.microsoft.com/office/drawing/2014/main" id="{66AEC2AB-854B-46AB-8454-B3CB73310C9A}"/>
            </a:ext>
          </a:extLst>
        </xdr:cNvPr>
        <xdr:cNvCxnSpPr/>
      </xdr:nvCxnSpPr>
      <xdr:spPr>
        <a:xfrm rot="16200000" flipH="1">
          <a:off x="12975290" y="2669454"/>
          <a:ext cx="10584" cy="13286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69022</xdr:colOff>
      <xdr:row>19</xdr:row>
      <xdr:rowOff>179457</xdr:rowOff>
    </xdr:from>
    <xdr:to>
      <xdr:col>19</xdr:col>
      <xdr:colOff>219918</xdr:colOff>
      <xdr:row>19</xdr:row>
      <xdr:rowOff>190041</xdr:rowOff>
    </xdr:to>
    <xdr:cxnSp macro="">
      <xdr:nvCxnSpPr>
        <xdr:cNvPr id="790" name="Curved Connector 523">
          <a:extLst>
            <a:ext uri="{FF2B5EF4-FFF2-40B4-BE49-F238E27FC236}">
              <a16:creationId xmlns:a16="http://schemas.microsoft.com/office/drawing/2014/main" id="{24BC9048-A753-4726-A13C-DB529BC0F43B}"/>
            </a:ext>
          </a:extLst>
        </xdr:cNvPr>
        <xdr:cNvCxnSpPr/>
      </xdr:nvCxnSpPr>
      <xdr:spPr>
        <a:xfrm rot="16200000" flipH="1">
          <a:off x="11115153" y="2627076"/>
          <a:ext cx="4234" cy="1370096"/>
        </a:xfrm>
        <a:prstGeom prst="curvedConnector3">
          <a:avLst>
            <a:gd name="adj1" fmla="val 2724303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27609</xdr:colOff>
      <xdr:row>110</xdr:row>
      <xdr:rowOff>27610</xdr:rowOff>
    </xdr:from>
    <xdr:to>
      <xdr:col>34</xdr:col>
      <xdr:colOff>219163</xdr:colOff>
      <xdr:row>110</xdr:row>
      <xdr:rowOff>38194</xdr:rowOff>
    </xdr:to>
    <xdr:cxnSp macro="">
      <xdr:nvCxnSpPr>
        <xdr:cNvPr id="791" name="Curved Connector 522">
          <a:extLst>
            <a:ext uri="{FF2B5EF4-FFF2-40B4-BE49-F238E27FC236}">
              <a16:creationId xmlns:a16="http://schemas.microsoft.com/office/drawing/2014/main" id="{9929419F-CC0D-42EF-AE00-59B803DBDDCB}"/>
            </a:ext>
          </a:extLst>
        </xdr:cNvPr>
        <xdr:cNvCxnSpPr/>
      </xdr:nvCxnSpPr>
      <xdr:spPr>
        <a:xfrm rot="16200000" flipH="1">
          <a:off x="20234894" y="17374225"/>
          <a:ext cx="10584" cy="14107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248479</xdr:colOff>
      <xdr:row>109</xdr:row>
      <xdr:rowOff>179458</xdr:rowOff>
    </xdr:from>
    <xdr:to>
      <xdr:col>16</xdr:col>
      <xdr:colOff>238663</xdr:colOff>
      <xdr:row>109</xdr:row>
      <xdr:rowOff>190042</xdr:rowOff>
    </xdr:to>
    <xdr:cxnSp macro="">
      <xdr:nvCxnSpPr>
        <xdr:cNvPr id="792" name="Curved Connector 522">
          <a:extLst>
            <a:ext uri="{FF2B5EF4-FFF2-40B4-BE49-F238E27FC236}">
              <a16:creationId xmlns:a16="http://schemas.microsoft.com/office/drawing/2014/main" id="{5C68DE10-EF9C-46AE-8F67-5A0DD0BFC0F5}"/>
            </a:ext>
          </a:extLst>
        </xdr:cNvPr>
        <xdr:cNvCxnSpPr/>
      </xdr:nvCxnSpPr>
      <xdr:spPr>
        <a:xfrm rot="16200000" flipH="1">
          <a:off x="9080654" y="171346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248480</xdr:colOff>
      <xdr:row>109</xdr:row>
      <xdr:rowOff>179458</xdr:rowOff>
    </xdr:from>
    <xdr:to>
      <xdr:col>31</xdr:col>
      <xdr:colOff>246773</xdr:colOff>
      <xdr:row>109</xdr:row>
      <xdr:rowOff>190042</xdr:rowOff>
    </xdr:to>
    <xdr:cxnSp macro="">
      <xdr:nvCxnSpPr>
        <xdr:cNvPr id="793" name="Curved Connector 522">
          <a:extLst>
            <a:ext uri="{FF2B5EF4-FFF2-40B4-BE49-F238E27FC236}">
              <a16:creationId xmlns:a16="http://schemas.microsoft.com/office/drawing/2014/main" id="{AC0DCB92-3CE5-45C5-837A-076877B25387}"/>
            </a:ext>
          </a:extLst>
        </xdr:cNvPr>
        <xdr:cNvCxnSpPr/>
      </xdr:nvCxnSpPr>
      <xdr:spPr>
        <a:xfrm rot="16200000" flipH="1">
          <a:off x="18228710" y="17130578"/>
          <a:ext cx="4234" cy="18270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69025</xdr:colOff>
      <xdr:row>11</xdr:row>
      <xdr:rowOff>13808</xdr:rowOff>
    </xdr:from>
    <xdr:to>
      <xdr:col>43</xdr:col>
      <xdr:colOff>135407</xdr:colOff>
      <xdr:row>11</xdr:row>
      <xdr:rowOff>24392</xdr:rowOff>
    </xdr:to>
    <xdr:cxnSp macro="">
      <xdr:nvCxnSpPr>
        <xdr:cNvPr id="794" name="Curved Connector 523">
          <a:extLst>
            <a:ext uri="{FF2B5EF4-FFF2-40B4-BE49-F238E27FC236}">
              <a16:creationId xmlns:a16="http://schemas.microsoft.com/office/drawing/2014/main" id="{F7BF459D-CBD5-4512-BEBB-0386A9688AAB}"/>
            </a:ext>
          </a:extLst>
        </xdr:cNvPr>
        <xdr:cNvCxnSpPr/>
      </xdr:nvCxnSpPr>
      <xdr:spPr>
        <a:xfrm rot="16200000" flipH="1">
          <a:off x="25700124" y="1217809"/>
          <a:ext cx="10584" cy="12855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110435</xdr:colOff>
      <xdr:row>20</xdr:row>
      <xdr:rowOff>1</xdr:rowOff>
    </xdr:from>
    <xdr:to>
      <xdr:col>4</xdr:col>
      <xdr:colOff>204427</xdr:colOff>
      <xdr:row>20</xdr:row>
      <xdr:rowOff>10585</xdr:rowOff>
    </xdr:to>
    <xdr:cxnSp macro="">
      <xdr:nvCxnSpPr>
        <xdr:cNvPr id="795" name="Curved Connector 523">
          <a:extLst>
            <a:ext uri="{FF2B5EF4-FFF2-40B4-BE49-F238E27FC236}">
              <a16:creationId xmlns:a16="http://schemas.microsoft.com/office/drawing/2014/main" id="{63BCD480-128B-432F-945E-C5E7AA1885F2}"/>
            </a:ext>
          </a:extLst>
        </xdr:cNvPr>
        <xdr:cNvCxnSpPr/>
      </xdr:nvCxnSpPr>
      <xdr:spPr>
        <a:xfrm rot="16200000" flipH="1">
          <a:off x="1980939" y="2663397"/>
          <a:ext cx="10584" cy="13131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19</xdr:row>
      <xdr:rowOff>179458</xdr:rowOff>
    </xdr:from>
    <xdr:to>
      <xdr:col>7</xdr:col>
      <xdr:colOff>218231</xdr:colOff>
      <xdr:row>19</xdr:row>
      <xdr:rowOff>190042</xdr:rowOff>
    </xdr:to>
    <xdr:cxnSp macro="">
      <xdr:nvCxnSpPr>
        <xdr:cNvPr id="796" name="Curved Connector 523">
          <a:extLst>
            <a:ext uri="{FF2B5EF4-FFF2-40B4-BE49-F238E27FC236}">
              <a16:creationId xmlns:a16="http://schemas.microsoft.com/office/drawing/2014/main" id="{86FEB9D2-88ED-4801-AD4E-9C432AD5796C}"/>
            </a:ext>
          </a:extLst>
        </xdr:cNvPr>
        <xdr:cNvCxnSpPr/>
      </xdr:nvCxnSpPr>
      <xdr:spPr>
        <a:xfrm rot="16200000" flipH="1">
          <a:off x="3785306" y="2614116"/>
          <a:ext cx="4234" cy="1396017"/>
        </a:xfrm>
        <a:prstGeom prst="curvedConnector3">
          <a:avLst>
            <a:gd name="adj1" fmla="val 341650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20</xdr:row>
      <xdr:rowOff>13805</xdr:rowOff>
    </xdr:from>
    <xdr:to>
      <xdr:col>10</xdr:col>
      <xdr:colOff>190623</xdr:colOff>
      <xdr:row>20</xdr:row>
      <xdr:rowOff>24389</xdr:rowOff>
    </xdr:to>
    <xdr:cxnSp macro="">
      <xdr:nvCxnSpPr>
        <xdr:cNvPr id="797" name="Curved Connector 523">
          <a:extLst>
            <a:ext uri="{FF2B5EF4-FFF2-40B4-BE49-F238E27FC236}">
              <a16:creationId xmlns:a16="http://schemas.microsoft.com/office/drawing/2014/main" id="{5942312A-ABE3-4EB8-B9FE-FCE8EDC5F4B2}"/>
            </a:ext>
          </a:extLst>
        </xdr:cNvPr>
        <xdr:cNvCxnSpPr/>
      </xdr:nvCxnSpPr>
      <xdr:spPr>
        <a:xfrm rot="16200000" flipH="1">
          <a:off x="5631638" y="2684103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20</xdr:row>
      <xdr:rowOff>1</xdr:rowOff>
    </xdr:from>
    <xdr:to>
      <xdr:col>16</xdr:col>
      <xdr:colOff>190623</xdr:colOff>
      <xdr:row>20</xdr:row>
      <xdr:rowOff>10585</xdr:rowOff>
    </xdr:to>
    <xdr:cxnSp macro="">
      <xdr:nvCxnSpPr>
        <xdr:cNvPr id="798" name="Curved Connector 523">
          <a:extLst>
            <a:ext uri="{FF2B5EF4-FFF2-40B4-BE49-F238E27FC236}">
              <a16:creationId xmlns:a16="http://schemas.microsoft.com/office/drawing/2014/main" id="{2D29709C-5C7F-42C7-8B9D-399A1C420218}"/>
            </a:ext>
          </a:extLst>
        </xdr:cNvPr>
        <xdr:cNvCxnSpPr/>
      </xdr:nvCxnSpPr>
      <xdr:spPr>
        <a:xfrm rot="16200000" flipH="1">
          <a:off x="9268531" y="26495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96631</xdr:colOff>
      <xdr:row>11</xdr:row>
      <xdr:rowOff>27610</xdr:rowOff>
    </xdr:from>
    <xdr:to>
      <xdr:col>37</xdr:col>
      <xdr:colOff>121601</xdr:colOff>
      <xdr:row>11</xdr:row>
      <xdr:rowOff>38194</xdr:rowOff>
    </xdr:to>
    <xdr:cxnSp macro="">
      <xdr:nvCxnSpPr>
        <xdr:cNvPr id="799" name="Curved Connector 523">
          <a:extLst>
            <a:ext uri="{FF2B5EF4-FFF2-40B4-BE49-F238E27FC236}">
              <a16:creationId xmlns:a16="http://schemas.microsoft.com/office/drawing/2014/main" id="{889FB332-0485-461D-B1E5-57892C6AF1C6}"/>
            </a:ext>
          </a:extLst>
        </xdr:cNvPr>
        <xdr:cNvCxnSpPr/>
      </xdr:nvCxnSpPr>
      <xdr:spPr>
        <a:xfrm rot="16200000" flipH="1">
          <a:off x="22049424" y="1252317"/>
          <a:ext cx="10584" cy="12441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82827</xdr:colOff>
      <xdr:row>11</xdr:row>
      <xdr:rowOff>2</xdr:rowOff>
    </xdr:from>
    <xdr:to>
      <xdr:col>40</xdr:col>
      <xdr:colOff>149210</xdr:colOff>
      <xdr:row>11</xdr:row>
      <xdr:rowOff>10586</xdr:rowOff>
    </xdr:to>
    <xdr:cxnSp macro="">
      <xdr:nvCxnSpPr>
        <xdr:cNvPr id="800" name="Curved Connector 523">
          <a:extLst>
            <a:ext uri="{FF2B5EF4-FFF2-40B4-BE49-F238E27FC236}">
              <a16:creationId xmlns:a16="http://schemas.microsoft.com/office/drawing/2014/main" id="{7FD4AF6D-BD08-4591-A666-BDF1E30C6067}"/>
            </a:ext>
          </a:extLst>
        </xdr:cNvPr>
        <xdr:cNvCxnSpPr/>
      </xdr:nvCxnSpPr>
      <xdr:spPr>
        <a:xfrm rot="16200000" flipH="1">
          <a:off x="23885127" y="1204002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151848</xdr:colOff>
      <xdr:row>47</xdr:row>
      <xdr:rowOff>138043</xdr:rowOff>
    </xdr:from>
    <xdr:to>
      <xdr:col>11</xdr:col>
      <xdr:colOff>98932</xdr:colOff>
      <xdr:row>48</xdr:row>
      <xdr:rowOff>127461</xdr:rowOff>
    </xdr:to>
    <xdr:sp macro="" textlink="">
      <xdr:nvSpPr>
        <xdr:cNvPr id="801" name="5-Point Star 520">
          <a:extLst>
            <a:ext uri="{FF2B5EF4-FFF2-40B4-BE49-F238E27FC236}">
              <a16:creationId xmlns:a16="http://schemas.microsoft.com/office/drawing/2014/main" id="{2B73BC3B-AC4F-4C46-91B1-332F85164E34}"/>
            </a:ext>
          </a:extLst>
        </xdr:cNvPr>
        <xdr:cNvSpPr/>
      </xdr:nvSpPr>
      <xdr:spPr>
        <a:xfrm>
          <a:off x="6247848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151847</xdr:colOff>
      <xdr:row>47</xdr:row>
      <xdr:rowOff>138043</xdr:rowOff>
    </xdr:from>
    <xdr:to>
      <xdr:col>14</xdr:col>
      <xdr:colOff>98932</xdr:colOff>
      <xdr:row>48</xdr:row>
      <xdr:rowOff>127461</xdr:rowOff>
    </xdr:to>
    <xdr:sp macro="" textlink="">
      <xdr:nvSpPr>
        <xdr:cNvPr id="802" name="5-Point Star 520">
          <a:extLst>
            <a:ext uri="{FF2B5EF4-FFF2-40B4-BE49-F238E27FC236}">
              <a16:creationId xmlns:a16="http://schemas.microsoft.com/office/drawing/2014/main" id="{9C6248CC-A682-4788-A523-B953F640C609}"/>
            </a:ext>
          </a:extLst>
        </xdr:cNvPr>
        <xdr:cNvSpPr/>
      </xdr:nvSpPr>
      <xdr:spPr>
        <a:xfrm>
          <a:off x="8076647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138044</xdr:colOff>
      <xdr:row>47</xdr:row>
      <xdr:rowOff>124239</xdr:rowOff>
    </xdr:from>
    <xdr:to>
      <xdr:col>17</xdr:col>
      <xdr:colOff>85128</xdr:colOff>
      <xdr:row>48</xdr:row>
      <xdr:rowOff>113657</xdr:rowOff>
    </xdr:to>
    <xdr:sp macro="" textlink="">
      <xdr:nvSpPr>
        <xdr:cNvPr id="803" name="5-Point Star 520">
          <a:extLst>
            <a:ext uri="{FF2B5EF4-FFF2-40B4-BE49-F238E27FC236}">
              <a16:creationId xmlns:a16="http://schemas.microsoft.com/office/drawing/2014/main" id="{D359D680-8697-44A2-92F4-0518219980C6}"/>
            </a:ext>
          </a:extLst>
        </xdr:cNvPr>
        <xdr:cNvSpPr/>
      </xdr:nvSpPr>
      <xdr:spPr>
        <a:xfrm>
          <a:off x="9891644" y="7858539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151849</xdr:colOff>
      <xdr:row>47</xdr:row>
      <xdr:rowOff>151848</xdr:rowOff>
    </xdr:from>
    <xdr:to>
      <xdr:col>20</xdr:col>
      <xdr:colOff>98933</xdr:colOff>
      <xdr:row>48</xdr:row>
      <xdr:rowOff>141266</xdr:rowOff>
    </xdr:to>
    <xdr:sp macro="" textlink="">
      <xdr:nvSpPr>
        <xdr:cNvPr id="804" name="5-Point Star 520">
          <a:extLst>
            <a:ext uri="{FF2B5EF4-FFF2-40B4-BE49-F238E27FC236}">
              <a16:creationId xmlns:a16="http://schemas.microsoft.com/office/drawing/2014/main" id="{F7A5A358-F784-4652-BADE-D9137925D53B}"/>
            </a:ext>
          </a:extLst>
        </xdr:cNvPr>
        <xdr:cNvSpPr/>
      </xdr:nvSpPr>
      <xdr:spPr>
        <a:xfrm>
          <a:off x="11734249" y="7886148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47</xdr:row>
      <xdr:rowOff>138044</xdr:rowOff>
    </xdr:from>
    <xdr:to>
      <xdr:col>23</xdr:col>
      <xdr:colOff>98932</xdr:colOff>
      <xdr:row>48</xdr:row>
      <xdr:rowOff>127462</xdr:rowOff>
    </xdr:to>
    <xdr:sp macro="" textlink="">
      <xdr:nvSpPr>
        <xdr:cNvPr id="805" name="5-Point Star 520">
          <a:extLst>
            <a:ext uri="{FF2B5EF4-FFF2-40B4-BE49-F238E27FC236}">
              <a16:creationId xmlns:a16="http://schemas.microsoft.com/office/drawing/2014/main" id="{1231920C-66F5-4BCC-B341-DC327E7D3BC3}"/>
            </a:ext>
          </a:extLst>
        </xdr:cNvPr>
        <xdr:cNvSpPr/>
      </xdr:nvSpPr>
      <xdr:spPr>
        <a:xfrm>
          <a:off x="13563048" y="787234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151848</xdr:colOff>
      <xdr:row>47</xdr:row>
      <xdr:rowOff>138043</xdr:rowOff>
    </xdr:from>
    <xdr:to>
      <xdr:col>26</xdr:col>
      <xdr:colOff>98933</xdr:colOff>
      <xdr:row>48</xdr:row>
      <xdr:rowOff>127461</xdr:rowOff>
    </xdr:to>
    <xdr:sp macro="" textlink="">
      <xdr:nvSpPr>
        <xdr:cNvPr id="806" name="5-Point Star 520">
          <a:extLst>
            <a:ext uri="{FF2B5EF4-FFF2-40B4-BE49-F238E27FC236}">
              <a16:creationId xmlns:a16="http://schemas.microsoft.com/office/drawing/2014/main" id="{3008CCE6-AE3D-4ACB-B8AA-01B30409E693}"/>
            </a:ext>
          </a:extLst>
        </xdr:cNvPr>
        <xdr:cNvSpPr/>
      </xdr:nvSpPr>
      <xdr:spPr>
        <a:xfrm>
          <a:off x="15391848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165652</xdr:colOff>
      <xdr:row>47</xdr:row>
      <xdr:rowOff>138043</xdr:rowOff>
    </xdr:from>
    <xdr:to>
      <xdr:col>29</xdr:col>
      <xdr:colOff>112736</xdr:colOff>
      <xdr:row>48</xdr:row>
      <xdr:rowOff>127461</xdr:rowOff>
    </xdr:to>
    <xdr:sp macro="" textlink="">
      <xdr:nvSpPr>
        <xdr:cNvPr id="807" name="5-Point Star 520">
          <a:extLst>
            <a:ext uri="{FF2B5EF4-FFF2-40B4-BE49-F238E27FC236}">
              <a16:creationId xmlns:a16="http://schemas.microsoft.com/office/drawing/2014/main" id="{36F5BB5D-DB77-436B-8001-8759801B110A}"/>
            </a:ext>
          </a:extLst>
        </xdr:cNvPr>
        <xdr:cNvSpPr/>
      </xdr:nvSpPr>
      <xdr:spPr>
        <a:xfrm>
          <a:off x="17234452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151847</xdr:colOff>
      <xdr:row>47</xdr:row>
      <xdr:rowOff>110434</xdr:rowOff>
    </xdr:from>
    <xdr:to>
      <xdr:col>32</xdr:col>
      <xdr:colOff>98932</xdr:colOff>
      <xdr:row>48</xdr:row>
      <xdr:rowOff>99852</xdr:rowOff>
    </xdr:to>
    <xdr:sp macro="" textlink="">
      <xdr:nvSpPr>
        <xdr:cNvPr id="808" name="5-Point Star 520">
          <a:extLst>
            <a:ext uri="{FF2B5EF4-FFF2-40B4-BE49-F238E27FC236}">
              <a16:creationId xmlns:a16="http://schemas.microsoft.com/office/drawing/2014/main" id="{827D8481-1704-41A6-8F14-184E15A6EF4A}"/>
            </a:ext>
          </a:extLst>
        </xdr:cNvPr>
        <xdr:cNvSpPr/>
      </xdr:nvSpPr>
      <xdr:spPr>
        <a:xfrm>
          <a:off x="19049447" y="784473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165652</xdr:colOff>
      <xdr:row>47</xdr:row>
      <xdr:rowOff>110434</xdr:rowOff>
    </xdr:from>
    <xdr:to>
      <xdr:col>35</xdr:col>
      <xdr:colOff>112736</xdr:colOff>
      <xdr:row>48</xdr:row>
      <xdr:rowOff>99852</xdr:rowOff>
    </xdr:to>
    <xdr:sp macro="" textlink="">
      <xdr:nvSpPr>
        <xdr:cNvPr id="809" name="5-Point Star 520">
          <a:extLst>
            <a:ext uri="{FF2B5EF4-FFF2-40B4-BE49-F238E27FC236}">
              <a16:creationId xmlns:a16="http://schemas.microsoft.com/office/drawing/2014/main" id="{DCC8973C-CFDB-4594-92A7-383E82653E05}"/>
            </a:ext>
          </a:extLst>
        </xdr:cNvPr>
        <xdr:cNvSpPr/>
      </xdr:nvSpPr>
      <xdr:spPr>
        <a:xfrm>
          <a:off x="20892052" y="784473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151847</xdr:colOff>
      <xdr:row>47</xdr:row>
      <xdr:rowOff>138043</xdr:rowOff>
    </xdr:from>
    <xdr:to>
      <xdr:col>38</xdr:col>
      <xdr:colOff>98931</xdr:colOff>
      <xdr:row>48</xdr:row>
      <xdr:rowOff>127461</xdr:rowOff>
    </xdr:to>
    <xdr:sp macro="" textlink="">
      <xdr:nvSpPr>
        <xdr:cNvPr id="810" name="5-Point Star 520">
          <a:extLst>
            <a:ext uri="{FF2B5EF4-FFF2-40B4-BE49-F238E27FC236}">
              <a16:creationId xmlns:a16="http://schemas.microsoft.com/office/drawing/2014/main" id="{586EAE56-1145-4CCE-B6B9-313F947446B3}"/>
            </a:ext>
          </a:extLst>
        </xdr:cNvPr>
        <xdr:cNvSpPr/>
      </xdr:nvSpPr>
      <xdr:spPr>
        <a:xfrm>
          <a:off x="22707047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138043</xdr:colOff>
      <xdr:row>47</xdr:row>
      <xdr:rowOff>138044</xdr:rowOff>
    </xdr:from>
    <xdr:to>
      <xdr:col>41</xdr:col>
      <xdr:colOff>85128</xdr:colOff>
      <xdr:row>48</xdr:row>
      <xdr:rowOff>127462</xdr:rowOff>
    </xdr:to>
    <xdr:sp macro="" textlink="">
      <xdr:nvSpPr>
        <xdr:cNvPr id="811" name="5-Point Star 520">
          <a:extLst>
            <a:ext uri="{FF2B5EF4-FFF2-40B4-BE49-F238E27FC236}">
              <a16:creationId xmlns:a16="http://schemas.microsoft.com/office/drawing/2014/main" id="{111F3CDC-DAFC-4A45-A136-C9C9B26451BC}"/>
            </a:ext>
          </a:extLst>
        </xdr:cNvPr>
        <xdr:cNvSpPr/>
      </xdr:nvSpPr>
      <xdr:spPr>
        <a:xfrm>
          <a:off x="24522043" y="787234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13806</xdr:colOff>
      <xdr:row>29</xdr:row>
      <xdr:rowOff>13806</xdr:rowOff>
    </xdr:from>
    <xdr:to>
      <xdr:col>7</xdr:col>
      <xdr:colOff>190623</xdr:colOff>
      <xdr:row>29</xdr:row>
      <xdr:rowOff>24390</xdr:rowOff>
    </xdr:to>
    <xdr:cxnSp macro="">
      <xdr:nvCxnSpPr>
        <xdr:cNvPr id="812" name="Curved Connector 523">
          <a:extLst>
            <a:ext uri="{FF2B5EF4-FFF2-40B4-BE49-F238E27FC236}">
              <a16:creationId xmlns:a16="http://schemas.microsoft.com/office/drawing/2014/main" id="{49362DE5-88F9-4832-9DAF-B0220A6DCE74}"/>
            </a:ext>
          </a:extLst>
        </xdr:cNvPr>
        <xdr:cNvCxnSpPr/>
      </xdr:nvCxnSpPr>
      <xdr:spPr>
        <a:xfrm rot="16200000" flipH="1">
          <a:off x="3754523" y="4108989"/>
          <a:ext cx="10584" cy="139601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28</xdr:row>
      <xdr:rowOff>179458</xdr:rowOff>
    </xdr:from>
    <xdr:to>
      <xdr:col>10</xdr:col>
      <xdr:colOff>149210</xdr:colOff>
      <xdr:row>28</xdr:row>
      <xdr:rowOff>190042</xdr:rowOff>
    </xdr:to>
    <xdr:cxnSp macro="">
      <xdr:nvCxnSpPr>
        <xdr:cNvPr id="813" name="Curved Connector 523">
          <a:extLst>
            <a:ext uri="{FF2B5EF4-FFF2-40B4-BE49-F238E27FC236}">
              <a16:creationId xmlns:a16="http://schemas.microsoft.com/office/drawing/2014/main" id="{F9EB39AD-A8D7-485F-935F-D97600A20F39}"/>
            </a:ext>
          </a:extLst>
        </xdr:cNvPr>
        <xdr:cNvCxnSpPr/>
      </xdr:nvCxnSpPr>
      <xdr:spPr>
        <a:xfrm rot="16200000" flipH="1">
          <a:off x="5593400" y="4135631"/>
          <a:ext cx="4234" cy="1299387"/>
        </a:xfrm>
        <a:prstGeom prst="curvedConnector3">
          <a:avLst>
            <a:gd name="adj1" fmla="val 3185782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29</xdr:row>
      <xdr:rowOff>13806</xdr:rowOff>
    </xdr:from>
    <xdr:to>
      <xdr:col>13</xdr:col>
      <xdr:colOff>176818</xdr:colOff>
      <xdr:row>29</xdr:row>
      <xdr:rowOff>24390</xdr:rowOff>
    </xdr:to>
    <xdr:cxnSp macro="">
      <xdr:nvCxnSpPr>
        <xdr:cNvPr id="814" name="Curved Connector 523">
          <a:extLst>
            <a:ext uri="{FF2B5EF4-FFF2-40B4-BE49-F238E27FC236}">
              <a16:creationId xmlns:a16="http://schemas.microsoft.com/office/drawing/2014/main" id="{7677122C-45E5-4453-8E5B-BC1B9454274A}"/>
            </a:ext>
          </a:extLst>
        </xdr:cNvPr>
        <xdr:cNvCxnSpPr/>
      </xdr:nvCxnSpPr>
      <xdr:spPr>
        <a:xfrm rot="16200000" flipH="1">
          <a:off x="7446633" y="4157304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29</xdr:row>
      <xdr:rowOff>1</xdr:rowOff>
    </xdr:from>
    <xdr:to>
      <xdr:col>16</xdr:col>
      <xdr:colOff>190623</xdr:colOff>
      <xdr:row>29</xdr:row>
      <xdr:rowOff>10585</xdr:rowOff>
    </xdr:to>
    <xdr:cxnSp macro="">
      <xdr:nvCxnSpPr>
        <xdr:cNvPr id="815" name="Curved Connector 523">
          <a:extLst>
            <a:ext uri="{FF2B5EF4-FFF2-40B4-BE49-F238E27FC236}">
              <a16:creationId xmlns:a16="http://schemas.microsoft.com/office/drawing/2014/main" id="{FBC1E5F6-AC8A-4EA5-8D1C-F793B80F4F1E}"/>
            </a:ext>
          </a:extLst>
        </xdr:cNvPr>
        <xdr:cNvCxnSpPr/>
      </xdr:nvCxnSpPr>
      <xdr:spPr>
        <a:xfrm rot="16200000" flipH="1">
          <a:off x="9268531" y="41227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41414</xdr:colOff>
      <xdr:row>28</xdr:row>
      <xdr:rowOff>179458</xdr:rowOff>
    </xdr:from>
    <xdr:to>
      <xdr:col>19</xdr:col>
      <xdr:colOff>190623</xdr:colOff>
      <xdr:row>28</xdr:row>
      <xdr:rowOff>190042</xdr:rowOff>
    </xdr:to>
    <xdr:cxnSp macro="">
      <xdr:nvCxnSpPr>
        <xdr:cNvPr id="816" name="Curved Connector 523">
          <a:extLst>
            <a:ext uri="{FF2B5EF4-FFF2-40B4-BE49-F238E27FC236}">
              <a16:creationId xmlns:a16="http://schemas.microsoft.com/office/drawing/2014/main" id="{AD9B5692-E79B-4A76-BCFE-FE1F1C4E0DA1}"/>
            </a:ext>
          </a:extLst>
        </xdr:cNvPr>
        <xdr:cNvCxnSpPr/>
      </xdr:nvCxnSpPr>
      <xdr:spPr>
        <a:xfrm rot="16200000" flipH="1">
          <a:off x="11086702" y="4101120"/>
          <a:ext cx="4234" cy="13684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138044</xdr:colOff>
      <xdr:row>29</xdr:row>
      <xdr:rowOff>110434</xdr:rowOff>
    </xdr:from>
    <xdr:to>
      <xdr:col>23</xdr:col>
      <xdr:colOff>63824</xdr:colOff>
      <xdr:row>30</xdr:row>
      <xdr:rowOff>110434</xdr:rowOff>
    </xdr:to>
    <xdr:sp macro="" textlink="">
      <xdr:nvSpPr>
        <xdr:cNvPr id="817" name="5-Point Star 520">
          <a:extLst>
            <a:ext uri="{FF2B5EF4-FFF2-40B4-BE49-F238E27FC236}">
              <a16:creationId xmlns:a16="http://schemas.microsoft.com/office/drawing/2014/main" id="{F3B8B89B-F427-4DC6-AB00-69241996607E}"/>
            </a:ext>
          </a:extLst>
        </xdr:cNvPr>
        <xdr:cNvSpPr/>
      </xdr:nvSpPr>
      <xdr:spPr>
        <a:xfrm flipH="1">
          <a:off x="13549244" y="489833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179455</xdr:colOff>
      <xdr:row>29</xdr:row>
      <xdr:rowOff>110435</xdr:rowOff>
    </xdr:from>
    <xdr:to>
      <xdr:col>32</xdr:col>
      <xdr:colOff>105236</xdr:colOff>
      <xdr:row>30</xdr:row>
      <xdr:rowOff>110435</xdr:rowOff>
    </xdr:to>
    <xdr:sp macro="" textlink="">
      <xdr:nvSpPr>
        <xdr:cNvPr id="818" name="5-Point Star 520">
          <a:extLst>
            <a:ext uri="{FF2B5EF4-FFF2-40B4-BE49-F238E27FC236}">
              <a16:creationId xmlns:a16="http://schemas.microsoft.com/office/drawing/2014/main" id="{BF4CFFB1-8701-406E-B9AA-E5A12A40C8F8}"/>
            </a:ext>
          </a:extLst>
        </xdr:cNvPr>
        <xdr:cNvSpPr/>
      </xdr:nvSpPr>
      <xdr:spPr>
        <a:xfrm flipH="1">
          <a:off x="19077055" y="48983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151848</xdr:colOff>
      <xdr:row>29</xdr:row>
      <xdr:rowOff>96631</xdr:rowOff>
    </xdr:from>
    <xdr:to>
      <xdr:col>35</xdr:col>
      <xdr:colOff>77628</xdr:colOff>
      <xdr:row>30</xdr:row>
      <xdr:rowOff>96631</xdr:rowOff>
    </xdr:to>
    <xdr:sp macro="" textlink="">
      <xdr:nvSpPr>
        <xdr:cNvPr id="819" name="5-Point Star 520">
          <a:extLst>
            <a:ext uri="{FF2B5EF4-FFF2-40B4-BE49-F238E27FC236}">
              <a16:creationId xmlns:a16="http://schemas.microsoft.com/office/drawing/2014/main" id="{264A3142-BE45-4DC4-A7E0-EAE6BDD9BA0F}"/>
            </a:ext>
          </a:extLst>
        </xdr:cNvPr>
        <xdr:cNvSpPr/>
      </xdr:nvSpPr>
      <xdr:spPr>
        <a:xfrm flipH="1">
          <a:off x="20878248" y="488453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41414</xdr:colOff>
      <xdr:row>110</xdr:row>
      <xdr:rowOff>1</xdr:rowOff>
    </xdr:from>
    <xdr:to>
      <xdr:col>13</xdr:col>
      <xdr:colOff>252467</xdr:colOff>
      <xdr:row>110</xdr:row>
      <xdr:rowOff>10585</xdr:rowOff>
    </xdr:to>
    <xdr:cxnSp macro="">
      <xdr:nvCxnSpPr>
        <xdr:cNvPr id="820" name="Curved Connector 522">
          <a:extLst>
            <a:ext uri="{FF2B5EF4-FFF2-40B4-BE49-F238E27FC236}">
              <a16:creationId xmlns:a16="http://schemas.microsoft.com/office/drawing/2014/main" id="{B06A56E0-0238-4DDE-A49A-4992CE2B50D1}"/>
            </a:ext>
          </a:extLst>
        </xdr:cNvPr>
        <xdr:cNvCxnSpPr/>
      </xdr:nvCxnSpPr>
      <xdr:spPr>
        <a:xfrm rot="16200000" flipH="1">
          <a:off x="7456849" y="17336866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248480</xdr:colOff>
      <xdr:row>109</xdr:row>
      <xdr:rowOff>165653</xdr:rowOff>
    </xdr:from>
    <xdr:to>
      <xdr:col>20</xdr:col>
      <xdr:colOff>3989</xdr:colOff>
      <xdr:row>109</xdr:row>
      <xdr:rowOff>176237</xdr:rowOff>
    </xdr:to>
    <xdr:cxnSp macro="">
      <xdr:nvCxnSpPr>
        <xdr:cNvPr id="821" name="Curved Connector 522">
          <a:extLst>
            <a:ext uri="{FF2B5EF4-FFF2-40B4-BE49-F238E27FC236}">
              <a16:creationId xmlns:a16="http://schemas.microsoft.com/office/drawing/2014/main" id="{85F85389-791A-46E2-8A16-3CD7524DB711}"/>
            </a:ext>
          </a:extLst>
        </xdr:cNvPr>
        <xdr:cNvCxnSpPr/>
      </xdr:nvCxnSpPr>
      <xdr:spPr>
        <a:xfrm rot="16200000" flipH="1">
          <a:off x="11093743" y="16936540"/>
          <a:ext cx="10584" cy="21939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69023</xdr:colOff>
      <xdr:row>28</xdr:row>
      <xdr:rowOff>179458</xdr:rowOff>
    </xdr:from>
    <xdr:to>
      <xdr:col>22</xdr:col>
      <xdr:colOff>176819</xdr:colOff>
      <xdr:row>28</xdr:row>
      <xdr:rowOff>190042</xdr:rowOff>
    </xdr:to>
    <xdr:cxnSp macro="">
      <xdr:nvCxnSpPr>
        <xdr:cNvPr id="823" name="Curved Connector 523">
          <a:extLst>
            <a:ext uri="{FF2B5EF4-FFF2-40B4-BE49-F238E27FC236}">
              <a16:creationId xmlns:a16="http://schemas.microsoft.com/office/drawing/2014/main" id="{F06C207E-9F91-4FD9-96ED-B61BA1B15D6A}"/>
            </a:ext>
          </a:extLst>
        </xdr:cNvPr>
        <xdr:cNvCxnSpPr/>
      </xdr:nvCxnSpPr>
      <xdr:spPr>
        <a:xfrm rot="16200000" flipH="1">
          <a:off x="12922404" y="4121827"/>
          <a:ext cx="4234" cy="132699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82827</xdr:colOff>
      <xdr:row>28</xdr:row>
      <xdr:rowOff>179458</xdr:rowOff>
    </xdr:from>
    <xdr:to>
      <xdr:col>25</xdr:col>
      <xdr:colOff>204427</xdr:colOff>
      <xdr:row>28</xdr:row>
      <xdr:rowOff>190042</xdr:rowOff>
    </xdr:to>
    <xdr:cxnSp macro="">
      <xdr:nvCxnSpPr>
        <xdr:cNvPr id="824" name="Curved Connector 523">
          <a:extLst>
            <a:ext uri="{FF2B5EF4-FFF2-40B4-BE49-F238E27FC236}">
              <a16:creationId xmlns:a16="http://schemas.microsoft.com/office/drawing/2014/main" id="{DD533C53-4CC7-458B-924B-7AF9FEF24214}"/>
            </a:ext>
          </a:extLst>
        </xdr:cNvPr>
        <xdr:cNvCxnSpPr/>
      </xdr:nvCxnSpPr>
      <xdr:spPr>
        <a:xfrm rot="16200000" flipH="1">
          <a:off x="14771910" y="4114925"/>
          <a:ext cx="423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82827</xdr:colOff>
      <xdr:row>28</xdr:row>
      <xdr:rowOff>179457</xdr:rowOff>
    </xdr:from>
    <xdr:to>
      <xdr:col>28</xdr:col>
      <xdr:colOff>176818</xdr:colOff>
      <xdr:row>28</xdr:row>
      <xdr:rowOff>190041</xdr:rowOff>
    </xdr:to>
    <xdr:cxnSp macro="">
      <xdr:nvCxnSpPr>
        <xdr:cNvPr id="825" name="Curved Connector 523">
          <a:extLst>
            <a:ext uri="{FF2B5EF4-FFF2-40B4-BE49-F238E27FC236}">
              <a16:creationId xmlns:a16="http://schemas.microsoft.com/office/drawing/2014/main" id="{2DDBB1E0-FB3C-43EB-9CC3-B0405B1AE5BB}"/>
            </a:ext>
          </a:extLst>
        </xdr:cNvPr>
        <xdr:cNvCxnSpPr/>
      </xdr:nvCxnSpPr>
      <xdr:spPr>
        <a:xfrm rot="16200000" flipH="1">
          <a:off x="16586906" y="4128728"/>
          <a:ext cx="4234" cy="131319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69020</xdr:colOff>
      <xdr:row>28</xdr:row>
      <xdr:rowOff>151848</xdr:rowOff>
    </xdr:from>
    <xdr:to>
      <xdr:col>31</xdr:col>
      <xdr:colOff>190620</xdr:colOff>
      <xdr:row>28</xdr:row>
      <xdr:rowOff>162432</xdr:rowOff>
    </xdr:to>
    <xdr:cxnSp macro="">
      <xdr:nvCxnSpPr>
        <xdr:cNvPr id="826" name="Curved Connector 523">
          <a:extLst>
            <a:ext uri="{FF2B5EF4-FFF2-40B4-BE49-F238E27FC236}">
              <a16:creationId xmlns:a16="http://schemas.microsoft.com/office/drawing/2014/main" id="{7E97B880-41EB-4D3E-8F56-68E5F34B3BCB}"/>
            </a:ext>
          </a:extLst>
        </xdr:cNvPr>
        <xdr:cNvCxnSpPr/>
      </xdr:nvCxnSpPr>
      <xdr:spPr>
        <a:xfrm rot="16200000" flipH="1">
          <a:off x="18412528" y="4090490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96632</xdr:colOff>
      <xdr:row>56</xdr:row>
      <xdr:rowOff>1</xdr:rowOff>
    </xdr:from>
    <xdr:to>
      <xdr:col>22</xdr:col>
      <xdr:colOff>172812</xdr:colOff>
      <xdr:row>56</xdr:row>
      <xdr:rowOff>10585</xdr:rowOff>
    </xdr:to>
    <xdr:cxnSp macro="">
      <xdr:nvCxnSpPr>
        <xdr:cNvPr id="827" name="Curved Connector 523">
          <a:extLst>
            <a:ext uri="{FF2B5EF4-FFF2-40B4-BE49-F238E27FC236}">
              <a16:creationId xmlns:a16="http://schemas.microsoft.com/office/drawing/2014/main" id="{8C5631F7-8540-467A-9B90-0328444B639C}"/>
            </a:ext>
          </a:extLst>
        </xdr:cNvPr>
        <xdr:cNvCxnSpPr/>
      </xdr:nvCxnSpPr>
      <xdr:spPr>
        <a:xfrm rot="16200000" flipH="1">
          <a:off x="12931030" y="85651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69021</xdr:colOff>
      <xdr:row>20</xdr:row>
      <xdr:rowOff>13805</xdr:rowOff>
    </xdr:from>
    <xdr:to>
      <xdr:col>25</xdr:col>
      <xdr:colOff>192308</xdr:colOff>
      <xdr:row>20</xdr:row>
      <xdr:rowOff>24389</xdr:rowOff>
    </xdr:to>
    <xdr:cxnSp macro="">
      <xdr:nvCxnSpPr>
        <xdr:cNvPr id="828" name="Curved Connector 523">
          <a:extLst>
            <a:ext uri="{FF2B5EF4-FFF2-40B4-BE49-F238E27FC236}">
              <a16:creationId xmlns:a16="http://schemas.microsoft.com/office/drawing/2014/main" id="{183B6B1C-6478-4AD2-A7FB-AF7B75F15F7A}"/>
            </a:ext>
          </a:extLst>
        </xdr:cNvPr>
        <xdr:cNvCxnSpPr/>
      </xdr:nvCxnSpPr>
      <xdr:spPr>
        <a:xfrm rot="16200000" flipH="1">
          <a:off x="14755773" y="2662553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69022</xdr:colOff>
      <xdr:row>20</xdr:row>
      <xdr:rowOff>0</xdr:rowOff>
    </xdr:from>
    <xdr:to>
      <xdr:col>28</xdr:col>
      <xdr:colOff>164700</xdr:colOff>
      <xdr:row>20</xdr:row>
      <xdr:rowOff>10584</xdr:rowOff>
    </xdr:to>
    <xdr:cxnSp macro="">
      <xdr:nvCxnSpPr>
        <xdr:cNvPr id="829" name="Curved Connector 523">
          <a:extLst>
            <a:ext uri="{FF2B5EF4-FFF2-40B4-BE49-F238E27FC236}">
              <a16:creationId xmlns:a16="http://schemas.microsoft.com/office/drawing/2014/main" id="{8EB0743D-94B1-4566-BA39-B95D90A77DF3}"/>
            </a:ext>
          </a:extLst>
        </xdr:cNvPr>
        <xdr:cNvCxnSpPr/>
      </xdr:nvCxnSpPr>
      <xdr:spPr>
        <a:xfrm rot="16200000" flipH="1">
          <a:off x="16570769" y="2662553"/>
          <a:ext cx="10584" cy="131487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69022</xdr:colOff>
      <xdr:row>20</xdr:row>
      <xdr:rowOff>0</xdr:rowOff>
    </xdr:from>
    <xdr:to>
      <xdr:col>31</xdr:col>
      <xdr:colOff>192309</xdr:colOff>
      <xdr:row>20</xdr:row>
      <xdr:rowOff>10584</xdr:rowOff>
    </xdr:to>
    <xdr:cxnSp macro="">
      <xdr:nvCxnSpPr>
        <xdr:cNvPr id="830" name="Curved Connector 523">
          <a:extLst>
            <a:ext uri="{FF2B5EF4-FFF2-40B4-BE49-F238E27FC236}">
              <a16:creationId xmlns:a16="http://schemas.microsoft.com/office/drawing/2014/main" id="{80889726-E343-4013-A247-466724F462A5}"/>
            </a:ext>
          </a:extLst>
        </xdr:cNvPr>
        <xdr:cNvCxnSpPr/>
      </xdr:nvCxnSpPr>
      <xdr:spPr>
        <a:xfrm rot="16200000" flipH="1">
          <a:off x="18413374" y="2648748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69023</xdr:colOff>
      <xdr:row>56</xdr:row>
      <xdr:rowOff>27610</xdr:rowOff>
    </xdr:from>
    <xdr:to>
      <xdr:col>4</xdr:col>
      <xdr:colOff>131399</xdr:colOff>
      <xdr:row>56</xdr:row>
      <xdr:rowOff>38194</xdr:rowOff>
    </xdr:to>
    <xdr:cxnSp macro="">
      <xdr:nvCxnSpPr>
        <xdr:cNvPr id="831" name="Curved Connector 523">
          <a:extLst>
            <a:ext uri="{FF2B5EF4-FFF2-40B4-BE49-F238E27FC236}">
              <a16:creationId xmlns:a16="http://schemas.microsoft.com/office/drawing/2014/main" id="{83C67C2F-A7F2-46FE-9121-068E67E01794}"/>
            </a:ext>
          </a:extLst>
        </xdr:cNvPr>
        <xdr:cNvCxnSpPr/>
      </xdr:nvCxnSpPr>
      <xdr:spPr>
        <a:xfrm rot="16200000" flipH="1">
          <a:off x="1923719" y="8599614"/>
          <a:ext cx="10584" cy="128157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55219</xdr:colOff>
      <xdr:row>56</xdr:row>
      <xdr:rowOff>1</xdr:rowOff>
    </xdr:from>
    <xdr:to>
      <xdr:col>7</xdr:col>
      <xdr:colOff>200420</xdr:colOff>
      <xdr:row>56</xdr:row>
      <xdr:rowOff>10585</xdr:rowOff>
    </xdr:to>
    <xdr:cxnSp macro="">
      <xdr:nvCxnSpPr>
        <xdr:cNvPr id="832" name="Curved Connector 523">
          <a:extLst>
            <a:ext uri="{FF2B5EF4-FFF2-40B4-BE49-F238E27FC236}">
              <a16:creationId xmlns:a16="http://schemas.microsoft.com/office/drawing/2014/main" id="{F0E0A967-69EB-4AEA-8E70-AF6300A4E8CF}"/>
            </a:ext>
          </a:extLst>
        </xdr:cNvPr>
        <xdr:cNvCxnSpPr/>
      </xdr:nvCxnSpPr>
      <xdr:spPr>
        <a:xfrm rot="16200000" flipH="1">
          <a:off x="3780128" y="8530592"/>
          <a:ext cx="10584" cy="13644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82828</xdr:colOff>
      <xdr:row>56</xdr:row>
      <xdr:rowOff>1</xdr:rowOff>
    </xdr:from>
    <xdr:to>
      <xdr:col>10</xdr:col>
      <xdr:colOff>131399</xdr:colOff>
      <xdr:row>56</xdr:row>
      <xdr:rowOff>10585</xdr:rowOff>
    </xdr:to>
    <xdr:cxnSp macro="">
      <xdr:nvCxnSpPr>
        <xdr:cNvPr id="833" name="Curved Connector 523">
          <a:extLst>
            <a:ext uri="{FF2B5EF4-FFF2-40B4-BE49-F238E27FC236}">
              <a16:creationId xmlns:a16="http://schemas.microsoft.com/office/drawing/2014/main" id="{D72FCF9F-059E-49DB-B657-DB01EFBBFA5C}"/>
            </a:ext>
          </a:extLst>
        </xdr:cNvPr>
        <xdr:cNvCxnSpPr/>
      </xdr:nvCxnSpPr>
      <xdr:spPr>
        <a:xfrm rot="16200000" flipH="1">
          <a:off x="5588222" y="85789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56</xdr:row>
      <xdr:rowOff>13805</xdr:rowOff>
    </xdr:from>
    <xdr:to>
      <xdr:col>13</xdr:col>
      <xdr:colOff>145202</xdr:colOff>
      <xdr:row>56</xdr:row>
      <xdr:rowOff>24389</xdr:rowOff>
    </xdr:to>
    <xdr:cxnSp macro="">
      <xdr:nvCxnSpPr>
        <xdr:cNvPr id="834" name="Curved Connector 523">
          <a:extLst>
            <a:ext uri="{FF2B5EF4-FFF2-40B4-BE49-F238E27FC236}">
              <a16:creationId xmlns:a16="http://schemas.microsoft.com/office/drawing/2014/main" id="{7C480418-580E-42D8-A745-4D644F4840D5}"/>
            </a:ext>
          </a:extLst>
        </xdr:cNvPr>
        <xdr:cNvCxnSpPr/>
      </xdr:nvCxnSpPr>
      <xdr:spPr>
        <a:xfrm rot="16200000" flipH="1">
          <a:off x="7430825" y="8592711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82827</xdr:colOff>
      <xdr:row>55</xdr:row>
      <xdr:rowOff>179457</xdr:rowOff>
    </xdr:from>
    <xdr:to>
      <xdr:col>16</xdr:col>
      <xdr:colOff>172811</xdr:colOff>
      <xdr:row>55</xdr:row>
      <xdr:rowOff>190041</xdr:rowOff>
    </xdr:to>
    <xdr:cxnSp macro="">
      <xdr:nvCxnSpPr>
        <xdr:cNvPr id="835" name="Curved Connector 523">
          <a:extLst>
            <a:ext uri="{FF2B5EF4-FFF2-40B4-BE49-F238E27FC236}">
              <a16:creationId xmlns:a16="http://schemas.microsoft.com/office/drawing/2014/main" id="{35BA5726-D283-45A2-9589-EF702AEEB4E8}"/>
            </a:ext>
          </a:extLst>
        </xdr:cNvPr>
        <xdr:cNvCxnSpPr/>
      </xdr:nvCxnSpPr>
      <xdr:spPr>
        <a:xfrm rot="16200000" flipH="1">
          <a:off x="9269702" y="8550332"/>
          <a:ext cx="423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69023</xdr:colOff>
      <xdr:row>56</xdr:row>
      <xdr:rowOff>13805</xdr:rowOff>
    </xdr:from>
    <xdr:to>
      <xdr:col>19</xdr:col>
      <xdr:colOff>186616</xdr:colOff>
      <xdr:row>56</xdr:row>
      <xdr:rowOff>24389</xdr:rowOff>
    </xdr:to>
    <xdr:cxnSp macro="">
      <xdr:nvCxnSpPr>
        <xdr:cNvPr id="836" name="Curved Connector 523">
          <a:extLst>
            <a:ext uri="{FF2B5EF4-FFF2-40B4-BE49-F238E27FC236}">
              <a16:creationId xmlns:a16="http://schemas.microsoft.com/office/drawing/2014/main" id="{DBF06920-4598-4719-B092-18AF99387CDA}"/>
            </a:ext>
          </a:extLst>
        </xdr:cNvPr>
        <xdr:cNvCxnSpPr/>
      </xdr:nvCxnSpPr>
      <xdr:spPr>
        <a:xfrm rot="16200000" flipH="1">
          <a:off x="11095328" y="8558200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69024</xdr:colOff>
      <xdr:row>46</xdr:row>
      <xdr:rowOff>165653</xdr:rowOff>
    </xdr:from>
    <xdr:to>
      <xdr:col>28</xdr:col>
      <xdr:colOff>131399</xdr:colOff>
      <xdr:row>46</xdr:row>
      <xdr:rowOff>176237</xdr:rowOff>
    </xdr:to>
    <xdr:cxnSp macro="">
      <xdr:nvCxnSpPr>
        <xdr:cNvPr id="837" name="Curved Connector 523">
          <a:extLst>
            <a:ext uri="{FF2B5EF4-FFF2-40B4-BE49-F238E27FC236}">
              <a16:creationId xmlns:a16="http://schemas.microsoft.com/office/drawing/2014/main" id="{B6DE8978-E046-4F3A-BE63-35B55E9AC48D}"/>
            </a:ext>
          </a:extLst>
        </xdr:cNvPr>
        <xdr:cNvCxnSpPr/>
      </xdr:nvCxnSpPr>
      <xdr:spPr>
        <a:xfrm rot="16200000" flipH="1">
          <a:off x="16554120" y="7080307"/>
          <a:ext cx="10584" cy="12815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82827</xdr:colOff>
      <xdr:row>47</xdr:row>
      <xdr:rowOff>1</xdr:rowOff>
    </xdr:from>
    <xdr:to>
      <xdr:col>31</xdr:col>
      <xdr:colOff>172811</xdr:colOff>
      <xdr:row>47</xdr:row>
      <xdr:rowOff>10585</xdr:rowOff>
    </xdr:to>
    <xdr:cxnSp macro="">
      <xdr:nvCxnSpPr>
        <xdr:cNvPr id="838" name="Curved Connector 523">
          <a:extLst>
            <a:ext uri="{FF2B5EF4-FFF2-40B4-BE49-F238E27FC236}">
              <a16:creationId xmlns:a16="http://schemas.microsoft.com/office/drawing/2014/main" id="{5A05CEFF-D080-4B54-AF03-CFD1A97627B4}"/>
            </a:ext>
          </a:extLst>
        </xdr:cNvPr>
        <xdr:cNvCxnSpPr/>
      </xdr:nvCxnSpPr>
      <xdr:spPr>
        <a:xfrm rot="16200000" flipH="1">
          <a:off x="18410527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69022</xdr:colOff>
      <xdr:row>47</xdr:row>
      <xdr:rowOff>1</xdr:rowOff>
    </xdr:from>
    <xdr:to>
      <xdr:col>34</xdr:col>
      <xdr:colOff>89984</xdr:colOff>
      <xdr:row>47</xdr:row>
      <xdr:rowOff>10585</xdr:rowOff>
    </xdr:to>
    <xdr:cxnSp macro="">
      <xdr:nvCxnSpPr>
        <xdr:cNvPr id="839" name="Curved Connector 523">
          <a:extLst>
            <a:ext uri="{FF2B5EF4-FFF2-40B4-BE49-F238E27FC236}">
              <a16:creationId xmlns:a16="http://schemas.microsoft.com/office/drawing/2014/main" id="{C5770112-7A12-4F7E-8167-E275E25CCCF9}"/>
            </a:ext>
          </a:extLst>
        </xdr:cNvPr>
        <xdr:cNvCxnSpPr/>
      </xdr:nvCxnSpPr>
      <xdr:spPr>
        <a:xfrm rot="16200000" flipH="1">
          <a:off x="20191011" y="7119512"/>
          <a:ext cx="10584" cy="12401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110435</xdr:colOff>
      <xdr:row>47</xdr:row>
      <xdr:rowOff>13806</xdr:rowOff>
    </xdr:from>
    <xdr:to>
      <xdr:col>37</xdr:col>
      <xdr:colOff>103789</xdr:colOff>
      <xdr:row>47</xdr:row>
      <xdr:rowOff>24390</xdr:rowOff>
    </xdr:to>
    <xdr:cxnSp macro="">
      <xdr:nvCxnSpPr>
        <xdr:cNvPr id="840" name="Curved Connector 523">
          <a:extLst>
            <a:ext uri="{FF2B5EF4-FFF2-40B4-BE49-F238E27FC236}">
              <a16:creationId xmlns:a16="http://schemas.microsoft.com/office/drawing/2014/main" id="{B57E7CB1-3B30-484A-9EA3-7D3524D82633}"/>
            </a:ext>
          </a:extLst>
        </xdr:cNvPr>
        <xdr:cNvCxnSpPr/>
      </xdr:nvCxnSpPr>
      <xdr:spPr>
        <a:xfrm rot="16200000" flipH="1">
          <a:off x="22047420" y="7147121"/>
          <a:ext cx="10584" cy="12125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82826</xdr:colOff>
      <xdr:row>47</xdr:row>
      <xdr:rowOff>1</xdr:rowOff>
    </xdr:from>
    <xdr:to>
      <xdr:col>40</xdr:col>
      <xdr:colOff>117593</xdr:colOff>
      <xdr:row>47</xdr:row>
      <xdr:rowOff>10585</xdr:rowOff>
    </xdr:to>
    <xdr:cxnSp macro="">
      <xdr:nvCxnSpPr>
        <xdr:cNvPr id="841" name="Curved Connector 523">
          <a:extLst>
            <a:ext uri="{FF2B5EF4-FFF2-40B4-BE49-F238E27FC236}">
              <a16:creationId xmlns:a16="http://schemas.microsoft.com/office/drawing/2014/main" id="{8EFA5072-9FF2-42F0-926A-6BC934142F3A}"/>
            </a:ext>
          </a:extLst>
        </xdr:cNvPr>
        <xdr:cNvCxnSpPr/>
      </xdr:nvCxnSpPr>
      <xdr:spPr>
        <a:xfrm rot="16200000" flipH="1">
          <a:off x="23869318" y="7112609"/>
          <a:ext cx="10584" cy="125396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82827</xdr:colOff>
      <xdr:row>47</xdr:row>
      <xdr:rowOff>1</xdr:rowOff>
    </xdr:from>
    <xdr:to>
      <xdr:col>43</xdr:col>
      <xdr:colOff>117593</xdr:colOff>
      <xdr:row>47</xdr:row>
      <xdr:rowOff>10585</xdr:rowOff>
    </xdr:to>
    <xdr:cxnSp macro="">
      <xdr:nvCxnSpPr>
        <xdr:cNvPr id="842" name="Curved Connector 523">
          <a:extLst>
            <a:ext uri="{FF2B5EF4-FFF2-40B4-BE49-F238E27FC236}">
              <a16:creationId xmlns:a16="http://schemas.microsoft.com/office/drawing/2014/main" id="{4A528ED9-4B8F-4C72-B978-4C0C8B98F469}"/>
            </a:ext>
          </a:extLst>
        </xdr:cNvPr>
        <xdr:cNvCxnSpPr/>
      </xdr:nvCxnSpPr>
      <xdr:spPr>
        <a:xfrm rot="16200000" flipH="1">
          <a:off x="25698118" y="7112610"/>
          <a:ext cx="10584" cy="12539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843" name="Isosceles Triangle 842">
          <a:extLst>
            <a:ext uri="{FF2B5EF4-FFF2-40B4-BE49-F238E27FC236}">
              <a16:creationId xmlns:a16="http://schemas.microsoft.com/office/drawing/2014/main" id="{B5DF0BC3-083B-4801-9103-6D14001ED90B}"/>
            </a:ext>
          </a:extLst>
        </xdr:cNvPr>
        <xdr:cNvSpPr/>
      </xdr:nvSpPr>
      <xdr:spPr>
        <a:xfrm>
          <a:off x="6096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256442</xdr:colOff>
      <xdr:row>40</xdr:row>
      <xdr:rowOff>3718</xdr:rowOff>
    </xdr:to>
    <xdr:sp macro="" textlink="">
      <xdr:nvSpPr>
        <xdr:cNvPr id="844" name="Isosceles Triangle 843">
          <a:extLst>
            <a:ext uri="{FF2B5EF4-FFF2-40B4-BE49-F238E27FC236}">
              <a16:creationId xmlns:a16="http://schemas.microsoft.com/office/drawing/2014/main" id="{0CCC900A-CE1E-475D-8831-8514D850773A}"/>
            </a:ext>
          </a:extLst>
        </xdr:cNvPr>
        <xdr:cNvSpPr/>
      </xdr:nvSpPr>
      <xdr:spPr>
        <a:xfrm>
          <a:off x="7687917" y="6274906"/>
          <a:ext cx="1102925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23</xdr:col>
      <xdr:colOff>124239</xdr:colOff>
      <xdr:row>46</xdr:row>
      <xdr:rowOff>165654</xdr:rowOff>
    </xdr:from>
    <xdr:to>
      <xdr:col>25</xdr:col>
      <xdr:colOff>214223</xdr:colOff>
      <xdr:row>46</xdr:row>
      <xdr:rowOff>176238</xdr:rowOff>
    </xdr:to>
    <xdr:cxnSp macro="">
      <xdr:nvCxnSpPr>
        <xdr:cNvPr id="845" name="Curved Connector 523">
          <a:extLst>
            <a:ext uri="{FF2B5EF4-FFF2-40B4-BE49-F238E27FC236}">
              <a16:creationId xmlns:a16="http://schemas.microsoft.com/office/drawing/2014/main" id="{B6D03CB1-1C3C-4959-9DF8-AB9BB93B5552}"/>
            </a:ext>
          </a:extLst>
        </xdr:cNvPr>
        <xdr:cNvCxnSpPr/>
      </xdr:nvCxnSpPr>
      <xdr:spPr>
        <a:xfrm rot="16200000" flipH="1">
          <a:off x="14794339" y="7066504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82827</xdr:colOff>
      <xdr:row>47</xdr:row>
      <xdr:rowOff>1</xdr:rowOff>
    </xdr:from>
    <xdr:to>
      <xdr:col>22</xdr:col>
      <xdr:colOff>159007</xdr:colOff>
      <xdr:row>47</xdr:row>
      <xdr:rowOff>10585</xdr:rowOff>
    </xdr:to>
    <xdr:cxnSp macro="">
      <xdr:nvCxnSpPr>
        <xdr:cNvPr id="846" name="Curved Connector 523">
          <a:extLst>
            <a:ext uri="{FF2B5EF4-FFF2-40B4-BE49-F238E27FC236}">
              <a16:creationId xmlns:a16="http://schemas.microsoft.com/office/drawing/2014/main" id="{86A2C919-FADA-4CC7-B52D-7A1536A54CD7}"/>
            </a:ext>
          </a:extLst>
        </xdr:cNvPr>
        <xdr:cNvCxnSpPr/>
      </xdr:nvCxnSpPr>
      <xdr:spPr>
        <a:xfrm rot="16200000" flipH="1">
          <a:off x="12917225" y="70919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82827</xdr:colOff>
      <xdr:row>47</xdr:row>
      <xdr:rowOff>1</xdr:rowOff>
    </xdr:from>
    <xdr:to>
      <xdr:col>19</xdr:col>
      <xdr:colOff>200420</xdr:colOff>
      <xdr:row>47</xdr:row>
      <xdr:rowOff>10585</xdr:rowOff>
    </xdr:to>
    <xdr:cxnSp macro="">
      <xdr:nvCxnSpPr>
        <xdr:cNvPr id="847" name="Curved Connector 523">
          <a:extLst>
            <a:ext uri="{FF2B5EF4-FFF2-40B4-BE49-F238E27FC236}">
              <a16:creationId xmlns:a16="http://schemas.microsoft.com/office/drawing/2014/main" id="{1BA63612-435F-4ADB-B6DD-A2404EF7032A}"/>
            </a:ext>
          </a:extLst>
        </xdr:cNvPr>
        <xdr:cNvCxnSpPr/>
      </xdr:nvCxnSpPr>
      <xdr:spPr>
        <a:xfrm rot="16200000" flipH="1">
          <a:off x="11109132" y="707119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82828</xdr:colOff>
      <xdr:row>47</xdr:row>
      <xdr:rowOff>1</xdr:rowOff>
    </xdr:from>
    <xdr:to>
      <xdr:col>16</xdr:col>
      <xdr:colOff>172812</xdr:colOff>
      <xdr:row>47</xdr:row>
      <xdr:rowOff>10585</xdr:rowOff>
    </xdr:to>
    <xdr:cxnSp macro="">
      <xdr:nvCxnSpPr>
        <xdr:cNvPr id="848" name="Curved Connector 523">
          <a:extLst>
            <a:ext uri="{FF2B5EF4-FFF2-40B4-BE49-F238E27FC236}">
              <a16:creationId xmlns:a16="http://schemas.microsoft.com/office/drawing/2014/main" id="{B96C4182-6129-4449-9CCD-0089380F58B8}"/>
            </a:ext>
          </a:extLst>
        </xdr:cNvPr>
        <xdr:cNvCxnSpPr/>
      </xdr:nvCxnSpPr>
      <xdr:spPr>
        <a:xfrm rot="16200000" flipH="1">
          <a:off x="9266528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82827</xdr:colOff>
      <xdr:row>46</xdr:row>
      <xdr:rowOff>179457</xdr:rowOff>
    </xdr:from>
    <xdr:to>
      <xdr:col>13</xdr:col>
      <xdr:colOff>131398</xdr:colOff>
      <xdr:row>46</xdr:row>
      <xdr:rowOff>183691</xdr:rowOff>
    </xdr:to>
    <xdr:cxnSp macro="">
      <xdr:nvCxnSpPr>
        <xdr:cNvPr id="849" name="Curved Connector 523">
          <a:extLst>
            <a:ext uri="{FF2B5EF4-FFF2-40B4-BE49-F238E27FC236}">
              <a16:creationId xmlns:a16="http://schemas.microsoft.com/office/drawing/2014/main" id="{BDF24C39-6CB8-41D6-98D5-36E6D66DB189}"/>
            </a:ext>
          </a:extLst>
        </xdr:cNvPr>
        <xdr:cNvCxnSpPr/>
      </xdr:nvCxnSpPr>
      <xdr:spPr>
        <a:xfrm rot="16200000" flipH="1">
          <a:off x="7420196" y="7097838"/>
          <a:ext cx="4234" cy="1267771"/>
        </a:xfrm>
        <a:prstGeom prst="curvedConnector3">
          <a:avLst>
            <a:gd name="adj1" fmla="val 351348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47</xdr:row>
      <xdr:rowOff>1</xdr:rowOff>
    </xdr:from>
    <xdr:to>
      <xdr:col>10</xdr:col>
      <xdr:colOff>159007</xdr:colOff>
      <xdr:row>47</xdr:row>
      <xdr:rowOff>10585</xdr:rowOff>
    </xdr:to>
    <xdr:cxnSp macro="">
      <xdr:nvCxnSpPr>
        <xdr:cNvPr id="850" name="Curved Connector 523">
          <a:extLst>
            <a:ext uri="{FF2B5EF4-FFF2-40B4-BE49-F238E27FC236}">
              <a16:creationId xmlns:a16="http://schemas.microsoft.com/office/drawing/2014/main" id="{F0C0675C-C2FD-4D48-BC28-9BF03201939C}"/>
            </a:ext>
          </a:extLst>
        </xdr:cNvPr>
        <xdr:cNvCxnSpPr/>
      </xdr:nvCxnSpPr>
      <xdr:spPr>
        <a:xfrm rot="16200000" flipH="1">
          <a:off x="5615830" y="71057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46</xdr:row>
      <xdr:rowOff>179458</xdr:rowOff>
    </xdr:from>
    <xdr:to>
      <xdr:col>7</xdr:col>
      <xdr:colOff>186615</xdr:colOff>
      <xdr:row>46</xdr:row>
      <xdr:rowOff>190042</xdr:rowOff>
    </xdr:to>
    <xdr:cxnSp macro="">
      <xdr:nvCxnSpPr>
        <xdr:cNvPr id="855" name="Curved Connector 523">
          <a:extLst>
            <a:ext uri="{FF2B5EF4-FFF2-40B4-BE49-F238E27FC236}">
              <a16:creationId xmlns:a16="http://schemas.microsoft.com/office/drawing/2014/main" id="{F4B10425-6DC2-4172-AF76-A1CDD861F69E}"/>
            </a:ext>
          </a:extLst>
        </xdr:cNvPr>
        <xdr:cNvCxnSpPr/>
      </xdr:nvCxnSpPr>
      <xdr:spPr>
        <a:xfrm rot="16200000" flipH="1">
          <a:off x="3769498" y="7049524"/>
          <a:ext cx="4234" cy="1364401"/>
        </a:xfrm>
        <a:prstGeom prst="curvedConnector3">
          <a:avLst>
            <a:gd name="adj1" fmla="val 3647237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56</xdr:row>
      <xdr:rowOff>36811</xdr:rowOff>
    </xdr:from>
    <xdr:to>
      <xdr:col>2</xdr:col>
      <xdr:colOff>256442</xdr:colOff>
      <xdr:row>58</xdr:row>
      <xdr:rowOff>35926</xdr:rowOff>
    </xdr:to>
    <xdr:sp macro="" textlink="">
      <xdr:nvSpPr>
        <xdr:cNvPr id="862" name="Isosceles Triangle 861">
          <a:extLst>
            <a:ext uri="{FF2B5EF4-FFF2-40B4-BE49-F238E27FC236}">
              <a16:creationId xmlns:a16="http://schemas.microsoft.com/office/drawing/2014/main" id="{DDDCB419-BB55-BB5B-7351-7C7561B36298}"/>
            </a:ext>
          </a:extLst>
        </xdr:cNvPr>
        <xdr:cNvSpPr/>
      </xdr:nvSpPr>
      <xdr:spPr>
        <a:xfrm>
          <a:off x="220870" y="9304130"/>
          <a:ext cx="532529" cy="36723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168228</xdr:colOff>
      <xdr:row>110</xdr:row>
      <xdr:rowOff>124056</xdr:rowOff>
    </xdr:from>
    <xdr:to>
      <xdr:col>29</xdr:col>
      <xdr:colOff>103209</xdr:colOff>
      <xdr:row>111</xdr:row>
      <xdr:rowOff>124056</xdr:rowOff>
    </xdr:to>
    <xdr:sp macro="" textlink="">
      <xdr:nvSpPr>
        <xdr:cNvPr id="871" name="5-Point Star 520">
          <a:extLst>
            <a:ext uri="{FF2B5EF4-FFF2-40B4-BE49-F238E27FC236}">
              <a16:creationId xmlns:a16="http://schemas.microsoft.com/office/drawing/2014/main" id="{5BE9EC6E-E8E6-458F-B4CF-1525FD0BA558}"/>
            </a:ext>
          </a:extLst>
        </xdr:cNvPr>
        <xdr:cNvSpPr/>
      </xdr:nvSpPr>
      <xdr:spPr>
        <a:xfrm flipH="1">
          <a:off x="8552069" y="1822615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154976</xdr:colOff>
      <xdr:row>110</xdr:row>
      <xdr:rowOff>166022</xdr:rowOff>
    </xdr:from>
    <xdr:to>
      <xdr:col>32</xdr:col>
      <xdr:colOff>80754</xdr:colOff>
      <xdr:row>111</xdr:row>
      <xdr:rowOff>166022</xdr:rowOff>
    </xdr:to>
    <xdr:sp macro="" textlink="">
      <xdr:nvSpPr>
        <xdr:cNvPr id="872" name="5-Point Star 520">
          <a:extLst>
            <a:ext uri="{FF2B5EF4-FFF2-40B4-BE49-F238E27FC236}">
              <a16:creationId xmlns:a16="http://schemas.microsoft.com/office/drawing/2014/main" id="{C0451E64-4396-44A8-926A-039B08ED869D}"/>
            </a:ext>
          </a:extLst>
        </xdr:cNvPr>
        <xdr:cNvSpPr/>
      </xdr:nvSpPr>
      <xdr:spPr>
        <a:xfrm flipH="1">
          <a:off x="9422295" y="1826812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169333</xdr:colOff>
      <xdr:row>110</xdr:row>
      <xdr:rowOff>106755</xdr:rowOff>
    </xdr:from>
    <xdr:to>
      <xdr:col>20</xdr:col>
      <xdr:colOff>95111</xdr:colOff>
      <xdr:row>111</xdr:row>
      <xdr:rowOff>106755</xdr:rowOff>
    </xdr:to>
    <xdr:sp macro="" textlink="">
      <xdr:nvSpPr>
        <xdr:cNvPr id="873" name="5-Point Star 520">
          <a:extLst>
            <a:ext uri="{FF2B5EF4-FFF2-40B4-BE49-F238E27FC236}">
              <a16:creationId xmlns:a16="http://schemas.microsoft.com/office/drawing/2014/main" id="{FCA296D6-E4B2-424E-96E1-8F25074CD358}"/>
            </a:ext>
          </a:extLst>
        </xdr:cNvPr>
        <xdr:cNvSpPr/>
      </xdr:nvSpPr>
      <xdr:spPr>
        <a:xfrm flipH="1">
          <a:off x="5819913" y="1820885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174856</xdr:colOff>
      <xdr:row>110</xdr:row>
      <xdr:rowOff>147247</xdr:rowOff>
    </xdr:from>
    <xdr:to>
      <xdr:col>14</xdr:col>
      <xdr:colOff>100634</xdr:colOff>
      <xdr:row>111</xdr:row>
      <xdr:rowOff>147247</xdr:rowOff>
    </xdr:to>
    <xdr:sp macro="" textlink="">
      <xdr:nvSpPr>
        <xdr:cNvPr id="888" name="5-Point Star 520">
          <a:extLst>
            <a:ext uri="{FF2B5EF4-FFF2-40B4-BE49-F238E27FC236}">
              <a16:creationId xmlns:a16="http://schemas.microsoft.com/office/drawing/2014/main" id="{22473E22-18EE-4406-9B76-6210DBBD2661}"/>
            </a:ext>
          </a:extLst>
        </xdr:cNvPr>
        <xdr:cNvSpPr/>
      </xdr:nvSpPr>
      <xdr:spPr>
        <a:xfrm flipH="1">
          <a:off x="4049276" y="1824934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170806</xdr:colOff>
      <xdr:row>110</xdr:row>
      <xdr:rowOff>106386</xdr:rowOff>
    </xdr:from>
    <xdr:to>
      <xdr:col>17</xdr:col>
      <xdr:colOff>96584</xdr:colOff>
      <xdr:row>111</xdr:row>
      <xdr:rowOff>106386</xdr:rowOff>
    </xdr:to>
    <xdr:sp macro="" textlink="">
      <xdr:nvSpPr>
        <xdr:cNvPr id="889" name="5-Point Star 520">
          <a:extLst>
            <a:ext uri="{FF2B5EF4-FFF2-40B4-BE49-F238E27FC236}">
              <a16:creationId xmlns:a16="http://schemas.microsoft.com/office/drawing/2014/main" id="{A9211E0A-38B9-4F67-B6A8-427880541AB1}"/>
            </a:ext>
          </a:extLst>
        </xdr:cNvPr>
        <xdr:cNvSpPr/>
      </xdr:nvSpPr>
      <xdr:spPr>
        <a:xfrm flipH="1">
          <a:off x="4947110" y="182084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166757</xdr:colOff>
      <xdr:row>101</xdr:row>
      <xdr:rowOff>93133</xdr:rowOff>
    </xdr:from>
    <xdr:to>
      <xdr:col>35</xdr:col>
      <xdr:colOff>92535</xdr:colOff>
      <xdr:row>102</xdr:row>
      <xdr:rowOff>93133</xdr:rowOff>
    </xdr:to>
    <xdr:sp macro="" textlink="">
      <xdr:nvSpPr>
        <xdr:cNvPr id="890" name="5-Point Star 520">
          <a:extLst>
            <a:ext uri="{FF2B5EF4-FFF2-40B4-BE49-F238E27FC236}">
              <a16:creationId xmlns:a16="http://schemas.microsoft.com/office/drawing/2014/main" id="{CE371841-689F-4C00-B7CD-009EE7FDFBD4}"/>
            </a:ext>
          </a:extLst>
        </xdr:cNvPr>
        <xdr:cNvSpPr/>
      </xdr:nvSpPr>
      <xdr:spPr>
        <a:xfrm flipH="1">
          <a:off x="10409583" y="1672277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165652</xdr:colOff>
      <xdr:row>56</xdr:row>
      <xdr:rowOff>147247</xdr:rowOff>
    </xdr:from>
    <xdr:to>
      <xdr:col>2</xdr:col>
      <xdr:colOff>91430</xdr:colOff>
      <xdr:row>57</xdr:row>
      <xdr:rowOff>147247</xdr:rowOff>
    </xdr:to>
    <xdr:sp macro="" textlink="">
      <xdr:nvSpPr>
        <xdr:cNvPr id="899" name="5-Point Star 520">
          <a:extLst>
            <a:ext uri="{FF2B5EF4-FFF2-40B4-BE49-F238E27FC236}">
              <a16:creationId xmlns:a16="http://schemas.microsoft.com/office/drawing/2014/main" id="{9D86CD23-5FFA-459B-9B47-B5A94F39DE18}"/>
            </a:ext>
          </a:extLst>
        </xdr:cNvPr>
        <xdr:cNvSpPr/>
      </xdr:nvSpPr>
      <xdr:spPr>
        <a:xfrm flipH="1">
          <a:off x="386522" y="941456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170806</xdr:colOff>
      <xdr:row>65</xdr:row>
      <xdr:rowOff>143197</xdr:rowOff>
    </xdr:from>
    <xdr:to>
      <xdr:col>5</xdr:col>
      <xdr:colOff>96584</xdr:colOff>
      <xdr:row>66</xdr:row>
      <xdr:rowOff>143197</xdr:rowOff>
    </xdr:to>
    <xdr:sp macro="" textlink="">
      <xdr:nvSpPr>
        <xdr:cNvPr id="900" name="5-Point Star 520">
          <a:extLst>
            <a:ext uri="{FF2B5EF4-FFF2-40B4-BE49-F238E27FC236}">
              <a16:creationId xmlns:a16="http://schemas.microsoft.com/office/drawing/2014/main" id="{90E35A61-F7B5-4872-99B4-F8BBDFBBDBF1}"/>
            </a:ext>
          </a:extLst>
        </xdr:cNvPr>
        <xdr:cNvSpPr/>
      </xdr:nvSpPr>
      <xdr:spPr>
        <a:xfrm flipH="1">
          <a:off x="1321168" y="1088298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167861</xdr:colOff>
      <xdr:row>65</xdr:row>
      <xdr:rowOff>121846</xdr:rowOff>
    </xdr:from>
    <xdr:to>
      <xdr:col>2</xdr:col>
      <xdr:colOff>93639</xdr:colOff>
      <xdr:row>66</xdr:row>
      <xdr:rowOff>121846</xdr:rowOff>
    </xdr:to>
    <xdr:sp macro="" textlink="">
      <xdr:nvSpPr>
        <xdr:cNvPr id="902" name="5-Point Star 520">
          <a:extLst>
            <a:ext uri="{FF2B5EF4-FFF2-40B4-BE49-F238E27FC236}">
              <a16:creationId xmlns:a16="http://schemas.microsoft.com/office/drawing/2014/main" id="{6D184533-4F4D-469B-9F3B-8A8E5F282347}"/>
            </a:ext>
          </a:extLst>
        </xdr:cNvPr>
        <xdr:cNvSpPr/>
      </xdr:nvSpPr>
      <xdr:spPr>
        <a:xfrm flipH="1">
          <a:off x="388731" y="108616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154610</xdr:colOff>
      <xdr:row>56</xdr:row>
      <xdr:rowOff>117798</xdr:rowOff>
    </xdr:from>
    <xdr:to>
      <xdr:col>41</xdr:col>
      <xdr:colOff>80388</xdr:colOff>
      <xdr:row>57</xdr:row>
      <xdr:rowOff>117798</xdr:rowOff>
    </xdr:to>
    <xdr:sp macro="" textlink="">
      <xdr:nvSpPr>
        <xdr:cNvPr id="903" name="5-Point Star 520">
          <a:extLst>
            <a:ext uri="{FF2B5EF4-FFF2-40B4-BE49-F238E27FC236}">
              <a16:creationId xmlns:a16="http://schemas.microsoft.com/office/drawing/2014/main" id="{38D3F556-CBA3-4777-89D9-796A3A01B344}"/>
            </a:ext>
          </a:extLst>
        </xdr:cNvPr>
        <xdr:cNvSpPr/>
      </xdr:nvSpPr>
      <xdr:spPr>
        <a:xfrm flipH="1">
          <a:off x="12357653" y="938511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159763</xdr:colOff>
      <xdr:row>56</xdr:row>
      <xdr:rowOff>132153</xdr:rowOff>
    </xdr:from>
    <xdr:to>
      <xdr:col>38</xdr:col>
      <xdr:colOff>85541</xdr:colOff>
      <xdr:row>57</xdr:row>
      <xdr:rowOff>132153</xdr:rowOff>
    </xdr:to>
    <xdr:sp macro="" textlink="">
      <xdr:nvSpPr>
        <xdr:cNvPr id="904" name="5-Point Star 520">
          <a:extLst>
            <a:ext uri="{FF2B5EF4-FFF2-40B4-BE49-F238E27FC236}">
              <a16:creationId xmlns:a16="http://schemas.microsoft.com/office/drawing/2014/main" id="{934F6576-5618-4A52-B458-918065E3A4C5}"/>
            </a:ext>
          </a:extLst>
        </xdr:cNvPr>
        <xdr:cNvSpPr/>
      </xdr:nvSpPr>
      <xdr:spPr>
        <a:xfrm flipH="1">
          <a:off x="11396502" y="939947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155714</xdr:colOff>
      <xdr:row>56</xdr:row>
      <xdr:rowOff>109699</xdr:rowOff>
    </xdr:from>
    <xdr:to>
      <xdr:col>35</xdr:col>
      <xdr:colOff>81492</xdr:colOff>
      <xdr:row>57</xdr:row>
      <xdr:rowOff>109699</xdr:rowOff>
    </xdr:to>
    <xdr:sp macro="" textlink="">
      <xdr:nvSpPr>
        <xdr:cNvPr id="905" name="5-Point Star 520">
          <a:extLst>
            <a:ext uri="{FF2B5EF4-FFF2-40B4-BE49-F238E27FC236}">
              <a16:creationId xmlns:a16="http://schemas.microsoft.com/office/drawing/2014/main" id="{7B08D3CB-B624-433A-B137-A5A223C28A12}"/>
            </a:ext>
          </a:extLst>
        </xdr:cNvPr>
        <xdr:cNvSpPr/>
      </xdr:nvSpPr>
      <xdr:spPr>
        <a:xfrm flipH="1">
          <a:off x="10398540" y="937701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179273</xdr:colOff>
      <xdr:row>56</xdr:row>
      <xdr:rowOff>133258</xdr:rowOff>
    </xdr:from>
    <xdr:to>
      <xdr:col>32</xdr:col>
      <xdr:colOff>105051</xdr:colOff>
      <xdr:row>57</xdr:row>
      <xdr:rowOff>133258</xdr:rowOff>
    </xdr:to>
    <xdr:sp macro="" textlink="">
      <xdr:nvSpPr>
        <xdr:cNvPr id="906" name="5-Point Star 520">
          <a:extLst>
            <a:ext uri="{FF2B5EF4-FFF2-40B4-BE49-F238E27FC236}">
              <a16:creationId xmlns:a16="http://schemas.microsoft.com/office/drawing/2014/main" id="{2DB865B8-EC41-4B7F-9F90-0E8AD22E7D04}"/>
            </a:ext>
          </a:extLst>
        </xdr:cNvPr>
        <xdr:cNvSpPr/>
      </xdr:nvSpPr>
      <xdr:spPr>
        <a:xfrm flipH="1">
          <a:off x="9446592" y="940057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156818</xdr:colOff>
      <xdr:row>56</xdr:row>
      <xdr:rowOff>138412</xdr:rowOff>
    </xdr:from>
    <xdr:to>
      <xdr:col>23</xdr:col>
      <xdr:colOff>82596</xdr:colOff>
      <xdr:row>57</xdr:row>
      <xdr:rowOff>138412</xdr:rowOff>
    </xdr:to>
    <xdr:sp macro="" textlink="">
      <xdr:nvSpPr>
        <xdr:cNvPr id="907" name="5-Point Star 520">
          <a:extLst>
            <a:ext uri="{FF2B5EF4-FFF2-40B4-BE49-F238E27FC236}">
              <a16:creationId xmlns:a16="http://schemas.microsoft.com/office/drawing/2014/main" id="{31F998EC-695A-4153-8F47-4DD87C527789}"/>
            </a:ext>
          </a:extLst>
        </xdr:cNvPr>
        <xdr:cNvSpPr/>
      </xdr:nvSpPr>
      <xdr:spPr>
        <a:xfrm flipH="1">
          <a:off x="6718485" y="940573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161972</xdr:colOff>
      <xdr:row>56</xdr:row>
      <xdr:rowOff>161971</xdr:rowOff>
    </xdr:from>
    <xdr:to>
      <xdr:col>20</xdr:col>
      <xdr:colOff>87750</xdr:colOff>
      <xdr:row>57</xdr:row>
      <xdr:rowOff>161971</xdr:rowOff>
    </xdr:to>
    <xdr:sp macro="" textlink="">
      <xdr:nvSpPr>
        <xdr:cNvPr id="908" name="5-Point Star 520">
          <a:extLst>
            <a:ext uri="{FF2B5EF4-FFF2-40B4-BE49-F238E27FC236}">
              <a16:creationId xmlns:a16="http://schemas.microsoft.com/office/drawing/2014/main" id="{EBDBD48B-E978-4475-A540-0C1B80514ADD}"/>
            </a:ext>
          </a:extLst>
        </xdr:cNvPr>
        <xdr:cNvSpPr/>
      </xdr:nvSpPr>
      <xdr:spPr>
        <a:xfrm flipH="1">
          <a:off x="5812552" y="942929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194734</xdr:colOff>
      <xdr:row>56</xdr:row>
      <xdr:rowOff>176327</xdr:rowOff>
    </xdr:from>
    <xdr:to>
      <xdr:col>5</xdr:col>
      <xdr:colOff>120512</xdr:colOff>
      <xdr:row>57</xdr:row>
      <xdr:rowOff>176327</xdr:rowOff>
    </xdr:to>
    <xdr:sp macro="" textlink="">
      <xdr:nvSpPr>
        <xdr:cNvPr id="909" name="5-Point Star 520">
          <a:extLst>
            <a:ext uri="{FF2B5EF4-FFF2-40B4-BE49-F238E27FC236}">
              <a16:creationId xmlns:a16="http://schemas.microsoft.com/office/drawing/2014/main" id="{43CB441B-9EC4-4165-A129-4642D6A6543F}"/>
            </a:ext>
          </a:extLst>
        </xdr:cNvPr>
        <xdr:cNvSpPr/>
      </xdr:nvSpPr>
      <xdr:spPr>
        <a:xfrm flipH="1">
          <a:off x="1345096" y="94436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177432</xdr:colOff>
      <xdr:row>56</xdr:row>
      <xdr:rowOff>159026</xdr:rowOff>
    </xdr:from>
    <xdr:to>
      <xdr:col>8</xdr:col>
      <xdr:colOff>103210</xdr:colOff>
      <xdr:row>57</xdr:row>
      <xdr:rowOff>159026</xdr:rowOff>
    </xdr:to>
    <xdr:sp macro="" textlink="">
      <xdr:nvSpPr>
        <xdr:cNvPr id="910" name="5-Point Star 520">
          <a:extLst>
            <a:ext uri="{FF2B5EF4-FFF2-40B4-BE49-F238E27FC236}">
              <a16:creationId xmlns:a16="http://schemas.microsoft.com/office/drawing/2014/main" id="{5FA25A0A-F6EF-4912-94BC-85175EE80E02}"/>
            </a:ext>
          </a:extLst>
        </xdr:cNvPr>
        <xdr:cNvSpPr/>
      </xdr:nvSpPr>
      <xdr:spPr>
        <a:xfrm flipH="1">
          <a:off x="2174461" y="942634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164180</xdr:colOff>
      <xdr:row>56</xdr:row>
      <xdr:rowOff>164179</xdr:rowOff>
    </xdr:from>
    <xdr:to>
      <xdr:col>11</xdr:col>
      <xdr:colOff>89958</xdr:colOff>
      <xdr:row>57</xdr:row>
      <xdr:rowOff>164179</xdr:rowOff>
    </xdr:to>
    <xdr:sp macro="" textlink="">
      <xdr:nvSpPr>
        <xdr:cNvPr id="913" name="5-Point Star 520">
          <a:extLst>
            <a:ext uri="{FF2B5EF4-FFF2-40B4-BE49-F238E27FC236}">
              <a16:creationId xmlns:a16="http://schemas.microsoft.com/office/drawing/2014/main" id="{C49D7962-A056-4CDC-BC18-37D5ABD8A154}"/>
            </a:ext>
          </a:extLst>
        </xdr:cNvPr>
        <xdr:cNvSpPr/>
      </xdr:nvSpPr>
      <xdr:spPr>
        <a:xfrm flipH="1">
          <a:off x="3099905" y="94314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160131</xdr:colOff>
      <xdr:row>56</xdr:row>
      <xdr:rowOff>150927</xdr:rowOff>
    </xdr:from>
    <xdr:to>
      <xdr:col>14</xdr:col>
      <xdr:colOff>85909</xdr:colOff>
      <xdr:row>57</xdr:row>
      <xdr:rowOff>150927</xdr:rowOff>
    </xdr:to>
    <xdr:sp macro="" textlink="">
      <xdr:nvSpPr>
        <xdr:cNvPr id="914" name="5-Point Star 520">
          <a:extLst>
            <a:ext uri="{FF2B5EF4-FFF2-40B4-BE49-F238E27FC236}">
              <a16:creationId xmlns:a16="http://schemas.microsoft.com/office/drawing/2014/main" id="{D2BA481E-298A-4CA2-A83A-48DB00A2308C}"/>
            </a:ext>
          </a:extLst>
        </xdr:cNvPr>
        <xdr:cNvSpPr/>
      </xdr:nvSpPr>
      <xdr:spPr>
        <a:xfrm flipH="1">
          <a:off x="4034551" y="94182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165285</xdr:colOff>
      <xdr:row>56</xdr:row>
      <xdr:rowOff>165284</xdr:rowOff>
    </xdr:from>
    <xdr:to>
      <xdr:col>17</xdr:col>
      <xdr:colOff>91063</xdr:colOff>
      <xdr:row>57</xdr:row>
      <xdr:rowOff>165284</xdr:rowOff>
    </xdr:to>
    <xdr:sp macro="" textlink="">
      <xdr:nvSpPr>
        <xdr:cNvPr id="915" name="5-Point Star 520">
          <a:extLst>
            <a:ext uri="{FF2B5EF4-FFF2-40B4-BE49-F238E27FC236}">
              <a16:creationId xmlns:a16="http://schemas.microsoft.com/office/drawing/2014/main" id="{0F72013D-E963-40B6-837D-0BA093980106}"/>
            </a:ext>
          </a:extLst>
        </xdr:cNvPr>
        <xdr:cNvSpPr/>
      </xdr:nvSpPr>
      <xdr:spPr>
        <a:xfrm flipH="1">
          <a:off x="4941589" y="943260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179640</xdr:colOff>
      <xdr:row>47</xdr:row>
      <xdr:rowOff>152032</xdr:rowOff>
    </xdr:from>
    <xdr:to>
      <xdr:col>20</xdr:col>
      <xdr:colOff>105418</xdr:colOff>
      <xdr:row>48</xdr:row>
      <xdr:rowOff>152032</xdr:rowOff>
    </xdr:to>
    <xdr:sp macro="" textlink="">
      <xdr:nvSpPr>
        <xdr:cNvPr id="916" name="5-Point Star 520">
          <a:extLst>
            <a:ext uri="{FF2B5EF4-FFF2-40B4-BE49-F238E27FC236}">
              <a16:creationId xmlns:a16="http://schemas.microsoft.com/office/drawing/2014/main" id="{7D667B50-BCA8-4C4B-8414-199E24163148}"/>
            </a:ext>
          </a:extLst>
        </xdr:cNvPr>
        <xdr:cNvSpPr/>
      </xdr:nvSpPr>
      <xdr:spPr>
        <a:xfrm flipH="1">
          <a:off x="5830220" y="79468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165652</xdr:colOff>
      <xdr:row>47</xdr:row>
      <xdr:rowOff>138043</xdr:rowOff>
    </xdr:from>
    <xdr:to>
      <xdr:col>14</xdr:col>
      <xdr:colOff>91430</xdr:colOff>
      <xdr:row>48</xdr:row>
      <xdr:rowOff>138043</xdr:rowOff>
    </xdr:to>
    <xdr:sp macro="" textlink="">
      <xdr:nvSpPr>
        <xdr:cNvPr id="920" name="5-Point Star 520">
          <a:extLst>
            <a:ext uri="{FF2B5EF4-FFF2-40B4-BE49-F238E27FC236}">
              <a16:creationId xmlns:a16="http://schemas.microsoft.com/office/drawing/2014/main" id="{EA0BBA0C-36C3-41D3-84B0-E6849DBBA87D}"/>
            </a:ext>
          </a:extLst>
        </xdr:cNvPr>
        <xdr:cNvSpPr/>
      </xdr:nvSpPr>
      <xdr:spPr>
        <a:xfrm flipH="1">
          <a:off x="4040072" y="79328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166757</xdr:colOff>
      <xdr:row>47</xdr:row>
      <xdr:rowOff>166757</xdr:rowOff>
    </xdr:from>
    <xdr:to>
      <xdr:col>8</xdr:col>
      <xdr:colOff>92535</xdr:colOff>
      <xdr:row>48</xdr:row>
      <xdr:rowOff>166757</xdr:rowOff>
    </xdr:to>
    <xdr:sp macro="" textlink="">
      <xdr:nvSpPr>
        <xdr:cNvPr id="922" name="5-Point Star 520">
          <a:extLst>
            <a:ext uri="{FF2B5EF4-FFF2-40B4-BE49-F238E27FC236}">
              <a16:creationId xmlns:a16="http://schemas.microsoft.com/office/drawing/2014/main" id="{95A462F7-BEC5-41A9-918D-69436A46168E}"/>
            </a:ext>
          </a:extLst>
        </xdr:cNvPr>
        <xdr:cNvSpPr/>
      </xdr:nvSpPr>
      <xdr:spPr>
        <a:xfrm flipH="1">
          <a:off x="2163786" y="796161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181113</xdr:colOff>
      <xdr:row>38</xdr:row>
      <xdr:rowOff>125896</xdr:rowOff>
    </xdr:from>
    <xdr:to>
      <xdr:col>17</xdr:col>
      <xdr:colOff>106891</xdr:colOff>
      <xdr:row>39</xdr:row>
      <xdr:rowOff>125896</xdr:rowOff>
    </xdr:to>
    <xdr:sp macro="" textlink="">
      <xdr:nvSpPr>
        <xdr:cNvPr id="923" name="5-Point Star 520">
          <a:extLst>
            <a:ext uri="{FF2B5EF4-FFF2-40B4-BE49-F238E27FC236}">
              <a16:creationId xmlns:a16="http://schemas.microsoft.com/office/drawing/2014/main" id="{ED83EA2D-F3F6-49E5-B8CE-78723279212D}"/>
            </a:ext>
          </a:extLst>
        </xdr:cNvPr>
        <xdr:cNvSpPr/>
      </xdr:nvSpPr>
      <xdr:spPr>
        <a:xfrm flipH="1">
          <a:off x="4957417" y="64482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158658</xdr:colOff>
      <xdr:row>38</xdr:row>
      <xdr:rowOff>140253</xdr:rowOff>
    </xdr:from>
    <xdr:to>
      <xdr:col>32</xdr:col>
      <xdr:colOff>84436</xdr:colOff>
      <xdr:row>39</xdr:row>
      <xdr:rowOff>140253</xdr:rowOff>
    </xdr:to>
    <xdr:sp macro="" textlink="">
      <xdr:nvSpPr>
        <xdr:cNvPr id="924" name="5-Point Star 520">
          <a:extLst>
            <a:ext uri="{FF2B5EF4-FFF2-40B4-BE49-F238E27FC236}">
              <a16:creationId xmlns:a16="http://schemas.microsoft.com/office/drawing/2014/main" id="{A66A33F0-AB42-4202-90F2-078BB68D7CEC}"/>
            </a:ext>
          </a:extLst>
        </xdr:cNvPr>
        <xdr:cNvSpPr/>
      </xdr:nvSpPr>
      <xdr:spPr>
        <a:xfrm flipH="1">
          <a:off x="9425977" y="6462644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184059</xdr:colOff>
      <xdr:row>38</xdr:row>
      <xdr:rowOff>119637</xdr:rowOff>
    </xdr:from>
    <xdr:to>
      <xdr:col>20</xdr:col>
      <xdr:colOff>109837</xdr:colOff>
      <xdr:row>39</xdr:row>
      <xdr:rowOff>119637</xdr:rowOff>
    </xdr:to>
    <xdr:sp macro="" textlink="">
      <xdr:nvSpPr>
        <xdr:cNvPr id="926" name="5-Point Star 520">
          <a:extLst>
            <a:ext uri="{FF2B5EF4-FFF2-40B4-BE49-F238E27FC236}">
              <a16:creationId xmlns:a16="http://schemas.microsoft.com/office/drawing/2014/main" id="{9A22CB9F-B304-4BFA-895B-0FB7733F338C}"/>
            </a:ext>
          </a:extLst>
        </xdr:cNvPr>
        <xdr:cNvSpPr/>
      </xdr:nvSpPr>
      <xdr:spPr>
        <a:xfrm flipH="1">
          <a:off x="5834639" y="644202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174855</xdr:colOff>
      <xdr:row>38</xdr:row>
      <xdr:rowOff>138044</xdr:rowOff>
    </xdr:from>
    <xdr:to>
      <xdr:col>23</xdr:col>
      <xdr:colOff>100633</xdr:colOff>
      <xdr:row>39</xdr:row>
      <xdr:rowOff>138044</xdr:rowOff>
    </xdr:to>
    <xdr:sp macro="" textlink="">
      <xdr:nvSpPr>
        <xdr:cNvPr id="927" name="5-Point Star 520">
          <a:extLst>
            <a:ext uri="{FF2B5EF4-FFF2-40B4-BE49-F238E27FC236}">
              <a16:creationId xmlns:a16="http://schemas.microsoft.com/office/drawing/2014/main" id="{D9B58F4E-29AB-4324-AC28-9B4A59C7FFC0}"/>
            </a:ext>
          </a:extLst>
        </xdr:cNvPr>
        <xdr:cNvSpPr/>
      </xdr:nvSpPr>
      <xdr:spPr>
        <a:xfrm flipH="1">
          <a:off x="6736522" y="646043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156449</xdr:colOff>
      <xdr:row>38</xdr:row>
      <xdr:rowOff>110435</xdr:rowOff>
    </xdr:from>
    <xdr:to>
      <xdr:col>26</xdr:col>
      <xdr:colOff>82227</xdr:colOff>
      <xdr:row>39</xdr:row>
      <xdr:rowOff>110435</xdr:rowOff>
    </xdr:to>
    <xdr:sp macro="" textlink="">
      <xdr:nvSpPr>
        <xdr:cNvPr id="928" name="5-Point Star 520">
          <a:extLst>
            <a:ext uri="{FF2B5EF4-FFF2-40B4-BE49-F238E27FC236}">
              <a16:creationId xmlns:a16="http://schemas.microsoft.com/office/drawing/2014/main" id="{D0777E76-5452-4EAA-80F6-7012791907EF}"/>
            </a:ext>
          </a:extLst>
        </xdr:cNvPr>
        <xdr:cNvSpPr/>
      </xdr:nvSpPr>
      <xdr:spPr>
        <a:xfrm flipH="1">
          <a:off x="7620000" y="643282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147246</xdr:colOff>
      <xdr:row>38</xdr:row>
      <xdr:rowOff>119638</xdr:rowOff>
    </xdr:from>
    <xdr:to>
      <xdr:col>29</xdr:col>
      <xdr:colOff>82227</xdr:colOff>
      <xdr:row>39</xdr:row>
      <xdr:rowOff>119638</xdr:rowOff>
    </xdr:to>
    <xdr:sp macro="" textlink="">
      <xdr:nvSpPr>
        <xdr:cNvPr id="929" name="5-Point Star 520">
          <a:extLst>
            <a:ext uri="{FF2B5EF4-FFF2-40B4-BE49-F238E27FC236}">
              <a16:creationId xmlns:a16="http://schemas.microsoft.com/office/drawing/2014/main" id="{35EB45B5-356D-42CC-9B5B-0BBDD068FF17}"/>
            </a:ext>
          </a:extLst>
        </xdr:cNvPr>
        <xdr:cNvSpPr/>
      </xdr:nvSpPr>
      <xdr:spPr>
        <a:xfrm flipH="1">
          <a:off x="8531087" y="64420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147247</xdr:colOff>
      <xdr:row>29</xdr:row>
      <xdr:rowOff>122031</xdr:rowOff>
    </xdr:from>
    <xdr:to>
      <xdr:col>29</xdr:col>
      <xdr:colOff>82231</xdr:colOff>
      <xdr:row>30</xdr:row>
      <xdr:rowOff>122031</xdr:rowOff>
    </xdr:to>
    <xdr:sp macro="" textlink="">
      <xdr:nvSpPr>
        <xdr:cNvPr id="152" name="5-Point Star 520">
          <a:extLst>
            <a:ext uri="{FF2B5EF4-FFF2-40B4-BE49-F238E27FC236}">
              <a16:creationId xmlns:a16="http://schemas.microsoft.com/office/drawing/2014/main" id="{1F6DEB10-070C-4998-AB50-56D5BC228908}"/>
            </a:ext>
          </a:extLst>
        </xdr:cNvPr>
        <xdr:cNvSpPr/>
      </xdr:nvSpPr>
      <xdr:spPr>
        <a:xfrm flipH="1">
          <a:off x="8531088" y="4971959"/>
          <a:ext cx="201868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9203</xdr:colOff>
      <xdr:row>37</xdr:row>
      <xdr:rowOff>174857</xdr:rowOff>
    </xdr:from>
    <xdr:to>
      <xdr:col>20</xdr:col>
      <xdr:colOff>11314</xdr:colOff>
      <xdr:row>38</xdr:row>
      <xdr:rowOff>1383</xdr:rowOff>
    </xdr:to>
    <xdr:cxnSp macro="">
      <xdr:nvCxnSpPr>
        <xdr:cNvPr id="387" name="Curved Connector 523">
          <a:extLst>
            <a:ext uri="{FF2B5EF4-FFF2-40B4-BE49-F238E27FC236}">
              <a16:creationId xmlns:a16="http://schemas.microsoft.com/office/drawing/2014/main" id="{6EE0B0E9-67CC-4AA3-8B7A-3708E71F91BC}"/>
            </a:ext>
          </a:extLst>
        </xdr:cNvPr>
        <xdr:cNvCxnSpPr/>
      </xdr:nvCxnSpPr>
      <xdr:spPr>
        <a:xfrm rot="16200000" flipH="1">
          <a:off x="5494496" y="5880288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37</xdr:row>
      <xdr:rowOff>180010</xdr:rowOff>
    </xdr:from>
    <xdr:to>
      <xdr:col>22</xdr:col>
      <xdr:colOff>255743</xdr:colOff>
      <xdr:row>38</xdr:row>
      <xdr:rowOff>6536</xdr:rowOff>
    </xdr:to>
    <xdr:cxnSp macro="">
      <xdr:nvCxnSpPr>
        <xdr:cNvPr id="436" name="Curved Connector 523">
          <a:extLst>
            <a:ext uri="{FF2B5EF4-FFF2-40B4-BE49-F238E27FC236}">
              <a16:creationId xmlns:a16="http://schemas.microsoft.com/office/drawing/2014/main" id="{CB717CBC-4990-45FC-A1AF-7A7CBAF30D6B}"/>
            </a:ext>
          </a:extLst>
        </xdr:cNvPr>
        <xdr:cNvCxnSpPr/>
      </xdr:nvCxnSpPr>
      <xdr:spPr>
        <a:xfrm rot="16200000" flipH="1">
          <a:off x="6373925" y="5885441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258786</xdr:colOff>
      <xdr:row>37</xdr:row>
      <xdr:rowOff>166759</xdr:rowOff>
    </xdr:from>
    <xdr:to>
      <xdr:col>31</xdr:col>
      <xdr:colOff>251695</xdr:colOff>
      <xdr:row>37</xdr:row>
      <xdr:rowOff>177343</xdr:rowOff>
    </xdr:to>
    <xdr:cxnSp macro="">
      <xdr:nvCxnSpPr>
        <xdr:cNvPr id="778" name="Curved Connector 523">
          <a:extLst>
            <a:ext uri="{FF2B5EF4-FFF2-40B4-BE49-F238E27FC236}">
              <a16:creationId xmlns:a16="http://schemas.microsoft.com/office/drawing/2014/main" id="{BDDE963B-2072-4FDF-BA51-72D5C63D51CA}"/>
            </a:ext>
          </a:extLst>
        </xdr:cNvPr>
        <xdr:cNvCxnSpPr/>
      </xdr:nvCxnSpPr>
      <xdr:spPr>
        <a:xfrm rot="16200000" flipH="1">
          <a:off x="9075529" y="5872190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24663</xdr:colOff>
      <xdr:row>46</xdr:row>
      <xdr:rowOff>153504</xdr:rowOff>
    </xdr:from>
    <xdr:to>
      <xdr:col>4</xdr:col>
      <xdr:colOff>247645</xdr:colOff>
      <xdr:row>46</xdr:row>
      <xdr:rowOff>164088</xdr:rowOff>
    </xdr:to>
    <xdr:cxnSp macro="">
      <xdr:nvCxnSpPr>
        <xdr:cNvPr id="851" name="Curved Connector 523">
          <a:extLst>
            <a:ext uri="{FF2B5EF4-FFF2-40B4-BE49-F238E27FC236}">
              <a16:creationId xmlns:a16="http://schemas.microsoft.com/office/drawing/2014/main" id="{BCFC0292-3B2B-470A-9260-727FA2BE57DF}"/>
            </a:ext>
          </a:extLst>
        </xdr:cNvPr>
        <xdr:cNvCxnSpPr/>
      </xdr:nvCxnSpPr>
      <xdr:spPr>
        <a:xfrm rot="16200000" flipH="1">
          <a:off x="954522" y="73313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11411</xdr:colOff>
      <xdr:row>38</xdr:row>
      <xdr:rowOff>2210</xdr:rowOff>
    </xdr:from>
    <xdr:to>
      <xdr:col>43</xdr:col>
      <xdr:colOff>206783</xdr:colOff>
      <xdr:row>38</xdr:row>
      <xdr:rowOff>12794</xdr:rowOff>
    </xdr:to>
    <xdr:cxnSp macro="">
      <xdr:nvCxnSpPr>
        <xdr:cNvPr id="852" name="Curved Connector 523">
          <a:extLst>
            <a:ext uri="{FF2B5EF4-FFF2-40B4-BE49-F238E27FC236}">
              <a16:creationId xmlns:a16="http://schemas.microsoft.com/office/drawing/2014/main" id="{2CEC878A-E61B-4940-922C-845765B66182}"/>
            </a:ext>
          </a:extLst>
        </xdr:cNvPr>
        <xdr:cNvCxnSpPr/>
      </xdr:nvCxnSpPr>
      <xdr:spPr>
        <a:xfrm rot="16200000" flipH="1">
          <a:off x="12923443" y="58916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25768</xdr:colOff>
      <xdr:row>37</xdr:row>
      <xdr:rowOff>173016</xdr:rowOff>
    </xdr:from>
    <xdr:to>
      <xdr:col>40</xdr:col>
      <xdr:colOff>211938</xdr:colOff>
      <xdr:row>37</xdr:row>
      <xdr:rowOff>183600</xdr:rowOff>
    </xdr:to>
    <xdr:cxnSp macro="">
      <xdr:nvCxnSpPr>
        <xdr:cNvPr id="869" name="Curved Connector 523">
          <a:extLst>
            <a:ext uri="{FF2B5EF4-FFF2-40B4-BE49-F238E27FC236}">
              <a16:creationId xmlns:a16="http://schemas.microsoft.com/office/drawing/2014/main" id="{2AF62834-045F-40EF-A80B-99FF37830367}"/>
            </a:ext>
          </a:extLst>
        </xdr:cNvPr>
        <xdr:cNvCxnSpPr/>
      </xdr:nvCxnSpPr>
      <xdr:spPr>
        <a:xfrm rot="16200000" flipH="1">
          <a:off x="11971496" y="587844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40124</xdr:colOff>
      <xdr:row>38</xdr:row>
      <xdr:rowOff>12518</xdr:rowOff>
    </xdr:from>
    <xdr:to>
      <xdr:col>26</xdr:col>
      <xdr:colOff>14627</xdr:colOff>
      <xdr:row>38</xdr:row>
      <xdr:rowOff>23102</xdr:rowOff>
    </xdr:to>
    <xdr:cxnSp macro="">
      <xdr:nvCxnSpPr>
        <xdr:cNvPr id="870" name="Curved Connector 523">
          <a:extLst>
            <a:ext uri="{FF2B5EF4-FFF2-40B4-BE49-F238E27FC236}">
              <a16:creationId xmlns:a16="http://schemas.microsoft.com/office/drawing/2014/main" id="{A80A70D1-02A4-4013-8BC7-1FD9A09BAC2E}"/>
            </a:ext>
          </a:extLst>
        </xdr:cNvPr>
        <xdr:cNvCxnSpPr/>
      </xdr:nvCxnSpPr>
      <xdr:spPr>
        <a:xfrm rot="16200000" flipH="1">
          <a:off x="7310780" y="590200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266147</xdr:colOff>
      <xdr:row>37</xdr:row>
      <xdr:rowOff>183324</xdr:rowOff>
    </xdr:from>
    <xdr:to>
      <xdr:col>28</xdr:col>
      <xdr:colOff>222244</xdr:colOff>
      <xdr:row>38</xdr:row>
      <xdr:rowOff>9850</xdr:rowOff>
    </xdr:to>
    <xdr:cxnSp macro="">
      <xdr:nvCxnSpPr>
        <xdr:cNvPr id="874" name="Curved Connector 523">
          <a:extLst>
            <a:ext uri="{FF2B5EF4-FFF2-40B4-BE49-F238E27FC236}">
              <a16:creationId xmlns:a16="http://schemas.microsoft.com/office/drawing/2014/main" id="{2BFFEE9D-F4CB-412D-96E7-C34E871EAEA0}"/>
            </a:ext>
          </a:extLst>
        </xdr:cNvPr>
        <xdr:cNvCxnSpPr/>
      </xdr:nvCxnSpPr>
      <xdr:spPr>
        <a:xfrm rot="16200000" flipH="1">
          <a:off x="8162600" y="5888755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239276</xdr:colOff>
      <xdr:row>91</xdr:row>
      <xdr:rowOff>184057</xdr:rowOff>
    </xdr:from>
    <xdr:to>
      <xdr:col>8</xdr:col>
      <xdr:colOff>29814</xdr:colOff>
      <xdr:row>92</xdr:row>
      <xdr:rowOff>10583</xdr:rowOff>
    </xdr:to>
    <xdr:cxnSp macro="">
      <xdr:nvCxnSpPr>
        <xdr:cNvPr id="879" name="Curved Connector 522">
          <a:extLst>
            <a:ext uri="{FF2B5EF4-FFF2-40B4-BE49-F238E27FC236}">
              <a16:creationId xmlns:a16="http://schemas.microsoft.com/office/drawing/2014/main" id="{43EFD37C-553F-4677-A399-273B85B1FD30}"/>
            </a:ext>
          </a:extLst>
        </xdr:cNvPr>
        <xdr:cNvCxnSpPr/>
      </xdr:nvCxnSpPr>
      <xdr:spPr>
        <a:xfrm rot="16200000" flipH="1">
          <a:off x="1840992" y="1470581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23559</xdr:colOff>
      <xdr:row>91</xdr:row>
      <xdr:rowOff>180009</xdr:rowOff>
    </xdr:from>
    <xdr:to>
      <xdr:col>10</xdr:col>
      <xdr:colOff>274242</xdr:colOff>
      <xdr:row>92</xdr:row>
      <xdr:rowOff>6535</xdr:rowOff>
    </xdr:to>
    <xdr:cxnSp macro="">
      <xdr:nvCxnSpPr>
        <xdr:cNvPr id="880" name="Curved Connector 522">
          <a:extLst>
            <a:ext uri="{FF2B5EF4-FFF2-40B4-BE49-F238E27FC236}">
              <a16:creationId xmlns:a16="http://schemas.microsoft.com/office/drawing/2014/main" id="{E857B97E-E832-4F71-966D-09F1020DFA8D}"/>
            </a:ext>
          </a:extLst>
        </xdr:cNvPr>
        <xdr:cNvCxnSpPr/>
      </xdr:nvCxnSpPr>
      <xdr:spPr>
        <a:xfrm rot="16200000" flipH="1">
          <a:off x="2748029" y="1470177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1103</xdr:colOff>
      <xdr:row>91</xdr:row>
      <xdr:rowOff>175959</xdr:rowOff>
    </xdr:from>
    <xdr:to>
      <xdr:col>13</xdr:col>
      <xdr:colOff>251787</xdr:colOff>
      <xdr:row>92</xdr:row>
      <xdr:rowOff>2485</xdr:rowOff>
    </xdr:to>
    <xdr:cxnSp macro="">
      <xdr:nvCxnSpPr>
        <xdr:cNvPr id="881" name="Curved Connector 522">
          <a:extLst>
            <a:ext uri="{FF2B5EF4-FFF2-40B4-BE49-F238E27FC236}">
              <a16:creationId xmlns:a16="http://schemas.microsoft.com/office/drawing/2014/main" id="{8F44818E-1256-4308-A8A6-23D4D72C54B1}"/>
            </a:ext>
          </a:extLst>
        </xdr:cNvPr>
        <xdr:cNvCxnSpPr/>
      </xdr:nvCxnSpPr>
      <xdr:spPr>
        <a:xfrm rot="16200000" flipH="1">
          <a:off x="3664269" y="1469772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273142</xdr:colOff>
      <xdr:row>91</xdr:row>
      <xdr:rowOff>162707</xdr:rowOff>
    </xdr:from>
    <xdr:to>
      <xdr:col>17</xdr:col>
      <xdr:colOff>8463</xdr:colOff>
      <xdr:row>91</xdr:row>
      <xdr:rowOff>173291</xdr:rowOff>
    </xdr:to>
    <xdr:cxnSp macro="">
      <xdr:nvCxnSpPr>
        <xdr:cNvPr id="882" name="Curved Connector 522">
          <a:extLst>
            <a:ext uri="{FF2B5EF4-FFF2-40B4-BE49-F238E27FC236}">
              <a16:creationId xmlns:a16="http://schemas.microsoft.com/office/drawing/2014/main" id="{2EE9E712-04F0-49EE-8FDF-0F643DD27C3E}"/>
            </a:ext>
          </a:extLst>
        </xdr:cNvPr>
        <xdr:cNvCxnSpPr/>
      </xdr:nvCxnSpPr>
      <xdr:spPr>
        <a:xfrm rot="16200000" flipH="1">
          <a:off x="4598916" y="1468446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269093</xdr:colOff>
      <xdr:row>91</xdr:row>
      <xdr:rowOff>167861</xdr:rowOff>
    </xdr:from>
    <xdr:to>
      <xdr:col>20</xdr:col>
      <xdr:colOff>32022</xdr:colOff>
      <xdr:row>91</xdr:row>
      <xdr:rowOff>178445</xdr:rowOff>
    </xdr:to>
    <xdr:cxnSp macro="">
      <xdr:nvCxnSpPr>
        <xdr:cNvPr id="883" name="Curved Connector 522">
          <a:extLst>
            <a:ext uri="{FF2B5EF4-FFF2-40B4-BE49-F238E27FC236}">
              <a16:creationId xmlns:a16="http://schemas.microsoft.com/office/drawing/2014/main" id="{2DD4F702-12EC-4887-81C4-AD8CE9ED8274}"/>
            </a:ext>
          </a:extLst>
        </xdr:cNvPr>
        <xdr:cNvCxnSpPr/>
      </xdr:nvCxnSpPr>
      <xdr:spPr>
        <a:xfrm rot="16200000" flipH="1">
          <a:off x="5496751" y="14689623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265043</xdr:colOff>
      <xdr:row>91</xdr:row>
      <xdr:rowOff>182217</xdr:rowOff>
    </xdr:from>
    <xdr:to>
      <xdr:col>26</xdr:col>
      <xdr:colOff>364</xdr:colOff>
      <xdr:row>92</xdr:row>
      <xdr:rowOff>8743</xdr:rowOff>
    </xdr:to>
    <xdr:cxnSp macro="">
      <xdr:nvCxnSpPr>
        <xdr:cNvPr id="884" name="Curved Connector 522">
          <a:extLst>
            <a:ext uri="{FF2B5EF4-FFF2-40B4-BE49-F238E27FC236}">
              <a16:creationId xmlns:a16="http://schemas.microsoft.com/office/drawing/2014/main" id="{CE1486A9-C1D8-41FD-BA8A-72D86B14226D}"/>
            </a:ext>
          </a:extLst>
        </xdr:cNvPr>
        <xdr:cNvCxnSpPr/>
      </xdr:nvCxnSpPr>
      <xdr:spPr>
        <a:xfrm rot="16200000" flipH="1">
          <a:off x="7278064" y="1470397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3312</xdr:colOff>
      <xdr:row>92</xdr:row>
      <xdr:rowOff>12515</xdr:rowOff>
    </xdr:from>
    <xdr:to>
      <xdr:col>23</xdr:col>
      <xdr:colOff>5517</xdr:colOff>
      <xdr:row>92</xdr:row>
      <xdr:rowOff>23099</xdr:rowOff>
    </xdr:to>
    <xdr:cxnSp macro="">
      <xdr:nvCxnSpPr>
        <xdr:cNvPr id="885" name="Curved Connector 522">
          <a:extLst>
            <a:ext uri="{FF2B5EF4-FFF2-40B4-BE49-F238E27FC236}">
              <a16:creationId xmlns:a16="http://schemas.microsoft.com/office/drawing/2014/main" id="{B9413E4E-1727-4A2E-B4EE-29ABC900A1ED}"/>
            </a:ext>
          </a:extLst>
        </xdr:cNvPr>
        <xdr:cNvCxnSpPr/>
      </xdr:nvCxnSpPr>
      <xdr:spPr>
        <a:xfrm rot="16200000" flipH="1">
          <a:off x="6381333" y="1471833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266148</xdr:colOff>
      <xdr:row>109</xdr:row>
      <xdr:rowOff>174119</xdr:rowOff>
    </xdr:from>
    <xdr:to>
      <xdr:col>28</xdr:col>
      <xdr:colOff>259150</xdr:colOff>
      <xdr:row>110</xdr:row>
      <xdr:rowOff>645</xdr:rowOff>
    </xdr:to>
    <xdr:cxnSp macro="">
      <xdr:nvCxnSpPr>
        <xdr:cNvPr id="887" name="Curved Connector 522">
          <a:extLst>
            <a:ext uri="{FF2B5EF4-FFF2-40B4-BE49-F238E27FC236}">
              <a16:creationId xmlns:a16="http://schemas.microsoft.com/office/drawing/2014/main" id="{40352EE2-783A-4D8B-815A-1601F2E56F66}"/>
            </a:ext>
          </a:extLst>
        </xdr:cNvPr>
        <xdr:cNvCxnSpPr/>
      </xdr:nvCxnSpPr>
      <xdr:spPr>
        <a:xfrm rot="16200000" flipH="1">
          <a:off x="8181053" y="17640808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13620</xdr:colOff>
      <xdr:row>91</xdr:row>
      <xdr:rowOff>170070</xdr:rowOff>
    </xdr:from>
    <xdr:to>
      <xdr:col>4</xdr:col>
      <xdr:colOff>273507</xdr:colOff>
      <xdr:row>91</xdr:row>
      <xdr:rowOff>180654</xdr:rowOff>
    </xdr:to>
    <xdr:cxnSp macro="">
      <xdr:nvCxnSpPr>
        <xdr:cNvPr id="891" name="Curved Connector 522">
          <a:extLst>
            <a:ext uri="{FF2B5EF4-FFF2-40B4-BE49-F238E27FC236}">
              <a16:creationId xmlns:a16="http://schemas.microsoft.com/office/drawing/2014/main" id="{8E0F0421-E8C6-481C-A77D-C4DA22210B8E}"/>
            </a:ext>
          </a:extLst>
        </xdr:cNvPr>
        <xdr:cNvCxnSpPr/>
      </xdr:nvCxnSpPr>
      <xdr:spPr>
        <a:xfrm rot="16200000" flipH="1">
          <a:off x="961931" y="14691832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109</xdr:row>
      <xdr:rowOff>170806</xdr:rowOff>
    </xdr:from>
    <xdr:to>
      <xdr:col>23</xdr:col>
      <xdr:colOff>16561</xdr:colOff>
      <xdr:row>109</xdr:row>
      <xdr:rowOff>181390</xdr:rowOff>
    </xdr:to>
    <xdr:cxnSp macro="">
      <xdr:nvCxnSpPr>
        <xdr:cNvPr id="933" name="Curved Connector 522">
          <a:extLst>
            <a:ext uri="{FF2B5EF4-FFF2-40B4-BE49-F238E27FC236}">
              <a16:creationId xmlns:a16="http://schemas.microsoft.com/office/drawing/2014/main" id="{92902A58-0A2F-4A38-8635-F08FE5BDA7CF}"/>
            </a:ext>
          </a:extLst>
        </xdr:cNvPr>
        <xdr:cNvCxnSpPr/>
      </xdr:nvCxnSpPr>
      <xdr:spPr>
        <a:xfrm rot="16200000" flipH="1">
          <a:off x="6392377" y="1763749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267988</xdr:colOff>
      <xdr:row>110</xdr:row>
      <xdr:rowOff>1104</xdr:rowOff>
    </xdr:from>
    <xdr:to>
      <xdr:col>26</xdr:col>
      <xdr:colOff>3309</xdr:colOff>
      <xdr:row>110</xdr:row>
      <xdr:rowOff>11688</xdr:rowOff>
    </xdr:to>
    <xdr:cxnSp macro="">
      <xdr:nvCxnSpPr>
        <xdr:cNvPr id="934" name="Curved Connector 522">
          <a:extLst>
            <a:ext uri="{FF2B5EF4-FFF2-40B4-BE49-F238E27FC236}">
              <a16:creationId xmlns:a16="http://schemas.microsoft.com/office/drawing/2014/main" id="{E389A948-A1F8-4283-A96F-1A159F97C4EF}"/>
            </a:ext>
          </a:extLst>
        </xdr:cNvPr>
        <xdr:cNvCxnSpPr/>
      </xdr:nvCxnSpPr>
      <xdr:spPr>
        <a:xfrm rot="16200000" flipH="1">
          <a:off x="7281009" y="1765185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27609</xdr:colOff>
      <xdr:row>55</xdr:row>
      <xdr:rowOff>156450</xdr:rowOff>
    </xdr:from>
    <xdr:to>
      <xdr:col>41</xdr:col>
      <xdr:colOff>1</xdr:colOff>
      <xdr:row>55</xdr:row>
      <xdr:rowOff>167034</xdr:rowOff>
    </xdr:to>
    <xdr:cxnSp macro="">
      <xdr:nvCxnSpPr>
        <xdr:cNvPr id="538" name="Curved Connector 522">
          <a:extLst>
            <a:ext uri="{FF2B5EF4-FFF2-40B4-BE49-F238E27FC236}">
              <a16:creationId xmlns:a16="http://schemas.microsoft.com/office/drawing/2014/main" id="{FFCBD5C8-446B-4CB7-A057-ACE7F23D1232}"/>
            </a:ext>
          </a:extLst>
        </xdr:cNvPr>
        <xdr:cNvCxnSpPr/>
      </xdr:nvCxnSpPr>
      <xdr:spPr>
        <a:xfrm rot="16200000" flipH="1">
          <a:off x="12004491" y="9880003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272039</xdr:colOff>
      <xdr:row>55</xdr:row>
      <xdr:rowOff>161603</xdr:rowOff>
    </xdr:from>
    <xdr:to>
      <xdr:col>44</xdr:col>
      <xdr:colOff>5155</xdr:colOff>
      <xdr:row>55</xdr:row>
      <xdr:rowOff>172187</xdr:rowOff>
    </xdr:to>
    <xdr:cxnSp macro="">
      <xdr:nvCxnSpPr>
        <xdr:cNvPr id="541" name="Curved Connector 522">
          <a:extLst>
            <a:ext uri="{FF2B5EF4-FFF2-40B4-BE49-F238E27FC236}">
              <a16:creationId xmlns:a16="http://schemas.microsoft.com/office/drawing/2014/main" id="{034BA5CF-8748-4DCD-AB30-2976F62D7456}"/>
            </a:ext>
          </a:extLst>
        </xdr:cNvPr>
        <xdr:cNvCxnSpPr/>
      </xdr:nvCxnSpPr>
      <xdr:spPr>
        <a:xfrm rot="16200000" flipH="1">
          <a:off x="12939138" y="9885156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240381</xdr:colOff>
      <xdr:row>64</xdr:row>
      <xdr:rowOff>157555</xdr:rowOff>
    </xdr:from>
    <xdr:to>
      <xdr:col>8</xdr:col>
      <xdr:colOff>56323</xdr:colOff>
      <xdr:row>64</xdr:row>
      <xdr:rowOff>168139</xdr:rowOff>
    </xdr:to>
    <xdr:cxnSp macro="">
      <xdr:nvCxnSpPr>
        <xdr:cNvPr id="677" name="Curved Connector 522">
          <a:extLst>
            <a:ext uri="{FF2B5EF4-FFF2-40B4-BE49-F238E27FC236}">
              <a16:creationId xmlns:a16="http://schemas.microsoft.com/office/drawing/2014/main" id="{6D10CED6-7229-4FEE-82C5-DC1F1A9995FE}"/>
            </a:ext>
          </a:extLst>
        </xdr:cNvPr>
        <xdr:cNvCxnSpPr/>
      </xdr:nvCxnSpPr>
      <xdr:spPr>
        <a:xfrm rot="16200000" flipH="1">
          <a:off x="1854799" y="115376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263939</xdr:colOff>
      <xdr:row>64</xdr:row>
      <xdr:rowOff>153505</xdr:rowOff>
    </xdr:from>
    <xdr:to>
      <xdr:col>10</xdr:col>
      <xdr:colOff>263939</xdr:colOff>
      <xdr:row>64</xdr:row>
      <xdr:rowOff>164089</xdr:rowOff>
    </xdr:to>
    <xdr:cxnSp macro="">
      <xdr:nvCxnSpPr>
        <xdr:cNvPr id="678" name="Curved Connector 522">
          <a:extLst>
            <a:ext uri="{FF2B5EF4-FFF2-40B4-BE49-F238E27FC236}">
              <a16:creationId xmlns:a16="http://schemas.microsoft.com/office/drawing/2014/main" id="{B96564B3-DA3F-44BF-8CB4-3FE3429D600C}"/>
            </a:ext>
          </a:extLst>
        </xdr:cNvPr>
        <xdr:cNvCxnSpPr/>
      </xdr:nvCxnSpPr>
      <xdr:spPr>
        <a:xfrm rot="16200000" flipH="1">
          <a:off x="2725024" y="1153357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257681</xdr:colOff>
      <xdr:row>64</xdr:row>
      <xdr:rowOff>174855</xdr:rowOff>
    </xdr:from>
    <xdr:to>
      <xdr:col>13</xdr:col>
      <xdr:colOff>257682</xdr:colOff>
      <xdr:row>65</xdr:row>
      <xdr:rowOff>1381</xdr:rowOff>
    </xdr:to>
    <xdr:cxnSp macro="">
      <xdr:nvCxnSpPr>
        <xdr:cNvPr id="679" name="Curved Connector 522">
          <a:extLst>
            <a:ext uri="{FF2B5EF4-FFF2-40B4-BE49-F238E27FC236}">
              <a16:creationId xmlns:a16="http://schemas.microsoft.com/office/drawing/2014/main" id="{6C98B058-81BF-4D5B-88B8-349D82E202D4}"/>
            </a:ext>
          </a:extLst>
        </xdr:cNvPr>
        <xdr:cNvCxnSpPr/>
      </xdr:nvCxnSpPr>
      <xdr:spPr>
        <a:xfrm rot="16200000" flipH="1">
          <a:off x="3657462" y="115549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234462</xdr:colOff>
      <xdr:row>65</xdr:row>
      <xdr:rowOff>1</xdr:rowOff>
    </xdr:from>
    <xdr:to>
      <xdr:col>4</xdr:col>
      <xdr:colOff>244230</xdr:colOff>
      <xdr:row>65</xdr:row>
      <xdr:rowOff>10585</xdr:rowOff>
    </xdr:to>
    <xdr:cxnSp macro="">
      <xdr:nvCxnSpPr>
        <xdr:cNvPr id="681" name="Curved Connector 522">
          <a:extLst>
            <a:ext uri="{FF2B5EF4-FFF2-40B4-BE49-F238E27FC236}">
              <a16:creationId xmlns:a16="http://schemas.microsoft.com/office/drawing/2014/main" id="{D74CD13E-6064-45C6-9789-B1608F4444E6}"/>
            </a:ext>
          </a:extLst>
        </xdr:cNvPr>
        <xdr:cNvCxnSpPr/>
      </xdr:nvCxnSpPr>
      <xdr:spPr>
        <a:xfrm rot="16200000" flipH="1">
          <a:off x="932554" y="11650216"/>
          <a:ext cx="10584" cy="957384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273539</xdr:colOff>
      <xdr:row>64</xdr:row>
      <xdr:rowOff>166076</xdr:rowOff>
    </xdr:from>
    <xdr:to>
      <xdr:col>17</xdr:col>
      <xdr:colOff>29308</xdr:colOff>
      <xdr:row>64</xdr:row>
      <xdr:rowOff>178217</xdr:rowOff>
    </xdr:to>
    <xdr:cxnSp macro="">
      <xdr:nvCxnSpPr>
        <xdr:cNvPr id="682" name="Curved Connector 522">
          <a:extLst>
            <a:ext uri="{FF2B5EF4-FFF2-40B4-BE49-F238E27FC236}">
              <a16:creationId xmlns:a16="http://schemas.microsoft.com/office/drawing/2014/main" id="{49C0B6E1-33DF-4D46-AE33-2752DF36D4DF}"/>
            </a:ext>
          </a:extLst>
        </xdr:cNvPr>
        <xdr:cNvCxnSpPr/>
      </xdr:nvCxnSpPr>
      <xdr:spPr>
        <a:xfrm rot="16200000" flipH="1">
          <a:off x="4692930" y="11631454"/>
          <a:ext cx="12141" cy="957385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42051</xdr:colOff>
      <xdr:row>56</xdr:row>
      <xdr:rowOff>8213</xdr:rowOff>
    </xdr:from>
    <xdr:to>
      <xdr:col>29</xdr:col>
      <xdr:colOff>63289</xdr:colOff>
      <xdr:row>56</xdr:row>
      <xdr:rowOff>18797</xdr:rowOff>
    </xdr:to>
    <xdr:cxnSp macro="">
      <xdr:nvCxnSpPr>
        <xdr:cNvPr id="680" name="Curved Connector 522">
          <a:extLst>
            <a:ext uri="{FF2B5EF4-FFF2-40B4-BE49-F238E27FC236}">
              <a16:creationId xmlns:a16="http://schemas.microsoft.com/office/drawing/2014/main" id="{957EDC76-3475-4B62-A162-580B4539B829}"/>
            </a:ext>
          </a:extLst>
        </xdr:cNvPr>
        <xdr:cNvCxnSpPr/>
      </xdr:nvCxnSpPr>
      <xdr:spPr>
        <a:xfrm rot="16200000" flipH="1">
          <a:off x="8390301" y="999680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18604</xdr:colOff>
      <xdr:row>56</xdr:row>
      <xdr:rowOff>4305</xdr:rowOff>
    </xdr:from>
    <xdr:to>
      <xdr:col>37</xdr:col>
      <xdr:colOff>244996</xdr:colOff>
      <xdr:row>56</xdr:row>
      <xdr:rowOff>14889</xdr:rowOff>
    </xdr:to>
    <xdr:cxnSp macro="">
      <xdr:nvCxnSpPr>
        <xdr:cNvPr id="822" name="Curved Connector 522">
          <a:extLst>
            <a:ext uri="{FF2B5EF4-FFF2-40B4-BE49-F238E27FC236}">
              <a16:creationId xmlns:a16="http://schemas.microsoft.com/office/drawing/2014/main" id="{AF83D572-0D85-48E5-8537-BC740AE064E5}"/>
            </a:ext>
          </a:extLst>
        </xdr:cNvPr>
        <xdr:cNvCxnSpPr/>
      </xdr:nvCxnSpPr>
      <xdr:spPr>
        <a:xfrm rot="16200000" flipH="1">
          <a:off x="11180393" y="9992901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24466</xdr:colOff>
      <xdr:row>55</xdr:row>
      <xdr:rowOff>176243</xdr:rowOff>
    </xdr:from>
    <xdr:to>
      <xdr:col>34</xdr:col>
      <xdr:colOff>260627</xdr:colOff>
      <xdr:row>56</xdr:row>
      <xdr:rowOff>1212</xdr:rowOff>
    </xdr:to>
    <xdr:cxnSp macro="">
      <xdr:nvCxnSpPr>
        <xdr:cNvPr id="853" name="Curved Connector 522">
          <a:extLst>
            <a:ext uri="{FF2B5EF4-FFF2-40B4-BE49-F238E27FC236}">
              <a16:creationId xmlns:a16="http://schemas.microsoft.com/office/drawing/2014/main" id="{7866E9A1-2734-4370-8A31-26091F538587}"/>
            </a:ext>
          </a:extLst>
        </xdr:cNvPr>
        <xdr:cNvCxnSpPr/>
      </xdr:nvCxnSpPr>
      <xdr:spPr>
        <a:xfrm rot="16200000" flipH="1">
          <a:off x="10199562" y="9979224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30327</xdr:colOff>
      <xdr:row>56</xdr:row>
      <xdr:rowOff>6259</xdr:rowOff>
    </xdr:from>
    <xdr:to>
      <xdr:col>32</xdr:col>
      <xdr:colOff>61335</xdr:colOff>
      <xdr:row>56</xdr:row>
      <xdr:rowOff>16843</xdr:rowOff>
    </xdr:to>
    <xdr:cxnSp macro="">
      <xdr:nvCxnSpPr>
        <xdr:cNvPr id="854" name="Curved Connector 522">
          <a:extLst>
            <a:ext uri="{FF2B5EF4-FFF2-40B4-BE49-F238E27FC236}">
              <a16:creationId xmlns:a16="http://schemas.microsoft.com/office/drawing/2014/main" id="{BD30C4BC-5EBB-493E-A962-F860F6A22994}"/>
            </a:ext>
          </a:extLst>
        </xdr:cNvPr>
        <xdr:cNvCxnSpPr/>
      </xdr:nvCxnSpPr>
      <xdr:spPr>
        <a:xfrm rot="16200000" flipH="1">
          <a:off x="9296885" y="9994855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260881</xdr:colOff>
      <xdr:row>55</xdr:row>
      <xdr:rowOff>158658</xdr:rowOff>
    </xdr:from>
    <xdr:to>
      <xdr:col>25</xdr:col>
      <xdr:colOff>282119</xdr:colOff>
      <xdr:row>55</xdr:row>
      <xdr:rowOff>169242</xdr:rowOff>
    </xdr:to>
    <xdr:cxnSp macro="">
      <xdr:nvCxnSpPr>
        <xdr:cNvPr id="856" name="Curved Connector 522">
          <a:extLst>
            <a:ext uri="{FF2B5EF4-FFF2-40B4-BE49-F238E27FC236}">
              <a16:creationId xmlns:a16="http://schemas.microsoft.com/office/drawing/2014/main" id="{485403EF-DCDF-49B4-9C76-3F227E483819}"/>
            </a:ext>
          </a:extLst>
        </xdr:cNvPr>
        <xdr:cNvCxnSpPr/>
      </xdr:nvCxnSpPr>
      <xdr:spPr>
        <a:xfrm rot="16200000" flipH="1">
          <a:off x="7407516" y="996163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9769</xdr:colOff>
      <xdr:row>127</xdr:row>
      <xdr:rowOff>175846</xdr:rowOff>
    </xdr:from>
    <xdr:to>
      <xdr:col>8</xdr:col>
      <xdr:colOff>266211</xdr:colOff>
      <xdr:row>129</xdr:row>
      <xdr:rowOff>173403</xdr:rowOff>
    </xdr:to>
    <xdr:sp macro="" textlink="">
      <xdr:nvSpPr>
        <xdr:cNvPr id="80" name="Isosceles Triangle 79">
          <a:extLst>
            <a:ext uri="{FF2B5EF4-FFF2-40B4-BE49-F238E27FC236}">
              <a16:creationId xmlns:a16="http://schemas.microsoft.com/office/drawing/2014/main" id="{BF2D8C3C-5013-49FC-921B-47C2DB41C0D9}"/>
            </a:ext>
          </a:extLst>
        </xdr:cNvPr>
        <xdr:cNvSpPr/>
      </xdr:nvSpPr>
      <xdr:spPr>
        <a:xfrm>
          <a:off x="2041769" y="23807615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9</xdr:col>
      <xdr:colOff>386862</xdr:colOff>
      <xdr:row>127</xdr:row>
      <xdr:rowOff>181708</xdr:rowOff>
    </xdr:from>
    <xdr:to>
      <xdr:col>11</xdr:col>
      <xdr:colOff>252535</xdr:colOff>
      <xdr:row>129</xdr:row>
      <xdr:rowOff>179265</xdr:rowOff>
    </xdr:to>
    <xdr:sp macro="" textlink="">
      <xdr:nvSpPr>
        <xdr:cNvPr id="465" name="Isosceles Triangle 464">
          <a:extLst>
            <a:ext uri="{FF2B5EF4-FFF2-40B4-BE49-F238E27FC236}">
              <a16:creationId xmlns:a16="http://schemas.microsoft.com/office/drawing/2014/main" id="{35CC9F57-AA00-4349-929C-5A84A756CE83}"/>
            </a:ext>
          </a:extLst>
        </xdr:cNvPr>
        <xdr:cNvSpPr/>
      </xdr:nvSpPr>
      <xdr:spPr>
        <a:xfrm>
          <a:off x="2985477" y="23813477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5</xdr:col>
      <xdr:colOff>205154</xdr:colOff>
      <xdr:row>130</xdr:row>
      <xdr:rowOff>39077</xdr:rowOff>
    </xdr:from>
    <xdr:to>
      <xdr:col>7</xdr:col>
      <xdr:colOff>38740</xdr:colOff>
      <xdr:row>131</xdr:row>
      <xdr:rowOff>90296</xdr:rowOff>
    </xdr:to>
    <xdr:sp macro="" textlink="">
      <xdr:nvSpPr>
        <xdr:cNvPr id="485" name="Lightning Bolt 484">
          <a:extLst>
            <a:ext uri="{FF2B5EF4-FFF2-40B4-BE49-F238E27FC236}">
              <a16:creationId xmlns:a16="http://schemas.microsoft.com/office/drawing/2014/main" id="{2DBB9AA9-6A82-405C-B0EB-F4D493D80E9D}"/>
            </a:ext>
          </a:extLst>
        </xdr:cNvPr>
        <xdr:cNvSpPr/>
      </xdr:nvSpPr>
      <xdr:spPr>
        <a:xfrm rot="2857557">
          <a:off x="1747337" y="2414112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263770</xdr:colOff>
      <xdr:row>130</xdr:row>
      <xdr:rowOff>29307</xdr:rowOff>
    </xdr:from>
    <xdr:to>
      <xdr:col>9</xdr:col>
      <xdr:colOff>390434</xdr:colOff>
      <xdr:row>131</xdr:row>
      <xdr:rowOff>80526</xdr:rowOff>
    </xdr:to>
    <xdr:sp macro="" textlink="">
      <xdr:nvSpPr>
        <xdr:cNvPr id="857" name="Lightning Bolt 856">
          <a:extLst>
            <a:ext uri="{FF2B5EF4-FFF2-40B4-BE49-F238E27FC236}">
              <a16:creationId xmlns:a16="http://schemas.microsoft.com/office/drawing/2014/main" id="{3A6A25F8-B49A-4C39-AEF6-51B4A2E5F950}"/>
            </a:ext>
          </a:extLst>
        </xdr:cNvPr>
        <xdr:cNvSpPr/>
      </xdr:nvSpPr>
      <xdr:spPr>
        <a:xfrm rot="2857557">
          <a:off x="2665646" y="2413135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160216</xdr:colOff>
      <xdr:row>47</xdr:row>
      <xdr:rowOff>124070</xdr:rowOff>
    </xdr:from>
    <xdr:to>
      <xdr:col>2</xdr:col>
      <xdr:colOff>85993</xdr:colOff>
      <xdr:row>48</xdr:row>
      <xdr:rowOff>124070</xdr:rowOff>
    </xdr:to>
    <xdr:sp macro="" textlink="">
      <xdr:nvSpPr>
        <xdr:cNvPr id="858" name="5-Point Star 520">
          <a:extLst>
            <a:ext uri="{FF2B5EF4-FFF2-40B4-BE49-F238E27FC236}">
              <a16:creationId xmlns:a16="http://schemas.microsoft.com/office/drawing/2014/main" id="{9B052B08-8976-491F-B7A7-36752B0AD9A1}"/>
            </a:ext>
          </a:extLst>
        </xdr:cNvPr>
        <xdr:cNvSpPr/>
      </xdr:nvSpPr>
      <xdr:spPr>
        <a:xfrm flipH="1">
          <a:off x="384908" y="8906608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146539</xdr:colOff>
      <xdr:row>38</xdr:row>
      <xdr:rowOff>136769</xdr:rowOff>
    </xdr:from>
    <xdr:to>
      <xdr:col>41</xdr:col>
      <xdr:colOff>72316</xdr:colOff>
      <xdr:row>39</xdr:row>
      <xdr:rowOff>136770</xdr:rowOff>
    </xdr:to>
    <xdr:sp macro="" textlink="">
      <xdr:nvSpPr>
        <xdr:cNvPr id="859" name="5-Point Star 520">
          <a:extLst>
            <a:ext uri="{FF2B5EF4-FFF2-40B4-BE49-F238E27FC236}">
              <a16:creationId xmlns:a16="http://schemas.microsoft.com/office/drawing/2014/main" id="{66140938-4574-4CC7-BF23-07CE878412D4}"/>
            </a:ext>
          </a:extLst>
        </xdr:cNvPr>
        <xdr:cNvSpPr/>
      </xdr:nvSpPr>
      <xdr:spPr>
        <a:xfrm flipH="1">
          <a:off x="12524154" y="7248769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175847</xdr:colOff>
      <xdr:row>20</xdr:row>
      <xdr:rowOff>146539</xdr:rowOff>
    </xdr:from>
    <xdr:to>
      <xdr:col>35</xdr:col>
      <xdr:colOff>101627</xdr:colOff>
      <xdr:row>21</xdr:row>
      <xdr:rowOff>146539</xdr:rowOff>
    </xdr:to>
    <xdr:sp macro="" textlink="">
      <xdr:nvSpPr>
        <xdr:cNvPr id="483" name="5-Point Star 520">
          <a:extLst>
            <a:ext uri="{FF2B5EF4-FFF2-40B4-BE49-F238E27FC236}">
              <a16:creationId xmlns:a16="http://schemas.microsoft.com/office/drawing/2014/main" id="{8CD9A1F7-6A86-419E-8E7C-9C274159AA74}"/>
            </a:ext>
          </a:extLst>
        </xdr:cNvPr>
        <xdr:cNvSpPr/>
      </xdr:nvSpPr>
      <xdr:spPr>
        <a:xfrm flipH="1">
          <a:off x="10589847" y="3917462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152399</xdr:colOff>
      <xdr:row>20</xdr:row>
      <xdr:rowOff>123092</xdr:rowOff>
    </xdr:from>
    <xdr:to>
      <xdr:col>38</xdr:col>
      <xdr:colOff>78180</xdr:colOff>
      <xdr:row>21</xdr:row>
      <xdr:rowOff>123092</xdr:rowOff>
    </xdr:to>
    <xdr:sp macro="" textlink="">
      <xdr:nvSpPr>
        <xdr:cNvPr id="860" name="5-Point Star 520">
          <a:extLst>
            <a:ext uri="{FF2B5EF4-FFF2-40B4-BE49-F238E27FC236}">
              <a16:creationId xmlns:a16="http://schemas.microsoft.com/office/drawing/2014/main" id="{230A189D-0F5E-4B53-98A9-9B5BDEDCE85F}"/>
            </a:ext>
          </a:extLst>
        </xdr:cNvPr>
        <xdr:cNvSpPr/>
      </xdr:nvSpPr>
      <xdr:spPr>
        <a:xfrm flipH="1">
          <a:off x="11562861" y="389401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148493</xdr:colOff>
      <xdr:row>20</xdr:row>
      <xdr:rowOff>138722</xdr:rowOff>
    </xdr:from>
    <xdr:to>
      <xdr:col>41</xdr:col>
      <xdr:colOff>74273</xdr:colOff>
      <xdr:row>21</xdr:row>
      <xdr:rowOff>138722</xdr:rowOff>
    </xdr:to>
    <xdr:sp macro="" textlink="">
      <xdr:nvSpPr>
        <xdr:cNvPr id="861" name="5-Point Star 520">
          <a:extLst>
            <a:ext uri="{FF2B5EF4-FFF2-40B4-BE49-F238E27FC236}">
              <a16:creationId xmlns:a16="http://schemas.microsoft.com/office/drawing/2014/main" id="{BA90767F-507A-4F6E-BF66-F132B095B747}"/>
            </a:ext>
          </a:extLst>
        </xdr:cNvPr>
        <xdr:cNvSpPr/>
      </xdr:nvSpPr>
      <xdr:spPr>
        <a:xfrm flipH="1">
          <a:off x="12526108" y="39096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144586</xdr:colOff>
      <xdr:row>29</xdr:row>
      <xdr:rowOff>115276</xdr:rowOff>
    </xdr:from>
    <xdr:to>
      <xdr:col>2</xdr:col>
      <xdr:colOff>70366</xdr:colOff>
      <xdr:row>30</xdr:row>
      <xdr:rowOff>115276</xdr:rowOff>
    </xdr:to>
    <xdr:sp macro="" textlink="">
      <xdr:nvSpPr>
        <xdr:cNvPr id="863" name="5-Point Star 520">
          <a:extLst>
            <a:ext uri="{FF2B5EF4-FFF2-40B4-BE49-F238E27FC236}">
              <a16:creationId xmlns:a16="http://schemas.microsoft.com/office/drawing/2014/main" id="{ED77ADD6-46B8-4D78-AE1F-2E43145036C5}"/>
            </a:ext>
          </a:extLst>
        </xdr:cNvPr>
        <xdr:cNvSpPr/>
      </xdr:nvSpPr>
      <xdr:spPr>
        <a:xfrm flipH="1">
          <a:off x="369278" y="555673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160216</xdr:colOff>
      <xdr:row>38</xdr:row>
      <xdr:rowOff>150446</xdr:rowOff>
    </xdr:from>
    <xdr:to>
      <xdr:col>38</xdr:col>
      <xdr:colOff>85997</xdr:colOff>
      <xdr:row>39</xdr:row>
      <xdr:rowOff>150446</xdr:rowOff>
    </xdr:to>
    <xdr:sp macro="" textlink="">
      <xdr:nvSpPr>
        <xdr:cNvPr id="864" name="5-Point Star 520">
          <a:extLst>
            <a:ext uri="{FF2B5EF4-FFF2-40B4-BE49-F238E27FC236}">
              <a16:creationId xmlns:a16="http://schemas.microsoft.com/office/drawing/2014/main" id="{ADE01F88-B556-4B39-A083-21715E0EF3B3}"/>
            </a:ext>
          </a:extLst>
        </xdr:cNvPr>
        <xdr:cNvSpPr/>
      </xdr:nvSpPr>
      <xdr:spPr>
        <a:xfrm flipH="1">
          <a:off x="11570678" y="726244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166077</xdr:colOff>
      <xdr:row>47</xdr:row>
      <xdr:rowOff>146539</xdr:rowOff>
    </xdr:from>
    <xdr:to>
      <xdr:col>5</xdr:col>
      <xdr:colOff>91858</xdr:colOff>
      <xdr:row>48</xdr:row>
      <xdr:rowOff>146538</xdr:rowOff>
    </xdr:to>
    <xdr:sp macro="" textlink="">
      <xdr:nvSpPr>
        <xdr:cNvPr id="865" name="5-Point Star 520">
          <a:extLst>
            <a:ext uri="{FF2B5EF4-FFF2-40B4-BE49-F238E27FC236}">
              <a16:creationId xmlns:a16="http://schemas.microsoft.com/office/drawing/2014/main" id="{D7130B62-0735-400C-BDE1-6920FF7936C0}"/>
            </a:ext>
          </a:extLst>
        </xdr:cNvPr>
        <xdr:cNvSpPr/>
      </xdr:nvSpPr>
      <xdr:spPr>
        <a:xfrm flipH="1">
          <a:off x="1338385" y="8929077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19539</xdr:colOff>
      <xdr:row>29</xdr:row>
      <xdr:rowOff>9769</xdr:rowOff>
    </xdr:from>
    <xdr:to>
      <xdr:col>4</xdr:col>
      <xdr:colOff>240839</xdr:colOff>
      <xdr:row>29</xdr:row>
      <xdr:rowOff>20353</xdr:rowOff>
    </xdr:to>
    <xdr:cxnSp macro="">
      <xdr:nvCxnSpPr>
        <xdr:cNvPr id="471" name="Curved Connector 522">
          <a:extLst>
            <a:ext uri="{FF2B5EF4-FFF2-40B4-BE49-F238E27FC236}">
              <a16:creationId xmlns:a16="http://schemas.microsoft.com/office/drawing/2014/main" id="{C70BBC6C-EC5E-4778-9281-212C6EC35534}"/>
            </a:ext>
          </a:extLst>
        </xdr:cNvPr>
        <xdr:cNvCxnSpPr/>
      </xdr:nvCxnSpPr>
      <xdr:spPr>
        <a:xfrm rot="16200000" flipH="1">
          <a:off x="965051" y="501371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0</xdr:colOff>
      <xdr:row>20</xdr:row>
      <xdr:rowOff>0</xdr:rowOff>
    </xdr:from>
    <xdr:to>
      <xdr:col>43</xdr:col>
      <xdr:colOff>64672</xdr:colOff>
      <xdr:row>20</xdr:row>
      <xdr:rowOff>10584</xdr:rowOff>
    </xdr:to>
    <xdr:cxnSp macro="">
      <xdr:nvCxnSpPr>
        <xdr:cNvPr id="866" name="Curved Connector 523">
          <a:extLst>
            <a:ext uri="{FF2B5EF4-FFF2-40B4-BE49-F238E27FC236}">
              <a16:creationId xmlns:a16="http://schemas.microsoft.com/office/drawing/2014/main" id="{A0A4C1F9-8E55-4323-8D37-2D452E6158B8}"/>
            </a:ext>
          </a:extLst>
        </xdr:cNvPr>
        <xdr:cNvCxnSpPr/>
      </xdr:nvCxnSpPr>
      <xdr:spPr>
        <a:xfrm rot="16200000" flipH="1">
          <a:off x="13029890" y="3401956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93785</xdr:colOff>
      <xdr:row>20</xdr:row>
      <xdr:rowOff>5862</xdr:rowOff>
    </xdr:from>
    <xdr:to>
      <xdr:col>40</xdr:col>
      <xdr:colOff>158457</xdr:colOff>
      <xdr:row>20</xdr:row>
      <xdr:rowOff>16446</xdr:rowOff>
    </xdr:to>
    <xdr:cxnSp macro="">
      <xdr:nvCxnSpPr>
        <xdr:cNvPr id="867" name="Curved Connector 523">
          <a:extLst>
            <a:ext uri="{FF2B5EF4-FFF2-40B4-BE49-F238E27FC236}">
              <a16:creationId xmlns:a16="http://schemas.microsoft.com/office/drawing/2014/main" id="{B6A61701-A6A4-446A-9DAA-56E85FEFA1C0}"/>
            </a:ext>
          </a:extLst>
        </xdr:cNvPr>
        <xdr:cNvCxnSpPr/>
      </xdr:nvCxnSpPr>
      <xdr:spPr>
        <a:xfrm rot="16200000" flipH="1">
          <a:off x="12156521" y="3407818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113324</xdr:colOff>
      <xdr:row>19</xdr:row>
      <xdr:rowOff>181709</xdr:rowOff>
    </xdr:from>
    <xdr:to>
      <xdr:col>37</xdr:col>
      <xdr:colOff>90073</xdr:colOff>
      <xdr:row>20</xdr:row>
      <xdr:rowOff>6678</xdr:rowOff>
    </xdr:to>
    <xdr:cxnSp macro="">
      <xdr:nvCxnSpPr>
        <xdr:cNvPr id="875" name="Curved Connector 523">
          <a:extLst>
            <a:ext uri="{FF2B5EF4-FFF2-40B4-BE49-F238E27FC236}">
              <a16:creationId xmlns:a16="http://schemas.microsoft.com/office/drawing/2014/main" id="{CAE0A4A9-8D32-41E0-8255-D10EB3365B6A}"/>
            </a:ext>
          </a:extLst>
        </xdr:cNvPr>
        <xdr:cNvCxnSpPr/>
      </xdr:nvCxnSpPr>
      <xdr:spPr>
        <a:xfrm rot="16200000" flipH="1">
          <a:off x="11072138" y="34273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80109</xdr:colOff>
      <xdr:row>19</xdr:row>
      <xdr:rowOff>177801</xdr:rowOff>
    </xdr:from>
    <xdr:to>
      <xdr:col>34</xdr:col>
      <xdr:colOff>144781</xdr:colOff>
      <xdr:row>20</xdr:row>
      <xdr:rowOff>2770</xdr:rowOff>
    </xdr:to>
    <xdr:cxnSp macro="">
      <xdr:nvCxnSpPr>
        <xdr:cNvPr id="876" name="Curved Connector 523">
          <a:extLst>
            <a:ext uri="{FF2B5EF4-FFF2-40B4-BE49-F238E27FC236}">
              <a16:creationId xmlns:a16="http://schemas.microsoft.com/office/drawing/2014/main" id="{311725CE-0B26-475B-B0BE-1CE22FF3C4C4}"/>
            </a:ext>
          </a:extLst>
        </xdr:cNvPr>
        <xdr:cNvCxnSpPr/>
      </xdr:nvCxnSpPr>
      <xdr:spPr>
        <a:xfrm rot="16200000" flipH="1">
          <a:off x="10130384" y="34234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92340</xdr:colOff>
      <xdr:row>34</xdr:row>
      <xdr:rowOff>78749</xdr:rowOff>
    </xdr:from>
    <xdr:to>
      <xdr:col>17</xdr:col>
      <xdr:colOff>18118</xdr:colOff>
      <xdr:row>35</xdr:row>
      <xdr:rowOff>78748</xdr:rowOff>
    </xdr:to>
    <xdr:sp macro="" textlink="">
      <xdr:nvSpPr>
        <xdr:cNvPr id="877" name="5-Point Star 520">
          <a:extLst>
            <a:ext uri="{FF2B5EF4-FFF2-40B4-BE49-F238E27FC236}">
              <a16:creationId xmlns:a16="http://schemas.microsoft.com/office/drawing/2014/main" id="{84AB1DB7-FF1B-4DB3-9463-370D147E6636}"/>
            </a:ext>
          </a:extLst>
        </xdr:cNvPr>
        <xdr:cNvSpPr/>
      </xdr:nvSpPr>
      <xdr:spPr>
        <a:xfrm flipH="1">
          <a:off x="4957417" y="6448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186125</xdr:colOff>
      <xdr:row>38</xdr:row>
      <xdr:rowOff>133456</xdr:rowOff>
    </xdr:from>
    <xdr:to>
      <xdr:col>2</xdr:col>
      <xdr:colOff>111903</xdr:colOff>
      <xdr:row>39</xdr:row>
      <xdr:rowOff>133456</xdr:rowOff>
    </xdr:to>
    <xdr:sp macro="" textlink="">
      <xdr:nvSpPr>
        <xdr:cNvPr id="886" name="5-Point Star 520">
          <a:extLst>
            <a:ext uri="{FF2B5EF4-FFF2-40B4-BE49-F238E27FC236}">
              <a16:creationId xmlns:a16="http://schemas.microsoft.com/office/drawing/2014/main" id="{476F9947-14FD-4064-AA03-F3DF12E7ADC7}"/>
            </a:ext>
          </a:extLst>
        </xdr:cNvPr>
        <xdr:cNvSpPr/>
      </xdr:nvSpPr>
      <xdr:spPr>
        <a:xfrm flipH="1">
          <a:off x="410817" y="7245456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152909</xdr:colOff>
      <xdr:row>38</xdr:row>
      <xdr:rowOff>129549</xdr:rowOff>
    </xdr:from>
    <xdr:to>
      <xdr:col>5</xdr:col>
      <xdr:colOff>78688</xdr:colOff>
      <xdr:row>39</xdr:row>
      <xdr:rowOff>129549</xdr:rowOff>
    </xdr:to>
    <xdr:sp macro="" textlink="">
      <xdr:nvSpPr>
        <xdr:cNvPr id="892" name="5-Point Star 520">
          <a:extLst>
            <a:ext uri="{FF2B5EF4-FFF2-40B4-BE49-F238E27FC236}">
              <a16:creationId xmlns:a16="http://schemas.microsoft.com/office/drawing/2014/main" id="{8289D0CA-2C74-4C70-8B07-BD5B985934A3}"/>
            </a:ext>
          </a:extLst>
        </xdr:cNvPr>
        <xdr:cNvSpPr/>
      </xdr:nvSpPr>
      <xdr:spPr>
        <a:xfrm flipH="1">
          <a:off x="1325217" y="7241549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178310</xdr:colOff>
      <xdr:row>38</xdr:row>
      <xdr:rowOff>135410</xdr:rowOff>
    </xdr:from>
    <xdr:to>
      <xdr:col>8</xdr:col>
      <xdr:colOff>104088</xdr:colOff>
      <xdr:row>39</xdr:row>
      <xdr:rowOff>135410</xdr:rowOff>
    </xdr:to>
    <xdr:sp macro="" textlink="">
      <xdr:nvSpPr>
        <xdr:cNvPr id="893" name="5-Point Star 520">
          <a:extLst>
            <a:ext uri="{FF2B5EF4-FFF2-40B4-BE49-F238E27FC236}">
              <a16:creationId xmlns:a16="http://schemas.microsoft.com/office/drawing/2014/main" id="{59CD8E74-2DB5-4054-B274-9FB96503C8D1}"/>
            </a:ext>
          </a:extLst>
        </xdr:cNvPr>
        <xdr:cNvSpPr/>
      </xdr:nvSpPr>
      <xdr:spPr>
        <a:xfrm flipH="1">
          <a:off x="2210310" y="7247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174401</xdr:colOff>
      <xdr:row>38</xdr:row>
      <xdr:rowOff>141272</xdr:rowOff>
    </xdr:from>
    <xdr:to>
      <xdr:col>11</xdr:col>
      <xdr:colOff>100180</xdr:colOff>
      <xdr:row>39</xdr:row>
      <xdr:rowOff>141272</xdr:rowOff>
    </xdr:to>
    <xdr:sp macro="" textlink="">
      <xdr:nvSpPr>
        <xdr:cNvPr id="894" name="5-Point Star 520">
          <a:extLst>
            <a:ext uri="{FF2B5EF4-FFF2-40B4-BE49-F238E27FC236}">
              <a16:creationId xmlns:a16="http://schemas.microsoft.com/office/drawing/2014/main" id="{CDF8112E-49FB-423D-A0EA-FB28F1A2F2AA}"/>
            </a:ext>
          </a:extLst>
        </xdr:cNvPr>
        <xdr:cNvSpPr/>
      </xdr:nvSpPr>
      <xdr:spPr>
        <a:xfrm flipH="1">
          <a:off x="3163786" y="725327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170494</xdr:colOff>
      <xdr:row>38</xdr:row>
      <xdr:rowOff>137364</xdr:rowOff>
    </xdr:from>
    <xdr:to>
      <xdr:col>14</xdr:col>
      <xdr:colOff>96272</xdr:colOff>
      <xdr:row>39</xdr:row>
      <xdr:rowOff>137364</xdr:rowOff>
    </xdr:to>
    <xdr:sp macro="" textlink="">
      <xdr:nvSpPr>
        <xdr:cNvPr id="895" name="5-Point Star 520">
          <a:extLst>
            <a:ext uri="{FF2B5EF4-FFF2-40B4-BE49-F238E27FC236}">
              <a16:creationId xmlns:a16="http://schemas.microsoft.com/office/drawing/2014/main" id="{4A604015-010B-4CD5-BD7B-C5BA262D62D5}"/>
            </a:ext>
          </a:extLst>
        </xdr:cNvPr>
        <xdr:cNvSpPr/>
      </xdr:nvSpPr>
      <xdr:spPr>
        <a:xfrm flipH="1">
          <a:off x="4117263" y="7249364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129463</xdr:colOff>
      <xdr:row>29</xdr:row>
      <xdr:rowOff>154948</xdr:rowOff>
    </xdr:from>
    <xdr:to>
      <xdr:col>44</xdr:col>
      <xdr:colOff>94318</xdr:colOff>
      <xdr:row>30</xdr:row>
      <xdr:rowOff>154948</xdr:rowOff>
    </xdr:to>
    <xdr:sp macro="" textlink="">
      <xdr:nvSpPr>
        <xdr:cNvPr id="897" name="5-Point Star 520">
          <a:extLst>
            <a:ext uri="{FF2B5EF4-FFF2-40B4-BE49-F238E27FC236}">
              <a16:creationId xmlns:a16="http://schemas.microsoft.com/office/drawing/2014/main" id="{5F2E95ED-FD78-4643-BFC7-2376F6E7CD19}"/>
            </a:ext>
          </a:extLst>
        </xdr:cNvPr>
        <xdr:cNvSpPr/>
      </xdr:nvSpPr>
      <xdr:spPr>
        <a:xfrm flipH="1">
          <a:off x="13337463" y="5596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174401</xdr:colOff>
      <xdr:row>29</xdr:row>
      <xdr:rowOff>141270</xdr:rowOff>
    </xdr:from>
    <xdr:to>
      <xdr:col>41</xdr:col>
      <xdr:colOff>100179</xdr:colOff>
      <xdr:row>30</xdr:row>
      <xdr:rowOff>141270</xdr:rowOff>
    </xdr:to>
    <xdr:sp macro="" textlink="">
      <xdr:nvSpPr>
        <xdr:cNvPr id="898" name="5-Point Star 520">
          <a:extLst>
            <a:ext uri="{FF2B5EF4-FFF2-40B4-BE49-F238E27FC236}">
              <a16:creationId xmlns:a16="http://schemas.microsoft.com/office/drawing/2014/main" id="{268DCF2D-133C-48D9-A9E7-0FAE99925950}"/>
            </a:ext>
          </a:extLst>
        </xdr:cNvPr>
        <xdr:cNvSpPr/>
      </xdr:nvSpPr>
      <xdr:spPr>
        <a:xfrm flipH="1">
          <a:off x="12415247" y="558273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160724</xdr:colOff>
      <xdr:row>29</xdr:row>
      <xdr:rowOff>117825</xdr:rowOff>
    </xdr:from>
    <xdr:to>
      <xdr:col>38</xdr:col>
      <xdr:colOff>86503</xdr:colOff>
      <xdr:row>30</xdr:row>
      <xdr:rowOff>117825</xdr:rowOff>
    </xdr:to>
    <xdr:sp macro="" textlink="">
      <xdr:nvSpPr>
        <xdr:cNvPr id="901" name="5-Point Star 520">
          <a:extLst>
            <a:ext uri="{FF2B5EF4-FFF2-40B4-BE49-F238E27FC236}">
              <a16:creationId xmlns:a16="http://schemas.microsoft.com/office/drawing/2014/main" id="{66EFDB2E-4E06-4979-9C7B-EEF059B860EC}"/>
            </a:ext>
          </a:extLst>
        </xdr:cNvPr>
        <xdr:cNvSpPr/>
      </xdr:nvSpPr>
      <xdr:spPr>
        <a:xfrm flipH="1">
          <a:off x="11493032" y="5559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113323</xdr:colOff>
      <xdr:row>38</xdr:row>
      <xdr:rowOff>5864</xdr:rowOff>
    </xdr:from>
    <xdr:to>
      <xdr:col>34</xdr:col>
      <xdr:colOff>177995</xdr:colOff>
      <xdr:row>38</xdr:row>
      <xdr:rowOff>16448</xdr:rowOff>
    </xdr:to>
    <xdr:cxnSp macro="">
      <xdr:nvCxnSpPr>
        <xdr:cNvPr id="868" name="Curved Connector 523">
          <a:extLst>
            <a:ext uri="{FF2B5EF4-FFF2-40B4-BE49-F238E27FC236}">
              <a16:creationId xmlns:a16="http://schemas.microsoft.com/office/drawing/2014/main" id="{6C6ACEB6-8E72-4443-BB50-E61A99AF1D5C}"/>
            </a:ext>
          </a:extLst>
        </xdr:cNvPr>
        <xdr:cNvCxnSpPr/>
      </xdr:nvCxnSpPr>
      <xdr:spPr>
        <a:xfrm rot="16200000" flipH="1">
          <a:off x="10163598" y="6778204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138725</xdr:colOff>
      <xdr:row>38</xdr:row>
      <xdr:rowOff>11728</xdr:rowOff>
    </xdr:from>
    <xdr:to>
      <xdr:col>37</xdr:col>
      <xdr:colOff>115474</xdr:colOff>
      <xdr:row>38</xdr:row>
      <xdr:rowOff>22312</xdr:rowOff>
    </xdr:to>
    <xdr:cxnSp macro="">
      <xdr:nvCxnSpPr>
        <xdr:cNvPr id="878" name="Curved Connector 523">
          <a:extLst>
            <a:ext uri="{FF2B5EF4-FFF2-40B4-BE49-F238E27FC236}">
              <a16:creationId xmlns:a16="http://schemas.microsoft.com/office/drawing/2014/main" id="{52449061-79B5-49E9-A944-F368A8E2FE30}"/>
            </a:ext>
          </a:extLst>
        </xdr:cNvPr>
        <xdr:cNvCxnSpPr/>
      </xdr:nvCxnSpPr>
      <xdr:spPr>
        <a:xfrm rot="16200000" flipH="1">
          <a:off x="11097539" y="678406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89876</xdr:colOff>
      <xdr:row>37</xdr:row>
      <xdr:rowOff>177801</xdr:rowOff>
    </xdr:from>
    <xdr:to>
      <xdr:col>4</xdr:col>
      <xdr:colOff>115471</xdr:colOff>
      <xdr:row>38</xdr:row>
      <xdr:rowOff>2770</xdr:rowOff>
    </xdr:to>
    <xdr:cxnSp macro="">
      <xdr:nvCxnSpPr>
        <xdr:cNvPr id="896" name="Curved Connector 523">
          <a:extLst>
            <a:ext uri="{FF2B5EF4-FFF2-40B4-BE49-F238E27FC236}">
              <a16:creationId xmlns:a16="http://schemas.microsoft.com/office/drawing/2014/main" id="{438EAA7D-5330-40D6-9289-6895A4500787}"/>
            </a:ext>
          </a:extLst>
        </xdr:cNvPr>
        <xdr:cNvCxnSpPr/>
      </xdr:nvCxnSpPr>
      <xdr:spPr>
        <a:xfrm rot="16200000" flipH="1">
          <a:off x="937536" y="6764526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115275</xdr:colOff>
      <xdr:row>38</xdr:row>
      <xdr:rowOff>7818</xdr:rowOff>
    </xdr:from>
    <xdr:to>
      <xdr:col>10</xdr:col>
      <xdr:colOff>131101</xdr:colOff>
      <xdr:row>38</xdr:row>
      <xdr:rowOff>18402</xdr:rowOff>
    </xdr:to>
    <xdr:cxnSp macro="">
      <xdr:nvCxnSpPr>
        <xdr:cNvPr id="911" name="Curved Connector 523">
          <a:extLst>
            <a:ext uri="{FF2B5EF4-FFF2-40B4-BE49-F238E27FC236}">
              <a16:creationId xmlns:a16="http://schemas.microsoft.com/office/drawing/2014/main" id="{2FD1D82F-BC00-4A62-9223-B012AECC452A}"/>
            </a:ext>
          </a:extLst>
        </xdr:cNvPr>
        <xdr:cNvCxnSpPr/>
      </xdr:nvCxnSpPr>
      <xdr:spPr>
        <a:xfrm rot="16200000" flipH="1">
          <a:off x="2770243" y="678015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62522</xdr:colOff>
      <xdr:row>38</xdr:row>
      <xdr:rowOff>3909</xdr:rowOff>
    </xdr:from>
    <xdr:to>
      <xdr:col>7</xdr:col>
      <xdr:colOff>176040</xdr:colOff>
      <xdr:row>38</xdr:row>
      <xdr:rowOff>14493</xdr:rowOff>
    </xdr:to>
    <xdr:cxnSp macro="">
      <xdr:nvCxnSpPr>
        <xdr:cNvPr id="912" name="Curved Connector 523">
          <a:extLst>
            <a:ext uri="{FF2B5EF4-FFF2-40B4-BE49-F238E27FC236}">
              <a16:creationId xmlns:a16="http://schemas.microsoft.com/office/drawing/2014/main" id="{6BC261CF-1864-4B9A-A20D-BCB1F58474F1}"/>
            </a:ext>
          </a:extLst>
        </xdr:cNvPr>
        <xdr:cNvCxnSpPr/>
      </xdr:nvCxnSpPr>
      <xdr:spPr>
        <a:xfrm rot="16200000" flipH="1">
          <a:off x="1857797" y="67762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111368</xdr:colOff>
      <xdr:row>38</xdr:row>
      <xdr:rowOff>33219</xdr:rowOff>
    </xdr:from>
    <xdr:to>
      <xdr:col>16</xdr:col>
      <xdr:colOff>166271</xdr:colOff>
      <xdr:row>38</xdr:row>
      <xdr:rowOff>43803</xdr:rowOff>
    </xdr:to>
    <xdr:cxnSp macro="">
      <xdr:nvCxnSpPr>
        <xdr:cNvPr id="917" name="Curved Connector 523">
          <a:extLst>
            <a:ext uri="{FF2B5EF4-FFF2-40B4-BE49-F238E27FC236}">
              <a16:creationId xmlns:a16="http://schemas.microsoft.com/office/drawing/2014/main" id="{2E8893C2-041C-4853-9B04-44A46F4C1451}"/>
            </a:ext>
          </a:extLst>
        </xdr:cNvPr>
        <xdr:cNvCxnSpPr/>
      </xdr:nvCxnSpPr>
      <xdr:spPr>
        <a:xfrm rot="16200000" flipH="1">
          <a:off x="4681105" y="680555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87922</xdr:colOff>
      <xdr:row>38</xdr:row>
      <xdr:rowOff>9773</xdr:rowOff>
    </xdr:from>
    <xdr:to>
      <xdr:col>13</xdr:col>
      <xdr:colOff>103748</xdr:colOff>
      <xdr:row>38</xdr:row>
      <xdr:rowOff>20357</xdr:rowOff>
    </xdr:to>
    <xdr:cxnSp macro="">
      <xdr:nvCxnSpPr>
        <xdr:cNvPr id="918" name="Curved Connector 523">
          <a:extLst>
            <a:ext uri="{FF2B5EF4-FFF2-40B4-BE49-F238E27FC236}">
              <a16:creationId xmlns:a16="http://schemas.microsoft.com/office/drawing/2014/main" id="{0DF04975-55A6-4EF1-8806-882AA825E775}"/>
            </a:ext>
          </a:extLst>
        </xdr:cNvPr>
        <xdr:cNvCxnSpPr/>
      </xdr:nvCxnSpPr>
      <xdr:spPr>
        <a:xfrm rot="16200000" flipH="1">
          <a:off x="3700274" y="6782113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136770</xdr:colOff>
      <xdr:row>29</xdr:row>
      <xdr:rowOff>39078</xdr:rowOff>
    </xdr:from>
    <xdr:to>
      <xdr:col>37</xdr:col>
      <xdr:colOff>113519</xdr:colOff>
      <xdr:row>29</xdr:row>
      <xdr:rowOff>49662</xdr:rowOff>
    </xdr:to>
    <xdr:cxnSp macro="">
      <xdr:nvCxnSpPr>
        <xdr:cNvPr id="919" name="Curved Connector 523">
          <a:extLst>
            <a:ext uri="{FF2B5EF4-FFF2-40B4-BE49-F238E27FC236}">
              <a16:creationId xmlns:a16="http://schemas.microsoft.com/office/drawing/2014/main" id="{91C385C2-11BC-4DD6-A9F6-A116EACE04F1}"/>
            </a:ext>
          </a:extLst>
        </xdr:cNvPr>
        <xdr:cNvCxnSpPr/>
      </xdr:nvCxnSpPr>
      <xdr:spPr>
        <a:xfrm rot="16200000" flipH="1">
          <a:off x="11095584" y="5140880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70340</xdr:colOff>
      <xdr:row>29</xdr:row>
      <xdr:rowOff>1955</xdr:rowOff>
    </xdr:from>
    <xdr:to>
      <xdr:col>40</xdr:col>
      <xdr:colOff>135012</xdr:colOff>
      <xdr:row>29</xdr:row>
      <xdr:rowOff>12539</xdr:rowOff>
    </xdr:to>
    <xdr:cxnSp macro="">
      <xdr:nvCxnSpPr>
        <xdr:cNvPr id="925" name="Curved Connector 523">
          <a:extLst>
            <a:ext uri="{FF2B5EF4-FFF2-40B4-BE49-F238E27FC236}">
              <a16:creationId xmlns:a16="http://schemas.microsoft.com/office/drawing/2014/main" id="{B97E7D0F-0534-4B95-90B0-8E70C5EED27C}"/>
            </a:ext>
          </a:extLst>
        </xdr:cNvPr>
        <xdr:cNvCxnSpPr/>
      </xdr:nvCxnSpPr>
      <xdr:spPr>
        <a:xfrm rot="16200000" flipH="1">
          <a:off x="12025615" y="51037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76201</xdr:colOff>
      <xdr:row>29</xdr:row>
      <xdr:rowOff>7816</xdr:rowOff>
    </xdr:from>
    <xdr:to>
      <xdr:col>43</xdr:col>
      <xdr:colOff>82258</xdr:colOff>
      <xdr:row>29</xdr:row>
      <xdr:rowOff>18400</xdr:rowOff>
    </xdr:to>
    <xdr:cxnSp macro="">
      <xdr:nvCxnSpPr>
        <xdr:cNvPr id="930" name="Curved Connector 523">
          <a:extLst>
            <a:ext uri="{FF2B5EF4-FFF2-40B4-BE49-F238E27FC236}">
              <a16:creationId xmlns:a16="http://schemas.microsoft.com/office/drawing/2014/main" id="{D47D9EA5-A511-4B7C-AC78-3FDFA28CE2E3}"/>
            </a:ext>
          </a:extLst>
        </xdr:cNvPr>
        <xdr:cNvCxnSpPr/>
      </xdr:nvCxnSpPr>
      <xdr:spPr>
        <a:xfrm rot="16200000" flipH="1">
          <a:off x="12940015" y="510961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42986</xdr:colOff>
      <xdr:row>28</xdr:row>
      <xdr:rowOff>179756</xdr:rowOff>
    </xdr:from>
    <xdr:to>
      <xdr:col>46</xdr:col>
      <xdr:colOff>136966</xdr:colOff>
      <xdr:row>29</xdr:row>
      <xdr:rowOff>4724</xdr:rowOff>
    </xdr:to>
    <xdr:cxnSp macro="">
      <xdr:nvCxnSpPr>
        <xdr:cNvPr id="932" name="Curved Connector 523">
          <a:extLst>
            <a:ext uri="{FF2B5EF4-FFF2-40B4-BE49-F238E27FC236}">
              <a16:creationId xmlns:a16="http://schemas.microsoft.com/office/drawing/2014/main" id="{0B570624-1B09-4466-9FCD-0CBED6D85AE9}"/>
            </a:ext>
          </a:extLst>
        </xdr:cNvPr>
        <xdr:cNvCxnSpPr/>
      </xdr:nvCxnSpPr>
      <xdr:spPr>
        <a:xfrm rot="16200000" flipH="1">
          <a:off x="13834877" y="5095942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87927</xdr:colOff>
      <xdr:row>29</xdr:row>
      <xdr:rowOff>3</xdr:rowOff>
    </xdr:from>
    <xdr:to>
      <xdr:col>34</xdr:col>
      <xdr:colOff>152599</xdr:colOff>
      <xdr:row>29</xdr:row>
      <xdr:rowOff>10587</xdr:rowOff>
    </xdr:to>
    <xdr:cxnSp macro="">
      <xdr:nvCxnSpPr>
        <xdr:cNvPr id="931" name="Curved Connector 523">
          <a:extLst>
            <a:ext uri="{FF2B5EF4-FFF2-40B4-BE49-F238E27FC236}">
              <a16:creationId xmlns:a16="http://schemas.microsoft.com/office/drawing/2014/main" id="{68C7139D-3D1C-471E-9195-2F952BF6C79E}"/>
            </a:ext>
          </a:extLst>
        </xdr:cNvPr>
        <xdr:cNvCxnSpPr/>
      </xdr:nvCxnSpPr>
      <xdr:spPr>
        <a:xfrm rot="16200000" flipH="1">
          <a:off x="10138202" y="5101805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16917</xdr:colOff>
      <xdr:row>10</xdr:row>
      <xdr:rowOff>141657</xdr:rowOff>
    </xdr:from>
    <xdr:to>
      <xdr:col>4</xdr:col>
      <xdr:colOff>217974</xdr:colOff>
      <xdr:row>10</xdr:row>
      <xdr:rowOff>152241</xdr:rowOff>
    </xdr:to>
    <xdr:cxnSp macro="">
      <xdr:nvCxnSpPr>
        <xdr:cNvPr id="935" name="Curved Connector 523">
          <a:extLst>
            <a:ext uri="{FF2B5EF4-FFF2-40B4-BE49-F238E27FC236}">
              <a16:creationId xmlns:a16="http://schemas.microsoft.com/office/drawing/2014/main" id="{72F1DD0E-C8F3-4135-8B28-A0EC63833A29}"/>
            </a:ext>
          </a:extLst>
        </xdr:cNvPr>
        <xdr:cNvCxnSpPr/>
      </xdr:nvCxnSpPr>
      <xdr:spPr>
        <a:xfrm rot="16200000" flipH="1">
          <a:off x="952308" y="1629035"/>
          <a:ext cx="10584" cy="86536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42316</xdr:colOff>
      <xdr:row>11</xdr:row>
      <xdr:rowOff>10747</xdr:rowOff>
    </xdr:from>
    <xdr:to>
      <xdr:col>7</xdr:col>
      <xdr:colOff>221881</xdr:colOff>
      <xdr:row>11</xdr:row>
      <xdr:rowOff>21331</xdr:rowOff>
    </xdr:to>
    <xdr:cxnSp macro="">
      <xdr:nvCxnSpPr>
        <xdr:cNvPr id="936" name="Curved Connector 523">
          <a:extLst>
            <a:ext uri="{FF2B5EF4-FFF2-40B4-BE49-F238E27FC236}">
              <a16:creationId xmlns:a16="http://schemas.microsoft.com/office/drawing/2014/main" id="{40333D1B-E25C-4A83-BF79-9BCA40F317FB}"/>
            </a:ext>
          </a:extLst>
        </xdr:cNvPr>
        <xdr:cNvCxnSpPr/>
      </xdr:nvCxnSpPr>
      <xdr:spPr>
        <a:xfrm rot="16200000" flipH="1">
          <a:off x="1870614" y="1738449"/>
          <a:ext cx="10584" cy="7559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156307</xdr:colOff>
      <xdr:row>65</xdr:row>
      <xdr:rowOff>146539</xdr:rowOff>
    </xdr:from>
    <xdr:to>
      <xdr:col>11</xdr:col>
      <xdr:colOff>71753</xdr:colOff>
      <xdr:row>66</xdr:row>
      <xdr:rowOff>146538</xdr:rowOff>
    </xdr:to>
    <xdr:sp macro="" textlink="">
      <xdr:nvSpPr>
        <xdr:cNvPr id="940" name="5-Point Star 520">
          <a:extLst>
            <a:ext uri="{FF2B5EF4-FFF2-40B4-BE49-F238E27FC236}">
              <a16:creationId xmlns:a16="http://schemas.microsoft.com/office/drawing/2014/main" id="{97A6FB13-4BDE-49D6-8BEA-67074932BA02}"/>
            </a:ext>
          </a:extLst>
        </xdr:cNvPr>
        <xdr:cNvSpPr/>
      </xdr:nvSpPr>
      <xdr:spPr>
        <a:xfrm flipH="1">
          <a:off x="3145692" y="12270154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181708</xdr:colOff>
      <xdr:row>65</xdr:row>
      <xdr:rowOff>132861</xdr:rowOff>
    </xdr:from>
    <xdr:to>
      <xdr:col>8</xdr:col>
      <xdr:colOff>97153</xdr:colOff>
      <xdr:row>66</xdr:row>
      <xdr:rowOff>132860</xdr:rowOff>
    </xdr:to>
    <xdr:sp macro="" textlink="">
      <xdr:nvSpPr>
        <xdr:cNvPr id="941" name="5-Point Star 520">
          <a:extLst>
            <a:ext uri="{FF2B5EF4-FFF2-40B4-BE49-F238E27FC236}">
              <a16:creationId xmlns:a16="http://schemas.microsoft.com/office/drawing/2014/main" id="{40ECA6B4-6970-4DD3-873A-78DEC944B181}"/>
            </a:ext>
          </a:extLst>
        </xdr:cNvPr>
        <xdr:cNvSpPr/>
      </xdr:nvSpPr>
      <xdr:spPr>
        <a:xfrm flipH="1">
          <a:off x="2213708" y="12256476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168031</xdr:colOff>
      <xdr:row>56</xdr:row>
      <xdr:rowOff>119184</xdr:rowOff>
    </xdr:from>
    <xdr:to>
      <xdr:col>29</xdr:col>
      <xdr:colOff>103015</xdr:colOff>
      <xdr:row>57</xdr:row>
      <xdr:rowOff>119184</xdr:rowOff>
    </xdr:to>
    <xdr:sp macro="" textlink="">
      <xdr:nvSpPr>
        <xdr:cNvPr id="942" name="5-Point Star 520">
          <a:extLst>
            <a:ext uri="{FF2B5EF4-FFF2-40B4-BE49-F238E27FC236}">
              <a16:creationId xmlns:a16="http://schemas.microsoft.com/office/drawing/2014/main" id="{FBCB553F-FDE2-4433-99FA-11AADC14CFB8}"/>
            </a:ext>
          </a:extLst>
        </xdr:cNvPr>
        <xdr:cNvSpPr/>
      </xdr:nvSpPr>
      <xdr:spPr>
        <a:xfrm flipH="1">
          <a:off x="8706339" y="10572261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154354</xdr:colOff>
      <xdr:row>56</xdr:row>
      <xdr:rowOff>115277</xdr:rowOff>
    </xdr:from>
    <xdr:to>
      <xdr:col>26</xdr:col>
      <xdr:colOff>69800</xdr:colOff>
      <xdr:row>57</xdr:row>
      <xdr:rowOff>115277</xdr:rowOff>
    </xdr:to>
    <xdr:sp macro="" textlink="">
      <xdr:nvSpPr>
        <xdr:cNvPr id="943" name="5-Point Star 520">
          <a:extLst>
            <a:ext uri="{FF2B5EF4-FFF2-40B4-BE49-F238E27FC236}">
              <a16:creationId xmlns:a16="http://schemas.microsoft.com/office/drawing/2014/main" id="{9DFBFF4F-70E2-4C2A-A9B2-E6F9AF33D981}"/>
            </a:ext>
          </a:extLst>
        </xdr:cNvPr>
        <xdr:cNvSpPr/>
      </xdr:nvSpPr>
      <xdr:spPr>
        <a:xfrm flipH="1">
          <a:off x="7754816" y="10568354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166078</xdr:colOff>
      <xdr:row>65</xdr:row>
      <xdr:rowOff>107461</xdr:rowOff>
    </xdr:from>
    <xdr:to>
      <xdr:col>14</xdr:col>
      <xdr:colOff>81523</xdr:colOff>
      <xdr:row>66</xdr:row>
      <xdr:rowOff>107460</xdr:rowOff>
    </xdr:to>
    <xdr:sp macro="" textlink="">
      <xdr:nvSpPr>
        <xdr:cNvPr id="944" name="5-Point Star 520">
          <a:extLst>
            <a:ext uri="{FF2B5EF4-FFF2-40B4-BE49-F238E27FC236}">
              <a16:creationId xmlns:a16="http://schemas.microsoft.com/office/drawing/2014/main" id="{F47D7937-0B94-4C6B-AC71-9AC6324604BC}"/>
            </a:ext>
          </a:extLst>
        </xdr:cNvPr>
        <xdr:cNvSpPr/>
      </xdr:nvSpPr>
      <xdr:spPr>
        <a:xfrm flipH="1">
          <a:off x="4112847" y="12231076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174361</xdr:colOff>
      <xdr:row>119</xdr:row>
      <xdr:rowOff>105001</xdr:rowOff>
    </xdr:from>
    <xdr:to>
      <xdr:col>35</xdr:col>
      <xdr:colOff>92360</xdr:colOff>
      <xdr:row>120</xdr:row>
      <xdr:rowOff>105001</xdr:rowOff>
    </xdr:to>
    <xdr:sp macro="" textlink="">
      <xdr:nvSpPr>
        <xdr:cNvPr id="945" name="5-Point Star 520">
          <a:extLst>
            <a:ext uri="{FF2B5EF4-FFF2-40B4-BE49-F238E27FC236}">
              <a16:creationId xmlns:a16="http://schemas.microsoft.com/office/drawing/2014/main" id="{408534C8-458C-47BA-8694-11A4197E5A83}"/>
            </a:ext>
          </a:extLst>
        </xdr:cNvPr>
        <xdr:cNvSpPr/>
      </xdr:nvSpPr>
      <xdr:spPr>
        <a:xfrm flipH="1">
          <a:off x="10510207" y="22251847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87922</xdr:colOff>
      <xdr:row>2</xdr:row>
      <xdr:rowOff>19540</xdr:rowOff>
    </xdr:from>
    <xdr:to>
      <xdr:col>31</xdr:col>
      <xdr:colOff>215284</xdr:colOff>
      <xdr:row>2</xdr:row>
      <xdr:rowOff>30124</xdr:rowOff>
    </xdr:to>
    <xdr:cxnSp macro="">
      <xdr:nvCxnSpPr>
        <xdr:cNvPr id="938" name="Curved Connector 523">
          <a:extLst>
            <a:ext uri="{FF2B5EF4-FFF2-40B4-BE49-F238E27FC236}">
              <a16:creationId xmlns:a16="http://schemas.microsoft.com/office/drawing/2014/main" id="{853B7633-9FAA-44AE-9232-CF1361E1CFA4}"/>
            </a:ext>
          </a:extLst>
        </xdr:cNvPr>
        <xdr:cNvCxnSpPr/>
      </xdr:nvCxnSpPr>
      <xdr:spPr>
        <a:xfrm rot="16200000" flipH="1">
          <a:off x="9261004" y="78381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93783</xdr:colOff>
      <xdr:row>2</xdr:row>
      <xdr:rowOff>5862</xdr:rowOff>
    </xdr:from>
    <xdr:to>
      <xdr:col>28</xdr:col>
      <xdr:colOff>191837</xdr:colOff>
      <xdr:row>2</xdr:row>
      <xdr:rowOff>16446</xdr:rowOff>
    </xdr:to>
    <xdr:cxnSp macro="">
      <xdr:nvCxnSpPr>
        <xdr:cNvPr id="939" name="Curved Connector 523">
          <a:extLst>
            <a:ext uri="{FF2B5EF4-FFF2-40B4-BE49-F238E27FC236}">
              <a16:creationId xmlns:a16="http://schemas.microsoft.com/office/drawing/2014/main" id="{D78465CA-66CF-40EA-AAB2-A57C41C3963E}"/>
            </a:ext>
          </a:extLst>
        </xdr:cNvPr>
        <xdr:cNvCxnSpPr/>
      </xdr:nvCxnSpPr>
      <xdr:spPr>
        <a:xfrm rot="16200000" flipH="1">
          <a:off x="8348557" y="64703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87923</xdr:colOff>
      <xdr:row>2</xdr:row>
      <xdr:rowOff>29309</xdr:rowOff>
    </xdr:from>
    <xdr:to>
      <xdr:col>34</xdr:col>
      <xdr:colOff>215285</xdr:colOff>
      <xdr:row>2</xdr:row>
      <xdr:rowOff>39893</xdr:rowOff>
    </xdr:to>
    <xdr:cxnSp macro="">
      <xdr:nvCxnSpPr>
        <xdr:cNvPr id="946" name="Curved Connector 523">
          <a:extLst>
            <a:ext uri="{FF2B5EF4-FFF2-40B4-BE49-F238E27FC236}">
              <a16:creationId xmlns:a16="http://schemas.microsoft.com/office/drawing/2014/main" id="{FFE9FF13-DD6E-4E45-95B7-EC3B436FB5CB}"/>
            </a:ext>
          </a:extLst>
        </xdr:cNvPr>
        <xdr:cNvCxnSpPr/>
      </xdr:nvCxnSpPr>
      <xdr:spPr>
        <a:xfrm rot="16200000" flipH="1">
          <a:off x="10169543" y="88150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23446</xdr:colOff>
      <xdr:row>104</xdr:row>
      <xdr:rowOff>157285</xdr:rowOff>
    </xdr:from>
    <xdr:to>
      <xdr:col>56</xdr:col>
      <xdr:colOff>224753</xdr:colOff>
      <xdr:row>105</xdr:row>
      <xdr:rowOff>157285</xdr:rowOff>
    </xdr:to>
    <xdr:sp macro="" textlink="">
      <xdr:nvSpPr>
        <xdr:cNvPr id="947" name="5-Point Star 520">
          <a:extLst>
            <a:ext uri="{FF2B5EF4-FFF2-40B4-BE49-F238E27FC236}">
              <a16:creationId xmlns:a16="http://schemas.microsoft.com/office/drawing/2014/main" id="{379D147A-8310-40D1-A81A-5EB0E13807B3}"/>
            </a:ext>
          </a:extLst>
        </xdr:cNvPr>
        <xdr:cNvSpPr/>
      </xdr:nvSpPr>
      <xdr:spPr>
        <a:xfrm flipH="1">
          <a:off x="18897600" y="19519900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183661</xdr:colOff>
      <xdr:row>110</xdr:row>
      <xdr:rowOff>125046</xdr:rowOff>
    </xdr:from>
    <xdr:to>
      <xdr:col>26</xdr:col>
      <xdr:colOff>101661</xdr:colOff>
      <xdr:row>111</xdr:row>
      <xdr:rowOff>125047</xdr:rowOff>
    </xdr:to>
    <xdr:sp macro="" textlink="">
      <xdr:nvSpPr>
        <xdr:cNvPr id="951" name="5-Point Star 520">
          <a:extLst>
            <a:ext uri="{FF2B5EF4-FFF2-40B4-BE49-F238E27FC236}">
              <a16:creationId xmlns:a16="http://schemas.microsoft.com/office/drawing/2014/main" id="{815CB061-5402-4293-829A-5A6489858B2D}"/>
            </a:ext>
          </a:extLst>
        </xdr:cNvPr>
        <xdr:cNvSpPr/>
      </xdr:nvSpPr>
      <xdr:spPr>
        <a:xfrm flipH="1">
          <a:off x="7784123" y="20601354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179754</xdr:colOff>
      <xdr:row>119</xdr:row>
      <xdr:rowOff>130908</xdr:rowOff>
    </xdr:from>
    <xdr:to>
      <xdr:col>32</xdr:col>
      <xdr:colOff>97754</xdr:colOff>
      <xdr:row>120</xdr:row>
      <xdr:rowOff>130908</xdr:rowOff>
    </xdr:to>
    <xdr:sp macro="" textlink="">
      <xdr:nvSpPr>
        <xdr:cNvPr id="952" name="5-Point Star 520">
          <a:extLst>
            <a:ext uri="{FF2B5EF4-FFF2-40B4-BE49-F238E27FC236}">
              <a16:creationId xmlns:a16="http://schemas.microsoft.com/office/drawing/2014/main" id="{02DD2FB4-8D8E-48DB-B285-FF6F3F8BCFEE}"/>
            </a:ext>
          </a:extLst>
        </xdr:cNvPr>
        <xdr:cNvSpPr/>
      </xdr:nvSpPr>
      <xdr:spPr>
        <a:xfrm flipH="1">
          <a:off x="9607062" y="22277754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173892</xdr:colOff>
      <xdr:row>92</xdr:row>
      <xdr:rowOff>133839</xdr:rowOff>
    </xdr:from>
    <xdr:to>
      <xdr:col>23</xdr:col>
      <xdr:colOff>91891</xdr:colOff>
      <xdr:row>93</xdr:row>
      <xdr:rowOff>133840</xdr:rowOff>
    </xdr:to>
    <xdr:sp macro="" textlink="">
      <xdr:nvSpPr>
        <xdr:cNvPr id="953" name="5-Point Star 520">
          <a:extLst>
            <a:ext uri="{FF2B5EF4-FFF2-40B4-BE49-F238E27FC236}">
              <a16:creationId xmlns:a16="http://schemas.microsoft.com/office/drawing/2014/main" id="{70C8F1AA-D6FA-4AD7-ACB3-EEFC76F017DB}"/>
            </a:ext>
          </a:extLst>
        </xdr:cNvPr>
        <xdr:cNvSpPr/>
      </xdr:nvSpPr>
      <xdr:spPr>
        <a:xfrm flipH="1">
          <a:off x="6856046" y="17269070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166077</xdr:colOff>
      <xdr:row>2</xdr:row>
      <xdr:rowOff>156308</xdr:rowOff>
    </xdr:from>
    <xdr:to>
      <xdr:col>29</xdr:col>
      <xdr:colOff>111395</xdr:colOff>
      <xdr:row>3</xdr:row>
      <xdr:rowOff>156308</xdr:rowOff>
    </xdr:to>
    <xdr:sp macro="" textlink="">
      <xdr:nvSpPr>
        <xdr:cNvPr id="937" name="5-Point Star 520">
          <a:extLst>
            <a:ext uri="{FF2B5EF4-FFF2-40B4-BE49-F238E27FC236}">
              <a16:creationId xmlns:a16="http://schemas.microsoft.com/office/drawing/2014/main" id="{BDBE2049-D39C-4A13-BBE9-27FF5A912832}"/>
            </a:ext>
          </a:extLst>
        </xdr:cNvPr>
        <xdr:cNvSpPr/>
      </xdr:nvSpPr>
      <xdr:spPr>
        <a:xfrm flipH="1">
          <a:off x="8704385" y="586154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181708</xdr:colOff>
      <xdr:row>11</xdr:row>
      <xdr:rowOff>142631</xdr:rowOff>
    </xdr:from>
    <xdr:to>
      <xdr:col>32</xdr:col>
      <xdr:colOff>107488</xdr:colOff>
      <xdr:row>12</xdr:row>
      <xdr:rowOff>142632</xdr:rowOff>
    </xdr:to>
    <xdr:sp macro="" textlink="">
      <xdr:nvSpPr>
        <xdr:cNvPr id="949" name="5-Point Star 520">
          <a:extLst>
            <a:ext uri="{FF2B5EF4-FFF2-40B4-BE49-F238E27FC236}">
              <a16:creationId xmlns:a16="http://schemas.microsoft.com/office/drawing/2014/main" id="{A1D3ADD9-3273-4747-A5D5-4EB79E8D6305}"/>
            </a:ext>
          </a:extLst>
        </xdr:cNvPr>
        <xdr:cNvSpPr/>
      </xdr:nvSpPr>
      <xdr:spPr>
        <a:xfrm flipH="1">
          <a:off x="9609016" y="2243016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158261</xdr:colOff>
      <xdr:row>11</xdr:row>
      <xdr:rowOff>138723</xdr:rowOff>
    </xdr:from>
    <xdr:to>
      <xdr:col>29</xdr:col>
      <xdr:colOff>103579</xdr:colOff>
      <xdr:row>12</xdr:row>
      <xdr:rowOff>138724</xdr:rowOff>
    </xdr:to>
    <xdr:sp macro="" textlink="">
      <xdr:nvSpPr>
        <xdr:cNvPr id="950" name="5-Point Star 520">
          <a:extLst>
            <a:ext uri="{FF2B5EF4-FFF2-40B4-BE49-F238E27FC236}">
              <a16:creationId xmlns:a16="http://schemas.microsoft.com/office/drawing/2014/main" id="{D511F36B-8830-4D50-B823-FE738A3A1B5A}"/>
            </a:ext>
          </a:extLst>
        </xdr:cNvPr>
        <xdr:cNvSpPr/>
      </xdr:nvSpPr>
      <xdr:spPr>
        <a:xfrm flipH="1">
          <a:off x="8696569" y="2239108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</xdr:row>
      <xdr:rowOff>0</xdr:rowOff>
    </xdr:from>
    <xdr:to>
      <xdr:col>11</xdr:col>
      <xdr:colOff>256442</xdr:colOff>
      <xdr:row>4</xdr:row>
      <xdr:rowOff>183173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B5588283-16D5-421E-8C2E-A84C3A47B300}"/>
            </a:ext>
          </a:extLst>
        </xdr:cNvPr>
        <xdr:cNvSpPr/>
      </xdr:nvSpPr>
      <xdr:spPr>
        <a:xfrm>
          <a:off x="60960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3</xdr:row>
      <xdr:rowOff>0</xdr:rowOff>
    </xdr:from>
    <xdr:to>
      <xdr:col>14</xdr:col>
      <xdr:colOff>256442</xdr:colOff>
      <xdr:row>4</xdr:row>
      <xdr:rowOff>183173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9FB491BB-8DD6-4410-A07C-AF9A23E3B960}"/>
            </a:ext>
          </a:extLst>
        </xdr:cNvPr>
        <xdr:cNvSpPr/>
      </xdr:nvSpPr>
      <xdr:spPr>
        <a:xfrm>
          <a:off x="79248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17</xdr:col>
      <xdr:colOff>256442</xdr:colOff>
      <xdr:row>4</xdr:row>
      <xdr:rowOff>183173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40BFB5DF-0DC0-415F-B68B-0FC672FF7091}"/>
            </a:ext>
          </a:extLst>
        </xdr:cNvPr>
        <xdr:cNvSpPr/>
      </xdr:nvSpPr>
      <xdr:spPr>
        <a:xfrm>
          <a:off x="97536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</xdr:row>
      <xdr:rowOff>0</xdr:rowOff>
    </xdr:from>
    <xdr:to>
      <xdr:col>20</xdr:col>
      <xdr:colOff>256442</xdr:colOff>
      <xdr:row>4</xdr:row>
      <xdr:rowOff>183173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6C710B71-B611-4CBC-95ED-BFD667BA770F}"/>
            </a:ext>
          </a:extLst>
        </xdr:cNvPr>
        <xdr:cNvSpPr/>
      </xdr:nvSpPr>
      <xdr:spPr>
        <a:xfrm>
          <a:off x="115824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</xdr:row>
      <xdr:rowOff>0</xdr:rowOff>
    </xdr:from>
    <xdr:to>
      <xdr:col>23</xdr:col>
      <xdr:colOff>256442</xdr:colOff>
      <xdr:row>4</xdr:row>
      <xdr:rowOff>183173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91AB0D2-57C5-46E2-BC8F-B9542072DFD5}"/>
            </a:ext>
          </a:extLst>
        </xdr:cNvPr>
        <xdr:cNvSpPr/>
      </xdr:nvSpPr>
      <xdr:spPr>
        <a:xfrm>
          <a:off x="134112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3</xdr:row>
      <xdr:rowOff>0</xdr:rowOff>
    </xdr:from>
    <xdr:to>
      <xdr:col>29</xdr:col>
      <xdr:colOff>256442</xdr:colOff>
      <xdr:row>4</xdr:row>
      <xdr:rowOff>183173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D7AD6620-B86D-4170-B088-7FA1E4E29EC3}"/>
            </a:ext>
          </a:extLst>
        </xdr:cNvPr>
        <xdr:cNvSpPr/>
      </xdr:nvSpPr>
      <xdr:spPr>
        <a:xfrm>
          <a:off x="170688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3</xdr:row>
      <xdr:rowOff>0</xdr:rowOff>
    </xdr:from>
    <xdr:to>
      <xdr:col>32</xdr:col>
      <xdr:colOff>256442</xdr:colOff>
      <xdr:row>4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8EAE17D4-E4B1-4326-A394-C0D203BBAD64}"/>
            </a:ext>
          </a:extLst>
        </xdr:cNvPr>
        <xdr:cNvSpPr/>
      </xdr:nvSpPr>
      <xdr:spPr>
        <a:xfrm>
          <a:off x="188976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</xdr:row>
      <xdr:rowOff>0</xdr:rowOff>
    </xdr:from>
    <xdr:to>
      <xdr:col>35</xdr:col>
      <xdr:colOff>256442</xdr:colOff>
      <xdr:row>4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B3945F89-7C56-4B05-80BC-05744F37FF31}"/>
            </a:ext>
          </a:extLst>
        </xdr:cNvPr>
        <xdr:cNvSpPr/>
      </xdr:nvSpPr>
      <xdr:spPr>
        <a:xfrm>
          <a:off x="207264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</xdr:row>
      <xdr:rowOff>0</xdr:rowOff>
    </xdr:from>
    <xdr:to>
      <xdr:col>38</xdr:col>
      <xdr:colOff>256442</xdr:colOff>
      <xdr:row>4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F5DAE125-5E15-4341-8A99-06BCDAC89319}"/>
            </a:ext>
          </a:extLst>
        </xdr:cNvPr>
        <xdr:cNvSpPr/>
      </xdr:nvSpPr>
      <xdr:spPr>
        <a:xfrm>
          <a:off x="225552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</xdr:row>
      <xdr:rowOff>0</xdr:rowOff>
    </xdr:from>
    <xdr:to>
      <xdr:col>41</xdr:col>
      <xdr:colOff>256442</xdr:colOff>
      <xdr:row>4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EDA42C11-7451-4270-8A63-5B9318071D36}"/>
            </a:ext>
          </a:extLst>
        </xdr:cNvPr>
        <xdr:cNvSpPr/>
      </xdr:nvSpPr>
      <xdr:spPr>
        <a:xfrm>
          <a:off x="243840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2</xdr:col>
      <xdr:colOff>256442</xdr:colOff>
      <xdr:row>12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AAA1E856-A010-4525-8B80-ACD28D2B4AC6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42413AFA-9A60-4450-ABAD-00D7A9C8781C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82184267-95AF-4C53-98C5-6EC4EBC83848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CEEECAB3-952F-4F00-B44D-EF13FFD78F63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17</xdr:col>
      <xdr:colOff>256442</xdr:colOff>
      <xdr:row>12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01695AE4-1A6B-42BA-A35F-0B15F78CFC0C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DEBD5A0F-3D6D-469C-83A6-E0A4B52BB2A2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256442</xdr:colOff>
      <xdr:row>12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C6A5738D-C992-4A53-ACF3-59019F04E103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</xdr:row>
      <xdr:rowOff>0</xdr:rowOff>
    </xdr:from>
    <xdr:to>
      <xdr:col>26</xdr:col>
      <xdr:colOff>256442</xdr:colOff>
      <xdr:row>12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7E32303A-1625-4070-84F5-4A4D5DE1E27C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</xdr:row>
      <xdr:rowOff>0</xdr:rowOff>
    </xdr:from>
    <xdr:to>
      <xdr:col>32</xdr:col>
      <xdr:colOff>256442</xdr:colOff>
      <xdr:row>12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756B5AD8-BBB0-481B-9F19-E820DE2D2B20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870B5B0A-4457-43D6-8FE0-83C2BF2158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256442</xdr:colOff>
      <xdr:row>12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F998A6CA-51D7-4544-9170-8409C9E946B8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</xdr:row>
      <xdr:rowOff>0</xdr:rowOff>
    </xdr:from>
    <xdr:to>
      <xdr:col>41</xdr:col>
      <xdr:colOff>243742</xdr:colOff>
      <xdr:row>13</xdr:row>
      <xdr:rowOff>1745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17F87FBC-AF58-43BA-90E7-AC7B42327FD0}"/>
            </a:ext>
          </a:extLst>
        </xdr:cNvPr>
        <xdr:cNvSpPr/>
      </xdr:nvSpPr>
      <xdr:spPr>
        <a:xfrm>
          <a:off x="13071929" y="1905000"/>
          <a:ext cx="524956" cy="36460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19</xdr:row>
      <xdr:rowOff>0</xdr:rowOff>
    </xdr:from>
    <xdr:to>
      <xdr:col>2</xdr:col>
      <xdr:colOff>256442</xdr:colOff>
      <xdr:row>20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2A64030B-7996-4CB6-AF48-824155888944}"/>
            </a:ext>
          </a:extLst>
        </xdr:cNvPr>
        <xdr:cNvSpPr/>
      </xdr:nvSpPr>
      <xdr:spPr>
        <a:xfrm>
          <a:off x="6096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19</xdr:row>
      <xdr:rowOff>0</xdr:rowOff>
    </xdr:from>
    <xdr:to>
      <xdr:col>5</xdr:col>
      <xdr:colOff>256442</xdr:colOff>
      <xdr:row>20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B36A75FC-4B52-46EF-93A0-B2B888543127}"/>
            </a:ext>
          </a:extLst>
        </xdr:cNvPr>
        <xdr:cNvSpPr/>
      </xdr:nvSpPr>
      <xdr:spPr>
        <a:xfrm>
          <a:off x="2438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19</xdr:row>
      <xdr:rowOff>0</xdr:rowOff>
    </xdr:from>
    <xdr:to>
      <xdr:col>8</xdr:col>
      <xdr:colOff>256442</xdr:colOff>
      <xdr:row>20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C1EECACB-E1E9-402B-BAC9-BCBEC8A3A179}"/>
            </a:ext>
          </a:extLst>
        </xdr:cNvPr>
        <xdr:cNvSpPr/>
      </xdr:nvSpPr>
      <xdr:spPr>
        <a:xfrm>
          <a:off x="42672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19</xdr:row>
      <xdr:rowOff>0</xdr:rowOff>
    </xdr:from>
    <xdr:to>
      <xdr:col>11</xdr:col>
      <xdr:colOff>256442</xdr:colOff>
      <xdr:row>20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16C23954-6B32-4312-A1EE-30F6977ED9BE}"/>
            </a:ext>
          </a:extLst>
        </xdr:cNvPr>
        <xdr:cNvSpPr/>
      </xdr:nvSpPr>
      <xdr:spPr>
        <a:xfrm>
          <a:off x="60960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19</xdr:row>
      <xdr:rowOff>0</xdr:rowOff>
    </xdr:from>
    <xdr:to>
      <xdr:col>14</xdr:col>
      <xdr:colOff>256442</xdr:colOff>
      <xdr:row>20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F417184D-2F82-4E17-B5DD-DA9A04D77605}"/>
            </a:ext>
          </a:extLst>
        </xdr:cNvPr>
        <xdr:cNvSpPr/>
      </xdr:nvSpPr>
      <xdr:spPr>
        <a:xfrm>
          <a:off x="79248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19</xdr:row>
      <xdr:rowOff>0</xdr:rowOff>
    </xdr:from>
    <xdr:to>
      <xdr:col>17</xdr:col>
      <xdr:colOff>256442</xdr:colOff>
      <xdr:row>20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35AE4B01-66BF-4A47-9B77-519391441CA5}"/>
            </a:ext>
          </a:extLst>
        </xdr:cNvPr>
        <xdr:cNvSpPr/>
      </xdr:nvSpPr>
      <xdr:spPr>
        <a:xfrm>
          <a:off x="9753600" y="31305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10583</xdr:colOff>
      <xdr:row>3</xdr:row>
      <xdr:rowOff>0</xdr:rowOff>
    </xdr:from>
    <xdr:to>
      <xdr:col>27</xdr:col>
      <xdr:colOff>2441</xdr:colOff>
      <xdr:row>4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17F889AC-BF73-4CFB-B997-7FAFB8413AF0}"/>
            </a:ext>
          </a:extLst>
        </xdr:cNvPr>
        <xdr:cNvSpPr/>
      </xdr:nvSpPr>
      <xdr:spPr>
        <a:xfrm>
          <a:off x="15250583" y="552450"/>
          <a:ext cx="1211058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256442</xdr:colOff>
      <xdr:row>12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AA103458-0F56-4067-B2D6-504DBD40A434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41</xdr:row>
      <xdr:rowOff>21167</xdr:rowOff>
    </xdr:from>
    <xdr:to>
      <xdr:col>5</xdr:col>
      <xdr:colOff>256442</xdr:colOff>
      <xdr:row>43</xdr:row>
      <xdr:rowOff>3257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5A6F70FF-0DE4-4EE6-BB6D-2839CFC24D6A}"/>
            </a:ext>
          </a:extLst>
        </xdr:cNvPr>
        <xdr:cNvSpPr/>
      </xdr:nvSpPr>
      <xdr:spPr>
        <a:xfrm>
          <a:off x="2438400" y="55456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41</xdr:row>
      <xdr:rowOff>21166</xdr:rowOff>
    </xdr:from>
    <xdr:to>
      <xdr:col>8</xdr:col>
      <xdr:colOff>256442</xdr:colOff>
      <xdr:row>43</xdr:row>
      <xdr:rowOff>3256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5054307A-4ADB-4865-9173-530413F22AB2}"/>
            </a:ext>
          </a:extLst>
        </xdr:cNvPr>
        <xdr:cNvSpPr/>
      </xdr:nvSpPr>
      <xdr:spPr>
        <a:xfrm>
          <a:off x="4267200" y="55456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41</xdr:row>
      <xdr:rowOff>31750</xdr:rowOff>
    </xdr:from>
    <xdr:to>
      <xdr:col>11</xdr:col>
      <xdr:colOff>256442</xdr:colOff>
      <xdr:row>43</xdr:row>
      <xdr:rowOff>13840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7BDC4B13-F25F-404D-8C27-74039F8159D2}"/>
            </a:ext>
          </a:extLst>
        </xdr:cNvPr>
        <xdr:cNvSpPr/>
      </xdr:nvSpPr>
      <xdr:spPr>
        <a:xfrm>
          <a:off x="6096000" y="55562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41</xdr:row>
      <xdr:rowOff>137583</xdr:rowOff>
    </xdr:from>
    <xdr:to>
      <xdr:col>5</xdr:col>
      <xdr:colOff>105834</xdr:colOff>
      <xdr:row>42</xdr:row>
      <xdr:rowOff>127000</xdr:rowOff>
    </xdr:to>
    <xdr:sp macro="" textlink="">
      <xdr:nvSpPr>
        <xdr:cNvPr id="38" name="5-Point Star 520">
          <a:extLst>
            <a:ext uri="{FF2B5EF4-FFF2-40B4-BE49-F238E27FC236}">
              <a16:creationId xmlns:a16="http://schemas.microsoft.com/office/drawing/2014/main" id="{9BAB16D0-AE58-4103-B7B5-B7444B165987}"/>
            </a:ext>
          </a:extLst>
        </xdr:cNvPr>
        <xdr:cNvSpPr/>
      </xdr:nvSpPr>
      <xdr:spPr>
        <a:xfrm>
          <a:off x="2597150" y="56620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41</xdr:row>
      <xdr:rowOff>10583</xdr:rowOff>
    </xdr:from>
    <xdr:to>
      <xdr:col>7</xdr:col>
      <xdr:colOff>254000</xdr:colOff>
      <xdr:row>41</xdr:row>
      <xdr:rowOff>21167</xdr:rowOff>
    </xdr:to>
    <xdr:cxnSp macro="">
      <xdr:nvCxnSpPr>
        <xdr:cNvPr id="39" name="Curved Connector 523">
          <a:extLst>
            <a:ext uri="{FF2B5EF4-FFF2-40B4-BE49-F238E27FC236}">
              <a16:creationId xmlns:a16="http://schemas.microsoft.com/office/drawing/2014/main" id="{4546224F-B194-4EC8-8B59-0BBDAB90434F}"/>
            </a:ext>
          </a:extLst>
        </xdr:cNvPr>
        <xdr:cNvCxnSpPr/>
      </xdr:nvCxnSpPr>
      <xdr:spPr>
        <a:xfrm rot="16200000" flipH="1">
          <a:off x="3601508" y="46259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38</xdr:row>
      <xdr:rowOff>178593</xdr:rowOff>
    </xdr:from>
    <xdr:to>
      <xdr:col>4</xdr:col>
      <xdr:colOff>247997</xdr:colOff>
      <xdr:row>41</xdr:row>
      <xdr:rowOff>166993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32B5CDCC-522A-43C5-BCFD-051A1DA443AA}"/>
            </a:ext>
          </a:extLst>
        </xdr:cNvPr>
        <xdr:cNvCxnSpPr/>
      </xdr:nvCxnSpPr>
      <xdr:spPr>
        <a:xfrm>
          <a:off x="2126457" y="51506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39</xdr:row>
      <xdr:rowOff>-1</xdr:rowOff>
    </xdr:from>
    <xdr:to>
      <xdr:col>6</xdr:col>
      <xdr:colOff>60854</xdr:colOff>
      <xdr:row>41</xdr:row>
      <xdr:rowOff>111125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BC67A8B9-CE13-493F-8543-79165D922EDE}"/>
            </a:ext>
          </a:extLst>
        </xdr:cNvPr>
        <xdr:cNvCxnSpPr/>
      </xdr:nvCxnSpPr>
      <xdr:spPr>
        <a:xfrm>
          <a:off x="3705225" y="51561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39</xdr:row>
      <xdr:rowOff>-1</xdr:rowOff>
    </xdr:from>
    <xdr:to>
      <xdr:col>9</xdr:col>
      <xdr:colOff>35718</xdr:colOff>
      <xdr:row>41</xdr:row>
      <xdr:rowOff>83343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85301A0C-2FF5-4671-9AE1-622C58C9BAE9}"/>
            </a:ext>
          </a:extLst>
        </xdr:cNvPr>
        <xdr:cNvCxnSpPr/>
      </xdr:nvCxnSpPr>
      <xdr:spPr>
        <a:xfrm>
          <a:off x="5522118" y="51561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41</xdr:row>
      <xdr:rowOff>10584</xdr:rowOff>
    </xdr:from>
    <xdr:to>
      <xdr:col>4</xdr:col>
      <xdr:colOff>105833</xdr:colOff>
      <xdr:row>42</xdr:row>
      <xdr:rowOff>148167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A50707A3-FE7C-4A99-BDD0-E6F7823B84CC}"/>
            </a:ext>
          </a:extLst>
        </xdr:cNvPr>
        <xdr:cNvCxnSpPr/>
      </xdr:nvCxnSpPr>
      <xdr:spPr>
        <a:xfrm>
          <a:off x="1452034" y="55350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44</xdr:row>
      <xdr:rowOff>116417</xdr:rowOff>
    </xdr:from>
    <xdr:to>
      <xdr:col>4</xdr:col>
      <xdr:colOff>0</xdr:colOff>
      <xdr:row>44</xdr:row>
      <xdr:rowOff>116417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C6FBF4CA-5BDB-4A12-B6A9-24D96E9A15EB}"/>
            </a:ext>
          </a:extLst>
        </xdr:cNvPr>
        <xdr:cNvCxnSpPr/>
      </xdr:nvCxnSpPr>
      <xdr:spPr>
        <a:xfrm>
          <a:off x="2019300" y="61933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44</xdr:row>
      <xdr:rowOff>52917</xdr:rowOff>
    </xdr:from>
    <xdr:ext cx="230186" cy="271084"/>
    <xdr:pic>
      <xdr:nvPicPr>
        <xdr:cNvPr id="45" name="Picture 44" descr="A black and white symbol&#10;&#10;Description automatically generated">
          <a:extLst>
            <a:ext uri="{FF2B5EF4-FFF2-40B4-BE49-F238E27FC236}">
              <a16:creationId xmlns:a16="http://schemas.microsoft.com/office/drawing/2014/main" id="{2F3A642B-C1EE-41B4-873A-7E8B1B0F2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61298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45</xdr:row>
      <xdr:rowOff>127001</xdr:rowOff>
    </xdr:from>
    <xdr:to>
      <xdr:col>6</xdr:col>
      <xdr:colOff>51593</xdr:colOff>
      <xdr:row>47</xdr:row>
      <xdr:rowOff>0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67E007CE-6B2C-419F-9BE6-B37AD2A8ED99}"/>
            </a:ext>
          </a:extLst>
        </xdr:cNvPr>
        <xdr:cNvCxnSpPr/>
      </xdr:nvCxnSpPr>
      <xdr:spPr>
        <a:xfrm flipH="1" flipV="1">
          <a:off x="3666860" y="63881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46</xdr:row>
      <xdr:rowOff>71437</xdr:rowOff>
    </xdr:from>
    <xdr:to>
      <xdr:col>10</xdr:col>
      <xdr:colOff>35719</xdr:colOff>
      <xdr:row>46</xdr:row>
      <xdr:rowOff>178593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F5609165-59CF-40AB-AC54-333A52AB8A7B}"/>
            </a:ext>
          </a:extLst>
        </xdr:cNvPr>
        <xdr:cNvCxnSpPr/>
      </xdr:nvCxnSpPr>
      <xdr:spPr>
        <a:xfrm flipH="1" flipV="1">
          <a:off x="5879306" y="65166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41</xdr:row>
      <xdr:rowOff>0</xdr:rowOff>
    </xdr:from>
    <xdr:to>
      <xdr:col>11</xdr:col>
      <xdr:colOff>0</xdr:colOff>
      <xdr:row>41</xdr:row>
      <xdr:rowOff>10584</xdr:rowOff>
    </xdr:to>
    <xdr:cxnSp macro="">
      <xdr:nvCxnSpPr>
        <xdr:cNvPr id="48" name="Curved Connector 522">
          <a:extLst>
            <a:ext uri="{FF2B5EF4-FFF2-40B4-BE49-F238E27FC236}">
              <a16:creationId xmlns:a16="http://schemas.microsoft.com/office/drawing/2014/main" id="{725FE8B2-2367-40B8-82F1-6D4E0FD44616}"/>
            </a:ext>
          </a:extLst>
        </xdr:cNvPr>
        <xdr:cNvCxnSpPr/>
      </xdr:nvCxnSpPr>
      <xdr:spPr>
        <a:xfrm rot="16200000" flipH="1">
          <a:off x="5785908" y="4615392"/>
          <a:ext cx="10584" cy="1828800"/>
        </a:xfrm>
        <a:prstGeom prst="curvedConnector3">
          <a:avLst>
            <a:gd name="adj1" fmla="val 1339919"/>
          </a:avLst>
        </a:prstGeom>
        <a:noFill/>
        <a:ln w="38100" cap="flat" cmpd="sng" algn="ctr">
          <a:solidFill>
            <a:srgbClr val="FFFF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38713</xdr:colOff>
      <xdr:row>46</xdr:row>
      <xdr:rowOff>88460</xdr:rowOff>
    </xdr:from>
    <xdr:to>
      <xdr:col>15</xdr:col>
      <xdr:colOff>401817</xdr:colOff>
      <xdr:row>47</xdr:row>
      <xdr:rowOff>66317</xdr:rowOff>
    </xdr:to>
    <xdr:sp macro="" textlink="">
      <xdr:nvSpPr>
        <xdr:cNvPr id="49" name="Lightning Bolt 48">
          <a:extLst>
            <a:ext uri="{FF2B5EF4-FFF2-40B4-BE49-F238E27FC236}">
              <a16:creationId xmlns:a16="http://schemas.microsoft.com/office/drawing/2014/main" id="{76D3D882-928E-4F25-9CBC-DE4D6B03CE91}"/>
            </a:ext>
          </a:extLst>
        </xdr:cNvPr>
        <xdr:cNvSpPr/>
      </xdr:nvSpPr>
      <xdr:spPr>
        <a:xfrm rot="2857557">
          <a:off x="9283261" y="64331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44</xdr:row>
      <xdr:rowOff>96357</xdr:rowOff>
    </xdr:from>
    <xdr:to>
      <xdr:col>16</xdr:col>
      <xdr:colOff>10464</xdr:colOff>
      <xdr:row>45</xdr:row>
      <xdr:rowOff>82237</xdr:rowOff>
    </xdr:to>
    <xdr:sp macro="" textlink="">
      <xdr:nvSpPr>
        <xdr:cNvPr id="50" name="Lightning Bolt 49">
          <a:extLst>
            <a:ext uri="{FF2B5EF4-FFF2-40B4-BE49-F238E27FC236}">
              <a16:creationId xmlns:a16="http://schemas.microsoft.com/office/drawing/2014/main" id="{5E8A60BF-6EF1-4B33-B6C6-E9B322B45133}"/>
            </a:ext>
          </a:extLst>
        </xdr:cNvPr>
        <xdr:cNvSpPr/>
      </xdr:nvSpPr>
      <xdr:spPr>
        <a:xfrm rot="2857557">
          <a:off x="9405456" y="59847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40</xdr:row>
      <xdr:rowOff>23811</xdr:rowOff>
    </xdr:from>
    <xdr:to>
      <xdr:col>15</xdr:col>
      <xdr:colOff>273845</xdr:colOff>
      <xdr:row>41</xdr:row>
      <xdr:rowOff>168780</xdr:rowOff>
    </xdr:to>
    <xdr:sp macro="" textlink="">
      <xdr:nvSpPr>
        <xdr:cNvPr id="51" name="Arrow: Up 50">
          <a:extLst>
            <a:ext uri="{FF2B5EF4-FFF2-40B4-BE49-F238E27FC236}">
              <a16:creationId xmlns:a16="http://schemas.microsoft.com/office/drawing/2014/main" id="{0B12AB6C-8288-4244-BC4A-00B60678C80B}"/>
            </a:ext>
          </a:extLst>
        </xdr:cNvPr>
        <xdr:cNvSpPr/>
      </xdr:nvSpPr>
      <xdr:spPr>
        <a:xfrm>
          <a:off x="9274971" y="53641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38</xdr:row>
      <xdr:rowOff>11906</xdr:rowOff>
    </xdr:from>
    <xdr:to>
      <xdr:col>15</xdr:col>
      <xdr:colOff>261938</xdr:colOff>
      <xdr:row>39</xdr:row>
      <xdr:rowOff>168782</xdr:rowOff>
    </xdr:to>
    <xdr:sp macro="" textlink="">
      <xdr:nvSpPr>
        <xdr:cNvPr id="52" name="Arrow: Up 51">
          <a:extLst>
            <a:ext uri="{FF2B5EF4-FFF2-40B4-BE49-F238E27FC236}">
              <a16:creationId xmlns:a16="http://schemas.microsoft.com/office/drawing/2014/main" id="{15B8E5B0-5B15-4596-93EF-AB0047A94BC4}"/>
            </a:ext>
          </a:extLst>
        </xdr:cNvPr>
        <xdr:cNvSpPr/>
      </xdr:nvSpPr>
      <xdr:spPr>
        <a:xfrm>
          <a:off x="9274970" y="49839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42</xdr:row>
      <xdr:rowOff>-1</xdr:rowOff>
    </xdr:from>
    <xdr:to>
      <xdr:col>15</xdr:col>
      <xdr:colOff>273844</xdr:colOff>
      <xdr:row>43</xdr:row>
      <xdr:rowOff>180305</xdr:rowOff>
    </xdr:to>
    <xdr:sp macro="" textlink="">
      <xdr:nvSpPr>
        <xdr:cNvPr id="53" name="Arrow: Up-Down 52">
          <a:extLst>
            <a:ext uri="{FF2B5EF4-FFF2-40B4-BE49-F238E27FC236}">
              <a16:creationId xmlns:a16="http://schemas.microsoft.com/office/drawing/2014/main" id="{BBD7E852-BEFC-433A-BF6B-419FFDC82303}"/>
            </a:ext>
          </a:extLst>
        </xdr:cNvPr>
        <xdr:cNvSpPr/>
      </xdr:nvSpPr>
      <xdr:spPr>
        <a:xfrm>
          <a:off x="9286874" y="57086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42</xdr:row>
      <xdr:rowOff>107156</xdr:rowOff>
    </xdr:from>
    <xdr:ext cx="253593" cy="571499"/>
    <xdr:pic>
      <xdr:nvPicPr>
        <xdr:cNvPr id="54" name="Picture 95405" descr="LADDER">
          <a:extLst>
            <a:ext uri="{FF2B5EF4-FFF2-40B4-BE49-F238E27FC236}">
              <a16:creationId xmlns:a16="http://schemas.microsoft.com/office/drawing/2014/main" id="{7D0405F6-2565-4F60-A7DC-EEC1B4E1D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737180" y="58158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38</xdr:row>
      <xdr:rowOff>81940</xdr:rowOff>
    </xdr:from>
    <xdr:ext cx="202407" cy="626944"/>
    <xdr:pic>
      <xdr:nvPicPr>
        <xdr:cNvPr id="55" name="Picture 5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F4D0069F-7124-4895-B046-A87A787BD5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50539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19</xdr:col>
      <xdr:colOff>154779</xdr:colOff>
      <xdr:row>45</xdr:row>
      <xdr:rowOff>190499</xdr:rowOff>
    </xdr:from>
    <xdr:to>
      <xdr:col>20</xdr:col>
      <xdr:colOff>130967</xdr:colOff>
      <xdr:row>47</xdr:row>
      <xdr:rowOff>166687</xdr:rowOff>
    </xdr:to>
    <xdr:sp macro="" textlink="">
      <xdr:nvSpPr>
        <xdr:cNvPr id="56" name="Arrow: U-Turn 55">
          <a:extLst>
            <a:ext uri="{FF2B5EF4-FFF2-40B4-BE49-F238E27FC236}">
              <a16:creationId xmlns:a16="http://schemas.microsoft.com/office/drawing/2014/main" id="{74A95279-28BF-4165-938D-76118FF0187A}"/>
            </a:ext>
          </a:extLst>
        </xdr:cNvPr>
        <xdr:cNvSpPr/>
      </xdr:nvSpPr>
      <xdr:spPr>
        <a:xfrm>
          <a:off x="11737179" y="64452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87313</xdr:colOff>
      <xdr:row>12</xdr:row>
      <xdr:rowOff>138906</xdr:rowOff>
    </xdr:from>
    <xdr:to>
      <xdr:col>18</xdr:col>
      <xdr:colOff>325438</xdr:colOff>
      <xdr:row>14</xdr:row>
      <xdr:rowOff>119062</xdr:rowOff>
    </xdr:to>
    <xdr:sp macro="" textlink="">
      <xdr:nvSpPr>
        <xdr:cNvPr id="58" name="Arrow: U-Turn 57">
          <a:extLst>
            <a:ext uri="{FF2B5EF4-FFF2-40B4-BE49-F238E27FC236}">
              <a16:creationId xmlns:a16="http://schemas.microsoft.com/office/drawing/2014/main" id="{DE308EC3-61DA-476F-8C9A-DE653311D960}"/>
            </a:ext>
          </a:extLst>
        </xdr:cNvPr>
        <xdr:cNvSpPr/>
      </xdr:nvSpPr>
      <xdr:spPr>
        <a:xfrm>
          <a:off x="5667376" y="2234406"/>
          <a:ext cx="238125" cy="345281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152882</xdr:colOff>
      <xdr:row>12</xdr:row>
      <xdr:rowOff>140114</xdr:rowOff>
    </xdr:from>
    <xdr:to>
      <xdr:col>30</xdr:col>
      <xdr:colOff>307663</xdr:colOff>
      <xdr:row>14</xdr:row>
      <xdr:rowOff>119603</xdr:rowOff>
    </xdr:to>
    <xdr:sp macro="" textlink="">
      <xdr:nvSpPr>
        <xdr:cNvPr id="59" name="Arrow: Up 58">
          <a:extLst>
            <a:ext uri="{FF2B5EF4-FFF2-40B4-BE49-F238E27FC236}">
              <a16:creationId xmlns:a16="http://schemas.microsoft.com/office/drawing/2014/main" id="{B87CBE0F-138D-4F32-93C8-E6434CC916B3}"/>
            </a:ext>
          </a:extLst>
        </xdr:cNvPr>
        <xdr:cNvSpPr/>
      </xdr:nvSpPr>
      <xdr:spPr>
        <a:xfrm>
          <a:off x="9669945" y="2235614"/>
          <a:ext cx="154781" cy="34461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124561</xdr:colOff>
      <xdr:row>12</xdr:row>
      <xdr:rowOff>132547</xdr:rowOff>
    </xdr:from>
    <xdr:to>
      <xdr:col>28</xdr:col>
      <xdr:colOff>43438</xdr:colOff>
      <xdr:row>14</xdr:row>
      <xdr:rowOff>63712</xdr:rowOff>
    </xdr:to>
    <xdr:sp macro="" textlink="">
      <xdr:nvSpPr>
        <xdr:cNvPr id="62" name="Lightning Bolt 61">
          <a:extLst>
            <a:ext uri="{FF2B5EF4-FFF2-40B4-BE49-F238E27FC236}">
              <a16:creationId xmlns:a16="http://schemas.microsoft.com/office/drawing/2014/main" id="{66DF53A5-D0ED-412D-9F45-3112688E9C19}"/>
            </a:ext>
          </a:extLst>
        </xdr:cNvPr>
        <xdr:cNvSpPr/>
      </xdr:nvSpPr>
      <xdr:spPr>
        <a:xfrm rot="2857557">
          <a:off x="8682980" y="2202441"/>
          <a:ext cx="296290" cy="347502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170657</xdr:colOff>
      <xdr:row>12</xdr:row>
      <xdr:rowOff>158749</xdr:rowOff>
    </xdr:from>
    <xdr:to>
      <xdr:col>42</xdr:col>
      <xdr:colOff>325439</xdr:colOff>
      <xdr:row>14</xdr:row>
      <xdr:rowOff>152906</xdr:rowOff>
    </xdr:to>
    <xdr:sp macro="" textlink="">
      <xdr:nvSpPr>
        <xdr:cNvPr id="63" name="Arrow: Up 62">
          <a:extLst>
            <a:ext uri="{FF2B5EF4-FFF2-40B4-BE49-F238E27FC236}">
              <a16:creationId xmlns:a16="http://schemas.microsoft.com/office/drawing/2014/main" id="{84A7A84E-446A-4E25-AAB5-A4C4EE8E6CD1}"/>
            </a:ext>
          </a:extLst>
        </xdr:cNvPr>
        <xdr:cNvSpPr/>
      </xdr:nvSpPr>
      <xdr:spPr>
        <a:xfrm>
          <a:off x="13592970" y="2254249"/>
          <a:ext cx="154782" cy="35928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43657</xdr:colOff>
      <xdr:row>20</xdr:row>
      <xdr:rowOff>162719</xdr:rowOff>
    </xdr:from>
    <xdr:to>
      <xdr:col>3</xdr:col>
      <xdr:colOff>198438</xdr:colOff>
      <xdr:row>22</xdr:row>
      <xdr:rowOff>129096</xdr:rowOff>
    </xdr:to>
    <xdr:sp macro="" textlink="">
      <xdr:nvSpPr>
        <xdr:cNvPr id="64" name="Arrow: Up 63">
          <a:extLst>
            <a:ext uri="{FF2B5EF4-FFF2-40B4-BE49-F238E27FC236}">
              <a16:creationId xmlns:a16="http://schemas.microsoft.com/office/drawing/2014/main" id="{F4A36386-8FA6-4F1F-B0AD-68FA56AF61B2}"/>
            </a:ext>
          </a:extLst>
        </xdr:cNvPr>
        <xdr:cNvSpPr/>
      </xdr:nvSpPr>
      <xdr:spPr>
        <a:xfrm>
          <a:off x="702470" y="3536157"/>
          <a:ext cx="154781" cy="33150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20</xdr:row>
      <xdr:rowOff>158750</xdr:rowOff>
    </xdr:from>
    <xdr:to>
      <xdr:col>3</xdr:col>
      <xdr:colOff>369094</xdr:colOff>
      <xdr:row>22</xdr:row>
      <xdr:rowOff>137031</xdr:rowOff>
    </xdr:to>
    <xdr:sp macro="" textlink="">
      <xdr:nvSpPr>
        <xdr:cNvPr id="65" name="Arrow: Up 64">
          <a:extLst>
            <a:ext uri="{FF2B5EF4-FFF2-40B4-BE49-F238E27FC236}">
              <a16:creationId xmlns:a16="http://schemas.microsoft.com/office/drawing/2014/main" id="{E87C24FC-8D72-4CAE-9811-46ADAA250FDA}"/>
            </a:ext>
          </a:extLst>
        </xdr:cNvPr>
        <xdr:cNvSpPr/>
      </xdr:nvSpPr>
      <xdr:spPr>
        <a:xfrm>
          <a:off x="873126" y="3532188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87313</xdr:colOff>
      <xdr:row>20</xdr:row>
      <xdr:rowOff>166688</xdr:rowOff>
    </xdr:from>
    <xdr:to>
      <xdr:col>6</xdr:col>
      <xdr:colOff>242094</xdr:colOff>
      <xdr:row>22</xdr:row>
      <xdr:rowOff>144969</xdr:rowOff>
    </xdr:to>
    <xdr:sp macro="" textlink="">
      <xdr:nvSpPr>
        <xdr:cNvPr id="66" name="Arrow: Up 65">
          <a:extLst>
            <a:ext uri="{FF2B5EF4-FFF2-40B4-BE49-F238E27FC236}">
              <a16:creationId xmlns:a16="http://schemas.microsoft.com/office/drawing/2014/main" id="{AA46ACA6-4A16-4350-B5FD-526BE1C1A7F3}"/>
            </a:ext>
          </a:extLst>
        </xdr:cNvPr>
        <xdr:cNvSpPr/>
      </xdr:nvSpPr>
      <xdr:spPr>
        <a:xfrm>
          <a:off x="1730376" y="3540126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99219</xdr:colOff>
      <xdr:row>20</xdr:row>
      <xdr:rowOff>150812</xdr:rowOff>
    </xdr:from>
    <xdr:to>
      <xdr:col>9</xdr:col>
      <xdr:colOff>254000</xdr:colOff>
      <xdr:row>22</xdr:row>
      <xdr:rowOff>129093</xdr:rowOff>
    </xdr:to>
    <xdr:sp macro="" textlink="">
      <xdr:nvSpPr>
        <xdr:cNvPr id="67" name="Arrow: Up 66">
          <a:extLst>
            <a:ext uri="{FF2B5EF4-FFF2-40B4-BE49-F238E27FC236}">
              <a16:creationId xmlns:a16="http://schemas.microsoft.com/office/drawing/2014/main" id="{69238D66-5945-4DC0-810E-4FBD3987ADFD}"/>
            </a:ext>
          </a:extLst>
        </xdr:cNvPr>
        <xdr:cNvSpPr/>
      </xdr:nvSpPr>
      <xdr:spPr>
        <a:xfrm>
          <a:off x="2726532" y="3524250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47057</xdr:colOff>
      <xdr:row>20</xdr:row>
      <xdr:rowOff>136637</xdr:rowOff>
    </xdr:from>
    <xdr:to>
      <xdr:col>15</xdr:col>
      <xdr:colOff>201838</xdr:colOff>
      <xdr:row>22</xdr:row>
      <xdr:rowOff>101879</xdr:rowOff>
    </xdr:to>
    <xdr:sp macro="" textlink="">
      <xdr:nvSpPr>
        <xdr:cNvPr id="68" name="Arrow: Up 67">
          <a:extLst>
            <a:ext uri="{FF2B5EF4-FFF2-40B4-BE49-F238E27FC236}">
              <a16:creationId xmlns:a16="http://schemas.microsoft.com/office/drawing/2014/main" id="{3FC193E4-F0D5-407A-93B8-A5BDDC8D5E63}"/>
            </a:ext>
          </a:extLst>
        </xdr:cNvPr>
        <xdr:cNvSpPr/>
      </xdr:nvSpPr>
      <xdr:spPr>
        <a:xfrm>
          <a:off x="4642870" y="3510075"/>
          <a:ext cx="154781" cy="33036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230187</xdr:colOff>
      <xdr:row>20</xdr:row>
      <xdr:rowOff>124732</xdr:rowOff>
    </xdr:from>
    <xdr:to>
      <xdr:col>15</xdr:col>
      <xdr:colOff>384968</xdr:colOff>
      <xdr:row>22</xdr:row>
      <xdr:rowOff>101878</xdr:rowOff>
    </xdr:to>
    <xdr:sp macro="" textlink="">
      <xdr:nvSpPr>
        <xdr:cNvPr id="69" name="Arrow: Up 68">
          <a:extLst>
            <a:ext uri="{FF2B5EF4-FFF2-40B4-BE49-F238E27FC236}">
              <a16:creationId xmlns:a16="http://schemas.microsoft.com/office/drawing/2014/main" id="{4B945D2F-43F6-4E84-8656-073CE19C999A}"/>
            </a:ext>
          </a:extLst>
        </xdr:cNvPr>
        <xdr:cNvSpPr/>
      </xdr:nvSpPr>
      <xdr:spPr>
        <a:xfrm>
          <a:off x="4826000" y="3498170"/>
          <a:ext cx="154781" cy="34227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107158</xdr:colOff>
      <xdr:row>20</xdr:row>
      <xdr:rowOff>136317</xdr:rowOff>
    </xdr:from>
    <xdr:to>
      <xdr:col>24</xdr:col>
      <xdr:colOff>261939</xdr:colOff>
      <xdr:row>22</xdr:row>
      <xdr:rowOff>114599</xdr:rowOff>
    </xdr:to>
    <xdr:sp macro="" textlink="">
      <xdr:nvSpPr>
        <xdr:cNvPr id="70" name="Arrow: Up 69">
          <a:extLst>
            <a:ext uri="{FF2B5EF4-FFF2-40B4-BE49-F238E27FC236}">
              <a16:creationId xmlns:a16="http://schemas.microsoft.com/office/drawing/2014/main" id="{840E8087-1598-458F-99E3-D86952726308}"/>
            </a:ext>
          </a:extLst>
        </xdr:cNvPr>
        <xdr:cNvSpPr/>
      </xdr:nvSpPr>
      <xdr:spPr>
        <a:xfrm>
          <a:off x="7655721" y="3509755"/>
          <a:ext cx="154781" cy="34340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77871</xdr:colOff>
      <xdr:row>19</xdr:row>
      <xdr:rowOff>177445</xdr:rowOff>
    </xdr:from>
    <xdr:ext cx="253593" cy="571499"/>
    <xdr:pic>
      <xdr:nvPicPr>
        <xdr:cNvPr id="71" name="Picture 95405" descr="LADDER">
          <a:extLst>
            <a:ext uri="{FF2B5EF4-FFF2-40B4-BE49-F238E27FC236}">
              <a16:creationId xmlns:a16="http://schemas.microsoft.com/office/drawing/2014/main" id="{2A598A3C-B76F-409E-B69F-81181E1E0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657934" y="3368320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twoCellAnchor>
    <xdr:from>
      <xdr:col>27</xdr:col>
      <xdr:colOff>55562</xdr:colOff>
      <xdr:row>20</xdr:row>
      <xdr:rowOff>150813</xdr:rowOff>
    </xdr:from>
    <xdr:to>
      <xdr:col>27</xdr:col>
      <xdr:colOff>210343</xdr:colOff>
      <xdr:row>22</xdr:row>
      <xdr:rowOff>129094</xdr:rowOff>
    </xdr:to>
    <xdr:sp macro="" textlink="">
      <xdr:nvSpPr>
        <xdr:cNvPr id="72" name="Arrow: Up 71">
          <a:extLst>
            <a:ext uri="{FF2B5EF4-FFF2-40B4-BE49-F238E27FC236}">
              <a16:creationId xmlns:a16="http://schemas.microsoft.com/office/drawing/2014/main" id="{DBA426C2-5DA7-4178-A8CA-22174BC7B63B}"/>
            </a:ext>
          </a:extLst>
        </xdr:cNvPr>
        <xdr:cNvSpPr/>
      </xdr:nvSpPr>
      <xdr:spPr>
        <a:xfrm>
          <a:off x="8588375" y="352425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242093</xdr:colOff>
      <xdr:row>20</xdr:row>
      <xdr:rowOff>162718</xdr:rowOff>
    </xdr:from>
    <xdr:to>
      <xdr:col>27</xdr:col>
      <xdr:colOff>396874</xdr:colOff>
      <xdr:row>22</xdr:row>
      <xdr:rowOff>129095</xdr:rowOff>
    </xdr:to>
    <xdr:sp macro="" textlink="">
      <xdr:nvSpPr>
        <xdr:cNvPr id="73" name="Arrow: Up 72">
          <a:extLst>
            <a:ext uri="{FF2B5EF4-FFF2-40B4-BE49-F238E27FC236}">
              <a16:creationId xmlns:a16="http://schemas.microsoft.com/office/drawing/2014/main" id="{E72FF34A-15C0-4F5A-B899-E461EAD25D11}"/>
            </a:ext>
          </a:extLst>
        </xdr:cNvPr>
        <xdr:cNvSpPr/>
      </xdr:nvSpPr>
      <xdr:spPr>
        <a:xfrm>
          <a:off x="8774906" y="3536156"/>
          <a:ext cx="154781" cy="33150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142874</xdr:colOff>
      <xdr:row>20</xdr:row>
      <xdr:rowOff>142874</xdr:rowOff>
    </xdr:from>
    <xdr:to>
      <xdr:col>30</xdr:col>
      <xdr:colOff>297655</xdr:colOff>
      <xdr:row>22</xdr:row>
      <xdr:rowOff>121155</xdr:rowOff>
    </xdr:to>
    <xdr:sp macro="" textlink="">
      <xdr:nvSpPr>
        <xdr:cNvPr id="74" name="Arrow: Up 73">
          <a:extLst>
            <a:ext uri="{FF2B5EF4-FFF2-40B4-BE49-F238E27FC236}">
              <a16:creationId xmlns:a16="http://schemas.microsoft.com/office/drawing/2014/main" id="{3E65DE27-05D2-4FF7-A894-BCB67E5334FE}"/>
            </a:ext>
          </a:extLst>
        </xdr:cNvPr>
        <xdr:cNvSpPr/>
      </xdr:nvSpPr>
      <xdr:spPr>
        <a:xfrm>
          <a:off x="9659937" y="3516312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146844</xdr:colOff>
      <xdr:row>20</xdr:row>
      <xdr:rowOff>102053</xdr:rowOff>
    </xdr:from>
    <xdr:to>
      <xdr:col>36</xdr:col>
      <xdr:colOff>301625</xdr:colOff>
      <xdr:row>22</xdr:row>
      <xdr:rowOff>80334</xdr:rowOff>
    </xdr:to>
    <xdr:sp macro="" textlink="">
      <xdr:nvSpPr>
        <xdr:cNvPr id="75" name="Arrow: Up 74">
          <a:extLst>
            <a:ext uri="{FF2B5EF4-FFF2-40B4-BE49-F238E27FC236}">
              <a16:creationId xmlns:a16="http://schemas.microsoft.com/office/drawing/2014/main" id="{3632DF26-AE3D-4285-9CC8-FE581C868C03}"/>
            </a:ext>
          </a:extLst>
        </xdr:cNvPr>
        <xdr:cNvSpPr/>
      </xdr:nvSpPr>
      <xdr:spPr>
        <a:xfrm>
          <a:off x="11640344" y="347549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54995</xdr:colOff>
      <xdr:row>20</xdr:row>
      <xdr:rowOff>146521</xdr:rowOff>
    </xdr:from>
    <xdr:to>
      <xdr:col>39</xdr:col>
      <xdr:colOff>209776</xdr:colOff>
      <xdr:row>22</xdr:row>
      <xdr:rowOff>124803</xdr:rowOff>
    </xdr:to>
    <xdr:sp macro="" textlink="">
      <xdr:nvSpPr>
        <xdr:cNvPr id="76" name="Arrow: Up 75">
          <a:extLst>
            <a:ext uri="{FF2B5EF4-FFF2-40B4-BE49-F238E27FC236}">
              <a16:creationId xmlns:a16="http://schemas.microsoft.com/office/drawing/2014/main" id="{7BBBCB9F-B71D-4057-B92A-2747E6CEC5E4}"/>
            </a:ext>
          </a:extLst>
        </xdr:cNvPr>
        <xdr:cNvSpPr/>
      </xdr:nvSpPr>
      <xdr:spPr>
        <a:xfrm>
          <a:off x="12532745" y="3519959"/>
          <a:ext cx="154781" cy="34340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14324</xdr:colOff>
      <xdr:row>20</xdr:row>
      <xdr:rowOff>92983</xdr:rowOff>
    </xdr:from>
    <xdr:to>
      <xdr:col>33</xdr:col>
      <xdr:colOff>387561</xdr:colOff>
      <xdr:row>22</xdr:row>
      <xdr:rowOff>20180</xdr:rowOff>
    </xdr:to>
    <xdr:sp macro="" textlink="">
      <xdr:nvSpPr>
        <xdr:cNvPr id="77" name="Lightning Bolt 76">
          <a:extLst>
            <a:ext uri="{FF2B5EF4-FFF2-40B4-BE49-F238E27FC236}">
              <a16:creationId xmlns:a16="http://schemas.microsoft.com/office/drawing/2014/main" id="{959E0389-7944-497F-A43E-6989012DFD22}"/>
            </a:ext>
          </a:extLst>
        </xdr:cNvPr>
        <xdr:cNvSpPr/>
      </xdr:nvSpPr>
      <xdr:spPr>
        <a:xfrm rot="2857557">
          <a:off x="10564032" y="3425963"/>
          <a:ext cx="292322" cy="37323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39</xdr:col>
      <xdr:colOff>208396</xdr:colOff>
      <xdr:row>19</xdr:row>
      <xdr:rowOff>92761</xdr:rowOff>
    </xdr:from>
    <xdr:ext cx="202407" cy="626944"/>
    <xdr:pic>
      <xdr:nvPicPr>
        <xdr:cNvPr id="79" name="Picture 78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1E2D8C3-7F47-4AF5-8209-F491B29E24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2686146" y="3283636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6</xdr:col>
      <xdr:colOff>134939</xdr:colOff>
      <xdr:row>28</xdr:row>
      <xdr:rowOff>174626</xdr:rowOff>
    </xdr:from>
    <xdr:to>
      <xdr:col>6</xdr:col>
      <xdr:colOff>289720</xdr:colOff>
      <xdr:row>30</xdr:row>
      <xdr:rowOff>144969</xdr:rowOff>
    </xdr:to>
    <xdr:sp macro="" textlink="">
      <xdr:nvSpPr>
        <xdr:cNvPr id="80" name="Arrow: Up 79">
          <a:extLst>
            <a:ext uri="{FF2B5EF4-FFF2-40B4-BE49-F238E27FC236}">
              <a16:creationId xmlns:a16="http://schemas.microsoft.com/office/drawing/2014/main" id="{FFE21E3F-C1CB-4FA0-9703-F189F3427DEC}"/>
            </a:ext>
          </a:extLst>
        </xdr:cNvPr>
        <xdr:cNvSpPr/>
      </xdr:nvSpPr>
      <xdr:spPr>
        <a:xfrm>
          <a:off x="1778002" y="482600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0</xdr:colOff>
      <xdr:row>19</xdr:row>
      <xdr:rowOff>11759</xdr:rowOff>
    </xdr:from>
    <xdr:to>
      <xdr:col>17</xdr:col>
      <xdr:colOff>256442</xdr:colOff>
      <xdr:row>21</xdr:row>
      <xdr:rowOff>6784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BED2172D-D47C-46C1-BF8D-E0B8C52ECCC1}"/>
            </a:ext>
          </a:extLst>
        </xdr:cNvPr>
        <xdr:cNvSpPr/>
      </xdr:nvSpPr>
      <xdr:spPr>
        <a:xfrm>
          <a:off x="9753600" y="3142309"/>
          <a:ext cx="866042" cy="3633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19</xdr:row>
      <xdr:rowOff>0</xdr:rowOff>
    </xdr:from>
    <xdr:to>
      <xdr:col>20</xdr:col>
      <xdr:colOff>256442</xdr:colOff>
      <xdr:row>20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3EC7ED47-0C62-45E0-94F5-03C58DCD1E91}"/>
            </a:ext>
          </a:extLst>
        </xdr:cNvPr>
        <xdr:cNvSpPr/>
      </xdr:nvSpPr>
      <xdr:spPr>
        <a:xfrm>
          <a:off x="11582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23812</xdr:colOff>
      <xdr:row>19</xdr:row>
      <xdr:rowOff>15874</xdr:rowOff>
    </xdr:from>
    <xdr:to>
      <xdr:col>23</xdr:col>
      <xdr:colOff>256442</xdr:colOff>
      <xdr:row>20</xdr:row>
      <xdr:rowOff>171413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9FA3A425-A071-49A7-9CA1-77DBDB39D805}"/>
            </a:ext>
          </a:extLst>
        </xdr:cNvPr>
        <xdr:cNvSpPr/>
      </xdr:nvSpPr>
      <xdr:spPr>
        <a:xfrm>
          <a:off x="7016750" y="3405187"/>
          <a:ext cx="510442" cy="33810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9</xdr:col>
      <xdr:colOff>130968</xdr:colOff>
      <xdr:row>28</xdr:row>
      <xdr:rowOff>181872</xdr:rowOff>
    </xdr:from>
    <xdr:to>
      <xdr:col>9</xdr:col>
      <xdr:colOff>285749</xdr:colOff>
      <xdr:row>30</xdr:row>
      <xdr:rowOff>152215</xdr:rowOff>
    </xdr:to>
    <xdr:sp macro="" textlink="">
      <xdr:nvSpPr>
        <xdr:cNvPr id="84" name="Arrow: Up 83">
          <a:extLst>
            <a:ext uri="{FF2B5EF4-FFF2-40B4-BE49-F238E27FC236}">
              <a16:creationId xmlns:a16="http://schemas.microsoft.com/office/drawing/2014/main" id="{1C4BB871-9618-4662-BE03-6BBCE6992D74}"/>
            </a:ext>
          </a:extLst>
        </xdr:cNvPr>
        <xdr:cNvSpPr/>
      </xdr:nvSpPr>
      <xdr:spPr>
        <a:xfrm>
          <a:off x="2758281" y="4833247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1724</xdr:colOff>
      <xdr:row>29</xdr:row>
      <xdr:rowOff>71092</xdr:rowOff>
    </xdr:from>
    <xdr:to>
      <xdr:col>15</xdr:col>
      <xdr:colOff>364828</xdr:colOff>
      <xdr:row>30</xdr:row>
      <xdr:rowOff>48950</xdr:rowOff>
    </xdr:to>
    <xdr:sp macro="" textlink="">
      <xdr:nvSpPr>
        <xdr:cNvPr id="87" name="Lightning Bolt 86">
          <a:extLst>
            <a:ext uri="{FF2B5EF4-FFF2-40B4-BE49-F238E27FC236}">
              <a16:creationId xmlns:a16="http://schemas.microsoft.com/office/drawing/2014/main" id="{70F8DCD1-8F13-47A5-952D-CBE04B4FA3C1}"/>
            </a:ext>
          </a:extLst>
        </xdr:cNvPr>
        <xdr:cNvSpPr/>
      </xdr:nvSpPr>
      <xdr:spPr>
        <a:xfrm rot="2857557">
          <a:off x="4698878" y="4811626"/>
          <a:ext cx="160421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184727</xdr:colOff>
      <xdr:row>11</xdr:row>
      <xdr:rowOff>127000</xdr:rowOff>
    </xdr:from>
    <xdr:to>
      <xdr:col>38</xdr:col>
      <xdr:colOff>116724</xdr:colOff>
      <xdr:row>12</xdr:row>
      <xdr:rowOff>127887</xdr:rowOff>
    </xdr:to>
    <xdr:sp macro="" textlink="">
      <xdr:nvSpPr>
        <xdr:cNvPr id="85" name="5-Point Star 520">
          <a:extLst>
            <a:ext uri="{FF2B5EF4-FFF2-40B4-BE49-F238E27FC236}">
              <a16:creationId xmlns:a16="http://schemas.microsoft.com/office/drawing/2014/main" id="{799A8519-3019-4DFF-9526-8A0AF1793A9B}"/>
            </a:ext>
          </a:extLst>
        </xdr:cNvPr>
        <xdr:cNvSpPr/>
      </xdr:nvSpPr>
      <xdr:spPr>
        <a:xfrm flipH="1">
          <a:off x="12203545" y="20435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163945</xdr:colOff>
      <xdr:row>19</xdr:row>
      <xdr:rowOff>106219</xdr:rowOff>
    </xdr:from>
    <xdr:to>
      <xdr:col>2</xdr:col>
      <xdr:colOff>95942</xdr:colOff>
      <xdr:row>20</xdr:row>
      <xdr:rowOff>107106</xdr:rowOff>
    </xdr:to>
    <xdr:sp macro="" textlink="">
      <xdr:nvSpPr>
        <xdr:cNvPr id="88" name="5-Point Star 520">
          <a:extLst>
            <a:ext uri="{FF2B5EF4-FFF2-40B4-BE49-F238E27FC236}">
              <a16:creationId xmlns:a16="http://schemas.microsoft.com/office/drawing/2014/main" id="{519A9C1B-255C-4A0F-BAC2-2AF9C75C9DE8}"/>
            </a:ext>
          </a:extLst>
        </xdr:cNvPr>
        <xdr:cNvSpPr/>
      </xdr:nvSpPr>
      <xdr:spPr>
        <a:xfrm flipH="1">
          <a:off x="267854" y="331585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166255</xdr:colOff>
      <xdr:row>19</xdr:row>
      <xdr:rowOff>120072</xdr:rowOff>
    </xdr:from>
    <xdr:to>
      <xdr:col>5</xdr:col>
      <xdr:colOff>98252</xdr:colOff>
      <xdr:row>20</xdr:row>
      <xdr:rowOff>120959</xdr:rowOff>
    </xdr:to>
    <xdr:sp macro="" textlink="">
      <xdr:nvSpPr>
        <xdr:cNvPr id="89" name="5-Point Star 520">
          <a:extLst>
            <a:ext uri="{FF2B5EF4-FFF2-40B4-BE49-F238E27FC236}">
              <a16:creationId xmlns:a16="http://schemas.microsoft.com/office/drawing/2014/main" id="{E6A05E17-0DF9-45B0-88C0-CF5D4D29EE73}"/>
            </a:ext>
          </a:extLst>
        </xdr:cNvPr>
        <xdr:cNvSpPr/>
      </xdr:nvSpPr>
      <xdr:spPr>
        <a:xfrm flipH="1">
          <a:off x="1263073" y="332970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145472</xdr:colOff>
      <xdr:row>19</xdr:row>
      <xdr:rowOff>87745</xdr:rowOff>
    </xdr:from>
    <xdr:to>
      <xdr:col>8</xdr:col>
      <xdr:colOff>77469</xdr:colOff>
      <xdr:row>20</xdr:row>
      <xdr:rowOff>88632</xdr:rowOff>
    </xdr:to>
    <xdr:sp macro="" textlink="">
      <xdr:nvSpPr>
        <xdr:cNvPr id="90" name="5-Point Star 520">
          <a:extLst>
            <a:ext uri="{FF2B5EF4-FFF2-40B4-BE49-F238E27FC236}">
              <a16:creationId xmlns:a16="http://schemas.microsoft.com/office/drawing/2014/main" id="{3C2324B6-F934-443B-B9F6-C3CBAE3E6A3B}"/>
            </a:ext>
          </a:extLst>
        </xdr:cNvPr>
        <xdr:cNvSpPr/>
      </xdr:nvSpPr>
      <xdr:spPr>
        <a:xfrm flipH="1">
          <a:off x="2235199" y="32973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193963</xdr:colOff>
      <xdr:row>11</xdr:row>
      <xdr:rowOff>124691</xdr:rowOff>
    </xdr:from>
    <xdr:to>
      <xdr:col>29</xdr:col>
      <xdr:colOff>125960</xdr:colOff>
      <xdr:row>12</xdr:row>
      <xdr:rowOff>125578</xdr:rowOff>
    </xdr:to>
    <xdr:sp macro="" textlink="">
      <xdr:nvSpPr>
        <xdr:cNvPr id="94" name="5-Point Star 520">
          <a:extLst>
            <a:ext uri="{FF2B5EF4-FFF2-40B4-BE49-F238E27FC236}">
              <a16:creationId xmlns:a16="http://schemas.microsoft.com/office/drawing/2014/main" id="{04129349-6674-4A28-AA33-27E0E4FDA068}"/>
            </a:ext>
          </a:extLst>
        </xdr:cNvPr>
        <xdr:cNvSpPr/>
      </xdr:nvSpPr>
      <xdr:spPr>
        <a:xfrm flipH="1">
          <a:off x="9234054" y="204123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150091</xdr:colOff>
      <xdr:row>19</xdr:row>
      <xdr:rowOff>138545</xdr:rowOff>
    </xdr:from>
    <xdr:to>
      <xdr:col>11</xdr:col>
      <xdr:colOff>82088</xdr:colOff>
      <xdr:row>20</xdr:row>
      <xdr:rowOff>139432</xdr:rowOff>
    </xdr:to>
    <xdr:sp macro="" textlink="">
      <xdr:nvSpPr>
        <xdr:cNvPr id="95" name="5-Point Star 520">
          <a:extLst>
            <a:ext uri="{FF2B5EF4-FFF2-40B4-BE49-F238E27FC236}">
              <a16:creationId xmlns:a16="http://schemas.microsoft.com/office/drawing/2014/main" id="{E7109D7D-762E-41D1-B2ED-0A4728955AD7}"/>
            </a:ext>
          </a:extLst>
        </xdr:cNvPr>
        <xdr:cNvSpPr/>
      </xdr:nvSpPr>
      <xdr:spPr>
        <a:xfrm flipH="1">
          <a:off x="3232727" y="33481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180108</xdr:colOff>
      <xdr:row>11</xdr:row>
      <xdr:rowOff>157018</xdr:rowOff>
    </xdr:from>
    <xdr:to>
      <xdr:col>23</xdr:col>
      <xdr:colOff>112105</xdr:colOff>
      <xdr:row>12</xdr:row>
      <xdr:rowOff>157905</xdr:rowOff>
    </xdr:to>
    <xdr:sp macro="" textlink="">
      <xdr:nvSpPr>
        <xdr:cNvPr id="97" name="5-Point Star 520">
          <a:extLst>
            <a:ext uri="{FF2B5EF4-FFF2-40B4-BE49-F238E27FC236}">
              <a16:creationId xmlns:a16="http://schemas.microsoft.com/office/drawing/2014/main" id="{222B525F-D73F-461C-B91E-325E6AB3B336}"/>
            </a:ext>
          </a:extLst>
        </xdr:cNvPr>
        <xdr:cNvSpPr/>
      </xdr:nvSpPr>
      <xdr:spPr>
        <a:xfrm flipH="1">
          <a:off x="7234381" y="2073563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83054</xdr:colOff>
      <xdr:row>19</xdr:row>
      <xdr:rowOff>2420</xdr:rowOff>
    </xdr:from>
    <xdr:to>
      <xdr:col>16</xdr:col>
      <xdr:colOff>253027</xdr:colOff>
      <xdr:row>19</xdr:row>
      <xdr:rowOff>13004</xdr:rowOff>
    </xdr:to>
    <xdr:cxnSp macro="">
      <xdr:nvCxnSpPr>
        <xdr:cNvPr id="99" name="Curved Connector 522">
          <a:extLst>
            <a:ext uri="{FF2B5EF4-FFF2-40B4-BE49-F238E27FC236}">
              <a16:creationId xmlns:a16="http://schemas.microsoft.com/office/drawing/2014/main" id="{4CD65FD6-49D8-4853-8F72-37617A97396F}"/>
            </a:ext>
          </a:extLst>
        </xdr:cNvPr>
        <xdr:cNvCxnSpPr/>
      </xdr:nvCxnSpPr>
      <xdr:spPr>
        <a:xfrm rot="16200000" flipH="1">
          <a:off x="4895010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32658</xdr:colOff>
      <xdr:row>19</xdr:row>
      <xdr:rowOff>2420</xdr:rowOff>
    </xdr:from>
    <xdr:to>
      <xdr:col>13</xdr:col>
      <xdr:colOff>202631</xdr:colOff>
      <xdr:row>19</xdr:row>
      <xdr:rowOff>13004</xdr:rowOff>
    </xdr:to>
    <xdr:cxnSp macro="">
      <xdr:nvCxnSpPr>
        <xdr:cNvPr id="101" name="Curved Connector 522">
          <a:extLst>
            <a:ext uri="{FF2B5EF4-FFF2-40B4-BE49-F238E27FC236}">
              <a16:creationId xmlns:a16="http://schemas.microsoft.com/office/drawing/2014/main" id="{FAEFA658-AA04-4DC4-9CA1-43C08D5441C8}"/>
            </a:ext>
          </a:extLst>
        </xdr:cNvPr>
        <xdr:cNvCxnSpPr/>
      </xdr:nvCxnSpPr>
      <xdr:spPr>
        <a:xfrm rot="16200000" flipH="1">
          <a:off x="3846757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264482</xdr:colOff>
      <xdr:row>11</xdr:row>
      <xdr:rowOff>22577</xdr:rowOff>
    </xdr:from>
    <xdr:to>
      <xdr:col>43</xdr:col>
      <xdr:colOff>192551</xdr:colOff>
      <xdr:row>11</xdr:row>
      <xdr:rowOff>33161</xdr:rowOff>
    </xdr:to>
    <xdr:cxnSp macro="">
      <xdr:nvCxnSpPr>
        <xdr:cNvPr id="104" name="Curved Connector 522">
          <a:extLst>
            <a:ext uri="{FF2B5EF4-FFF2-40B4-BE49-F238E27FC236}">
              <a16:creationId xmlns:a16="http://schemas.microsoft.com/office/drawing/2014/main" id="{9ADAC116-3E1C-4196-B163-4AC2154CB69D}"/>
            </a:ext>
          </a:extLst>
        </xdr:cNvPr>
        <xdr:cNvCxnSpPr/>
      </xdr:nvCxnSpPr>
      <xdr:spPr>
        <a:xfrm rot="16200000" flipH="1">
          <a:off x="13774931" y="149006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43946</xdr:colOff>
      <xdr:row>19</xdr:row>
      <xdr:rowOff>23788</xdr:rowOff>
    </xdr:from>
    <xdr:to>
      <xdr:col>10</xdr:col>
      <xdr:colOff>213919</xdr:colOff>
      <xdr:row>19</xdr:row>
      <xdr:rowOff>34372</xdr:rowOff>
    </xdr:to>
    <xdr:cxnSp macro="">
      <xdr:nvCxnSpPr>
        <xdr:cNvPr id="105" name="Curved Connector 522">
          <a:extLst>
            <a:ext uri="{FF2B5EF4-FFF2-40B4-BE49-F238E27FC236}">
              <a16:creationId xmlns:a16="http://schemas.microsoft.com/office/drawing/2014/main" id="{22661C35-19FD-4168-A99E-5E8D13D1704E}"/>
            </a:ext>
          </a:extLst>
        </xdr:cNvPr>
        <xdr:cNvCxnSpPr/>
      </xdr:nvCxnSpPr>
      <xdr:spPr>
        <a:xfrm rot="16200000" flipH="1">
          <a:off x="2860188" y="27612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173769</xdr:colOff>
      <xdr:row>19</xdr:row>
      <xdr:rowOff>167217</xdr:rowOff>
    </xdr:from>
    <xdr:to>
      <xdr:col>17</xdr:col>
      <xdr:colOff>105765</xdr:colOff>
      <xdr:row>20</xdr:row>
      <xdr:rowOff>168104</xdr:rowOff>
    </xdr:to>
    <xdr:sp macro="" textlink="">
      <xdr:nvSpPr>
        <xdr:cNvPr id="106" name="5-Point Star 520">
          <a:extLst>
            <a:ext uri="{FF2B5EF4-FFF2-40B4-BE49-F238E27FC236}">
              <a16:creationId xmlns:a16="http://schemas.microsoft.com/office/drawing/2014/main" id="{60EA5120-7479-48DF-B1D7-DA01A3064F70}"/>
            </a:ext>
          </a:extLst>
        </xdr:cNvPr>
        <xdr:cNvSpPr/>
      </xdr:nvSpPr>
      <xdr:spPr>
        <a:xfrm flipH="1">
          <a:off x="5263848" y="3342217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185057</xdr:colOff>
      <xdr:row>19</xdr:row>
      <xdr:rowOff>128109</xdr:rowOff>
    </xdr:from>
    <xdr:to>
      <xdr:col>14</xdr:col>
      <xdr:colOff>117054</xdr:colOff>
      <xdr:row>20</xdr:row>
      <xdr:rowOff>128996</xdr:rowOff>
    </xdr:to>
    <xdr:sp macro="" textlink="">
      <xdr:nvSpPr>
        <xdr:cNvPr id="107" name="5-Point Star 520">
          <a:extLst>
            <a:ext uri="{FF2B5EF4-FFF2-40B4-BE49-F238E27FC236}">
              <a16:creationId xmlns:a16="http://schemas.microsoft.com/office/drawing/2014/main" id="{A648733B-B168-4336-90B6-7CF6CC61140B}"/>
            </a:ext>
          </a:extLst>
        </xdr:cNvPr>
        <xdr:cNvSpPr/>
      </xdr:nvSpPr>
      <xdr:spPr>
        <a:xfrm flipH="1">
          <a:off x="4277279" y="3303109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30238</xdr:colOff>
      <xdr:row>11</xdr:row>
      <xdr:rowOff>10079</xdr:rowOff>
    </xdr:from>
    <xdr:to>
      <xdr:col>31</xdr:col>
      <xdr:colOff>200211</xdr:colOff>
      <xdr:row>11</xdr:row>
      <xdr:rowOff>20663</xdr:rowOff>
    </xdr:to>
    <xdr:cxnSp macro="">
      <xdr:nvCxnSpPr>
        <xdr:cNvPr id="108" name="Curved Connector 522">
          <a:extLst>
            <a:ext uri="{FF2B5EF4-FFF2-40B4-BE49-F238E27FC236}">
              <a16:creationId xmlns:a16="http://schemas.microsoft.com/office/drawing/2014/main" id="{C3EBBE8C-62C7-4623-BE76-E58B8F6AF66E}"/>
            </a:ext>
          </a:extLst>
        </xdr:cNvPr>
        <xdr:cNvCxnSpPr/>
      </xdr:nvCxnSpPr>
      <xdr:spPr>
        <a:xfrm rot="16200000" flipH="1">
          <a:off x="9831480" y="147756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60476</xdr:colOff>
      <xdr:row>10</xdr:row>
      <xdr:rowOff>171350</xdr:rowOff>
    </xdr:from>
    <xdr:to>
      <xdr:col>25</xdr:col>
      <xdr:colOff>230449</xdr:colOff>
      <xdr:row>11</xdr:row>
      <xdr:rowOff>505</xdr:rowOff>
    </xdr:to>
    <xdr:cxnSp macro="">
      <xdr:nvCxnSpPr>
        <xdr:cNvPr id="109" name="Curved Connector 522">
          <a:extLst>
            <a:ext uri="{FF2B5EF4-FFF2-40B4-BE49-F238E27FC236}">
              <a16:creationId xmlns:a16="http://schemas.microsoft.com/office/drawing/2014/main" id="{3588B0DA-4111-430D-9334-3994E9C45077}"/>
            </a:ext>
          </a:extLst>
        </xdr:cNvPr>
        <xdr:cNvCxnSpPr/>
      </xdr:nvCxnSpPr>
      <xdr:spPr>
        <a:xfrm rot="16200000" flipH="1">
          <a:off x="7866004" y="1457409"/>
          <a:ext cx="10584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81844</xdr:colOff>
      <xdr:row>11</xdr:row>
      <xdr:rowOff>11289</xdr:rowOff>
    </xdr:from>
    <xdr:to>
      <xdr:col>28</xdr:col>
      <xdr:colOff>251817</xdr:colOff>
      <xdr:row>11</xdr:row>
      <xdr:rowOff>21873</xdr:rowOff>
    </xdr:to>
    <xdr:cxnSp macro="">
      <xdr:nvCxnSpPr>
        <xdr:cNvPr id="110" name="Curved Connector 522">
          <a:extLst>
            <a:ext uri="{FF2B5EF4-FFF2-40B4-BE49-F238E27FC236}">
              <a16:creationId xmlns:a16="http://schemas.microsoft.com/office/drawing/2014/main" id="{7BF78318-246C-4947-A35B-BB0D05091DAC}"/>
            </a:ext>
          </a:extLst>
        </xdr:cNvPr>
        <xdr:cNvCxnSpPr/>
      </xdr:nvCxnSpPr>
      <xdr:spPr>
        <a:xfrm rot="16200000" flipH="1">
          <a:off x="8885229" y="147877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41527</xdr:colOff>
      <xdr:row>11</xdr:row>
      <xdr:rowOff>11288</xdr:rowOff>
    </xdr:from>
    <xdr:to>
      <xdr:col>34</xdr:col>
      <xdr:colOff>211500</xdr:colOff>
      <xdr:row>11</xdr:row>
      <xdr:rowOff>21872</xdr:rowOff>
    </xdr:to>
    <xdr:cxnSp macro="">
      <xdr:nvCxnSpPr>
        <xdr:cNvPr id="112" name="Curved Connector 522">
          <a:extLst>
            <a:ext uri="{FF2B5EF4-FFF2-40B4-BE49-F238E27FC236}">
              <a16:creationId xmlns:a16="http://schemas.microsoft.com/office/drawing/2014/main" id="{78D92CB5-D58A-40B1-B428-41272CA36E5C}"/>
            </a:ext>
          </a:extLst>
        </xdr:cNvPr>
        <xdr:cNvCxnSpPr/>
      </xdr:nvCxnSpPr>
      <xdr:spPr>
        <a:xfrm rot="16200000" flipH="1">
          <a:off x="10840626" y="14787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32657</xdr:colOff>
      <xdr:row>11</xdr:row>
      <xdr:rowOff>32657</xdr:rowOff>
    </xdr:from>
    <xdr:to>
      <xdr:col>37</xdr:col>
      <xdr:colOff>202630</xdr:colOff>
      <xdr:row>11</xdr:row>
      <xdr:rowOff>43241</xdr:rowOff>
    </xdr:to>
    <xdr:cxnSp macro="">
      <xdr:nvCxnSpPr>
        <xdr:cNvPr id="111" name="Curved Connector 522">
          <a:extLst>
            <a:ext uri="{FF2B5EF4-FFF2-40B4-BE49-F238E27FC236}">
              <a16:creationId xmlns:a16="http://schemas.microsoft.com/office/drawing/2014/main" id="{4381BD44-7424-4B4A-A6AE-829A385431BB}"/>
            </a:ext>
          </a:extLst>
        </xdr:cNvPr>
        <xdr:cNvCxnSpPr/>
      </xdr:nvCxnSpPr>
      <xdr:spPr>
        <a:xfrm rot="16200000" flipH="1">
          <a:off x="11829613" y="150014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166255</xdr:colOff>
      <xdr:row>11</xdr:row>
      <xdr:rowOff>129785</xdr:rowOff>
    </xdr:from>
    <xdr:to>
      <xdr:col>35</xdr:col>
      <xdr:colOff>98252</xdr:colOff>
      <xdr:row>12</xdr:row>
      <xdr:rowOff>130672</xdr:rowOff>
    </xdr:to>
    <xdr:sp macro="" textlink="">
      <xdr:nvSpPr>
        <xdr:cNvPr id="118" name="5-Point Star 520">
          <a:extLst>
            <a:ext uri="{FF2B5EF4-FFF2-40B4-BE49-F238E27FC236}">
              <a16:creationId xmlns:a16="http://schemas.microsoft.com/office/drawing/2014/main" id="{510B5658-A5ED-4EAF-931D-E62CD1B592D9}"/>
            </a:ext>
          </a:extLst>
        </xdr:cNvPr>
        <xdr:cNvSpPr/>
      </xdr:nvSpPr>
      <xdr:spPr>
        <a:xfrm flipH="1">
          <a:off x="11243477" y="203478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167463</xdr:colOff>
      <xdr:row>11</xdr:row>
      <xdr:rowOff>110836</xdr:rowOff>
    </xdr:from>
    <xdr:to>
      <xdr:col>32</xdr:col>
      <xdr:colOff>99460</xdr:colOff>
      <xdr:row>12</xdr:row>
      <xdr:rowOff>111723</xdr:rowOff>
    </xdr:to>
    <xdr:sp macro="" textlink="">
      <xdr:nvSpPr>
        <xdr:cNvPr id="119" name="5-Point Star 520">
          <a:extLst>
            <a:ext uri="{FF2B5EF4-FFF2-40B4-BE49-F238E27FC236}">
              <a16:creationId xmlns:a16="http://schemas.microsoft.com/office/drawing/2014/main" id="{C87646A6-9257-411A-B6BF-475A3B2C8C29}"/>
            </a:ext>
          </a:extLst>
        </xdr:cNvPr>
        <xdr:cNvSpPr/>
      </xdr:nvSpPr>
      <xdr:spPr>
        <a:xfrm flipH="1">
          <a:off x="10246828" y="2015836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138435</xdr:colOff>
      <xdr:row>11</xdr:row>
      <xdr:rowOff>122125</xdr:rowOff>
    </xdr:from>
    <xdr:to>
      <xdr:col>41</xdr:col>
      <xdr:colOff>70432</xdr:colOff>
      <xdr:row>12</xdr:row>
      <xdr:rowOff>123012</xdr:rowOff>
    </xdr:to>
    <xdr:sp macro="" textlink="">
      <xdr:nvSpPr>
        <xdr:cNvPr id="120" name="5-Point Star 520">
          <a:extLst>
            <a:ext uri="{FF2B5EF4-FFF2-40B4-BE49-F238E27FC236}">
              <a16:creationId xmlns:a16="http://schemas.microsoft.com/office/drawing/2014/main" id="{08283BE0-0CCD-4F74-8E5C-BB28DA34EB63}"/>
            </a:ext>
          </a:extLst>
        </xdr:cNvPr>
        <xdr:cNvSpPr/>
      </xdr:nvSpPr>
      <xdr:spPr>
        <a:xfrm flipH="1">
          <a:off x="13211372" y="202712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179961</xdr:colOff>
      <xdr:row>19</xdr:row>
      <xdr:rowOff>123334</xdr:rowOff>
    </xdr:from>
    <xdr:to>
      <xdr:col>23</xdr:col>
      <xdr:colOff>111958</xdr:colOff>
      <xdr:row>20</xdr:row>
      <xdr:rowOff>124221</xdr:rowOff>
    </xdr:to>
    <xdr:sp macro="" textlink="">
      <xdr:nvSpPr>
        <xdr:cNvPr id="121" name="5-Point Star 520">
          <a:extLst>
            <a:ext uri="{FF2B5EF4-FFF2-40B4-BE49-F238E27FC236}">
              <a16:creationId xmlns:a16="http://schemas.microsoft.com/office/drawing/2014/main" id="{B84DF7E1-8B73-4B33-9E4D-104A7F1D93F9}"/>
            </a:ext>
          </a:extLst>
        </xdr:cNvPr>
        <xdr:cNvSpPr/>
      </xdr:nvSpPr>
      <xdr:spPr>
        <a:xfrm flipH="1">
          <a:off x="7265755" y="3298334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181170</xdr:colOff>
      <xdr:row>19</xdr:row>
      <xdr:rowOff>154781</xdr:rowOff>
    </xdr:from>
    <xdr:to>
      <xdr:col>20</xdr:col>
      <xdr:colOff>113167</xdr:colOff>
      <xdr:row>20</xdr:row>
      <xdr:rowOff>155668</xdr:rowOff>
    </xdr:to>
    <xdr:sp macro="" textlink="">
      <xdr:nvSpPr>
        <xdr:cNvPr id="115" name="5-Point Star 520">
          <a:extLst>
            <a:ext uri="{FF2B5EF4-FFF2-40B4-BE49-F238E27FC236}">
              <a16:creationId xmlns:a16="http://schemas.microsoft.com/office/drawing/2014/main" id="{ED5916B9-C318-4E64-8B06-7D491D19DB52}"/>
            </a:ext>
          </a:extLst>
        </xdr:cNvPr>
        <xdr:cNvSpPr/>
      </xdr:nvSpPr>
      <xdr:spPr>
        <a:xfrm flipH="1">
          <a:off x="6269107" y="3329781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158007</xdr:colOff>
      <xdr:row>11</xdr:row>
      <xdr:rowOff>112559</xdr:rowOff>
    </xdr:from>
    <xdr:to>
      <xdr:col>26</xdr:col>
      <xdr:colOff>90004</xdr:colOff>
      <xdr:row>12</xdr:row>
      <xdr:rowOff>113446</xdr:rowOff>
    </xdr:to>
    <xdr:sp macro="" textlink="">
      <xdr:nvSpPr>
        <xdr:cNvPr id="142" name="5-Point Star 520">
          <a:extLst>
            <a:ext uri="{FF2B5EF4-FFF2-40B4-BE49-F238E27FC236}">
              <a16:creationId xmlns:a16="http://schemas.microsoft.com/office/drawing/2014/main" id="{A2E20841-D78A-4D4B-911F-711184C9A438}"/>
            </a:ext>
          </a:extLst>
        </xdr:cNvPr>
        <xdr:cNvSpPr/>
      </xdr:nvSpPr>
      <xdr:spPr>
        <a:xfrm flipH="1">
          <a:off x="8241658" y="2017559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419100</xdr:colOff>
      <xdr:row>19</xdr:row>
      <xdr:rowOff>11113</xdr:rowOff>
    </xdr:from>
    <xdr:to>
      <xdr:col>26</xdr:col>
      <xdr:colOff>246917</xdr:colOff>
      <xdr:row>21</xdr:row>
      <xdr:rowOff>11724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1B3BA9BA-0C82-4FA6-AD49-B2BC9B45E1D9}"/>
            </a:ext>
          </a:extLst>
        </xdr:cNvPr>
        <xdr:cNvSpPr/>
      </xdr:nvSpPr>
      <xdr:spPr>
        <a:xfrm>
          <a:off x="7967663" y="3201988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15875</xdr:colOff>
      <xdr:row>18</xdr:row>
      <xdr:rowOff>166687</xdr:rowOff>
    </xdr:from>
    <xdr:to>
      <xdr:col>35</xdr:col>
      <xdr:colOff>272316</xdr:colOff>
      <xdr:row>20</xdr:row>
      <xdr:rowOff>179997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621F347D-AB5C-4142-89F3-D6B6FDE8A741}"/>
            </a:ext>
          </a:extLst>
        </xdr:cNvPr>
        <xdr:cNvSpPr/>
      </xdr:nvSpPr>
      <xdr:spPr>
        <a:xfrm>
          <a:off x="10953750" y="3373437"/>
          <a:ext cx="534254" cy="37843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9524</xdr:colOff>
      <xdr:row>27</xdr:row>
      <xdr:rowOff>6349</xdr:rowOff>
    </xdr:from>
    <xdr:to>
      <xdr:col>20</xdr:col>
      <xdr:colOff>265966</xdr:colOff>
      <xdr:row>28</xdr:row>
      <xdr:rowOff>189523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5720167E-4109-4F40-B2C7-B5C506E1B9DC}"/>
            </a:ext>
          </a:extLst>
        </xdr:cNvPr>
        <xdr:cNvSpPr/>
      </xdr:nvSpPr>
      <xdr:spPr>
        <a:xfrm>
          <a:off x="6018212" y="4475162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3174</xdr:colOff>
      <xdr:row>27</xdr:row>
      <xdr:rowOff>7937</xdr:rowOff>
    </xdr:from>
    <xdr:to>
      <xdr:col>2</xdr:col>
      <xdr:colOff>259616</xdr:colOff>
      <xdr:row>29</xdr:row>
      <xdr:rowOff>611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C58EF973-D717-477B-9D6B-12F21920C52A}"/>
            </a:ext>
          </a:extLst>
        </xdr:cNvPr>
        <xdr:cNvSpPr/>
      </xdr:nvSpPr>
      <xdr:spPr>
        <a:xfrm>
          <a:off x="106362" y="4476750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6</xdr:col>
      <xdr:colOff>425449</xdr:colOff>
      <xdr:row>27</xdr:row>
      <xdr:rowOff>1587</xdr:rowOff>
    </xdr:from>
    <xdr:to>
      <xdr:col>8</xdr:col>
      <xdr:colOff>253266</xdr:colOff>
      <xdr:row>28</xdr:row>
      <xdr:rowOff>184761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32569EE0-9ACB-49D9-B155-7A3DF1AE0483}"/>
            </a:ext>
          </a:extLst>
        </xdr:cNvPr>
        <xdr:cNvSpPr/>
      </xdr:nvSpPr>
      <xdr:spPr>
        <a:xfrm>
          <a:off x="2068512" y="4470400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14287</xdr:colOff>
      <xdr:row>27</xdr:row>
      <xdr:rowOff>3174</xdr:rowOff>
    </xdr:from>
    <xdr:to>
      <xdr:col>5</xdr:col>
      <xdr:colOff>270729</xdr:colOff>
      <xdr:row>28</xdr:row>
      <xdr:rowOff>186348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8F54028B-699D-4D0E-AA15-61133BED8A4F}"/>
            </a:ext>
          </a:extLst>
        </xdr:cNvPr>
        <xdr:cNvSpPr/>
      </xdr:nvSpPr>
      <xdr:spPr>
        <a:xfrm>
          <a:off x="1101725" y="447198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21</xdr:col>
      <xdr:colOff>420686</xdr:colOff>
      <xdr:row>27</xdr:row>
      <xdr:rowOff>36512</xdr:rowOff>
    </xdr:from>
    <xdr:to>
      <xdr:col>24</xdr:col>
      <xdr:colOff>39687</xdr:colOff>
      <xdr:row>29</xdr:row>
      <xdr:rowOff>7938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4E98DEF5-4A66-4A25-86AE-CB6013A406E8}"/>
            </a:ext>
          </a:extLst>
        </xdr:cNvPr>
        <xdr:cNvSpPr/>
      </xdr:nvSpPr>
      <xdr:spPr>
        <a:xfrm>
          <a:off x="6984999" y="4505325"/>
          <a:ext cx="603251" cy="344488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1587</xdr:colOff>
      <xdr:row>26</xdr:row>
      <xdr:rowOff>180974</xdr:rowOff>
    </xdr:from>
    <xdr:to>
      <xdr:col>17</xdr:col>
      <xdr:colOff>258029</xdr:colOff>
      <xdr:row>28</xdr:row>
      <xdr:rowOff>173648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8B729150-77AA-4FF5-9CFD-A1D1B8F5687F}"/>
            </a:ext>
          </a:extLst>
        </xdr:cNvPr>
        <xdr:cNvSpPr/>
      </xdr:nvSpPr>
      <xdr:spPr>
        <a:xfrm>
          <a:off x="5026025" y="4475162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19049</xdr:colOff>
      <xdr:row>27</xdr:row>
      <xdr:rowOff>15875</xdr:rowOff>
    </xdr:from>
    <xdr:to>
      <xdr:col>14</xdr:col>
      <xdr:colOff>275491</xdr:colOff>
      <xdr:row>29</xdr:row>
      <xdr:rowOff>8548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141F2FF2-E8F0-43D2-B60E-E9136DF8CE7C}"/>
            </a:ext>
          </a:extLst>
        </xdr:cNvPr>
        <xdr:cNvSpPr/>
      </xdr:nvSpPr>
      <xdr:spPr>
        <a:xfrm>
          <a:off x="4059237" y="449262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4762</xdr:colOff>
      <xdr:row>27</xdr:row>
      <xdr:rowOff>9525</xdr:rowOff>
    </xdr:from>
    <xdr:to>
      <xdr:col>11</xdr:col>
      <xdr:colOff>261204</xdr:colOff>
      <xdr:row>29</xdr:row>
      <xdr:rowOff>2198</xdr:rowOff>
    </xdr:to>
    <xdr:sp macro="" textlink="">
      <xdr:nvSpPr>
        <xdr:cNvPr id="152" name="Isosceles Triangle 151">
          <a:extLst>
            <a:ext uri="{FF2B5EF4-FFF2-40B4-BE49-F238E27FC236}">
              <a16:creationId xmlns:a16="http://schemas.microsoft.com/office/drawing/2014/main" id="{10EE6548-0F87-4B53-9EF1-1B8C251EA006}"/>
            </a:ext>
          </a:extLst>
        </xdr:cNvPr>
        <xdr:cNvSpPr/>
      </xdr:nvSpPr>
      <xdr:spPr>
        <a:xfrm>
          <a:off x="3060700" y="448627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14288</xdr:colOff>
      <xdr:row>19</xdr:row>
      <xdr:rowOff>11112</xdr:rowOff>
    </xdr:from>
    <xdr:to>
      <xdr:col>32</xdr:col>
      <xdr:colOff>270729</xdr:colOff>
      <xdr:row>21</xdr:row>
      <xdr:rowOff>11723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27F73419-AA93-4DBE-B01F-34F68D5D1103}"/>
            </a:ext>
          </a:extLst>
        </xdr:cNvPr>
        <xdr:cNvSpPr/>
      </xdr:nvSpPr>
      <xdr:spPr>
        <a:xfrm>
          <a:off x="9967913" y="320198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7937</xdr:colOff>
      <xdr:row>19</xdr:row>
      <xdr:rowOff>4762</xdr:rowOff>
    </xdr:from>
    <xdr:to>
      <xdr:col>29</xdr:col>
      <xdr:colOff>264379</xdr:colOff>
      <xdr:row>21</xdr:row>
      <xdr:rowOff>5373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622939AA-9F2C-4DCF-91A9-1320AAD3AC42}"/>
            </a:ext>
          </a:extLst>
        </xdr:cNvPr>
        <xdr:cNvSpPr/>
      </xdr:nvSpPr>
      <xdr:spPr>
        <a:xfrm>
          <a:off x="8969375" y="319563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373063</xdr:colOff>
      <xdr:row>19</xdr:row>
      <xdr:rowOff>15875</xdr:rowOff>
    </xdr:from>
    <xdr:to>
      <xdr:col>42</xdr:col>
      <xdr:colOff>4029</xdr:colOff>
      <xdr:row>20</xdr:row>
      <xdr:rowOff>181585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4DEB916E-9D94-4E7B-9777-C891BE90E7C0}"/>
            </a:ext>
          </a:extLst>
        </xdr:cNvPr>
        <xdr:cNvSpPr/>
      </xdr:nvSpPr>
      <xdr:spPr>
        <a:xfrm>
          <a:off x="12850813" y="3405188"/>
          <a:ext cx="575529" cy="34827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36</xdr:col>
      <xdr:colOff>423863</xdr:colOff>
      <xdr:row>19</xdr:row>
      <xdr:rowOff>0</xdr:rowOff>
    </xdr:from>
    <xdr:to>
      <xdr:col>38</xdr:col>
      <xdr:colOff>251679</xdr:colOff>
      <xdr:row>21</xdr:row>
      <xdr:rowOff>611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F7E27DFB-0151-480B-B52B-BF1A89C984FB}"/>
            </a:ext>
          </a:extLst>
        </xdr:cNvPr>
        <xdr:cNvSpPr/>
      </xdr:nvSpPr>
      <xdr:spPr>
        <a:xfrm>
          <a:off x="11917363" y="319087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156930</xdr:colOff>
      <xdr:row>19</xdr:row>
      <xdr:rowOff>134446</xdr:rowOff>
    </xdr:from>
    <xdr:to>
      <xdr:col>41</xdr:col>
      <xdr:colOff>88926</xdr:colOff>
      <xdr:row>20</xdr:row>
      <xdr:rowOff>135333</xdr:rowOff>
    </xdr:to>
    <xdr:sp macro="" textlink="">
      <xdr:nvSpPr>
        <xdr:cNvPr id="159" name="5-Point Star 520">
          <a:extLst>
            <a:ext uri="{FF2B5EF4-FFF2-40B4-BE49-F238E27FC236}">
              <a16:creationId xmlns:a16="http://schemas.microsoft.com/office/drawing/2014/main" id="{AC2FD356-93D6-445E-AC8A-AFF3EA733B10}"/>
            </a:ext>
          </a:extLst>
        </xdr:cNvPr>
        <xdr:cNvSpPr/>
      </xdr:nvSpPr>
      <xdr:spPr>
        <a:xfrm flipH="1">
          <a:off x="13063305" y="332532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142643</xdr:colOff>
      <xdr:row>19</xdr:row>
      <xdr:rowOff>128096</xdr:rowOff>
    </xdr:from>
    <xdr:to>
      <xdr:col>38</xdr:col>
      <xdr:colOff>74639</xdr:colOff>
      <xdr:row>20</xdr:row>
      <xdr:rowOff>128983</xdr:rowOff>
    </xdr:to>
    <xdr:sp macro="" textlink="">
      <xdr:nvSpPr>
        <xdr:cNvPr id="160" name="5-Point Star 520">
          <a:extLst>
            <a:ext uri="{FF2B5EF4-FFF2-40B4-BE49-F238E27FC236}">
              <a16:creationId xmlns:a16="http://schemas.microsoft.com/office/drawing/2014/main" id="{BB96DD90-1605-487D-B60E-1607D3A194FE}"/>
            </a:ext>
          </a:extLst>
        </xdr:cNvPr>
        <xdr:cNvSpPr/>
      </xdr:nvSpPr>
      <xdr:spPr>
        <a:xfrm flipH="1">
          <a:off x="12064768" y="33189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168042</xdr:colOff>
      <xdr:row>19</xdr:row>
      <xdr:rowOff>145559</xdr:rowOff>
    </xdr:from>
    <xdr:to>
      <xdr:col>35</xdr:col>
      <xdr:colOff>100038</xdr:colOff>
      <xdr:row>20</xdr:row>
      <xdr:rowOff>146446</xdr:rowOff>
    </xdr:to>
    <xdr:sp macro="" textlink="">
      <xdr:nvSpPr>
        <xdr:cNvPr id="161" name="5-Point Star 520">
          <a:extLst>
            <a:ext uri="{FF2B5EF4-FFF2-40B4-BE49-F238E27FC236}">
              <a16:creationId xmlns:a16="http://schemas.microsoft.com/office/drawing/2014/main" id="{91611D3E-B413-4E47-BCE5-F4857184D1BD}"/>
            </a:ext>
          </a:extLst>
        </xdr:cNvPr>
        <xdr:cNvSpPr/>
      </xdr:nvSpPr>
      <xdr:spPr>
        <a:xfrm flipH="1">
          <a:off x="11105917" y="3336434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161692</xdr:colOff>
      <xdr:row>19</xdr:row>
      <xdr:rowOff>123334</xdr:rowOff>
    </xdr:from>
    <xdr:to>
      <xdr:col>32</xdr:col>
      <xdr:colOff>93688</xdr:colOff>
      <xdr:row>20</xdr:row>
      <xdr:rowOff>124221</xdr:rowOff>
    </xdr:to>
    <xdr:sp macro="" textlink="">
      <xdr:nvSpPr>
        <xdr:cNvPr id="162" name="5-Point Star 520">
          <a:extLst>
            <a:ext uri="{FF2B5EF4-FFF2-40B4-BE49-F238E27FC236}">
              <a16:creationId xmlns:a16="http://schemas.microsoft.com/office/drawing/2014/main" id="{FA02EB43-D7AB-4E66-94F6-752362A07498}"/>
            </a:ext>
          </a:extLst>
        </xdr:cNvPr>
        <xdr:cNvSpPr/>
      </xdr:nvSpPr>
      <xdr:spPr>
        <a:xfrm flipH="1">
          <a:off x="10115317" y="33142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195029</xdr:colOff>
      <xdr:row>19</xdr:row>
      <xdr:rowOff>140796</xdr:rowOff>
    </xdr:from>
    <xdr:to>
      <xdr:col>29</xdr:col>
      <xdr:colOff>127026</xdr:colOff>
      <xdr:row>20</xdr:row>
      <xdr:rowOff>141683</xdr:rowOff>
    </xdr:to>
    <xdr:sp macro="" textlink="">
      <xdr:nvSpPr>
        <xdr:cNvPr id="163" name="5-Point Star 520">
          <a:extLst>
            <a:ext uri="{FF2B5EF4-FFF2-40B4-BE49-F238E27FC236}">
              <a16:creationId xmlns:a16="http://schemas.microsoft.com/office/drawing/2014/main" id="{FCAA2E9F-D9DF-49F0-B3A2-C5FB32508E2B}"/>
            </a:ext>
          </a:extLst>
        </xdr:cNvPr>
        <xdr:cNvSpPr/>
      </xdr:nvSpPr>
      <xdr:spPr>
        <a:xfrm flipH="1">
          <a:off x="9156467" y="33316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148992</xdr:colOff>
      <xdr:row>19</xdr:row>
      <xdr:rowOff>150322</xdr:rowOff>
    </xdr:from>
    <xdr:to>
      <xdr:col>26</xdr:col>
      <xdr:colOff>80989</xdr:colOff>
      <xdr:row>20</xdr:row>
      <xdr:rowOff>151209</xdr:rowOff>
    </xdr:to>
    <xdr:sp macro="" textlink="">
      <xdr:nvSpPr>
        <xdr:cNvPr id="164" name="5-Point Star 520">
          <a:extLst>
            <a:ext uri="{FF2B5EF4-FFF2-40B4-BE49-F238E27FC236}">
              <a16:creationId xmlns:a16="http://schemas.microsoft.com/office/drawing/2014/main" id="{19CB7093-C61D-46F8-A360-23CEA6B8746F}"/>
            </a:ext>
          </a:extLst>
        </xdr:cNvPr>
        <xdr:cNvSpPr/>
      </xdr:nvSpPr>
      <xdr:spPr>
        <a:xfrm flipH="1">
          <a:off x="8126180" y="3341197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158517</xdr:colOff>
      <xdr:row>27</xdr:row>
      <xdr:rowOff>128096</xdr:rowOff>
    </xdr:from>
    <xdr:to>
      <xdr:col>17</xdr:col>
      <xdr:colOff>90514</xdr:colOff>
      <xdr:row>28</xdr:row>
      <xdr:rowOff>128984</xdr:rowOff>
    </xdr:to>
    <xdr:sp macro="" textlink="">
      <xdr:nvSpPr>
        <xdr:cNvPr id="165" name="5-Point Star 520">
          <a:extLst>
            <a:ext uri="{FF2B5EF4-FFF2-40B4-BE49-F238E27FC236}">
              <a16:creationId xmlns:a16="http://schemas.microsoft.com/office/drawing/2014/main" id="{73AAEC1B-5EC0-42B5-BBFD-6C07781B0289}"/>
            </a:ext>
          </a:extLst>
        </xdr:cNvPr>
        <xdr:cNvSpPr/>
      </xdr:nvSpPr>
      <xdr:spPr>
        <a:xfrm flipH="1">
          <a:off x="5182955" y="45969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160105</xdr:colOff>
      <xdr:row>27</xdr:row>
      <xdr:rowOff>137621</xdr:rowOff>
    </xdr:from>
    <xdr:to>
      <xdr:col>20</xdr:col>
      <xdr:colOff>92102</xdr:colOff>
      <xdr:row>28</xdr:row>
      <xdr:rowOff>138509</xdr:rowOff>
    </xdr:to>
    <xdr:sp macro="" textlink="">
      <xdr:nvSpPr>
        <xdr:cNvPr id="166" name="5-Point Star 520">
          <a:extLst>
            <a:ext uri="{FF2B5EF4-FFF2-40B4-BE49-F238E27FC236}">
              <a16:creationId xmlns:a16="http://schemas.microsoft.com/office/drawing/2014/main" id="{B76E94CC-B8D2-4617-BAC7-40F50F69005C}"/>
            </a:ext>
          </a:extLst>
        </xdr:cNvPr>
        <xdr:cNvSpPr/>
      </xdr:nvSpPr>
      <xdr:spPr>
        <a:xfrm flipH="1">
          <a:off x="6168793" y="4606434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201380</xdr:colOff>
      <xdr:row>27</xdr:row>
      <xdr:rowOff>123334</xdr:rowOff>
    </xdr:from>
    <xdr:to>
      <xdr:col>23</xdr:col>
      <xdr:colOff>133377</xdr:colOff>
      <xdr:row>28</xdr:row>
      <xdr:rowOff>124222</xdr:rowOff>
    </xdr:to>
    <xdr:sp macro="" textlink="">
      <xdr:nvSpPr>
        <xdr:cNvPr id="167" name="5-Point Star 520">
          <a:extLst>
            <a:ext uri="{FF2B5EF4-FFF2-40B4-BE49-F238E27FC236}">
              <a16:creationId xmlns:a16="http://schemas.microsoft.com/office/drawing/2014/main" id="{869528BF-89C4-4222-8B78-696BE0B3E02D}"/>
            </a:ext>
          </a:extLst>
        </xdr:cNvPr>
        <xdr:cNvSpPr/>
      </xdr:nvSpPr>
      <xdr:spPr>
        <a:xfrm flipH="1">
          <a:off x="7194318" y="4592147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164867</xdr:colOff>
      <xdr:row>27</xdr:row>
      <xdr:rowOff>126508</xdr:rowOff>
    </xdr:from>
    <xdr:to>
      <xdr:col>2</xdr:col>
      <xdr:colOff>96864</xdr:colOff>
      <xdr:row>28</xdr:row>
      <xdr:rowOff>127396</xdr:rowOff>
    </xdr:to>
    <xdr:sp macro="" textlink="">
      <xdr:nvSpPr>
        <xdr:cNvPr id="168" name="5-Point Star 520">
          <a:extLst>
            <a:ext uri="{FF2B5EF4-FFF2-40B4-BE49-F238E27FC236}">
              <a16:creationId xmlns:a16="http://schemas.microsoft.com/office/drawing/2014/main" id="{772337D2-30CB-4F6A-8ADE-A1BDC3D26E8A}"/>
            </a:ext>
          </a:extLst>
        </xdr:cNvPr>
        <xdr:cNvSpPr/>
      </xdr:nvSpPr>
      <xdr:spPr>
        <a:xfrm flipH="1">
          <a:off x="268055" y="459532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190267</xdr:colOff>
      <xdr:row>27</xdr:row>
      <xdr:rowOff>128096</xdr:rowOff>
    </xdr:from>
    <xdr:to>
      <xdr:col>5</xdr:col>
      <xdr:colOff>122264</xdr:colOff>
      <xdr:row>28</xdr:row>
      <xdr:rowOff>128984</xdr:rowOff>
    </xdr:to>
    <xdr:sp macro="" textlink="">
      <xdr:nvSpPr>
        <xdr:cNvPr id="169" name="5-Point Star 520">
          <a:extLst>
            <a:ext uri="{FF2B5EF4-FFF2-40B4-BE49-F238E27FC236}">
              <a16:creationId xmlns:a16="http://schemas.microsoft.com/office/drawing/2014/main" id="{E7D86F7F-72CD-4DD7-8003-903D98795A14}"/>
            </a:ext>
          </a:extLst>
        </xdr:cNvPr>
        <xdr:cNvSpPr/>
      </xdr:nvSpPr>
      <xdr:spPr>
        <a:xfrm flipH="1">
          <a:off x="1277705" y="45969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144230</xdr:colOff>
      <xdr:row>27</xdr:row>
      <xdr:rowOff>129683</xdr:rowOff>
    </xdr:from>
    <xdr:to>
      <xdr:col>8</xdr:col>
      <xdr:colOff>76227</xdr:colOff>
      <xdr:row>28</xdr:row>
      <xdr:rowOff>130571</xdr:rowOff>
    </xdr:to>
    <xdr:sp macro="" textlink="">
      <xdr:nvSpPr>
        <xdr:cNvPr id="170" name="5-Point Star 520">
          <a:extLst>
            <a:ext uri="{FF2B5EF4-FFF2-40B4-BE49-F238E27FC236}">
              <a16:creationId xmlns:a16="http://schemas.microsoft.com/office/drawing/2014/main" id="{84AEBAFC-1286-4C96-A586-AD2BC9FC9D70}"/>
            </a:ext>
          </a:extLst>
        </xdr:cNvPr>
        <xdr:cNvSpPr/>
      </xdr:nvSpPr>
      <xdr:spPr>
        <a:xfrm flipH="1">
          <a:off x="2215918" y="4598496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161692</xdr:colOff>
      <xdr:row>27</xdr:row>
      <xdr:rowOff>115396</xdr:rowOff>
    </xdr:from>
    <xdr:to>
      <xdr:col>11</xdr:col>
      <xdr:colOff>93689</xdr:colOff>
      <xdr:row>28</xdr:row>
      <xdr:rowOff>116284</xdr:rowOff>
    </xdr:to>
    <xdr:sp macro="" textlink="">
      <xdr:nvSpPr>
        <xdr:cNvPr id="171" name="5-Point Star 520">
          <a:extLst>
            <a:ext uri="{FF2B5EF4-FFF2-40B4-BE49-F238E27FC236}">
              <a16:creationId xmlns:a16="http://schemas.microsoft.com/office/drawing/2014/main" id="{CCEB8F72-9BBC-4125-A09B-76526CB53832}"/>
            </a:ext>
          </a:extLst>
        </xdr:cNvPr>
        <xdr:cNvSpPr/>
      </xdr:nvSpPr>
      <xdr:spPr>
        <a:xfrm flipH="1">
          <a:off x="3217630" y="45842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163279</xdr:colOff>
      <xdr:row>27</xdr:row>
      <xdr:rowOff>132858</xdr:rowOff>
    </xdr:from>
    <xdr:to>
      <xdr:col>14</xdr:col>
      <xdr:colOff>95276</xdr:colOff>
      <xdr:row>28</xdr:row>
      <xdr:rowOff>133746</xdr:rowOff>
    </xdr:to>
    <xdr:sp macro="" textlink="">
      <xdr:nvSpPr>
        <xdr:cNvPr id="172" name="5-Point Star 520">
          <a:extLst>
            <a:ext uri="{FF2B5EF4-FFF2-40B4-BE49-F238E27FC236}">
              <a16:creationId xmlns:a16="http://schemas.microsoft.com/office/drawing/2014/main" id="{876C96A1-8181-405A-AC41-C7F434FBCBFB}"/>
            </a:ext>
          </a:extLst>
        </xdr:cNvPr>
        <xdr:cNvSpPr/>
      </xdr:nvSpPr>
      <xdr:spPr>
        <a:xfrm flipH="1">
          <a:off x="4203467" y="46016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127000</xdr:colOff>
      <xdr:row>20</xdr:row>
      <xdr:rowOff>142875</xdr:rowOff>
    </xdr:from>
    <xdr:to>
      <xdr:col>21</xdr:col>
      <xdr:colOff>257970</xdr:colOff>
      <xdr:row>22</xdr:row>
      <xdr:rowOff>140618</xdr:rowOff>
    </xdr:to>
    <xdr:sp macro="" textlink="">
      <xdr:nvSpPr>
        <xdr:cNvPr id="175" name="Arrow: Up-Down 174">
          <a:extLst>
            <a:ext uri="{FF2B5EF4-FFF2-40B4-BE49-F238E27FC236}">
              <a16:creationId xmlns:a16="http://schemas.microsoft.com/office/drawing/2014/main" id="{47243CBF-D64E-463F-9A82-53CBA7AC4BE5}"/>
            </a:ext>
          </a:extLst>
        </xdr:cNvPr>
        <xdr:cNvSpPr/>
      </xdr:nvSpPr>
      <xdr:spPr>
        <a:xfrm>
          <a:off x="6691313" y="3516313"/>
          <a:ext cx="130970" cy="362868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42107</xdr:colOff>
      <xdr:row>19</xdr:row>
      <xdr:rowOff>14640</xdr:rowOff>
    </xdr:from>
    <xdr:to>
      <xdr:col>7</xdr:col>
      <xdr:colOff>208301</xdr:colOff>
      <xdr:row>19</xdr:row>
      <xdr:rowOff>25224</xdr:rowOff>
    </xdr:to>
    <xdr:cxnSp macro="">
      <xdr:nvCxnSpPr>
        <xdr:cNvPr id="177" name="Curved Connector 522">
          <a:extLst>
            <a:ext uri="{FF2B5EF4-FFF2-40B4-BE49-F238E27FC236}">
              <a16:creationId xmlns:a16="http://schemas.microsoft.com/office/drawing/2014/main" id="{8B0BA3E1-78F1-4578-86FF-C4494FFB558C}"/>
            </a:ext>
          </a:extLst>
        </xdr:cNvPr>
        <xdr:cNvCxnSpPr/>
      </xdr:nvCxnSpPr>
      <xdr:spPr>
        <a:xfrm rot="16200000" flipH="1">
          <a:off x="1838381" y="3155491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27819</xdr:colOff>
      <xdr:row>19</xdr:row>
      <xdr:rowOff>8290</xdr:rowOff>
    </xdr:from>
    <xdr:to>
      <xdr:col>4</xdr:col>
      <xdr:colOff>194013</xdr:colOff>
      <xdr:row>19</xdr:row>
      <xdr:rowOff>18874</xdr:rowOff>
    </xdr:to>
    <xdr:cxnSp macro="">
      <xdr:nvCxnSpPr>
        <xdr:cNvPr id="178" name="Curved Connector 522">
          <a:extLst>
            <a:ext uri="{FF2B5EF4-FFF2-40B4-BE49-F238E27FC236}">
              <a16:creationId xmlns:a16="http://schemas.microsoft.com/office/drawing/2014/main" id="{B0528946-2F7B-4783-BAE0-100333317245}"/>
            </a:ext>
          </a:extLst>
        </xdr:cNvPr>
        <xdr:cNvCxnSpPr/>
      </xdr:nvCxnSpPr>
      <xdr:spPr>
        <a:xfrm rot="16200000" flipH="1">
          <a:off x="839843" y="3149141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37344</xdr:colOff>
      <xdr:row>11</xdr:row>
      <xdr:rowOff>1939</xdr:rowOff>
    </xdr:from>
    <xdr:to>
      <xdr:col>40</xdr:col>
      <xdr:colOff>203539</xdr:colOff>
      <xdr:row>11</xdr:row>
      <xdr:rowOff>12523</xdr:rowOff>
    </xdr:to>
    <xdr:cxnSp macro="">
      <xdr:nvCxnSpPr>
        <xdr:cNvPr id="179" name="Curved Connector 522">
          <a:extLst>
            <a:ext uri="{FF2B5EF4-FFF2-40B4-BE49-F238E27FC236}">
              <a16:creationId xmlns:a16="http://schemas.microsoft.com/office/drawing/2014/main" id="{2F842AAB-A80B-4039-8271-23FA99CD60E1}"/>
            </a:ext>
          </a:extLst>
        </xdr:cNvPr>
        <xdr:cNvCxnSpPr/>
      </xdr:nvCxnSpPr>
      <xdr:spPr>
        <a:xfrm rot="16200000" flipH="1">
          <a:off x="12668306" y="1674353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71437</xdr:colOff>
      <xdr:row>26</xdr:row>
      <xdr:rowOff>158750</xdr:rowOff>
    </xdr:from>
    <xdr:to>
      <xdr:col>4</xdr:col>
      <xdr:colOff>237631</xdr:colOff>
      <xdr:row>26</xdr:row>
      <xdr:rowOff>169334</xdr:rowOff>
    </xdr:to>
    <xdr:cxnSp macro="">
      <xdr:nvCxnSpPr>
        <xdr:cNvPr id="180" name="Curved Connector 522">
          <a:extLst>
            <a:ext uri="{FF2B5EF4-FFF2-40B4-BE49-F238E27FC236}">
              <a16:creationId xmlns:a16="http://schemas.microsoft.com/office/drawing/2014/main" id="{B7DB8ED4-F2D2-4FB5-9DAF-417E70448DAD}"/>
            </a:ext>
          </a:extLst>
        </xdr:cNvPr>
        <xdr:cNvCxnSpPr/>
      </xdr:nvCxnSpPr>
      <xdr:spPr>
        <a:xfrm rot="16200000" flipH="1">
          <a:off x="883461" y="45775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41275</xdr:colOff>
      <xdr:row>27</xdr:row>
      <xdr:rowOff>1588</xdr:rowOff>
    </xdr:from>
    <xdr:to>
      <xdr:col>10</xdr:col>
      <xdr:colOff>207469</xdr:colOff>
      <xdr:row>27</xdr:row>
      <xdr:rowOff>12172</xdr:rowOff>
    </xdr:to>
    <xdr:cxnSp macro="">
      <xdr:nvCxnSpPr>
        <xdr:cNvPr id="181" name="Curved Connector 522">
          <a:extLst>
            <a:ext uri="{FF2B5EF4-FFF2-40B4-BE49-F238E27FC236}">
              <a16:creationId xmlns:a16="http://schemas.microsoft.com/office/drawing/2014/main" id="{C8F2C592-C5A8-41CB-82E6-5D26FD1FF14B}"/>
            </a:ext>
          </a:extLst>
        </xdr:cNvPr>
        <xdr:cNvCxnSpPr/>
      </xdr:nvCxnSpPr>
      <xdr:spPr>
        <a:xfrm rot="16200000" flipH="1">
          <a:off x="2821799" y="46029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50800</xdr:colOff>
      <xdr:row>26</xdr:row>
      <xdr:rowOff>169863</xdr:rowOff>
    </xdr:from>
    <xdr:to>
      <xdr:col>13</xdr:col>
      <xdr:colOff>216994</xdr:colOff>
      <xdr:row>26</xdr:row>
      <xdr:rowOff>180447</xdr:rowOff>
    </xdr:to>
    <xdr:cxnSp macro="">
      <xdr:nvCxnSpPr>
        <xdr:cNvPr id="182" name="Curved Connector 522">
          <a:extLst>
            <a:ext uri="{FF2B5EF4-FFF2-40B4-BE49-F238E27FC236}">
              <a16:creationId xmlns:a16="http://schemas.microsoft.com/office/drawing/2014/main" id="{CDDA0D07-3990-476F-A5E3-AAAF9EFBA83A}"/>
            </a:ext>
          </a:extLst>
        </xdr:cNvPr>
        <xdr:cNvCxnSpPr/>
      </xdr:nvCxnSpPr>
      <xdr:spPr>
        <a:xfrm rot="16200000" flipH="1">
          <a:off x="3815574" y="4588652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52387</xdr:colOff>
      <xdr:row>26</xdr:row>
      <xdr:rowOff>179387</xdr:rowOff>
    </xdr:from>
    <xdr:to>
      <xdr:col>16</xdr:col>
      <xdr:colOff>218581</xdr:colOff>
      <xdr:row>27</xdr:row>
      <xdr:rowOff>7409</xdr:rowOff>
    </xdr:to>
    <xdr:cxnSp macro="">
      <xdr:nvCxnSpPr>
        <xdr:cNvPr id="183" name="Curved Connector 522">
          <a:extLst>
            <a:ext uri="{FF2B5EF4-FFF2-40B4-BE49-F238E27FC236}">
              <a16:creationId xmlns:a16="http://schemas.microsoft.com/office/drawing/2014/main" id="{A6196F6A-FD47-46DF-B2CC-9CC75EC4DC52}"/>
            </a:ext>
          </a:extLst>
        </xdr:cNvPr>
        <xdr:cNvCxnSpPr/>
      </xdr:nvCxnSpPr>
      <xdr:spPr>
        <a:xfrm rot="16200000" flipH="1">
          <a:off x="4801411" y="459817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61913</xdr:colOff>
      <xdr:row>26</xdr:row>
      <xdr:rowOff>173037</xdr:rowOff>
    </xdr:from>
    <xdr:to>
      <xdr:col>19</xdr:col>
      <xdr:colOff>228107</xdr:colOff>
      <xdr:row>27</xdr:row>
      <xdr:rowOff>1059</xdr:rowOff>
    </xdr:to>
    <xdr:cxnSp macro="">
      <xdr:nvCxnSpPr>
        <xdr:cNvPr id="184" name="Curved Connector 522">
          <a:extLst>
            <a:ext uri="{FF2B5EF4-FFF2-40B4-BE49-F238E27FC236}">
              <a16:creationId xmlns:a16="http://schemas.microsoft.com/office/drawing/2014/main" id="{57D37303-5F6B-4C20-98F6-EC58BDBF558D}"/>
            </a:ext>
          </a:extLst>
        </xdr:cNvPr>
        <xdr:cNvCxnSpPr/>
      </xdr:nvCxnSpPr>
      <xdr:spPr>
        <a:xfrm rot="16200000" flipH="1">
          <a:off x="5795187" y="45918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63500</xdr:colOff>
      <xdr:row>27</xdr:row>
      <xdr:rowOff>23813</xdr:rowOff>
    </xdr:from>
    <xdr:to>
      <xdr:col>22</xdr:col>
      <xdr:colOff>229694</xdr:colOff>
      <xdr:row>27</xdr:row>
      <xdr:rowOff>34397</xdr:rowOff>
    </xdr:to>
    <xdr:cxnSp macro="">
      <xdr:nvCxnSpPr>
        <xdr:cNvPr id="185" name="Curved Connector 522">
          <a:extLst>
            <a:ext uri="{FF2B5EF4-FFF2-40B4-BE49-F238E27FC236}">
              <a16:creationId xmlns:a16="http://schemas.microsoft.com/office/drawing/2014/main" id="{EACB96E4-F18B-4C68-AF4A-5C7F3AB80CC4}"/>
            </a:ext>
          </a:extLst>
        </xdr:cNvPr>
        <xdr:cNvCxnSpPr/>
      </xdr:nvCxnSpPr>
      <xdr:spPr>
        <a:xfrm rot="16200000" flipH="1">
          <a:off x="6781024" y="4625164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49212</xdr:colOff>
      <xdr:row>19</xdr:row>
      <xdr:rowOff>9525</xdr:rowOff>
    </xdr:from>
    <xdr:to>
      <xdr:col>31</xdr:col>
      <xdr:colOff>207469</xdr:colOff>
      <xdr:row>19</xdr:row>
      <xdr:rowOff>20109</xdr:rowOff>
    </xdr:to>
    <xdr:cxnSp macro="">
      <xdr:nvCxnSpPr>
        <xdr:cNvPr id="186" name="Curved Connector 522">
          <a:extLst>
            <a:ext uri="{FF2B5EF4-FFF2-40B4-BE49-F238E27FC236}">
              <a16:creationId xmlns:a16="http://schemas.microsoft.com/office/drawing/2014/main" id="{8E4EB3E0-9E2A-4877-9541-BDB8C662D10E}"/>
            </a:ext>
          </a:extLst>
        </xdr:cNvPr>
        <xdr:cNvCxnSpPr/>
      </xdr:nvCxnSpPr>
      <xdr:spPr>
        <a:xfrm rot="16200000" flipH="1">
          <a:off x="9719486" y="315037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42862</xdr:colOff>
      <xdr:row>19</xdr:row>
      <xdr:rowOff>26988</xdr:rowOff>
    </xdr:from>
    <xdr:to>
      <xdr:col>28</xdr:col>
      <xdr:colOff>209056</xdr:colOff>
      <xdr:row>19</xdr:row>
      <xdr:rowOff>37572</xdr:rowOff>
    </xdr:to>
    <xdr:cxnSp macro="">
      <xdr:nvCxnSpPr>
        <xdr:cNvPr id="187" name="Curved Connector 522">
          <a:extLst>
            <a:ext uri="{FF2B5EF4-FFF2-40B4-BE49-F238E27FC236}">
              <a16:creationId xmlns:a16="http://schemas.microsoft.com/office/drawing/2014/main" id="{A0D580D9-67D6-4D4B-BA83-F891D1EC5C56}"/>
            </a:ext>
          </a:extLst>
        </xdr:cNvPr>
        <xdr:cNvCxnSpPr/>
      </xdr:nvCxnSpPr>
      <xdr:spPr>
        <a:xfrm rot="16200000" flipH="1">
          <a:off x="8728886" y="31678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28575</xdr:colOff>
      <xdr:row>18</xdr:row>
      <xdr:rowOff>171450</xdr:rowOff>
    </xdr:from>
    <xdr:to>
      <xdr:col>25</xdr:col>
      <xdr:colOff>194769</xdr:colOff>
      <xdr:row>18</xdr:row>
      <xdr:rowOff>182034</xdr:rowOff>
    </xdr:to>
    <xdr:cxnSp macro="">
      <xdr:nvCxnSpPr>
        <xdr:cNvPr id="188" name="Curved Connector 522">
          <a:extLst>
            <a:ext uri="{FF2B5EF4-FFF2-40B4-BE49-F238E27FC236}">
              <a16:creationId xmlns:a16="http://schemas.microsoft.com/office/drawing/2014/main" id="{B2A7B128-765D-4FEE-8AEA-8593695B79FD}"/>
            </a:ext>
          </a:extLst>
        </xdr:cNvPr>
        <xdr:cNvCxnSpPr/>
      </xdr:nvCxnSpPr>
      <xdr:spPr>
        <a:xfrm rot="16200000" flipH="1">
          <a:off x="7730349" y="31297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22224</xdr:colOff>
      <xdr:row>26</xdr:row>
      <xdr:rowOff>165100</xdr:rowOff>
    </xdr:from>
    <xdr:to>
      <xdr:col>7</xdr:col>
      <xdr:colOff>188418</xdr:colOff>
      <xdr:row>26</xdr:row>
      <xdr:rowOff>175684</xdr:rowOff>
    </xdr:to>
    <xdr:cxnSp macro="">
      <xdr:nvCxnSpPr>
        <xdr:cNvPr id="189" name="Curved Connector 522">
          <a:extLst>
            <a:ext uri="{FF2B5EF4-FFF2-40B4-BE49-F238E27FC236}">
              <a16:creationId xmlns:a16="http://schemas.microsoft.com/office/drawing/2014/main" id="{41EE1412-48D3-43EF-9E3A-56619AE56D26}"/>
            </a:ext>
          </a:extLst>
        </xdr:cNvPr>
        <xdr:cNvCxnSpPr/>
      </xdr:nvCxnSpPr>
      <xdr:spPr>
        <a:xfrm rot="16200000" flipH="1">
          <a:off x="1818498" y="458388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257175</xdr:colOff>
      <xdr:row>19</xdr:row>
      <xdr:rowOff>3175</xdr:rowOff>
    </xdr:from>
    <xdr:to>
      <xdr:col>43</xdr:col>
      <xdr:colOff>185244</xdr:colOff>
      <xdr:row>19</xdr:row>
      <xdr:rowOff>13759</xdr:rowOff>
    </xdr:to>
    <xdr:cxnSp macro="">
      <xdr:nvCxnSpPr>
        <xdr:cNvPr id="190" name="Curved Connector 522">
          <a:extLst>
            <a:ext uri="{FF2B5EF4-FFF2-40B4-BE49-F238E27FC236}">
              <a16:creationId xmlns:a16="http://schemas.microsoft.com/office/drawing/2014/main" id="{49CFFDAC-DD3F-459C-AD95-4DCED7ED973C}"/>
            </a:ext>
          </a:extLst>
        </xdr:cNvPr>
        <xdr:cNvCxnSpPr/>
      </xdr:nvCxnSpPr>
      <xdr:spPr>
        <a:xfrm rot="16200000" flipH="1">
          <a:off x="13594574" y="31440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76199</xdr:colOff>
      <xdr:row>19</xdr:row>
      <xdr:rowOff>4762</xdr:rowOff>
    </xdr:from>
    <xdr:to>
      <xdr:col>37</xdr:col>
      <xdr:colOff>242394</xdr:colOff>
      <xdr:row>19</xdr:row>
      <xdr:rowOff>15346</xdr:rowOff>
    </xdr:to>
    <xdr:cxnSp macro="">
      <xdr:nvCxnSpPr>
        <xdr:cNvPr id="191" name="Curved Connector 522">
          <a:extLst>
            <a:ext uri="{FF2B5EF4-FFF2-40B4-BE49-F238E27FC236}">
              <a16:creationId xmlns:a16="http://schemas.microsoft.com/office/drawing/2014/main" id="{C80A795A-50DF-45CE-81E8-7FF169FD27F7}"/>
            </a:ext>
          </a:extLst>
        </xdr:cNvPr>
        <xdr:cNvCxnSpPr/>
      </xdr:nvCxnSpPr>
      <xdr:spPr>
        <a:xfrm rot="16200000" flipH="1">
          <a:off x="11722911" y="3145613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38099</xdr:colOff>
      <xdr:row>18</xdr:row>
      <xdr:rowOff>173037</xdr:rowOff>
    </xdr:from>
    <xdr:to>
      <xdr:col>34</xdr:col>
      <xdr:colOff>204294</xdr:colOff>
      <xdr:row>19</xdr:row>
      <xdr:rowOff>1059</xdr:rowOff>
    </xdr:to>
    <xdr:cxnSp macro="">
      <xdr:nvCxnSpPr>
        <xdr:cNvPr id="192" name="Curved Connector 522">
          <a:extLst>
            <a:ext uri="{FF2B5EF4-FFF2-40B4-BE49-F238E27FC236}">
              <a16:creationId xmlns:a16="http://schemas.microsoft.com/office/drawing/2014/main" id="{DE0657BE-6A4B-45D8-848A-2251E2B19B18}"/>
            </a:ext>
          </a:extLst>
        </xdr:cNvPr>
        <xdr:cNvCxnSpPr/>
      </xdr:nvCxnSpPr>
      <xdr:spPr>
        <a:xfrm rot="16200000" flipH="1">
          <a:off x="10700561" y="31313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37395</xdr:colOff>
      <xdr:row>2</xdr:row>
      <xdr:rowOff>146883</xdr:rowOff>
    </xdr:from>
    <xdr:to>
      <xdr:col>10</xdr:col>
      <xdr:colOff>207368</xdr:colOff>
      <xdr:row>2</xdr:row>
      <xdr:rowOff>157467</xdr:rowOff>
    </xdr:to>
    <xdr:cxnSp macro="">
      <xdr:nvCxnSpPr>
        <xdr:cNvPr id="195" name="Curved Connector 522">
          <a:extLst>
            <a:ext uri="{FF2B5EF4-FFF2-40B4-BE49-F238E27FC236}">
              <a16:creationId xmlns:a16="http://schemas.microsoft.com/office/drawing/2014/main" id="{8739AF17-4664-4BA0-BAE2-837D712F5047}"/>
            </a:ext>
          </a:extLst>
        </xdr:cNvPr>
        <xdr:cNvCxnSpPr/>
      </xdr:nvCxnSpPr>
      <xdr:spPr>
        <a:xfrm rot="16200000" flipH="1">
          <a:off x="2819809" y="150532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31046</xdr:colOff>
      <xdr:row>2</xdr:row>
      <xdr:rowOff>172283</xdr:rowOff>
    </xdr:from>
    <xdr:to>
      <xdr:col>13</xdr:col>
      <xdr:colOff>201019</xdr:colOff>
      <xdr:row>3</xdr:row>
      <xdr:rowOff>305</xdr:rowOff>
    </xdr:to>
    <xdr:cxnSp macro="">
      <xdr:nvCxnSpPr>
        <xdr:cNvPr id="196" name="Curved Connector 522">
          <a:extLst>
            <a:ext uri="{FF2B5EF4-FFF2-40B4-BE49-F238E27FC236}">
              <a16:creationId xmlns:a16="http://schemas.microsoft.com/office/drawing/2014/main" id="{F7DA2A5A-8458-48D4-8EEC-0646AC4042A6}"/>
            </a:ext>
          </a:extLst>
        </xdr:cNvPr>
        <xdr:cNvCxnSpPr/>
      </xdr:nvCxnSpPr>
      <xdr:spPr>
        <a:xfrm rot="16200000" flipH="1">
          <a:off x="3797710" y="175932"/>
          <a:ext cx="10584" cy="876411"/>
        </a:xfrm>
        <a:prstGeom prst="curvedConnector3">
          <a:avLst>
            <a:gd name="adj1" fmla="val 823820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40571</xdr:colOff>
      <xdr:row>2</xdr:row>
      <xdr:rowOff>157995</xdr:rowOff>
    </xdr:from>
    <xdr:to>
      <xdr:col>16</xdr:col>
      <xdr:colOff>210544</xdr:colOff>
      <xdr:row>2</xdr:row>
      <xdr:rowOff>168579</xdr:rowOff>
    </xdr:to>
    <xdr:cxnSp macro="">
      <xdr:nvCxnSpPr>
        <xdr:cNvPr id="197" name="Curved Connector 522">
          <a:extLst>
            <a:ext uri="{FF2B5EF4-FFF2-40B4-BE49-F238E27FC236}">
              <a16:creationId xmlns:a16="http://schemas.microsoft.com/office/drawing/2014/main" id="{22A3915F-8833-4CD1-B4B6-5E68877B440A}"/>
            </a:ext>
          </a:extLst>
        </xdr:cNvPr>
        <xdr:cNvCxnSpPr/>
      </xdr:nvCxnSpPr>
      <xdr:spPr>
        <a:xfrm rot="16200000" flipH="1">
          <a:off x="4791485" y="161644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10410</xdr:colOff>
      <xdr:row>3</xdr:row>
      <xdr:rowOff>833</xdr:rowOff>
    </xdr:from>
    <xdr:to>
      <xdr:col>22</xdr:col>
      <xdr:colOff>180383</xdr:colOff>
      <xdr:row>3</xdr:row>
      <xdr:rowOff>11417</xdr:rowOff>
    </xdr:to>
    <xdr:cxnSp macro="">
      <xdr:nvCxnSpPr>
        <xdr:cNvPr id="198" name="Curved Connector 522">
          <a:extLst>
            <a:ext uri="{FF2B5EF4-FFF2-40B4-BE49-F238E27FC236}">
              <a16:creationId xmlns:a16="http://schemas.microsoft.com/office/drawing/2014/main" id="{3E1CF70B-86D6-4209-868B-A7AD5882C782}"/>
            </a:ext>
          </a:extLst>
        </xdr:cNvPr>
        <xdr:cNvCxnSpPr/>
      </xdr:nvCxnSpPr>
      <xdr:spPr>
        <a:xfrm rot="16200000" flipH="1">
          <a:off x="6729824" y="187044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29384</xdr:colOff>
      <xdr:row>3</xdr:row>
      <xdr:rowOff>14264</xdr:rowOff>
    </xdr:from>
    <xdr:to>
      <xdr:col>19</xdr:col>
      <xdr:colOff>199357</xdr:colOff>
      <xdr:row>3</xdr:row>
      <xdr:rowOff>24848</xdr:rowOff>
    </xdr:to>
    <xdr:cxnSp macro="">
      <xdr:nvCxnSpPr>
        <xdr:cNvPr id="199" name="Curved Connector 522">
          <a:extLst>
            <a:ext uri="{FF2B5EF4-FFF2-40B4-BE49-F238E27FC236}">
              <a16:creationId xmlns:a16="http://schemas.microsoft.com/office/drawing/2014/main" id="{8D4D60AE-5744-4B2C-AA66-BF37FAE19C02}"/>
            </a:ext>
          </a:extLst>
        </xdr:cNvPr>
        <xdr:cNvCxnSpPr/>
      </xdr:nvCxnSpPr>
      <xdr:spPr>
        <a:xfrm rot="16200000" flipH="1">
          <a:off x="5839198" y="201673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61210</xdr:colOff>
      <xdr:row>2</xdr:row>
      <xdr:rowOff>178633</xdr:rowOff>
    </xdr:from>
    <xdr:to>
      <xdr:col>25</xdr:col>
      <xdr:colOff>231183</xdr:colOff>
      <xdr:row>3</xdr:row>
      <xdr:rowOff>6655</xdr:rowOff>
    </xdr:to>
    <xdr:cxnSp macro="">
      <xdr:nvCxnSpPr>
        <xdr:cNvPr id="200" name="Curved Connector 522">
          <a:extLst>
            <a:ext uri="{FF2B5EF4-FFF2-40B4-BE49-F238E27FC236}">
              <a16:creationId xmlns:a16="http://schemas.microsoft.com/office/drawing/2014/main" id="{D8256026-AB22-45CF-A33F-DD5A87BD0EE0}"/>
            </a:ext>
          </a:extLst>
        </xdr:cNvPr>
        <xdr:cNvCxnSpPr/>
      </xdr:nvCxnSpPr>
      <xdr:spPr>
        <a:xfrm rot="16200000" flipH="1">
          <a:off x="7764874" y="182282"/>
          <a:ext cx="10584" cy="876411"/>
        </a:xfrm>
        <a:prstGeom prst="curvedConnector3">
          <a:avLst>
            <a:gd name="adj1" fmla="val 927040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40316</xdr:colOff>
      <xdr:row>11</xdr:row>
      <xdr:rowOff>2</xdr:rowOff>
    </xdr:from>
    <xdr:to>
      <xdr:col>19</xdr:col>
      <xdr:colOff>210289</xdr:colOff>
      <xdr:row>11</xdr:row>
      <xdr:rowOff>20665</xdr:rowOff>
    </xdr:to>
    <xdr:cxnSp macro="">
      <xdr:nvCxnSpPr>
        <xdr:cNvPr id="2" name="Curved Connector 522">
          <a:extLst>
            <a:ext uri="{FF2B5EF4-FFF2-40B4-BE49-F238E27FC236}">
              <a16:creationId xmlns:a16="http://schemas.microsoft.com/office/drawing/2014/main" id="{881D85BC-BD34-446D-BF27-FA0D9D6BB457}"/>
            </a:ext>
          </a:extLst>
        </xdr:cNvPr>
        <xdr:cNvCxnSpPr/>
      </xdr:nvCxnSpPr>
      <xdr:spPr>
        <a:xfrm rot="16200000" flipH="1">
          <a:off x="5845090" y="1694276"/>
          <a:ext cx="20663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81845</xdr:colOff>
      <xdr:row>10</xdr:row>
      <xdr:rowOff>182640</xdr:rowOff>
    </xdr:from>
    <xdr:to>
      <xdr:col>22</xdr:col>
      <xdr:colOff>251818</xdr:colOff>
      <xdr:row>11</xdr:row>
      <xdr:rowOff>11795</xdr:rowOff>
    </xdr:to>
    <xdr:cxnSp macro="">
      <xdr:nvCxnSpPr>
        <xdr:cNvPr id="3" name="Curved Connector 522">
          <a:extLst>
            <a:ext uri="{FF2B5EF4-FFF2-40B4-BE49-F238E27FC236}">
              <a16:creationId xmlns:a16="http://schemas.microsoft.com/office/drawing/2014/main" id="{18499061-6645-4363-8740-31483358DE62}"/>
            </a:ext>
          </a:extLst>
        </xdr:cNvPr>
        <xdr:cNvCxnSpPr/>
      </xdr:nvCxnSpPr>
      <xdr:spPr>
        <a:xfrm rot="16200000" flipH="1">
          <a:off x="6884476" y="1685406"/>
          <a:ext cx="20663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42184</xdr:colOff>
      <xdr:row>18</xdr:row>
      <xdr:rowOff>174098</xdr:rowOff>
    </xdr:from>
    <xdr:to>
      <xdr:col>22</xdr:col>
      <xdr:colOff>208378</xdr:colOff>
      <xdr:row>18</xdr:row>
      <xdr:rowOff>184682</xdr:rowOff>
    </xdr:to>
    <xdr:cxnSp macro="">
      <xdr:nvCxnSpPr>
        <xdr:cNvPr id="15" name="Curved Connector 522">
          <a:extLst>
            <a:ext uri="{FF2B5EF4-FFF2-40B4-BE49-F238E27FC236}">
              <a16:creationId xmlns:a16="http://schemas.microsoft.com/office/drawing/2014/main" id="{8E882EE1-48D2-4977-BF89-8AE77DF2895B}"/>
            </a:ext>
          </a:extLst>
        </xdr:cNvPr>
        <xdr:cNvCxnSpPr/>
      </xdr:nvCxnSpPr>
      <xdr:spPr>
        <a:xfrm rot="16200000" flipH="1">
          <a:off x="6538025" y="3293971"/>
          <a:ext cx="10584" cy="84655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58434</xdr:colOff>
      <xdr:row>19</xdr:row>
      <xdr:rowOff>38779</xdr:rowOff>
    </xdr:from>
    <xdr:to>
      <xdr:col>40</xdr:col>
      <xdr:colOff>224629</xdr:colOff>
      <xdr:row>19</xdr:row>
      <xdr:rowOff>49363</xdr:rowOff>
    </xdr:to>
    <xdr:cxnSp macro="">
      <xdr:nvCxnSpPr>
        <xdr:cNvPr id="57" name="Curved Connector 522">
          <a:extLst>
            <a:ext uri="{FF2B5EF4-FFF2-40B4-BE49-F238E27FC236}">
              <a16:creationId xmlns:a16="http://schemas.microsoft.com/office/drawing/2014/main" id="{4A2342AC-FA8D-41C7-9644-979DBC62B716}"/>
            </a:ext>
          </a:extLst>
        </xdr:cNvPr>
        <xdr:cNvCxnSpPr/>
      </xdr:nvCxnSpPr>
      <xdr:spPr>
        <a:xfrm rot="16200000" flipH="1">
          <a:off x="12284394" y="3355200"/>
          <a:ext cx="10584" cy="84655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264294</xdr:colOff>
      <xdr:row>19</xdr:row>
      <xdr:rowOff>0</xdr:rowOff>
    </xdr:from>
    <xdr:to>
      <xdr:col>19</xdr:col>
      <xdr:colOff>264294</xdr:colOff>
      <xdr:row>19</xdr:row>
      <xdr:rowOff>11759</xdr:rowOff>
    </xdr:to>
    <xdr:cxnSp macro="">
      <xdr:nvCxnSpPr>
        <xdr:cNvPr id="116" name="Curved Connector 522">
          <a:extLst>
            <a:ext uri="{FF2B5EF4-FFF2-40B4-BE49-F238E27FC236}">
              <a16:creationId xmlns:a16="http://schemas.microsoft.com/office/drawing/2014/main" id="{F576A802-CC3B-4283-ABC1-E8E9740DE33F}"/>
            </a:ext>
          </a:extLst>
        </xdr:cNvPr>
        <xdr:cNvCxnSpPr>
          <a:stCxn id="81" idx="0"/>
          <a:endCxn id="82" idx="0"/>
        </xdr:cNvCxnSpPr>
      </xdr:nvCxnSpPr>
      <xdr:spPr>
        <a:xfrm rot="5400000" flipH="1" flipV="1">
          <a:off x="5587878" y="3264035"/>
          <a:ext cx="11759" cy="952500"/>
        </a:xfrm>
        <a:prstGeom prst="curvedConnector3">
          <a:avLst>
            <a:gd name="adj1" fmla="val -1298903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uklap05\Downloads\220kV%20and%20132kV%20Neemuch%20TL%20DPR-%2017-11-2025.xlsx" TargetMode="External"/><Relationship Id="rId1" Type="http://schemas.openxmlformats.org/officeDocument/2006/relationships/externalLinkPath" Target="file:///C:\Users\shuklap05\Downloads\220kV%20and%20132kV%20Neemuch%20TL%20DPR-%2017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Detail Survey-220kV"/>
      <sheetName val="Check Survey-220kV"/>
      <sheetName val="Detail Survey-132kV"/>
      <sheetName val="Check Survey-132kV"/>
      <sheetName val="Statutory"/>
      <sheetName val="Progress-132kV"/>
      <sheetName val="Progress-220kV"/>
      <sheetName val="Stringing-220kV"/>
      <sheetName val="VC-132kV"/>
      <sheetName val="Supply"/>
      <sheetName val="VC-220kV"/>
      <sheetName val="Mail Body"/>
    </sheetNames>
    <sheetDataSet>
      <sheetData sheetId="0">
        <row r="2">
          <cell r="A2" t="str">
            <v>Name of the Line: 220KV DC AL59 line from Neemuch - Chanderiya + 132KV DC ACSS Line from Chanderiya to Hindustan Zinc</v>
          </cell>
        </row>
        <row r="31">
          <cell r="M31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48"/>
  <sheetViews>
    <sheetView workbookViewId="0">
      <pane ySplit="4" topLeftCell="A5" activePane="bottomLeft" state="frozen"/>
      <selection pane="bottomLeft" activeCell="C4" sqref="C4"/>
    </sheetView>
  </sheetViews>
  <sheetFormatPr defaultColWidth="14.42578125" defaultRowHeight="15" customHeight="1"/>
  <cols>
    <col min="1" max="2" width="8.85546875" customWidth="1"/>
    <col min="3" max="4" width="14.85546875" customWidth="1"/>
    <col min="5" max="14" width="6.7109375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603" t="s">
        <v>0</v>
      </c>
      <c r="B1" s="604"/>
      <c r="C1" s="604"/>
      <c r="D1" s="604"/>
      <c r="E1" s="604"/>
      <c r="F1" s="604"/>
      <c r="G1" s="604"/>
      <c r="H1" s="604"/>
      <c r="I1" s="604"/>
      <c r="J1" s="604"/>
      <c r="K1" s="604"/>
      <c r="L1" s="604"/>
      <c r="M1" s="604"/>
      <c r="N1" s="604"/>
      <c r="O1" s="604"/>
      <c r="P1" s="604"/>
      <c r="Q1" s="604"/>
      <c r="R1" s="604"/>
      <c r="S1" s="604"/>
      <c r="T1" s="604"/>
      <c r="U1" s="604"/>
      <c r="V1" s="604"/>
      <c r="W1" s="604"/>
      <c r="X1" s="604"/>
      <c r="Y1" s="604"/>
      <c r="Z1" s="605"/>
    </row>
    <row r="2" spans="1:26" ht="14.25" customHeight="1">
      <c r="A2" s="603" t="s">
        <v>1</v>
      </c>
      <c r="B2" s="604"/>
      <c r="C2" s="604"/>
      <c r="D2" s="604"/>
      <c r="E2" s="604"/>
      <c r="F2" s="604"/>
      <c r="G2" s="604"/>
      <c r="H2" s="604"/>
      <c r="I2" s="604"/>
      <c r="J2" s="604"/>
      <c r="K2" s="604"/>
      <c r="L2" s="604"/>
      <c r="M2" s="604"/>
      <c r="N2" s="604"/>
      <c r="O2" s="604"/>
      <c r="P2" s="604"/>
      <c r="Q2" s="604"/>
      <c r="R2" s="604"/>
      <c r="S2" s="604"/>
      <c r="T2" s="604"/>
      <c r="U2" s="604"/>
      <c r="V2" s="604"/>
      <c r="W2" s="604"/>
      <c r="X2" s="604"/>
      <c r="Y2" s="604"/>
      <c r="Z2" s="605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606" t="s">
        <v>7</v>
      </c>
      <c r="G3" s="604"/>
      <c r="H3" s="604"/>
      <c r="I3" s="605"/>
      <c r="J3" s="2" t="s">
        <v>8</v>
      </c>
      <c r="K3" s="606" t="s">
        <v>9</v>
      </c>
      <c r="L3" s="604"/>
      <c r="M3" s="604"/>
      <c r="N3" s="605"/>
      <c r="O3" s="2" t="s">
        <v>10</v>
      </c>
      <c r="P3" s="4" t="s">
        <v>11</v>
      </c>
      <c r="Q3" s="607" t="s">
        <v>12</v>
      </c>
      <c r="R3" s="604"/>
      <c r="S3" s="605"/>
      <c r="T3" s="608" t="s">
        <v>13</v>
      </c>
      <c r="U3" s="604"/>
      <c r="V3" s="605"/>
      <c r="W3" s="609" t="s">
        <v>14</v>
      </c>
      <c r="X3" s="610"/>
      <c r="Y3" s="611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126.19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292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360.47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293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390.88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9" t="s">
        <v>43</v>
      </c>
      <c r="C15" s="19" t="s">
        <v>37</v>
      </c>
      <c r="D15" s="15" t="s">
        <v>44</v>
      </c>
      <c r="E15" s="15"/>
      <c r="F15" s="6"/>
      <c r="G15" s="6"/>
      <c r="H15" s="6"/>
      <c r="I15" s="6"/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>
        <v>683.88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9"/>
      <c r="C16" s="19"/>
      <c r="D16" s="15"/>
      <c r="E16" s="15"/>
      <c r="F16" s="6"/>
      <c r="G16" s="6"/>
      <c r="H16" s="6"/>
      <c r="I16" s="6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351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9" t="s">
        <v>45</v>
      </c>
      <c r="C17" s="19" t="s">
        <v>46</v>
      </c>
      <c r="D17" s="15" t="s">
        <v>31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258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322.49200000000002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9" t="s">
        <v>48</v>
      </c>
      <c r="C21" s="19" t="s">
        <v>39</v>
      </c>
      <c r="D21" s="15" t="s">
        <v>49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930.56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248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9" t="s">
        <v>50</v>
      </c>
      <c r="C23" s="19" t="s">
        <v>51</v>
      </c>
      <c r="D23" s="15" t="s">
        <v>52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249.73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294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9" t="s">
        <v>53</v>
      </c>
      <c r="C25" s="19" t="s">
        <v>54</v>
      </c>
      <c r="D25" s="15" t="s">
        <v>31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 t="s">
        <v>31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294.43099999999998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9" t="s">
        <v>55</v>
      </c>
      <c r="C27" s="19" t="s">
        <v>56</v>
      </c>
      <c r="D27" s="15" t="s">
        <v>57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588.43000000000006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306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9" t="s">
        <v>58</v>
      </c>
      <c r="C29" s="19" t="s">
        <v>39</v>
      </c>
      <c r="D29" s="15" t="s">
        <v>31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 t="s">
        <v>31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393.92099999999999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9" t="s">
        <v>59</v>
      </c>
      <c r="C31" s="19" t="s">
        <v>42</v>
      </c>
      <c r="D31" s="15" t="s">
        <v>60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699.92000000000007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356.66399999999999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9" t="s">
        <v>61</v>
      </c>
      <c r="C33" s="19" t="s">
        <v>62</v>
      </c>
      <c r="D33" s="15" t="s">
        <v>63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356.66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174.20500000000001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9" t="s">
        <v>64</v>
      </c>
      <c r="C35" s="19" t="s">
        <v>65</v>
      </c>
      <c r="D35" s="15" t="s">
        <v>66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174.21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229.73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9" t="s">
        <v>67</v>
      </c>
      <c r="C37" s="19" t="s">
        <v>51</v>
      </c>
      <c r="D37" s="15" t="s">
        <v>68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229.73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391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9" t="s">
        <v>69</v>
      </c>
      <c r="C39" s="19" t="s">
        <v>70</v>
      </c>
      <c r="D39" s="15" t="s">
        <v>31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328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333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350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331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>
        <v>1732.4100000000003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349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349.2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360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>
        <v>1</v>
      </c>
      <c r="K51" s="15">
        <v>0</v>
      </c>
      <c r="L51" s="15">
        <v>0</v>
      </c>
      <c r="M51" s="15">
        <v>0</v>
      </c>
      <c r="N51" s="15">
        <v>0</v>
      </c>
      <c r="O51" s="15"/>
      <c r="P51" s="16">
        <v>360.27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460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460.04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230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229.26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371.51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351.41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332.47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338.77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424.43099999999998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>
        <v>3</v>
      </c>
      <c r="K61" s="15">
        <v>0</v>
      </c>
      <c r="L61" s="15">
        <v>0</v>
      </c>
      <c r="M61" s="15">
        <v>0</v>
      </c>
      <c r="N61" s="15">
        <v>0</v>
      </c>
      <c r="O61" s="15"/>
      <c r="P61" s="16" t="s">
        <v>31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326.73099999999999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291.858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292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>
        <v>1349.0900000000001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415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414.59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253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253.29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172.45400000000001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9" t="s">
        <v>91</v>
      </c>
      <c r="C73" s="19" t="s">
        <v>76</v>
      </c>
      <c r="D73" s="15" t="s">
        <v>92</v>
      </c>
      <c r="E73" s="15"/>
      <c r="F73" s="15"/>
      <c r="G73" s="15"/>
      <c r="H73" s="15"/>
      <c r="I73" s="15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 t="s">
        <v>31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9"/>
      <c r="C74" s="19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323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9" t="s">
        <v>93</v>
      </c>
      <c r="C75" s="19" t="s">
        <v>81</v>
      </c>
      <c r="D75" s="15" t="s">
        <v>31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323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371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 t="s">
        <v>31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350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291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38</v>
      </c>
      <c r="B81" s="19" t="s">
        <v>96</v>
      </c>
      <c r="C81" s="19" t="s">
        <v>37</v>
      </c>
      <c r="D81" s="15" t="s">
        <v>97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>
        <v>1012</v>
      </c>
      <c r="Q81" s="15" t="s">
        <v>32</v>
      </c>
      <c r="R81" s="17"/>
      <c r="S81" s="15"/>
      <c r="T81" s="15" t="s">
        <v>25</v>
      </c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322</v>
      </c>
      <c r="P82" s="16" t="s">
        <v>31</v>
      </c>
      <c r="Q82" s="15" t="s">
        <v>32</v>
      </c>
      <c r="R82" s="17"/>
      <c r="S82" s="15"/>
      <c r="T82" s="15" t="s">
        <v>25</v>
      </c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39</v>
      </c>
      <c r="B83" s="19" t="s">
        <v>98</v>
      </c>
      <c r="C83" s="19" t="s">
        <v>39</v>
      </c>
      <c r="D83" s="15" t="s">
        <v>31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322</v>
      </c>
      <c r="Q83" s="15" t="s">
        <v>32</v>
      </c>
      <c r="R83" s="17"/>
      <c r="S83" s="15"/>
      <c r="T83" s="15" t="s">
        <v>25</v>
      </c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284</v>
      </c>
      <c r="P84" s="16" t="s">
        <v>31</v>
      </c>
      <c r="Q84" s="15" t="s">
        <v>32</v>
      </c>
      <c r="R84" s="17"/>
      <c r="S84" s="15"/>
      <c r="T84" s="15" t="s">
        <v>25</v>
      </c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40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284</v>
      </c>
      <c r="Q85" s="15" t="s">
        <v>32</v>
      </c>
      <c r="R85" s="17"/>
      <c r="S85" s="15"/>
      <c r="T85" s="15" t="s">
        <v>25</v>
      </c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282.74299999999999</v>
      </c>
      <c r="P86" s="16" t="s">
        <v>31</v>
      </c>
      <c r="Q86" s="15" t="s">
        <v>32</v>
      </c>
      <c r="R86" s="17"/>
      <c r="S86" s="15"/>
      <c r="T86" s="15" t="s">
        <v>25</v>
      </c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41</v>
      </c>
      <c r="B87" s="19" t="s">
        <v>100</v>
      </c>
      <c r="C87" s="19" t="s">
        <v>76</v>
      </c>
      <c r="D87" s="15" t="s">
        <v>101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282.74</v>
      </c>
      <c r="Q87" s="15" t="s">
        <v>32</v>
      </c>
      <c r="R87" s="17"/>
      <c r="S87" s="15"/>
      <c r="T87" s="15" t="s">
        <v>25</v>
      </c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462.05799999999999</v>
      </c>
      <c r="P88" s="16" t="s">
        <v>31</v>
      </c>
      <c r="Q88" s="15" t="s">
        <v>32</v>
      </c>
      <c r="R88" s="17"/>
      <c r="S88" s="15"/>
      <c r="T88" s="15" t="s">
        <v>25</v>
      </c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42</v>
      </c>
      <c r="B89" s="19" t="s">
        <v>102</v>
      </c>
      <c r="C89" s="19" t="s">
        <v>89</v>
      </c>
      <c r="D89" s="15" t="s">
        <v>103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462.06</v>
      </c>
      <c r="Q89" s="15" t="s">
        <v>32</v>
      </c>
      <c r="R89" s="17"/>
      <c r="S89" s="15"/>
      <c r="T89" s="15" t="s">
        <v>25</v>
      </c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328.62400000000002</v>
      </c>
      <c r="P90" s="16" t="s">
        <v>31</v>
      </c>
      <c r="Q90" s="15" t="s">
        <v>32</v>
      </c>
      <c r="R90" s="17"/>
      <c r="S90" s="15"/>
      <c r="T90" s="15" t="s">
        <v>25</v>
      </c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43</v>
      </c>
      <c r="B91" s="19" t="s">
        <v>104</v>
      </c>
      <c r="C91" s="19" t="s">
        <v>39</v>
      </c>
      <c r="D91" s="15" t="s">
        <v>105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328.62</v>
      </c>
      <c r="Q91" s="15" t="s">
        <v>32</v>
      </c>
      <c r="R91" s="17"/>
      <c r="S91" s="15"/>
      <c r="T91" s="15" t="s">
        <v>25</v>
      </c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364.05599999999998</v>
      </c>
      <c r="P92" s="16" t="s">
        <v>31</v>
      </c>
      <c r="Q92" s="15" t="s">
        <v>32</v>
      </c>
      <c r="R92" s="17"/>
      <c r="S92" s="15"/>
      <c r="T92" s="15" t="s">
        <v>25</v>
      </c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44</v>
      </c>
      <c r="B93" s="19" t="s">
        <v>106</v>
      </c>
      <c r="C93" s="19" t="s">
        <v>70</v>
      </c>
      <c r="D93" s="15" t="s">
        <v>31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 t="s">
        <v>31</v>
      </c>
      <c r="Q93" s="15" t="s">
        <v>32</v>
      </c>
      <c r="R93" s="17"/>
      <c r="S93" s="15"/>
      <c r="T93" s="15" t="s">
        <v>25</v>
      </c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278.88299999999998</v>
      </c>
      <c r="P94" s="16" t="s">
        <v>31</v>
      </c>
      <c r="Q94" s="15" t="s">
        <v>32</v>
      </c>
      <c r="R94" s="17"/>
      <c r="S94" s="15"/>
      <c r="T94" s="15" t="s">
        <v>25</v>
      </c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45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 t="s">
        <v>32</v>
      </c>
      <c r="R95" s="17"/>
      <c r="S95" s="15"/>
      <c r="T95" s="15" t="s">
        <v>25</v>
      </c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252.06</v>
      </c>
      <c r="P96" s="16" t="s">
        <v>31</v>
      </c>
      <c r="Q96" s="15" t="s">
        <v>32</v>
      </c>
      <c r="R96" s="17"/>
      <c r="S96" s="15"/>
      <c r="T96" s="15" t="s">
        <v>25</v>
      </c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46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 t="s">
        <v>32</v>
      </c>
      <c r="R97" s="17"/>
      <c r="S97" s="15"/>
      <c r="T97" s="15" t="s">
        <v>25</v>
      </c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279.24599999999998</v>
      </c>
      <c r="P98" s="16" t="s">
        <v>31</v>
      </c>
      <c r="Q98" s="15" t="s">
        <v>32</v>
      </c>
      <c r="R98" s="17"/>
      <c r="S98" s="15"/>
      <c r="T98" s="15" t="s">
        <v>25</v>
      </c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47</v>
      </c>
      <c r="B99" s="19" t="s">
        <v>109</v>
      </c>
      <c r="C99" s="19" t="s">
        <v>42</v>
      </c>
      <c r="D99" s="15" t="s">
        <v>110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>
        <v>1174.25</v>
      </c>
      <c r="Q99" s="15" t="s">
        <v>32</v>
      </c>
      <c r="R99" s="17"/>
      <c r="S99" s="15"/>
      <c r="T99" s="15" t="s">
        <v>25</v>
      </c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134.21600000000001</v>
      </c>
      <c r="P100" s="16" t="s">
        <v>31</v>
      </c>
      <c r="Q100" s="15" t="s">
        <v>32</v>
      </c>
      <c r="R100" s="17"/>
      <c r="S100" s="15"/>
      <c r="T100" s="15" t="s">
        <v>25</v>
      </c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48</v>
      </c>
      <c r="B101" s="19" t="s">
        <v>111</v>
      </c>
      <c r="C101" s="19" t="s">
        <v>34</v>
      </c>
      <c r="D101" s="15" t="s">
        <v>112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134.22</v>
      </c>
      <c r="Q101" s="15" t="s">
        <v>32</v>
      </c>
      <c r="R101" s="17"/>
      <c r="S101" s="15"/>
      <c r="T101" s="15" t="s">
        <v>25</v>
      </c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336.50299999999999</v>
      </c>
      <c r="P102" s="16" t="s">
        <v>31</v>
      </c>
      <c r="Q102" s="15" t="s">
        <v>32</v>
      </c>
      <c r="R102" s="17"/>
      <c r="S102" s="15"/>
      <c r="T102" s="15" t="s">
        <v>25</v>
      </c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49</v>
      </c>
      <c r="B103" s="19" t="s">
        <v>113</v>
      </c>
      <c r="C103" s="19" t="s">
        <v>34</v>
      </c>
      <c r="D103" s="15" t="s">
        <v>114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336.5</v>
      </c>
      <c r="Q103" s="15" t="s">
        <v>32</v>
      </c>
      <c r="R103" s="17"/>
      <c r="S103" s="15"/>
      <c r="T103" s="15" t="s">
        <v>25</v>
      </c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365</v>
      </c>
      <c r="P104" s="16" t="s">
        <v>31</v>
      </c>
      <c r="Q104" s="15" t="s">
        <v>32</v>
      </c>
      <c r="R104" s="17"/>
      <c r="S104" s="15"/>
      <c r="T104" s="15" t="s">
        <v>25</v>
      </c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50</v>
      </c>
      <c r="B105" s="19" t="s">
        <v>115</v>
      </c>
      <c r="C105" s="19" t="s">
        <v>116</v>
      </c>
      <c r="D105" s="15" t="s">
        <v>31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 t="s">
        <v>31</v>
      </c>
      <c r="Q105" s="15" t="s">
        <v>32</v>
      </c>
      <c r="R105" s="17"/>
      <c r="S105" s="15"/>
      <c r="T105" s="15" t="s">
        <v>25</v>
      </c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280</v>
      </c>
      <c r="P106" s="16" t="s">
        <v>31</v>
      </c>
      <c r="Q106" s="15" t="s">
        <v>32</v>
      </c>
      <c r="R106" s="17"/>
      <c r="S106" s="15"/>
      <c r="T106" s="15" t="s">
        <v>25</v>
      </c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51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 t="s">
        <v>32</v>
      </c>
      <c r="R107" s="17"/>
      <c r="S107" s="15"/>
      <c r="T107" s="15" t="s">
        <v>25</v>
      </c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255.14</v>
      </c>
      <c r="P108" s="16" t="s">
        <v>31</v>
      </c>
      <c r="Q108" s="15" t="s">
        <v>32</v>
      </c>
      <c r="R108" s="17"/>
      <c r="S108" s="15"/>
      <c r="T108" s="15" t="s">
        <v>25</v>
      </c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52</v>
      </c>
      <c r="B109" s="19" t="s">
        <v>118</v>
      </c>
      <c r="C109" s="19" t="s">
        <v>42</v>
      </c>
      <c r="D109" s="15" t="s">
        <v>119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>
        <v>900.14</v>
      </c>
      <c r="Q109" s="15" t="s">
        <v>32</v>
      </c>
      <c r="R109" s="17"/>
      <c r="S109" s="15"/>
      <c r="T109" s="15" t="s">
        <v>25</v>
      </c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318.75799999999998</v>
      </c>
      <c r="P110" s="16" t="s">
        <v>31</v>
      </c>
      <c r="Q110" s="15" t="s">
        <v>32</v>
      </c>
      <c r="R110" s="17"/>
      <c r="S110" s="15"/>
      <c r="T110" s="15" t="s">
        <v>25</v>
      </c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53</v>
      </c>
      <c r="B111" s="19" t="s">
        <v>120</v>
      </c>
      <c r="C111" s="19" t="s">
        <v>34</v>
      </c>
      <c r="D111" s="15" t="s">
        <v>121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318.76</v>
      </c>
      <c r="Q111" s="15" t="s">
        <v>32</v>
      </c>
      <c r="R111" s="17"/>
      <c r="S111" s="15"/>
      <c r="T111" s="15" t="s">
        <v>25</v>
      </c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307</v>
      </c>
      <c r="P112" s="16" t="s">
        <v>31</v>
      </c>
      <c r="Q112" s="15" t="s">
        <v>32</v>
      </c>
      <c r="R112" s="17"/>
      <c r="S112" s="15"/>
      <c r="T112" s="15" t="s">
        <v>25</v>
      </c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54</v>
      </c>
      <c r="B113" s="19" t="s">
        <v>122</v>
      </c>
      <c r="C113" s="19" t="s">
        <v>34</v>
      </c>
      <c r="D113" s="15" t="s">
        <v>31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 t="s">
        <v>31</v>
      </c>
      <c r="Q113" s="15" t="s">
        <v>32</v>
      </c>
      <c r="R113" s="17"/>
      <c r="S113" s="15"/>
      <c r="T113" s="15" t="s">
        <v>25</v>
      </c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312</v>
      </c>
      <c r="P114" s="16" t="s">
        <v>31</v>
      </c>
      <c r="Q114" s="15" t="s">
        <v>32</v>
      </c>
      <c r="R114" s="17"/>
      <c r="S114" s="15"/>
      <c r="T114" s="15" t="s">
        <v>25</v>
      </c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55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/>
      <c r="S115" s="15"/>
      <c r="T115" s="15" t="s">
        <v>25</v>
      </c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440</v>
      </c>
      <c r="P116" s="16" t="s">
        <v>31</v>
      </c>
      <c r="Q116" s="15" t="s">
        <v>32</v>
      </c>
      <c r="R116" s="17"/>
      <c r="S116" s="15"/>
      <c r="T116" s="15" t="s">
        <v>25</v>
      </c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56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>
        <v>1059</v>
      </c>
      <c r="Q117" s="15" t="s">
        <v>32</v>
      </c>
      <c r="R117" s="17"/>
      <c r="S117" s="15"/>
      <c r="T117" s="15" t="s">
        <v>25</v>
      </c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459</v>
      </c>
      <c r="P118" s="16" t="s">
        <v>31</v>
      </c>
      <c r="Q118" s="15" t="s">
        <v>32</v>
      </c>
      <c r="R118" s="17"/>
      <c r="S118" s="15"/>
      <c r="T118" s="15" t="s">
        <v>25</v>
      </c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57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459</v>
      </c>
      <c r="Q119" s="15" t="s">
        <v>32</v>
      </c>
      <c r="R119" s="17"/>
      <c r="S119" s="15"/>
      <c r="T119" s="15" t="s">
        <v>25</v>
      </c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195</v>
      </c>
      <c r="P120" s="16" t="s">
        <v>31</v>
      </c>
      <c r="Q120" s="15" t="s">
        <v>32</v>
      </c>
      <c r="R120" s="17"/>
      <c r="S120" s="15"/>
      <c r="T120" s="15" t="s">
        <v>25</v>
      </c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58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195</v>
      </c>
      <c r="Q121" s="15" t="s">
        <v>32</v>
      </c>
      <c r="R121" s="17"/>
      <c r="S121" s="15"/>
      <c r="T121" s="15" t="s">
        <v>25</v>
      </c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295</v>
      </c>
      <c r="P122" s="16" t="s">
        <v>31</v>
      </c>
      <c r="Q122" s="15" t="s">
        <v>32</v>
      </c>
      <c r="R122" s="17"/>
      <c r="S122" s="15"/>
      <c r="T122" s="15" t="s">
        <v>25</v>
      </c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59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295</v>
      </c>
      <c r="Q123" s="15" t="s">
        <v>32</v>
      </c>
      <c r="R123" s="17"/>
      <c r="S123" s="15"/>
      <c r="T123" s="15" t="s">
        <v>25</v>
      </c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380.24799999999999</v>
      </c>
      <c r="P124" s="16" t="s">
        <v>31</v>
      </c>
      <c r="Q124" s="15" t="s">
        <v>32</v>
      </c>
      <c r="R124" s="17"/>
      <c r="S124" s="15"/>
      <c r="T124" s="15" t="s">
        <v>25</v>
      </c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60</v>
      </c>
      <c r="B125" s="19" t="s">
        <v>128</v>
      </c>
      <c r="C125" s="19" t="s">
        <v>76</v>
      </c>
      <c r="D125" s="15" t="s">
        <v>129</v>
      </c>
      <c r="E125" s="15"/>
      <c r="F125" s="15"/>
      <c r="G125" s="15"/>
      <c r="H125" s="15"/>
      <c r="I125" s="15"/>
      <c r="J125" s="15">
        <v>1</v>
      </c>
      <c r="K125" s="15">
        <v>1</v>
      </c>
      <c r="L125" s="15">
        <v>1</v>
      </c>
      <c r="M125" s="15">
        <v>1</v>
      </c>
      <c r="N125" s="15">
        <v>1</v>
      </c>
      <c r="O125" s="15"/>
      <c r="P125" s="16">
        <v>380.25</v>
      </c>
      <c r="Q125" s="15" t="s">
        <v>32</v>
      </c>
      <c r="R125" s="17"/>
      <c r="S125" s="15"/>
      <c r="T125" s="15" t="s">
        <v>25</v>
      </c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428</v>
      </c>
      <c r="P126" s="16" t="s">
        <v>31</v>
      </c>
      <c r="Q126" s="15" t="s">
        <v>32</v>
      </c>
      <c r="R126" s="17"/>
      <c r="S126" s="15"/>
      <c r="T126" s="15" t="s">
        <v>25</v>
      </c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61</v>
      </c>
      <c r="B127" s="19" t="s">
        <v>130</v>
      </c>
      <c r="C127" s="19" t="s">
        <v>39</v>
      </c>
      <c r="D127" s="15" t="s">
        <v>31</v>
      </c>
      <c r="E127" s="15"/>
      <c r="F127" s="15"/>
      <c r="G127" s="15"/>
      <c r="H127" s="15"/>
      <c r="I127" s="15"/>
      <c r="J127" s="15"/>
      <c r="K127" s="15">
        <v>0</v>
      </c>
      <c r="L127" s="15">
        <v>0</v>
      </c>
      <c r="M127" s="15">
        <v>0</v>
      </c>
      <c r="N127" s="15">
        <v>0</v>
      </c>
      <c r="O127" s="15"/>
      <c r="P127" s="16">
        <v>428</v>
      </c>
      <c r="Q127" s="15" t="s">
        <v>32</v>
      </c>
      <c r="R127" s="17"/>
      <c r="S127" s="15"/>
      <c r="T127" s="15" t="s">
        <v>25</v>
      </c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404</v>
      </c>
      <c r="P128" s="16" t="s">
        <v>31</v>
      </c>
      <c r="Q128" s="15" t="s">
        <v>32</v>
      </c>
      <c r="R128" s="17"/>
      <c r="S128" s="15"/>
      <c r="T128" s="15" t="s">
        <v>25</v>
      </c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62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404</v>
      </c>
      <c r="Q129" s="15" t="s">
        <v>32</v>
      </c>
      <c r="R129" s="17"/>
      <c r="S129" s="15"/>
      <c r="T129" s="15" t="s">
        <v>25</v>
      </c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360</v>
      </c>
      <c r="P130" s="16" t="s">
        <v>31</v>
      </c>
      <c r="Q130" s="15" t="s">
        <v>32</v>
      </c>
      <c r="R130" s="17"/>
      <c r="S130" s="15"/>
      <c r="T130" s="15" t="s">
        <v>25</v>
      </c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63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 t="s">
        <v>31</v>
      </c>
      <c r="Q131" s="15" t="s">
        <v>32</v>
      </c>
      <c r="R131" s="17"/>
      <c r="S131" s="15"/>
      <c r="T131" s="15" t="s">
        <v>25</v>
      </c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296</v>
      </c>
      <c r="P132" s="16" t="s">
        <v>31</v>
      </c>
      <c r="Q132" s="15" t="s">
        <v>32</v>
      </c>
      <c r="R132" s="17"/>
      <c r="S132" s="15"/>
      <c r="T132" s="15" t="s">
        <v>25</v>
      </c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64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 t="s">
        <v>32</v>
      </c>
      <c r="R133" s="17"/>
      <c r="S133" s="15"/>
      <c r="T133" s="15" t="s">
        <v>25</v>
      </c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259</v>
      </c>
      <c r="P134" s="16" t="s">
        <v>31</v>
      </c>
      <c r="Q134" s="15" t="s">
        <v>32</v>
      </c>
      <c r="R134" s="17"/>
      <c r="S134" s="15"/>
      <c r="T134" s="15" t="s">
        <v>25</v>
      </c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65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>
        <v>915</v>
      </c>
      <c r="Q135" s="15" t="s">
        <v>32</v>
      </c>
      <c r="R135" s="17"/>
      <c r="S135" s="15"/>
      <c r="T135" s="15" t="s">
        <v>25</v>
      </c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357</v>
      </c>
      <c r="P136" s="16" t="s">
        <v>31</v>
      </c>
      <c r="Q136" s="15" t="s">
        <v>32</v>
      </c>
      <c r="R136" s="17"/>
      <c r="S136" s="15"/>
      <c r="T136" s="15" t="s">
        <v>25</v>
      </c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66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357</v>
      </c>
      <c r="Q137" s="15" t="s">
        <v>32</v>
      </c>
      <c r="R137" s="17"/>
      <c r="S137" s="15"/>
      <c r="T137" s="15" t="s">
        <v>25</v>
      </c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486</v>
      </c>
      <c r="P138" s="16" t="s">
        <v>31</v>
      </c>
      <c r="Q138" s="15" t="s">
        <v>32</v>
      </c>
      <c r="R138" s="17"/>
      <c r="S138" s="15"/>
      <c r="T138" s="15" t="s">
        <v>25</v>
      </c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67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486</v>
      </c>
      <c r="Q139" s="15" t="s">
        <v>32</v>
      </c>
      <c r="R139" s="17"/>
      <c r="S139" s="15"/>
      <c r="T139" s="15" t="s">
        <v>25</v>
      </c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434</v>
      </c>
      <c r="P140" s="16" t="s">
        <v>31</v>
      </c>
      <c r="Q140" s="15" t="s">
        <v>32</v>
      </c>
      <c r="R140" s="17"/>
      <c r="S140" s="15"/>
      <c r="T140" s="15" t="s">
        <v>25</v>
      </c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68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434</v>
      </c>
      <c r="Q141" s="15" t="s">
        <v>32</v>
      </c>
      <c r="R141" s="17"/>
      <c r="S141" s="15"/>
      <c r="T141" s="15" t="s">
        <v>25</v>
      </c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295</v>
      </c>
      <c r="P142" s="16" t="s">
        <v>31</v>
      </c>
      <c r="Q142" s="15" t="s">
        <v>32</v>
      </c>
      <c r="R142" s="17"/>
      <c r="S142" s="15"/>
      <c r="T142" s="15" t="s">
        <v>25</v>
      </c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69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 t="s">
        <v>31</v>
      </c>
      <c r="Q143" s="15" t="s">
        <v>32</v>
      </c>
      <c r="R143" s="17"/>
      <c r="S143" s="15"/>
      <c r="T143" s="15" t="s">
        <v>25</v>
      </c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326</v>
      </c>
      <c r="P144" s="16" t="s">
        <v>31</v>
      </c>
      <c r="Q144" s="15" t="s">
        <v>32</v>
      </c>
      <c r="R144" s="17"/>
      <c r="S144" s="15"/>
      <c r="T144" s="15" t="s">
        <v>25</v>
      </c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70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 t="s">
        <v>32</v>
      </c>
      <c r="R145" s="17"/>
      <c r="S145" s="15"/>
      <c r="T145" s="15" t="s">
        <v>25</v>
      </c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298</v>
      </c>
      <c r="P146" s="16" t="s">
        <v>31</v>
      </c>
      <c r="Q146" s="15" t="s">
        <v>32</v>
      </c>
      <c r="R146" s="17"/>
      <c r="S146" s="15"/>
      <c r="T146" s="15" t="s">
        <v>25</v>
      </c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71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>
        <v>919</v>
      </c>
      <c r="Q147" s="15" t="s">
        <v>32</v>
      </c>
      <c r="R147" s="17"/>
      <c r="S147" s="15"/>
      <c r="T147" s="15" t="s">
        <v>25</v>
      </c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489</v>
      </c>
      <c r="P148" s="16" t="s">
        <v>31</v>
      </c>
      <c r="Q148" s="15" t="s">
        <v>32</v>
      </c>
      <c r="R148" s="17"/>
      <c r="S148" s="15"/>
      <c r="T148" s="15" t="s">
        <v>25</v>
      </c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72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489</v>
      </c>
      <c r="Q149" s="15" t="s">
        <v>32</v>
      </c>
      <c r="R149" s="17"/>
      <c r="S149" s="15"/>
      <c r="T149" s="15" t="s">
        <v>25</v>
      </c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382.47399999999999</v>
      </c>
      <c r="P150" s="16" t="s">
        <v>31</v>
      </c>
      <c r="Q150" s="15" t="s">
        <v>32</v>
      </c>
      <c r="R150" s="17"/>
      <c r="S150" s="15"/>
      <c r="T150" s="15" t="s">
        <v>25</v>
      </c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73</v>
      </c>
      <c r="B151" s="19" t="s">
        <v>142</v>
      </c>
      <c r="C151" s="19" t="s">
        <v>89</v>
      </c>
      <c r="D151" s="15" t="s">
        <v>143</v>
      </c>
      <c r="E151" s="15"/>
      <c r="F151" s="21"/>
      <c r="G151" s="21"/>
      <c r="H151" s="21"/>
      <c r="I151" s="21"/>
      <c r="J151" s="15"/>
      <c r="K151" s="15"/>
      <c r="L151" s="15"/>
      <c r="M151" s="15"/>
      <c r="N151" s="15"/>
      <c r="O151" s="15"/>
      <c r="P151" s="22"/>
      <c r="Q151" s="15" t="s">
        <v>32</v>
      </c>
      <c r="R151" s="17"/>
      <c r="S151" s="15"/>
      <c r="T151" s="15" t="s">
        <v>25</v>
      </c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21"/>
      <c r="B152" s="19"/>
      <c r="C152" s="19"/>
      <c r="D152" s="21"/>
      <c r="E152" s="15"/>
      <c r="F152" s="21"/>
      <c r="G152" s="21"/>
      <c r="H152" s="21"/>
      <c r="I152" s="21"/>
      <c r="J152" s="15"/>
      <c r="K152" s="15"/>
      <c r="L152" s="15"/>
      <c r="M152" s="15"/>
      <c r="N152" s="15"/>
      <c r="O152" s="15">
        <v>372.4</v>
      </c>
      <c r="P152" s="23" t="s">
        <v>31</v>
      </c>
      <c r="Q152" s="15" t="s">
        <v>32</v>
      </c>
      <c r="R152" s="17"/>
      <c r="S152" s="15"/>
      <c r="T152" s="15" t="s">
        <v>25</v>
      </c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74</v>
      </c>
      <c r="B153" s="19" t="s">
        <v>144</v>
      </c>
      <c r="C153" s="19" t="s">
        <v>46</v>
      </c>
      <c r="D153" s="21" t="s">
        <v>31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3" t="s">
        <v>31</v>
      </c>
      <c r="Q153" s="15" t="s">
        <v>32</v>
      </c>
      <c r="R153" s="17"/>
      <c r="S153" s="15"/>
      <c r="T153" s="15" t="s">
        <v>25</v>
      </c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350.02</v>
      </c>
      <c r="P154" s="23" t="s">
        <v>31</v>
      </c>
      <c r="Q154" s="15" t="s">
        <v>32</v>
      </c>
      <c r="R154" s="17"/>
      <c r="S154" s="15"/>
      <c r="T154" s="15" t="s">
        <v>25</v>
      </c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75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 t="s">
        <v>25</v>
      </c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303.57</v>
      </c>
      <c r="P156" s="23" t="s">
        <v>31</v>
      </c>
      <c r="Q156" s="15" t="s">
        <v>32</v>
      </c>
      <c r="R156" s="17"/>
      <c r="S156" s="15"/>
      <c r="T156" s="15" t="s">
        <v>25</v>
      </c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76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 t="s">
        <v>25</v>
      </c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224.33</v>
      </c>
      <c r="P158" s="23" t="s">
        <v>31</v>
      </c>
      <c r="Q158" s="15" t="s">
        <v>32</v>
      </c>
      <c r="R158" s="17"/>
      <c r="S158" s="15"/>
      <c r="T158" s="15" t="s">
        <v>25</v>
      </c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77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>
        <v>1250.32</v>
      </c>
      <c r="Q159" s="15" t="s">
        <v>32</v>
      </c>
      <c r="R159" s="17"/>
      <c r="S159" s="15"/>
      <c r="T159" s="15" t="s">
        <v>25</v>
      </c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246.76</v>
      </c>
      <c r="P160" s="23" t="s">
        <v>31</v>
      </c>
      <c r="Q160" s="15" t="s">
        <v>32</v>
      </c>
      <c r="R160" s="17"/>
      <c r="S160" s="15"/>
      <c r="T160" s="15" t="s">
        <v>25</v>
      </c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78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246.76</v>
      </c>
      <c r="Q161" s="15" t="s">
        <v>32</v>
      </c>
      <c r="R161" s="17"/>
      <c r="S161" s="15"/>
      <c r="T161" s="15" t="s">
        <v>25</v>
      </c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418.18</v>
      </c>
      <c r="P162" s="23" t="s">
        <v>31</v>
      </c>
      <c r="Q162" s="15" t="s">
        <v>32</v>
      </c>
      <c r="R162" s="17"/>
      <c r="S162" s="15"/>
      <c r="T162" s="15" t="s">
        <v>25</v>
      </c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79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 t="s">
        <v>31</v>
      </c>
      <c r="Q163" s="15" t="s">
        <v>32</v>
      </c>
      <c r="R163" s="17"/>
      <c r="S163" s="15"/>
      <c r="T163" s="15" t="s">
        <v>25</v>
      </c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298.66000000000003</v>
      </c>
      <c r="P164" s="23" t="s">
        <v>31</v>
      </c>
      <c r="Q164" s="15" t="s">
        <v>32</v>
      </c>
      <c r="R164" s="17"/>
      <c r="S164" s="15"/>
      <c r="T164" s="15" t="s">
        <v>25</v>
      </c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80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 t="s">
        <v>25</v>
      </c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358.67</v>
      </c>
      <c r="P166" s="23" t="s">
        <v>31</v>
      </c>
      <c r="Q166" s="15" t="s">
        <v>32</v>
      </c>
      <c r="R166" s="17"/>
      <c r="S166" s="15"/>
      <c r="T166" s="15" t="s">
        <v>25</v>
      </c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81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 t="s">
        <v>25</v>
      </c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366.13</v>
      </c>
      <c r="P168" s="23" t="s">
        <v>31</v>
      </c>
      <c r="Q168" s="15" t="s">
        <v>32</v>
      </c>
      <c r="R168" s="17"/>
      <c r="S168" s="15"/>
      <c r="T168" s="15" t="s">
        <v>25</v>
      </c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82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 t="s">
        <v>25</v>
      </c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255.6</v>
      </c>
      <c r="P170" s="23" t="s">
        <v>31</v>
      </c>
      <c r="Q170" s="15" t="s">
        <v>32</v>
      </c>
      <c r="R170" s="17"/>
      <c r="S170" s="15"/>
      <c r="T170" s="15" t="s">
        <v>25</v>
      </c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83</v>
      </c>
      <c r="B171" s="19" t="s">
        <v>153</v>
      </c>
      <c r="C171" s="19" t="s">
        <v>37</v>
      </c>
      <c r="D171" s="21" t="s">
        <v>154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>
        <v>1697.2399999999998</v>
      </c>
      <c r="Q171" s="15" t="s">
        <v>32</v>
      </c>
      <c r="R171" s="17"/>
      <c r="S171" s="15"/>
      <c r="T171" s="15" t="s">
        <v>25</v>
      </c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4"/>
      <c r="B172" s="19"/>
      <c r="C172" s="19"/>
      <c r="D172" s="21"/>
      <c r="E172" s="15"/>
      <c r="F172" s="24"/>
      <c r="G172" s="24"/>
      <c r="H172" s="24"/>
      <c r="I172" s="24"/>
      <c r="J172" s="24"/>
      <c r="K172" s="24"/>
      <c r="L172" s="24"/>
      <c r="M172" s="24"/>
      <c r="N172" s="24"/>
      <c r="O172" s="15">
        <v>229.72</v>
      </c>
      <c r="P172" s="23" t="s">
        <v>31</v>
      </c>
      <c r="Q172" s="15" t="s">
        <v>32</v>
      </c>
      <c r="R172" s="17"/>
      <c r="S172" s="15"/>
      <c r="T172" s="15" t="s">
        <v>25</v>
      </c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84</v>
      </c>
      <c r="B173" s="19" t="s">
        <v>155</v>
      </c>
      <c r="C173" s="19" t="s">
        <v>34</v>
      </c>
      <c r="D173" s="21" t="s">
        <v>31</v>
      </c>
      <c r="E173" s="15"/>
      <c r="F173" s="24"/>
      <c r="G173" s="24"/>
      <c r="H173" s="24"/>
      <c r="I173" s="24"/>
      <c r="J173" s="24"/>
      <c r="K173" s="24"/>
      <c r="L173" s="24"/>
      <c r="M173" s="24"/>
      <c r="N173" s="24"/>
      <c r="O173" s="15"/>
      <c r="P173" s="23" t="s">
        <v>31</v>
      </c>
      <c r="Q173" s="15" t="s">
        <v>32</v>
      </c>
      <c r="R173" s="17"/>
      <c r="S173" s="15"/>
      <c r="T173" s="15" t="s">
        <v>25</v>
      </c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359.36</v>
      </c>
      <c r="P174" s="23" t="s">
        <v>31</v>
      </c>
      <c r="Q174" s="15" t="s">
        <v>32</v>
      </c>
      <c r="R174" s="17"/>
      <c r="S174" s="15"/>
      <c r="T174" s="15" t="s">
        <v>25</v>
      </c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85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 t="s">
        <v>25</v>
      </c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365.87</v>
      </c>
      <c r="P176" s="23" t="s">
        <v>31</v>
      </c>
      <c r="Q176" s="15" t="s">
        <v>32</v>
      </c>
      <c r="R176" s="17"/>
      <c r="S176" s="15"/>
      <c r="T176" s="15" t="s">
        <v>25</v>
      </c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86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 t="s">
        <v>25</v>
      </c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345.78</v>
      </c>
      <c r="P178" s="23" t="s">
        <v>31</v>
      </c>
      <c r="Q178" s="15" t="s">
        <v>32</v>
      </c>
      <c r="R178" s="17"/>
      <c r="S178" s="15"/>
      <c r="T178" s="15" t="s">
        <v>25</v>
      </c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87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 t="s">
        <v>25</v>
      </c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299.33999999999997</v>
      </c>
      <c r="P180" s="23" t="s">
        <v>31</v>
      </c>
      <c r="Q180" s="15" t="s">
        <v>32</v>
      </c>
      <c r="R180" s="17"/>
      <c r="S180" s="15"/>
      <c r="T180" s="15" t="s">
        <v>25</v>
      </c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88</v>
      </c>
      <c r="B181" s="19" t="s">
        <v>159</v>
      </c>
      <c r="C181" s="19" t="s">
        <v>37</v>
      </c>
      <c r="D181" s="15" t="s">
        <v>160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>
        <v>1600.07</v>
      </c>
      <c r="Q181" s="15" t="s">
        <v>32</v>
      </c>
      <c r="R181" s="17"/>
      <c r="S181" s="15"/>
      <c r="T181" s="15" t="s">
        <v>25</v>
      </c>
      <c r="U181" s="17"/>
      <c r="V181" s="15"/>
      <c r="W181" s="15" t="s">
        <v>28</v>
      </c>
      <c r="X181" s="17">
        <v>45525</v>
      </c>
      <c r="Y181" s="17"/>
      <c r="Z181" s="18"/>
    </row>
    <row r="182" spans="1:26" ht="14.25" customHeight="1">
      <c r="A182" s="24"/>
      <c r="B182" s="19"/>
      <c r="C182" s="19"/>
      <c r="D182" s="15"/>
      <c r="E182" s="15"/>
      <c r="F182" s="24"/>
      <c r="G182" s="24"/>
      <c r="H182" s="24"/>
      <c r="I182" s="24"/>
      <c r="J182" s="15"/>
      <c r="K182" s="15" t="s">
        <v>31</v>
      </c>
      <c r="L182" s="15" t="s">
        <v>31</v>
      </c>
      <c r="M182" s="15" t="s">
        <v>31</v>
      </c>
      <c r="N182" s="15" t="s">
        <v>31</v>
      </c>
      <c r="O182" s="16">
        <v>295.98500000000001</v>
      </c>
      <c r="P182" s="16" t="s">
        <v>31</v>
      </c>
      <c r="Q182" s="15" t="s">
        <v>32</v>
      </c>
      <c r="R182" s="17"/>
      <c r="S182" s="15"/>
      <c r="T182" s="15" t="s">
        <v>25</v>
      </c>
      <c r="U182" s="17"/>
      <c r="V182" s="15"/>
      <c r="W182" s="15" t="s">
        <v>28</v>
      </c>
      <c r="X182" s="17">
        <v>45525</v>
      </c>
      <c r="Y182" s="17"/>
      <c r="Z182" s="18"/>
    </row>
    <row r="183" spans="1:26" ht="14.25" customHeight="1">
      <c r="A183" s="15">
        <f>IF(B183&gt;0,A181+1," ")</f>
        <v>89</v>
      </c>
      <c r="B183" s="19" t="s">
        <v>161</v>
      </c>
      <c r="C183" s="19" t="s">
        <v>39</v>
      </c>
      <c r="D183" s="15" t="s">
        <v>31</v>
      </c>
      <c r="E183" s="15"/>
      <c r="F183" s="24"/>
      <c r="G183" s="24"/>
      <c r="H183" s="24"/>
      <c r="I183" s="24"/>
      <c r="J183" s="15"/>
      <c r="K183" s="15">
        <v>0</v>
      </c>
      <c r="L183" s="15">
        <v>0</v>
      </c>
      <c r="M183" s="15">
        <v>0</v>
      </c>
      <c r="N183" s="15">
        <v>0</v>
      </c>
      <c r="O183" s="15"/>
      <c r="P183" s="16" t="s">
        <v>31</v>
      </c>
      <c r="Q183" s="15" t="s">
        <v>32</v>
      </c>
      <c r="R183" s="17"/>
      <c r="S183" s="15"/>
      <c r="T183" s="15" t="s">
        <v>25</v>
      </c>
      <c r="U183" s="17"/>
      <c r="V183" s="15"/>
      <c r="W183" s="15" t="s">
        <v>28</v>
      </c>
      <c r="X183" s="17">
        <v>45525</v>
      </c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229.905</v>
      </c>
      <c r="P184" s="16" t="s">
        <v>31</v>
      </c>
      <c r="Q184" s="15" t="s">
        <v>32</v>
      </c>
      <c r="R184" s="17"/>
      <c r="S184" s="15"/>
      <c r="T184" s="15" t="s">
        <v>25</v>
      </c>
      <c r="U184" s="17"/>
      <c r="V184" s="15"/>
      <c r="W184" s="15" t="s">
        <v>28</v>
      </c>
      <c r="X184" s="17">
        <v>45525</v>
      </c>
      <c r="Y184" s="17"/>
      <c r="Z184" s="18"/>
    </row>
    <row r="185" spans="1:26" ht="14.25" customHeight="1">
      <c r="A185" s="15">
        <f>IF(B185&gt;0,A183+1," ")</f>
        <v>90</v>
      </c>
      <c r="B185" s="19" t="s">
        <v>162</v>
      </c>
      <c r="C185" s="19" t="s">
        <v>42</v>
      </c>
      <c r="D185" s="15" t="s">
        <v>163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>
        <v>525.89</v>
      </c>
      <c r="Q185" s="15" t="s">
        <v>32</v>
      </c>
      <c r="R185" s="17"/>
      <c r="S185" s="15"/>
      <c r="T185" s="15" t="s">
        <v>25</v>
      </c>
      <c r="U185" s="17"/>
      <c r="V185" s="15"/>
      <c r="W185" s="15" t="s">
        <v>28</v>
      </c>
      <c r="X185" s="17">
        <v>45525</v>
      </c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356.279</v>
      </c>
      <c r="P186" s="16" t="s">
        <v>31</v>
      </c>
      <c r="Q186" s="15" t="s">
        <v>32</v>
      </c>
      <c r="R186" s="17"/>
      <c r="S186" s="15"/>
      <c r="T186" s="15" t="s">
        <v>25</v>
      </c>
      <c r="U186" s="17"/>
      <c r="V186" s="15"/>
      <c r="W186" s="15" t="s">
        <v>28</v>
      </c>
      <c r="X186" s="17">
        <v>45525</v>
      </c>
      <c r="Y186" s="17"/>
      <c r="Z186" s="18"/>
    </row>
    <row r="187" spans="1:26" ht="14.25" customHeight="1">
      <c r="A187" s="15">
        <f>IF(B187&gt;0,A185+1," ")</f>
        <v>91</v>
      </c>
      <c r="B187" s="19" t="s">
        <v>164</v>
      </c>
      <c r="C187" s="19" t="s">
        <v>34</v>
      </c>
      <c r="D187" s="15" t="s">
        <v>165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356.28</v>
      </c>
      <c r="Q187" s="15" t="s">
        <v>32</v>
      </c>
      <c r="R187" s="17"/>
      <c r="S187" s="15"/>
      <c r="T187" s="15" t="s">
        <v>25</v>
      </c>
      <c r="U187" s="17"/>
      <c r="V187" s="15"/>
      <c r="W187" s="15" t="s">
        <v>28</v>
      </c>
      <c r="X187" s="17">
        <v>45525</v>
      </c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313.98399999999998</v>
      </c>
      <c r="P188" s="16" t="s">
        <v>31</v>
      </c>
      <c r="Q188" s="15" t="s">
        <v>32</v>
      </c>
      <c r="R188" s="17"/>
      <c r="S188" s="15"/>
      <c r="T188" s="15" t="s">
        <v>25</v>
      </c>
      <c r="U188" s="17"/>
      <c r="V188" s="15"/>
      <c r="W188" s="15" t="s">
        <v>28</v>
      </c>
      <c r="X188" s="17">
        <v>45525</v>
      </c>
      <c r="Y188" s="17"/>
      <c r="Z188" s="18"/>
    </row>
    <row r="189" spans="1:26" ht="14.25" customHeight="1">
      <c r="A189" s="15">
        <f>IF(B189&gt;0,A187+1," ")</f>
        <v>92</v>
      </c>
      <c r="B189" s="19" t="s">
        <v>166</v>
      </c>
      <c r="C189" s="19" t="s">
        <v>46</v>
      </c>
      <c r="D189" s="15" t="s">
        <v>31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 t="s">
        <v>31</v>
      </c>
      <c r="Q189" s="15" t="s">
        <v>32</v>
      </c>
      <c r="R189" s="17"/>
      <c r="S189" s="15"/>
      <c r="T189" s="15" t="s">
        <v>25</v>
      </c>
      <c r="U189" s="17"/>
      <c r="V189" s="15"/>
      <c r="W189" s="15" t="s">
        <v>28</v>
      </c>
      <c r="X189" s="17">
        <v>45525</v>
      </c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353.60500000000002</v>
      </c>
      <c r="P190" s="16" t="s">
        <v>31</v>
      </c>
      <c r="Q190" s="15" t="s">
        <v>32</v>
      </c>
      <c r="R190" s="17"/>
      <c r="S190" s="15"/>
      <c r="T190" s="15" t="s">
        <v>25</v>
      </c>
      <c r="U190" s="17"/>
      <c r="V190" s="15"/>
      <c r="W190" s="15" t="s">
        <v>28</v>
      </c>
      <c r="X190" s="17">
        <v>45525</v>
      </c>
      <c r="Y190" s="17"/>
      <c r="Z190" s="18"/>
    </row>
    <row r="191" spans="1:26" ht="14.25" customHeight="1">
      <c r="A191" s="15">
        <f>IF(B191&gt;0,A189+1," ")</f>
        <v>93</v>
      </c>
      <c r="B191" s="19" t="s">
        <v>167</v>
      </c>
      <c r="C191" s="19" t="s">
        <v>37</v>
      </c>
      <c r="D191" s="15" t="s">
        <v>168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>
        <v>667.58999999999992</v>
      </c>
      <c r="Q191" s="15" t="s">
        <v>32</v>
      </c>
      <c r="R191" s="17"/>
      <c r="S191" s="15"/>
      <c r="T191" s="15" t="s">
        <v>25</v>
      </c>
      <c r="U191" s="17"/>
      <c r="V191" s="15"/>
      <c r="W191" s="15" t="s">
        <v>28</v>
      </c>
      <c r="X191" s="17">
        <v>45525</v>
      </c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362</v>
      </c>
      <c r="P192" s="16" t="s">
        <v>31</v>
      </c>
      <c r="Q192" s="15" t="s">
        <v>32</v>
      </c>
      <c r="R192" s="17"/>
      <c r="S192" s="15"/>
      <c r="T192" s="15" t="s">
        <v>25</v>
      </c>
      <c r="U192" s="17"/>
      <c r="V192" s="15"/>
      <c r="W192" s="15" t="s">
        <v>28</v>
      </c>
      <c r="X192" s="17">
        <v>45525</v>
      </c>
      <c r="Y192" s="17"/>
      <c r="Z192" s="18"/>
    </row>
    <row r="193" spans="1:26" ht="14.25" customHeight="1">
      <c r="A193" s="15">
        <f>IF(B193&gt;0,A191+1," ")</f>
        <v>94</v>
      </c>
      <c r="B193" s="19" t="s">
        <v>169</v>
      </c>
      <c r="C193" s="19" t="s">
        <v>65</v>
      </c>
      <c r="D193" s="15" t="s">
        <v>31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362</v>
      </c>
      <c r="Q193" s="15" t="s">
        <v>32</v>
      </c>
      <c r="R193" s="17"/>
      <c r="S193" s="15"/>
      <c r="T193" s="15" t="s">
        <v>25</v>
      </c>
      <c r="U193" s="17"/>
      <c r="V193" s="15"/>
      <c r="W193" s="15" t="s">
        <v>28</v>
      </c>
      <c r="X193" s="17">
        <v>45525</v>
      </c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387</v>
      </c>
      <c r="P194" s="16" t="s">
        <v>31</v>
      </c>
      <c r="Q194" s="15" t="s">
        <v>32</v>
      </c>
      <c r="R194" s="17"/>
      <c r="S194" s="15"/>
      <c r="T194" s="15" t="s">
        <v>25</v>
      </c>
      <c r="U194" s="17"/>
      <c r="V194" s="15"/>
      <c r="W194" s="15" t="s">
        <v>28</v>
      </c>
      <c r="X194" s="17">
        <v>45525</v>
      </c>
      <c r="Y194" s="17"/>
      <c r="Z194" s="18"/>
    </row>
    <row r="195" spans="1:26" ht="14.25" customHeight="1">
      <c r="A195" s="15">
        <f>IF(B195&gt;0,A193+1," ")</f>
        <v>95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 t="s">
        <v>31</v>
      </c>
      <c r="Q195" s="15" t="s">
        <v>32</v>
      </c>
      <c r="R195" s="17"/>
      <c r="S195" s="15"/>
      <c r="T195" s="15" t="s">
        <v>25</v>
      </c>
      <c r="U195" s="17"/>
      <c r="V195" s="15"/>
      <c r="W195" s="15" t="s">
        <v>28</v>
      </c>
      <c r="X195" s="17">
        <v>45525</v>
      </c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365</v>
      </c>
      <c r="P196" s="16" t="s">
        <v>31</v>
      </c>
      <c r="Q196" s="15" t="s">
        <v>32</v>
      </c>
      <c r="R196" s="17"/>
      <c r="S196" s="15"/>
      <c r="T196" s="15" t="s">
        <v>25</v>
      </c>
      <c r="U196" s="17"/>
      <c r="V196" s="15"/>
      <c r="W196" s="15" t="s">
        <v>28</v>
      </c>
      <c r="X196" s="17">
        <v>45525</v>
      </c>
      <c r="Y196" s="17"/>
      <c r="Z196" s="18"/>
    </row>
    <row r="197" spans="1:26" ht="14.25" customHeight="1">
      <c r="A197" s="15">
        <f>IF(B197&gt;0,A195+1," ")</f>
        <v>96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>
        <v>752</v>
      </c>
      <c r="Q197" s="15" t="s">
        <v>32</v>
      </c>
      <c r="R197" s="17"/>
      <c r="S197" s="15"/>
      <c r="T197" s="15" t="s">
        <v>25</v>
      </c>
      <c r="U197" s="17"/>
      <c r="V197" s="15"/>
      <c r="W197" s="15" t="s">
        <v>28</v>
      </c>
      <c r="X197" s="17">
        <v>45525</v>
      </c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419</v>
      </c>
      <c r="P198" s="16" t="s">
        <v>31</v>
      </c>
      <c r="Q198" s="15" t="s">
        <v>32</v>
      </c>
      <c r="R198" s="17"/>
      <c r="S198" s="15"/>
      <c r="T198" s="15" t="s">
        <v>25</v>
      </c>
      <c r="U198" s="17"/>
      <c r="V198" s="15"/>
      <c r="W198" s="15" t="s">
        <v>28</v>
      </c>
      <c r="X198" s="17">
        <v>45525</v>
      </c>
      <c r="Y198" s="17"/>
      <c r="Z198" s="18"/>
    </row>
    <row r="199" spans="1:26" ht="14.25" customHeight="1">
      <c r="A199" s="15">
        <f>IF(B199&gt;0,A197+1," ")</f>
        <v>97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 t="s">
        <v>31</v>
      </c>
      <c r="Q199" s="15" t="s">
        <v>32</v>
      </c>
      <c r="R199" s="17"/>
      <c r="S199" s="15"/>
      <c r="T199" s="15" t="s">
        <v>25</v>
      </c>
      <c r="U199" s="17"/>
      <c r="V199" s="15"/>
      <c r="W199" s="15" t="s">
        <v>28</v>
      </c>
      <c r="X199" s="17">
        <v>45525</v>
      </c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331</v>
      </c>
      <c r="P200" s="16" t="s">
        <v>31</v>
      </c>
      <c r="Q200" s="15" t="s">
        <v>32</v>
      </c>
      <c r="R200" s="17"/>
      <c r="S200" s="15"/>
      <c r="T200" s="15" t="s">
        <v>25</v>
      </c>
      <c r="U200" s="17"/>
      <c r="V200" s="15"/>
      <c r="W200" s="15" t="s">
        <v>28</v>
      </c>
      <c r="X200" s="17">
        <v>45525</v>
      </c>
      <c r="Y200" s="17"/>
      <c r="Z200" s="18"/>
    </row>
    <row r="201" spans="1:26" ht="14.25" customHeight="1">
      <c r="A201" s="15">
        <f>IF(B201&gt;0,A199+1," ")</f>
        <v>98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 t="s">
        <v>32</v>
      </c>
      <c r="R201" s="17"/>
      <c r="S201" s="15"/>
      <c r="T201" s="15" t="s">
        <v>25</v>
      </c>
      <c r="U201" s="17"/>
      <c r="V201" s="15"/>
      <c r="W201" s="15" t="s">
        <v>28</v>
      </c>
      <c r="X201" s="17">
        <v>45525</v>
      </c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390</v>
      </c>
      <c r="P202" s="16" t="s">
        <v>31</v>
      </c>
      <c r="Q202" s="15" t="s">
        <v>32</v>
      </c>
      <c r="R202" s="17"/>
      <c r="S202" s="15"/>
      <c r="T202" s="15" t="s">
        <v>25</v>
      </c>
      <c r="U202" s="17"/>
      <c r="V202" s="15"/>
      <c r="W202" s="15" t="s">
        <v>28</v>
      </c>
      <c r="X202" s="17">
        <v>45525</v>
      </c>
      <c r="Y202" s="17"/>
      <c r="Z202" s="18"/>
    </row>
    <row r="203" spans="1:26" ht="14.25" customHeight="1">
      <c r="A203" s="15">
        <f>IF(B203&gt;0,A201+1," ")</f>
        <v>99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 t="s">
        <v>32</v>
      </c>
      <c r="R203" s="17"/>
      <c r="S203" s="15"/>
      <c r="T203" s="15" t="s">
        <v>25</v>
      </c>
      <c r="U203" s="17"/>
      <c r="V203" s="15"/>
      <c r="W203" s="15" t="s">
        <v>28</v>
      </c>
      <c r="X203" s="17">
        <v>45525</v>
      </c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349</v>
      </c>
      <c r="P204" s="16" t="s">
        <v>31</v>
      </c>
      <c r="Q204" s="15" t="s">
        <v>32</v>
      </c>
      <c r="R204" s="17"/>
      <c r="S204" s="15"/>
      <c r="T204" s="15" t="s">
        <v>25</v>
      </c>
      <c r="U204" s="17"/>
      <c r="V204" s="15"/>
      <c r="W204" s="15" t="s">
        <v>28</v>
      </c>
      <c r="X204" s="17">
        <v>45525</v>
      </c>
      <c r="Y204" s="17"/>
      <c r="Z204" s="18"/>
    </row>
    <row r="205" spans="1:26" ht="14.25" customHeight="1">
      <c r="A205" s="15">
        <f>IF(B205&gt;0,A203+1," ")</f>
        <v>100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 t="s">
        <v>32</v>
      </c>
      <c r="R205" s="17"/>
      <c r="S205" s="15"/>
      <c r="T205" s="15" t="s">
        <v>25</v>
      </c>
      <c r="U205" s="17"/>
      <c r="V205" s="15"/>
      <c r="W205" s="15" t="s">
        <v>28</v>
      </c>
      <c r="X205" s="17">
        <v>45525</v>
      </c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324</v>
      </c>
      <c r="P206" s="16" t="s">
        <v>31</v>
      </c>
      <c r="Q206" s="15" t="s">
        <v>32</v>
      </c>
      <c r="R206" s="17"/>
      <c r="S206" s="15"/>
      <c r="T206" s="15" t="s">
        <v>25</v>
      </c>
      <c r="U206" s="17"/>
      <c r="V206" s="15"/>
      <c r="W206" s="15" t="s">
        <v>28</v>
      </c>
      <c r="X206" s="17">
        <v>45525</v>
      </c>
      <c r="Y206" s="17"/>
      <c r="Z206" s="18"/>
    </row>
    <row r="207" spans="1:26" ht="14.25" customHeight="1">
      <c r="A207" s="15">
        <f>IF(B207&gt;0,A205+1," ")</f>
        <v>101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 t="s">
        <v>32</v>
      </c>
      <c r="R207" s="17"/>
      <c r="S207" s="15"/>
      <c r="T207" s="15" t="s">
        <v>25</v>
      </c>
      <c r="U207" s="17"/>
      <c r="V207" s="15"/>
      <c r="W207" s="15" t="s">
        <v>28</v>
      </c>
      <c r="X207" s="17">
        <v>45525</v>
      </c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413</v>
      </c>
      <c r="P208" s="16" t="s">
        <v>31</v>
      </c>
      <c r="Q208" s="15" t="s">
        <v>32</v>
      </c>
      <c r="R208" s="17"/>
      <c r="S208" s="15"/>
      <c r="T208" s="15" t="s">
        <v>25</v>
      </c>
      <c r="U208" s="17"/>
      <c r="V208" s="15"/>
      <c r="W208" s="15" t="s">
        <v>28</v>
      </c>
      <c r="X208" s="17">
        <v>45525</v>
      </c>
      <c r="Y208" s="17"/>
      <c r="Z208" s="18"/>
    </row>
    <row r="209" spans="1:26" ht="14.25" customHeight="1">
      <c r="A209" s="15">
        <f>IF(B209&gt;0,A207+1," ")</f>
        <v>102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 t="s">
        <v>32</v>
      </c>
      <c r="R209" s="17"/>
      <c r="S209" s="15"/>
      <c r="T209" s="15" t="s">
        <v>25</v>
      </c>
      <c r="U209" s="17"/>
      <c r="V209" s="15"/>
      <c r="W209" s="15" t="s">
        <v>28</v>
      </c>
      <c r="X209" s="17">
        <v>45525</v>
      </c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310.18</v>
      </c>
      <c r="P210" s="16" t="s">
        <v>31</v>
      </c>
      <c r="Q210" s="15" t="s">
        <v>32</v>
      </c>
      <c r="R210" s="17"/>
      <c r="S210" s="15"/>
      <c r="T210" s="15" t="s">
        <v>25</v>
      </c>
      <c r="U210" s="17"/>
      <c r="V210" s="15"/>
      <c r="W210" s="15" t="s">
        <v>28</v>
      </c>
      <c r="X210" s="17">
        <v>45525</v>
      </c>
      <c r="Y210" s="17"/>
      <c r="Z210" s="18"/>
    </row>
    <row r="211" spans="1:26" ht="14.25" customHeight="1">
      <c r="A211" s="15">
        <f>IF(B211&gt;0,A209+1," ")</f>
        <v>103</v>
      </c>
      <c r="B211" s="19" t="s">
        <v>178</v>
      </c>
      <c r="C211" s="19" t="s">
        <v>42</v>
      </c>
      <c r="D211" s="15" t="s">
        <v>179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>
        <v>2536.1799999999998</v>
      </c>
      <c r="Q211" s="15" t="s">
        <v>32</v>
      </c>
      <c r="R211" s="17"/>
      <c r="S211" s="15"/>
      <c r="T211" s="15" t="s">
        <v>25</v>
      </c>
      <c r="U211" s="17"/>
      <c r="V211" s="15"/>
      <c r="W211" s="15" t="s">
        <v>28</v>
      </c>
      <c r="X211" s="17">
        <v>45525</v>
      </c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378.48200000000003</v>
      </c>
      <c r="P212" s="16" t="s">
        <v>31</v>
      </c>
      <c r="Q212" s="15" t="s">
        <v>32</v>
      </c>
      <c r="R212" s="17"/>
      <c r="S212" s="15"/>
      <c r="T212" s="15" t="s">
        <v>25</v>
      </c>
      <c r="U212" s="17"/>
      <c r="V212" s="15"/>
      <c r="W212" s="15" t="s">
        <v>28</v>
      </c>
      <c r="X212" s="17">
        <v>45525</v>
      </c>
      <c r="Y212" s="17"/>
      <c r="Z212" s="18"/>
    </row>
    <row r="213" spans="1:26" ht="14.25" customHeight="1">
      <c r="A213" s="15">
        <f>IF(B213&gt;0,A211+1," ")</f>
        <v>104</v>
      </c>
      <c r="B213" s="19" t="s">
        <v>180</v>
      </c>
      <c r="C213" s="19" t="s">
        <v>34</v>
      </c>
      <c r="D213" s="15" t="s">
        <v>31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 t="s">
        <v>31</v>
      </c>
      <c r="Q213" s="15" t="s">
        <v>32</v>
      </c>
      <c r="R213" s="17"/>
      <c r="S213" s="15"/>
      <c r="T213" s="15" t="s">
        <v>25</v>
      </c>
      <c r="U213" s="17"/>
      <c r="V213" s="15"/>
      <c r="W213" s="15" t="s">
        <v>28</v>
      </c>
      <c r="X213" s="17">
        <v>45525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304.51799999999997</v>
      </c>
      <c r="P214" s="16" t="s">
        <v>31</v>
      </c>
      <c r="Q214" s="15" t="s">
        <v>32</v>
      </c>
      <c r="R214" s="17"/>
      <c r="S214" s="15"/>
      <c r="T214" s="15" t="s">
        <v>25</v>
      </c>
      <c r="U214" s="17"/>
      <c r="V214" s="15"/>
      <c r="W214" s="15" t="s">
        <v>28</v>
      </c>
      <c r="X214" s="17">
        <v>45525</v>
      </c>
      <c r="Y214" s="17"/>
      <c r="Z214" s="18"/>
    </row>
    <row r="215" spans="1:26" ht="14.25" customHeight="1">
      <c r="A215" s="15">
        <f>IF(B215&gt;0,A213+1," ")</f>
        <v>105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 t="s">
        <v>32</v>
      </c>
      <c r="R215" s="17"/>
      <c r="S215" s="15"/>
      <c r="T215" s="15" t="s">
        <v>25</v>
      </c>
      <c r="U215" s="17"/>
      <c r="V215" s="15"/>
      <c r="W215" s="15" t="s">
        <v>28</v>
      </c>
      <c r="X215" s="17">
        <v>45525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332.96600000000001</v>
      </c>
      <c r="P216" s="16" t="s">
        <v>31</v>
      </c>
      <c r="Q216" s="15" t="s">
        <v>32</v>
      </c>
      <c r="R216" s="17"/>
      <c r="S216" s="15"/>
      <c r="T216" s="15" t="s">
        <v>25</v>
      </c>
      <c r="U216" s="17"/>
      <c r="V216" s="15"/>
      <c r="W216" s="15" t="s">
        <v>28</v>
      </c>
      <c r="X216" s="17">
        <v>45525</v>
      </c>
      <c r="Y216" s="17"/>
      <c r="Z216" s="18"/>
    </row>
    <row r="217" spans="1:26" ht="14.25" customHeight="1">
      <c r="A217" s="15">
        <f>IF(B217&gt;0,A215+1," ")</f>
        <v>106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 t="s">
        <v>32</v>
      </c>
      <c r="R217" s="17"/>
      <c r="S217" s="15"/>
      <c r="T217" s="15" t="s">
        <v>25</v>
      </c>
      <c r="U217" s="17"/>
      <c r="V217" s="15"/>
      <c r="W217" s="15" t="s">
        <v>28</v>
      </c>
      <c r="X217" s="17">
        <v>45525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362.71600000000001</v>
      </c>
      <c r="P218" s="16" t="s">
        <v>31</v>
      </c>
      <c r="Q218" s="15" t="s">
        <v>32</v>
      </c>
      <c r="R218" s="17"/>
      <c r="S218" s="15"/>
      <c r="T218" s="15" t="s">
        <v>25</v>
      </c>
      <c r="U218" s="17"/>
      <c r="V218" s="15"/>
      <c r="W218" s="15" t="s">
        <v>28</v>
      </c>
      <c r="X218" s="17">
        <v>45525</v>
      </c>
      <c r="Y218" s="17"/>
      <c r="Z218" s="18"/>
    </row>
    <row r="219" spans="1:26" ht="14.25" customHeight="1">
      <c r="A219" s="15">
        <f>IF(B219&gt;0,A217+1," ")</f>
        <v>107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 t="s">
        <v>32</v>
      </c>
      <c r="R219" s="17"/>
      <c r="S219" s="15"/>
      <c r="T219" s="15" t="s">
        <v>25</v>
      </c>
      <c r="U219" s="17"/>
      <c r="V219" s="15"/>
      <c r="W219" s="15" t="s">
        <v>28</v>
      </c>
      <c r="X219" s="17">
        <v>45525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383.83100000000002</v>
      </c>
      <c r="P220" s="16" t="s">
        <v>31</v>
      </c>
      <c r="Q220" s="15" t="s">
        <v>32</v>
      </c>
      <c r="R220" s="17"/>
      <c r="S220" s="15"/>
      <c r="T220" s="15" t="s">
        <v>25</v>
      </c>
      <c r="U220" s="17"/>
      <c r="V220" s="15"/>
      <c r="W220" s="15" t="s">
        <v>28</v>
      </c>
      <c r="X220" s="17">
        <v>45525</v>
      </c>
      <c r="Y220" s="17"/>
      <c r="Z220" s="18"/>
    </row>
    <row r="221" spans="1:26" ht="14.25" customHeight="1">
      <c r="A221" s="15">
        <f>IF(B221&gt;0,A219+1," ")</f>
        <v>108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 t="s">
        <v>32</v>
      </c>
      <c r="R221" s="17"/>
      <c r="S221" s="15"/>
      <c r="T221" s="15" t="s">
        <v>25</v>
      </c>
      <c r="U221" s="17"/>
      <c r="V221" s="15"/>
      <c r="W221" s="15" t="s">
        <v>28</v>
      </c>
      <c r="X221" s="17">
        <v>45525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361.488</v>
      </c>
      <c r="P222" s="16" t="s">
        <v>31</v>
      </c>
      <c r="Q222" s="15" t="s">
        <v>32</v>
      </c>
      <c r="R222" s="17"/>
      <c r="S222" s="15"/>
      <c r="T222" s="15" t="s">
        <v>25</v>
      </c>
      <c r="U222" s="17"/>
      <c r="V222" s="15"/>
      <c r="W222" s="15" t="s">
        <v>28</v>
      </c>
      <c r="X222" s="17">
        <v>45525</v>
      </c>
      <c r="Y222" s="17"/>
      <c r="Z222" s="18"/>
    </row>
    <row r="223" spans="1:26" ht="14.25" customHeight="1">
      <c r="A223" s="15">
        <f>IF(B223&gt;0,A221+1," ")</f>
        <v>109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 t="s">
        <v>32</v>
      </c>
      <c r="R223" s="17"/>
      <c r="S223" s="15"/>
      <c r="T223" s="15" t="s">
        <v>25</v>
      </c>
      <c r="U223" s="17"/>
      <c r="V223" s="15"/>
      <c r="W223" s="15" t="s">
        <v>28</v>
      </c>
      <c r="X223" s="17">
        <v>45525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310.70299999999997</v>
      </c>
      <c r="P224" s="16" t="s">
        <v>31</v>
      </c>
      <c r="Q224" s="15" t="s">
        <v>32</v>
      </c>
      <c r="R224" s="17"/>
      <c r="S224" s="15"/>
      <c r="T224" s="15" t="s">
        <v>25</v>
      </c>
      <c r="U224" s="17"/>
      <c r="V224" s="15"/>
      <c r="W224" s="15" t="s">
        <v>28</v>
      </c>
      <c r="X224" s="17">
        <v>45525</v>
      </c>
      <c r="Y224" s="17"/>
      <c r="Z224" s="18"/>
    </row>
    <row r="225" spans="1:26" ht="14.25" customHeight="1">
      <c r="A225" s="15">
        <f>IF(B225&gt;0,A223+1," ")</f>
        <v>110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 t="s">
        <v>32</v>
      </c>
      <c r="R225" s="17"/>
      <c r="S225" s="15"/>
      <c r="T225" s="15" t="s">
        <v>25</v>
      </c>
      <c r="U225" s="17"/>
      <c r="V225" s="15"/>
      <c r="W225" s="15" t="s">
        <v>28</v>
      </c>
      <c r="X225" s="17">
        <v>45525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381.29700000000003</v>
      </c>
      <c r="P226" s="16" t="s">
        <v>31</v>
      </c>
      <c r="Q226" s="15" t="s">
        <v>32</v>
      </c>
      <c r="R226" s="17"/>
      <c r="S226" s="15"/>
      <c r="T226" s="15" t="s">
        <v>25</v>
      </c>
      <c r="U226" s="17"/>
      <c r="V226" s="15"/>
      <c r="W226" s="15" t="s">
        <v>28</v>
      </c>
      <c r="X226" s="17">
        <v>45525</v>
      </c>
      <c r="Y226" s="17"/>
      <c r="Z226" s="18"/>
    </row>
    <row r="227" spans="1:26" ht="14.25" customHeight="1">
      <c r="A227" s="15">
        <f>IF(B227&gt;0,A225+1," ")</f>
        <v>111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 t="s">
        <v>32</v>
      </c>
      <c r="R227" s="17"/>
      <c r="S227" s="15"/>
      <c r="T227" s="15" t="s">
        <v>25</v>
      </c>
      <c r="U227" s="17"/>
      <c r="V227" s="15"/>
      <c r="W227" s="15" t="s">
        <v>28</v>
      </c>
      <c r="X227" s="17">
        <v>45525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316</v>
      </c>
      <c r="P228" s="16" t="s">
        <v>31</v>
      </c>
      <c r="Q228" s="15" t="s">
        <v>32</v>
      </c>
      <c r="R228" s="17"/>
      <c r="S228" s="15"/>
      <c r="T228" s="15" t="s">
        <v>25</v>
      </c>
      <c r="U228" s="17"/>
      <c r="V228" s="15"/>
      <c r="W228" s="15" t="s">
        <v>28</v>
      </c>
      <c r="X228" s="17">
        <v>45525</v>
      </c>
      <c r="Y228" s="17"/>
      <c r="Z228" s="18"/>
    </row>
    <row r="229" spans="1:26" ht="14.25" customHeight="1">
      <c r="A229" s="15">
        <f>IF(B229&gt;0,A227+1," ")</f>
        <v>112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 t="s">
        <v>32</v>
      </c>
      <c r="R229" s="17"/>
      <c r="S229" s="15"/>
      <c r="T229" s="15" t="s">
        <v>25</v>
      </c>
      <c r="U229" s="17"/>
      <c r="V229" s="15"/>
      <c r="W229" s="15" t="s">
        <v>28</v>
      </c>
      <c r="X229" s="17">
        <v>45525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290.452</v>
      </c>
      <c r="P230" s="16" t="s">
        <v>31</v>
      </c>
      <c r="Q230" s="15" t="s">
        <v>32</v>
      </c>
      <c r="R230" s="17"/>
      <c r="S230" s="15"/>
      <c r="T230" s="15" t="s">
        <v>25</v>
      </c>
      <c r="U230" s="17"/>
      <c r="V230" s="15"/>
      <c r="W230" s="15" t="s">
        <v>28</v>
      </c>
      <c r="X230" s="17">
        <v>45525</v>
      </c>
      <c r="Y230" s="17"/>
      <c r="Z230" s="18"/>
    </row>
    <row r="231" spans="1:26" ht="14.25" customHeight="1">
      <c r="A231" s="15">
        <f>IF(B231&gt;0,A229+1," ")</f>
        <v>113</v>
      </c>
      <c r="B231" s="19" t="s">
        <v>189</v>
      </c>
      <c r="C231" s="19" t="s">
        <v>42</v>
      </c>
      <c r="D231" s="15" t="s">
        <v>190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>
        <v>3422.45</v>
      </c>
      <c r="Q231" s="15" t="s">
        <v>32</v>
      </c>
      <c r="R231" s="17"/>
      <c r="S231" s="15"/>
      <c r="T231" s="15" t="s">
        <v>25</v>
      </c>
      <c r="U231" s="17"/>
      <c r="V231" s="15"/>
      <c r="W231" s="15" t="s">
        <v>28</v>
      </c>
      <c r="X231" s="17">
        <v>45525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306</v>
      </c>
      <c r="P232" s="16" t="s">
        <v>31</v>
      </c>
      <c r="Q232" s="15" t="s">
        <v>32</v>
      </c>
      <c r="R232" s="17"/>
      <c r="S232" s="15"/>
      <c r="T232" s="15" t="s">
        <v>25</v>
      </c>
      <c r="U232" s="17"/>
      <c r="V232" s="15"/>
      <c r="W232" s="15" t="s">
        <v>28</v>
      </c>
      <c r="X232" s="17">
        <v>45525</v>
      </c>
      <c r="Y232" s="17"/>
      <c r="Z232" s="18"/>
    </row>
    <row r="233" spans="1:26" ht="14.25" customHeight="1">
      <c r="A233" s="15">
        <f>IF(B233&gt;0,A231+1," ")</f>
        <v>114</v>
      </c>
      <c r="B233" s="19" t="s">
        <v>191</v>
      </c>
      <c r="C233" s="19" t="s">
        <v>39</v>
      </c>
      <c r="D233" s="15" t="s">
        <v>31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 t="s">
        <v>31</v>
      </c>
      <c r="Q233" s="15" t="s">
        <v>32</v>
      </c>
      <c r="R233" s="17"/>
      <c r="S233" s="15"/>
      <c r="T233" s="15" t="s">
        <v>25</v>
      </c>
      <c r="U233" s="17"/>
      <c r="V233" s="15"/>
      <c r="W233" s="15" t="s">
        <v>28</v>
      </c>
      <c r="X233" s="17">
        <v>45525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336</v>
      </c>
      <c r="P234" s="16" t="s">
        <v>31</v>
      </c>
      <c r="Q234" s="15" t="s">
        <v>32</v>
      </c>
      <c r="R234" s="17"/>
      <c r="S234" s="15"/>
      <c r="T234" s="15" t="s">
        <v>25</v>
      </c>
      <c r="U234" s="17"/>
      <c r="V234" s="15"/>
      <c r="W234" s="15" t="s">
        <v>28</v>
      </c>
      <c r="X234" s="17">
        <v>45525</v>
      </c>
      <c r="Y234" s="17"/>
      <c r="Z234" s="18"/>
    </row>
    <row r="235" spans="1:26" ht="14.25" customHeight="1">
      <c r="A235" s="15">
        <f>IF(B235&gt;0,A233+1," ")</f>
        <v>115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 t="s">
        <v>32</v>
      </c>
      <c r="R235" s="17"/>
      <c r="S235" s="15"/>
      <c r="T235" s="15" t="s">
        <v>25</v>
      </c>
      <c r="U235" s="17"/>
      <c r="V235" s="15"/>
      <c r="W235" s="15" t="s">
        <v>28</v>
      </c>
      <c r="X235" s="17">
        <v>45525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337</v>
      </c>
      <c r="P236" s="16" t="s">
        <v>31</v>
      </c>
      <c r="Q236" s="15" t="s">
        <v>32</v>
      </c>
      <c r="R236" s="17"/>
      <c r="S236" s="15"/>
      <c r="T236" s="15" t="s">
        <v>25</v>
      </c>
      <c r="U236" s="17"/>
      <c r="V236" s="15"/>
      <c r="W236" s="15" t="s">
        <v>28</v>
      </c>
      <c r="X236" s="17">
        <v>45525</v>
      </c>
      <c r="Y236" s="17"/>
      <c r="Z236" s="18"/>
    </row>
    <row r="237" spans="1:26" ht="14.25" customHeight="1">
      <c r="A237" s="15">
        <f>IF(B237&gt;0,A235+1," ")</f>
        <v>116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 t="s">
        <v>32</v>
      </c>
      <c r="R237" s="17"/>
      <c r="S237" s="15"/>
      <c r="T237" s="15" t="s">
        <v>25</v>
      </c>
      <c r="U237" s="17"/>
      <c r="V237" s="15"/>
      <c r="W237" s="15" t="s">
        <v>28</v>
      </c>
      <c r="X237" s="17">
        <v>45525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328.65</v>
      </c>
      <c r="P238" s="16" t="s">
        <v>31</v>
      </c>
      <c r="Q238" s="15" t="s">
        <v>32</v>
      </c>
      <c r="R238" s="17"/>
      <c r="S238" s="15"/>
      <c r="T238" s="15" t="s">
        <v>25</v>
      </c>
      <c r="U238" s="17"/>
      <c r="V238" s="15"/>
      <c r="W238" s="15" t="s">
        <v>28</v>
      </c>
      <c r="X238" s="17">
        <v>45525</v>
      </c>
      <c r="Y238" s="17"/>
      <c r="Z238" s="18"/>
    </row>
    <row r="239" spans="1:26" ht="14.25" customHeight="1">
      <c r="A239" s="15">
        <f>IF(B239&gt;0,A237+1," ")</f>
        <v>117</v>
      </c>
      <c r="B239" s="19" t="s">
        <v>194</v>
      </c>
      <c r="C239" s="19" t="s">
        <v>37</v>
      </c>
      <c r="D239" s="15" t="s">
        <v>195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>
        <v>1307.6500000000001</v>
      </c>
      <c r="Q239" s="15" t="s">
        <v>32</v>
      </c>
      <c r="R239" s="17"/>
      <c r="S239" s="15"/>
      <c r="T239" s="15" t="s">
        <v>25</v>
      </c>
      <c r="U239" s="17"/>
      <c r="V239" s="15"/>
      <c r="W239" s="15" t="s">
        <v>28</v>
      </c>
      <c r="X239" s="17">
        <v>45525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362</v>
      </c>
      <c r="P240" s="16" t="s">
        <v>31</v>
      </c>
      <c r="Q240" s="15" t="s">
        <v>32</v>
      </c>
      <c r="R240" s="17"/>
      <c r="S240" s="15"/>
      <c r="T240" s="15" t="s">
        <v>25</v>
      </c>
      <c r="U240" s="17"/>
      <c r="V240" s="15"/>
      <c r="W240" s="15" t="s">
        <v>28</v>
      </c>
      <c r="X240" s="17">
        <v>45525</v>
      </c>
      <c r="Y240" s="17"/>
      <c r="Z240" s="18"/>
    </row>
    <row r="241" spans="1:26" ht="14.25" customHeight="1">
      <c r="A241" s="15">
        <f>IF(B241&gt;0,A239+1," ")</f>
        <v>118</v>
      </c>
      <c r="B241" s="19" t="s">
        <v>196</v>
      </c>
      <c r="C241" s="19" t="s">
        <v>46</v>
      </c>
      <c r="D241" s="15" t="s">
        <v>31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 t="s">
        <v>31</v>
      </c>
      <c r="Q241" s="15" t="s">
        <v>32</v>
      </c>
      <c r="R241" s="17"/>
      <c r="S241" s="15"/>
      <c r="T241" s="15" t="s">
        <v>25</v>
      </c>
      <c r="U241" s="17"/>
      <c r="V241" s="15"/>
      <c r="W241" s="15" t="s">
        <v>28</v>
      </c>
      <c r="X241" s="17">
        <v>45525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364</v>
      </c>
      <c r="P242" s="16" t="s">
        <v>31</v>
      </c>
      <c r="Q242" s="15" t="s">
        <v>32</v>
      </c>
      <c r="R242" s="17"/>
      <c r="S242" s="15"/>
      <c r="T242" s="15" t="s">
        <v>25</v>
      </c>
      <c r="U242" s="17"/>
      <c r="V242" s="15"/>
      <c r="W242" s="15" t="s">
        <v>28</v>
      </c>
      <c r="X242" s="17">
        <v>45525</v>
      </c>
      <c r="Y242" s="17"/>
      <c r="Z242" s="18"/>
    </row>
    <row r="243" spans="1:26" ht="14.25" customHeight="1">
      <c r="A243" s="15">
        <f>IF(B243&gt;0,A241+1," ")</f>
        <v>119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 t="s">
        <v>32</v>
      </c>
      <c r="R243" s="17"/>
      <c r="S243" s="15"/>
      <c r="T243" s="15" t="s">
        <v>25</v>
      </c>
      <c r="U243" s="17"/>
      <c r="V243" s="15"/>
      <c r="W243" s="15" t="s">
        <v>28</v>
      </c>
      <c r="X243" s="17">
        <v>45525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388</v>
      </c>
      <c r="P244" s="16" t="s">
        <v>31</v>
      </c>
      <c r="Q244" s="15" t="s">
        <v>32</v>
      </c>
      <c r="R244" s="17"/>
      <c r="S244" s="15"/>
      <c r="T244" s="15" t="s">
        <v>25</v>
      </c>
      <c r="U244" s="17"/>
      <c r="V244" s="15"/>
      <c r="W244" s="15" t="s">
        <v>28</v>
      </c>
      <c r="X244" s="17">
        <v>45525</v>
      </c>
      <c r="Y244" s="17"/>
      <c r="Z244" s="18"/>
    </row>
    <row r="245" spans="1:26" ht="14.25" customHeight="1">
      <c r="A245" s="15">
        <f>IF(B245&gt;0,A243+1," ")</f>
        <v>120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 t="s">
        <v>32</v>
      </c>
      <c r="R245" s="17"/>
      <c r="S245" s="15"/>
      <c r="T245" s="15" t="s">
        <v>25</v>
      </c>
      <c r="U245" s="17"/>
      <c r="V245" s="15"/>
      <c r="W245" s="15" t="s">
        <v>28</v>
      </c>
      <c r="X245" s="17">
        <v>45525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321.97000000000003</v>
      </c>
      <c r="P246" s="16" t="s">
        <v>31</v>
      </c>
      <c r="Q246" s="15" t="s">
        <v>32</v>
      </c>
      <c r="R246" s="17"/>
      <c r="S246" s="15"/>
      <c r="T246" s="15" t="s">
        <v>25</v>
      </c>
      <c r="U246" s="17"/>
      <c r="V246" s="15"/>
      <c r="W246" s="15" t="s">
        <v>28</v>
      </c>
      <c r="X246" s="17">
        <v>45525</v>
      </c>
      <c r="Y246" s="17"/>
      <c r="Z246" s="18"/>
    </row>
    <row r="247" spans="1:26" ht="14.25" customHeight="1">
      <c r="A247" s="15">
        <f>IF(B247&gt;0,A245+1," ")</f>
        <v>121</v>
      </c>
      <c r="B247" s="19" t="s">
        <v>199</v>
      </c>
      <c r="C247" s="19" t="s">
        <v>56</v>
      </c>
      <c r="D247" s="15" t="s">
        <v>200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>
        <v>1435.97</v>
      </c>
      <c r="Q247" s="15" t="s">
        <v>32</v>
      </c>
      <c r="R247" s="17"/>
      <c r="S247" s="15"/>
      <c r="T247" s="15" t="s">
        <v>25</v>
      </c>
      <c r="U247" s="17"/>
      <c r="V247" s="15"/>
      <c r="W247" s="15" t="s">
        <v>28</v>
      </c>
      <c r="X247" s="17">
        <v>45525</v>
      </c>
      <c r="Y247" s="17"/>
      <c r="Z247" s="18"/>
    </row>
    <row r="248" spans="1:26" ht="14.25" customHeight="1">
      <c r="A248" s="24"/>
      <c r="B248" s="19"/>
      <c r="C248" s="19"/>
      <c r="D248" s="21"/>
      <c r="E248" s="15"/>
      <c r="F248" s="24"/>
      <c r="G248" s="24"/>
      <c r="H248" s="24"/>
      <c r="I248" s="24"/>
      <c r="J248" s="24"/>
      <c r="K248" s="24"/>
      <c r="L248" s="24"/>
      <c r="M248" s="24"/>
      <c r="N248" s="24"/>
      <c r="O248" s="25">
        <v>365.48399999999998</v>
      </c>
      <c r="P248" s="23"/>
      <c r="Q248" s="15" t="s">
        <v>32</v>
      </c>
      <c r="R248" s="17"/>
      <c r="S248" s="15"/>
      <c r="T248" s="15" t="s">
        <v>25</v>
      </c>
      <c r="U248" s="17"/>
      <c r="V248" s="15"/>
      <c r="W248" s="15" t="s">
        <v>28</v>
      </c>
      <c r="X248" s="17"/>
      <c r="Y248" s="17"/>
      <c r="Z248" s="18"/>
    </row>
    <row r="249" spans="1:26" ht="14.25" customHeight="1">
      <c r="A249" s="15">
        <f>IF(B249&gt;0,A247+1," ")</f>
        <v>122</v>
      </c>
      <c r="B249" s="19" t="s">
        <v>201</v>
      </c>
      <c r="C249" s="19" t="s">
        <v>39</v>
      </c>
      <c r="D249" s="21"/>
      <c r="E249" s="15"/>
      <c r="F249" s="24"/>
      <c r="G249" s="24"/>
      <c r="H249" s="24"/>
      <c r="I249" s="24"/>
      <c r="J249" s="24"/>
      <c r="K249" s="24"/>
      <c r="L249" s="24"/>
      <c r="M249" s="24"/>
      <c r="N249" s="24"/>
      <c r="O249" s="25"/>
      <c r="P249" s="23"/>
      <c r="Q249" s="15" t="s">
        <v>32</v>
      </c>
      <c r="R249" s="17"/>
      <c r="S249" s="15"/>
      <c r="T249" s="15" t="s">
        <v>25</v>
      </c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373.96600000000001</v>
      </c>
      <c r="P250" s="23"/>
      <c r="Q250" s="15" t="s">
        <v>32</v>
      </c>
      <c r="R250" s="17"/>
      <c r="S250" s="15"/>
      <c r="T250" s="15" t="s">
        <v>25</v>
      </c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123</v>
      </c>
      <c r="B251" s="19" t="s">
        <v>202</v>
      </c>
      <c r="C251" s="19" t="s">
        <v>42</v>
      </c>
      <c r="D251" s="21"/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 t="s">
        <v>32</v>
      </c>
      <c r="R251" s="17"/>
      <c r="S251" s="15"/>
      <c r="T251" s="15" t="s">
        <v>25</v>
      </c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356.05399999999997</v>
      </c>
      <c r="P252" s="23"/>
      <c r="Q252" s="15" t="s">
        <v>32</v>
      </c>
      <c r="R252" s="17"/>
      <c r="S252" s="15"/>
      <c r="T252" s="15" t="s">
        <v>25</v>
      </c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124</v>
      </c>
      <c r="B253" s="19" t="s">
        <v>203</v>
      </c>
      <c r="C253" s="19" t="s">
        <v>37</v>
      </c>
      <c r="D253" s="21"/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 t="s">
        <v>32</v>
      </c>
      <c r="R253" s="17"/>
      <c r="S253" s="15"/>
      <c r="T253" s="15" t="s">
        <v>25</v>
      </c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349.66300000000001</v>
      </c>
      <c r="P254" s="23"/>
      <c r="Q254" s="15" t="s">
        <v>32</v>
      </c>
      <c r="R254" s="17"/>
      <c r="S254" s="15"/>
      <c r="T254" s="15" t="s">
        <v>25</v>
      </c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125</v>
      </c>
      <c r="B255" s="19" t="s">
        <v>204</v>
      </c>
      <c r="C255" s="19" t="s">
        <v>42</v>
      </c>
      <c r="D255" s="21"/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 t="s">
        <v>32</v>
      </c>
      <c r="R255" s="17"/>
      <c r="S255" s="15"/>
      <c r="T255" s="15" t="s">
        <v>25</v>
      </c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353.11500000000001</v>
      </c>
      <c r="P256" s="23"/>
      <c r="Q256" s="15" t="s">
        <v>32</v>
      </c>
      <c r="R256" s="17"/>
      <c r="S256" s="15"/>
      <c r="T256" s="15" t="s">
        <v>25</v>
      </c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126</v>
      </c>
      <c r="B257" s="19" t="s">
        <v>205</v>
      </c>
      <c r="C257" s="19" t="s">
        <v>42</v>
      </c>
      <c r="D257" s="21"/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 t="s">
        <v>32</v>
      </c>
      <c r="R257" s="17"/>
      <c r="S257" s="15"/>
      <c r="T257" s="15" t="s">
        <v>25</v>
      </c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374.20100000000002</v>
      </c>
      <c r="P258" s="23"/>
      <c r="Q258" s="15" t="s">
        <v>32</v>
      </c>
      <c r="R258" s="17"/>
      <c r="S258" s="15"/>
      <c r="T258" s="15" t="s">
        <v>25</v>
      </c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127</v>
      </c>
      <c r="B259" s="19" t="s">
        <v>206</v>
      </c>
      <c r="C259" s="19" t="s">
        <v>37</v>
      </c>
      <c r="D259" s="21"/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 t="s">
        <v>32</v>
      </c>
      <c r="R259" s="17"/>
      <c r="S259" s="15"/>
      <c r="T259" s="15" t="s">
        <v>25</v>
      </c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341.32100000000003</v>
      </c>
      <c r="P260" s="23"/>
      <c r="Q260" s="15" t="s">
        <v>32</v>
      </c>
      <c r="R260" s="17"/>
      <c r="S260" s="15"/>
      <c r="T260" s="15" t="s">
        <v>25</v>
      </c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128</v>
      </c>
      <c r="B261" s="19" t="s">
        <v>207</v>
      </c>
      <c r="C261" s="19" t="s">
        <v>37</v>
      </c>
      <c r="D261" s="21"/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 t="s">
        <v>32</v>
      </c>
      <c r="R261" s="17"/>
      <c r="S261" s="15"/>
      <c r="T261" s="15" t="s">
        <v>25</v>
      </c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347.95800000000003</v>
      </c>
      <c r="P262" s="23"/>
      <c r="Q262" s="15" t="s">
        <v>32</v>
      </c>
      <c r="R262" s="17"/>
      <c r="S262" s="15"/>
      <c r="T262" s="15" t="s">
        <v>25</v>
      </c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129</v>
      </c>
      <c r="B263" s="19" t="s">
        <v>208</v>
      </c>
      <c r="C263" s="19" t="s">
        <v>56</v>
      </c>
      <c r="D263" s="21"/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 t="s">
        <v>32</v>
      </c>
      <c r="R263" s="17"/>
      <c r="S263" s="15"/>
      <c r="T263" s="15" t="s">
        <v>25</v>
      </c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384.02</v>
      </c>
      <c r="P264" s="23"/>
      <c r="Q264" s="15" t="s">
        <v>32</v>
      </c>
      <c r="R264" s="17"/>
      <c r="S264" s="15"/>
      <c r="T264" s="15" t="s">
        <v>25</v>
      </c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130</v>
      </c>
      <c r="B265" s="19" t="s">
        <v>209</v>
      </c>
      <c r="C265" s="19" t="s">
        <v>37</v>
      </c>
      <c r="D265" s="21"/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 t="s">
        <v>32</v>
      </c>
      <c r="R265" s="17"/>
      <c r="S265" s="15"/>
      <c r="T265" s="15" t="s">
        <v>25</v>
      </c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269.69400000000002</v>
      </c>
      <c r="P266" s="23"/>
      <c r="Q266" s="15" t="s">
        <v>32</v>
      </c>
      <c r="R266" s="17"/>
      <c r="S266" s="15"/>
      <c r="T266" s="15" t="s">
        <v>25</v>
      </c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131</v>
      </c>
      <c r="B267" s="19" t="s">
        <v>210</v>
      </c>
      <c r="C267" s="19" t="s">
        <v>37</v>
      </c>
      <c r="D267" s="21"/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 t="s">
        <v>32</v>
      </c>
      <c r="R267" s="17"/>
      <c r="S267" s="15"/>
      <c r="T267" s="15" t="s">
        <v>25</v>
      </c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394.041</v>
      </c>
      <c r="P268" s="23"/>
      <c r="Q268" s="15" t="s">
        <v>32</v>
      </c>
      <c r="R268" s="17"/>
      <c r="S268" s="15"/>
      <c r="T268" s="15" t="s">
        <v>25</v>
      </c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132</v>
      </c>
      <c r="B269" s="19" t="s">
        <v>211</v>
      </c>
      <c r="C269" s="19" t="s">
        <v>37</v>
      </c>
      <c r="D269" s="21"/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 t="s">
        <v>32</v>
      </c>
      <c r="R269" s="17"/>
      <c r="S269" s="15"/>
      <c r="T269" s="15" t="s">
        <v>25</v>
      </c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300.61399999999998</v>
      </c>
      <c r="P270" s="23"/>
      <c r="Q270" s="15" t="s">
        <v>32</v>
      </c>
      <c r="R270" s="17"/>
      <c r="S270" s="15"/>
      <c r="T270" s="15" t="s">
        <v>25</v>
      </c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133</v>
      </c>
      <c r="B271" s="19" t="s">
        <v>212</v>
      </c>
      <c r="C271" s="19" t="s">
        <v>37</v>
      </c>
      <c r="D271" s="21" t="s">
        <v>213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>
        <v>4210.1310000000003</v>
      </c>
      <c r="Q271" s="15" t="s">
        <v>32</v>
      </c>
      <c r="R271" s="17"/>
      <c r="S271" s="15"/>
      <c r="T271" s="15" t="s">
        <v>25</v>
      </c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B272" s="19"/>
      <c r="C272" s="19"/>
      <c r="D272" s="21"/>
      <c r="E272" s="15"/>
      <c r="F272" s="24"/>
      <c r="G272" s="24"/>
      <c r="H272" s="24"/>
      <c r="I272" s="24"/>
      <c r="J272" s="20"/>
      <c r="K272" s="26"/>
      <c r="L272" s="26"/>
      <c r="M272" s="26"/>
      <c r="N272" s="26"/>
      <c r="O272" s="15">
        <v>315.423</v>
      </c>
      <c r="P272" s="23"/>
      <c r="Q272" s="15" t="s">
        <v>32</v>
      </c>
      <c r="R272" s="17"/>
      <c r="S272" s="15"/>
      <c r="T272" s="15" t="s">
        <v>25</v>
      </c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134</v>
      </c>
      <c r="B273" s="19" t="s">
        <v>214</v>
      </c>
      <c r="C273" s="19" t="s">
        <v>89</v>
      </c>
      <c r="D273" s="21"/>
      <c r="E273" s="15"/>
      <c r="F273" s="24"/>
      <c r="G273" s="24"/>
      <c r="H273" s="24"/>
      <c r="I273" s="24"/>
      <c r="J273" s="20"/>
      <c r="K273" s="27"/>
      <c r="L273" s="27"/>
      <c r="M273" s="27"/>
      <c r="N273" s="27"/>
      <c r="O273" s="15"/>
      <c r="P273" s="23"/>
      <c r="Q273" s="15" t="s">
        <v>32</v>
      </c>
      <c r="R273" s="17"/>
      <c r="S273" s="15"/>
      <c r="T273" s="15" t="s">
        <v>25</v>
      </c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0"/>
      <c r="L274" s="20"/>
      <c r="M274" s="20"/>
      <c r="N274" s="20"/>
      <c r="O274" s="15">
        <v>329.642</v>
      </c>
      <c r="P274" s="23"/>
      <c r="Q274" s="15" t="s">
        <v>32</v>
      </c>
      <c r="R274" s="17"/>
      <c r="S274" s="15"/>
      <c r="T274" s="15" t="s">
        <v>25</v>
      </c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135</v>
      </c>
      <c r="B275" s="19" t="s">
        <v>215</v>
      </c>
      <c r="C275" s="19" t="s">
        <v>42</v>
      </c>
      <c r="D275" s="21"/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 t="s">
        <v>32</v>
      </c>
      <c r="R275" s="17"/>
      <c r="S275" s="15"/>
      <c r="T275" s="15" t="s">
        <v>25</v>
      </c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382.971</v>
      </c>
      <c r="P276" s="23"/>
      <c r="Q276" s="15" t="s">
        <v>32</v>
      </c>
      <c r="R276" s="17"/>
      <c r="S276" s="15"/>
      <c r="T276" s="15" t="s">
        <v>25</v>
      </c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136</v>
      </c>
      <c r="B277" s="19" t="s">
        <v>216</v>
      </c>
      <c r="C277" s="19" t="s">
        <v>37</v>
      </c>
      <c r="D277" s="21"/>
      <c r="E277" s="15"/>
      <c r="F277" s="24"/>
      <c r="G277" s="24"/>
      <c r="H277" s="24"/>
      <c r="I277" s="24"/>
      <c r="J277" s="20"/>
      <c r="K277" s="20"/>
      <c r="L277" s="20"/>
      <c r="M277" s="20"/>
      <c r="N277" s="27"/>
      <c r="O277" s="15"/>
      <c r="P277" s="23"/>
      <c r="Q277" s="15" t="s">
        <v>32</v>
      </c>
      <c r="R277" s="17"/>
      <c r="S277" s="15"/>
      <c r="T277" s="15" t="s">
        <v>25</v>
      </c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323.74</v>
      </c>
      <c r="P278" s="23"/>
      <c r="Q278" s="15" t="s">
        <v>32</v>
      </c>
      <c r="R278" s="17"/>
      <c r="S278" s="15"/>
      <c r="T278" s="15" t="s">
        <v>25</v>
      </c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137</v>
      </c>
      <c r="B279" s="19" t="s">
        <v>217</v>
      </c>
      <c r="C279" s="19" t="s">
        <v>37</v>
      </c>
      <c r="D279" s="21"/>
      <c r="E279" s="15"/>
      <c r="F279" s="24"/>
      <c r="G279" s="24"/>
      <c r="H279" s="24"/>
      <c r="I279" s="24"/>
      <c r="J279" s="20"/>
      <c r="K279" s="20"/>
      <c r="L279" s="20"/>
      <c r="M279" s="20"/>
      <c r="N279" s="20"/>
      <c r="O279" s="15"/>
      <c r="P279" s="23"/>
      <c r="Q279" s="15" t="s">
        <v>32</v>
      </c>
      <c r="R279" s="17"/>
      <c r="S279" s="15"/>
      <c r="T279" s="15" t="s">
        <v>25</v>
      </c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328.78</v>
      </c>
      <c r="P280" s="23"/>
      <c r="Q280" s="15" t="s">
        <v>32</v>
      </c>
      <c r="R280" s="17"/>
      <c r="S280" s="15"/>
      <c r="T280" s="15" t="s">
        <v>25</v>
      </c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138</v>
      </c>
      <c r="B281" s="19" t="s">
        <v>218</v>
      </c>
      <c r="C281" s="19" t="s">
        <v>42</v>
      </c>
      <c r="D281" s="21"/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 t="s">
        <v>32</v>
      </c>
      <c r="R281" s="17"/>
      <c r="S281" s="15"/>
      <c r="T281" s="15" t="s">
        <v>25</v>
      </c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266.00200000000001</v>
      </c>
      <c r="P282" s="23"/>
      <c r="Q282" s="15" t="s">
        <v>32</v>
      </c>
      <c r="R282" s="17"/>
      <c r="S282" s="15"/>
      <c r="T282" s="15" t="s">
        <v>25</v>
      </c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139</v>
      </c>
      <c r="B283" s="19" t="s">
        <v>219</v>
      </c>
      <c r="C283" s="19" t="s">
        <v>42</v>
      </c>
      <c r="D283" s="21" t="s">
        <v>220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>
        <v>1946.558</v>
      </c>
      <c r="Q283" s="15" t="s">
        <v>32</v>
      </c>
      <c r="R283" s="17"/>
      <c r="S283" s="15"/>
      <c r="T283" s="15" t="s">
        <v>25</v>
      </c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321.89100000000002</v>
      </c>
      <c r="P284" s="23"/>
      <c r="Q284" s="15" t="s">
        <v>32</v>
      </c>
      <c r="R284" s="17"/>
      <c r="S284" s="15"/>
      <c r="T284" s="15" t="s">
        <v>25</v>
      </c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140</v>
      </c>
      <c r="B285" s="19" t="s">
        <v>221</v>
      </c>
      <c r="C285" s="19" t="s">
        <v>76</v>
      </c>
      <c r="D285" s="21"/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/>
      <c r="Q285" s="15" t="s">
        <v>32</v>
      </c>
      <c r="R285" s="17"/>
      <c r="S285" s="15"/>
      <c r="T285" s="15" t="s">
        <v>25</v>
      </c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352.13499999999999</v>
      </c>
      <c r="P286" s="23"/>
      <c r="Q286" s="15" t="s">
        <v>32</v>
      </c>
      <c r="R286" s="17"/>
      <c r="S286" s="15"/>
      <c r="T286" s="15" t="s">
        <v>25</v>
      </c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141</v>
      </c>
      <c r="B287" s="19" t="s">
        <v>222</v>
      </c>
      <c r="C287" s="19" t="s">
        <v>42</v>
      </c>
      <c r="D287" s="21"/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 t="s">
        <v>32</v>
      </c>
      <c r="R287" s="17"/>
      <c r="S287" s="15"/>
      <c r="T287" s="15" t="s">
        <v>25</v>
      </c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347.315</v>
      </c>
      <c r="P288" s="23"/>
      <c r="Q288" s="15" t="s">
        <v>32</v>
      </c>
      <c r="R288" s="17"/>
      <c r="S288" s="15"/>
      <c r="T288" s="15" t="s">
        <v>25</v>
      </c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142</v>
      </c>
      <c r="B289" s="19" t="s">
        <v>223</v>
      </c>
      <c r="C289" s="19" t="s">
        <v>37</v>
      </c>
      <c r="D289" s="21"/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 t="s">
        <v>32</v>
      </c>
      <c r="R289" s="17"/>
      <c r="S289" s="15"/>
      <c r="T289" s="15" t="s">
        <v>25</v>
      </c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339.41899999999998</v>
      </c>
      <c r="P290" s="23"/>
      <c r="Q290" s="15" t="s">
        <v>32</v>
      </c>
      <c r="R290" s="17"/>
      <c r="S290" s="15"/>
      <c r="T290" s="15" t="s">
        <v>25</v>
      </c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143</v>
      </c>
      <c r="B291" s="19" t="s">
        <v>224</v>
      </c>
      <c r="C291" s="19" t="s">
        <v>42</v>
      </c>
      <c r="D291" s="21"/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 t="s">
        <v>32</v>
      </c>
      <c r="R291" s="17"/>
      <c r="S291" s="15"/>
      <c r="T291" s="15" t="s">
        <v>25</v>
      </c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330.88099999999997</v>
      </c>
      <c r="P292" s="23"/>
      <c r="Q292" s="15" t="s">
        <v>32</v>
      </c>
      <c r="R292" s="17"/>
      <c r="S292" s="15"/>
      <c r="T292" s="15" t="s">
        <v>25</v>
      </c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144</v>
      </c>
      <c r="B293" s="19" t="s">
        <v>225</v>
      </c>
      <c r="C293" s="19" t="s">
        <v>42</v>
      </c>
      <c r="D293" s="21"/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 t="s">
        <v>32</v>
      </c>
      <c r="R293" s="17"/>
      <c r="S293" s="15"/>
      <c r="T293" s="15" t="s">
        <v>25</v>
      </c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279.99400000000003</v>
      </c>
      <c r="P294" s="23"/>
      <c r="Q294" s="15" t="s">
        <v>32</v>
      </c>
      <c r="R294" s="17"/>
      <c r="S294" s="15"/>
      <c r="T294" s="15" t="s">
        <v>25</v>
      </c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145</v>
      </c>
      <c r="B295" s="19" t="s">
        <v>226</v>
      </c>
      <c r="C295" s="19" t="s">
        <v>42</v>
      </c>
      <c r="D295" s="21"/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 t="s">
        <v>32</v>
      </c>
      <c r="R295" s="17"/>
      <c r="S295" s="15"/>
      <c r="T295" s="15" t="s">
        <v>25</v>
      </c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369.47899999999998</v>
      </c>
      <c r="P296" s="23"/>
      <c r="Q296" s="15" t="s">
        <v>32</v>
      </c>
      <c r="R296" s="17"/>
      <c r="S296" s="15"/>
      <c r="T296" s="15" t="s">
        <v>25</v>
      </c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146</v>
      </c>
      <c r="B297" s="19" t="s">
        <v>227</v>
      </c>
      <c r="C297" s="19" t="s">
        <v>37</v>
      </c>
      <c r="D297" s="21"/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 t="s">
        <v>32</v>
      </c>
      <c r="R297" s="17"/>
      <c r="S297" s="15"/>
      <c r="T297" s="15" t="s">
        <v>25</v>
      </c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379.64800000000002</v>
      </c>
      <c r="P298" s="23"/>
      <c r="Q298" s="15" t="s">
        <v>32</v>
      </c>
      <c r="R298" s="17"/>
      <c r="S298" s="15"/>
      <c r="T298" s="15" t="s">
        <v>25</v>
      </c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147</v>
      </c>
      <c r="B299" s="19" t="s">
        <v>228</v>
      </c>
      <c r="C299" s="19" t="s">
        <v>37</v>
      </c>
      <c r="D299" s="21"/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 t="s">
        <v>32</v>
      </c>
      <c r="R299" s="17"/>
      <c r="S299" s="15"/>
      <c r="T299" s="15" t="s">
        <v>25</v>
      </c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273.995</v>
      </c>
      <c r="P300" s="23"/>
      <c r="Q300" s="15" t="s">
        <v>32</v>
      </c>
      <c r="R300" s="17"/>
      <c r="S300" s="15"/>
      <c r="T300" s="15" t="s">
        <v>25</v>
      </c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148</v>
      </c>
      <c r="B301" s="19" t="s">
        <v>229</v>
      </c>
      <c r="C301" s="19" t="s">
        <v>37</v>
      </c>
      <c r="D301" s="21" t="s">
        <v>230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>
        <v>2994.7570000000001</v>
      </c>
      <c r="Q301" s="15" t="s">
        <v>32</v>
      </c>
      <c r="R301" s="17"/>
      <c r="S301" s="15"/>
      <c r="T301" s="15" t="s">
        <v>25</v>
      </c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345.87599999999998</v>
      </c>
      <c r="P302" s="23"/>
      <c r="Q302" s="15" t="s">
        <v>32</v>
      </c>
      <c r="R302" s="17"/>
      <c r="S302" s="15"/>
      <c r="T302" s="15" t="s">
        <v>25</v>
      </c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149</v>
      </c>
      <c r="B303" s="19" t="s">
        <v>231</v>
      </c>
      <c r="C303" s="19" t="s">
        <v>76</v>
      </c>
      <c r="D303" s="21"/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/>
      <c r="Q303" s="15" t="s">
        <v>32</v>
      </c>
      <c r="R303" s="17"/>
      <c r="S303" s="15"/>
      <c r="T303" s="15" t="s">
        <v>25</v>
      </c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310.86500000000001</v>
      </c>
      <c r="P304" s="23"/>
      <c r="Q304" s="15" t="s">
        <v>32</v>
      </c>
      <c r="R304" s="17"/>
      <c r="S304" s="15"/>
      <c r="T304" s="15" t="s">
        <v>25</v>
      </c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150</v>
      </c>
      <c r="B305" s="19" t="s">
        <v>232</v>
      </c>
      <c r="C305" s="19" t="s">
        <v>37</v>
      </c>
      <c r="D305" s="21"/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 t="s">
        <v>32</v>
      </c>
      <c r="R305" s="17"/>
      <c r="S305" s="15"/>
      <c r="T305" s="15" t="s">
        <v>25</v>
      </c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380.03300000000002</v>
      </c>
      <c r="P306" s="23"/>
      <c r="Q306" s="15" t="s">
        <v>32</v>
      </c>
      <c r="R306" s="17"/>
      <c r="S306" s="15"/>
      <c r="T306" s="15" t="s">
        <v>25</v>
      </c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151</v>
      </c>
      <c r="B307" s="19" t="s">
        <v>233</v>
      </c>
      <c r="C307" s="19" t="s">
        <v>37</v>
      </c>
      <c r="D307" s="21"/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 t="s">
        <v>32</v>
      </c>
      <c r="R307" s="17"/>
      <c r="S307" s="15"/>
      <c r="T307" s="15" t="s">
        <v>25</v>
      </c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358.17899999999997</v>
      </c>
      <c r="P308" s="23"/>
      <c r="Q308" s="15" t="s">
        <v>32</v>
      </c>
      <c r="R308" s="17"/>
      <c r="S308" s="15"/>
      <c r="T308" s="15" t="s">
        <v>25</v>
      </c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152</v>
      </c>
      <c r="B309" s="19" t="s">
        <v>234</v>
      </c>
      <c r="C309" s="19" t="s">
        <v>37</v>
      </c>
      <c r="D309" s="21"/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 t="s">
        <v>32</v>
      </c>
      <c r="R309" s="17"/>
      <c r="S309" s="15"/>
      <c r="T309" s="15" t="s">
        <v>25</v>
      </c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311.05099999999999</v>
      </c>
      <c r="P310" s="23"/>
      <c r="Q310" s="15" t="s">
        <v>32</v>
      </c>
      <c r="R310" s="17"/>
      <c r="S310" s="15"/>
      <c r="T310" s="15" t="s">
        <v>25</v>
      </c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153</v>
      </c>
      <c r="B311" s="19" t="s">
        <v>235</v>
      </c>
      <c r="C311" s="19" t="s">
        <v>42</v>
      </c>
      <c r="D311" s="21"/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 t="s">
        <v>32</v>
      </c>
      <c r="R311" s="17"/>
      <c r="S311" s="15"/>
      <c r="T311" s="15" t="s">
        <v>25</v>
      </c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375.154</v>
      </c>
      <c r="P312" s="23"/>
      <c r="Q312" s="15" t="s">
        <v>32</v>
      </c>
      <c r="R312" s="17"/>
      <c r="S312" s="15"/>
      <c r="T312" s="15" t="s">
        <v>25</v>
      </c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154</v>
      </c>
      <c r="B313" s="19" t="s">
        <v>236</v>
      </c>
      <c r="C313" s="19" t="s">
        <v>37</v>
      </c>
      <c r="D313" s="21"/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 t="s">
        <v>32</v>
      </c>
      <c r="R313" s="17"/>
      <c r="S313" s="15"/>
      <c r="T313" s="15" t="s">
        <v>25</v>
      </c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369.13200000000001</v>
      </c>
      <c r="P314" s="23"/>
      <c r="Q314" s="15" t="s">
        <v>32</v>
      </c>
      <c r="R314" s="17"/>
      <c r="S314" s="15"/>
      <c r="T314" s="15" t="s">
        <v>25</v>
      </c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155</v>
      </c>
      <c r="B315" s="19" t="s">
        <v>237</v>
      </c>
      <c r="C315" s="19" t="s">
        <v>37</v>
      </c>
      <c r="D315" s="21"/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 t="s">
        <v>25</v>
      </c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370.97</v>
      </c>
      <c r="P316" s="23"/>
      <c r="Q316" s="15" t="s">
        <v>32</v>
      </c>
      <c r="R316" s="17"/>
      <c r="S316" s="15"/>
      <c r="T316" s="15" t="s">
        <v>25</v>
      </c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156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 t="s">
        <v>25</v>
      </c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356.464</v>
      </c>
      <c r="P318" s="23"/>
      <c r="Q318" s="15" t="s">
        <v>32</v>
      </c>
      <c r="R318" s="17"/>
      <c r="S318" s="15"/>
      <c r="T318" s="15" t="s">
        <v>25</v>
      </c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157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 t="s">
        <v>25</v>
      </c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363.334</v>
      </c>
      <c r="P320" s="23"/>
      <c r="Q320" s="15" t="s">
        <v>32</v>
      </c>
      <c r="R320" s="17"/>
      <c r="S320" s="15"/>
      <c r="T320" s="15" t="s">
        <v>25</v>
      </c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158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 t="s">
        <v>25</v>
      </c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370.25400000000002</v>
      </c>
      <c r="P322" s="23"/>
      <c r="Q322" s="15" t="s">
        <v>32</v>
      </c>
      <c r="R322" s="17"/>
      <c r="S322" s="15"/>
      <c r="T322" s="15" t="s">
        <v>25</v>
      </c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159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 t="s">
        <v>25</v>
      </c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330.02300000000002</v>
      </c>
      <c r="P324" s="23"/>
      <c r="Q324" s="15" t="s">
        <v>32</v>
      </c>
      <c r="R324" s="17"/>
      <c r="S324" s="15"/>
      <c r="T324" s="15" t="s">
        <v>25</v>
      </c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160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 t="s">
        <v>25</v>
      </c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7"/>
      <c r="N326" s="27"/>
      <c r="O326" s="15">
        <v>390.077</v>
      </c>
      <c r="P326" s="23"/>
      <c r="Q326" s="15" t="s">
        <v>32</v>
      </c>
      <c r="R326" s="17"/>
      <c r="S326" s="15"/>
      <c r="T326" s="15" t="s">
        <v>25</v>
      </c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161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 t="s">
        <v>25</v>
      </c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15"/>
      <c r="K328" s="28"/>
      <c r="L328" s="28"/>
      <c r="M328" s="15"/>
      <c r="N328" s="28"/>
      <c r="O328" s="15">
        <v>343.37599999999998</v>
      </c>
      <c r="P328" s="23"/>
      <c r="Q328" s="15" t="s">
        <v>32</v>
      </c>
      <c r="R328" s="17"/>
      <c r="S328" s="15"/>
      <c r="T328" s="15" t="s">
        <v>25</v>
      </c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162</v>
      </c>
      <c r="B329" s="19" t="s">
        <v>244</v>
      </c>
      <c r="C329" s="19" t="s">
        <v>37</v>
      </c>
      <c r="D329" s="21" t="s">
        <v>245</v>
      </c>
      <c r="E329" s="15"/>
      <c r="F329" s="24"/>
      <c r="G329" s="24"/>
      <c r="H329" s="24"/>
      <c r="I329" s="24"/>
      <c r="J329" s="24"/>
      <c r="K329" s="24"/>
      <c r="L329" s="24"/>
      <c r="M329" s="24"/>
      <c r="N329" s="24"/>
      <c r="O329" s="15"/>
      <c r="P329" s="24"/>
      <c r="Q329" s="15" t="s">
        <v>32</v>
      </c>
      <c r="R329" s="17"/>
      <c r="S329" s="15"/>
      <c r="T329" s="15" t="s">
        <v>25</v>
      </c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A330" s="24"/>
      <c r="B330" s="19"/>
      <c r="C330" s="19"/>
      <c r="D330" s="21"/>
      <c r="E330" s="15"/>
      <c r="F330" s="24"/>
      <c r="G330" s="24"/>
      <c r="H330" s="24"/>
      <c r="I330" s="24"/>
      <c r="J330" s="24"/>
      <c r="K330" s="24"/>
      <c r="L330" s="24"/>
      <c r="M330" s="24"/>
      <c r="N330" s="24"/>
      <c r="O330" s="15">
        <v>326.52999999999997</v>
      </c>
      <c r="P330" s="24"/>
      <c r="Q330" s="15" t="s">
        <v>32</v>
      </c>
      <c r="R330" s="17"/>
      <c r="S330" s="15"/>
      <c r="T330" s="15" t="s">
        <v>25</v>
      </c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163</v>
      </c>
      <c r="B331" s="19" t="s">
        <v>246</v>
      </c>
      <c r="C331" s="19" t="s">
        <v>46</v>
      </c>
      <c r="D331" s="21" t="s">
        <v>31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 t="s">
        <v>25</v>
      </c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302.5</v>
      </c>
      <c r="P332" s="24"/>
      <c r="Q332" s="15" t="s">
        <v>32</v>
      </c>
      <c r="R332" s="17"/>
      <c r="S332" s="15"/>
      <c r="T332" s="15" t="s">
        <v>25</v>
      </c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164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 t="s">
        <v>25</v>
      </c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318.2</v>
      </c>
      <c r="P334" s="24"/>
      <c r="Q334" s="15" t="s">
        <v>32</v>
      </c>
      <c r="R334" s="17"/>
      <c r="S334" s="15"/>
      <c r="T334" s="15" t="s">
        <v>25</v>
      </c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165</v>
      </c>
      <c r="B335" s="19" t="s">
        <v>248</v>
      </c>
      <c r="C335" s="19" t="s">
        <v>37</v>
      </c>
      <c r="D335" s="21" t="s">
        <v>249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 t="s">
        <v>25</v>
      </c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315.48</v>
      </c>
      <c r="P336" s="24"/>
      <c r="Q336" s="15" t="s">
        <v>32</v>
      </c>
      <c r="R336" s="17"/>
      <c r="S336" s="15"/>
      <c r="T336" s="15" t="s">
        <v>25</v>
      </c>
      <c r="U336" s="17"/>
      <c r="V336" s="15"/>
      <c r="W336" s="15" t="s">
        <v>28</v>
      </c>
      <c r="X336" s="17"/>
      <c r="Y336" s="17"/>
      <c r="Z336" s="18"/>
    </row>
    <row r="337" spans="1:26" ht="14.25" customHeight="1">
      <c r="A337" s="15">
        <f>IF(B337&gt;0,A335+1," ")</f>
        <v>166</v>
      </c>
      <c r="B337" s="19" t="s">
        <v>250</v>
      </c>
      <c r="C337" s="19" t="s">
        <v>39</v>
      </c>
      <c r="D337" s="21" t="s">
        <v>31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 t="s">
        <v>25</v>
      </c>
      <c r="U337" s="17"/>
      <c r="V337" s="15"/>
      <c r="W337" s="15" t="s">
        <v>28</v>
      </c>
      <c r="X337" s="17"/>
      <c r="Y337" s="17"/>
      <c r="Z337" s="18"/>
    </row>
    <row r="338" spans="1:26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249.29</v>
      </c>
      <c r="P338" s="24"/>
      <c r="Q338" s="15" t="s">
        <v>32</v>
      </c>
      <c r="R338" s="17"/>
      <c r="S338" s="15"/>
      <c r="T338" s="15" t="s">
        <v>25</v>
      </c>
      <c r="U338" s="17"/>
      <c r="V338" s="15"/>
      <c r="W338" s="15" t="s">
        <v>28</v>
      </c>
      <c r="X338" s="17"/>
      <c r="Y338" s="17"/>
      <c r="Z338" s="18"/>
    </row>
    <row r="339" spans="1:26" ht="14.25" customHeight="1">
      <c r="A339" s="15">
        <f>IF(B339&gt;0,A337+1," ")</f>
        <v>167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 t="s">
        <v>25</v>
      </c>
      <c r="U339" s="17"/>
      <c r="V339" s="15"/>
      <c r="W339" s="15" t="s">
        <v>28</v>
      </c>
      <c r="X339" s="17"/>
      <c r="Y339" s="17"/>
      <c r="Z339" s="18"/>
    </row>
    <row r="340" spans="1:26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288.05</v>
      </c>
      <c r="P340" s="24"/>
      <c r="Q340" s="15" t="s">
        <v>32</v>
      </c>
      <c r="R340" s="17"/>
      <c r="S340" s="15"/>
      <c r="T340" s="15" t="s">
        <v>25</v>
      </c>
      <c r="U340" s="17"/>
      <c r="V340" s="15"/>
      <c r="W340" s="15" t="s">
        <v>28</v>
      </c>
      <c r="X340" s="17"/>
      <c r="Y340" s="17"/>
      <c r="Z340" s="18"/>
    </row>
    <row r="341" spans="1:26" ht="14.25" customHeight="1">
      <c r="A341" s="15">
        <f>IF(B341&gt;0,A339+1," ")</f>
        <v>168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 t="s">
        <v>25</v>
      </c>
      <c r="U341" s="17"/>
      <c r="V341" s="15"/>
      <c r="W341" s="15" t="s">
        <v>28</v>
      </c>
      <c r="X341" s="17"/>
      <c r="Y341" s="17"/>
      <c r="Z341" s="18"/>
    </row>
    <row r="342" spans="1:26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369.86</v>
      </c>
      <c r="P342" s="24"/>
      <c r="Q342" s="15" t="s">
        <v>32</v>
      </c>
      <c r="R342" s="17"/>
      <c r="S342" s="15"/>
      <c r="T342" s="15" t="s">
        <v>25</v>
      </c>
      <c r="U342" s="17"/>
      <c r="V342" s="15"/>
      <c r="W342" s="15" t="s">
        <v>28</v>
      </c>
      <c r="X342" s="17"/>
      <c r="Y342" s="17"/>
      <c r="Z342" s="18"/>
    </row>
    <row r="343" spans="1:26" ht="14.25" customHeight="1">
      <c r="A343" s="15">
        <f>IF(B343&gt;0,A341+1," ")</f>
        <v>169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 t="s">
        <v>25</v>
      </c>
      <c r="U343" s="17"/>
      <c r="V343" s="15"/>
      <c r="W343" s="15" t="s">
        <v>28</v>
      </c>
      <c r="X343" s="17"/>
      <c r="Y343" s="17"/>
      <c r="Z343" s="18"/>
    </row>
    <row r="344" spans="1:26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320.20999999999998</v>
      </c>
      <c r="P344" s="24"/>
      <c r="Q344" s="15" t="s">
        <v>32</v>
      </c>
      <c r="R344" s="17"/>
      <c r="S344" s="15"/>
      <c r="T344" s="15" t="s">
        <v>25</v>
      </c>
      <c r="U344" s="17"/>
      <c r="V344" s="15"/>
      <c r="W344" s="15" t="s">
        <v>28</v>
      </c>
      <c r="X344" s="17"/>
      <c r="Y344" s="17"/>
      <c r="Z344" s="18"/>
    </row>
    <row r="345" spans="1:26" ht="14.25" customHeight="1">
      <c r="A345" s="15">
        <f>IF(B345&gt;0,A343+1," ")</f>
        <v>170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5"/>
      <c r="S345" s="17"/>
      <c r="T345" s="15" t="s">
        <v>25</v>
      </c>
      <c r="U345" s="17"/>
      <c r="V345" s="17"/>
      <c r="W345" s="15" t="s">
        <v>28</v>
      </c>
      <c r="X345" s="17"/>
      <c r="Y345" s="17"/>
      <c r="Z345" s="18"/>
    </row>
    <row r="346" spans="1:26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383.86</v>
      </c>
      <c r="P346" s="24"/>
      <c r="Q346" s="15" t="s">
        <v>32</v>
      </c>
      <c r="R346" s="15"/>
      <c r="S346" s="17"/>
      <c r="T346" s="15" t="s">
        <v>25</v>
      </c>
      <c r="U346" s="17"/>
      <c r="V346" s="17"/>
      <c r="W346" s="15" t="s">
        <v>28</v>
      </c>
      <c r="X346" s="17"/>
      <c r="Y346" s="17"/>
      <c r="Z346" s="18"/>
    </row>
    <row r="347" spans="1:26" ht="14.25" customHeight="1">
      <c r="A347" s="15">
        <f t="shared" ref="A347:A482" si="1">IF(B347&gt;0,A345+1," ")</f>
        <v>171</v>
      </c>
      <c r="B347" s="19" t="s">
        <v>255</v>
      </c>
      <c r="C347" s="19" t="s">
        <v>42</v>
      </c>
      <c r="D347" s="29" t="s">
        <v>256</v>
      </c>
      <c r="E347" s="15"/>
      <c r="F347" s="29"/>
      <c r="G347" s="29"/>
      <c r="H347" s="29"/>
      <c r="I347" s="29"/>
      <c r="J347" s="29">
        <v>3</v>
      </c>
      <c r="K347" s="29">
        <v>3</v>
      </c>
      <c r="L347" s="29">
        <v>3</v>
      </c>
      <c r="M347" s="29">
        <v>3</v>
      </c>
      <c r="N347" s="29">
        <v>3</v>
      </c>
      <c r="O347" s="29"/>
      <c r="P347" s="29"/>
      <c r="Q347" s="15" t="s">
        <v>32</v>
      </c>
      <c r="R347" s="15"/>
      <c r="S347" s="17"/>
      <c r="T347" s="15" t="s">
        <v>25</v>
      </c>
      <c r="U347" s="17"/>
      <c r="V347" s="17"/>
      <c r="W347" s="15" t="s">
        <v>28</v>
      </c>
      <c r="X347" s="17"/>
      <c r="Y347" s="17"/>
      <c r="Z347" s="18"/>
    </row>
    <row r="348" spans="1:26" ht="14.25" customHeight="1">
      <c r="A348" s="15" t="str">
        <f t="shared" si="1"/>
        <v xml:space="preserve"> </v>
      </c>
      <c r="B348" s="19"/>
      <c r="C348" s="19"/>
      <c r="D348" s="29"/>
      <c r="E348" s="15"/>
      <c r="F348" s="29"/>
      <c r="G348" s="29"/>
      <c r="H348" s="29"/>
      <c r="I348" s="29"/>
      <c r="J348" s="29"/>
      <c r="K348" s="29"/>
      <c r="L348" s="29"/>
      <c r="M348" s="29"/>
      <c r="N348" s="29"/>
      <c r="O348" s="29">
        <v>190.524</v>
      </c>
      <c r="P348" s="29" t="s">
        <v>31</v>
      </c>
      <c r="Q348" s="15" t="s">
        <v>32</v>
      </c>
      <c r="R348" s="15"/>
      <c r="S348" s="17"/>
      <c r="T348" s="15" t="s">
        <v>25</v>
      </c>
      <c r="U348" s="17"/>
      <c r="V348" s="17"/>
      <c r="W348" s="15" t="s">
        <v>28</v>
      </c>
      <c r="X348" s="17"/>
      <c r="Y348" s="17"/>
      <c r="Z348" s="18"/>
    </row>
    <row r="349" spans="1:26" ht="14.25" customHeight="1">
      <c r="A349" s="15">
        <f t="shared" si="1"/>
        <v>172</v>
      </c>
      <c r="B349" s="19" t="s">
        <v>257</v>
      </c>
      <c r="C349" s="19" t="s">
        <v>54</v>
      </c>
      <c r="D349" s="29" t="s">
        <v>258</v>
      </c>
      <c r="E349" s="15"/>
      <c r="F349" s="29"/>
      <c r="G349" s="29"/>
      <c r="H349" s="29"/>
      <c r="I349" s="29"/>
      <c r="J349" s="29">
        <v>2</v>
      </c>
      <c r="K349" s="29">
        <v>2</v>
      </c>
      <c r="L349" s="29">
        <v>2</v>
      </c>
      <c r="M349" s="29">
        <v>2</v>
      </c>
      <c r="N349" s="29">
        <v>2</v>
      </c>
      <c r="O349" s="29"/>
      <c r="P349" s="29">
        <v>190.52</v>
      </c>
      <c r="Q349" s="15" t="s">
        <v>32</v>
      </c>
      <c r="R349" s="15"/>
      <c r="S349" s="17"/>
      <c r="T349" s="15" t="s">
        <v>25</v>
      </c>
      <c r="U349" s="17"/>
      <c r="V349" s="17"/>
      <c r="W349" s="15" t="s">
        <v>28</v>
      </c>
      <c r="X349" s="17"/>
      <c r="Y349" s="17"/>
      <c r="Z349" s="18"/>
    </row>
    <row r="350" spans="1:26" ht="14.25" customHeight="1">
      <c r="A350" s="15" t="str">
        <f t="shared" si="1"/>
        <v xml:space="preserve"> </v>
      </c>
      <c r="B350" s="19"/>
      <c r="C350" s="19"/>
      <c r="D350" s="29"/>
      <c r="E350" s="15"/>
      <c r="F350" s="29"/>
      <c r="G350" s="29"/>
      <c r="H350" s="29"/>
      <c r="I350" s="29"/>
      <c r="J350" s="29"/>
      <c r="K350" s="29"/>
      <c r="L350" s="29"/>
      <c r="M350" s="29"/>
      <c r="N350" s="29"/>
      <c r="O350" s="29">
        <v>173.541</v>
      </c>
      <c r="P350" s="29" t="s">
        <v>31</v>
      </c>
      <c r="Q350" s="15" t="s">
        <v>32</v>
      </c>
      <c r="R350" s="15"/>
      <c r="S350" s="17"/>
      <c r="T350" s="15" t="s">
        <v>25</v>
      </c>
      <c r="U350" s="17"/>
      <c r="V350" s="17"/>
      <c r="W350" s="15" t="s">
        <v>28</v>
      </c>
      <c r="X350" s="17"/>
      <c r="Y350" s="17"/>
      <c r="Z350" s="18"/>
    </row>
    <row r="351" spans="1:26" ht="14.25" customHeight="1">
      <c r="A351" s="15">
        <f t="shared" si="1"/>
        <v>173</v>
      </c>
      <c r="B351" s="19" t="s">
        <v>259</v>
      </c>
      <c r="C351" s="19" t="s">
        <v>260</v>
      </c>
      <c r="D351" s="29" t="s">
        <v>261</v>
      </c>
      <c r="E351" s="15"/>
      <c r="F351" s="29"/>
      <c r="G351" s="29"/>
      <c r="H351" s="29"/>
      <c r="I351" s="29"/>
      <c r="J351" s="29">
        <v>2</v>
      </c>
      <c r="K351" s="29">
        <v>2</v>
      </c>
      <c r="L351" s="29">
        <v>2</v>
      </c>
      <c r="M351" s="29">
        <v>2</v>
      </c>
      <c r="N351" s="29">
        <v>2</v>
      </c>
      <c r="O351" s="29"/>
      <c r="P351" s="29">
        <v>173.54</v>
      </c>
      <c r="Q351" s="15" t="s">
        <v>32</v>
      </c>
      <c r="R351" s="15"/>
      <c r="S351" s="17"/>
      <c r="T351" s="15" t="s">
        <v>25</v>
      </c>
      <c r="U351" s="17"/>
      <c r="V351" s="17"/>
      <c r="W351" s="15" t="s">
        <v>28</v>
      </c>
      <c r="X351" s="17"/>
      <c r="Y351" s="17"/>
      <c r="Z351" s="18"/>
    </row>
    <row r="352" spans="1:26" ht="14.25" customHeight="1">
      <c r="A352" s="15" t="str">
        <f t="shared" si="1"/>
        <v xml:space="preserve"> </v>
      </c>
      <c r="B352" s="19"/>
      <c r="C352" s="19"/>
      <c r="D352" s="29"/>
      <c r="E352" s="15"/>
      <c r="F352" s="29"/>
      <c r="G352" s="29"/>
      <c r="H352" s="29"/>
      <c r="I352" s="29"/>
      <c r="J352" s="29"/>
      <c r="K352" s="29"/>
      <c r="L352" s="29"/>
      <c r="M352" s="29"/>
      <c r="N352" s="29"/>
      <c r="O352" s="29">
        <v>142.38399999999999</v>
      </c>
      <c r="P352" s="29" t="s">
        <v>31</v>
      </c>
      <c r="Q352" s="15" t="s">
        <v>32</v>
      </c>
      <c r="R352" s="15"/>
      <c r="S352" s="17"/>
      <c r="T352" s="15" t="s">
        <v>25</v>
      </c>
      <c r="U352" s="17"/>
      <c r="V352" s="17"/>
      <c r="W352" s="15" t="s">
        <v>28</v>
      </c>
      <c r="X352" s="17"/>
      <c r="Y352" s="17"/>
      <c r="Z352" s="18"/>
    </row>
    <row r="353" spans="1:26" ht="14.25" customHeight="1">
      <c r="A353" s="15">
        <f t="shared" si="1"/>
        <v>174</v>
      </c>
      <c r="B353" s="19" t="s">
        <v>262</v>
      </c>
      <c r="C353" s="19" t="s">
        <v>260</v>
      </c>
      <c r="D353" s="29" t="s">
        <v>263</v>
      </c>
      <c r="E353" s="15"/>
      <c r="F353" s="29"/>
      <c r="G353" s="29"/>
      <c r="H353" s="29"/>
      <c r="I353" s="29"/>
      <c r="J353" s="29">
        <v>1</v>
      </c>
      <c r="K353" s="29">
        <v>1</v>
      </c>
      <c r="L353" s="29">
        <v>1</v>
      </c>
      <c r="M353" s="29">
        <v>1</v>
      </c>
      <c r="N353" s="29">
        <v>1</v>
      </c>
      <c r="O353" s="29"/>
      <c r="P353" s="29">
        <v>142.38</v>
      </c>
      <c r="Q353" s="15" t="s">
        <v>32</v>
      </c>
      <c r="R353" s="15"/>
      <c r="S353" s="17"/>
      <c r="T353" s="15" t="s">
        <v>25</v>
      </c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 t="str">
        <f t="shared" si="1"/>
        <v xml:space="preserve"> </v>
      </c>
      <c r="B354" s="19"/>
      <c r="C354" s="19"/>
      <c r="D354" s="29"/>
      <c r="E354" s="15"/>
      <c r="F354" s="29"/>
      <c r="G354" s="29"/>
      <c r="H354" s="29"/>
      <c r="I354" s="29"/>
      <c r="J354" s="29"/>
      <c r="K354" s="29" t="s">
        <v>31</v>
      </c>
      <c r="L354" s="29" t="s">
        <v>31</v>
      </c>
      <c r="M354" s="29" t="s">
        <v>31</v>
      </c>
      <c r="N354" s="29" t="s">
        <v>31</v>
      </c>
      <c r="O354" s="29">
        <v>77.015000000000001</v>
      </c>
      <c r="P354" s="29" t="s">
        <v>31</v>
      </c>
      <c r="Q354" s="15" t="s">
        <v>32</v>
      </c>
      <c r="R354" s="15"/>
      <c r="S354" s="17"/>
      <c r="T354" s="15" t="s">
        <v>25</v>
      </c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>
        <f t="shared" si="1"/>
        <v>175</v>
      </c>
      <c r="B355" s="19" t="s">
        <v>264</v>
      </c>
      <c r="C355" s="19" t="s">
        <v>260</v>
      </c>
      <c r="D355" s="29" t="s">
        <v>265</v>
      </c>
      <c r="E355" s="15"/>
      <c r="F355" s="29"/>
      <c r="G355" s="29"/>
      <c r="H355" s="29"/>
      <c r="I355" s="29"/>
      <c r="J355" s="29"/>
      <c r="K355" s="29">
        <v>0</v>
      </c>
      <c r="L355" s="29">
        <v>0</v>
      </c>
      <c r="M355" s="29">
        <v>0</v>
      </c>
      <c r="N355" s="29">
        <v>0</v>
      </c>
      <c r="O355" s="29"/>
      <c r="P355" s="29">
        <v>77.02</v>
      </c>
      <c r="Q355" s="15" t="s">
        <v>32</v>
      </c>
      <c r="R355" s="15"/>
      <c r="S355" s="17"/>
      <c r="T355" s="15" t="s">
        <v>25</v>
      </c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 t="str">
        <f t="shared" si="1"/>
        <v xml:space="preserve"> </v>
      </c>
      <c r="B356" s="19"/>
      <c r="C356" s="19"/>
      <c r="D356" s="29"/>
      <c r="E356" s="15"/>
      <c r="F356" s="29"/>
      <c r="G356" s="29"/>
      <c r="H356" s="29"/>
      <c r="I356" s="29"/>
      <c r="J356" s="29"/>
      <c r="K356" s="29" t="s">
        <v>31</v>
      </c>
      <c r="L356" s="29" t="s">
        <v>31</v>
      </c>
      <c r="M356" s="29" t="s">
        <v>31</v>
      </c>
      <c r="N356" s="29" t="s">
        <v>31</v>
      </c>
      <c r="O356" s="29">
        <v>42.265999999999998</v>
      </c>
      <c r="P356" s="29" t="s">
        <v>31</v>
      </c>
      <c r="Q356" s="15" t="s">
        <v>32</v>
      </c>
      <c r="R356" s="15"/>
      <c r="S356" s="17"/>
      <c r="T356" s="15" t="s">
        <v>25</v>
      </c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>
        <f t="shared" si="1"/>
        <v>176</v>
      </c>
      <c r="B357" s="19" t="s">
        <v>266</v>
      </c>
      <c r="C357" s="19" t="s">
        <v>34</v>
      </c>
      <c r="D357" s="29" t="s">
        <v>31</v>
      </c>
      <c r="E357" s="15"/>
      <c r="F357" s="29"/>
      <c r="G357" s="29"/>
      <c r="H357" s="29"/>
      <c r="I357" s="29"/>
      <c r="J357" s="29"/>
      <c r="K357" s="29">
        <v>0</v>
      </c>
      <c r="L357" s="29">
        <v>0</v>
      </c>
      <c r="M357" s="29">
        <v>0</v>
      </c>
      <c r="N357" s="29">
        <v>0</v>
      </c>
      <c r="O357" s="29"/>
      <c r="P357" s="29">
        <v>48</v>
      </c>
      <c r="Q357" s="15" t="s">
        <v>32</v>
      </c>
      <c r="R357" s="15"/>
      <c r="S357" s="17"/>
      <c r="T357" s="15" t="s">
        <v>25</v>
      </c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 t="str">
        <f t="shared" si="1"/>
        <v xml:space="preserve"> </v>
      </c>
      <c r="B358" s="19"/>
      <c r="C358" s="19"/>
      <c r="D358" s="29"/>
      <c r="E358" s="15"/>
      <c r="F358" s="29"/>
      <c r="G358" s="29"/>
      <c r="H358" s="29"/>
      <c r="I358" s="29"/>
      <c r="J358" s="29"/>
      <c r="K358" s="29" t="s">
        <v>31</v>
      </c>
      <c r="L358" s="29" t="s">
        <v>31</v>
      </c>
      <c r="M358" s="29" t="s">
        <v>31</v>
      </c>
      <c r="N358" s="29" t="s">
        <v>31</v>
      </c>
      <c r="O358" s="29">
        <v>54.573</v>
      </c>
      <c r="P358" s="29" t="s">
        <v>31</v>
      </c>
      <c r="Q358" s="15" t="s">
        <v>32</v>
      </c>
      <c r="R358" s="15"/>
      <c r="S358" s="17"/>
      <c r="T358" s="15" t="s">
        <v>25</v>
      </c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>
        <f t="shared" si="1"/>
        <v>177</v>
      </c>
      <c r="B359" s="19" t="s">
        <v>267</v>
      </c>
      <c r="C359" s="19" t="s">
        <v>268</v>
      </c>
      <c r="D359" s="29" t="s">
        <v>31</v>
      </c>
      <c r="E359" s="15"/>
      <c r="F359" s="29"/>
      <c r="G359" s="29"/>
      <c r="H359" s="29"/>
      <c r="I359" s="29"/>
      <c r="J359" s="29"/>
      <c r="K359" s="29">
        <v>0</v>
      </c>
      <c r="L359" s="29">
        <v>0</v>
      </c>
      <c r="M359" s="29">
        <v>0</v>
      </c>
      <c r="N359" s="29">
        <v>0</v>
      </c>
      <c r="O359" s="29"/>
      <c r="P359" s="29">
        <v>44</v>
      </c>
      <c r="Q359" s="15" t="s">
        <v>32</v>
      </c>
      <c r="R359" s="15"/>
      <c r="S359" s="17"/>
      <c r="T359" s="15" t="s">
        <v>25</v>
      </c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 t="str">
        <f t="shared" si="1"/>
        <v xml:space="preserve"> </v>
      </c>
      <c r="B360" s="19"/>
      <c r="C360" s="19"/>
      <c r="D360" s="29"/>
      <c r="E360" s="15"/>
      <c r="F360" s="29"/>
      <c r="G360" s="29"/>
      <c r="H360" s="29"/>
      <c r="I360" s="29"/>
      <c r="J360" s="29"/>
      <c r="K360" s="29" t="s">
        <v>31</v>
      </c>
      <c r="L360" s="29" t="s">
        <v>31</v>
      </c>
      <c r="M360" s="29" t="s">
        <v>31</v>
      </c>
      <c r="N360" s="29" t="s">
        <v>31</v>
      </c>
      <c r="O360" s="29">
        <v>41.886000000000003</v>
      </c>
      <c r="P360" s="29" t="s">
        <v>31</v>
      </c>
      <c r="Q360" s="15" t="s">
        <v>32</v>
      </c>
      <c r="R360" s="15"/>
      <c r="S360" s="17"/>
      <c r="T360" s="15" t="s">
        <v>25</v>
      </c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>
        <f t="shared" si="1"/>
        <v>178</v>
      </c>
      <c r="B361" s="19" t="s">
        <v>269</v>
      </c>
      <c r="C361" s="19" t="s">
        <v>268</v>
      </c>
      <c r="D361" s="29" t="s">
        <v>270</v>
      </c>
      <c r="E361" s="15"/>
      <c r="F361" s="29"/>
      <c r="G361" s="29"/>
      <c r="H361" s="29"/>
      <c r="I361" s="29"/>
      <c r="J361" s="29"/>
      <c r="K361" s="29">
        <v>0</v>
      </c>
      <c r="L361" s="29">
        <v>0</v>
      </c>
      <c r="M361" s="29">
        <v>0</v>
      </c>
      <c r="N361" s="29">
        <v>0</v>
      </c>
      <c r="O361" s="29"/>
      <c r="P361" s="29">
        <v>46.73</v>
      </c>
      <c r="Q361" s="15" t="s">
        <v>32</v>
      </c>
      <c r="R361" s="15"/>
      <c r="S361" s="17"/>
      <c r="T361" s="15" t="s">
        <v>25</v>
      </c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 t="str">
        <f t="shared" si="1"/>
        <v xml:space="preserve"> </v>
      </c>
      <c r="B362" s="19"/>
      <c r="C362" s="19"/>
      <c r="D362" s="29"/>
      <c r="E362" s="15"/>
      <c r="F362" s="29"/>
      <c r="G362" s="29"/>
      <c r="H362" s="29"/>
      <c r="I362" s="29"/>
      <c r="J362" s="29"/>
      <c r="K362" s="29" t="s">
        <v>31</v>
      </c>
      <c r="L362" s="29" t="s">
        <v>31</v>
      </c>
      <c r="M362" s="29" t="s">
        <v>31</v>
      </c>
      <c r="N362" s="29" t="s">
        <v>31</v>
      </c>
      <c r="O362" s="29">
        <v>353.28399999999999</v>
      </c>
      <c r="P362" s="29" t="s">
        <v>31</v>
      </c>
      <c r="Q362" s="15" t="s">
        <v>32</v>
      </c>
      <c r="R362" s="15"/>
      <c r="S362" s="17"/>
      <c r="T362" s="15" t="s">
        <v>25</v>
      </c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>
        <f t="shared" si="1"/>
        <v>179</v>
      </c>
      <c r="B363" s="19" t="s">
        <v>271</v>
      </c>
      <c r="C363" s="19" t="s">
        <v>51</v>
      </c>
      <c r="D363" s="29" t="s">
        <v>272</v>
      </c>
      <c r="E363" s="15"/>
      <c r="F363" s="29"/>
      <c r="G363" s="29"/>
      <c r="H363" s="29"/>
      <c r="I363" s="29"/>
      <c r="J363" s="29"/>
      <c r="K363" s="29">
        <v>0</v>
      </c>
      <c r="L363" s="29">
        <v>0</v>
      </c>
      <c r="M363" s="29">
        <v>0</v>
      </c>
      <c r="N363" s="29">
        <v>0</v>
      </c>
      <c r="O363" s="29"/>
      <c r="P363" s="29">
        <v>353.28</v>
      </c>
      <c r="Q363" s="15" t="s">
        <v>32</v>
      </c>
      <c r="R363" s="15"/>
      <c r="S363" s="17"/>
      <c r="T363" s="15" t="s">
        <v>25</v>
      </c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 t="str">
        <f t="shared" si="1"/>
        <v xml:space="preserve"> </v>
      </c>
      <c r="B364" s="19"/>
      <c r="C364" s="19"/>
      <c r="D364" s="29"/>
      <c r="E364" s="15"/>
      <c r="F364" s="29"/>
      <c r="G364" s="29"/>
      <c r="H364" s="29"/>
      <c r="I364" s="29"/>
      <c r="J364" s="29"/>
      <c r="K364" s="29" t="s">
        <v>31</v>
      </c>
      <c r="L364" s="29" t="s">
        <v>31</v>
      </c>
      <c r="M364" s="29" t="s">
        <v>31</v>
      </c>
      <c r="N364" s="29" t="s">
        <v>31</v>
      </c>
      <c r="O364" s="29">
        <v>393</v>
      </c>
      <c r="P364" s="29" t="s">
        <v>31</v>
      </c>
      <c r="Q364" s="15" t="s">
        <v>32</v>
      </c>
      <c r="R364" s="15"/>
      <c r="S364" s="17"/>
      <c r="T364" s="15" t="s">
        <v>25</v>
      </c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>
        <f t="shared" si="1"/>
        <v>180</v>
      </c>
      <c r="B365" s="19" t="s">
        <v>273</v>
      </c>
      <c r="C365" s="19" t="s">
        <v>116</v>
      </c>
      <c r="D365" s="29" t="s">
        <v>31</v>
      </c>
      <c r="E365" s="15"/>
      <c r="F365" s="29"/>
      <c r="G365" s="29"/>
      <c r="H365" s="29"/>
      <c r="I365" s="29"/>
      <c r="J365" s="29"/>
      <c r="K365" s="29">
        <v>0</v>
      </c>
      <c r="L365" s="29">
        <v>0</v>
      </c>
      <c r="M365" s="29">
        <v>0</v>
      </c>
      <c r="N365" s="29">
        <v>0</v>
      </c>
      <c r="O365" s="29"/>
      <c r="P365" s="29" t="s">
        <v>31</v>
      </c>
      <c r="Q365" s="15" t="s">
        <v>32</v>
      </c>
      <c r="R365" s="15"/>
      <c r="S365" s="17"/>
      <c r="T365" s="15" t="s">
        <v>25</v>
      </c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 t="str">
        <f t="shared" si="1"/>
        <v xml:space="preserve"> </v>
      </c>
      <c r="B366" s="19"/>
      <c r="C366" s="19"/>
      <c r="D366" s="29"/>
      <c r="E366" s="15"/>
      <c r="F366" s="29"/>
      <c r="G366" s="29"/>
      <c r="H366" s="29"/>
      <c r="I366" s="29"/>
      <c r="J366" s="29"/>
      <c r="K366" s="29" t="s">
        <v>31</v>
      </c>
      <c r="L366" s="29" t="s">
        <v>31</v>
      </c>
      <c r="M366" s="29" t="s">
        <v>31</v>
      </c>
      <c r="N366" s="29" t="s">
        <v>31</v>
      </c>
      <c r="O366" s="29">
        <v>359</v>
      </c>
      <c r="P366" s="29" t="s">
        <v>31</v>
      </c>
      <c r="Q366" s="15" t="s">
        <v>32</v>
      </c>
      <c r="R366" s="15"/>
      <c r="S366" s="17"/>
      <c r="T366" s="15" t="s">
        <v>25</v>
      </c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>
        <f t="shared" si="1"/>
        <v>181</v>
      </c>
      <c r="B367" s="19" t="s">
        <v>274</v>
      </c>
      <c r="C367" s="19" t="s">
        <v>42</v>
      </c>
      <c r="D367" s="29" t="s">
        <v>31</v>
      </c>
      <c r="E367" s="15"/>
      <c r="F367" s="29"/>
      <c r="G367" s="29"/>
      <c r="H367" s="29"/>
      <c r="I367" s="29"/>
      <c r="J367" s="29"/>
      <c r="K367" s="29">
        <v>0</v>
      </c>
      <c r="L367" s="29">
        <v>0</v>
      </c>
      <c r="M367" s="29">
        <v>0</v>
      </c>
      <c r="N367" s="29">
        <v>0</v>
      </c>
      <c r="O367" s="29"/>
      <c r="P367" s="29" t="s">
        <v>31</v>
      </c>
      <c r="Q367" s="15" t="s">
        <v>32</v>
      </c>
      <c r="R367" s="15"/>
      <c r="S367" s="17"/>
      <c r="T367" s="15" t="s">
        <v>25</v>
      </c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 t="str">
        <f t="shared" si="1"/>
        <v xml:space="preserve"> </v>
      </c>
      <c r="B368" s="19"/>
      <c r="C368" s="19"/>
      <c r="D368" s="29"/>
      <c r="E368" s="15"/>
      <c r="F368" s="29"/>
      <c r="G368" s="29"/>
      <c r="H368" s="29"/>
      <c r="I368" s="29"/>
      <c r="J368" s="29"/>
      <c r="K368" s="29" t="s">
        <v>31</v>
      </c>
      <c r="L368" s="29" t="s">
        <v>31</v>
      </c>
      <c r="M368" s="29" t="s">
        <v>31</v>
      </c>
      <c r="N368" s="29" t="s">
        <v>31</v>
      </c>
      <c r="O368" s="29">
        <v>387</v>
      </c>
      <c r="P368" s="29" t="s">
        <v>31</v>
      </c>
      <c r="Q368" s="15" t="s">
        <v>32</v>
      </c>
      <c r="R368" s="15"/>
      <c r="S368" s="17"/>
      <c r="T368" s="15" t="s">
        <v>25</v>
      </c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>
        <f t="shared" si="1"/>
        <v>182</v>
      </c>
      <c r="B369" s="19" t="s">
        <v>275</v>
      </c>
      <c r="C369" s="19" t="s">
        <v>56</v>
      </c>
      <c r="D369" s="29" t="s">
        <v>31</v>
      </c>
      <c r="E369" s="15"/>
      <c r="F369" s="29"/>
      <c r="G369" s="29"/>
      <c r="H369" s="29"/>
      <c r="I369" s="29"/>
      <c r="J369" s="29"/>
      <c r="K369" s="29">
        <v>0</v>
      </c>
      <c r="L369" s="29">
        <v>0</v>
      </c>
      <c r="M369" s="29">
        <v>0</v>
      </c>
      <c r="N369" s="29">
        <v>0</v>
      </c>
      <c r="O369" s="29"/>
      <c r="P369" s="29" t="s">
        <v>31</v>
      </c>
      <c r="Q369" s="15" t="s">
        <v>32</v>
      </c>
      <c r="R369" s="15"/>
      <c r="S369" s="17"/>
      <c r="T369" s="15" t="s">
        <v>25</v>
      </c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 t="str">
        <f t="shared" si="1"/>
        <v xml:space="preserve"> </v>
      </c>
      <c r="B370" s="19"/>
      <c r="C370" s="19"/>
      <c r="D370" s="29"/>
      <c r="E370" s="15"/>
      <c r="F370" s="29"/>
      <c r="G370" s="29"/>
      <c r="H370" s="29"/>
      <c r="I370" s="29"/>
      <c r="J370" s="29"/>
      <c r="K370" s="29" t="s">
        <v>31</v>
      </c>
      <c r="L370" s="29" t="s">
        <v>31</v>
      </c>
      <c r="M370" s="29" t="s">
        <v>31</v>
      </c>
      <c r="N370" s="29" t="s">
        <v>31</v>
      </c>
      <c r="O370" s="29">
        <v>346</v>
      </c>
      <c r="P370" s="29" t="s">
        <v>31</v>
      </c>
      <c r="Q370" s="15" t="s">
        <v>32</v>
      </c>
      <c r="R370" s="15"/>
      <c r="S370" s="17"/>
      <c r="T370" s="15" t="s">
        <v>25</v>
      </c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>
        <f t="shared" si="1"/>
        <v>183</v>
      </c>
      <c r="B371" s="19" t="s">
        <v>276</v>
      </c>
      <c r="C371" s="19" t="s">
        <v>85</v>
      </c>
      <c r="D371" s="29" t="s">
        <v>31</v>
      </c>
      <c r="E371" s="15"/>
      <c r="F371" s="29"/>
      <c r="G371" s="29"/>
      <c r="H371" s="29"/>
      <c r="I371" s="29"/>
      <c r="J371" s="29"/>
      <c r="K371" s="29">
        <v>0</v>
      </c>
      <c r="L371" s="29">
        <v>0</v>
      </c>
      <c r="M371" s="29">
        <v>0</v>
      </c>
      <c r="N371" s="29">
        <v>0</v>
      </c>
      <c r="O371" s="29"/>
      <c r="P371" s="29" t="s">
        <v>31</v>
      </c>
      <c r="Q371" s="15" t="s">
        <v>32</v>
      </c>
      <c r="R371" s="15"/>
      <c r="S371" s="17"/>
      <c r="T371" s="15" t="s">
        <v>25</v>
      </c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 t="str">
        <f t="shared" si="1"/>
        <v xml:space="preserve"> </v>
      </c>
      <c r="B372" s="19"/>
      <c r="C372" s="19"/>
      <c r="D372" s="29"/>
      <c r="E372" s="15"/>
      <c r="F372" s="29"/>
      <c r="G372" s="29"/>
      <c r="H372" s="29"/>
      <c r="I372" s="29"/>
      <c r="J372" s="29"/>
      <c r="K372" s="29" t="s">
        <v>31</v>
      </c>
      <c r="L372" s="29" t="s">
        <v>31</v>
      </c>
      <c r="M372" s="29" t="s">
        <v>31</v>
      </c>
      <c r="N372" s="29" t="s">
        <v>31</v>
      </c>
      <c r="O372" s="29">
        <v>375.54500000000002</v>
      </c>
      <c r="P372" s="29" t="s">
        <v>31</v>
      </c>
      <c r="Q372" s="15" t="s">
        <v>32</v>
      </c>
      <c r="R372" s="15"/>
      <c r="S372" s="17"/>
      <c r="T372" s="15" t="s">
        <v>25</v>
      </c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>
        <f t="shared" si="1"/>
        <v>184</v>
      </c>
      <c r="B373" s="19" t="s">
        <v>277</v>
      </c>
      <c r="C373" s="19" t="s">
        <v>37</v>
      </c>
      <c r="D373" s="29" t="s">
        <v>278</v>
      </c>
      <c r="E373" s="15"/>
      <c r="F373" s="29"/>
      <c r="G373" s="29"/>
      <c r="H373" s="29"/>
      <c r="I373" s="29"/>
      <c r="J373" s="29"/>
      <c r="K373" s="29">
        <v>0</v>
      </c>
      <c r="L373" s="29">
        <v>0</v>
      </c>
      <c r="M373" s="29">
        <v>0</v>
      </c>
      <c r="N373" s="29">
        <v>0</v>
      </c>
      <c r="O373" s="29"/>
      <c r="P373" s="29">
        <v>1860.55</v>
      </c>
      <c r="Q373" s="15" t="s">
        <v>32</v>
      </c>
      <c r="R373" s="15"/>
      <c r="S373" s="17"/>
      <c r="T373" s="15" t="s">
        <v>25</v>
      </c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 t="str">
        <f t="shared" si="1"/>
        <v xml:space="preserve"> </v>
      </c>
      <c r="B374" s="19"/>
      <c r="C374" s="19"/>
      <c r="D374" s="15"/>
      <c r="E374" s="15"/>
      <c r="F374" s="24"/>
      <c r="G374" s="24"/>
      <c r="H374" s="24"/>
      <c r="I374" s="24"/>
      <c r="J374" s="15"/>
      <c r="K374" s="15" t="s">
        <v>31</v>
      </c>
      <c r="L374" s="15" t="s">
        <v>31</v>
      </c>
      <c r="M374" s="15" t="s">
        <v>31</v>
      </c>
      <c r="N374" s="15" t="s">
        <v>31</v>
      </c>
      <c r="O374" s="16">
        <v>353</v>
      </c>
      <c r="P374" s="16" t="s">
        <v>31</v>
      </c>
      <c r="Q374" s="15" t="s">
        <v>32</v>
      </c>
      <c r="R374" s="15"/>
      <c r="S374" s="17"/>
      <c r="T374" s="15" t="s">
        <v>25</v>
      </c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>
        <f t="shared" si="1"/>
        <v>185</v>
      </c>
      <c r="B375" s="19" t="s">
        <v>279</v>
      </c>
      <c r="C375" s="19" t="s">
        <v>89</v>
      </c>
      <c r="D375" s="15" t="s">
        <v>31</v>
      </c>
      <c r="E375" s="15"/>
      <c r="F375" s="24"/>
      <c r="G375" s="24"/>
      <c r="H375" s="24"/>
      <c r="I375" s="24"/>
      <c r="J375" s="15"/>
      <c r="K375" s="15">
        <v>0</v>
      </c>
      <c r="L375" s="15">
        <v>0</v>
      </c>
      <c r="M375" s="15">
        <v>0</v>
      </c>
      <c r="N375" s="15">
        <v>0</v>
      </c>
      <c r="O375" s="15"/>
      <c r="P375" s="16" t="s">
        <v>31</v>
      </c>
      <c r="Q375" s="15" t="s">
        <v>32</v>
      </c>
      <c r="R375" s="15"/>
      <c r="S375" s="17"/>
      <c r="T375" s="15" t="s">
        <v>25</v>
      </c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si="1"/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321.512</v>
      </c>
      <c r="P376" s="16" t="s">
        <v>31</v>
      </c>
      <c r="Q376" s="15" t="s">
        <v>32</v>
      </c>
      <c r="R376" s="15"/>
      <c r="S376" s="17"/>
      <c r="T376" s="15" t="s">
        <v>25</v>
      </c>
      <c r="U376" s="17"/>
      <c r="V376" s="17"/>
      <c r="W376" s="15" t="s">
        <v>28</v>
      </c>
      <c r="X376" s="17"/>
      <c r="Y376" s="17"/>
      <c r="Z376" s="18"/>
    </row>
    <row r="377" spans="1:26" ht="14.25" customHeight="1">
      <c r="A377" s="15">
        <f t="shared" si="1"/>
        <v>186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 t="s">
        <v>32</v>
      </c>
      <c r="R377" s="15"/>
      <c r="S377" s="17"/>
      <c r="T377" s="15" t="s">
        <v>25</v>
      </c>
      <c r="U377" s="17"/>
      <c r="V377" s="17"/>
      <c r="W377" s="15" t="s">
        <v>28</v>
      </c>
      <c r="X377" s="17"/>
      <c r="Y377" s="17"/>
      <c r="Z377" s="18"/>
    </row>
    <row r="378" spans="1:26" ht="14.25" customHeight="1">
      <c r="A378" s="15" t="str">
        <f t="shared" si="1"/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312.39400000000001</v>
      </c>
      <c r="P378" s="16" t="s">
        <v>31</v>
      </c>
      <c r="Q378" s="15" t="s">
        <v>32</v>
      </c>
      <c r="R378" s="15"/>
      <c r="S378" s="17"/>
      <c r="T378" s="15" t="s">
        <v>25</v>
      </c>
      <c r="U378" s="17"/>
      <c r="V378" s="17"/>
      <c r="W378" s="15" t="s">
        <v>28</v>
      </c>
      <c r="X378" s="17"/>
      <c r="Y378" s="17"/>
      <c r="Z378" s="18"/>
    </row>
    <row r="379" spans="1:26" ht="14.25" customHeight="1">
      <c r="A379" s="15">
        <f t="shared" si="1"/>
        <v>187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 t="s">
        <v>32</v>
      </c>
      <c r="R379" s="15"/>
      <c r="S379" s="17"/>
      <c r="T379" s="15" t="s">
        <v>25</v>
      </c>
      <c r="U379" s="17"/>
      <c r="V379" s="17"/>
      <c r="W379" s="15" t="s">
        <v>28</v>
      </c>
      <c r="X379" s="17"/>
      <c r="Y379" s="17"/>
      <c r="Z379" s="18"/>
    </row>
    <row r="380" spans="1:26" ht="14.25" customHeight="1">
      <c r="A380" s="15" t="str">
        <f t="shared" si="1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358.351</v>
      </c>
      <c r="P380" s="16" t="s">
        <v>31</v>
      </c>
      <c r="Q380" s="15" t="s">
        <v>32</v>
      </c>
      <c r="R380" s="15"/>
      <c r="S380" s="17"/>
      <c r="T380" s="15" t="s">
        <v>25</v>
      </c>
      <c r="U380" s="17"/>
      <c r="V380" s="17"/>
      <c r="W380" s="15" t="s">
        <v>28</v>
      </c>
      <c r="X380" s="17"/>
      <c r="Y380" s="17"/>
      <c r="Z380" s="18"/>
    </row>
    <row r="381" spans="1:26" ht="14.25" customHeight="1">
      <c r="A381" s="15">
        <f t="shared" si="1"/>
        <v>188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 t="s">
        <v>32</v>
      </c>
      <c r="R381" s="15"/>
      <c r="S381" s="17"/>
      <c r="T381" s="15" t="s">
        <v>25</v>
      </c>
      <c r="U381" s="17"/>
      <c r="V381" s="17"/>
      <c r="W381" s="15" t="s">
        <v>28</v>
      </c>
      <c r="X381" s="17"/>
      <c r="Y381" s="17"/>
      <c r="Z381" s="18"/>
    </row>
    <row r="382" spans="1:26" ht="14.25" customHeight="1">
      <c r="A382" s="15" t="str">
        <f t="shared" si="1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319.20600000000002</v>
      </c>
      <c r="P382" s="16" t="s">
        <v>31</v>
      </c>
      <c r="Q382" s="15" t="s">
        <v>32</v>
      </c>
      <c r="R382" s="15"/>
      <c r="S382" s="17"/>
      <c r="T382" s="15" t="s">
        <v>25</v>
      </c>
      <c r="U382" s="17"/>
      <c r="V382" s="17"/>
      <c r="W382" s="15" t="s">
        <v>28</v>
      </c>
      <c r="X382" s="17"/>
      <c r="Y382" s="17"/>
      <c r="Z382" s="18"/>
    </row>
    <row r="383" spans="1:26" ht="14.25" customHeight="1">
      <c r="A383" s="15">
        <f t="shared" si="1"/>
        <v>189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 t="s">
        <v>32</v>
      </c>
      <c r="R383" s="15"/>
      <c r="S383" s="17"/>
      <c r="T383" s="15" t="s">
        <v>25</v>
      </c>
      <c r="U383" s="17"/>
      <c r="V383" s="17"/>
      <c r="W383" s="15" t="s">
        <v>28</v>
      </c>
      <c r="X383" s="17"/>
      <c r="Y383" s="17"/>
      <c r="Z383" s="18"/>
    </row>
    <row r="384" spans="1:26" ht="14.25" customHeight="1">
      <c r="A384" s="15" t="str">
        <f t="shared" si="1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342.40100000000001</v>
      </c>
      <c r="P384" s="16" t="s">
        <v>31</v>
      </c>
      <c r="Q384" s="15" t="s">
        <v>32</v>
      </c>
      <c r="R384" s="15"/>
      <c r="S384" s="17"/>
      <c r="T384" s="15" t="s">
        <v>25</v>
      </c>
      <c r="U384" s="17"/>
      <c r="V384" s="17"/>
      <c r="W384" s="15" t="s">
        <v>28</v>
      </c>
      <c r="X384" s="17"/>
      <c r="Y384" s="17"/>
      <c r="Z384" s="18"/>
    </row>
    <row r="385" spans="1:26" ht="14.25" customHeight="1">
      <c r="A385" s="15">
        <f t="shared" si="1"/>
        <v>190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 t="s">
        <v>32</v>
      </c>
      <c r="R385" s="15"/>
      <c r="S385" s="17"/>
      <c r="T385" s="15" t="s">
        <v>25</v>
      </c>
      <c r="U385" s="17"/>
      <c r="V385" s="17"/>
      <c r="W385" s="15" t="s">
        <v>28</v>
      </c>
      <c r="X385" s="17"/>
      <c r="Y385" s="17"/>
      <c r="Z385" s="18"/>
    </row>
    <row r="386" spans="1:26" ht="14.25" customHeight="1">
      <c r="A386" s="15" t="str">
        <f t="shared" si="1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337.31</v>
      </c>
      <c r="P386" s="16" t="s">
        <v>31</v>
      </c>
      <c r="Q386" s="15" t="s">
        <v>32</v>
      </c>
      <c r="R386" s="15"/>
      <c r="S386" s="17"/>
      <c r="T386" s="15" t="s">
        <v>25</v>
      </c>
      <c r="U386" s="17"/>
      <c r="V386" s="17"/>
      <c r="W386" s="15" t="s">
        <v>28</v>
      </c>
      <c r="X386" s="17"/>
      <c r="Y386" s="17"/>
      <c r="Z386" s="18"/>
    </row>
    <row r="387" spans="1:26" ht="14.25" customHeight="1">
      <c r="A387" s="15">
        <f t="shared" si="1"/>
        <v>191</v>
      </c>
      <c r="B387" s="19" t="s">
        <v>285</v>
      </c>
      <c r="C387" s="19" t="s">
        <v>37</v>
      </c>
      <c r="D387" s="15" t="s">
        <v>286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>
        <v>2332.92</v>
      </c>
      <c r="Q387" s="15" t="s">
        <v>32</v>
      </c>
      <c r="R387" s="15"/>
      <c r="S387" s="17"/>
      <c r="T387" s="15" t="s">
        <v>25</v>
      </c>
      <c r="U387" s="17"/>
      <c r="V387" s="17"/>
      <c r="W387" s="15" t="s">
        <v>28</v>
      </c>
      <c r="X387" s="17"/>
      <c r="Y387" s="17"/>
      <c r="Z387" s="18"/>
    </row>
    <row r="388" spans="1:26" ht="14.25" customHeight="1">
      <c r="A388" s="15" t="str">
        <f t="shared" si="1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371.80900000000003</v>
      </c>
      <c r="P388" s="16" t="s">
        <v>31</v>
      </c>
      <c r="Q388" s="15" t="s">
        <v>32</v>
      </c>
      <c r="R388" s="15"/>
      <c r="S388" s="17"/>
      <c r="T388" s="15" t="s">
        <v>25</v>
      </c>
      <c r="U388" s="17"/>
      <c r="V388" s="17"/>
      <c r="W388" s="15" t="s">
        <v>28</v>
      </c>
      <c r="X388" s="17"/>
      <c r="Y388" s="17"/>
      <c r="Z388" s="18"/>
    </row>
    <row r="389" spans="1:26" ht="14.25" customHeight="1">
      <c r="A389" s="15">
        <f t="shared" si="1"/>
        <v>192</v>
      </c>
      <c r="B389" s="19" t="s">
        <v>287</v>
      </c>
      <c r="C389" s="19" t="s">
        <v>89</v>
      </c>
      <c r="D389" s="15" t="s">
        <v>31</v>
      </c>
      <c r="E389" s="15">
        <v>5</v>
      </c>
      <c r="F389" s="24"/>
      <c r="G389" s="24"/>
      <c r="H389" s="24"/>
      <c r="I389" s="24"/>
      <c r="J389" s="15"/>
      <c r="K389" s="15">
        <v>5</v>
      </c>
      <c r="L389" s="15">
        <v>5</v>
      </c>
      <c r="M389" s="15">
        <v>5</v>
      </c>
      <c r="N389" s="15">
        <v>5</v>
      </c>
      <c r="O389" s="15"/>
      <c r="P389" s="16" t="s">
        <v>31</v>
      </c>
      <c r="Q389" s="15" t="s">
        <v>32</v>
      </c>
      <c r="R389" s="15"/>
      <c r="S389" s="17"/>
      <c r="T389" s="15" t="s">
        <v>25</v>
      </c>
      <c r="U389" s="17"/>
      <c r="V389" s="17"/>
      <c r="W389" s="15" t="s">
        <v>28</v>
      </c>
      <c r="X389" s="17"/>
      <c r="Y389" s="17"/>
      <c r="Z389" s="18"/>
    </row>
    <row r="390" spans="1:26" ht="14.25" customHeight="1">
      <c r="A390" s="15" t="str">
        <f t="shared" si="1"/>
        <v xml:space="preserve"> </v>
      </c>
      <c r="B390" s="19"/>
      <c r="C390" s="19"/>
      <c r="D390" s="15"/>
      <c r="E390" s="15"/>
      <c r="F390" s="24"/>
      <c r="G390" s="24"/>
      <c r="H390" s="24"/>
      <c r="I390" s="24"/>
      <c r="J390" s="15"/>
      <c r="K390" s="15"/>
      <c r="L390" s="15"/>
      <c r="M390" s="15"/>
      <c r="N390" s="15"/>
      <c r="O390" s="16">
        <v>371.541</v>
      </c>
      <c r="P390" s="16" t="s">
        <v>31</v>
      </c>
      <c r="Q390" s="15" t="s">
        <v>32</v>
      </c>
      <c r="R390" s="15"/>
      <c r="S390" s="17"/>
      <c r="T390" s="15" t="s">
        <v>25</v>
      </c>
      <c r="U390" s="17"/>
      <c r="V390" s="17"/>
      <c r="W390" s="15"/>
      <c r="X390" s="17"/>
      <c r="Y390" s="17"/>
      <c r="Z390" s="18"/>
    </row>
    <row r="391" spans="1:26" ht="14.25" customHeight="1">
      <c r="A391" s="15">
        <f t="shared" si="1"/>
        <v>193</v>
      </c>
      <c r="B391" s="19" t="s">
        <v>288</v>
      </c>
      <c r="C391" s="19" t="s">
        <v>56</v>
      </c>
      <c r="D391" s="15" t="s">
        <v>289</v>
      </c>
      <c r="E391" s="15">
        <v>5</v>
      </c>
      <c r="F391" s="30"/>
      <c r="G391" s="30"/>
      <c r="H391" s="30"/>
      <c r="I391" s="30"/>
      <c r="J391" s="31"/>
      <c r="K391" s="15">
        <v>5</v>
      </c>
      <c r="L391" s="15">
        <v>5</v>
      </c>
      <c r="M391" s="15">
        <v>5</v>
      </c>
      <c r="N391" s="15">
        <v>5</v>
      </c>
      <c r="O391" s="15"/>
      <c r="P391" s="16">
        <v>743.35</v>
      </c>
      <c r="Q391" s="15" t="s">
        <v>32</v>
      </c>
      <c r="R391" s="15"/>
      <c r="S391" s="17"/>
      <c r="T391" s="15" t="s">
        <v>25</v>
      </c>
      <c r="U391" s="17"/>
      <c r="V391" s="17"/>
      <c r="W391" s="15"/>
      <c r="X391" s="17"/>
      <c r="Y391" s="17"/>
      <c r="Z391" s="18"/>
    </row>
    <row r="392" spans="1:26" ht="14.25" customHeight="1">
      <c r="A392" s="15" t="str">
        <f t="shared" si="1"/>
        <v xml:space="preserve"> </v>
      </c>
      <c r="B392" s="19"/>
      <c r="C392" s="19"/>
      <c r="D392" s="15"/>
      <c r="E392" s="15"/>
      <c r="F392" s="32"/>
      <c r="G392" s="32"/>
      <c r="H392" s="32"/>
      <c r="I392" s="32"/>
      <c r="J392" s="32"/>
      <c r="K392" s="15"/>
      <c r="L392" s="15"/>
      <c r="M392" s="15"/>
      <c r="N392" s="15"/>
      <c r="O392" s="16">
        <v>303</v>
      </c>
      <c r="P392" s="16" t="s">
        <v>31</v>
      </c>
      <c r="Q392" s="15" t="s">
        <v>32</v>
      </c>
      <c r="R392" s="15"/>
      <c r="S392" s="17"/>
      <c r="T392" s="15" t="s">
        <v>25</v>
      </c>
      <c r="U392" s="17"/>
      <c r="V392" s="17"/>
      <c r="W392" s="15"/>
      <c r="X392" s="17"/>
      <c r="Y392" s="17"/>
      <c r="Z392" s="18"/>
    </row>
    <row r="393" spans="1:26" ht="14.25" customHeight="1">
      <c r="A393" s="15">
        <f t="shared" si="1"/>
        <v>194</v>
      </c>
      <c r="B393" s="19" t="s">
        <v>290</v>
      </c>
      <c r="C393" s="19" t="s">
        <v>39</v>
      </c>
      <c r="D393" s="15" t="s">
        <v>31</v>
      </c>
      <c r="E393" s="15">
        <v>2</v>
      </c>
      <c r="F393" s="18"/>
      <c r="G393" s="18"/>
      <c r="H393" s="18"/>
      <c r="I393" s="18"/>
      <c r="J393" s="15"/>
      <c r="K393" s="15">
        <v>2</v>
      </c>
      <c r="L393" s="15">
        <v>2</v>
      </c>
      <c r="M393" s="15">
        <v>2</v>
      </c>
      <c r="N393" s="15">
        <v>2</v>
      </c>
      <c r="O393" s="15"/>
      <c r="P393" s="16" t="s">
        <v>31</v>
      </c>
      <c r="Q393" s="15" t="s">
        <v>32</v>
      </c>
      <c r="R393" s="15"/>
      <c r="S393" s="17"/>
      <c r="T393" s="15" t="s">
        <v>25</v>
      </c>
      <c r="U393" s="17"/>
      <c r="V393" s="17"/>
      <c r="W393" s="15"/>
      <c r="X393" s="17"/>
      <c r="Y393" s="17"/>
      <c r="Z393" s="18"/>
    </row>
    <row r="394" spans="1:26" ht="14.25" customHeight="1">
      <c r="A394" s="15" t="str">
        <f t="shared" si="1"/>
        <v xml:space="preserve"> </v>
      </c>
      <c r="B394" s="19"/>
      <c r="C394" s="19"/>
      <c r="D394" s="15"/>
      <c r="E394" s="15"/>
      <c r="F394" s="18"/>
      <c r="G394" s="18"/>
      <c r="H394" s="18"/>
      <c r="I394" s="18"/>
      <c r="J394" s="15"/>
      <c r="K394" s="15" t="s">
        <v>31</v>
      </c>
      <c r="L394" s="15" t="s">
        <v>31</v>
      </c>
      <c r="M394" s="15" t="s">
        <v>31</v>
      </c>
      <c r="N394" s="15" t="s">
        <v>31</v>
      </c>
      <c r="O394" s="16">
        <v>303</v>
      </c>
      <c r="P394" s="16" t="s">
        <v>31</v>
      </c>
      <c r="Q394" s="15" t="s">
        <v>32</v>
      </c>
      <c r="R394" s="15"/>
      <c r="S394" s="17"/>
      <c r="T394" s="15" t="s">
        <v>25</v>
      </c>
      <c r="U394" s="17"/>
      <c r="V394" s="17"/>
      <c r="W394" s="15"/>
      <c r="X394" s="17"/>
      <c r="Y394" s="17"/>
      <c r="Z394" s="18"/>
    </row>
    <row r="395" spans="1:26" ht="14.25" customHeight="1">
      <c r="A395" s="15">
        <f t="shared" si="1"/>
        <v>195</v>
      </c>
      <c r="B395" s="19" t="s">
        <v>291</v>
      </c>
      <c r="C395" s="19" t="s">
        <v>42</v>
      </c>
      <c r="D395" s="15" t="s">
        <v>31</v>
      </c>
      <c r="E395" s="15"/>
      <c r="F395" s="18"/>
      <c r="G395" s="18"/>
      <c r="H395" s="18"/>
      <c r="I395" s="18"/>
      <c r="J395" s="15"/>
      <c r="K395" s="15">
        <v>0</v>
      </c>
      <c r="L395" s="15">
        <v>0</v>
      </c>
      <c r="M395" s="15">
        <v>0</v>
      </c>
      <c r="N395" s="15">
        <v>0</v>
      </c>
      <c r="O395" s="15"/>
      <c r="P395" s="16" t="s">
        <v>31</v>
      </c>
      <c r="Q395" s="15" t="s">
        <v>32</v>
      </c>
      <c r="R395" s="15"/>
      <c r="S395" s="17"/>
      <c r="T395" s="15" t="s">
        <v>25</v>
      </c>
      <c r="U395" s="17"/>
      <c r="V395" s="17"/>
      <c r="W395" s="15"/>
      <c r="X395" s="17"/>
      <c r="Y395" s="17"/>
      <c r="Z395" s="18"/>
    </row>
    <row r="396" spans="1:26" ht="14.25" customHeight="1">
      <c r="A396" s="15" t="str">
        <f t="shared" si="1"/>
        <v xml:space="preserve"> </v>
      </c>
      <c r="B396" s="19"/>
      <c r="C396" s="19"/>
      <c r="D396" s="33"/>
      <c r="E396" s="33"/>
      <c r="F396" s="18"/>
      <c r="G396" s="18"/>
      <c r="H396" s="18"/>
      <c r="I396" s="18"/>
      <c r="J396" s="15"/>
      <c r="K396" s="33" t="s">
        <v>31</v>
      </c>
      <c r="L396" s="33" t="s">
        <v>31</v>
      </c>
      <c r="M396" s="33" t="s">
        <v>31</v>
      </c>
      <c r="N396" s="33" t="s">
        <v>31</v>
      </c>
      <c r="O396" s="34">
        <v>303.21699999999998</v>
      </c>
      <c r="P396" s="34" t="s">
        <v>31</v>
      </c>
      <c r="Q396" s="15" t="s">
        <v>32</v>
      </c>
      <c r="R396" s="15"/>
      <c r="S396" s="17"/>
      <c r="T396" s="15" t="s">
        <v>25</v>
      </c>
      <c r="U396" s="17"/>
      <c r="V396" s="17"/>
      <c r="W396" s="15"/>
      <c r="X396" s="17"/>
      <c r="Y396" s="17"/>
      <c r="Z396" s="18"/>
    </row>
    <row r="397" spans="1:26" ht="14.25" customHeight="1">
      <c r="A397" s="15">
        <f t="shared" si="1"/>
        <v>196</v>
      </c>
      <c r="B397" s="19" t="s">
        <v>292</v>
      </c>
      <c r="C397" s="19" t="s">
        <v>42</v>
      </c>
      <c r="D397" s="33" t="s">
        <v>293</v>
      </c>
      <c r="E397" s="33"/>
      <c r="F397" s="18"/>
      <c r="G397" s="18"/>
      <c r="H397" s="18"/>
      <c r="I397" s="18"/>
      <c r="J397" s="15"/>
      <c r="K397" s="33">
        <v>0</v>
      </c>
      <c r="L397" s="33">
        <v>0</v>
      </c>
      <c r="M397" s="33">
        <v>0</v>
      </c>
      <c r="N397" s="33">
        <v>0</v>
      </c>
      <c r="O397" s="33"/>
      <c r="P397" s="34">
        <v>909.22</v>
      </c>
      <c r="Q397" s="15" t="s">
        <v>32</v>
      </c>
      <c r="R397" s="15"/>
      <c r="S397" s="17"/>
      <c r="T397" s="15" t="s">
        <v>25</v>
      </c>
      <c r="U397" s="17"/>
      <c r="V397" s="17"/>
      <c r="W397" s="15"/>
      <c r="X397" s="17"/>
      <c r="Y397" s="17"/>
      <c r="Z397" s="18"/>
    </row>
    <row r="398" spans="1:26" ht="14.25" customHeight="1">
      <c r="A398" s="15" t="str">
        <f t="shared" si="1"/>
        <v xml:space="preserve"> </v>
      </c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/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>
        <f t="shared" si="1"/>
        <v>197</v>
      </c>
      <c r="B399" s="19" t="s">
        <v>294</v>
      </c>
      <c r="C399" s="19" t="s">
        <v>34</v>
      </c>
      <c r="D399" s="18"/>
      <c r="E399" s="18"/>
      <c r="F399" s="18"/>
      <c r="G399" s="18"/>
      <c r="H399" s="18"/>
      <c r="I399" s="18"/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0" spans="1:26" ht="14.25" customHeight="1">
      <c r="A400" s="15" t="str">
        <f t="shared" si="1"/>
        <v xml:space="preserve"> </v>
      </c>
      <c r="B400" s="38"/>
      <c r="C400" s="19"/>
      <c r="D400" s="18"/>
      <c r="E400" s="18"/>
      <c r="F400" s="18"/>
      <c r="G400" s="18"/>
      <c r="H400" s="18"/>
      <c r="I400" s="18"/>
      <c r="J400" s="15"/>
      <c r="K400" s="15"/>
      <c r="L400" s="15"/>
      <c r="M400" s="15"/>
      <c r="N400" s="35"/>
      <c r="O400" s="36"/>
      <c r="P400" s="18"/>
      <c r="Q400" s="15"/>
      <c r="R400" s="17"/>
      <c r="S400" s="17"/>
      <c r="T400" s="15"/>
      <c r="U400" s="17"/>
      <c r="V400" s="17"/>
      <c r="W400" s="15"/>
      <c r="X400" s="17"/>
      <c r="Y400" s="17"/>
      <c r="Z400" s="18"/>
    </row>
    <row r="401" spans="1:26" ht="14.25" customHeight="1">
      <c r="A401" s="15">
        <f t="shared" si="1"/>
        <v>198</v>
      </c>
      <c r="B401" s="39" t="s">
        <v>295</v>
      </c>
      <c r="C401" s="19" t="s">
        <v>34</v>
      </c>
      <c r="D401" s="18"/>
      <c r="E401" s="18"/>
      <c r="F401" s="18"/>
      <c r="G401" s="18"/>
      <c r="H401" s="18"/>
      <c r="I401" s="18"/>
      <c r="J401" s="15"/>
      <c r="K401" s="15"/>
      <c r="L401" s="15"/>
      <c r="M401" s="15"/>
      <c r="N401" s="35"/>
      <c r="O401" s="36"/>
      <c r="P401" s="37"/>
      <c r="Q401" s="15"/>
      <c r="R401" s="17"/>
      <c r="S401" s="17"/>
      <c r="T401" s="15"/>
      <c r="U401" s="17"/>
      <c r="V401" s="17"/>
      <c r="W401" s="15"/>
      <c r="X401" s="17"/>
      <c r="Y401" s="17"/>
      <c r="Z401" s="18"/>
    </row>
    <row r="402" spans="1:26" ht="14.25" customHeight="1">
      <c r="A402" s="15" t="str">
        <f t="shared" si="1"/>
        <v xml:space="preserve"> </v>
      </c>
      <c r="B402" s="15"/>
      <c r="C402" s="15"/>
      <c r="D402" s="18"/>
      <c r="E402" s="18"/>
      <c r="F402" s="18"/>
      <c r="G402" s="18"/>
      <c r="H402" s="18"/>
      <c r="I402" s="18"/>
      <c r="J402" s="15"/>
      <c r="K402" s="15"/>
      <c r="L402" s="15"/>
      <c r="M402" s="15"/>
      <c r="N402" s="35"/>
      <c r="O402" s="36"/>
      <c r="P402" s="18"/>
      <c r="Q402" s="15"/>
      <c r="R402" s="17"/>
      <c r="S402" s="17"/>
      <c r="T402" s="15"/>
      <c r="U402" s="17"/>
      <c r="V402" s="17"/>
      <c r="W402" s="15"/>
      <c r="X402" s="17"/>
      <c r="Y402" s="17"/>
      <c r="Z402" s="18"/>
    </row>
    <row r="403" spans="1:26" ht="14.25" customHeight="1">
      <c r="A403" s="15" t="str">
        <f t="shared" si="1"/>
        <v xml:space="preserve"> </v>
      </c>
      <c r="B403" s="15"/>
      <c r="C403" s="15"/>
      <c r="D403" s="18"/>
      <c r="E403" s="18"/>
      <c r="F403" s="18"/>
      <c r="G403" s="18"/>
      <c r="H403" s="18"/>
      <c r="I403" s="18"/>
      <c r="J403" s="15"/>
      <c r="K403" s="15"/>
      <c r="L403" s="15"/>
      <c r="M403" s="15"/>
      <c r="N403" s="35"/>
      <c r="O403" s="36"/>
      <c r="P403" s="37"/>
      <c r="Q403" s="15"/>
      <c r="R403" s="17"/>
      <c r="S403" s="17"/>
      <c r="T403" s="15"/>
      <c r="U403" s="17"/>
      <c r="V403" s="17"/>
      <c r="W403" s="15"/>
      <c r="X403" s="17"/>
      <c r="Y403" s="17"/>
      <c r="Z403" s="18"/>
    </row>
    <row r="404" spans="1:26" ht="14.25" customHeight="1">
      <c r="A404" s="15" t="str">
        <f t="shared" si="1"/>
        <v xml:space="preserve"> </v>
      </c>
      <c r="B404" s="15"/>
      <c r="C404" s="15"/>
      <c r="D404" s="18"/>
      <c r="E404" s="18"/>
      <c r="F404" s="18"/>
      <c r="G404" s="18"/>
      <c r="H404" s="18"/>
      <c r="I404" s="18"/>
      <c r="J404" s="15"/>
      <c r="K404" s="15"/>
      <c r="L404" s="15"/>
      <c r="M404" s="15"/>
      <c r="N404" s="35"/>
      <c r="O404" s="36"/>
      <c r="P404" s="18"/>
      <c r="Q404" s="15"/>
      <c r="R404" s="17"/>
      <c r="S404" s="17"/>
      <c r="T404" s="15"/>
      <c r="U404" s="17"/>
      <c r="V404" s="17"/>
      <c r="W404" s="15"/>
      <c r="X404" s="17"/>
      <c r="Y404" s="17"/>
      <c r="Z404" s="18"/>
    </row>
    <row r="405" spans="1:26" ht="14.25" customHeight="1">
      <c r="A405" s="15" t="str">
        <f t="shared" si="1"/>
        <v xml:space="preserve"> </v>
      </c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37"/>
      <c r="Q405" s="15"/>
      <c r="R405" s="17"/>
      <c r="S405" s="17"/>
      <c r="T405" s="15"/>
      <c r="U405" s="17"/>
      <c r="V405" s="40"/>
      <c r="W405" s="15"/>
      <c r="X405" s="17"/>
      <c r="Y405" s="17"/>
      <c r="Z405" s="18"/>
    </row>
    <row r="406" spans="1:26" ht="14.25" customHeight="1">
      <c r="A406" s="15" t="str">
        <f t="shared" si="1"/>
        <v xml:space="preserve"> </v>
      </c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6"/>
      <c r="P406" s="18"/>
      <c r="Q406" s="15"/>
      <c r="R406" s="17"/>
      <c r="S406" s="17"/>
      <c r="T406" s="15"/>
      <c r="U406" s="17"/>
      <c r="V406" s="40"/>
      <c r="W406" s="15"/>
      <c r="X406" s="17"/>
      <c r="Y406" s="17"/>
      <c r="Z406" s="18"/>
    </row>
    <row r="407" spans="1:26" ht="14.25" customHeight="1">
      <c r="A407" s="15" t="str">
        <f t="shared" si="1"/>
        <v xml:space="preserve"> </v>
      </c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37"/>
      <c r="Q407" s="15"/>
      <c r="R407" s="17"/>
      <c r="S407" s="17"/>
      <c r="T407" s="15"/>
      <c r="U407" s="17"/>
      <c r="V407" s="40"/>
      <c r="W407" s="15"/>
      <c r="X407" s="17"/>
      <c r="Y407" s="17"/>
      <c r="Z407" s="18"/>
    </row>
    <row r="408" spans="1:26" ht="14.25" customHeight="1">
      <c r="A408" s="15" t="str">
        <f t="shared" si="1"/>
        <v xml:space="preserve"> </v>
      </c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6"/>
      <c r="P408" s="18"/>
      <c r="Q408" s="15"/>
      <c r="R408" s="17"/>
      <c r="S408" s="17"/>
      <c r="T408" s="15"/>
      <c r="U408" s="17"/>
      <c r="V408" s="40"/>
      <c r="W408" s="15"/>
      <c r="X408" s="17"/>
      <c r="Y408" s="17"/>
      <c r="Z408" s="18"/>
    </row>
    <row r="409" spans="1:26" ht="14.25" customHeight="1">
      <c r="A409" s="15" t="str">
        <f t="shared" si="1"/>
        <v xml:space="preserve"> </v>
      </c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37"/>
      <c r="Q409" s="15"/>
      <c r="R409" s="17"/>
      <c r="S409" s="17"/>
      <c r="T409" s="15"/>
      <c r="U409" s="17"/>
      <c r="V409" s="40"/>
      <c r="W409" s="15"/>
      <c r="X409" s="17"/>
      <c r="Y409" s="17"/>
      <c r="Z409" s="18"/>
    </row>
    <row r="410" spans="1:26" ht="14.25" customHeight="1">
      <c r="A410" s="15" t="str">
        <f t="shared" si="1"/>
        <v xml:space="preserve"> </v>
      </c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6"/>
      <c r="P410" s="41"/>
      <c r="Q410" s="15"/>
      <c r="R410" s="17"/>
      <c r="S410" s="17"/>
      <c r="T410" s="15"/>
      <c r="U410" s="40"/>
      <c r="V410" s="40"/>
      <c r="W410" s="15"/>
      <c r="X410" s="17"/>
      <c r="Y410" s="17"/>
      <c r="Z410" s="18"/>
    </row>
    <row r="411" spans="1:26" ht="14.25" customHeight="1">
      <c r="A411" s="15" t="str">
        <f t="shared" si="1"/>
        <v xml:space="preserve"> </v>
      </c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41"/>
      <c r="Q411" s="15"/>
      <c r="R411" s="17"/>
      <c r="S411" s="17"/>
      <c r="T411" s="15"/>
      <c r="U411" s="40"/>
      <c r="V411" s="40"/>
      <c r="W411" s="15"/>
      <c r="X411" s="17"/>
      <c r="Y411" s="17"/>
      <c r="Z411" s="18"/>
    </row>
    <row r="412" spans="1:26" ht="14.25" customHeight="1">
      <c r="A412" s="15" t="str">
        <f t="shared" si="1"/>
        <v xml:space="preserve"> </v>
      </c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6"/>
      <c r="P412" s="41"/>
      <c r="Q412" s="15"/>
      <c r="R412" s="17"/>
      <c r="S412" s="17"/>
      <c r="T412" s="15"/>
      <c r="U412" s="40"/>
      <c r="V412" s="40"/>
      <c r="W412" s="15"/>
      <c r="X412" s="17"/>
      <c r="Y412" s="17"/>
      <c r="Z412" s="18"/>
    </row>
    <row r="413" spans="1:26" ht="14.25" customHeight="1">
      <c r="A413" s="15" t="str">
        <f t="shared" si="1"/>
        <v xml:space="preserve"> </v>
      </c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41"/>
      <c r="Q413" s="15"/>
      <c r="R413" s="17"/>
      <c r="S413" s="17"/>
      <c r="T413" s="15"/>
      <c r="U413" s="40"/>
      <c r="V413" s="40"/>
      <c r="W413" s="15"/>
      <c r="X413" s="17"/>
      <c r="Y413" s="17"/>
      <c r="Z413" s="18"/>
    </row>
    <row r="414" spans="1:26" ht="14.25" customHeight="1">
      <c r="A414" s="15" t="str">
        <f t="shared" si="1"/>
        <v xml:space="preserve"> </v>
      </c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6"/>
      <c r="P414" s="41"/>
      <c r="Q414" s="15"/>
      <c r="R414" s="17"/>
      <c r="S414" s="17"/>
      <c r="T414" s="15"/>
      <c r="U414" s="40"/>
      <c r="V414" s="40"/>
      <c r="W414" s="15"/>
      <c r="X414" s="17"/>
      <c r="Y414" s="17"/>
      <c r="Z414" s="18"/>
    </row>
    <row r="415" spans="1:26" ht="14.25" customHeight="1">
      <c r="A415" s="15" t="str">
        <f t="shared" si="1"/>
        <v xml:space="preserve"> </v>
      </c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41"/>
      <c r="Q415" s="15"/>
      <c r="R415" s="17"/>
      <c r="S415" s="17"/>
      <c r="T415" s="15"/>
      <c r="U415" s="40"/>
      <c r="V415" s="40"/>
      <c r="W415" s="15"/>
      <c r="X415" s="17"/>
      <c r="Y415" s="17"/>
      <c r="Z415" s="18"/>
    </row>
    <row r="416" spans="1:26" ht="14.25" customHeight="1">
      <c r="A416" s="15" t="str">
        <f t="shared" si="1"/>
        <v xml:space="preserve"> </v>
      </c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6"/>
      <c r="P416" s="41"/>
      <c r="Q416" s="15"/>
      <c r="R416" s="17"/>
      <c r="S416" s="17"/>
      <c r="T416" s="15"/>
      <c r="U416" s="40"/>
      <c r="V416" s="40"/>
      <c r="W416" s="15"/>
      <c r="X416" s="17"/>
      <c r="Y416" s="17"/>
      <c r="Z416" s="18"/>
    </row>
    <row r="417" spans="1:26" ht="14.25" customHeight="1">
      <c r="A417" s="15" t="str">
        <f t="shared" si="1"/>
        <v xml:space="preserve"> </v>
      </c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41"/>
      <c r="Q417" s="15"/>
      <c r="R417" s="17"/>
      <c r="S417" s="17"/>
      <c r="T417" s="15"/>
      <c r="U417" s="40"/>
      <c r="V417" s="40"/>
      <c r="W417" s="15"/>
      <c r="X417" s="17"/>
      <c r="Y417" s="17"/>
      <c r="Z417" s="18"/>
    </row>
    <row r="418" spans="1:26" ht="14.25" customHeight="1">
      <c r="A418" s="15" t="str">
        <f t="shared" si="1"/>
        <v xml:space="preserve"> </v>
      </c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6"/>
      <c r="P418" s="41"/>
      <c r="Q418" s="15"/>
      <c r="R418" s="17"/>
      <c r="S418" s="17"/>
      <c r="T418" s="15"/>
      <c r="U418" s="40"/>
      <c r="V418" s="40"/>
      <c r="W418" s="15"/>
      <c r="X418" s="17"/>
      <c r="Y418" s="17"/>
      <c r="Z418" s="18"/>
    </row>
    <row r="419" spans="1:26" ht="14.25" customHeight="1">
      <c r="A419" s="15" t="str">
        <f t="shared" si="1"/>
        <v xml:space="preserve"> </v>
      </c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41"/>
      <c r="Q419" s="15"/>
      <c r="R419" s="17"/>
      <c r="S419" s="17"/>
      <c r="T419" s="15"/>
      <c r="U419" s="40"/>
      <c r="V419" s="40"/>
      <c r="W419" s="15"/>
      <c r="X419" s="17"/>
      <c r="Y419" s="17"/>
      <c r="Z419" s="18"/>
    </row>
    <row r="420" spans="1:26" ht="14.25" customHeight="1">
      <c r="A420" s="15" t="str">
        <f t="shared" si="1"/>
        <v xml:space="preserve"> </v>
      </c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6"/>
      <c r="P420" s="41"/>
      <c r="Q420" s="15"/>
      <c r="R420" s="17"/>
      <c r="S420" s="17"/>
      <c r="T420" s="15"/>
      <c r="U420" s="40"/>
      <c r="V420" s="40"/>
      <c r="W420" s="15"/>
      <c r="X420" s="17"/>
      <c r="Y420" s="17"/>
      <c r="Z420" s="18"/>
    </row>
    <row r="421" spans="1:26" ht="14.25" customHeight="1">
      <c r="A421" s="15" t="str">
        <f t="shared" si="1"/>
        <v xml:space="preserve"> </v>
      </c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41"/>
      <c r="Q421" s="15"/>
      <c r="R421" s="17"/>
      <c r="S421" s="17"/>
      <c r="T421" s="15"/>
      <c r="U421" s="40"/>
      <c r="V421" s="40"/>
      <c r="W421" s="15"/>
      <c r="X421" s="17"/>
      <c r="Y421" s="17"/>
      <c r="Z421" s="18"/>
    </row>
    <row r="422" spans="1:26" ht="14.25" customHeight="1">
      <c r="A422" s="15" t="str">
        <f t="shared" si="1"/>
        <v xml:space="preserve"> </v>
      </c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6"/>
      <c r="P422" s="41"/>
      <c r="Q422" s="15"/>
      <c r="R422" s="17"/>
      <c r="S422" s="17"/>
      <c r="T422" s="15"/>
      <c r="U422" s="40"/>
      <c r="V422" s="40"/>
      <c r="W422" s="15"/>
      <c r="X422" s="17"/>
      <c r="Y422" s="17"/>
      <c r="Z422" s="18"/>
    </row>
    <row r="423" spans="1:26" ht="14.25" customHeight="1">
      <c r="A423" s="15" t="str">
        <f t="shared" si="1"/>
        <v xml:space="preserve"> </v>
      </c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41"/>
      <c r="Q423" s="15"/>
      <c r="R423" s="17"/>
      <c r="S423" s="17"/>
      <c r="T423" s="15"/>
      <c r="U423" s="40"/>
      <c r="V423" s="40"/>
      <c r="W423" s="15"/>
      <c r="X423" s="17"/>
      <c r="Y423" s="17"/>
      <c r="Z423" s="18"/>
    </row>
    <row r="424" spans="1:26" ht="14.25" customHeight="1">
      <c r="A424" s="15" t="str">
        <f t="shared" si="1"/>
        <v xml:space="preserve"> </v>
      </c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6"/>
      <c r="P424" s="41"/>
      <c r="Q424" s="15"/>
      <c r="R424" s="17"/>
      <c r="S424" s="17"/>
      <c r="T424" s="15"/>
      <c r="U424" s="40"/>
      <c r="V424" s="40"/>
      <c r="W424" s="15"/>
      <c r="X424" s="17"/>
      <c r="Y424" s="17"/>
      <c r="Z424" s="18"/>
    </row>
    <row r="425" spans="1:26" ht="14.25" customHeight="1">
      <c r="A425" s="15" t="str">
        <f t="shared" si="1"/>
        <v xml:space="preserve"> </v>
      </c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41"/>
      <c r="Q425" s="15"/>
      <c r="R425" s="17"/>
      <c r="S425" s="17"/>
      <c r="T425" s="15"/>
      <c r="U425" s="40"/>
      <c r="V425" s="40"/>
      <c r="W425" s="15"/>
      <c r="X425" s="17"/>
      <c r="Y425" s="17"/>
      <c r="Z425" s="18"/>
    </row>
    <row r="426" spans="1:26" ht="14.25" customHeight="1">
      <c r="A426" s="15" t="str">
        <f t="shared" si="1"/>
        <v xml:space="preserve"> </v>
      </c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6"/>
      <c r="P426" s="41"/>
      <c r="Q426" s="15"/>
      <c r="R426" s="17"/>
      <c r="S426" s="17"/>
      <c r="T426" s="15"/>
      <c r="U426" s="40"/>
      <c r="V426" s="40"/>
      <c r="W426" s="15"/>
      <c r="X426" s="17"/>
      <c r="Y426" s="17"/>
      <c r="Z426" s="18"/>
    </row>
    <row r="427" spans="1:26" ht="14.25" customHeight="1">
      <c r="A427" s="15" t="str">
        <f t="shared" si="1"/>
        <v xml:space="preserve"> </v>
      </c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41"/>
      <c r="Q427" s="15"/>
      <c r="R427" s="17"/>
      <c r="S427" s="17"/>
      <c r="T427" s="15"/>
      <c r="U427" s="40"/>
      <c r="V427" s="40"/>
      <c r="W427" s="15"/>
      <c r="X427" s="17"/>
      <c r="Y427" s="17"/>
      <c r="Z427" s="18"/>
    </row>
    <row r="428" spans="1:26" ht="14.25" customHeight="1">
      <c r="A428" s="15" t="str">
        <f t="shared" si="1"/>
        <v xml:space="preserve"> </v>
      </c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6"/>
      <c r="P428" s="41"/>
      <c r="Q428" s="15"/>
      <c r="R428" s="17"/>
      <c r="S428" s="17"/>
      <c r="T428" s="15"/>
      <c r="U428" s="40"/>
      <c r="V428" s="40"/>
      <c r="W428" s="15"/>
      <c r="X428" s="17"/>
      <c r="Y428" s="17"/>
      <c r="Z428" s="18"/>
    </row>
    <row r="429" spans="1:26" ht="14.25" customHeight="1">
      <c r="A429" s="15" t="str">
        <f t="shared" si="1"/>
        <v xml:space="preserve"> </v>
      </c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6"/>
      <c r="P429" s="41"/>
      <c r="Q429" s="15"/>
      <c r="R429" s="17"/>
      <c r="S429" s="17"/>
      <c r="T429" s="15"/>
      <c r="U429" s="40"/>
      <c r="V429" s="40"/>
      <c r="W429" s="15"/>
      <c r="X429" s="17"/>
      <c r="Y429" s="17"/>
      <c r="Z429" s="18"/>
    </row>
    <row r="430" spans="1:26" ht="14.25" customHeight="1">
      <c r="A430" s="15" t="str">
        <f t="shared" si="1"/>
        <v xml:space="preserve"> </v>
      </c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6"/>
      <c r="P430" s="41"/>
      <c r="Q430" s="15"/>
      <c r="R430" s="17"/>
      <c r="S430" s="17"/>
      <c r="T430" s="15"/>
      <c r="U430" s="40"/>
      <c r="V430" s="40"/>
      <c r="W430" s="15"/>
      <c r="X430" s="17"/>
      <c r="Y430" s="17"/>
      <c r="Z430" s="18"/>
    </row>
    <row r="431" spans="1:26" ht="14.25" customHeight="1">
      <c r="A431" s="15" t="str">
        <f t="shared" si="1"/>
        <v xml:space="preserve"> </v>
      </c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6"/>
      <c r="P431" s="41"/>
      <c r="Q431" s="15"/>
      <c r="R431" s="17"/>
      <c r="S431" s="17"/>
      <c r="T431" s="15"/>
      <c r="U431" s="40"/>
      <c r="V431" s="40"/>
      <c r="W431" s="15"/>
      <c r="X431" s="17"/>
      <c r="Y431" s="17"/>
      <c r="Z431" s="18"/>
    </row>
    <row r="432" spans="1:26" ht="14.25" customHeight="1">
      <c r="A432" s="15" t="str">
        <f t="shared" si="1"/>
        <v xml:space="preserve"> </v>
      </c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6"/>
      <c r="P432" s="41"/>
      <c r="Q432" s="15"/>
      <c r="R432" s="17"/>
      <c r="S432" s="17"/>
      <c r="T432" s="15"/>
      <c r="U432" s="40"/>
      <c r="V432" s="40"/>
      <c r="W432" s="15"/>
      <c r="X432" s="17"/>
      <c r="Y432" s="17"/>
      <c r="Z432" s="18"/>
    </row>
    <row r="433" spans="1:26" ht="14.25" customHeight="1">
      <c r="A433" s="15" t="str">
        <f t="shared" si="1"/>
        <v xml:space="preserve"> </v>
      </c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6"/>
      <c r="P433" s="41"/>
      <c r="Q433" s="15"/>
      <c r="R433" s="17"/>
      <c r="S433" s="17"/>
      <c r="T433" s="15"/>
      <c r="U433" s="40"/>
      <c r="V433" s="40"/>
      <c r="W433" s="15"/>
      <c r="X433" s="17"/>
      <c r="Y433" s="17"/>
      <c r="Z433" s="18"/>
    </row>
    <row r="434" spans="1:26" ht="14.25" customHeight="1">
      <c r="A434" s="15" t="str">
        <f t="shared" si="1"/>
        <v xml:space="preserve"> </v>
      </c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6"/>
      <c r="P434" s="41"/>
      <c r="Q434" s="15"/>
      <c r="R434" s="17"/>
      <c r="S434" s="17"/>
      <c r="T434" s="15"/>
      <c r="U434" s="40"/>
      <c r="V434" s="40"/>
      <c r="W434" s="15"/>
      <c r="X434" s="17"/>
      <c r="Y434" s="17"/>
      <c r="Z434" s="18"/>
    </row>
    <row r="435" spans="1:26" ht="14.25" customHeight="1">
      <c r="A435" s="15" t="str">
        <f t="shared" si="1"/>
        <v xml:space="preserve"> </v>
      </c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6"/>
      <c r="P435" s="41"/>
      <c r="Q435" s="15"/>
      <c r="R435" s="17"/>
      <c r="S435" s="17"/>
      <c r="T435" s="15"/>
      <c r="U435" s="40"/>
      <c r="V435" s="40"/>
      <c r="W435" s="15"/>
      <c r="X435" s="17"/>
      <c r="Y435" s="17"/>
      <c r="Z435" s="18"/>
    </row>
    <row r="436" spans="1:26" ht="14.25" customHeight="1">
      <c r="A436" s="15" t="str">
        <f t="shared" si="1"/>
        <v xml:space="preserve"> </v>
      </c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6"/>
      <c r="P436" s="41"/>
      <c r="Q436" s="15"/>
      <c r="R436" s="17"/>
      <c r="S436" s="17"/>
      <c r="T436" s="15"/>
      <c r="U436" s="40"/>
      <c r="V436" s="40"/>
      <c r="W436" s="15"/>
      <c r="X436" s="17"/>
      <c r="Y436" s="17"/>
      <c r="Z436" s="18"/>
    </row>
    <row r="437" spans="1:26" ht="14.25" customHeight="1">
      <c r="A437" s="15" t="str">
        <f t="shared" si="1"/>
        <v xml:space="preserve"> </v>
      </c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6"/>
      <c r="P437" s="41"/>
      <c r="Q437" s="15"/>
      <c r="R437" s="17"/>
      <c r="S437" s="17"/>
      <c r="T437" s="15"/>
      <c r="U437" s="40"/>
      <c r="V437" s="40"/>
      <c r="W437" s="15"/>
      <c r="X437" s="17"/>
      <c r="Y437" s="17"/>
      <c r="Z437" s="18"/>
    </row>
    <row r="438" spans="1:26" ht="14.25" customHeight="1">
      <c r="A438" s="15" t="str">
        <f t="shared" si="1"/>
        <v xml:space="preserve"> </v>
      </c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6"/>
      <c r="P438" s="41"/>
      <c r="Q438" s="15"/>
      <c r="R438" s="17"/>
      <c r="S438" s="17"/>
      <c r="T438" s="15"/>
      <c r="U438" s="40"/>
      <c r="V438" s="40"/>
      <c r="W438" s="15"/>
      <c r="X438" s="17"/>
      <c r="Y438" s="17"/>
      <c r="Z438" s="18"/>
    </row>
    <row r="439" spans="1:26" ht="14.25" customHeight="1">
      <c r="A439" s="15" t="str">
        <f t="shared" si="1"/>
        <v xml:space="preserve"> </v>
      </c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6"/>
      <c r="P439" s="41"/>
      <c r="Q439" s="15"/>
      <c r="R439" s="17"/>
      <c r="S439" s="17"/>
      <c r="T439" s="15"/>
      <c r="U439" s="40"/>
      <c r="V439" s="40"/>
      <c r="W439" s="15"/>
      <c r="X439" s="17"/>
      <c r="Y439" s="17"/>
      <c r="Z439" s="18"/>
    </row>
    <row r="440" spans="1:26" ht="14.25" customHeight="1">
      <c r="A440" s="15" t="str">
        <f t="shared" si="1"/>
        <v xml:space="preserve"> </v>
      </c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6"/>
      <c r="P440" s="41"/>
      <c r="Q440" s="15"/>
      <c r="R440" s="17"/>
      <c r="S440" s="17"/>
      <c r="T440" s="15"/>
      <c r="U440" s="40"/>
      <c r="V440" s="40"/>
      <c r="W440" s="15"/>
      <c r="X440" s="17"/>
      <c r="Y440" s="17"/>
      <c r="Z440" s="18"/>
    </row>
    <row r="441" spans="1:26" ht="14.25" customHeight="1">
      <c r="A441" s="15" t="str">
        <f t="shared" si="1"/>
        <v xml:space="preserve"> </v>
      </c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6"/>
      <c r="P441" s="41"/>
      <c r="Q441" s="15"/>
      <c r="R441" s="17"/>
      <c r="S441" s="17"/>
      <c r="T441" s="15"/>
      <c r="U441" s="40"/>
      <c r="V441" s="40"/>
      <c r="W441" s="15"/>
      <c r="X441" s="17"/>
      <c r="Y441" s="17"/>
      <c r="Z441" s="18"/>
    </row>
    <row r="442" spans="1:26" ht="14.25" customHeight="1">
      <c r="A442" s="15" t="str">
        <f t="shared" si="1"/>
        <v xml:space="preserve"> </v>
      </c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6"/>
      <c r="P442" s="41"/>
      <c r="Q442" s="15"/>
      <c r="R442" s="17"/>
      <c r="S442" s="17"/>
      <c r="T442" s="15"/>
      <c r="U442" s="40"/>
      <c r="V442" s="40"/>
      <c r="W442" s="15"/>
      <c r="X442" s="17"/>
      <c r="Y442" s="17"/>
      <c r="Z442" s="18"/>
    </row>
    <row r="443" spans="1:26" ht="14.25" customHeight="1">
      <c r="A443" s="15" t="str">
        <f t="shared" si="1"/>
        <v xml:space="preserve"> </v>
      </c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6"/>
      <c r="P443" s="41"/>
      <c r="Q443" s="15"/>
      <c r="R443" s="17"/>
      <c r="S443" s="17"/>
      <c r="T443" s="15"/>
      <c r="U443" s="40"/>
      <c r="V443" s="40"/>
      <c r="W443" s="15"/>
      <c r="X443" s="17"/>
      <c r="Y443" s="17"/>
      <c r="Z443" s="18"/>
    </row>
    <row r="444" spans="1:26" ht="14.25" customHeight="1">
      <c r="A444" s="15" t="str">
        <f t="shared" si="1"/>
        <v xml:space="preserve"> </v>
      </c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6"/>
      <c r="P444" s="41"/>
      <c r="Q444" s="15"/>
      <c r="R444" s="17"/>
      <c r="S444" s="17"/>
      <c r="T444" s="15"/>
      <c r="U444" s="40"/>
      <c r="V444" s="40"/>
      <c r="W444" s="15"/>
      <c r="X444" s="17"/>
      <c r="Y444" s="17"/>
      <c r="Z444" s="18"/>
    </row>
    <row r="445" spans="1:26" ht="14.25" customHeight="1">
      <c r="A445" s="15" t="str">
        <f t="shared" si="1"/>
        <v xml:space="preserve"> </v>
      </c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6"/>
      <c r="P445" s="41"/>
      <c r="Q445" s="15"/>
      <c r="R445" s="17"/>
      <c r="S445" s="17"/>
      <c r="T445" s="15"/>
      <c r="U445" s="40"/>
      <c r="V445" s="40"/>
      <c r="W445" s="15"/>
      <c r="X445" s="17"/>
      <c r="Y445" s="17"/>
      <c r="Z445" s="18"/>
    </row>
    <row r="446" spans="1:26" ht="14.25" customHeight="1">
      <c r="A446" s="15" t="str">
        <f t="shared" si="1"/>
        <v xml:space="preserve"> </v>
      </c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6"/>
      <c r="P446" s="41"/>
      <c r="Q446" s="15"/>
      <c r="R446" s="17"/>
      <c r="S446" s="40"/>
      <c r="T446" s="15"/>
      <c r="U446" s="40"/>
      <c r="V446" s="40"/>
      <c r="W446" s="15"/>
      <c r="X446" s="17"/>
      <c r="Y446" s="17"/>
      <c r="Z446" s="18"/>
    </row>
    <row r="447" spans="1:26" ht="14.25" customHeight="1">
      <c r="A447" s="15" t="str">
        <f t="shared" si="1"/>
        <v xml:space="preserve"> </v>
      </c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6"/>
      <c r="P447" s="41"/>
      <c r="Q447" s="15"/>
      <c r="R447" s="17"/>
      <c r="S447" s="40"/>
      <c r="T447" s="15"/>
      <c r="U447" s="40"/>
      <c r="V447" s="40"/>
      <c r="W447" s="15"/>
      <c r="X447" s="17"/>
      <c r="Y447" s="17"/>
      <c r="Z447" s="18"/>
    </row>
    <row r="448" spans="1:26" ht="14.25" customHeight="1">
      <c r="A448" s="15" t="str">
        <f t="shared" si="1"/>
        <v xml:space="preserve"> </v>
      </c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6"/>
      <c r="P448" s="41"/>
      <c r="Q448" s="15"/>
      <c r="R448" s="17"/>
      <c r="S448" s="40"/>
      <c r="T448" s="15"/>
      <c r="U448" s="40"/>
      <c r="V448" s="40"/>
      <c r="W448" s="15"/>
      <c r="X448" s="17"/>
      <c r="Y448" s="17"/>
      <c r="Z448" s="18"/>
    </row>
    <row r="449" spans="1:26" ht="14.25" customHeight="1">
      <c r="A449" s="15" t="str">
        <f t="shared" si="1"/>
        <v xml:space="preserve"> </v>
      </c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6"/>
      <c r="P449" s="41"/>
      <c r="Q449" s="15"/>
      <c r="R449" s="17"/>
      <c r="S449" s="40"/>
      <c r="T449" s="15"/>
      <c r="U449" s="40"/>
      <c r="V449" s="40"/>
      <c r="W449" s="15"/>
      <c r="X449" s="17"/>
      <c r="Y449" s="17"/>
      <c r="Z449" s="18"/>
    </row>
    <row r="450" spans="1:26" ht="14.25" customHeight="1">
      <c r="A450" s="15" t="str">
        <f t="shared" si="1"/>
        <v xml:space="preserve"> </v>
      </c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6"/>
      <c r="P450" s="41"/>
      <c r="Q450" s="15"/>
      <c r="R450" s="17"/>
      <c r="S450" s="40"/>
      <c r="T450" s="15"/>
      <c r="U450" s="40"/>
      <c r="V450" s="40"/>
      <c r="W450" s="15"/>
      <c r="X450" s="17"/>
      <c r="Y450" s="17"/>
      <c r="Z450" s="18"/>
    </row>
    <row r="451" spans="1:26" ht="14.25" customHeight="1">
      <c r="A451" s="15" t="str">
        <f t="shared" si="1"/>
        <v xml:space="preserve"> </v>
      </c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6"/>
      <c r="P451" s="41"/>
      <c r="Q451" s="15"/>
      <c r="R451" s="17"/>
      <c r="S451" s="40"/>
      <c r="T451" s="15"/>
      <c r="U451" s="40"/>
      <c r="V451" s="40"/>
      <c r="W451" s="15"/>
      <c r="X451" s="17"/>
      <c r="Y451" s="17"/>
      <c r="Z451" s="18"/>
    </row>
    <row r="452" spans="1:26" ht="14.25" customHeight="1">
      <c r="A452" s="15" t="str">
        <f t="shared" si="1"/>
        <v xml:space="preserve"> </v>
      </c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6"/>
      <c r="P452" s="41"/>
      <c r="Q452" s="15"/>
      <c r="R452" s="17"/>
      <c r="S452" s="40"/>
      <c r="T452" s="15"/>
      <c r="U452" s="40"/>
      <c r="V452" s="40"/>
      <c r="W452" s="15"/>
      <c r="X452" s="17"/>
      <c r="Y452" s="17"/>
      <c r="Z452" s="18"/>
    </row>
    <row r="453" spans="1:26" ht="14.25" customHeight="1">
      <c r="A453" s="15" t="str">
        <f t="shared" si="1"/>
        <v xml:space="preserve"> </v>
      </c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6"/>
      <c r="P453" s="41"/>
      <c r="Q453" s="15"/>
      <c r="R453" s="17"/>
      <c r="S453" s="40"/>
      <c r="T453" s="15"/>
      <c r="U453" s="40"/>
      <c r="V453" s="40"/>
      <c r="W453" s="15"/>
      <c r="X453" s="17"/>
      <c r="Y453" s="17"/>
      <c r="Z453" s="18"/>
    </row>
    <row r="454" spans="1:26" ht="14.25" customHeight="1">
      <c r="A454" s="15" t="str">
        <f t="shared" si="1"/>
        <v xml:space="preserve"> </v>
      </c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6"/>
      <c r="P454" s="41"/>
      <c r="Q454" s="15"/>
      <c r="R454" s="17"/>
      <c r="S454" s="40"/>
      <c r="T454" s="15"/>
      <c r="U454" s="40"/>
      <c r="V454" s="40"/>
      <c r="W454" s="15"/>
      <c r="X454" s="17"/>
      <c r="Y454" s="17"/>
      <c r="Z454" s="18"/>
    </row>
    <row r="455" spans="1:26" ht="14.25" customHeight="1">
      <c r="A455" s="15" t="str">
        <f t="shared" si="1"/>
        <v xml:space="preserve"> </v>
      </c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6"/>
      <c r="P455" s="41"/>
      <c r="Q455" s="15"/>
      <c r="R455" s="17"/>
      <c r="S455" s="40"/>
      <c r="T455" s="15"/>
      <c r="U455" s="40"/>
      <c r="V455" s="40"/>
      <c r="W455" s="15"/>
      <c r="X455" s="17"/>
      <c r="Y455" s="17"/>
      <c r="Z455" s="18"/>
    </row>
    <row r="456" spans="1:26" ht="14.25" customHeight="1">
      <c r="A456" s="15" t="str">
        <f t="shared" si="1"/>
        <v xml:space="preserve"> </v>
      </c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6"/>
      <c r="P456" s="41"/>
      <c r="Q456" s="15"/>
      <c r="R456" s="17"/>
      <c r="S456" s="40"/>
      <c r="T456" s="15"/>
      <c r="U456" s="40"/>
      <c r="V456" s="40"/>
      <c r="W456" s="15"/>
      <c r="X456" s="17"/>
      <c r="Y456" s="17"/>
      <c r="Z456" s="18"/>
    </row>
    <row r="457" spans="1:26" ht="14.25" customHeight="1">
      <c r="A457" s="15" t="str">
        <f t="shared" si="1"/>
        <v xml:space="preserve"> </v>
      </c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6"/>
      <c r="P457" s="41"/>
      <c r="Q457" s="15"/>
      <c r="R457" s="17"/>
      <c r="S457" s="40"/>
      <c r="T457" s="15"/>
      <c r="U457" s="40"/>
      <c r="V457" s="40"/>
      <c r="W457" s="15"/>
      <c r="X457" s="17"/>
      <c r="Y457" s="17"/>
      <c r="Z457" s="18"/>
    </row>
    <row r="458" spans="1:26" ht="14.25" customHeight="1">
      <c r="A458" s="15" t="str">
        <f t="shared" si="1"/>
        <v xml:space="preserve"> </v>
      </c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6"/>
      <c r="P458" s="41"/>
      <c r="Q458" s="15"/>
      <c r="R458" s="17"/>
      <c r="S458" s="40"/>
      <c r="T458" s="15"/>
      <c r="U458" s="40"/>
      <c r="V458" s="40"/>
      <c r="W458" s="15"/>
      <c r="X458" s="17"/>
      <c r="Y458" s="17"/>
      <c r="Z458" s="18"/>
    </row>
    <row r="459" spans="1:26" ht="14.25" customHeight="1">
      <c r="A459" s="15" t="str">
        <f t="shared" si="1"/>
        <v xml:space="preserve"> </v>
      </c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6"/>
      <c r="P459" s="41"/>
      <c r="Q459" s="15"/>
      <c r="R459" s="17"/>
      <c r="S459" s="40"/>
      <c r="T459" s="15"/>
      <c r="U459" s="40"/>
      <c r="V459" s="40"/>
      <c r="W459" s="15"/>
      <c r="X459" s="17"/>
      <c r="Y459" s="17"/>
      <c r="Z459" s="18"/>
    </row>
    <row r="460" spans="1:26" ht="14.25" customHeight="1">
      <c r="A460" s="15" t="str">
        <f t="shared" si="1"/>
        <v xml:space="preserve"> </v>
      </c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6"/>
      <c r="P460" s="41"/>
      <c r="Q460" s="15"/>
      <c r="R460" s="17"/>
      <c r="S460" s="40"/>
      <c r="T460" s="15"/>
      <c r="U460" s="40"/>
      <c r="V460" s="40"/>
      <c r="W460" s="15"/>
      <c r="X460" s="17"/>
      <c r="Y460" s="17"/>
      <c r="Z460" s="18"/>
    </row>
    <row r="461" spans="1:26" ht="14.25" customHeight="1">
      <c r="A461" s="15" t="str">
        <f t="shared" si="1"/>
        <v xml:space="preserve"> </v>
      </c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41"/>
      <c r="Q461" s="15"/>
      <c r="R461" s="17"/>
      <c r="S461" s="40"/>
      <c r="T461" s="15"/>
      <c r="U461" s="42"/>
      <c r="V461" s="40"/>
      <c r="W461" s="15"/>
      <c r="X461" s="17"/>
      <c r="Y461" s="17"/>
      <c r="Z461" s="18"/>
    </row>
    <row r="462" spans="1:26" ht="14.25" customHeight="1">
      <c r="A462" s="15" t="str">
        <f t="shared" si="1"/>
        <v xml:space="preserve"> </v>
      </c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6"/>
      <c r="P462" s="41"/>
      <c r="Q462" s="15"/>
      <c r="R462" s="40"/>
      <c r="S462" s="40"/>
      <c r="T462" s="15"/>
      <c r="U462" s="40"/>
      <c r="V462" s="40"/>
      <c r="W462" s="15"/>
      <c r="X462" s="17"/>
      <c r="Y462" s="40"/>
      <c r="Z462" s="18"/>
    </row>
    <row r="463" spans="1:26" ht="14.25" customHeight="1">
      <c r="A463" s="15" t="str">
        <f t="shared" si="1"/>
        <v xml:space="preserve"> </v>
      </c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6"/>
      <c r="P463" s="41"/>
      <c r="Q463" s="15"/>
      <c r="R463" s="40"/>
      <c r="S463" s="40"/>
      <c r="T463" s="15"/>
      <c r="U463" s="40"/>
      <c r="V463" s="40"/>
      <c r="W463" s="15"/>
      <c r="X463" s="17"/>
      <c r="Y463" s="40"/>
      <c r="Z463" s="18"/>
    </row>
    <row r="464" spans="1:26" ht="14.25" customHeight="1">
      <c r="A464" s="15" t="str">
        <f t="shared" si="1"/>
        <v xml:space="preserve"> </v>
      </c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6"/>
      <c r="P464" s="41"/>
      <c r="Q464" s="15"/>
      <c r="R464" s="40"/>
      <c r="S464" s="40"/>
      <c r="T464" s="15"/>
      <c r="U464" s="40"/>
      <c r="V464" s="40"/>
      <c r="W464" s="15"/>
      <c r="X464" s="17"/>
      <c r="Y464" s="40"/>
      <c r="Z464" s="18"/>
    </row>
    <row r="465" spans="1:26" ht="14.25" customHeight="1">
      <c r="A465" s="15" t="str">
        <f t="shared" si="1"/>
        <v xml:space="preserve"> </v>
      </c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6"/>
      <c r="P465" s="41"/>
      <c r="Q465" s="15"/>
      <c r="R465" s="40"/>
      <c r="S465" s="40"/>
      <c r="T465" s="15"/>
      <c r="U465" s="40"/>
      <c r="V465" s="40"/>
      <c r="W465" s="15"/>
      <c r="X465" s="17"/>
      <c r="Y465" s="40"/>
      <c r="Z465" s="18"/>
    </row>
    <row r="466" spans="1:26" ht="14.25" customHeight="1">
      <c r="A466" s="15" t="str">
        <f t="shared" si="1"/>
        <v xml:space="preserve"> </v>
      </c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6"/>
      <c r="P466" s="41"/>
      <c r="Q466" s="15"/>
      <c r="R466" s="40"/>
      <c r="S466" s="40"/>
      <c r="T466" s="15"/>
      <c r="U466" s="40"/>
      <c r="V466" s="40"/>
      <c r="W466" s="15"/>
      <c r="X466" s="17"/>
      <c r="Y466" s="40"/>
      <c r="Z466" s="18"/>
    </row>
    <row r="467" spans="1:26" ht="14.25" customHeight="1">
      <c r="A467" s="15" t="str">
        <f t="shared" si="1"/>
        <v xml:space="preserve"> </v>
      </c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6"/>
      <c r="P467" s="41"/>
      <c r="Q467" s="15"/>
      <c r="R467" s="40"/>
      <c r="S467" s="40"/>
      <c r="T467" s="15"/>
      <c r="U467" s="40"/>
      <c r="V467" s="40"/>
      <c r="W467" s="15"/>
      <c r="X467" s="17"/>
      <c r="Y467" s="40"/>
      <c r="Z467" s="18"/>
    </row>
    <row r="468" spans="1:26" ht="14.25" customHeight="1">
      <c r="A468" s="15" t="str">
        <f t="shared" si="1"/>
        <v xml:space="preserve"> </v>
      </c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6"/>
      <c r="P468" s="41"/>
      <c r="Q468" s="15"/>
      <c r="R468" s="40"/>
      <c r="S468" s="40"/>
      <c r="T468" s="15"/>
      <c r="U468" s="40"/>
      <c r="V468" s="40"/>
      <c r="W468" s="15"/>
      <c r="X468" s="17"/>
      <c r="Y468" s="40"/>
      <c r="Z468" s="18"/>
    </row>
    <row r="469" spans="1:26" ht="14.25" customHeight="1">
      <c r="A469" s="15" t="str">
        <f t="shared" si="1"/>
        <v xml:space="preserve"> </v>
      </c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6"/>
      <c r="P469" s="41"/>
      <c r="Q469" s="15"/>
      <c r="R469" s="40"/>
      <c r="S469" s="40"/>
      <c r="T469" s="15"/>
      <c r="U469" s="40"/>
      <c r="V469" s="40"/>
      <c r="W469" s="15"/>
      <c r="X469" s="17"/>
      <c r="Y469" s="40"/>
      <c r="Z469" s="18"/>
    </row>
    <row r="470" spans="1:26" ht="14.25" customHeight="1">
      <c r="A470" s="15" t="str">
        <f t="shared" si="1"/>
        <v xml:space="preserve"> </v>
      </c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6"/>
      <c r="P470" s="41"/>
      <c r="Q470" s="15"/>
      <c r="R470" s="40"/>
      <c r="S470" s="40"/>
      <c r="T470" s="15"/>
      <c r="U470" s="40"/>
      <c r="V470" s="40"/>
      <c r="W470" s="15"/>
      <c r="X470" s="17"/>
      <c r="Y470" s="40"/>
      <c r="Z470" s="18"/>
    </row>
    <row r="471" spans="1:26" ht="14.25" customHeight="1">
      <c r="A471" s="15" t="str">
        <f t="shared" si="1"/>
        <v xml:space="preserve"> </v>
      </c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6"/>
      <c r="P471" s="41"/>
      <c r="Q471" s="15"/>
      <c r="R471" s="40"/>
      <c r="S471" s="40"/>
      <c r="T471" s="15"/>
      <c r="U471" s="40"/>
      <c r="V471" s="40"/>
      <c r="W471" s="15"/>
      <c r="X471" s="17"/>
      <c r="Y471" s="40"/>
      <c r="Z471" s="18"/>
    </row>
    <row r="472" spans="1:26" ht="14.25" customHeight="1">
      <c r="A472" s="15" t="str">
        <f t="shared" si="1"/>
        <v xml:space="preserve"> </v>
      </c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6"/>
      <c r="P472" s="41"/>
      <c r="Q472" s="15"/>
      <c r="R472" s="40"/>
      <c r="S472" s="40"/>
      <c r="T472" s="15"/>
      <c r="U472" s="40"/>
      <c r="V472" s="40"/>
      <c r="W472" s="15"/>
      <c r="X472" s="17"/>
      <c r="Y472" s="40"/>
      <c r="Z472" s="18"/>
    </row>
    <row r="473" spans="1:26" ht="14.25" customHeight="1">
      <c r="A473" s="15" t="str">
        <f t="shared" si="1"/>
        <v xml:space="preserve"> </v>
      </c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6"/>
      <c r="P473" s="41"/>
      <c r="Q473" s="15"/>
      <c r="R473" s="40"/>
      <c r="S473" s="40"/>
      <c r="T473" s="15"/>
      <c r="U473" s="40"/>
      <c r="V473" s="40"/>
      <c r="W473" s="15"/>
      <c r="X473" s="17"/>
      <c r="Y473" s="40"/>
      <c r="Z473" s="18"/>
    </row>
    <row r="474" spans="1:26" ht="14.25" customHeight="1">
      <c r="A474" s="15" t="str">
        <f t="shared" si="1"/>
        <v xml:space="preserve"> </v>
      </c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6"/>
      <c r="P474" s="41"/>
      <c r="Q474" s="15"/>
      <c r="R474" s="40"/>
      <c r="S474" s="40"/>
      <c r="T474" s="15"/>
      <c r="U474" s="40"/>
      <c r="V474" s="40"/>
      <c r="W474" s="15"/>
      <c r="X474" s="17"/>
      <c r="Y474" s="40"/>
      <c r="Z474" s="18"/>
    </row>
    <row r="475" spans="1:26" ht="14.25" customHeight="1">
      <c r="A475" s="15" t="str">
        <f t="shared" si="1"/>
        <v xml:space="preserve"> </v>
      </c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6"/>
      <c r="P475" s="41"/>
      <c r="Q475" s="15"/>
      <c r="R475" s="40"/>
      <c r="S475" s="40"/>
      <c r="T475" s="15"/>
      <c r="U475" s="40"/>
      <c r="V475" s="40"/>
      <c r="W475" s="15"/>
      <c r="X475" s="17"/>
      <c r="Y475" s="40"/>
      <c r="Z475" s="18"/>
    </row>
    <row r="476" spans="1:26" ht="14.25" customHeight="1">
      <c r="A476" s="15" t="str">
        <f t="shared" si="1"/>
        <v xml:space="preserve"> </v>
      </c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6"/>
      <c r="P476" s="41"/>
      <c r="Q476" s="15"/>
      <c r="R476" s="40"/>
      <c r="S476" s="40"/>
      <c r="T476" s="15"/>
      <c r="U476" s="40"/>
      <c r="V476" s="40"/>
      <c r="W476" s="15"/>
      <c r="X476" s="17"/>
      <c r="Y476" s="40"/>
      <c r="Z476" s="18"/>
    </row>
    <row r="477" spans="1:26" ht="14.25" customHeight="1">
      <c r="A477" s="15" t="str">
        <f t="shared" si="1"/>
        <v xml:space="preserve"> </v>
      </c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6"/>
      <c r="P477" s="41"/>
      <c r="Q477" s="15"/>
      <c r="R477" s="40"/>
      <c r="S477" s="40"/>
      <c r="T477" s="15"/>
      <c r="U477" s="40"/>
      <c r="V477" s="40"/>
      <c r="W477" s="15"/>
      <c r="X477" s="17"/>
      <c r="Y477" s="40"/>
      <c r="Z477" s="18"/>
    </row>
    <row r="478" spans="1:26" ht="14.25" customHeight="1">
      <c r="A478" s="15" t="str">
        <f t="shared" si="1"/>
        <v xml:space="preserve"> </v>
      </c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6"/>
      <c r="P478" s="41"/>
      <c r="Q478" s="15"/>
      <c r="R478" s="40"/>
      <c r="S478" s="40"/>
      <c r="T478" s="15"/>
      <c r="U478" s="40"/>
      <c r="V478" s="40"/>
      <c r="W478" s="15"/>
      <c r="X478" s="17"/>
      <c r="Y478" s="40"/>
      <c r="Z478" s="18"/>
    </row>
    <row r="479" spans="1:26" ht="14.25" customHeight="1">
      <c r="A479" s="15" t="str">
        <f t="shared" si="1"/>
        <v xml:space="preserve"> </v>
      </c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6"/>
      <c r="P479" s="41"/>
      <c r="Q479" s="15"/>
      <c r="R479" s="40"/>
      <c r="S479" s="40"/>
      <c r="T479" s="15"/>
      <c r="U479" s="40"/>
      <c r="V479" s="40"/>
      <c r="W479" s="15"/>
      <c r="X479" s="17"/>
      <c r="Y479" s="40"/>
      <c r="Z479" s="18"/>
    </row>
    <row r="480" spans="1:26" ht="14.25" customHeight="1">
      <c r="A480" s="15" t="str">
        <f t="shared" si="1"/>
        <v xml:space="preserve"> </v>
      </c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6"/>
      <c r="P480" s="41"/>
      <c r="Q480" s="15"/>
      <c r="R480" s="40"/>
      <c r="S480" s="40"/>
      <c r="T480" s="15"/>
      <c r="U480" s="40"/>
      <c r="V480" s="40"/>
      <c r="W480" s="15"/>
      <c r="X480" s="17"/>
      <c r="Y480" s="40"/>
      <c r="Z480" s="18"/>
    </row>
    <row r="481" spans="1:26" ht="14.25" customHeight="1">
      <c r="A481" s="15" t="str">
        <f t="shared" si="1"/>
        <v xml:space="preserve"> </v>
      </c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6"/>
      <c r="P481" s="41"/>
      <c r="Q481" s="15"/>
      <c r="R481" s="40"/>
      <c r="S481" s="40"/>
      <c r="T481" s="15"/>
      <c r="U481" s="40"/>
      <c r="V481" s="40"/>
      <c r="W481" s="15"/>
      <c r="X481" s="17"/>
      <c r="Y481" s="40"/>
      <c r="Z481" s="18"/>
    </row>
    <row r="482" spans="1:26" ht="14.25" customHeight="1">
      <c r="A482" s="15" t="str">
        <f t="shared" si="1"/>
        <v xml:space="preserve"> </v>
      </c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6"/>
      <c r="P482" s="41"/>
      <c r="Q482" s="15"/>
      <c r="R482" s="40"/>
      <c r="S482" s="40"/>
      <c r="T482" s="15"/>
      <c r="U482" s="40"/>
      <c r="V482" s="40"/>
      <c r="W482" s="15"/>
      <c r="X482" s="17"/>
      <c r="Y482" s="40"/>
      <c r="Z482" s="18"/>
    </row>
    <row r="648" spans="15:23" ht="14.25" customHeight="1">
      <c r="O648" s="52">
        <f>SUM(O6:O647)/1000</f>
        <v>63.876819999999981</v>
      </c>
      <c r="P648" s="18"/>
      <c r="Q648" s="52">
        <f>SUMIF(Q5:Q647,"Completed",$O$5:$O$647)/1000</f>
        <v>63.876819999999981</v>
      </c>
      <c r="R648" s="36"/>
      <c r="S648" s="36"/>
      <c r="T648" s="52">
        <f>SUMIF(T5:T647,"Submitted",$O$5:$O$647)/1000</f>
        <v>62.414279999999977</v>
      </c>
      <c r="U648" s="36"/>
      <c r="V648" s="36"/>
      <c r="W648" s="52">
        <f>SUMIF(W5:W647,"Approved",$O$5:$O$647)/1000</f>
        <v>61.133521999999985</v>
      </c>
    </row>
  </sheetData>
  <autoFilter ref="A4:Z648" xr:uid="{00000000-0009-0000-0000-000000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46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/>
  <cols>
    <col min="1" max="2" width="8.85546875" customWidth="1"/>
    <col min="3" max="3" width="14.85546875" customWidth="1"/>
    <col min="4" max="4" width="14.85546875" hidden="1" customWidth="1"/>
    <col min="5" max="14" width="6.7109375" hidden="1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  <col min="27" max="28" width="8.85546875" customWidth="1"/>
  </cols>
  <sheetData>
    <row r="1" spans="1:26" ht="14.25" customHeight="1">
      <c r="A1" s="603" t="str">
        <f>+Summary!A2</f>
        <v>Name of the Line: 220KV DC AL59 line from Neemuch - Chanderiya + 132KV DC ACSS Line from Chanderiya to Hindustan Zinc</v>
      </c>
      <c r="B1" s="604"/>
      <c r="C1" s="604"/>
      <c r="D1" s="604"/>
      <c r="E1" s="604"/>
      <c r="F1" s="604"/>
      <c r="G1" s="604"/>
      <c r="H1" s="604"/>
      <c r="I1" s="604"/>
      <c r="J1" s="604"/>
      <c r="K1" s="604"/>
      <c r="L1" s="604"/>
      <c r="M1" s="604"/>
      <c r="N1" s="604"/>
      <c r="O1" s="604"/>
      <c r="P1" s="604"/>
      <c r="Q1" s="604"/>
      <c r="R1" s="604"/>
      <c r="S1" s="604"/>
      <c r="T1" s="604"/>
      <c r="U1" s="604"/>
      <c r="V1" s="604"/>
      <c r="W1" s="604"/>
      <c r="X1" s="604"/>
      <c r="Y1" s="604"/>
      <c r="Z1" s="605"/>
    </row>
    <row r="2" spans="1:26" ht="14.25" customHeight="1">
      <c r="A2" s="603" t="s">
        <v>296</v>
      </c>
      <c r="B2" s="604"/>
      <c r="C2" s="604"/>
      <c r="D2" s="604"/>
      <c r="E2" s="604"/>
      <c r="F2" s="604"/>
      <c r="G2" s="604"/>
      <c r="H2" s="604"/>
      <c r="I2" s="604"/>
      <c r="J2" s="604"/>
      <c r="K2" s="604"/>
      <c r="L2" s="604"/>
      <c r="M2" s="604"/>
      <c r="N2" s="604"/>
      <c r="O2" s="604"/>
      <c r="P2" s="604"/>
      <c r="Q2" s="604"/>
      <c r="R2" s="604"/>
      <c r="S2" s="604"/>
      <c r="T2" s="604"/>
      <c r="U2" s="604"/>
      <c r="V2" s="604"/>
      <c r="W2" s="604"/>
      <c r="X2" s="604"/>
      <c r="Y2" s="604"/>
      <c r="Z2" s="605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606" t="s">
        <v>7</v>
      </c>
      <c r="G3" s="604"/>
      <c r="H3" s="604"/>
      <c r="I3" s="605"/>
      <c r="J3" s="2" t="s">
        <v>8</v>
      </c>
      <c r="K3" s="606" t="s">
        <v>9</v>
      </c>
      <c r="L3" s="604"/>
      <c r="M3" s="604"/>
      <c r="N3" s="605"/>
      <c r="O3" s="2" t="s">
        <v>10</v>
      </c>
      <c r="P3" s="4" t="s">
        <v>11</v>
      </c>
      <c r="Q3" s="607" t="s">
        <v>12</v>
      </c>
      <c r="R3" s="604"/>
      <c r="S3" s="605"/>
      <c r="T3" s="608" t="s">
        <v>13</v>
      </c>
      <c r="U3" s="604"/>
      <c r="V3" s="605"/>
      <c r="W3" s="609" t="s">
        <v>14</v>
      </c>
      <c r="X3" s="610"/>
      <c r="Y3" s="611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/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47</v>
      </c>
      <c r="P6" s="16" t="s">
        <v>31</v>
      </c>
      <c r="Q6" s="15"/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/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196</v>
      </c>
      <c r="P8" s="16" t="s">
        <v>31</v>
      </c>
      <c r="Q8" s="15"/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14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/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196.74299999999999</v>
      </c>
      <c r="P10" s="16" t="s">
        <v>31</v>
      </c>
      <c r="Q10" s="15"/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/>
      <c r="R11" s="17"/>
      <c r="S11" s="17"/>
      <c r="T11" s="15"/>
      <c r="U11" s="17"/>
      <c r="V11" s="17"/>
      <c r="W11" s="15" t="s">
        <v>28</v>
      </c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334</v>
      </c>
      <c r="P12" s="16" t="s">
        <v>31</v>
      </c>
      <c r="Q12" s="15"/>
      <c r="R12" s="17"/>
      <c r="S12" s="17"/>
      <c r="T12" s="15"/>
      <c r="U12" s="17"/>
      <c r="V12" s="17"/>
      <c r="W12" s="15" t="s">
        <v>28</v>
      </c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/>
      <c r="R13" s="17"/>
      <c r="S13" s="17"/>
      <c r="T13" s="15"/>
      <c r="U13" s="17"/>
      <c r="V13" s="17"/>
      <c r="W13" s="15" t="s">
        <v>28</v>
      </c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319</v>
      </c>
      <c r="P14" s="16" t="s">
        <v>31</v>
      </c>
      <c r="Q14" s="15"/>
      <c r="R14" s="17"/>
      <c r="S14" s="17"/>
      <c r="T14" s="15"/>
      <c r="U14" s="17"/>
      <c r="V14" s="17"/>
      <c r="W14" s="15" t="s">
        <v>28</v>
      </c>
      <c r="X14" s="17"/>
      <c r="Y14" s="17"/>
      <c r="Z14" s="18"/>
    </row>
    <row r="15" spans="1:26" ht="14.25" customHeight="1">
      <c r="A15" s="15"/>
      <c r="B15" s="19" t="s">
        <v>43</v>
      </c>
      <c r="C15" s="19" t="s">
        <v>37</v>
      </c>
      <c r="D15" s="15"/>
      <c r="E15" s="15"/>
      <c r="F15" s="6"/>
      <c r="G15" s="6"/>
      <c r="H15" s="6"/>
      <c r="I15" s="6"/>
      <c r="J15" s="15"/>
      <c r="K15" s="15"/>
      <c r="L15" s="15"/>
      <c r="M15" s="15"/>
      <c r="N15" s="15"/>
      <c r="O15" s="16"/>
      <c r="P15" s="16"/>
      <c r="Q15" s="15"/>
      <c r="R15" s="17"/>
      <c r="S15" s="17"/>
      <c r="T15" s="15"/>
      <c r="U15" s="17"/>
      <c r="V15" s="17"/>
      <c r="W15" s="15"/>
      <c r="X15" s="17"/>
      <c r="Y15" s="17"/>
      <c r="Z15" s="18"/>
    </row>
    <row r="16" spans="1:26" ht="14.25" customHeight="1">
      <c r="A16" s="15"/>
      <c r="B16" s="19"/>
      <c r="C16" s="19"/>
      <c r="D16" s="15"/>
      <c r="E16" s="15"/>
      <c r="F16" s="6"/>
      <c r="G16" s="6"/>
      <c r="H16" s="6"/>
      <c r="I16" s="6"/>
      <c r="J16" s="15"/>
      <c r="K16" s="15"/>
      <c r="L16" s="15"/>
      <c r="M16" s="15"/>
      <c r="N16" s="15"/>
      <c r="O16" s="16">
        <v>384.31799999999998</v>
      </c>
      <c r="P16" s="16"/>
      <c r="Q16" s="15"/>
      <c r="R16" s="17"/>
      <c r="S16" s="17"/>
      <c r="T16" s="15"/>
      <c r="U16" s="17"/>
      <c r="V16" s="17"/>
      <c r="W16" s="15"/>
      <c r="X16" s="17"/>
      <c r="Y16" s="17"/>
      <c r="Z16" s="18"/>
    </row>
    <row r="17" spans="1:26" ht="14.25" customHeight="1">
      <c r="A17" s="15">
        <f t="shared" ref="A17:A18" si="1">IF(B17&gt;0,A13+1," ")</f>
        <v>5</v>
      </c>
      <c r="B17" s="19" t="s">
        <v>45</v>
      </c>
      <c r="C17" s="19" t="s">
        <v>46</v>
      </c>
      <c r="D17" s="15" t="s">
        <v>297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>
        <v>683.88</v>
      </c>
      <c r="Q17" s="15"/>
      <c r="R17" s="17"/>
      <c r="S17" s="17"/>
      <c r="T17" s="15"/>
      <c r="U17" s="17"/>
      <c r="V17" s="17"/>
      <c r="W17" s="15" t="s">
        <v>28</v>
      </c>
      <c r="X17" s="17"/>
      <c r="Y17" s="17"/>
      <c r="Z17" s="18"/>
    </row>
    <row r="18" spans="1:26" ht="14.25" customHeight="1">
      <c r="A18" s="15" t="str">
        <f t="shared" si="1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329</v>
      </c>
      <c r="P18" s="16" t="s">
        <v>31</v>
      </c>
      <c r="Q18" s="15"/>
      <c r="R18" s="17"/>
      <c r="S18" s="17"/>
      <c r="T18" s="15"/>
      <c r="U18" s="17"/>
      <c r="V18" s="17"/>
      <c r="W18" s="15" t="s">
        <v>28</v>
      </c>
      <c r="X18" s="17"/>
      <c r="Y18" s="17"/>
      <c r="Z18" s="18"/>
    </row>
    <row r="19" spans="1:26" ht="14.25" customHeight="1">
      <c r="A19" s="15">
        <f t="shared" ref="A19:A75" si="2">IF(B19&gt;0,A17+1," ")</f>
        <v>6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/>
      <c r="R19" s="17"/>
      <c r="S19" s="17"/>
      <c r="T19" s="15"/>
      <c r="U19" s="17"/>
      <c r="V19" s="17"/>
      <c r="W19" s="15" t="s">
        <v>28</v>
      </c>
      <c r="X19" s="17"/>
      <c r="Y19" s="17"/>
      <c r="Z19" s="18"/>
    </row>
    <row r="20" spans="1:26" ht="14.25" customHeight="1">
      <c r="A20" s="15" t="str">
        <f t="shared" si="2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280</v>
      </c>
      <c r="P20" s="16" t="s">
        <v>31</v>
      </c>
      <c r="Q20" s="15"/>
      <c r="R20" s="17"/>
      <c r="S20" s="15"/>
      <c r="T20" s="15"/>
      <c r="U20" s="17"/>
      <c r="V20" s="17"/>
      <c r="W20" s="15" t="s">
        <v>28</v>
      </c>
      <c r="X20" s="17"/>
      <c r="Y20" s="17"/>
      <c r="Z20" s="18"/>
    </row>
    <row r="21" spans="1:26" ht="14.25" customHeight="1">
      <c r="A21" s="15">
        <f t="shared" si="2"/>
        <v>7</v>
      </c>
      <c r="B21" s="19" t="s">
        <v>48</v>
      </c>
      <c r="C21" s="19" t="s">
        <v>39</v>
      </c>
      <c r="D21" s="15" t="s">
        <v>31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 t="s">
        <v>31</v>
      </c>
      <c r="Q21" s="15"/>
      <c r="R21" s="17"/>
      <c r="S21" s="15"/>
      <c r="T21" s="15"/>
      <c r="U21" s="17"/>
      <c r="V21" s="17"/>
      <c r="W21" s="15" t="s">
        <v>28</v>
      </c>
      <c r="X21" s="17"/>
      <c r="Y21" s="17"/>
      <c r="Z21" s="18"/>
    </row>
    <row r="22" spans="1:26" ht="14.25" customHeight="1">
      <c r="A22" s="15" t="str">
        <f t="shared" si="2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232.09800000000001</v>
      </c>
      <c r="P22" s="16" t="s">
        <v>31</v>
      </c>
      <c r="Q22" s="15"/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>
        <f t="shared" si="2"/>
        <v>8</v>
      </c>
      <c r="B23" s="19" t="s">
        <v>50</v>
      </c>
      <c r="C23" s="19" t="s">
        <v>51</v>
      </c>
      <c r="D23" s="15" t="s">
        <v>298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930.56</v>
      </c>
      <c r="Q23" s="15"/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str">
        <f t="shared" si="2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237.78299999999999</v>
      </c>
      <c r="P24" s="16" t="s">
        <v>31</v>
      </c>
      <c r="Q24" s="15"/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>
        <f t="shared" si="2"/>
        <v>9</v>
      </c>
      <c r="B25" s="19" t="s">
        <v>53</v>
      </c>
      <c r="C25" s="19" t="s">
        <v>54</v>
      </c>
      <c r="D25" s="15" t="s">
        <v>52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249.73</v>
      </c>
      <c r="Q25" s="15"/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str">
        <f t="shared" si="2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334</v>
      </c>
      <c r="P26" s="16" t="s">
        <v>31</v>
      </c>
      <c r="Q26" s="15"/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>
        <f t="shared" si="2"/>
        <v>10</v>
      </c>
      <c r="B27" s="19" t="s">
        <v>55</v>
      </c>
      <c r="C27" s="19" t="s">
        <v>56</v>
      </c>
      <c r="D27" s="15" t="s">
        <v>31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 t="s">
        <v>31</v>
      </c>
      <c r="Q27" s="15"/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15" t="str">
        <f t="shared" si="2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341.209</v>
      </c>
      <c r="P28" s="16" t="s">
        <v>31</v>
      </c>
      <c r="Q28" s="15"/>
      <c r="R28" s="17"/>
      <c r="S28" s="15"/>
      <c r="T28" s="15"/>
      <c r="U28" s="17"/>
      <c r="V28" s="15"/>
      <c r="W28" s="15" t="s">
        <v>28</v>
      </c>
      <c r="X28" s="17"/>
      <c r="Y28" s="17"/>
      <c r="Z28" s="18"/>
    </row>
    <row r="29" spans="1:26" ht="14.25" customHeight="1">
      <c r="A29" s="15">
        <f t="shared" si="2"/>
        <v>11</v>
      </c>
      <c r="B29" s="19" t="s">
        <v>58</v>
      </c>
      <c r="C29" s="19" t="s">
        <v>39</v>
      </c>
      <c r="D29" s="15" t="s">
        <v>57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588.43000000000006</v>
      </c>
      <c r="Q29" s="15"/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str">
        <f t="shared" si="2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306.00099999999998</v>
      </c>
      <c r="P30" s="16" t="s">
        <v>31</v>
      </c>
      <c r="Q30" s="15"/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>
        <f t="shared" si="2"/>
        <v>12</v>
      </c>
      <c r="B31" s="19" t="s">
        <v>59</v>
      </c>
      <c r="C31" s="19" t="s">
        <v>42</v>
      </c>
      <c r="D31" s="15" t="s">
        <v>31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 t="s">
        <v>31</v>
      </c>
      <c r="Q31" s="15"/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str">
        <f t="shared" si="2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393.92</v>
      </c>
      <c r="P32" s="16" t="s">
        <v>31</v>
      </c>
      <c r="Q32" s="15"/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>
        <f t="shared" si="2"/>
        <v>13</v>
      </c>
      <c r="B33" s="19" t="s">
        <v>61</v>
      </c>
      <c r="C33" s="19" t="s">
        <v>62</v>
      </c>
      <c r="D33" s="15" t="s">
        <v>60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699.92000000000007</v>
      </c>
      <c r="Q33" s="15"/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str">
        <f t="shared" si="2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356.66399999999999</v>
      </c>
      <c r="P34" s="16" t="s">
        <v>31</v>
      </c>
      <c r="Q34" s="15"/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>
        <f t="shared" si="2"/>
        <v>14</v>
      </c>
      <c r="B35" s="19" t="s">
        <v>64</v>
      </c>
      <c r="C35" s="19" t="s">
        <v>65</v>
      </c>
      <c r="D35" s="15" t="s">
        <v>63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356.66</v>
      </c>
      <c r="Q35" s="15"/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str">
        <f t="shared" si="2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174.20500000000001</v>
      </c>
      <c r="P36" s="16" t="s">
        <v>31</v>
      </c>
      <c r="Q36" s="15"/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>
        <f t="shared" si="2"/>
        <v>15</v>
      </c>
      <c r="B37" s="19" t="s">
        <v>67</v>
      </c>
      <c r="C37" s="19" t="s">
        <v>51</v>
      </c>
      <c r="D37" s="15" t="s">
        <v>66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174.21</v>
      </c>
      <c r="Q37" s="15"/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str">
        <f t="shared" si="2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229.73</v>
      </c>
      <c r="P38" s="16" t="s">
        <v>31</v>
      </c>
      <c r="Q38" s="15"/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>
        <f t="shared" si="2"/>
        <v>16</v>
      </c>
      <c r="B39" s="19" t="s">
        <v>69</v>
      </c>
      <c r="C39" s="19" t="s">
        <v>70</v>
      </c>
      <c r="D39" s="15" t="s">
        <v>68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>
        <v>229.73</v>
      </c>
      <c r="Q39" s="15"/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str">
        <f t="shared" si="2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391</v>
      </c>
      <c r="P40" s="16" t="s">
        <v>31</v>
      </c>
      <c r="Q40" s="15"/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>
        <f t="shared" si="2"/>
        <v>17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/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str">
        <f t="shared" si="2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328</v>
      </c>
      <c r="P42" s="16" t="s">
        <v>31</v>
      </c>
      <c r="Q42" s="15"/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>
        <f t="shared" si="2"/>
        <v>18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/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str">
        <f t="shared" si="2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333</v>
      </c>
      <c r="P44" s="16" t="s">
        <v>31</v>
      </c>
      <c r="Q44" s="15"/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>
        <f t="shared" si="2"/>
        <v>19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/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str">
        <f t="shared" si="2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349.99900000000002</v>
      </c>
      <c r="P46" s="16" t="s">
        <v>31</v>
      </c>
      <c r="Q46" s="15"/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>
        <f t="shared" si="2"/>
        <v>20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 t="s">
        <v>31</v>
      </c>
      <c r="Q47" s="15"/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str">
        <f t="shared" si="2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331.00099999999998</v>
      </c>
      <c r="P48" s="16" t="s">
        <v>31</v>
      </c>
      <c r="Q48" s="15"/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>
        <f t="shared" si="2"/>
        <v>21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1732.4100000000003</v>
      </c>
      <c r="Q49" s="15"/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str">
        <f t="shared" si="2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349</v>
      </c>
      <c r="P50" s="16" t="s">
        <v>31</v>
      </c>
      <c r="Q50" s="15"/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>
        <f t="shared" si="2"/>
        <v>22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/>
      <c r="K51" s="15">
        <v>0</v>
      </c>
      <c r="L51" s="15">
        <v>0</v>
      </c>
      <c r="M51" s="15">
        <v>0</v>
      </c>
      <c r="N51" s="15">
        <v>0</v>
      </c>
      <c r="O51" s="15"/>
      <c r="P51" s="16">
        <v>349.2</v>
      </c>
      <c r="Q51" s="15"/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str">
        <f t="shared" si="2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360</v>
      </c>
      <c r="P52" s="16" t="s">
        <v>31</v>
      </c>
      <c r="Q52" s="15"/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>
        <f t="shared" si="2"/>
        <v>23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360.27</v>
      </c>
      <c r="Q53" s="15"/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str">
        <f t="shared" si="2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460</v>
      </c>
      <c r="P54" s="16" t="s">
        <v>31</v>
      </c>
      <c r="Q54" s="15"/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>
        <f t="shared" si="2"/>
        <v>24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460.04</v>
      </c>
      <c r="Q55" s="15"/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str">
        <f t="shared" si="2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230</v>
      </c>
      <c r="P56" s="16" t="s">
        <v>31</v>
      </c>
      <c r="Q56" s="15"/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>
        <f t="shared" si="2"/>
        <v>25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0</v>
      </c>
      <c r="L57" s="15">
        <v>0</v>
      </c>
      <c r="M57" s="15">
        <v>0</v>
      </c>
      <c r="N57" s="15">
        <v>0</v>
      </c>
      <c r="O57" s="15"/>
      <c r="P57" s="16">
        <v>229.26</v>
      </c>
      <c r="Q57" s="15"/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15" t="str">
        <f t="shared" si="2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371.51</v>
      </c>
      <c r="P58" s="16" t="s">
        <v>31</v>
      </c>
      <c r="Q58" s="15"/>
      <c r="R58" s="17"/>
      <c r="S58" s="15"/>
      <c r="T58" s="15"/>
      <c r="U58" s="17"/>
      <c r="V58" s="15"/>
      <c r="W58" s="15" t="s">
        <v>28</v>
      </c>
      <c r="X58" s="17"/>
      <c r="Y58" s="17"/>
      <c r="Z58" s="18"/>
    </row>
    <row r="59" spans="1:26" ht="14.25" customHeight="1">
      <c r="A59" s="15">
        <f t="shared" si="2"/>
        <v>26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>
        <v>1</v>
      </c>
      <c r="K59" s="15">
        <v>1</v>
      </c>
      <c r="L59" s="15">
        <v>1</v>
      </c>
      <c r="M59" s="15">
        <v>1</v>
      </c>
      <c r="N59" s="15">
        <v>1</v>
      </c>
      <c r="O59" s="15"/>
      <c r="P59" s="16">
        <v>351.41</v>
      </c>
      <c r="Q59" s="15"/>
      <c r="R59" s="17"/>
      <c r="S59" s="15"/>
      <c r="T59" s="15"/>
      <c r="U59" s="17"/>
      <c r="V59" s="15"/>
      <c r="W59" s="15" t="s">
        <v>28</v>
      </c>
      <c r="X59" s="17"/>
      <c r="Y59" s="17"/>
      <c r="Z59" s="18"/>
    </row>
    <row r="60" spans="1:26" ht="14.25" customHeight="1">
      <c r="A60" s="15" t="str">
        <f t="shared" si="2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332.471</v>
      </c>
      <c r="P60" s="16" t="s">
        <v>31</v>
      </c>
      <c r="Q60" s="15"/>
      <c r="R60" s="17"/>
      <c r="S60" s="15"/>
      <c r="T60" s="15"/>
      <c r="U60" s="17"/>
      <c r="V60" s="15"/>
      <c r="W60" s="15" t="s">
        <v>28</v>
      </c>
      <c r="X60" s="17"/>
      <c r="Y60" s="17"/>
      <c r="Z60" s="18"/>
    </row>
    <row r="61" spans="1:26" ht="14.25" customHeight="1">
      <c r="A61" s="15">
        <f t="shared" si="2"/>
        <v>27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338.77</v>
      </c>
      <c r="Q61" s="15"/>
      <c r="R61" s="17"/>
      <c r="S61" s="15"/>
      <c r="T61" s="15"/>
      <c r="U61" s="17"/>
      <c r="V61" s="15"/>
      <c r="W61" s="15" t="s">
        <v>28</v>
      </c>
      <c r="X61" s="17"/>
      <c r="Y61" s="17"/>
      <c r="Z61" s="18"/>
    </row>
    <row r="62" spans="1:26" ht="14.25" customHeight="1">
      <c r="A62" s="15" t="str">
        <f t="shared" si="2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424.43</v>
      </c>
      <c r="P62" s="16" t="s">
        <v>31</v>
      </c>
      <c r="Q62" s="15"/>
      <c r="R62" s="17"/>
      <c r="S62" s="15"/>
      <c r="T62" s="15"/>
      <c r="U62" s="17"/>
      <c r="V62" s="15"/>
      <c r="W62" s="15" t="s">
        <v>28</v>
      </c>
      <c r="X62" s="17"/>
      <c r="Y62" s="17"/>
      <c r="Z62" s="18"/>
    </row>
    <row r="63" spans="1:26" ht="14.25" customHeight="1">
      <c r="A63" s="15">
        <f t="shared" si="2"/>
        <v>28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/>
      <c r="R63" s="17"/>
      <c r="S63" s="15"/>
      <c r="T63" s="15"/>
      <c r="U63" s="17"/>
      <c r="V63" s="15"/>
      <c r="W63" s="15" t="s">
        <v>28</v>
      </c>
      <c r="X63" s="17"/>
      <c r="Y63" s="17"/>
      <c r="Z63" s="18"/>
    </row>
    <row r="64" spans="1:26" ht="14.25" customHeight="1">
      <c r="A64" s="15" t="str">
        <f t="shared" si="2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326.73099999999999</v>
      </c>
      <c r="P64" s="16" t="s">
        <v>31</v>
      </c>
      <c r="Q64" s="15"/>
      <c r="R64" s="17"/>
      <c r="S64" s="15"/>
      <c r="T64" s="15"/>
      <c r="U64" s="17"/>
      <c r="V64" s="15"/>
      <c r="W64" s="15" t="s">
        <v>28</v>
      </c>
      <c r="X64" s="17"/>
      <c r="Y64" s="17"/>
      <c r="Z64" s="18"/>
    </row>
    <row r="65" spans="1:26" ht="14.25" customHeight="1">
      <c r="A65" s="15">
        <f t="shared" si="2"/>
        <v>29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/>
      <c r="R65" s="17"/>
      <c r="S65" s="15"/>
      <c r="T65" s="15"/>
      <c r="U65" s="17"/>
      <c r="V65" s="15"/>
      <c r="W65" s="15" t="s">
        <v>28</v>
      </c>
      <c r="X65" s="17"/>
      <c r="Y65" s="17"/>
      <c r="Z65" s="18"/>
    </row>
    <row r="66" spans="1:26" ht="14.25" customHeight="1">
      <c r="A66" s="15" t="str">
        <f t="shared" si="2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291.85700000000003</v>
      </c>
      <c r="P66" s="16" t="s">
        <v>31</v>
      </c>
      <c r="Q66" s="15"/>
      <c r="R66" s="17"/>
      <c r="S66" s="15"/>
      <c r="T66" s="15"/>
      <c r="U66" s="17"/>
      <c r="V66" s="15"/>
      <c r="W66" s="15" t="s">
        <v>28</v>
      </c>
      <c r="X66" s="17"/>
      <c r="Y66" s="17"/>
      <c r="Z66" s="18"/>
    </row>
    <row r="67" spans="1:26" ht="14.25" customHeight="1">
      <c r="A67" s="15">
        <f t="shared" si="2"/>
        <v>30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/>
      <c r="R67" s="17"/>
      <c r="S67" s="15"/>
      <c r="T67" s="15"/>
      <c r="U67" s="17"/>
      <c r="V67" s="15"/>
      <c r="W67" s="15" t="s">
        <v>28</v>
      </c>
      <c r="X67" s="17"/>
      <c r="Y67" s="17"/>
      <c r="Z67" s="18"/>
    </row>
    <row r="68" spans="1:26" ht="14.25" customHeight="1">
      <c r="A68" s="15" t="str">
        <f t="shared" si="2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292.00099999999998</v>
      </c>
      <c r="P68" s="16" t="s">
        <v>31</v>
      </c>
      <c r="Q68" s="15"/>
      <c r="R68" s="17"/>
      <c r="S68" s="15"/>
      <c r="T68" s="15"/>
      <c r="U68" s="17"/>
      <c r="V68" s="15"/>
      <c r="W68" s="15" t="s">
        <v>28</v>
      </c>
      <c r="X68" s="17"/>
      <c r="Y68" s="17"/>
      <c r="Z68" s="18"/>
    </row>
    <row r="69" spans="1:26" ht="14.25" customHeight="1">
      <c r="A69" s="15">
        <f t="shared" si="2"/>
        <v>31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1349.0900000000001</v>
      </c>
      <c r="Q69" s="15"/>
      <c r="R69" s="17"/>
      <c r="S69" s="15"/>
      <c r="T69" s="15"/>
      <c r="U69" s="17"/>
      <c r="V69" s="15"/>
      <c r="W69" s="15" t="s">
        <v>28</v>
      </c>
      <c r="X69" s="17"/>
      <c r="Y69" s="17"/>
      <c r="Z69" s="18"/>
    </row>
    <row r="70" spans="1:26" ht="14.25" customHeight="1">
      <c r="A70" s="15" t="str">
        <f t="shared" si="2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415</v>
      </c>
      <c r="P70" s="16" t="s">
        <v>31</v>
      </c>
      <c r="Q70" s="15"/>
      <c r="R70" s="17"/>
      <c r="S70" s="15"/>
      <c r="T70" s="15"/>
      <c r="U70" s="17"/>
      <c r="V70" s="15"/>
      <c r="W70" s="15" t="s">
        <v>28</v>
      </c>
      <c r="X70" s="17"/>
      <c r="Y70" s="17"/>
      <c r="Z70" s="18"/>
    </row>
    <row r="71" spans="1:26" ht="14.25" customHeight="1">
      <c r="A71" s="15">
        <f t="shared" si="2"/>
        <v>32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414.59</v>
      </c>
      <c r="Q71" s="15"/>
      <c r="R71" s="17"/>
      <c r="S71" s="15"/>
      <c r="T71" s="15"/>
      <c r="U71" s="17"/>
      <c r="V71" s="15"/>
      <c r="W71" s="15" t="s">
        <v>28</v>
      </c>
      <c r="X71" s="17"/>
      <c r="Y71" s="17"/>
      <c r="Z71" s="18"/>
    </row>
    <row r="72" spans="1:26" ht="14.25" customHeight="1">
      <c r="A72" s="15" t="str">
        <f t="shared" si="2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237</v>
      </c>
      <c r="P72" s="16" t="s">
        <v>31</v>
      </c>
      <c r="Q72" s="15"/>
      <c r="R72" s="17"/>
      <c r="S72" s="15"/>
      <c r="T72" s="15"/>
      <c r="U72" s="17"/>
      <c r="V72" s="15"/>
      <c r="W72" s="15" t="s">
        <v>28</v>
      </c>
      <c r="X72" s="17"/>
      <c r="Y72" s="17"/>
      <c r="Z72" s="18"/>
    </row>
    <row r="73" spans="1:26" ht="14.25" customHeight="1">
      <c r="A73" s="15">
        <f t="shared" si="2"/>
        <v>33</v>
      </c>
      <c r="B73" s="19" t="s">
        <v>91</v>
      </c>
      <c r="C73" s="19" t="s">
        <v>76</v>
      </c>
      <c r="D73" s="15" t="s">
        <v>31</v>
      </c>
      <c r="E73" s="15"/>
      <c r="F73" s="6"/>
      <c r="G73" s="6"/>
      <c r="H73" s="6"/>
      <c r="I73" s="6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253.29</v>
      </c>
      <c r="Q73" s="15"/>
      <c r="R73" s="17"/>
      <c r="S73" s="15"/>
      <c r="T73" s="15"/>
      <c r="U73" s="17"/>
      <c r="V73" s="15"/>
      <c r="W73" s="15" t="s">
        <v>28</v>
      </c>
      <c r="X73" s="17"/>
      <c r="Y73" s="17"/>
      <c r="Z73" s="18"/>
    </row>
    <row r="74" spans="1:26" ht="14.25" customHeight="1">
      <c r="A74" s="15" t="str">
        <f t="shared" si="2"/>
        <v xml:space="preserve"> </v>
      </c>
      <c r="B74" s="19"/>
      <c r="C74" s="19"/>
      <c r="D74" s="15"/>
      <c r="E74" s="15"/>
      <c r="F74" s="6"/>
      <c r="G74" s="6"/>
      <c r="H74" s="6"/>
      <c r="I74" s="6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188.45400000000001</v>
      </c>
      <c r="P74" s="16" t="s">
        <v>31</v>
      </c>
      <c r="Q74" s="15"/>
      <c r="R74" s="17"/>
      <c r="S74" s="15"/>
      <c r="T74" s="15"/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 t="shared" si="2"/>
        <v>34</v>
      </c>
      <c r="B75" s="19" t="s">
        <v>93</v>
      </c>
      <c r="C75" s="19" t="s">
        <v>81</v>
      </c>
      <c r="D75" s="15" t="s">
        <v>299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 t="s">
        <v>31</v>
      </c>
      <c r="Q75" s="15" t="s">
        <v>32</v>
      </c>
      <c r="R75" s="17">
        <v>45532</v>
      </c>
      <c r="S75" s="15"/>
      <c r="T75" s="15"/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383</v>
      </c>
      <c r="P76" s="16" t="s">
        <v>31</v>
      </c>
      <c r="Q76" s="15" t="s">
        <v>32</v>
      </c>
      <c r="R76" s="17">
        <v>45532</v>
      </c>
      <c r="S76" s="15"/>
      <c r="T76" s="15"/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35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383</v>
      </c>
      <c r="Q77" s="15" t="s">
        <v>32</v>
      </c>
      <c r="R77" s="17">
        <v>45532</v>
      </c>
      <c r="S77" s="15"/>
      <c r="T77" s="15"/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311</v>
      </c>
      <c r="P78" s="16" t="s">
        <v>31</v>
      </c>
      <c r="Q78" s="15" t="s">
        <v>32</v>
      </c>
      <c r="R78" s="17">
        <v>45532</v>
      </c>
      <c r="S78" s="15"/>
      <c r="T78" s="15"/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36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>
        <v>45532</v>
      </c>
      <c r="S79" s="15"/>
      <c r="T79" s="15"/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350</v>
      </c>
      <c r="P80" s="16" t="s">
        <v>31</v>
      </c>
      <c r="Q80" s="15" t="s">
        <v>32</v>
      </c>
      <c r="R80" s="17">
        <v>45532</v>
      </c>
      <c r="S80" s="15"/>
      <c r="T80" s="15"/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37</v>
      </c>
      <c r="B81" s="19" t="s">
        <v>96</v>
      </c>
      <c r="C81" s="19" t="s">
        <v>37</v>
      </c>
      <c r="D81" s="15" t="s">
        <v>31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 t="s">
        <v>31</v>
      </c>
      <c r="Q81" s="15" t="s">
        <v>32</v>
      </c>
      <c r="R81" s="17">
        <v>45532</v>
      </c>
      <c r="S81" s="15"/>
      <c r="T81" s="15"/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291</v>
      </c>
      <c r="P82" s="16" t="s">
        <v>31</v>
      </c>
      <c r="Q82" s="15" t="s">
        <v>32</v>
      </c>
      <c r="R82" s="17">
        <v>45532</v>
      </c>
      <c r="S82" s="15"/>
      <c r="T82" s="15"/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38</v>
      </c>
      <c r="B83" s="19" t="s">
        <v>98</v>
      </c>
      <c r="C83" s="19" t="s">
        <v>39</v>
      </c>
      <c r="D83" s="15" t="s">
        <v>97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952</v>
      </c>
      <c r="Q83" s="15" t="s">
        <v>32</v>
      </c>
      <c r="R83" s="17">
        <v>45532</v>
      </c>
      <c r="S83" s="15"/>
      <c r="T83" s="15"/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322</v>
      </c>
      <c r="P84" s="16" t="s">
        <v>31</v>
      </c>
      <c r="Q84" s="15"/>
      <c r="R84" s="17"/>
      <c r="S84" s="15"/>
      <c r="T84" s="15"/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39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322</v>
      </c>
      <c r="Q85" s="15"/>
      <c r="R85" s="17"/>
      <c r="S85" s="15"/>
      <c r="T85" s="15"/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284</v>
      </c>
      <c r="P86" s="16" t="s">
        <v>31</v>
      </c>
      <c r="Q86" s="15"/>
      <c r="R86" s="17"/>
      <c r="S86" s="15"/>
      <c r="T86" s="15"/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40</v>
      </c>
      <c r="B87" s="19" t="s">
        <v>100</v>
      </c>
      <c r="C87" s="19" t="s">
        <v>76</v>
      </c>
      <c r="D87" s="15" t="s">
        <v>31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284</v>
      </c>
      <c r="Q87" s="15"/>
      <c r="R87" s="17"/>
      <c r="S87" s="15"/>
      <c r="T87" s="15"/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282.74299999999999</v>
      </c>
      <c r="P88" s="16" t="s">
        <v>31</v>
      </c>
      <c r="Q88" s="15"/>
      <c r="R88" s="17"/>
      <c r="S88" s="15"/>
      <c r="T88" s="15"/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41</v>
      </c>
      <c r="B89" s="19" t="s">
        <v>102</v>
      </c>
      <c r="C89" s="19" t="s">
        <v>89</v>
      </c>
      <c r="D89" s="15" t="s">
        <v>101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282.74299999999999</v>
      </c>
      <c r="Q89" s="15"/>
      <c r="R89" s="17"/>
      <c r="S89" s="15"/>
      <c r="T89" s="15"/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462.05799999999999</v>
      </c>
      <c r="P90" s="16" t="s">
        <v>31</v>
      </c>
      <c r="Q90" s="15"/>
      <c r="R90" s="17"/>
      <c r="S90" s="15"/>
      <c r="T90" s="15"/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42</v>
      </c>
      <c r="B91" s="19" t="s">
        <v>104</v>
      </c>
      <c r="C91" s="19" t="s">
        <v>39</v>
      </c>
      <c r="D91" s="15" t="s">
        <v>103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462.05799999999999</v>
      </c>
      <c r="Q91" s="15"/>
      <c r="R91" s="17"/>
      <c r="S91" s="15"/>
      <c r="T91" s="15"/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328.62400000000002</v>
      </c>
      <c r="P92" s="16" t="s">
        <v>31</v>
      </c>
      <c r="Q92" s="15"/>
      <c r="R92" s="17"/>
      <c r="S92" s="15"/>
      <c r="T92" s="15"/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43</v>
      </c>
      <c r="B93" s="19" t="s">
        <v>106</v>
      </c>
      <c r="C93" s="19" t="s">
        <v>70</v>
      </c>
      <c r="D93" s="15" t="s">
        <v>105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>
        <v>328.62400000000002</v>
      </c>
      <c r="Q93" s="15"/>
      <c r="R93" s="17"/>
      <c r="S93" s="15"/>
      <c r="T93" s="15"/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364.00099999999998</v>
      </c>
      <c r="P94" s="16" t="s">
        <v>31</v>
      </c>
      <c r="Q94" s="15"/>
      <c r="R94" s="17"/>
      <c r="S94" s="15"/>
      <c r="T94" s="15"/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44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/>
      <c r="R95" s="17"/>
      <c r="S95" s="15"/>
      <c r="T95" s="15"/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279</v>
      </c>
      <c r="P96" s="16" t="s">
        <v>31</v>
      </c>
      <c r="Q96" s="15"/>
      <c r="R96" s="17"/>
      <c r="S96" s="15"/>
      <c r="T96" s="15"/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45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/>
      <c r="R97" s="17"/>
      <c r="S97" s="15"/>
      <c r="T97" s="15"/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251.999</v>
      </c>
      <c r="P98" s="16" t="s">
        <v>31</v>
      </c>
      <c r="Q98" s="15"/>
      <c r="R98" s="17"/>
      <c r="S98" s="15"/>
      <c r="T98" s="15"/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46</v>
      </c>
      <c r="B99" s="19" t="s">
        <v>109</v>
      </c>
      <c r="C99" s="19" t="s">
        <v>42</v>
      </c>
      <c r="D99" s="15" t="s">
        <v>31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 t="s">
        <v>31</v>
      </c>
      <c r="Q99" s="15"/>
      <c r="R99" s="17"/>
      <c r="S99" s="15"/>
      <c r="T99" s="15"/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279.24599999999998</v>
      </c>
      <c r="P100" s="16" t="s">
        <v>31</v>
      </c>
      <c r="Q100" s="15"/>
      <c r="R100" s="17"/>
      <c r="S100" s="15"/>
      <c r="T100" s="15"/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47</v>
      </c>
      <c r="B101" s="19" t="s">
        <v>111</v>
      </c>
      <c r="C101" s="19" t="s">
        <v>34</v>
      </c>
      <c r="D101" s="15" t="s">
        <v>110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1174.2460000000001</v>
      </c>
      <c r="Q101" s="15"/>
      <c r="R101" s="17"/>
      <c r="S101" s="15"/>
      <c r="T101" s="15"/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134.21600000000001</v>
      </c>
      <c r="P102" s="16" t="s">
        <v>31</v>
      </c>
      <c r="Q102" s="15"/>
      <c r="R102" s="17"/>
      <c r="S102" s="15"/>
      <c r="T102" s="15"/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48</v>
      </c>
      <c r="B103" s="19" t="s">
        <v>113</v>
      </c>
      <c r="C103" s="19" t="s">
        <v>34</v>
      </c>
      <c r="D103" s="15" t="s">
        <v>112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134.21600000000001</v>
      </c>
      <c r="Q103" s="15"/>
      <c r="R103" s="17"/>
      <c r="S103" s="15"/>
      <c r="T103" s="15"/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336.50299999999999</v>
      </c>
      <c r="P104" s="16" t="s">
        <v>31</v>
      </c>
      <c r="Q104" s="15"/>
      <c r="R104" s="17"/>
      <c r="S104" s="15"/>
      <c r="T104" s="15"/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49</v>
      </c>
      <c r="B105" s="19" t="s">
        <v>115</v>
      </c>
      <c r="C105" s="19" t="s">
        <v>116</v>
      </c>
      <c r="D105" s="15" t="s">
        <v>114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>
        <v>336.50299999999999</v>
      </c>
      <c r="Q105" s="15"/>
      <c r="R105" s="17"/>
      <c r="S105" s="15"/>
      <c r="T105" s="15"/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365</v>
      </c>
      <c r="P106" s="16" t="s">
        <v>31</v>
      </c>
      <c r="Q106" s="15"/>
      <c r="R106" s="17"/>
      <c r="S106" s="15"/>
      <c r="T106" s="15"/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50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/>
      <c r="R107" s="17"/>
      <c r="S107" s="15"/>
      <c r="T107" s="15"/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279.99900000000002</v>
      </c>
      <c r="P108" s="16" t="s">
        <v>31</v>
      </c>
      <c r="Q108" s="15"/>
      <c r="R108" s="17"/>
      <c r="S108" s="15"/>
      <c r="T108" s="15"/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51</v>
      </c>
      <c r="B109" s="19" t="s">
        <v>118</v>
      </c>
      <c r="C109" s="19" t="s">
        <v>42</v>
      </c>
      <c r="D109" s="15" t="s">
        <v>31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 t="s">
        <v>31</v>
      </c>
      <c r="Q109" s="15"/>
      <c r="R109" s="17"/>
      <c r="S109" s="15"/>
      <c r="T109" s="15"/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255.14099999999999</v>
      </c>
      <c r="P110" s="16" t="s">
        <v>31</v>
      </c>
      <c r="Q110" s="15"/>
      <c r="R110" s="17"/>
      <c r="S110" s="15"/>
      <c r="T110" s="15"/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52</v>
      </c>
      <c r="B111" s="19" t="s">
        <v>120</v>
      </c>
      <c r="C111" s="19" t="s">
        <v>34</v>
      </c>
      <c r="D111" s="15" t="s">
        <v>119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900.14</v>
      </c>
      <c r="Q111" s="15"/>
      <c r="R111" s="17"/>
      <c r="S111" s="15"/>
      <c r="T111" s="15"/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318.75799999999998</v>
      </c>
      <c r="P112" s="16" t="s">
        <v>31</v>
      </c>
      <c r="Q112" s="15"/>
      <c r="R112" s="17"/>
      <c r="S112" s="15"/>
      <c r="T112" s="15"/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53</v>
      </c>
      <c r="B113" s="19" t="s">
        <v>122</v>
      </c>
      <c r="C113" s="19" t="s">
        <v>34</v>
      </c>
      <c r="D113" s="15" t="s">
        <v>121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>
        <v>318.75799999999998</v>
      </c>
      <c r="Q113" s="15" t="s">
        <v>32</v>
      </c>
      <c r="R113" s="17">
        <v>45532</v>
      </c>
      <c r="S113" s="15"/>
      <c r="T113" s="15"/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307</v>
      </c>
      <c r="P114" s="16" t="s">
        <v>31</v>
      </c>
      <c r="Q114" s="15" t="s">
        <v>32</v>
      </c>
      <c r="R114" s="17">
        <v>45532</v>
      </c>
      <c r="S114" s="15"/>
      <c r="T114" s="15"/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54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>
        <v>45532</v>
      </c>
      <c r="S115" s="15"/>
      <c r="T115" s="15"/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312</v>
      </c>
      <c r="P116" s="16" t="s">
        <v>31</v>
      </c>
      <c r="Q116" s="15" t="s">
        <v>32</v>
      </c>
      <c r="R116" s="17">
        <v>45532</v>
      </c>
      <c r="S116" s="15"/>
      <c r="T116" s="15"/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55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 t="s">
        <v>31</v>
      </c>
      <c r="Q117" s="15" t="s">
        <v>32</v>
      </c>
      <c r="R117" s="17">
        <v>45532</v>
      </c>
      <c r="S117" s="15"/>
      <c r="T117" s="15"/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440</v>
      </c>
      <c r="P118" s="16" t="s">
        <v>31</v>
      </c>
      <c r="Q118" s="15" t="s">
        <v>32</v>
      </c>
      <c r="R118" s="17">
        <v>45532</v>
      </c>
      <c r="S118" s="15"/>
      <c r="T118" s="15"/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56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1059</v>
      </c>
      <c r="Q119" s="15" t="s">
        <v>32</v>
      </c>
      <c r="R119" s="17">
        <v>45532</v>
      </c>
      <c r="S119" s="15"/>
      <c r="T119" s="15"/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459</v>
      </c>
      <c r="P120" s="16" t="s">
        <v>31</v>
      </c>
      <c r="Q120" s="15" t="s">
        <v>32</v>
      </c>
      <c r="R120" s="17">
        <v>45532</v>
      </c>
      <c r="S120" s="15"/>
      <c r="T120" s="15"/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57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459</v>
      </c>
      <c r="Q121" s="15" t="s">
        <v>32</v>
      </c>
      <c r="R121" s="17">
        <v>45532</v>
      </c>
      <c r="S121" s="15"/>
      <c r="T121" s="15"/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195</v>
      </c>
      <c r="P122" s="16" t="s">
        <v>31</v>
      </c>
      <c r="Q122" s="15" t="s">
        <v>32</v>
      </c>
      <c r="R122" s="17">
        <v>45532</v>
      </c>
      <c r="S122" s="15"/>
      <c r="T122" s="15"/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58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195</v>
      </c>
      <c r="Q123" s="15" t="s">
        <v>32</v>
      </c>
      <c r="R123" s="17">
        <v>45532</v>
      </c>
      <c r="S123" s="15"/>
      <c r="T123" s="15"/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295</v>
      </c>
      <c r="P124" s="16" t="s">
        <v>31</v>
      </c>
      <c r="Q124" s="15" t="s">
        <v>32</v>
      </c>
      <c r="R124" s="17">
        <v>45532</v>
      </c>
      <c r="S124" s="15"/>
      <c r="T124" s="15"/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59</v>
      </c>
      <c r="B125" s="19" t="s">
        <v>128</v>
      </c>
      <c r="C125" s="19" t="s">
        <v>76</v>
      </c>
      <c r="D125" s="15" t="s">
        <v>31</v>
      </c>
      <c r="E125" s="15"/>
      <c r="F125" s="15"/>
      <c r="G125" s="15"/>
      <c r="H125" s="15"/>
      <c r="I125" s="15"/>
      <c r="J125" s="15"/>
      <c r="K125" s="15">
        <v>0</v>
      </c>
      <c r="L125" s="15">
        <v>0</v>
      </c>
      <c r="M125" s="15">
        <v>0</v>
      </c>
      <c r="N125" s="15">
        <v>0</v>
      </c>
      <c r="O125" s="15"/>
      <c r="P125" s="16">
        <v>295</v>
      </c>
      <c r="Q125" s="15" t="s">
        <v>32</v>
      </c>
      <c r="R125" s="17">
        <v>45532</v>
      </c>
      <c r="S125" s="15"/>
      <c r="T125" s="15"/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380.24799999999999</v>
      </c>
      <c r="P126" s="16" t="s">
        <v>31</v>
      </c>
      <c r="Q126" s="15"/>
      <c r="R126" s="17"/>
      <c r="S126" s="15"/>
      <c r="T126" s="15"/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60</v>
      </c>
      <c r="B127" s="19" t="s">
        <v>130</v>
      </c>
      <c r="C127" s="19" t="s">
        <v>39</v>
      </c>
      <c r="D127" s="15" t="s">
        <v>129</v>
      </c>
      <c r="E127" s="15"/>
      <c r="F127" s="15"/>
      <c r="G127" s="15"/>
      <c r="H127" s="15"/>
      <c r="I127" s="15"/>
      <c r="J127" s="15">
        <v>1</v>
      </c>
      <c r="K127" s="15">
        <v>1</v>
      </c>
      <c r="L127" s="15">
        <v>1</v>
      </c>
      <c r="M127" s="15">
        <v>1</v>
      </c>
      <c r="N127" s="15">
        <v>1</v>
      </c>
      <c r="O127" s="15"/>
      <c r="P127" s="16">
        <v>380.24799999999999</v>
      </c>
      <c r="Q127" s="15"/>
      <c r="R127" s="17"/>
      <c r="S127" s="15"/>
      <c r="T127" s="15"/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428</v>
      </c>
      <c r="P128" s="16" t="s">
        <v>31</v>
      </c>
      <c r="Q128" s="15"/>
      <c r="R128" s="17"/>
      <c r="S128" s="15"/>
      <c r="T128" s="15"/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61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428</v>
      </c>
      <c r="Q129" s="15"/>
      <c r="R129" s="17"/>
      <c r="S129" s="15"/>
      <c r="T129" s="15"/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419</v>
      </c>
      <c r="P130" s="16" t="s">
        <v>31</v>
      </c>
      <c r="Q130" s="15"/>
      <c r="R130" s="17"/>
      <c r="S130" s="15"/>
      <c r="T130" s="15"/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62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>
        <v>419</v>
      </c>
      <c r="Q131" s="15"/>
      <c r="R131" s="17"/>
      <c r="S131" s="15"/>
      <c r="T131" s="15"/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345</v>
      </c>
      <c r="P132" s="16" t="s">
        <v>31</v>
      </c>
      <c r="Q132" s="15"/>
      <c r="R132" s="17"/>
      <c r="S132" s="15"/>
      <c r="T132" s="15"/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63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/>
      <c r="R133" s="17"/>
      <c r="S133" s="15"/>
      <c r="T133" s="15"/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296</v>
      </c>
      <c r="P134" s="16" t="s">
        <v>31</v>
      </c>
      <c r="Q134" s="15"/>
      <c r="R134" s="17"/>
      <c r="S134" s="15"/>
      <c r="T134" s="15"/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64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 t="s">
        <v>31</v>
      </c>
      <c r="Q135" s="15"/>
      <c r="R135" s="17"/>
      <c r="S135" s="15"/>
      <c r="T135" s="15"/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259</v>
      </c>
      <c r="P136" s="16" t="s">
        <v>31</v>
      </c>
      <c r="Q136" s="15"/>
      <c r="R136" s="17"/>
      <c r="S136" s="15"/>
      <c r="T136" s="15"/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65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900</v>
      </c>
      <c r="Q137" s="15"/>
      <c r="R137" s="17"/>
      <c r="S137" s="15"/>
      <c r="T137" s="15"/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343.87400000000002</v>
      </c>
      <c r="P138" s="16" t="s">
        <v>31</v>
      </c>
      <c r="Q138" s="15"/>
      <c r="R138" s="17"/>
      <c r="S138" s="15"/>
      <c r="T138" s="15"/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66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343.87400000000002</v>
      </c>
      <c r="Q139" s="15"/>
      <c r="R139" s="17"/>
      <c r="S139" s="15"/>
      <c r="T139" s="15"/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499.12599999999998</v>
      </c>
      <c r="P140" s="16" t="s">
        <v>31</v>
      </c>
      <c r="Q140" s="15"/>
      <c r="R140" s="17"/>
      <c r="S140" s="15"/>
      <c r="T140" s="15"/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67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499.12599999999998</v>
      </c>
      <c r="Q141" s="15"/>
      <c r="R141" s="17"/>
      <c r="S141" s="15"/>
      <c r="T141" s="15"/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434</v>
      </c>
      <c r="P142" s="16" t="s">
        <v>31</v>
      </c>
      <c r="Q142" s="15"/>
      <c r="R142" s="17"/>
      <c r="S142" s="15"/>
      <c r="T142" s="15"/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68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>
        <v>434</v>
      </c>
      <c r="Q143" s="15"/>
      <c r="R143" s="17"/>
      <c r="S143" s="15"/>
      <c r="T143" s="15"/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295</v>
      </c>
      <c r="P144" s="16" t="s">
        <v>31</v>
      </c>
      <c r="Q144" s="15"/>
      <c r="R144" s="17"/>
      <c r="S144" s="15"/>
      <c r="T144" s="15"/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69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/>
      <c r="R145" s="17"/>
      <c r="S145" s="15"/>
      <c r="T145" s="15"/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326</v>
      </c>
      <c r="P146" s="16" t="s">
        <v>31</v>
      </c>
      <c r="Q146" s="15"/>
      <c r="R146" s="17"/>
      <c r="S146" s="15"/>
      <c r="T146" s="15"/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70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 t="s">
        <v>31</v>
      </c>
      <c r="Q147" s="15"/>
      <c r="R147" s="17"/>
      <c r="S147" s="15"/>
      <c r="T147" s="15"/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298</v>
      </c>
      <c r="P148" s="16" t="s">
        <v>31</v>
      </c>
      <c r="Q148" s="15"/>
      <c r="R148" s="17"/>
      <c r="S148" s="15"/>
      <c r="T148" s="15"/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71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919</v>
      </c>
      <c r="Q149" s="15"/>
      <c r="R149" s="17"/>
      <c r="S149" s="15"/>
      <c r="T149" s="15"/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489</v>
      </c>
      <c r="P150" s="16" t="s">
        <v>31</v>
      </c>
      <c r="Q150" s="15"/>
      <c r="R150" s="17"/>
      <c r="S150" s="15"/>
      <c r="T150" s="15"/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72</v>
      </c>
      <c r="B151" s="19" t="s">
        <v>142</v>
      </c>
      <c r="C151" s="19" t="s">
        <v>89</v>
      </c>
      <c r="D151" s="15" t="s">
        <v>31</v>
      </c>
      <c r="E151" s="15"/>
      <c r="F151" s="15"/>
      <c r="G151" s="15"/>
      <c r="H151" s="15"/>
      <c r="I151" s="15"/>
      <c r="J151" s="15"/>
      <c r="K151" s="15">
        <v>0</v>
      </c>
      <c r="L151" s="15">
        <v>0</v>
      </c>
      <c r="M151" s="15">
        <v>0</v>
      </c>
      <c r="N151" s="15">
        <v>0</v>
      </c>
      <c r="O151" s="15"/>
      <c r="P151" s="16">
        <v>489</v>
      </c>
      <c r="Q151" s="15"/>
      <c r="R151" s="17"/>
      <c r="S151" s="15"/>
      <c r="T151" s="15"/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15"/>
      <c r="B152" s="19"/>
      <c r="C152" s="19"/>
      <c r="D152" s="15"/>
      <c r="E152" s="15"/>
      <c r="F152" s="15"/>
      <c r="G152" s="15"/>
      <c r="H152" s="15"/>
      <c r="I152" s="15"/>
      <c r="J152" s="15"/>
      <c r="K152" s="15" t="s">
        <v>31</v>
      </c>
      <c r="L152" s="15" t="s">
        <v>31</v>
      </c>
      <c r="M152" s="15" t="s">
        <v>31</v>
      </c>
      <c r="N152" s="15" t="s">
        <v>31</v>
      </c>
      <c r="O152" s="16">
        <v>382.47399999999999</v>
      </c>
      <c r="P152" s="16" t="s">
        <v>31</v>
      </c>
      <c r="Q152" s="15"/>
      <c r="R152" s="17"/>
      <c r="S152" s="15"/>
      <c r="T152" s="15"/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73</v>
      </c>
      <c r="B153" s="19" t="s">
        <v>144</v>
      </c>
      <c r="C153" s="19" t="s">
        <v>46</v>
      </c>
      <c r="D153" s="15" t="s">
        <v>143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2"/>
      <c r="Q153" s="15" t="s">
        <v>32</v>
      </c>
      <c r="R153" s="17"/>
      <c r="S153" s="15"/>
      <c r="T153" s="15"/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372.4</v>
      </c>
      <c r="P154" s="23" t="s">
        <v>31</v>
      </c>
      <c r="Q154" s="15" t="s">
        <v>32</v>
      </c>
      <c r="R154" s="17"/>
      <c r="S154" s="15"/>
      <c r="T154" s="15"/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74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/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350.02</v>
      </c>
      <c r="P156" s="23" t="s">
        <v>31</v>
      </c>
      <c r="Q156" s="15" t="s">
        <v>32</v>
      </c>
      <c r="R156" s="17"/>
      <c r="S156" s="15"/>
      <c r="T156" s="15"/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75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/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303.57</v>
      </c>
      <c r="P158" s="23" t="s">
        <v>31</v>
      </c>
      <c r="Q158" s="15" t="s">
        <v>32</v>
      </c>
      <c r="R158" s="17"/>
      <c r="S158" s="15"/>
      <c r="T158" s="15"/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76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 t="s">
        <v>31</v>
      </c>
      <c r="Q159" s="15" t="s">
        <v>32</v>
      </c>
      <c r="R159" s="17"/>
      <c r="S159" s="15"/>
      <c r="T159" s="15"/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224.33</v>
      </c>
      <c r="P160" s="23" t="s">
        <v>31</v>
      </c>
      <c r="Q160" s="15" t="s">
        <v>32</v>
      </c>
      <c r="R160" s="17"/>
      <c r="S160" s="15"/>
      <c r="T160" s="15"/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77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1250.32</v>
      </c>
      <c r="Q161" s="15" t="s">
        <v>32</v>
      </c>
      <c r="R161" s="17"/>
      <c r="S161" s="15"/>
      <c r="T161" s="15"/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246.76</v>
      </c>
      <c r="P162" s="23" t="s">
        <v>31</v>
      </c>
      <c r="Q162" s="15" t="s">
        <v>32</v>
      </c>
      <c r="R162" s="17"/>
      <c r="S162" s="15"/>
      <c r="T162" s="15"/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78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>
        <v>246.76</v>
      </c>
      <c r="Q163" s="15" t="s">
        <v>32</v>
      </c>
      <c r="R163" s="17"/>
      <c r="S163" s="15"/>
      <c r="T163" s="15"/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418.18</v>
      </c>
      <c r="P164" s="23" t="s">
        <v>31</v>
      </c>
      <c r="Q164" s="15" t="s">
        <v>32</v>
      </c>
      <c r="R164" s="17"/>
      <c r="S164" s="15"/>
      <c r="T164" s="15"/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79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/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298.66000000000003</v>
      </c>
      <c r="P166" s="23" t="s">
        <v>31</v>
      </c>
      <c r="Q166" s="15" t="s">
        <v>32</v>
      </c>
      <c r="R166" s="17"/>
      <c r="S166" s="15"/>
      <c r="T166" s="15"/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80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/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358.67</v>
      </c>
      <c r="P168" s="23" t="s">
        <v>31</v>
      </c>
      <c r="Q168" s="15" t="s">
        <v>32</v>
      </c>
      <c r="R168" s="17"/>
      <c r="S168" s="15"/>
      <c r="T168" s="15"/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81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/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366.13</v>
      </c>
      <c r="P170" s="23" t="s">
        <v>31</v>
      </c>
      <c r="Q170" s="15" t="s">
        <v>32</v>
      </c>
      <c r="R170" s="17"/>
      <c r="S170" s="15"/>
      <c r="T170" s="15"/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82</v>
      </c>
      <c r="B171" s="19" t="s">
        <v>153</v>
      </c>
      <c r="C171" s="19" t="s">
        <v>37</v>
      </c>
      <c r="D171" s="21" t="s">
        <v>31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 t="s">
        <v>31</v>
      </c>
      <c r="Q171" s="15" t="s">
        <v>32</v>
      </c>
      <c r="R171" s="17"/>
      <c r="S171" s="15"/>
      <c r="T171" s="15"/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1"/>
      <c r="B172" s="19"/>
      <c r="C172" s="19"/>
      <c r="D172" s="21"/>
      <c r="E172" s="15"/>
      <c r="F172" s="21"/>
      <c r="G172" s="21"/>
      <c r="H172" s="21"/>
      <c r="I172" s="21"/>
      <c r="J172" s="15"/>
      <c r="K172" s="15"/>
      <c r="L172" s="15"/>
      <c r="M172" s="15"/>
      <c r="N172" s="15"/>
      <c r="O172" s="15">
        <v>255.6</v>
      </c>
      <c r="P172" s="23" t="s">
        <v>31</v>
      </c>
      <c r="Q172" s="15" t="s">
        <v>32</v>
      </c>
      <c r="R172" s="17"/>
      <c r="S172" s="15"/>
      <c r="T172" s="15"/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83</v>
      </c>
      <c r="B173" s="19" t="s">
        <v>155</v>
      </c>
      <c r="C173" s="19" t="s">
        <v>34</v>
      </c>
      <c r="D173" s="21" t="s">
        <v>154</v>
      </c>
      <c r="E173" s="15"/>
      <c r="F173" s="21"/>
      <c r="G173" s="21"/>
      <c r="H173" s="21"/>
      <c r="I173" s="21"/>
      <c r="J173" s="15"/>
      <c r="K173" s="15"/>
      <c r="L173" s="15"/>
      <c r="M173" s="15"/>
      <c r="N173" s="15"/>
      <c r="O173" s="15"/>
      <c r="P173" s="23">
        <v>1697.2399999999998</v>
      </c>
      <c r="Q173" s="15" t="s">
        <v>32</v>
      </c>
      <c r="R173" s="17"/>
      <c r="S173" s="15"/>
      <c r="T173" s="15"/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229.72399999999999</v>
      </c>
      <c r="P174" s="23" t="s">
        <v>31</v>
      </c>
      <c r="Q174" s="15" t="s">
        <v>32</v>
      </c>
      <c r="R174" s="17"/>
      <c r="S174" s="15"/>
      <c r="T174" s="15"/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84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/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359.35599999999999</v>
      </c>
      <c r="P176" s="23" t="s">
        <v>31</v>
      </c>
      <c r="Q176" s="15" t="s">
        <v>32</v>
      </c>
      <c r="R176" s="17"/>
      <c r="S176" s="15"/>
      <c r="T176" s="15"/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85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/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365.87400000000002</v>
      </c>
      <c r="P178" s="23" t="s">
        <v>31</v>
      </c>
      <c r="Q178" s="15" t="s">
        <v>32</v>
      </c>
      <c r="R178" s="17"/>
      <c r="S178" s="15"/>
      <c r="T178" s="15"/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86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/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345.78399999999999</v>
      </c>
      <c r="P180" s="23" t="s">
        <v>31</v>
      </c>
      <c r="Q180" s="15" t="s">
        <v>32</v>
      </c>
      <c r="R180" s="17"/>
      <c r="S180" s="15"/>
      <c r="T180" s="15"/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87</v>
      </c>
      <c r="B181" s="19" t="s">
        <v>159</v>
      </c>
      <c r="C181" s="19" t="s">
        <v>37</v>
      </c>
      <c r="D181" s="21" t="s">
        <v>31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 t="s">
        <v>31</v>
      </c>
      <c r="Q181" s="15" t="s">
        <v>32</v>
      </c>
      <c r="R181" s="17"/>
      <c r="S181" s="15"/>
      <c r="T181" s="15"/>
      <c r="U181" s="17"/>
      <c r="V181" s="15"/>
      <c r="W181" s="15" t="s">
        <v>28</v>
      </c>
      <c r="X181" s="17"/>
      <c r="Y181" s="17"/>
      <c r="Z181" s="18"/>
    </row>
    <row r="182" spans="1:26" ht="14.25" customHeight="1">
      <c r="A182" s="24"/>
      <c r="B182" s="19"/>
      <c r="C182" s="19"/>
      <c r="D182" s="21"/>
      <c r="E182" s="15"/>
      <c r="F182" s="24"/>
      <c r="G182" s="24"/>
      <c r="H182" s="24"/>
      <c r="I182" s="24"/>
      <c r="J182" s="24"/>
      <c r="K182" s="24"/>
      <c r="L182" s="24"/>
      <c r="M182" s="24"/>
      <c r="N182" s="24"/>
      <c r="O182" s="15">
        <v>299.33999999999997</v>
      </c>
      <c r="P182" s="23" t="s">
        <v>31</v>
      </c>
      <c r="Q182" s="15" t="s">
        <v>32</v>
      </c>
      <c r="R182" s="17"/>
      <c r="S182" s="15"/>
      <c r="T182" s="15"/>
      <c r="U182" s="17"/>
      <c r="V182" s="15"/>
      <c r="W182" s="15" t="s">
        <v>28</v>
      </c>
      <c r="X182" s="17"/>
      <c r="Y182" s="17"/>
      <c r="Z182" s="18"/>
    </row>
    <row r="183" spans="1:26" ht="14.25" customHeight="1">
      <c r="A183" s="15">
        <f>IF(B183&gt;0,A181+1," ")</f>
        <v>88</v>
      </c>
      <c r="B183" s="19" t="s">
        <v>161</v>
      </c>
      <c r="C183" s="19" t="s">
        <v>39</v>
      </c>
      <c r="D183" s="21" t="s">
        <v>300</v>
      </c>
      <c r="E183" s="15"/>
      <c r="F183" s="24"/>
      <c r="G183" s="24"/>
      <c r="H183" s="24"/>
      <c r="I183" s="24"/>
      <c r="J183" s="24"/>
      <c r="K183" s="24"/>
      <c r="L183" s="24"/>
      <c r="M183" s="24"/>
      <c r="N183" s="24"/>
      <c r="O183" s="15"/>
      <c r="P183" s="23">
        <v>1600.07</v>
      </c>
      <c r="Q183" s="15" t="s">
        <v>32</v>
      </c>
      <c r="R183" s="17"/>
      <c r="S183" s="15"/>
      <c r="T183" s="15"/>
      <c r="U183" s="17"/>
      <c r="V183" s="15"/>
      <c r="W183" s="15" t="s">
        <v>28</v>
      </c>
      <c r="X183" s="17"/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296</v>
      </c>
      <c r="P184" s="16" t="s">
        <v>31</v>
      </c>
      <c r="Q184" s="15"/>
      <c r="R184" s="17"/>
      <c r="S184" s="15"/>
      <c r="T184" s="15"/>
      <c r="U184" s="17"/>
      <c r="V184" s="15"/>
      <c r="W184" s="15" t="s">
        <v>28</v>
      </c>
      <c r="X184" s="17"/>
      <c r="Y184" s="17"/>
      <c r="Z184" s="18"/>
    </row>
    <row r="185" spans="1:26" ht="14.25" customHeight="1">
      <c r="A185" s="15">
        <f>IF(B185&gt;0,A183+1," ")</f>
        <v>89</v>
      </c>
      <c r="B185" s="19" t="s">
        <v>162</v>
      </c>
      <c r="C185" s="19" t="s">
        <v>42</v>
      </c>
      <c r="D185" s="15" t="s">
        <v>31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 t="s">
        <v>31</v>
      </c>
      <c r="Q185" s="15"/>
      <c r="R185" s="17"/>
      <c r="S185" s="15"/>
      <c r="T185" s="15"/>
      <c r="U185" s="17"/>
      <c r="V185" s="15"/>
      <c r="W185" s="15" t="s">
        <v>28</v>
      </c>
      <c r="X185" s="17"/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229.88900000000001</v>
      </c>
      <c r="P186" s="16" t="s">
        <v>31</v>
      </c>
      <c r="Q186" s="15"/>
      <c r="R186" s="17"/>
      <c r="S186" s="15"/>
      <c r="T186" s="15"/>
      <c r="U186" s="17"/>
      <c r="V186" s="15"/>
      <c r="W186" s="15" t="s">
        <v>28</v>
      </c>
      <c r="X186" s="17"/>
      <c r="Y186" s="17"/>
      <c r="Z186" s="18"/>
    </row>
    <row r="187" spans="1:26" ht="14.25" customHeight="1">
      <c r="A187" s="15">
        <f>IF(B187&gt;0,A185+1," ")</f>
        <v>90</v>
      </c>
      <c r="B187" s="19" t="s">
        <v>164</v>
      </c>
      <c r="C187" s="19" t="s">
        <v>34</v>
      </c>
      <c r="D187" s="15" t="s">
        <v>163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525.88900000000001</v>
      </c>
      <c r="Q187" s="15"/>
      <c r="R187" s="17"/>
      <c r="S187" s="15"/>
      <c r="T187" s="15"/>
      <c r="U187" s="17"/>
      <c r="V187" s="15"/>
      <c r="W187" s="15" t="s">
        <v>28</v>
      </c>
      <c r="X187" s="17"/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356.279</v>
      </c>
      <c r="P188" s="16" t="s">
        <v>31</v>
      </c>
      <c r="Q188" s="15"/>
      <c r="R188" s="17"/>
      <c r="S188" s="15"/>
      <c r="T188" s="15"/>
      <c r="U188" s="17"/>
      <c r="V188" s="15"/>
      <c r="W188" s="15" t="s">
        <v>28</v>
      </c>
      <c r="X188" s="17"/>
      <c r="Y188" s="17"/>
      <c r="Z188" s="18"/>
    </row>
    <row r="189" spans="1:26" ht="14.25" customHeight="1">
      <c r="A189" s="15">
        <f>IF(B189&gt;0,A187+1," ")</f>
        <v>91</v>
      </c>
      <c r="B189" s="19" t="s">
        <v>166</v>
      </c>
      <c r="C189" s="19" t="s">
        <v>46</v>
      </c>
      <c r="D189" s="15" t="s">
        <v>165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>
        <v>356.28</v>
      </c>
      <c r="Q189" s="15"/>
      <c r="R189" s="17"/>
      <c r="S189" s="15"/>
      <c r="T189" s="15"/>
      <c r="U189" s="17"/>
      <c r="V189" s="15"/>
      <c r="W189" s="15" t="s">
        <v>28</v>
      </c>
      <c r="X189" s="17"/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314</v>
      </c>
      <c r="P190" s="16" t="s">
        <v>31</v>
      </c>
      <c r="Q190" s="15"/>
      <c r="R190" s="17"/>
      <c r="S190" s="15"/>
      <c r="T190" s="15"/>
      <c r="U190" s="17"/>
      <c r="V190" s="15"/>
      <c r="W190" s="15" t="s">
        <v>28</v>
      </c>
      <c r="X190" s="17"/>
      <c r="Y190" s="17"/>
      <c r="Z190" s="18"/>
    </row>
    <row r="191" spans="1:26" ht="14.25" customHeight="1">
      <c r="A191" s="15">
        <f>IF(B191&gt;0,A189+1," ")</f>
        <v>92</v>
      </c>
      <c r="B191" s="19" t="s">
        <v>167</v>
      </c>
      <c r="C191" s="19" t="s">
        <v>37</v>
      </c>
      <c r="D191" s="15" t="s">
        <v>31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 t="s">
        <v>31</v>
      </c>
      <c r="Q191" s="15"/>
      <c r="R191" s="17"/>
      <c r="S191" s="15"/>
      <c r="T191" s="15"/>
      <c r="U191" s="17"/>
      <c r="V191" s="15"/>
      <c r="W191" s="15" t="s">
        <v>28</v>
      </c>
      <c r="X191" s="17"/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353.589</v>
      </c>
      <c r="P192" s="16" t="s">
        <v>31</v>
      </c>
      <c r="Q192" s="15"/>
      <c r="R192" s="17"/>
      <c r="S192" s="15"/>
      <c r="T192" s="15"/>
      <c r="U192" s="17"/>
      <c r="V192" s="15"/>
      <c r="W192" s="15" t="s">
        <v>28</v>
      </c>
      <c r="X192" s="17"/>
      <c r="Y192" s="17"/>
      <c r="Z192" s="18"/>
    </row>
    <row r="193" spans="1:26" ht="14.25" customHeight="1">
      <c r="A193" s="15">
        <f>IF(B193&gt;0,A191+1," ")</f>
        <v>93</v>
      </c>
      <c r="B193" s="19" t="s">
        <v>169</v>
      </c>
      <c r="C193" s="19" t="s">
        <v>65</v>
      </c>
      <c r="D193" s="15" t="s">
        <v>168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667.58999999999992</v>
      </c>
      <c r="Q193" s="15"/>
      <c r="R193" s="17"/>
      <c r="S193" s="15"/>
      <c r="T193" s="15"/>
      <c r="U193" s="17"/>
      <c r="V193" s="15"/>
      <c r="W193" s="15" t="s">
        <v>28</v>
      </c>
      <c r="X193" s="17"/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362</v>
      </c>
      <c r="P194" s="16" t="s">
        <v>31</v>
      </c>
      <c r="Q194" s="15"/>
      <c r="R194" s="17"/>
      <c r="S194" s="15"/>
      <c r="T194" s="15"/>
      <c r="U194" s="17"/>
      <c r="V194" s="15"/>
      <c r="W194" s="15" t="s">
        <v>28</v>
      </c>
      <c r="X194" s="17"/>
      <c r="Y194" s="17"/>
      <c r="Z194" s="18"/>
    </row>
    <row r="195" spans="1:26" ht="14.25" customHeight="1">
      <c r="A195" s="15">
        <f>IF(B195&gt;0,A193+1," ")</f>
        <v>94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>
        <v>362</v>
      </c>
      <c r="Q195" s="15"/>
      <c r="R195" s="17"/>
      <c r="S195" s="15"/>
      <c r="T195" s="15"/>
      <c r="U195" s="17"/>
      <c r="V195" s="15"/>
      <c r="W195" s="15" t="s">
        <v>28</v>
      </c>
      <c r="X195" s="17"/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387</v>
      </c>
      <c r="P196" s="16" t="s">
        <v>31</v>
      </c>
      <c r="Q196" s="15"/>
      <c r="R196" s="17"/>
      <c r="S196" s="15"/>
      <c r="T196" s="15"/>
      <c r="U196" s="17"/>
      <c r="V196" s="15"/>
      <c r="W196" s="15" t="s">
        <v>28</v>
      </c>
      <c r="X196" s="17"/>
      <c r="Y196" s="17"/>
      <c r="Z196" s="18"/>
    </row>
    <row r="197" spans="1:26" ht="14.25" customHeight="1">
      <c r="A197" s="15">
        <f>IF(B197&gt;0,A195+1," ")</f>
        <v>95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 t="s">
        <v>31</v>
      </c>
      <c r="Q197" s="15"/>
      <c r="R197" s="17"/>
      <c r="S197" s="15"/>
      <c r="T197" s="15"/>
      <c r="U197" s="17"/>
      <c r="V197" s="15"/>
      <c r="W197" s="15" t="s">
        <v>28</v>
      </c>
      <c r="X197" s="17"/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365</v>
      </c>
      <c r="P198" s="16" t="s">
        <v>31</v>
      </c>
      <c r="Q198" s="15"/>
      <c r="R198" s="17"/>
      <c r="S198" s="15"/>
      <c r="T198" s="15"/>
      <c r="U198" s="17"/>
      <c r="V198" s="15"/>
      <c r="W198" s="15" t="s">
        <v>28</v>
      </c>
      <c r="X198" s="17"/>
      <c r="Y198" s="17"/>
      <c r="Z198" s="18"/>
    </row>
    <row r="199" spans="1:26" ht="14.25" customHeight="1">
      <c r="A199" s="15">
        <f>IF(B199&gt;0,A197+1," ")</f>
        <v>96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>
        <v>752</v>
      </c>
      <c r="Q199" s="15"/>
      <c r="R199" s="17"/>
      <c r="S199" s="15"/>
      <c r="T199" s="15"/>
      <c r="U199" s="17"/>
      <c r="V199" s="15"/>
      <c r="W199" s="15" t="s">
        <v>28</v>
      </c>
      <c r="X199" s="17"/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419</v>
      </c>
      <c r="P200" s="16" t="s">
        <v>31</v>
      </c>
      <c r="Q200" s="15"/>
      <c r="R200" s="17"/>
      <c r="S200" s="15"/>
      <c r="T200" s="15"/>
      <c r="U200" s="17"/>
      <c r="V200" s="15"/>
      <c r="W200" s="15" t="s">
        <v>28</v>
      </c>
      <c r="X200" s="17"/>
      <c r="Y200" s="17"/>
      <c r="Z200" s="18"/>
    </row>
    <row r="201" spans="1:26" ht="14.25" customHeight="1">
      <c r="A201" s="15">
        <f>IF(B201&gt;0,A199+1," ")</f>
        <v>97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/>
      <c r="R201" s="17"/>
      <c r="S201" s="15"/>
      <c r="T201" s="15"/>
      <c r="U201" s="17"/>
      <c r="V201" s="15"/>
      <c r="W201" s="15" t="s">
        <v>28</v>
      </c>
      <c r="X201" s="17"/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331</v>
      </c>
      <c r="P202" s="16" t="s">
        <v>31</v>
      </c>
      <c r="Q202" s="15"/>
      <c r="R202" s="17"/>
      <c r="S202" s="15"/>
      <c r="T202" s="15"/>
      <c r="U202" s="17"/>
      <c r="V202" s="15"/>
      <c r="W202" s="15" t="s">
        <v>28</v>
      </c>
      <c r="X202" s="17"/>
      <c r="Y202" s="17"/>
      <c r="Z202" s="18"/>
    </row>
    <row r="203" spans="1:26" ht="14.25" customHeight="1">
      <c r="A203" s="15">
        <f>IF(B203&gt;0,A201+1," ")</f>
        <v>98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/>
      <c r="R203" s="17"/>
      <c r="S203" s="15"/>
      <c r="T203" s="15"/>
      <c r="U203" s="17"/>
      <c r="V203" s="15"/>
      <c r="W203" s="15" t="s">
        <v>28</v>
      </c>
      <c r="X203" s="17"/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390</v>
      </c>
      <c r="P204" s="16" t="s">
        <v>31</v>
      </c>
      <c r="Q204" s="15"/>
      <c r="R204" s="17"/>
      <c r="S204" s="15"/>
      <c r="T204" s="15"/>
      <c r="U204" s="17"/>
      <c r="V204" s="15"/>
      <c r="W204" s="15" t="s">
        <v>28</v>
      </c>
      <c r="X204" s="17"/>
      <c r="Y204" s="17"/>
      <c r="Z204" s="18"/>
    </row>
    <row r="205" spans="1:26" ht="14.25" customHeight="1">
      <c r="A205" s="15">
        <f>IF(B205&gt;0,A203+1," ")</f>
        <v>99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/>
      <c r="R205" s="17"/>
      <c r="S205" s="15"/>
      <c r="T205" s="15"/>
      <c r="U205" s="17"/>
      <c r="V205" s="15"/>
      <c r="W205" s="15" t="s">
        <v>28</v>
      </c>
      <c r="X205" s="17"/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349</v>
      </c>
      <c r="P206" s="16" t="s">
        <v>31</v>
      </c>
      <c r="Q206" s="15"/>
      <c r="R206" s="17"/>
      <c r="S206" s="15"/>
      <c r="T206" s="15"/>
      <c r="U206" s="17"/>
      <c r="V206" s="15"/>
      <c r="W206" s="15" t="s">
        <v>28</v>
      </c>
      <c r="X206" s="17"/>
      <c r="Y206" s="17"/>
      <c r="Z206" s="18"/>
    </row>
    <row r="207" spans="1:26" ht="14.25" customHeight="1">
      <c r="A207" s="15">
        <f>IF(B207&gt;0,A205+1," ")</f>
        <v>100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/>
      <c r="R207" s="17"/>
      <c r="S207" s="15"/>
      <c r="T207" s="15"/>
      <c r="U207" s="17"/>
      <c r="V207" s="15"/>
      <c r="W207" s="15" t="s">
        <v>28</v>
      </c>
      <c r="X207" s="17"/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324</v>
      </c>
      <c r="P208" s="16" t="s">
        <v>31</v>
      </c>
      <c r="Q208" s="15"/>
      <c r="R208" s="17"/>
      <c r="S208" s="15"/>
      <c r="T208" s="15"/>
      <c r="U208" s="17"/>
      <c r="V208" s="15"/>
      <c r="W208" s="15" t="s">
        <v>28</v>
      </c>
      <c r="X208" s="17"/>
      <c r="Y208" s="17"/>
      <c r="Z208" s="18"/>
    </row>
    <row r="209" spans="1:26" ht="14.25" customHeight="1">
      <c r="A209" s="15">
        <f>IF(B209&gt;0,A207+1," ")</f>
        <v>101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/>
      <c r="R209" s="17"/>
      <c r="S209" s="15"/>
      <c r="T209" s="15"/>
      <c r="U209" s="17"/>
      <c r="V209" s="15"/>
      <c r="W209" s="15" t="s">
        <v>28</v>
      </c>
      <c r="X209" s="17"/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413</v>
      </c>
      <c r="P210" s="16" t="s">
        <v>31</v>
      </c>
      <c r="Q210" s="15"/>
      <c r="R210" s="17"/>
      <c r="S210" s="15"/>
      <c r="T210" s="15"/>
      <c r="U210" s="17"/>
      <c r="V210" s="15"/>
      <c r="W210" s="15" t="s">
        <v>28</v>
      </c>
      <c r="X210" s="17"/>
      <c r="Y210" s="17"/>
      <c r="Z210" s="18"/>
    </row>
    <row r="211" spans="1:26" ht="14.25" customHeight="1">
      <c r="A211" s="15">
        <f>IF(B211&gt;0,A209+1," ")</f>
        <v>102</v>
      </c>
      <c r="B211" s="19" t="s">
        <v>178</v>
      </c>
      <c r="C211" s="19" t="s">
        <v>42</v>
      </c>
      <c r="D211" s="15" t="s">
        <v>31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 t="s">
        <v>31</v>
      </c>
      <c r="Q211" s="15"/>
      <c r="R211" s="17"/>
      <c r="S211" s="15"/>
      <c r="T211" s="15"/>
      <c r="U211" s="17"/>
      <c r="V211" s="15"/>
      <c r="W211" s="15" t="s">
        <v>28</v>
      </c>
      <c r="X211" s="17"/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310.18</v>
      </c>
      <c r="P212" s="16" t="s">
        <v>31</v>
      </c>
      <c r="Q212" s="15"/>
      <c r="R212" s="17"/>
      <c r="S212" s="15"/>
      <c r="T212" s="15"/>
      <c r="U212" s="17"/>
      <c r="V212" s="15"/>
      <c r="W212" s="15" t="s">
        <v>28</v>
      </c>
      <c r="X212" s="17"/>
      <c r="Y212" s="17"/>
      <c r="Z212" s="18"/>
    </row>
    <row r="213" spans="1:26" ht="14.25" customHeight="1">
      <c r="A213" s="15">
        <f>IF(B213&gt;0,A211+1," ")</f>
        <v>103</v>
      </c>
      <c r="B213" s="19" t="s">
        <v>180</v>
      </c>
      <c r="C213" s="19" t="s">
        <v>34</v>
      </c>
      <c r="D213" s="15" t="s">
        <v>179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>
        <v>2536.1799999999998</v>
      </c>
      <c r="Q213" s="15"/>
      <c r="R213" s="17"/>
      <c r="S213" s="15"/>
      <c r="T213" s="15"/>
      <c r="U213" s="17"/>
      <c r="V213" s="15"/>
      <c r="W213" s="15" t="s">
        <v>28</v>
      </c>
      <c r="X213" s="17">
        <v>45541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379</v>
      </c>
      <c r="P214" s="16" t="s">
        <v>31</v>
      </c>
      <c r="Q214" s="15"/>
      <c r="R214" s="17"/>
      <c r="S214" s="15"/>
      <c r="T214" s="15"/>
      <c r="U214" s="17"/>
      <c r="V214" s="15"/>
      <c r="W214" s="15" t="s">
        <v>28</v>
      </c>
      <c r="X214" s="17">
        <v>45541</v>
      </c>
      <c r="Y214" s="17"/>
      <c r="Z214" s="18"/>
    </row>
    <row r="215" spans="1:26" ht="14.25" customHeight="1">
      <c r="A215" s="15">
        <f>IF(B215&gt;0,A213+1," ")</f>
        <v>104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/>
      <c r="R215" s="17"/>
      <c r="S215" s="15"/>
      <c r="T215" s="15"/>
      <c r="U215" s="17"/>
      <c r="V215" s="15"/>
      <c r="W215" s="15" t="s">
        <v>28</v>
      </c>
      <c r="X215" s="17">
        <v>45541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304</v>
      </c>
      <c r="P216" s="16" t="s">
        <v>31</v>
      </c>
      <c r="Q216" s="15"/>
      <c r="R216" s="17"/>
      <c r="S216" s="15"/>
      <c r="T216" s="15"/>
      <c r="U216" s="17"/>
      <c r="V216" s="15"/>
      <c r="W216" s="15" t="s">
        <v>28</v>
      </c>
      <c r="X216" s="17">
        <v>45541</v>
      </c>
      <c r="Y216" s="17"/>
      <c r="Z216" s="18"/>
    </row>
    <row r="217" spans="1:26" ht="14.25" customHeight="1">
      <c r="A217" s="15">
        <f>IF(B217&gt;0,A215+1," ")</f>
        <v>105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/>
      <c r="R217" s="17"/>
      <c r="S217" s="15"/>
      <c r="T217" s="15"/>
      <c r="U217" s="17"/>
      <c r="V217" s="15"/>
      <c r="W217" s="15" t="s">
        <v>28</v>
      </c>
      <c r="X217" s="17">
        <v>45541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333</v>
      </c>
      <c r="P218" s="16" t="s">
        <v>31</v>
      </c>
      <c r="Q218" s="15"/>
      <c r="R218" s="17"/>
      <c r="S218" s="15"/>
      <c r="T218" s="15"/>
      <c r="U218" s="17"/>
      <c r="V218" s="15"/>
      <c r="W218" s="15" t="s">
        <v>28</v>
      </c>
      <c r="X218" s="17">
        <v>45541</v>
      </c>
      <c r="Y218" s="17"/>
      <c r="Z218" s="18"/>
    </row>
    <row r="219" spans="1:26" ht="14.25" customHeight="1">
      <c r="A219" s="15">
        <f>IF(B219&gt;0,A217+1," ")</f>
        <v>106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/>
      <c r="R219" s="17"/>
      <c r="S219" s="15"/>
      <c r="T219" s="15"/>
      <c r="U219" s="17"/>
      <c r="V219" s="15"/>
      <c r="W219" s="15" t="s">
        <v>28</v>
      </c>
      <c r="X219" s="17">
        <v>45541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363</v>
      </c>
      <c r="P220" s="16" t="s">
        <v>31</v>
      </c>
      <c r="Q220" s="15"/>
      <c r="R220" s="17"/>
      <c r="S220" s="15"/>
      <c r="T220" s="15"/>
      <c r="U220" s="17"/>
      <c r="V220" s="15"/>
      <c r="W220" s="15" t="s">
        <v>28</v>
      </c>
      <c r="X220" s="17">
        <v>45541</v>
      </c>
      <c r="Y220" s="17"/>
      <c r="Z220" s="18"/>
    </row>
    <row r="221" spans="1:26" ht="14.25" customHeight="1">
      <c r="A221" s="15">
        <f>IF(B221&gt;0,A219+1," ")</f>
        <v>107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/>
      <c r="R221" s="17"/>
      <c r="S221" s="15"/>
      <c r="T221" s="15"/>
      <c r="U221" s="17"/>
      <c r="V221" s="15"/>
      <c r="W221" s="15" t="s">
        <v>28</v>
      </c>
      <c r="X221" s="17">
        <v>45541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384</v>
      </c>
      <c r="P222" s="16" t="s">
        <v>31</v>
      </c>
      <c r="Q222" s="15"/>
      <c r="R222" s="17"/>
      <c r="S222" s="15"/>
      <c r="T222" s="15"/>
      <c r="U222" s="17"/>
      <c r="V222" s="15"/>
      <c r="W222" s="15" t="s">
        <v>28</v>
      </c>
      <c r="X222" s="17">
        <v>45541</v>
      </c>
      <c r="Y222" s="17"/>
      <c r="Z222" s="18"/>
    </row>
    <row r="223" spans="1:26" ht="14.25" customHeight="1">
      <c r="A223" s="15">
        <f>IF(B223&gt;0,A221+1," ")</f>
        <v>108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/>
      <c r="R223" s="17"/>
      <c r="S223" s="15"/>
      <c r="T223" s="15"/>
      <c r="U223" s="17"/>
      <c r="V223" s="15"/>
      <c r="W223" s="15" t="s">
        <v>28</v>
      </c>
      <c r="X223" s="17">
        <v>45541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361</v>
      </c>
      <c r="P224" s="16" t="s">
        <v>31</v>
      </c>
      <c r="Q224" s="15"/>
      <c r="R224" s="17"/>
      <c r="S224" s="15"/>
      <c r="T224" s="15"/>
      <c r="U224" s="17"/>
      <c r="V224" s="15"/>
      <c r="W224" s="15" t="s">
        <v>28</v>
      </c>
      <c r="X224" s="17">
        <v>45541</v>
      </c>
      <c r="Y224" s="17"/>
      <c r="Z224" s="18"/>
    </row>
    <row r="225" spans="1:26" ht="14.25" customHeight="1">
      <c r="A225" s="15">
        <f>IF(B225&gt;0,A223+1," ")</f>
        <v>109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/>
      <c r="R225" s="17"/>
      <c r="S225" s="15"/>
      <c r="T225" s="15"/>
      <c r="U225" s="17"/>
      <c r="V225" s="15"/>
      <c r="W225" s="15" t="s">
        <v>28</v>
      </c>
      <c r="X225" s="17">
        <v>45541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311</v>
      </c>
      <c r="P226" s="16" t="s">
        <v>31</v>
      </c>
      <c r="Q226" s="15"/>
      <c r="R226" s="17"/>
      <c r="S226" s="15"/>
      <c r="T226" s="15"/>
      <c r="U226" s="17"/>
      <c r="V226" s="15"/>
      <c r="W226" s="15" t="s">
        <v>28</v>
      </c>
      <c r="X226" s="17">
        <v>45541</v>
      </c>
      <c r="Y226" s="17"/>
      <c r="Z226" s="18"/>
    </row>
    <row r="227" spans="1:26" ht="14.25" customHeight="1">
      <c r="A227" s="15">
        <f>IF(B227&gt;0,A225+1," ")</f>
        <v>110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/>
      <c r="R227" s="17"/>
      <c r="S227" s="15"/>
      <c r="T227" s="15"/>
      <c r="U227" s="17"/>
      <c r="V227" s="15"/>
      <c r="W227" s="15" t="s">
        <v>28</v>
      </c>
      <c r="X227" s="17">
        <v>45541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381</v>
      </c>
      <c r="P228" s="16" t="s">
        <v>31</v>
      </c>
      <c r="Q228" s="15"/>
      <c r="R228" s="17"/>
      <c r="S228" s="15"/>
      <c r="T228" s="15"/>
      <c r="U228" s="17"/>
      <c r="V228" s="15"/>
      <c r="W228" s="15" t="s">
        <v>28</v>
      </c>
      <c r="X228" s="17">
        <v>45541</v>
      </c>
      <c r="Y228" s="17"/>
      <c r="Z228" s="18"/>
    </row>
    <row r="229" spans="1:26" ht="14.25" customHeight="1">
      <c r="A229" s="15">
        <f>IF(B229&gt;0,A227+1," ")</f>
        <v>111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/>
      <c r="R229" s="17"/>
      <c r="S229" s="15"/>
      <c r="T229" s="15"/>
      <c r="U229" s="17"/>
      <c r="V229" s="15"/>
      <c r="W229" s="15" t="s">
        <v>28</v>
      </c>
      <c r="X229" s="17">
        <v>45541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316</v>
      </c>
      <c r="P230" s="16" t="s">
        <v>31</v>
      </c>
      <c r="Q230" s="15"/>
      <c r="R230" s="17"/>
      <c r="S230" s="15"/>
      <c r="T230" s="15"/>
      <c r="U230" s="17"/>
      <c r="V230" s="15"/>
      <c r="W230" s="15" t="s">
        <v>28</v>
      </c>
      <c r="X230" s="17">
        <v>45541</v>
      </c>
      <c r="Y230" s="17"/>
      <c r="Z230" s="18"/>
    </row>
    <row r="231" spans="1:26" ht="14.25" customHeight="1">
      <c r="A231" s="15">
        <f>IF(B231&gt;0,A229+1," ")</f>
        <v>112</v>
      </c>
      <c r="B231" s="19" t="s">
        <v>189</v>
      </c>
      <c r="C231" s="19" t="s">
        <v>42</v>
      </c>
      <c r="D231" s="15" t="s">
        <v>31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 t="s">
        <v>31</v>
      </c>
      <c r="Q231" s="15"/>
      <c r="R231" s="17"/>
      <c r="S231" s="15"/>
      <c r="T231" s="15"/>
      <c r="U231" s="17"/>
      <c r="V231" s="15"/>
      <c r="W231" s="15" t="s">
        <v>28</v>
      </c>
      <c r="X231" s="17">
        <v>45541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290.45</v>
      </c>
      <c r="P232" s="16" t="s">
        <v>31</v>
      </c>
      <c r="Q232" s="15"/>
      <c r="R232" s="17"/>
      <c r="S232" s="15"/>
      <c r="T232" s="15"/>
      <c r="U232" s="17"/>
      <c r="V232" s="15"/>
      <c r="W232" s="15" t="s">
        <v>28</v>
      </c>
      <c r="X232" s="17">
        <v>45541</v>
      </c>
      <c r="Y232" s="17"/>
      <c r="Z232" s="18"/>
    </row>
    <row r="233" spans="1:26" ht="14.25" customHeight="1">
      <c r="A233" s="15">
        <f>IF(B233&gt;0,A231+1," ")</f>
        <v>113</v>
      </c>
      <c r="B233" s="19" t="s">
        <v>191</v>
      </c>
      <c r="C233" s="19" t="s">
        <v>39</v>
      </c>
      <c r="D233" s="15" t="s">
        <v>190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>
        <v>3422.45</v>
      </c>
      <c r="Q233" s="15"/>
      <c r="R233" s="17"/>
      <c r="S233" s="15"/>
      <c r="T233" s="15"/>
      <c r="U233" s="17"/>
      <c r="V233" s="15"/>
      <c r="W233" s="15" t="s">
        <v>28</v>
      </c>
      <c r="X233" s="17">
        <v>45541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306</v>
      </c>
      <c r="P234" s="16" t="s">
        <v>31</v>
      </c>
      <c r="Q234" s="15"/>
      <c r="R234" s="17"/>
      <c r="S234" s="15"/>
      <c r="T234" s="15"/>
      <c r="U234" s="17"/>
      <c r="V234" s="15"/>
      <c r="W234" s="15" t="s">
        <v>28</v>
      </c>
      <c r="X234" s="17">
        <v>45541</v>
      </c>
      <c r="Y234" s="17"/>
      <c r="Z234" s="18"/>
    </row>
    <row r="235" spans="1:26" ht="14.25" customHeight="1">
      <c r="A235" s="15">
        <f>IF(B235&gt;0,A233+1," ")</f>
        <v>114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/>
      <c r="R235" s="17"/>
      <c r="S235" s="15"/>
      <c r="T235" s="15"/>
      <c r="U235" s="17"/>
      <c r="V235" s="15"/>
      <c r="W235" s="15" t="s">
        <v>28</v>
      </c>
      <c r="X235" s="17">
        <v>45541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336</v>
      </c>
      <c r="P236" s="16" t="s">
        <v>31</v>
      </c>
      <c r="Q236" s="15"/>
      <c r="R236" s="17"/>
      <c r="S236" s="15"/>
      <c r="T236" s="15"/>
      <c r="U236" s="17"/>
      <c r="V236" s="15"/>
      <c r="W236" s="15" t="s">
        <v>28</v>
      </c>
      <c r="X236" s="17">
        <v>45541</v>
      </c>
      <c r="Y236" s="17"/>
      <c r="Z236" s="18"/>
    </row>
    <row r="237" spans="1:26" ht="14.25" customHeight="1">
      <c r="A237" s="15">
        <f>IF(B237&gt;0,A235+1," ")</f>
        <v>115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/>
      <c r="R237" s="17"/>
      <c r="S237" s="15"/>
      <c r="T237" s="15"/>
      <c r="U237" s="17"/>
      <c r="V237" s="15"/>
      <c r="W237" s="15" t="s">
        <v>28</v>
      </c>
      <c r="X237" s="17">
        <v>45541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337</v>
      </c>
      <c r="P238" s="16" t="s">
        <v>31</v>
      </c>
      <c r="Q238" s="15"/>
      <c r="R238" s="17"/>
      <c r="S238" s="15"/>
      <c r="T238" s="15"/>
      <c r="U238" s="17"/>
      <c r="V238" s="15"/>
      <c r="W238" s="15" t="s">
        <v>28</v>
      </c>
      <c r="X238" s="17">
        <v>45541</v>
      </c>
      <c r="Y238" s="17"/>
      <c r="Z238" s="18"/>
    </row>
    <row r="239" spans="1:26" ht="14.25" customHeight="1">
      <c r="A239" s="15">
        <f>IF(B239&gt;0,A237+1," ")</f>
        <v>116</v>
      </c>
      <c r="B239" s="19" t="s">
        <v>194</v>
      </c>
      <c r="C239" s="19" t="s">
        <v>37</v>
      </c>
      <c r="D239" s="15" t="s">
        <v>31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 t="s">
        <v>31</v>
      </c>
      <c r="Q239" s="15"/>
      <c r="R239" s="17"/>
      <c r="S239" s="15"/>
      <c r="T239" s="15"/>
      <c r="U239" s="17"/>
      <c r="V239" s="15"/>
      <c r="W239" s="15" t="s">
        <v>28</v>
      </c>
      <c r="X239" s="17">
        <v>45541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328.65</v>
      </c>
      <c r="P240" s="16" t="s">
        <v>31</v>
      </c>
      <c r="Q240" s="15"/>
      <c r="R240" s="17"/>
      <c r="S240" s="15"/>
      <c r="T240" s="15"/>
      <c r="U240" s="17"/>
      <c r="V240" s="15"/>
      <c r="W240" s="15" t="s">
        <v>28</v>
      </c>
      <c r="X240" s="17">
        <v>45541</v>
      </c>
      <c r="Y240" s="17"/>
      <c r="Z240" s="18"/>
    </row>
    <row r="241" spans="1:26" ht="14.25" customHeight="1">
      <c r="A241" s="15">
        <f>IF(B241&gt;0,A239+1," ")</f>
        <v>117</v>
      </c>
      <c r="B241" s="19" t="s">
        <v>196</v>
      </c>
      <c r="C241" s="19" t="s">
        <v>46</v>
      </c>
      <c r="D241" s="15" t="s">
        <v>195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>
        <v>1307.6500000000001</v>
      </c>
      <c r="Q241" s="15"/>
      <c r="R241" s="17"/>
      <c r="S241" s="15"/>
      <c r="T241" s="15"/>
      <c r="U241" s="17"/>
      <c r="V241" s="15"/>
      <c r="W241" s="15" t="s">
        <v>28</v>
      </c>
      <c r="X241" s="17">
        <v>45541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362</v>
      </c>
      <c r="P242" s="16" t="s">
        <v>31</v>
      </c>
      <c r="Q242" s="15"/>
      <c r="R242" s="17"/>
      <c r="S242" s="15"/>
      <c r="T242" s="15"/>
      <c r="U242" s="17"/>
      <c r="V242" s="15"/>
      <c r="W242" s="15" t="s">
        <v>28</v>
      </c>
      <c r="X242" s="17">
        <v>45541</v>
      </c>
      <c r="Y242" s="17"/>
      <c r="Z242" s="18"/>
    </row>
    <row r="243" spans="1:26" ht="14.25" customHeight="1">
      <c r="A243" s="15">
        <f>IF(B243&gt;0,A241+1," ")</f>
        <v>118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/>
      <c r="R243" s="17"/>
      <c r="S243" s="15"/>
      <c r="T243" s="15"/>
      <c r="U243" s="17"/>
      <c r="V243" s="15"/>
      <c r="W243" s="15" t="s">
        <v>28</v>
      </c>
      <c r="X243" s="17">
        <v>45541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364</v>
      </c>
      <c r="P244" s="16" t="s">
        <v>31</v>
      </c>
      <c r="Q244" s="15"/>
      <c r="R244" s="17"/>
      <c r="S244" s="15"/>
      <c r="T244" s="15"/>
      <c r="U244" s="17"/>
      <c r="V244" s="15"/>
      <c r="W244" s="15" t="s">
        <v>28</v>
      </c>
      <c r="X244" s="17">
        <v>45541</v>
      </c>
      <c r="Y244" s="17"/>
      <c r="Z244" s="18"/>
    </row>
    <row r="245" spans="1:26" ht="14.25" customHeight="1">
      <c r="A245" s="15">
        <f>IF(B245&gt;0,A243+1," ")</f>
        <v>119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/>
      <c r="R245" s="17"/>
      <c r="S245" s="15"/>
      <c r="T245" s="15"/>
      <c r="U245" s="17"/>
      <c r="V245" s="15"/>
      <c r="W245" s="15" t="s">
        <v>28</v>
      </c>
      <c r="X245" s="17">
        <v>45541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388</v>
      </c>
      <c r="P246" s="16" t="s">
        <v>31</v>
      </c>
      <c r="Q246" s="15"/>
      <c r="R246" s="17"/>
      <c r="S246" s="15"/>
      <c r="T246" s="15"/>
      <c r="U246" s="17"/>
      <c r="V246" s="15"/>
      <c r="W246" s="15" t="s">
        <v>28</v>
      </c>
      <c r="X246" s="17">
        <v>45541</v>
      </c>
      <c r="Y246" s="17"/>
      <c r="Z246" s="18"/>
    </row>
    <row r="247" spans="1:26" ht="14.25" customHeight="1">
      <c r="A247" s="15">
        <f>IF(B247&gt;0,A245+1," ")</f>
        <v>120</v>
      </c>
      <c r="B247" s="19" t="s">
        <v>199</v>
      </c>
      <c r="C247" s="19" t="s">
        <v>56</v>
      </c>
      <c r="D247" s="15" t="s">
        <v>31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 t="s">
        <v>31</v>
      </c>
      <c r="Q247" s="15"/>
      <c r="R247" s="17"/>
      <c r="S247" s="15"/>
      <c r="T247" s="15"/>
      <c r="U247" s="17"/>
      <c r="V247" s="15"/>
      <c r="W247" s="15" t="s">
        <v>28</v>
      </c>
      <c r="X247" s="17">
        <v>45541</v>
      </c>
      <c r="Y247" s="17"/>
      <c r="Z247" s="18"/>
    </row>
    <row r="248" spans="1:26" ht="14.25" customHeight="1">
      <c r="A248" s="24"/>
      <c r="B248" s="19"/>
      <c r="C248" s="19"/>
      <c r="D248" s="15"/>
      <c r="E248" s="15"/>
      <c r="F248" s="24"/>
      <c r="G248" s="24"/>
      <c r="H248" s="24"/>
      <c r="I248" s="24"/>
      <c r="J248" s="15"/>
      <c r="K248" s="15" t="s">
        <v>31</v>
      </c>
      <c r="L248" s="15" t="s">
        <v>31</v>
      </c>
      <c r="M248" s="15" t="s">
        <v>31</v>
      </c>
      <c r="N248" s="15" t="s">
        <v>31</v>
      </c>
      <c r="O248" s="16">
        <v>321.97000000000003</v>
      </c>
      <c r="P248" s="16" t="s">
        <v>31</v>
      </c>
      <c r="Q248" s="15"/>
      <c r="R248" s="17"/>
      <c r="S248" s="15"/>
      <c r="T248" s="15"/>
      <c r="U248" s="17"/>
      <c r="V248" s="15"/>
      <c r="W248" s="15" t="s">
        <v>28</v>
      </c>
      <c r="X248" s="17">
        <v>45541</v>
      </c>
      <c r="Y248" s="17"/>
      <c r="Z248" s="18"/>
    </row>
    <row r="249" spans="1:26" ht="14.25" customHeight="1">
      <c r="A249" s="15">
        <f>IF(B249&gt;0,A247+1," ")</f>
        <v>121</v>
      </c>
      <c r="B249" s="19" t="s">
        <v>201</v>
      </c>
      <c r="C249" s="19" t="s">
        <v>39</v>
      </c>
      <c r="D249" s="15" t="s">
        <v>160</v>
      </c>
      <c r="E249" s="15"/>
      <c r="F249" s="24"/>
      <c r="G249" s="24"/>
      <c r="H249" s="24"/>
      <c r="I249" s="24"/>
      <c r="J249" s="15"/>
      <c r="K249" s="15">
        <v>0</v>
      </c>
      <c r="L249" s="15">
        <v>0</v>
      </c>
      <c r="M249" s="15">
        <v>0</v>
      </c>
      <c r="N249" s="15">
        <v>0</v>
      </c>
      <c r="O249" s="15"/>
      <c r="P249" s="16">
        <v>1435.97</v>
      </c>
      <c r="Q249" s="15"/>
      <c r="R249" s="17"/>
      <c r="S249" s="15"/>
      <c r="T249" s="15"/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365.48399999999998</v>
      </c>
      <c r="P250" s="23"/>
      <c r="Q250" s="15"/>
      <c r="R250" s="17"/>
      <c r="S250" s="15"/>
      <c r="T250" s="15"/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122</v>
      </c>
      <c r="B251" s="19" t="s">
        <v>202</v>
      </c>
      <c r="C251" s="19" t="s">
        <v>42</v>
      </c>
      <c r="D251" s="21" t="s">
        <v>31</v>
      </c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/>
      <c r="R251" s="17"/>
      <c r="S251" s="15"/>
      <c r="T251" s="15"/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373.96600000000001</v>
      </c>
      <c r="P252" s="23"/>
      <c r="Q252" s="15"/>
      <c r="R252" s="17"/>
      <c r="S252" s="15"/>
      <c r="T252" s="15"/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123</v>
      </c>
      <c r="B253" s="19" t="s">
        <v>203</v>
      </c>
      <c r="C253" s="19" t="s">
        <v>37</v>
      </c>
      <c r="D253" s="21" t="s">
        <v>163</v>
      </c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/>
      <c r="R253" s="17"/>
      <c r="S253" s="15"/>
      <c r="T253" s="15"/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356.05399999999997</v>
      </c>
      <c r="P254" s="23"/>
      <c r="Q254" s="15"/>
      <c r="R254" s="17"/>
      <c r="S254" s="15"/>
      <c r="T254" s="15"/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124</v>
      </c>
      <c r="B255" s="19" t="s">
        <v>204</v>
      </c>
      <c r="C255" s="19" t="s">
        <v>42</v>
      </c>
      <c r="D255" s="21" t="s">
        <v>165</v>
      </c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/>
      <c r="R255" s="17"/>
      <c r="S255" s="15"/>
      <c r="T255" s="15"/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349.66300000000001</v>
      </c>
      <c r="P256" s="23"/>
      <c r="Q256" s="15"/>
      <c r="R256" s="17"/>
      <c r="S256" s="15"/>
      <c r="T256" s="15"/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125</v>
      </c>
      <c r="B257" s="19" t="s">
        <v>205</v>
      </c>
      <c r="C257" s="19" t="s">
        <v>42</v>
      </c>
      <c r="D257" s="21" t="s">
        <v>31</v>
      </c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/>
      <c r="R257" s="17"/>
      <c r="S257" s="15"/>
      <c r="T257" s="15"/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353.11500000000001</v>
      </c>
      <c r="P258" s="23"/>
      <c r="Q258" s="15"/>
      <c r="R258" s="17"/>
      <c r="S258" s="15"/>
      <c r="T258" s="15"/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126</v>
      </c>
      <c r="B259" s="19" t="s">
        <v>206</v>
      </c>
      <c r="C259" s="19" t="s">
        <v>37</v>
      </c>
      <c r="D259" s="21" t="s">
        <v>168</v>
      </c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/>
      <c r="R259" s="17"/>
      <c r="S259" s="15"/>
      <c r="T259" s="15"/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374.20100000000002</v>
      </c>
      <c r="P260" s="23"/>
      <c r="Q260" s="15"/>
      <c r="R260" s="17"/>
      <c r="S260" s="15"/>
      <c r="T260" s="15"/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127</v>
      </c>
      <c r="B261" s="19" t="s">
        <v>207</v>
      </c>
      <c r="C261" s="19" t="s">
        <v>37</v>
      </c>
      <c r="D261" s="21" t="s">
        <v>31</v>
      </c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/>
      <c r="R261" s="17"/>
      <c r="S261" s="15"/>
      <c r="T261" s="15"/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341.32100000000003</v>
      </c>
      <c r="P262" s="23"/>
      <c r="Q262" s="15"/>
      <c r="R262" s="17"/>
      <c r="S262" s="15"/>
      <c r="T262" s="15"/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128</v>
      </c>
      <c r="B263" s="19" t="s">
        <v>208</v>
      </c>
      <c r="C263" s="19" t="s">
        <v>56</v>
      </c>
      <c r="D263" s="21" t="s">
        <v>31</v>
      </c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/>
      <c r="R263" s="17"/>
      <c r="S263" s="15"/>
      <c r="T263" s="15"/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347.95800000000003</v>
      </c>
      <c r="P264" s="23"/>
      <c r="Q264" s="15"/>
      <c r="R264" s="17"/>
      <c r="S264" s="15"/>
      <c r="T264" s="15"/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129</v>
      </c>
      <c r="B265" s="19" t="s">
        <v>209</v>
      </c>
      <c r="C265" s="19" t="s">
        <v>37</v>
      </c>
      <c r="D265" s="21" t="s">
        <v>31</v>
      </c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/>
      <c r="R265" s="17"/>
      <c r="S265" s="15"/>
      <c r="T265" s="15"/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384.02</v>
      </c>
      <c r="P266" s="23"/>
      <c r="Q266" s="15"/>
      <c r="R266" s="17"/>
      <c r="S266" s="15"/>
      <c r="T266" s="15"/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130</v>
      </c>
      <c r="B267" s="19" t="s">
        <v>210</v>
      </c>
      <c r="C267" s="19" t="s">
        <v>37</v>
      </c>
      <c r="D267" s="21" t="s">
        <v>31</v>
      </c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/>
      <c r="R267" s="17"/>
      <c r="S267" s="15"/>
      <c r="T267" s="15"/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269.69400000000002</v>
      </c>
      <c r="P268" s="23"/>
      <c r="Q268" s="15"/>
      <c r="R268" s="17"/>
      <c r="S268" s="15"/>
      <c r="T268" s="15"/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131</v>
      </c>
      <c r="B269" s="19" t="s">
        <v>211</v>
      </c>
      <c r="C269" s="19" t="s">
        <v>37</v>
      </c>
      <c r="D269" s="21" t="s">
        <v>31</v>
      </c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/>
      <c r="R269" s="17"/>
      <c r="S269" s="15"/>
      <c r="T269" s="15"/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394.041</v>
      </c>
      <c r="P270" s="23"/>
      <c r="Q270" s="15"/>
      <c r="R270" s="17"/>
      <c r="S270" s="15"/>
      <c r="T270" s="15"/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132</v>
      </c>
      <c r="B271" s="19" t="s">
        <v>212</v>
      </c>
      <c r="C271" s="19" t="s">
        <v>37</v>
      </c>
      <c r="D271" s="21" t="s">
        <v>31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/>
      <c r="Q271" s="15"/>
      <c r="R271" s="17"/>
      <c r="S271" s="15"/>
      <c r="T271" s="15"/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A272" s="24"/>
      <c r="B272" s="19"/>
      <c r="C272" s="19"/>
      <c r="D272" s="21"/>
      <c r="E272" s="15"/>
      <c r="F272" s="24"/>
      <c r="G272" s="24"/>
      <c r="H272" s="24"/>
      <c r="I272" s="24"/>
      <c r="J272" s="24"/>
      <c r="K272" s="24"/>
      <c r="L272" s="24"/>
      <c r="M272" s="24"/>
      <c r="N272" s="24"/>
      <c r="O272" s="25">
        <v>300.61399999999998</v>
      </c>
      <c r="P272" s="23"/>
      <c r="Q272" s="15"/>
      <c r="R272" s="17"/>
      <c r="S272" s="15"/>
      <c r="T272" s="15"/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133</v>
      </c>
      <c r="B273" s="19" t="s">
        <v>214</v>
      </c>
      <c r="C273" s="19" t="s">
        <v>89</v>
      </c>
      <c r="D273" s="21" t="s">
        <v>31</v>
      </c>
      <c r="E273" s="15"/>
      <c r="F273" s="24"/>
      <c r="G273" s="24"/>
      <c r="H273" s="24"/>
      <c r="I273" s="24"/>
      <c r="J273" s="24"/>
      <c r="K273" s="24"/>
      <c r="L273" s="24"/>
      <c r="M273" s="24"/>
      <c r="N273" s="24"/>
      <c r="O273" s="25"/>
      <c r="P273" s="23">
        <v>4210.1310000000003</v>
      </c>
      <c r="Q273" s="15"/>
      <c r="R273" s="17"/>
      <c r="S273" s="15"/>
      <c r="T273" s="15"/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6"/>
      <c r="L274" s="26"/>
      <c r="M274" s="26"/>
      <c r="N274" s="26"/>
      <c r="O274" s="15">
        <v>315.42</v>
      </c>
      <c r="P274" s="23"/>
      <c r="Q274" s="15"/>
      <c r="R274" s="17"/>
      <c r="S274" s="15"/>
      <c r="T274" s="15"/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134</v>
      </c>
      <c r="B275" s="19" t="s">
        <v>215</v>
      </c>
      <c r="C275" s="19" t="s">
        <v>42</v>
      </c>
      <c r="D275" s="21" t="s">
        <v>31</v>
      </c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/>
      <c r="R275" s="17"/>
      <c r="S275" s="15"/>
      <c r="T275" s="15"/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329.64</v>
      </c>
      <c r="P276" s="23"/>
      <c r="Q276" s="15"/>
      <c r="R276" s="17"/>
      <c r="S276" s="15"/>
      <c r="T276" s="15"/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135</v>
      </c>
      <c r="B277" s="19" t="s">
        <v>216</v>
      </c>
      <c r="C277" s="19" t="s">
        <v>37</v>
      </c>
      <c r="D277" s="21" t="s">
        <v>31</v>
      </c>
      <c r="E277" s="15"/>
      <c r="F277" s="24"/>
      <c r="G277" s="24"/>
      <c r="H277" s="24"/>
      <c r="I277" s="24"/>
      <c r="J277" s="20"/>
      <c r="K277" s="27"/>
      <c r="L277" s="27"/>
      <c r="M277" s="27"/>
      <c r="N277" s="27"/>
      <c r="O277" s="15"/>
      <c r="P277" s="23"/>
      <c r="Q277" s="15"/>
      <c r="R277" s="17"/>
      <c r="S277" s="15"/>
      <c r="T277" s="15"/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382.97</v>
      </c>
      <c r="P278" s="23"/>
      <c r="Q278" s="15"/>
      <c r="R278" s="17"/>
      <c r="S278" s="15"/>
      <c r="T278" s="15"/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136</v>
      </c>
      <c r="B279" s="19" t="s">
        <v>217</v>
      </c>
      <c r="C279" s="19" t="s">
        <v>37</v>
      </c>
      <c r="D279" s="21" t="s">
        <v>179</v>
      </c>
      <c r="E279" s="15"/>
      <c r="F279" s="24"/>
      <c r="G279" s="24"/>
      <c r="H279" s="24"/>
      <c r="I279" s="24"/>
      <c r="J279" s="20"/>
      <c r="K279" s="20"/>
      <c r="L279" s="20"/>
      <c r="M279" s="20"/>
      <c r="N279" s="27"/>
      <c r="O279" s="15"/>
      <c r="P279" s="23"/>
      <c r="Q279" s="15"/>
      <c r="R279" s="17"/>
      <c r="S279" s="15"/>
      <c r="T279" s="15"/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323.74</v>
      </c>
      <c r="P280" s="23"/>
      <c r="Q280" s="15"/>
      <c r="R280" s="17"/>
      <c r="S280" s="15"/>
      <c r="T280" s="15"/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137</v>
      </c>
      <c r="B281" s="19" t="s">
        <v>218</v>
      </c>
      <c r="C281" s="19" t="s">
        <v>42</v>
      </c>
      <c r="D281" s="21" t="s">
        <v>31</v>
      </c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/>
      <c r="R281" s="17"/>
      <c r="S281" s="15"/>
      <c r="T281" s="15"/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328.78</v>
      </c>
      <c r="P282" s="23"/>
      <c r="Q282" s="15"/>
      <c r="R282" s="17"/>
      <c r="S282" s="15"/>
      <c r="T282" s="15"/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138</v>
      </c>
      <c r="B283" s="19" t="s">
        <v>219</v>
      </c>
      <c r="C283" s="19" t="s">
        <v>42</v>
      </c>
      <c r="D283" s="21" t="s">
        <v>31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/>
      <c r="Q283" s="15"/>
      <c r="R283" s="17"/>
      <c r="S283" s="15"/>
      <c r="T283" s="15"/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266</v>
      </c>
      <c r="P284" s="23"/>
      <c r="Q284" s="15"/>
      <c r="R284" s="17"/>
      <c r="S284" s="15"/>
      <c r="T284" s="15"/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139</v>
      </c>
      <c r="B285" s="19" t="s">
        <v>221</v>
      </c>
      <c r="C285" s="19" t="s">
        <v>76</v>
      </c>
      <c r="D285" s="21" t="s">
        <v>31</v>
      </c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>
        <v>1946.558</v>
      </c>
      <c r="Q285" s="15"/>
      <c r="R285" s="17"/>
      <c r="S285" s="15"/>
      <c r="T285" s="15"/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321.89</v>
      </c>
      <c r="P286" s="23"/>
      <c r="Q286" s="15"/>
      <c r="R286" s="17"/>
      <c r="S286" s="15"/>
      <c r="T286" s="15"/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140</v>
      </c>
      <c r="B287" s="19" t="s">
        <v>222</v>
      </c>
      <c r="C287" s="19" t="s">
        <v>42</v>
      </c>
      <c r="D287" s="21" t="s">
        <v>31</v>
      </c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/>
      <c r="R287" s="17"/>
      <c r="S287" s="15"/>
      <c r="T287" s="15"/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352.14</v>
      </c>
      <c r="P288" s="23"/>
      <c r="Q288" s="15"/>
      <c r="R288" s="17"/>
      <c r="S288" s="15"/>
      <c r="T288" s="15"/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141</v>
      </c>
      <c r="B289" s="19" t="s">
        <v>223</v>
      </c>
      <c r="C289" s="19" t="s">
        <v>37</v>
      </c>
      <c r="D289" s="21" t="s">
        <v>31</v>
      </c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/>
      <c r="R289" s="17"/>
      <c r="S289" s="15"/>
      <c r="T289" s="15"/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347.32</v>
      </c>
      <c r="P290" s="23"/>
      <c r="Q290" s="15"/>
      <c r="R290" s="17"/>
      <c r="S290" s="15"/>
      <c r="T290" s="15"/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142</v>
      </c>
      <c r="B291" s="19" t="s">
        <v>224</v>
      </c>
      <c r="C291" s="19" t="s">
        <v>42</v>
      </c>
      <c r="D291" s="21" t="s">
        <v>31</v>
      </c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/>
      <c r="R291" s="17"/>
      <c r="S291" s="15"/>
      <c r="T291" s="15"/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339.42</v>
      </c>
      <c r="P292" s="23"/>
      <c r="Q292" s="15"/>
      <c r="R292" s="17"/>
      <c r="S292" s="15"/>
      <c r="T292" s="15"/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143</v>
      </c>
      <c r="B293" s="19" t="s">
        <v>225</v>
      </c>
      <c r="C293" s="19" t="s">
        <v>42</v>
      </c>
      <c r="D293" s="21" t="s">
        <v>31</v>
      </c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/>
      <c r="R293" s="17"/>
      <c r="S293" s="15"/>
      <c r="T293" s="15"/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330.88</v>
      </c>
      <c r="P294" s="23"/>
      <c r="Q294" s="15"/>
      <c r="R294" s="17"/>
      <c r="S294" s="15"/>
      <c r="T294" s="15"/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144</v>
      </c>
      <c r="B295" s="19" t="s">
        <v>226</v>
      </c>
      <c r="C295" s="19" t="s">
        <v>42</v>
      </c>
      <c r="D295" s="21" t="s">
        <v>31</v>
      </c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/>
      <c r="R295" s="17"/>
      <c r="S295" s="15"/>
      <c r="T295" s="15"/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279.99</v>
      </c>
      <c r="P296" s="23"/>
      <c r="Q296" s="15"/>
      <c r="R296" s="17"/>
      <c r="S296" s="15"/>
      <c r="T296" s="15"/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145</v>
      </c>
      <c r="B297" s="19" t="s">
        <v>227</v>
      </c>
      <c r="C297" s="19" t="s">
        <v>37</v>
      </c>
      <c r="D297" s="21" t="s">
        <v>31</v>
      </c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/>
      <c r="R297" s="17"/>
      <c r="S297" s="15"/>
      <c r="T297" s="15"/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369.48</v>
      </c>
      <c r="P298" s="23"/>
      <c r="Q298" s="15"/>
      <c r="R298" s="17"/>
      <c r="S298" s="15"/>
      <c r="T298" s="15"/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146</v>
      </c>
      <c r="B299" s="19" t="s">
        <v>228</v>
      </c>
      <c r="C299" s="19" t="s">
        <v>37</v>
      </c>
      <c r="D299" s="21" t="s">
        <v>190</v>
      </c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/>
      <c r="R299" s="17"/>
      <c r="S299" s="15"/>
      <c r="T299" s="15"/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369.65</v>
      </c>
      <c r="P300" s="23"/>
      <c r="Q300" s="15"/>
      <c r="R300" s="17"/>
      <c r="S300" s="15"/>
      <c r="T300" s="15"/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147</v>
      </c>
      <c r="B301" s="19" t="s">
        <v>229</v>
      </c>
      <c r="C301" s="19" t="s">
        <v>37</v>
      </c>
      <c r="D301" s="21" t="s">
        <v>31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/>
      <c r="Q301" s="15"/>
      <c r="R301" s="17"/>
      <c r="S301" s="15"/>
      <c r="T301" s="15"/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284</v>
      </c>
      <c r="P302" s="23"/>
      <c r="Q302" s="15"/>
      <c r="R302" s="17"/>
      <c r="S302" s="15"/>
      <c r="T302" s="15"/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148</v>
      </c>
      <c r="B303" s="19" t="s">
        <v>231</v>
      </c>
      <c r="C303" s="19" t="s">
        <v>76</v>
      </c>
      <c r="D303" s="21" t="s">
        <v>31</v>
      </c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>
        <v>2994.7570000000001</v>
      </c>
      <c r="Q303" s="15"/>
      <c r="R303" s="17"/>
      <c r="S303" s="15"/>
      <c r="T303" s="15"/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345.88</v>
      </c>
      <c r="P304" s="23"/>
      <c r="Q304" s="15"/>
      <c r="R304" s="17"/>
      <c r="S304" s="15"/>
      <c r="T304" s="15"/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149</v>
      </c>
      <c r="B305" s="19" t="s">
        <v>232</v>
      </c>
      <c r="C305" s="19" t="s">
        <v>37</v>
      </c>
      <c r="D305" s="21" t="s">
        <v>31</v>
      </c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/>
      <c r="R305" s="17"/>
      <c r="S305" s="15"/>
      <c r="T305" s="15"/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310.87</v>
      </c>
      <c r="P306" s="23"/>
      <c r="Q306" s="15"/>
      <c r="R306" s="17"/>
      <c r="S306" s="15"/>
      <c r="T306" s="15"/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150</v>
      </c>
      <c r="B307" s="19" t="s">
        <v>233</v>
      </c>
      <c r="C307" s="19" t="s">
        <v>37</v>
      </c>
      <c r="D307" s="21" t="s">
        <v>195</v>
      </c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/>
      <c r="R307" s="17"/>
      <c r="S307" s="15"/>
      <c r="T307" s="15"/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380.03</v>
      </c>
      <c r="P308" s="23"/>
      <c r="Q308" s="15"/>
      <c r="R308" s="17"/>
      <c r="S308" s="15"/>
      <c r="T308" s="15"/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151</v>
      </c>
      <c r="B309" s="19" t="s">
        <v>234</v>
      </c>
      <c r="C309" s="19" t="s">
        <v>37</v>
      </c>
      <c r="D309" s="21" t="s">
        <v>31</v>
      </c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/>
      <c r="R309" s="17"/>
      <c r="S309" s="15"/>
      <c r="T309" s="15"/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358.18</v>
      </c>
      <c r="P310" s="23"/>
      <c r="Q310" s="15"/>
      <c r="R310" s="17"/>
      <c r="S310" s="15"/>
      <c r="T310" s="15"/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152</v>
      </c>
      <c r="B311" s="19" t="s">
        <v>235</v>
      </c>
      <c r="C311" s="19" t="s">
        <v>42</v>
      </c>
      <c r="D311" s="21" t="s">
        <v>31</v>
      </c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/>
      <c r="R311" s="17"/>
      <c r="S311" s="15"/>
      <c r="T311" s="15"/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311.05</v>
      </c>
      <c r="P312" s="23"/>
      <c r="Q312" s="15"/>
      <c r="R312" s="17"/>
      <c r="S312" s="15"/>
      <c r="T312" s="15"/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153</v>
      </c>
      <c r="B313" s="19" t="s">
        <v>236</v>
      </c>
      <c r="C313" s="19" t="s">
        <v>37</v>
      </c>
      <c r="D313" s="21" t="s">
        <v>31</v>
      </c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/>
      <c r="R313" s="17"/>
      <c r="S313" s="15"/>
      <c r="T313" s="15"/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375.15</v>
      </c>
      <c r="P314" s="23"/>
      <c r="Q314" s="15"/>
      <c r="R314" s="17"/>
      <c r="S314" s="15"/>
      <c r="T314" s="15"/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154</v>
      </c>
      <c r="B315" s="19" t="s">
        <v>237</v>
      </c>
      <c r="C315" s="19" t="s">
        <v>37</v>
      </c>
      <c r="D315" s="21" t="s">
        <v>200</v>
      </c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/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369.13</v>
      </c>
      <c r="P316" s="23"/>
      <c r="Q316" s="15" t="s">
        <v>32</v>
      </c>
      <c r="R316" s="17"/>
      <c r="S316" s="15"/>
      <c r="T316" s="15"/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155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/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370.97</v>
      </c>
      <c r="P318" s="23"/>
      <c r="Q318" s="15" t="s">
        <v>32</v>
      </c>
      <c r="R318" s="17"/>
      <c r="S318" s="15"/>
      <c r="T318" s="15"/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156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/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356.46</v>
      </c>
      <c r="P320" s="23"/>
      <c r="Q320" s="15" t="s">
        <v>32</v>
      </c>
      <c r="R320" s="17"/>
      <c r="S320" s="15"/>
      <c r="T320" s="15"/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157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/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363.33</v>
      </c>
      <c r="P322" s="23"/>
      <c r="Q322" s="15" t="s">
        <v>32</v>
      </c>
      <c r="R322" s="17"/>
      <c r="S322" s="15"/>
      <c r="T322" s="15"/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158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/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370.25</v>
      </c>
      <c r="P324" s="23"/>
      <c r="Q324" s="15" t="s">
        <v>32</v>
      </c>
      <c r="R324" s="17"/>
      <c r="S324" s="15"/>
      <c r="T324" s="15"/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159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/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0"/>
      <c r="N326" s="20"/>
      <c r="O326" s="15">
        <v>330.02</v>
      </c>
      <c r="P326" s="23"/>
      <c r="Q326" s="15" t="s">
        <v>32</v>
      </c>
      <c r="R326" s="17"/>
      <c r="S326" s="15"/>
      <c r="T326" s="15"/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160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/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20"/>
      <c r="K328" s="20"/>
      <c r="L328" s="20"/>
      <c r="M328" s="27"/>
      <c r="N328" s="27"/>
      <c r="O328" s="15">
        <v>390.08</v>
      </c>
      <c r="P328" s="23"/>
      <c r="Q328" s="15" t="s">
        <v>32</v>
      </c>
      <c r="R328" s="17"/>
      <c r="S328" s="15"/>
      <c r="T328" s="15"/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161</v>
      </c>
      <c r="B329" s="19" t="s">
        <v>244</v>
      </c>
      <c r="C329" s="19" t="s">
        <v>37</v>
      </c>
      <c r="D329" s="21"/>
      <c r="E329" s="15"/>
      <c r="F329" s="24"/>
      <c r="G329" s="24"/>
      <c r="H329" s="24"/>
      <c r="I329" s="24"/>
      <c r="J329" s="20"/>
      <c r="K329" s="20"/>
      <c r="L329" s="20"/>
      <c r="M329" s="20"/>
      <c r="N329" s="20"/>
      <c r="O329" s="15"/>
      <c r="P329" s="23"/>
      <c r="Q329" s="15" t="s">
        <v>32</v>
      </c>
      <c r="R329" s="17"/>
      <c r="S329" s="15"/>
      <c r="T329" s="15"/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B330" s="19"/>
      <c r="C330" s="19"/>
      <c r="D330" s="21"/>
      <c r="E330" s="15"/>
      <c r="F330" s="24"/>
      <c r="G330" s="24"/>
      <c r="H330" s="24"/>
      <c r="I330" s="24"/>
      <c r="J330" s="15"/>
      <c r="K330" s="28"/>
      <c r="L330" s="28"/>
      <c r="M330" s="15"/>
      <c r="N330" s="28"/>
      <c r="O330" s="15">
        <v>343.38</v>
      </c>
      <c r="P330" s="23"/>
      <c r="Q330" s="15" t="s">
        <v>32</v>
      </c>
      <c r="R330" s="17"/>
      <c r="S330" s="15"/>
      <c r="T330" s="15"/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162</v>
      </c>
      <c r="B331" s="19" t="s">
        <v>246</v>
      </c>
      <c r="C331" s="19" t="s">
        <v>46</v>
      </c>
      <c r="D331" s="21" t="s">
        <v>245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/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326.52999999999997</v>
      </c>
      <c r="P332" s="24"/>
      <c r="Q332" s="15" t="s">
        <v>32</v>
      </c>
      <c r="R332" s="17"/>
      <c r="S332" s="15"/>
      <c r="T332" s="15"/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163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/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302.5</v>
      </c>
      <c r="P334" s="24"/>
      <c r="Q334" s="15" t="s">
        <v>32</v>
      </c>
      <c r="R334" s="17"/>
      <c r="S334" s="15"/>
      <c r="T334" s="15"/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164</v>
      </c>
      <c r="B335" s="19" t="s">
        <v>248</v>
      </c>
      <c r="C335" s="19" t="s">
        <v>37</v>
      </c>
      <c r="D335" s="21" t="s">
        <v>31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/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318.2</v>
      </c>
      <c r="P336" s="24"/>
      <c r="Q336" s="15" t="s">
        <v>32</v>
      </c>
      <c r="R336" s="17"/>
      <c r="S336" s="15"/>
      <c r="T336" s="15"/>
      <c r="U336" s="17"/>
      <c r="V336" s="15"/>
      <c r="W336" s="15" t="s">
        <v>28</v>
      </c>
      <c r="X336" s="17"/>
      <c r="Y336" s="17"/>
      <c r="Z336" s="18"/>
    </row>
    <row r="337" spans="1:28" ht="14.25" customHeight="1">
      <c r="A337" s="15">
        <f>IF(B337&gt;0,A335+1," ")</f>
        <v>165</v>
      </c>
      <c r="B337" s="19" t="s">
        <v>250</v>
      </c>
      <c r="C337" s="19" t="s">
        <v>39</v>
      </c>
      <c r="D337" s="21" t="s">
        <v>249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/>
      <c r="U337" s="17"/>
      <c r="V337" s="15"/>
      <c r="W337" s="15" t="s">
        <v>28</v>
      </c>
      <c r="X337" s="17"/>
      <c r="Y337" s="17"/>
      <c r="Z337" s="18"/>
      <c r="AA337" s="50"/>
      <c r="AB337" s="50"/>
    </row>
    <row r="338" spans="1:28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315.48</v>
      </c>
      <c r="P338" s="24"/>
      <c r="Q338" s="15" t="s">
        <v>32</v>
      </c>
      <c r="R338" s="17"/>
      <c r="S338" s="15"/>
      <c r="T338" s="15"/>
      <c r="U338" s="17"/>
      <c r="V338" s="15"/>
      <c r="W338" s="15" t="s">
        <v>28</v>
      </c>
      <c r="X338" s="17"/>
      <c r="Y338" s="17"/>
      <c r="Z338" s="18"/>
      <c r="AA338" s="50"/>
      <c r="AB338" s="50"/>
    </row>
    <row r="339" spans="1:28" ht="14.25" customHeight="1">
      <c r="A339" s="15">
        <f>IF(B339&gt;0,A337+1," ")</f>
        <v>166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/>
      <c r="U339" s="17"/>
      <c r="V339" s="15"/>
      <c r="W339" s="15" t="s">
        <v>28</v>
      </c>
      <c r="X339" s="17"/>
      <c r="Y339" s="17"/>
      <c r="Z339" s="18"/>
      <c r="AA339" s="50"/>
      <c r="AB339" s="50"/>
    </row>
    <row r="340" spans="1:28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249.29</v>
      </c>
      <c r="P340" s="24"/>
      <c r="Q340" s="15" t="s">
        <v>32</v>
      </c>
      <c r="R340" s="17"/>
      <c r="S340" s="15"/>
      <c r="T340" s="15"/>
      <c r="U340" s="17"/>
      <c r="V340" s="15"/>
      <c r="W340" s="15" t="s">
        <v>28</v>
      </c>
      <c r="X340" s="17"/>
      <c r="Y340" s="17"/>
      <c r="Z340" s="18"/>
      <c r="AA340" s="50"/>
      <c r="AB340" s="50"/>
    </row>
    <row r="341" spans="1:28" ht="14.25" customHeight="1">
      <c r="A341" s="15">
        <f>IF(B341&gt;0,A339+1," ")</f>
        <v>167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/>
      <c r="U341" s="17"/>
      <c r="V341" s="15"/>
      <c r="W341" s="15" t="s">
        <v>28</v>
      </c>
      <c r="X341" s="17"/>
      <c r="Y341" s="17"/>
      <c r="Z341" s="18"/>
      <c r="AA341" s="50"/>
      <c r="AB341" s="50"/>
    </row>
    <row r="342" spans="1:28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288.05</v>
      </c>
      <c r="P342" s="24"/>
      <c r="Q342" s="15" t="s">
        <v>32</v>
      </c>
      <c r="R342" s="17"/>
      <c r="S342" s="15"/>
      <c r="T342" s="15"/>
      <c r="U342" s="17"/>
      <c r="V342" s="15"/>
      <c r="W342" s="15" t="s">
        <v>28</v>
      </c>
      <c r="X342" s="17"/>
      <c r="Y342" s="17"/>
      <c r="Z342" s="18"/>
      <c r="AA342" s="50"/>
      <c r="AB342" s="50"/>
    </row>
    <row r="343" spans="1:28" ht="14.25" customHeight="1">
      <c r="A343" s="15">
        <f>IF(B343&gt;0,A341+1," ")</f>
        <v>168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/>
      <c r="U343" s="17"/>
      <c r="V343" s="15"/>
      <c r="W343" s="15" t="s">
        <v>28</v>
      </c>
      <c r="X343" s="17"/>
      <c r="Y343" s="17"/>
      <c r="Z343" s="18"/>
      <c r="AA343" s="50"/>
      <c r="AB343" s="50"/>
    </row>
    <row r="344" spans="1:28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369.86</v>
      </c>
      <c r="P344" s="24"/>
      <c r="Q344" s="15" t="s">
        <v>32</v>
      </c>
      <c r="R344" s="17"/>
      <c r="S344" s="15"/>
      <c r="T344" s="15"/>
      <c r="U344" s="17"/>
      <c r="V344" s="15"/>
      <c r="W344" s="15" t="s">
        <v>28</v>
      </c>
      <c r="X344" s="17"/>
      <c r="Y344" s="17"/>
      <c r="Z344" s="18"/>
      <c r="AA344" s="50"/>
      <c r="AB344" s="50"/>
    </row>
    <row r="345" spans="1:28" ht="14.25" customHeight="1">
      <c r="A345" s="15">
        <f>IF(B345&gt;0,A343+1," ")</f>
        <v>169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7"/>
      <c r="S345" s="15"/>
      <c r="T345" s="15"/>
      <c r="U345" s="17"/>
      <c r="V345" s="15"/>
      <c r="W345" s="15" t="s">
        <v>28</v>
      </c>
      <c r="X345" s="17"/>
      <c r="Y345" s="17"/>
      <c r="Z345" s="18"/>
      <c r="AA345" s="50"/>
      <c r="AB345" s="50"/>
    </row>
    <row r="346" spans="1:28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320.20999999999998</v>
      </c>
      <c r="P346" s="24"/>
      <c r="Q346" s="15" t="s">
        <v>32</v>
      </c>
      <c r="R346" s="17"/>
      <c r="S346" s="15"/>
      <c r="T346" s="15"/>
      <c r="U346" s="17"/>
      <c r="V346" s="15"/>
      <c r="W346" s="15" t="s">
        <v>28</v>
      </c>
      <c r="X346" s="17"/>
      <c r="Y346" s="17"/>
      <c r="Z346" s="18"/>
      <c r="AA346" s="50"/>
      <c r="AB346" s="50"/>
    </row>
    <row r="347" spans="1:28" ht="14.25" customHeight="1">
      <c r="A347" s="15">
        <f>IF(B347&gt;0,A345+1," ")</f>
        <v>170</v>
      </c>
      <c r="B347" s="19" t="s">
        <v>255</v>
      </c>
      <c r="C347" s="19" t="s">
        <v>42</v>
      </c>
      <c r="D347" s="21" t="s">
        <v>31</v>
      </c>
      <c r="E347" s="15"/>
      <c r="F347" s="24"/>
      <c r="G347" s="24"/>
      <c r="H347" s="24"/>
      <c r="I347" s="24"/>
      <c r="J347" s="24"/>
      <c r="K347" s="24"/>
      <c r="L347" s="24"/>
      <c r="M347" s="24"/>
      <c r="N347" s="24"/>
      <c r="O347" s="15"/>
      <c r="P347" s="24"/>
      <c r="Q347" s="15" t="s">
        <v>32</v>
      </c>
      <c r="R347" s="15"/>
      <c r="S347" s="17"/>
      <c r="T347" s="15"/>
      <c r="U347" s="17"/>
      <c r="V347" s="17"/>
      <c r="W347" s="15" t="s">
        <v>28</v>
      </c>
      <c r="X347" s="17"/>
      <c r="Y347" s="17"/>
      <c r="Z347" s="18"/>
      <c r="AA347" s="50"/>
      <c r="AB347" s="53" t="s">
        <v>301</v>
      </c>
    </row>
    <row r="348" spans="1:28" ht="14.25" customHeight="1">
      <c r="A348" s="24"/>
      <c r="B348" s="19"/>
      <c r="C348" s="19"/>
      <c r="D348" s="21"/>
      <c r="E348" s="15"/>
      <c r="F348" s="24"/>
      <c r="G348" s="24"/>
      <c r="H348" s="24"/>
      <c r="I348" s="24"/>
      <c r="J348" s="24"/>
      <c r="K348" s="24"/>
      <c r="L348" s="24"/>
      <c r="M348" s="24"/>
      <c r="N348" s="24"/>
      <c r="O348" s="15">
        <v>383.86</v>
      </c>
      <c r="P348" s="24"/>
      <c r="Q348" s="15" t="s">
        <v>32</v>
      </c>
      <c r="R348" s="15"/>
      <c r="S348" s="17"/>
      <c r="T348" s="15"/>
      <c r="U348" s="17"/>
      <c r="V348" s="17"/>
      <c r="W348" s="15" t="s">
        <v>28</v>
      </c>
      <c r="X348" s="17"/>
      <c r="Y348" s="17"/>
      <c r="Z348" s="18"/>
      <c r="AA348" s="50"/>
      <c r="AB348" s="50"/>
    </row>
    <row r="349" spans="1:28" ht="14.25" customHeight="1">
      <c r="A349" s="15">
        <f>IF(B349&gt;0,A347+1," ")</f>
        <v>171</v>
      </c>
      <c r="B349" s="19" t="s">
        <v>257</v>
      </c>
      <c r="C349" s="19" t="s">
        <v>54</v>
      </c>
      <c r="D349" s="15" t="s">
        <v>256</v>
      </c>
      <c r="E349" s="15"/>
      <c r="F349" s="29"/>
      <c r="G349" s="29"/>
      <c r="H349" s="29"/>
      <c r="I349" s="29"/>
      <c r="J349" s="15">
        <v>3</v>
      </c>
      <c r="K349" s="15">
        <v>3</v>
      </c>
      <c r="L349" s="15">
        <v>3</v>
      </c>
      <c r="M349" s="15">
        <v>3</v>
      </c>
      <c r="N349" s="15">
        <v>3</v>
      </c>
      <c r="O349" s="15"/>
      <c r="P349" s="16"/>
      <c r="Q349" s="15" t="s">
        <v>32</v>
      </c>
      <c r="R349" s="15"/>
      <c r="S349" s="17"/>
      <c r="T349" s="15"/>
      <c r="U349" s="17"/>
      <c r="V349" s="17"/>
      <c r="W349" s="15" t="s">
        <v>28</v>
      </c>
      <c r="X349" s="17"/>
      <c r="Y349" s="17"/>
      <c r="Z349" s="18"/>
      <c r="AA349" s="50"/>
      <c r="AB349" s="50"/>
    </row>
    <row r="350" spans="1:28" ht="14.25" customHeight="1">
      <c r="A350" s="15"/>
      <c r="B350" s="19"/>
      <c r="C350" s="19"/>
      <c r="D350" s="15"/>
      <c r="E350" s="15"/>
      <c r="F350" s="29"/>
      <c r="G350" s="29"/>
      <c r="H350" s="29"/>
      <c r="I350" s="29"/>
      <c r="J350" s="15"/>
      <c r="K350" s="15"/>
      <c r="L350" s="15"/>
      <c r="M350" s="15"/>
      <c r="N350" s="15"/>
      <c r="O350" s="16">
        <v>190.524</v>
      </c>
      <c r="P350" s="16" t="s">
        <v>31</v>
      </c>
      <c r="Q350" s="15" t="s">
        <v>32</v>
      </c>
      <c r="R350" s="15"/>
      <c r="S350" s="17"/>
      <c r="T350" s="15"/>
      <c r="U350" s="17"/>
      <c r="V350" s="17"/>
      <c r="W350" s="15" t="s">
        <v>28</v>
      </c>
      <c r="X350" s="17"/>
      <c r="Y350" s="17"/>
      <c r="Z350" s="18"/>
      <c r="AA350" s="50"/>
      <c r="AB350" s="50"/>
    </row>
    <row r="351" spans="1:28" ht="14.25" customHeight="1">
      <c r="A351" s="15"/>
      <c r="B351" s="19" t="s">
        <v>259</v>
      </c>
      <c r="C351" s="19" t="s">
        <v>260</v>
      </c>
      <c r="D351" s="15" t="s">
        <v>258</v>
      </c>
      <c r="E351" s="15"/>
      <c r="F351" s="29"/>
      <c r="G351" s="29"/>
      <c r="H351" s="29"/>
      <c r="I351" s="29"/>
      <c r="J351" s="15">
        <v>2</v>
      </c>
      <c r="K351" s="15">
        <v>2</v>
      </c>
      <c r="L351" s="15">
        <v>2</v>
      </c>
      <c r="M351" s="15">
        <v>2</v>
      </c>
      <c r="N351" s="15">
        <v>2</v>
      </c>
      <c r="O351" s="15"/>
      <c r="P351" s="16">
        <v>190.52</v>
      </c>
      <c r="Q351" s="15" t="s">
        <v>32</v>
      </c>
      <c r="R351" s="15"/>
      <c r="S351" s="17"/>
      <c r="T351" s="15"/>
      <c r="U351" s="17"/>
      <c r="V351" s="17"/>
      <c r="W351" s="15" t="s">
        <v>28</v>
      </c>
      <c r="X351" s="17"/>
      <c r="Y351" s="17"/>
      <c r="Z351" s="18"/>
      <c r="AA351" s="50"/>
      <c r="AB351" s="50"/>
    </row>
    <row r="352" spans="1:28" ht="14.25" customHeight="1">
      <c r="A352" s="15"/>
      <c r="B352" s="19"/>
      <c r="C352" s="19"/>
      <c r="D352" s="15"/>
      <c r="E352" s="15"/>
      <c r="F352" s="29"/>
      <c r="G352" s="29"/>
      <c r="H352" s="29"/>
      <c r="I352" s="29"/>
      <c r="J352" s="15"/>
      <c r="K352" s="15"/>
      <c r="L352" s="15"/>
      <c r="M352" s="15"/>
      <c r="N352" s="15"/>
      <c r="O352" s="16">
        <v>173.541</v>
      </c>
      <c r="P352" s="16" t="s">
        <v>31</v>
      </c>
      <c r="Q352" s="15" t="s">
        <v>32</v>
      </c>
      <c r="R352" s="15"/>
      <c r="S352" s="17"/>
      <c r="T352" s="15"/>
      <c r="U352" s="17"/>
      <c r="V352" s="17"/>
      <c r="W352" s="15" t="s">
        <v>28</v>
      </c>
      <c r="X352" s="17"/>
      <c r="Y352" s="17"/>
      <c r="Z352" s="18"/>
      <c r="AA352" s="50"/>
      <c r="AB352" s="50"/>
    </row>
    <row r="353" spans="1:26" ht="14.25" customHeight="1">
      <c r="A353" s="15"/>
      <c r="B353" s="19" t="s">
        <v>262</v>
      </c>
      <c r="C353" s="19" t="s">
        <v>260</v>
      </c>
      <c r="D353" s="15" t="s">
        <v>261</v>
      </c>
      <c r="E353" s="15"/>
      <c r="F353" s="29"/>
      <c r="G353" s="29"/>
      <c r="H353" s="29"/>
      <c r="I353" s="29"/>
      <c r="J353" s="15">
        <v>2</v>
      </c>
      <c r="K353" s="15">
        <v>2</v>
      </c>
      <c r="L353" s="15">
        <v>2</v>
      </c>
      <c r="M353" s="15">
        <v>2</v>
      </c>
      <c r="N353" s="15">
        <v>2</v>
      </c>
      <c r="O353" s="15"/>
      <c r="P353" s="16">
        <v>173.54</v>
      </c>
      <c r="Q353" s="15" t="s">
        <v>32</v>
      </c>
      <c r="R353" s="15"/>
      <c r="S353" s="17"/>
      <c r="T353" s="15"/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/>
      <c r="B354" s="19"/>
      <c r="C354" s="19"/>
      <c r="D354" s="15"/>
      <c r="E354" s="15"/>
      <c r="F354" s="29"/>
      <c r="G354" s="29"/>
      <c r="H354" s="29"/>
      <c r="I354" s="29"/>
      <c r="J354" s="15"/>
      <c r="K354" s="15" t="s">
        <v>31</v>
      </c>
      <c r="L354" s="15" t="s">
        <v>31</v>
      </c>
      <c r="M354" s="15" t="s">
        <v>31</v>
      </c>
      <c r="N354" s="15" t="s">
        <v>31</v>
      </c>
      <c r="O354" s="16">
        <v>142.38399999999999</v>
      </c>
      <c r="P354" s="16" t="s">
        <v>31</v>
      </c>
      <c r="Q354" s="15" t="s">
        <v>32</v>
      </c>
      <c r="R354" s="15"/>
      <c r="S354" s="17"/>
      <c r="T354" s="15"/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/>
      <c r="B355" s="19" t="s">
        <v>264</v>
      </c>
      <c r="C355" s="19" t="s">
        <v>260</v>
      </c>
      <c r="D355" s="15" t="s">
        <v>263</v>
      </c>
      <c r="E355" s="15"/>
      <c r="F355" s="29"/>
      <c r="G355" s="29"/>
      <c r="H355" s="29"/>
      <c r="I355" s="29"/>
      <c r="J355" s="15">
        <v>1</v>
      </c>
      <c r="K355" s="15">
        <v>1</v>
      </c>
      <c r="L355" s="15">
        <v>1</v>
      </c>
      <c r="M355" s="15">
        <v>1</v>
      </c>
      <c r="N355" s="15">
        <v>1</v>
      </c>
      <c r="O355" s="15"/>
      <c r="P355" s="16">
        <v>142.38</v>
      </c>
      <c r="Q355" s="15" t="s">
        <v>32</v>
      </c>
      <c r="R355" s="15"/>
      <c r="S355" s="17"/>
      <c r="T355" s="15"/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/>
      <c r="B356" s="19"/>
      <c r="C356" s="19"/>
      <c r="D356" s="15"/>
      <c r="E356" s="15"/>
      <c r="F356" s="29"/>
      <c r="G356" s="29"/>
      <c r="H356" s="29"/>
      <c r="I356" s="29"/>
      <c r="J356" s="15"/>
      <c r="K356" s="15" t="s">
        <v>31</v>
      </c>
      <c r="L356" s="15" t="s">
        <v>31</v>
      </c>
      <c r="M356" s="15" t="s">
        <v>31</v>
      </c>
      <c r="N356" s="15" t="s">
        <v>31</v>
      </c>
      <c r="O356" s="16">
        <v>77.015000000000001</v>
      </c>
      <c r="P356" s="16" t="s">
        <v>31</v>
      </c>
      <c r="Q356" s="15" t="s">
        <v>32</v>
      </c>
      <c r="R356" s="15"/>
      <c r="S356" s="17"/>
      <c r="T356" s="15"/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/>
      <c r="B357" s="19" t="s">
        <v>266</v>
      </c>
      <c r="C357" s="19" t="s">
        <v>34</v>
      </c>
      <c r="D357" s="15" t="s">
        <v>265</v>
      </c>
      <c r="E357" s="15"/>
      <c r="F357" s="29"/>
      <c r="G357" s="29"/>
      <c r="H357" s="29"/>
      <c r="I357" s="29"/>
      <c r="J357" s="15"/>
      <c r="K357" s="15">
        <v>0</v>
      </c>
      <c r="L357" s="15">
        <v>0</v>
      </c>
      <c r="M357" s="15">
        <v>0</v>
      </c>
      <c r="N357" s="15">
        <v>0</v>
      </c>
      <c r="O357" s="15"/>
      <c r="P357" s="16">
        <v>77.02</v>
      </c>
      <c r="Q357" s="15" t="s">
        <v>32</v>
      </c>
      <c r="R357" s="15"/>
      <c r="S357" s="17"/>
      <c r="T357" s="15"/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/>
      <c r="B358" s="19"/>
      <c r="C358" s="19"/>
      <c r="D358" s="15"/>
      <c r="E358" s="15"/>
      <c r="F358" s="29"/>
      <c r="G358" s="29"/>
      <c r="H358" s="29"/>
      <c r="I358" s="29"/>
      <c r="J358" s="15"/>
      <c r="K358" s="15" t="s">
        <v>31</v>
      </c>
      <c r="L358" s="15" t="s">
        <v>31</v>
      </c>
      <c r="M358" s="15" t="s">
        <v>31</v>
      </c>
      <c r="N358" s="15" t="s">
        <v>31</v>
      </c>
      <c r="O358" s="16">
        <v>42.265999999999998</v>
      </c>
      <c r="P358" s="16" t="s">
        <v>31</v>
      </c>
      <c r="Q358" s="15" t="s">
        <v>32</v>
      </c>
      <c r="R358" s="15"/>
      <c r="S358" s="17"/>
      <c r="T358" s="15"/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/>
      <c r="B359" s="19" t="s">
        <v>267</v>
      </c>
      <c r="C359" s="19" t="s">
        <v>268</v>
      </c>
      <c r="D359" s="15" t="s">
        <v>31</v>
      </c>
      <c r="E359" s="15"/>
      <c r="F359" s="29"/>
      <c r="G359" s="29"/>
      <c r="H359" s="29"/>
      <c r="I359" s="29"/>
      <c r="J359" s="15"/>
      <c r="K359" s="15">
        <v>0</v>
      </c>
      <c r="L359" s="15">
        <v>0</v>
      </c>
      <c r="M359" s="15">
        <v>0</v>
      </c>
      <c r="N359" s="15">
        <v>0</v>
      </c>
      <c r="O359" s="15"/>
      <c r="P359" s="16">
        <v>42.27</v>
      </c>
      <c r="Q359" s="15" t="s">
        <v>32</v>
      </c>
      <c r="R359" s="15"/>
      <c r="S359" s="17"/>
      <c r="T359" s="15"/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/>
      <c r="B360" s="19"/>
      <c r="C360" s="19"/>
      <c r="D360" s="15"/>
      <c r="E360" s="15"/>
      <c r="F360" s="29"/>
      <c r="G360" s="29"/>
      <c r="H360" s="29"/>
      <c r="I360" s="29"/>
      <c r="J360" s="15"/>
      <c r="K360" s="15" t="s">
        <v>31</v>
      </c>
      <c r="L360" s="15" t="s">
        <v>31</v>
      </c>
      <c r="M360" s="15" t="s">
        <v>31</v>
      </c>
      <c r="N360" s="15" t="s">
        <v>31</v>
      </c>
      <c r="O360" s="16">
        <v>54.573</v>
      </c>
      <c r="P360" s="16" t="s">
        <v>31</v>
      </c>
      <c r="Q360" s="15" t="s">
        <v>32</v>
      </c>
      <c r="R360" s="15"/>
      <c r="S360" s="17"/>
      <c r="T360" s="15"/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/>
      <c r="B361" s="19" t="s">
        <v>269</v>
      </c>
      <c r="C361" s="19" t="s">
        <v>268</v>
      </c>
      <c r="D361" s="15" t="s">
        <v>31</v>
      </c>
      <c r="E361" s="15"/>
      <c r="F361" s="29"/>
      <c r="G361" s="29"/>
      <c r="H361" s="29"/>
      <c r="I361" s="29"/>
      <c r="J361" s="15"/>
      <c r="K361" s="15">
        <v>0</v>
      </c>
      <c r="L361" s="15">
        <v>0</v>
      </c>
      <c r="M361" s="15">
        <v>0</v>
      </c>
      <c r="N361" s="15">
        <v>0</v>
      </c>
      <c r="O361" s="15"/>
      <c r="P361" s="16">
        <v>54.57</v>
      </c>
      <c r="Q361" s="15" t="s">
        <v>32</v>
      </c>
      <c r="R361" s="15"/>
      <c r="S361" s="17"/>
      <c r="T361" s="15"/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/>
      <c r="B362" s="19"/>
      <c r="C362" s="19"/>
      <c r="D362" s="15"/>
      <c r="E362" s="15"/>
      <c r="F362" s="29"/>
      <c r="G362" s="29"/>
      <c r="H362" s="29"/>
      <c r="I362" s="29"/>
      <c r="J362" s="15"/>
      <c r="K362" s="15" t="s">
        <v>31</v>
      </c>
      <c r="L362" s="15" t="s">
        <v>31</v>
      </c>
      <c r="M362" s="15" t="s">
        <v>31</v>
      </c>
      <c r="N362" s="15" t="s">
        <v>31</v>
      </c>
      <c r="O362" s="16">
        <v>41.886000000000003</v>
      </c>
      <c r="P362" s="16" t="s">
        <v>31</v>
      </c>
      <c r="Q362" s="15" t="s">
        <v>32</v>
      </c>
      <c r="R362" s="15"/>
      <c r="S362" s="17"/>
      <c r="T362" s="15"/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/>
      <c r="B363" s="19" t="s">
        <v>271</v>
      </c>
      <c r="C363" s="19" t="s">
        <v>51</v>
      </c>
      <c r="D363" s="15" t="s">
        <v>270</v>
      </c>
      <c r="E363" s="15"/>
      <c r="F363" s="29"/>
      <c r="G363" s="29"/>
      <c r="H363" s="29"/>
      <c r="I363" s="29"/>
      <c r="J363" s="15"/>
      <c r="K363" s="15">
        <v>0</v>
      </c>
      <c r="L363" s="15">
        <v>0</v>
      </c>
      <c r="M363" s="15">
        <v>0</v>
      </c>
      <c r="N363" s="15">
        <v>0</v>
      </c>
      <c r="O363" s="15"/>
      <c r="P363" s="16">
        <v>41.89</v>
      </c>
      <c r="Q363" s="15" t="s">
        <v>32</v>
      </c>
      <c r="R363" s="15"/>
      <c r="S363" s="17"/>
      <c r="T363" s="15"/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/>
      <c r="B364" s="19"/>
      <c r="C364" s="19"/>
      <c r="D364" s="15"/>
      <c r="E364" s="15"/>
      <c r="F364" s="29"/>
      <c r="G364" s="29"/>
      <c r="H364" s="29"/>
      <c r="I364" s="29"/>
      <c r="J364" s="15"/>
      <c r="K364" s="15" t="s">
        <v>31</v>
      </c>
      <c r="L364" s="15" t="s">
        <v>31</v>
      </c>
      <c r="M364" s="15" t="s">
        <v>31</v>
      </c>
      <c r="N364" s="15" t="s">
        <v>31</v>
      </c>
      <c r="O364" s="16">
        <v>353.28399999999999</v>
      </c>
      <c r="P364" s="16" t="s">
        <v>31</v>
      </c>
      <c r="Q364" s="15" t="s">
        <v>32</v>
      </c>
      <c r="R364" s="15"/>
      <c r="S364" s="17"/>
      <c r="T364" s="15"/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/>
      <c r="B365" s="19" t="s">
        <v>273</v>
      </c>
      <c r="C365" s="19" t="s">
        <v>116</v>
      </c>
      <c r="D365" s="15" t="s">
        <v>272</v>
      </c>
      <c r="E365" s="15"/>
      <c r="F365" s="29"/>
      <c r="G365" s="29"/>
      <c r="H365" s="29"/>
      <c r="I365" s="29"/>
      <c r="J365" s="15"/>
      <c r="K365" s="15">
        <v>0</v>
      </c>
      <c r="L365" s="15">
        <v>0</v>
      </c>
      <c r="M365" s="15">
        <v>0</v>
      </c>
      <c r="N365" s="15">
        <v>0</v>
      </c>
      <c r="O365" s="15"/>
      <c r="P365" s="16">
        <v>353.28</v>
      </c>
      <c r="Q365" s="15" t="s">
        <v>32</v>
      </c>
      <c r="R365" s="15"/>
      <c r="S365" s="17"/>
      <c r="T365" s="15"/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/>
      <c r="B366" s="19"/>
      <c r="C366" s="19"/>
      <c r="D366" s="15"/>
      <c r="E366" s="15"/>
      <c r="F366" s="29"/>
      <c r="G366" s="29"/>
      <c r="H366" s="29"/>
      <c r="I366" s="29"/>
      <c r="J366" s="15"/>
      <c r="K366" s="15" t="s">
        <v>31</v>
      </c>
      <c r="L366" s="15" t="s">
        <v>31</v>
      </c>
      <c r="M366" s="15" t="s">
        <v>31</v>
      </c>
      <c r="N366" s="15" t="s">
        <v>31</v>
      </c>
      <c r="O366" s="16">
        <v>393</v>
      </c>
      <c r="P366" s="16" t="s">
        <v>31</v>
      </c>
      <c r="Q366" s="15" t="s">
        <v>32</v>
      </c>
      <c r="R366" s="15"/>
      <c r="S366" s="17"/>
      <c r="T366" s="15"/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/>
      <c r="B367" s="19" t="s">
        <v>274</v>
      </c>
      <c r="C367" s="19" t="s">
        <v>42</v>
      </c>
      <c r="D367" s="15" t="s">
        <v>31</v>
      </c>
      <c r="E367" s="15"/>
      <c r="F367" s="29"/>
      <c r="G367" s="29"/>
      <c r="H367" s="29"/>
      <c r="I367" s="29"/>
      <c r="J367" s="15"/>
      <c r="K367" s="15">
        <v>0</v>
      </c>
      <c r="L367" s="15">
        <v>0</v>
      </c>
      <c r="M367" s="15">
        <v>0</v>
      </c>
      <c r="N367" s="15">
        <v>0</v>
      </c>
      <c r="O367" s="15"/>
      <c r="P367" s="16" t="s">
        <v>31</v>
      </c>
      <c r="Q367" s="15" t="s">
        <v>32</v>
      </c>
      <c r="R367" s="15"/>
      <c r="S367" s="17"/>
      <c r="T367" s="15"/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/>
      <c r="B368" s="19"/>
      <c r="C368" s="19"/>
      <c r="D368" s="15"/>
      <c r="E368" s="15"/>
      <c r="F368" s="29"/>
      <c r="G368" s="29"/>
      <c r="H368" s="29"/>
      <c r="I368" s="29"/>
      <c r="J368" s="15"/>
      <c r="K368" s="15" t="s">
        <v>31</v>
      </c>
      <c r="L368" s="15" t="s">
        <v>31</v>
      </c>
      <c r="M368" s="15" t="s">
        <v>31</v>
      </c>
      <c r="N368" s="15" t="s">
        <v>31</v>
      </c>
      <c r="O368" s="16">
        <v>359</v>
      </c>
      <c r="P368" s="16" t="s">
        <v>31</v>
      </c>
      <c r="Q368" s="15" t="s">
        <v>32</v>
      </c>
      <c r="R368" s="15"/>
      <c r="S368" s="17"/>
      <c r="T368" s="15"/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/>
      <c r="B369" s="19" t="s">
        <v>275</v>
      </c>
      <c r="C369" s="19" t="s">
        <v>56</v>
      </c>
      <c r="D369" s="15" t="s">
        <v>31</v>
      </c>
      <c r="E369" s="15"/>
      <c r="F369" s="29"/>
      <c r="G369" s="29"/>
      <c r="H369" s="29"/>
      <c r="I369" s="29"/>
      <c r="J369" s="15"/>
      <c r="K369" s="15">
        <v>0</v>
      </c>
      <c r="L369" s="15">
        <v>0</v>
      </c>
      <c r="M369" s="15">
        <v>0</v>
      </c>
      <c r="N369" s="15">
        <v>0</v>
      </c>
      <c r="O369" s="15"/>
      <c r="P369" s="16" t="s">
        <v>31</v>
      </c>
      <c r="Q369" s="15" t="s">
        <v>32</v>
      </c>
      <c r="R369" s="15"/>
      <c r="S369" s="17"/>
      <c r="T369" s="15"/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/>
      <c r="B370" s="19"/>
      <c r="C370" s="19"/>
      <c r="D370" s="15"/>
      <c r="E370" s="15"/>
      <c r="F370" s="29"/>
      <c r="G370" s="29"/>
      <c r="H370" s="29"/>
      <c r="I370" s="29"/>
      <c r="J370" s="15"/>
      <c r="K370" s="15" t="s">
        <v>31</v>
      </c>
      <c r="L370" s="15" t="s">
        <v>31</v>
      </c>
      <c r="M370" s="15" t="s">
        <v>31</v>
      </c>
      <c r="N370" s="15" t="s">
        <v>31</v>
      </c>
      <c r="O370" s="16">
        <v>387</v>
      </c>
      <c r="P370" s="16" t="s">
        <v>31</v>
      </c>
      <c r="Q370" s="15" t="s">
        <v>32</v>
      </c>
      <c r="R370" s="15"/>
      <c r="S370" s="17"/>
      <c r="T370" s="15"/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/>
      <c r="B371" s="19" t="s">
        <v>276</v>
      </c>
      <c r="C371" s="19" t="s">
        <v>85</v>
      </c>
      <c r="D371" s="15" t="s">
        <v>31</v>
      </c>
      <c r="E371" s="15"/>
      <c r="F371" s="29"/>
      <c r="G371" s="29"/>
      <c r="H371" s="29"/>
      <c r="I371" s="29"/>
      <c r="J371" s="15"/>
      <c r="K371" s="15">
        <v>0</v>
      </c>
      <c r="L371" s="15">
        <v>0</v>
      </c>
      <c r="M371" s="15">
        <v>0</v>
      </c>
      <c r="N371" s="15">
        <v>0</v>
      </c>
      <c r="O371" s="15"/>
      <c r="P371" s="16" t="s">
        <v>31</v>
      </c>
      <c r="Q371" s="15" t="s">
        <v>32</v>
      </c>
      <c r="R371" s="15"/>
      <c r="S371" s="17"/>
      <c r="T371" s="15"/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/>
      <c r="B372" s="19"/>
      <c r="C372" s="19"/>
      <c r="D372" s="15"/>
      <c r="E372" s="15"/>
      <c r="F372" s="29"/>
      <c r="G372" s="29"/>
      <c r="H372" s="29"/>
      <c r="I372" s="29"/>
      <c r="J372" s="15"/>
      <c r="K372" s="15" t="s">
        <v>31</v>
      </c>
      <c r="L372" s="15" t="s">
        <v>31</v>
      </c>
      <c r="M372" s="15" t="s">
        <v>31</v>
      </c>
      <c r="N372" s="15" t="s">
        <v>31</v>
      </c>
      <c r="O372" s="16">
        <v>346</v>
      </c>
      <c r="P372" s="16" t="s">
        <v>31</v>
      </c>
      <c r="Q372" s="15" t="s">
        <v>32</v>
      </c>
      <c r="R372" s="15"/>
      <c r="S372" s="17"/>
      <c r="T372" s="15"/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/>
      <c r="B373" s="19" t="s">
        <v>277</v>
      </c>
      <c r="C373" s="19" t="s">
        <v>37</v>
      </c>
      <c r="D373" s="15" t="s">
        <v>31</v>
      </c>
      <c r="E373" s="15"/>
      <c r="F373" s="29"/>
      <c r="G373" s="29"/>
      <c r="H373" s="29"/>
      <c r="I373" s="29"/>
      <c r="J373" s="15"/>
      <c r="K373" s="15">
        <v>0</v>
      </c>
      <c r="L373" s="15">
        <v>0</v>
      </c>
      <c r="M373" s="15">
        <v>0</v>
      </c>
      <c r="N373" s="15">
        <v>0</v>
      </c>
      <c r="O373" s="15"/>
      <c r="P373" s="16" t="s">
        <v>31</v>
      </c>
      <c r="Q373" s="15" t="s">
        <v>32</v>
      </c>
      <c r="R373" s="15"/>
      <c r="S373" s="17"/>
      <c r="T373" s="15"/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/>
      <c r="B374" s="19"/>
      <c r="C374" s="19"/>
      <c r="D374" s="33"/>
      <c r="E374" s="15"/>
      <c r="F374" s="29"/>
      <c r="G374" s="29"/>
      <c r="H374" s="29"/>
      <c r="I374" s="29"/>
      <c r="J374" s="33"/>
      <c r="K374" s="33" t="s">
        <v>31</v>
      </c>
      <c r="L374" s="33" t="s">
        <v>31</v>
      </c>
      <c r="M374" s="33" t="s">
        <v>31</v>
      </c>
      <c r="N374" s="33" t="s">
        <v>31</v>
      </c>
      <c r="O374" s="34">
        <v>375.54500000000002</v>
      </c>
      <c r="P374" s="34" t="s">
        <v>31</v>
      </c>
      <c r="Q374" s="15" t="s">
        <v>32</v>
      </c>
      <c r="R374" s="15"/>
      <c r="S374" s="17"/>
      <c r="T374" s="15"/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/>
      <c r="B375" s="19" t="s">
        <v>279</v>
      </c>
      <c r="C375" s="19" t="s">
        <v>89</v>
      </c>
      <c r="D375" s="33" t="s">
        <v>278</v>
      </c>
      <c r="E375" s="15"/>
      <c r="F375" s="29"/>
      <c r="G375" s="29"/>
      <c r="H375" s="29"/>
      <c r="I375" s="29"/>
      <c r="J375" s="33"/>
      <c r="K375" s="33">
        <v>0</v>
      </c>
      <c r="L375" s="33">
        <v>0</v>
      </c>
      <c r="M375" s="33">
        <v>0</v>
      </c>
      <c r="N375" s="33">
        <v>0</v>
      </c>
      <c r="O375" s="33"/>
      <c r="P375" s="34">
        <v>1860.55</v>
      </c>
      <c r="Q375" s="15" t="s">
        <v>32</v>
      </c>
      <c r="R375" s="15"/>
      <c r="S375" s="17"/>
      <c r="T375" s="15"/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ref="A376:A377" si="3">IF(B376&gt;0,#REF!+1," ")</f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341.74</v>
      </c>
      <c r="P376" s="16" t="s">
        <v>31</v>
      </c>
      <c r="Q376" s="15"/>
      <c r="R376" s="15"/>
      <c r="S376" s="17"/>
      <c r="T376" s="15"/>
      <c r="U376" s="17"/>
      <c r="V376" s="17"/>
      <c r="W376" s="15"/>
      <c r="X376" s="17"/>
      <c r="Y376" s="17"/>
      <c r="Z376" s="18"/>
    </row>
    <row r="377" spans="1:26" ht="14.25" customHeight="1">
      <c r="A377" s="15" t="e">
        <f t="shared" si="3"/>
        <v>#REF!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/>
      <c r="R377" s="15"/>
      <c r="S377" s="17"/>
      <c r="T377" s="15"/>
      <c r="U377" s="17"/>
      <c r="V377" s="17"/>
      <c r="W377" s="15"/>
      <c r="X377" s="17"/>
      <c r="Y377" s="17"/>
      <c r="Z377" s="18"/>
    </row>
    <row r="378" spans="1:26" ht="14.25" customHeight="1">
      <c r="A378" s="15" t="str">
        <f t="shared" ref="A378:A388" si="4">IF(B378&gt;0,A376+1," ")</f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321.51</v>
      </c>
      <c r="P378" s="16" t="s">
        <v>31</v>
      </c>
      <c r="Q378" s="15"/>
      <c r="R378" s="15"/>
      <c r="S378" s="17"/>
      <c r="T378" s="15"/>
      <c r="U378" s="17"/>
      <c r="V378" s="17"/>
      <c r="W378" s="15"/>
      <c r="X378" s="17"/>
      <c r="Y378" s="17"/>
      <c r="Z378" s="18"/>
    </row>
    <row r="379" spans="1:26" ht="14.25" customHeight="1">
      <c r="A379" s="15" t="e">
        <f t="shared" si="4"/>
        <v>#REF!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/>
      <c r="R379" s="15"/>
      <c r="S379" s="17"/>
      <c r="T379" s="15"/>
      <c r="U379" s="17"/>
      <c r="V379" s="17"/>
      <c r="W379" s="15"/>
      <c r="X379" s="17"/>
      <c r="Y379" s="17"/>
      <c r="Z379" s="18"/>
    </row>
    <row r="380" spans="1:26" ht="14.25" customHeight="1">
      <c r="A380" s="15" t="str">
        <f t="shared" si="4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312.39</v>
      </c>
      <c r="P380" s="16" t="s">
        <v>31</v>
      </c>
      <c r="Q380" s="15"/>
      <c r="R380" s="15"/>
      <c r="S380" s="17"/>
      <c r="T380" s="15"/>
      <c r="U380" s="17"/>
      <c r="V380" s="17"/>
      <c r="W380" s="15"/>
      <c r="X380" s="17"/>
      <c r="Y380" s="17"/>
      <c r="Z380" s="18"/>
    </row>
    <row r="381" spans="1:26" ht="14.25" customHeight="1">
      <c r="A381" s="15" t="e">
        <f t="shared" si="4"/>
        <v>#REF!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/>
      <c r="R381" s="15"/>
      <c r="S381" s="17"/>
      <c r="T381" s="15"/>
      <c r="U381" s="17"/>
      <c r="V381" s="17"/>
      <c r="W381" s="15"/>
      <c r="X381" s="17"/>
      <c r="Y381" s="17"/>
      <c r="Z381" s="18"/>
    </row>
    <row r="382" spans="1:26" ht="14.25" customHeight="1">
      <c r="A382" s="15" t="str">
        <f t="shared" si="4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358.35</v>
      </c>
      <c r="P382" s="16" t="s">
        <v>31</v>
      </c>
      <c r="Q382" s="15"/>
      <c r="R382" s="15"/>
      <c r="S382" s="17"/>
      <c r="T382" s="15"/>
      <c r="U382" s="17"/>
      <c r="V382" s="17"/>
      <c r="W382" s="15"/>
      <c r="X382" s="17"/>
      <c r="Y382" s="17"/>
      <c r="Z382" s="18"/>
    </row>
    <row r="383" spans="1:26" ht="14.25" customHeight="1">
      <c r="A383" s="15" t="e">
        <f t="shared" si="4"/>
        <v>#REF!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/>
      <c r="R383" s="15"/>
      <c r="S383" s="17"/>
      <c r="T383" s="15"/>
      <c r="U383" s="17"/>
      <c r="V383" s="17"/>
      <c r="W383" s="15"/>
      <c r="X383" s="17"/>
      <c r="Y383" s="17"/>
      <c r="Z383" s="18"/>
    </row>
    <row r="384" spans="1:26" ht="14.25" customHeight="1">
      <c r="A384" s="15" t="str">
        <f t="shared" si="4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319.20999999999998</v>
      </c>
      <c r="P384" s="16" t="s">
        <v>31</v>
      </c>
      <c r="Q384" s="15"/>
      <c r="R384" s="15"/>
      <c r="S384" s="17"/>
      <c r="T384" s="15"/>
      <c r="U384" s="17"/>
      <c r="V384" s="17"/>
      <c r="W384" s="15"/>
      <c r="X384" s="17"/>
      <c r="Y384" s="17"/>
      <c r="Z384" s="18"/>
    </row>
    <row r="385" spans="1:26" ht="14.25" customHeight="1">
      <c r="A385" s="15" t="e">
        <f t="shared" si="4"/>
        <v>#REF!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/>
      <c r="R385" s="15"/>
      <c r="S385" s="17"/>
      <c r="T385" s="15"/>
      <c r="U385" s="17"/>
      <c r="V385" s="17"/>
      <c r="W385" s="15"/>
      <c r="X385" s="17"/>
      <c r="Y385" s="17"/>
      <c r="Z385" s="18"/>
    </row>
    <row r="386" spans="1:26" ht="14.25" customHeight="1">
      <c r="A386" s="15" t="str">
        <f t="shared" si="4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342.4</v>
      </c>
      <c r="P386" s="16" t="s">
        <v>31</v>
      </c>
      <c r="Q386" s="15"/>
      <c r="R386" s="15"/>
      <c r="S386" s="17"/>
      <c r="T386" s="15"/>
      <c r="U386" s="17"/>
      <c r="V386" s="17"/>
      <c r="W386" s="15"/>
      <c r="X386" s="17"/>
      <c r="Y386" s="17"/>
      <c r="Z386" s="18"/>
    </row>
    <row r="387" spans="1:26" ht="14.25" customHeight="1">
      <c r="A387" s="15" t="e">
        <f t="shared" si="4"/>
        <v>#REF!</v>
      </c>
      <c r="B387" s="19" t="s">
        <v>285</v>
      </c>
      <c r="C387" s="19" t="s">
        <v>37</v>
      </c>
      <c r="D387" s="15" t="s">
        <v>31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 t="s">
        <v>31</v>
      </c>
      <c r="Q387" s="15"/>
      <c r="R387" s="15"/>
      <c r="S387" s="17"/>
      <c r="T387" s="15"/>
      <c r="U387" s="17"/>
      <c r="V387" s="17"/>
      <c r="W387" s="15"/>
      <c r="X387" s="17"/>
      <c r="Y387" s="17"/>
      <c r="Z387" s="18"/>
    </row>
    <row r="388" spans="1:26" ht="14.25" customHeight="1">
      <c r="A388" s="15" t="str">
        <f t="shared" si="4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337.31</v>
      </c>
      <c r="P388" s="16" t="s">
        <v>31</v>
      </c>
      <c r="Q388" s="15"/>
      <c r="R388" s="15"/>
      <c r="S388" s="17"/>
      <c r="T388" s="15"/>
      <c r="U388" s="17"/>
      <c r="V388" s="17"/>
      <c r="W388" s="15"/>
      <c r="X388" s="17"/>
      <c r="Y388" s="17"/>
      <c r="Z388" s="18"/>
    </row>
    <row r="389" spans="1:26" ht="14.25" customHeight="1">
      <c r="A389" s="31" t="e">
        <f>IF(B389&gt;0,#REF!+1," ")</f>
        <v>#REF!</v>
      </c>
      <c r="B389" s="19" t="s">
        <v>287</v>
      </c>
      <c r="C389" s="19" t="s">
        <v>89</v>
      </c>
      <c r="D389" s="24" t="s">
        <v>286</v>
      </c>
      <c r="E389" s="24"/>
      <c r="F389" s="24">
        <v>0</v>
      </c>
      <c r="G389" s="24">
        <v>0</v>
      </c>
      <c r="H389" s="24">
        <v>0</v>
      </c>
      <c r="I389" s="24">
        <v>0</v>
      </c>
      <c r="J389" s="24"/>
      <c r="K389" s="24">
        <v>0</v>
      </c>
      <c r="L389" s="31">
        <v>0</v>
      </c>
      <c r="M389" s="31">
        <v>0</v>
      </c>
      <c r="N389" s="31">
        <v>0</v>
      </c>
      <c r="O389" s="31"/>
      <c r="P389" s="54">
        <v>3217.91</v>
      </c>
      <c r="Q389" s="15"/>
      <c r="R389" s="15"/>
      <c r="S389" s="17"/>
      <c r="T389" s="15"/>
      <c r="U389" s="17"/>
      <c r="V389" s="17"/>
      <c r="W389" s="15"/>
      <c r="X389" s="17"/>
      <c r="Y389" s="17"/>
      <c r="Z389" s="18"/>
    </row>
    <row r="390" spans="1:26" ht="14.25" customHeight="1">
      <c r="A390" s="32"/>
      <c r="B390" s="19"/>
      <c r="C390" s="19"/>
      <c r="D390" s="32"/>
      <c r="E390" s="18"/>
      <c r="F390" s="32"/>
      <c r="G390" s="32"/>
      <c r="H390" s="32"/>
      <c r="I390" s="32"/>
      <c r="J390" s="32"/>
      <c r="K390" s="32"/>
      <c r="L390" s="32"/>
      <c r="M390" s="32"/>
      <c r="N390" s="32"/>
      <c r="O390" s="32">
        <v>371.81</v>
      </c>
      <c r="P390" s="32"/>
      <c r="Q390" s="15"/>
      <c r="R390" s="15"/>
      <c r="S390" s="17"/>
      <c r="T390" s="15"/>
      <c r="U390" s="17"/>
      <c r="V390" s="17"/>
      <c r="W390" s="15"/>
      <c r="X390" s="17"/>
      <c r="Y390" s="17"/>
      <c r="Z390" s="18"/>
    </row>
    <row r="391" spans="1:26" ht="14.25" customHeight="1">
      <c r="A391" s="15"/>
      <c r="B391" s="19" t="s">
        <v>288</v>
      </c>
      <c r="C391" s="19" t="s">
        <v>56</v>
      </c>
      <c r="D391" s="24" t="s">
        <v>31</v>
      </c>
      <c r="E391" s="24">
        <v>5</v>
      </c>
      <c r="F391" s="24">
        <v>5</v>
      </c>
      <c r="G391" s="24">
        <v>5</v>
      </c>
      <c r="H391" s="24">
        <v>5</v>
      </c>
      <c r="I391" s="24">
        <v>5</v>
      </c>
      <c r="J391" s="15"/>
      <c r="K391" s="15"/>
      <c r="L391" s="15"/>
      <c r="M391" s="15"/>
      <c r="N391" s="35"/>
      <c r="O391" s="36"/>
      <c r="P391" s="18"/>
      <c r="Q391" s="15"/>
      <c r="R391" s="15"/>
      <c r="S391" s="17"/>
      <c r="T391" s="15"/>
      <c r="U391" s="17"/>
      <c r="V391" s="17"/>
      <c r="W391" s="15"/>
      <c r="X391" s="17"/>
      <c r="Y391" s="17"/>
      <c r="Z391" s="18"/>
    </row>
    <row r="392" spans="1:26" ht="14.25" customHeight="1">
      <c r="A392" s="50"/>
      <c r="B392" s="19"/>
      <c r="C392" s="19"/>
      <c r="D392" s="18"/>
      <c r="E392" s="18"/>
      <c r="F392" s="18"/>
      <c r="G392" s="18"/>
      <c r="H392" s="18"/>
      <c r="I392" s="18"/>
      <c r="J392" s="15"/>
      <c r="K392" s="15"/>
      <c r="L392" s="15"/>
      <c r="M392" s="15"/>
      <c r="N392" s="35"/>
      <c r="O392" s="36">
        <v>371.54</v>
      </c>
      <c r="P392" s="18"/>
      <c r="Q392" s="15"/>
      <c r="R392" s="17"/>
      <c r="S392" s="17"/>
      <c r="T392" s="15"/>
      <c r="U392" s="17"/>
      <c r="V392" s="17"/>
      <c r="W392" s="15"/>
      <c r="X392" s="17"/>
      <c r="Y392" s="17"/>
      <c r="Z392" s="18"/>
    </row>
    <row r="393" spans="1:26" ht="14.25" customHeight="1">
      <c r="A393" s="15"/>
      <c r="B393" s="19" t="s">
        <v>290</v>
      </c>
      <c r="C393" s="19" t="s">
        <v>39</v>
      </c>
      <c r="D393" s="24" t="s">
        <v>289</v>
      </c>
      <c r="E393" s="24">
        <v>5</v>
      </c>
      <c r="F393" s="24">
        <v>5</v>
      </c>
      <c r="G393" s="24">
        <v>5</v>
      </c>
      <c r="H393" s="24">
        <v>5</v>
      </c>
      <c r="I393" s="24">
        <v>5</v>
      </c>
      <c r="J393" s="15"/>
      <c r="K393" s="15"/>
      <c r="L393" s="15"/>
      <c r="M393" s="15"/>
      <c r="N393" s="35"/>
      <c r="O393" s="36"/>
      <c r="P393" s="37"/>
      <c r="Q393" s="15"/>
      <c r="R393" s="17"/>
      <c r="S393" s="17"/>
      <c r="T393" s="15"/>
      <c r="U393" s="17"/>
      <c r="V393" s="17"/>
      <c r="W393" s="15"/>
      <c r="X393" s="17"/>
      <c r="Y393" s="17"/>
      <c r="Z393" s="18"/>
    </row>
    <row r="394" spans="1:26" ht="14.25" customHeight="1">
      <c r="A394" s="50"/>
      <c r="B394" s="19"/>
      <c r="C394" s="19"/>
      <c r="D394" s="18"/>
      <c r="E394" s="18"/>
      <c r="F394" s="18"/>
      <c r="G394" s="18"/>
      <c r="H394" s="18"/>
      <c r="I394" s="18"/>
      <c r="J394" s="15"/>
      <c r="K394" s="15"/>
      <c r="L394" s="15"/>
      <c r="M394" s="15"/>
      <c r="N394" s="35"/>
      <c r="O394" s="36">
        <v>303</v>
      </c>
      <c r="P394" s="18"/>
      <c r="Q394" s="15"/>
      <c r="R394" s="17"/>
      <c r="S394" s="17"/>
      <c r="T394" s="15"/>
      <c r="U394" s="17"/>
      <c r="V394" s="17"/>
      <c r="W394" s="15"/>
      <c r="X394" s="17"/>
      <c r="Y394" s="17"/>
      <c r="Z394" s="18"/>
    </row>
    <row r="395" spans="1:26" ht="14.25" customHeight="1">
      <c r="A395" s="15"/>
      <c r="B395" s="19" t="s">
        <v>291</v>
      </c>
      <c r="C395" s="19" t="s">
        <v>42</v>
      </c>
      <c r="D395" s="24" t="s">
        <v>31</v>
      </c>
      <c r="E395" s="24">
        <v>2</v>
      </c>
      <c r="F395" s="24">
        <v>2</v>
      </c>
      <c r="G395" s="24">
        <v>2</v>
      </c>
      <c r="H395" s="24">
        <v>2</v>
      </c>
      <c r="I395" s="24">
        <v>2</v>
      </c>
      <c r="J395" s="15"/>
      <c r="K395" s="15"/>
      <c r="L395" s="15"/>
      <c r="M395" s="15"/>
      <c r="N395" s="35"/>
      <c r="O395" s="36"/>
      <c r="P395" s="37"/>
      <c r="Q395" s="15"/>
      <c r="R395" s="17"/>
      <c r="S395" s="17"/>
      <c r="T395" s="15"/>
      <c r="U395" s="17"/>
      <c r="V395" s="17"/>
      <c r="W395" s="15"/>
      <c r="X395" s="17"/>
      <c r="Y395" s="17"/>
      <c r="Z395" s="18"/>
    </row>
    <row r="396" spans="1:26" ht="14.25" customHeight="1">
      <c r="A396" s="50"/>
      <c r="B396" s="19"/>
      <c r="C396" s="19"/>
      <c r="D396" s="18"/>
      <c r="E396" s="18"/>
      <c r="F396" s="18"/>
      <c r="G396" s="18"/>
      <c r="H396" s="18"/>
      <c r="I396" s="18"/>
      <c r="J396" s="15"/>
      <c r="K396" s="15"/>
      <c r="L396" s="15"/>
      <c r="M396" s="15"/>
      <c r="N396" s="35"/>
      <c r="O396" s="36">
        <v>303</v>
      </c>
      <c r="P396" s="18"/>
      <c r="Q396" s="15"/>
      <c r="R396" s="17"/>
      <c r="S396" s="17"/>
      <c r="T396" s="15"/>
      <c r="U396" s="17"/>
      <c r="V396" s="17"/>
      <c r="W396" s="15"/>
      <c r="X396" s="17"/>
      <c r="Y396" s="17"/>
      <c r="Z396" s="18"/>
    </row>
    <row r="397" spans="1:26" ht="14.25" customHeight="1">
      <c r="A397" s="15"/>
      <c r="B397" s="19" t="s">
        <v>292</v>
      </c>
      <c r="C397" s="19" t="s">
        <v>42</v>
      </c>
      <c r="D397" s="24" t="s">
        <v>31</v>
      </c>
      <c r="E397" s="24"/>
      <c r="F397" s="24">
        <v>0</v>
      </c>
      <c r="G397" s="24">
        <v>0</v>
      </c>
      <c r="H397" s="24">
        <v>0</v>
      </c>
      <c r="I397" s="24">
        <v>0</v>
      </c>
      <c r="J397" s="15"/>
      <c r="K397" s="15"/>
      <c r="L397" s="15"/>
      <c r="M397" s="15"/>
      <c r="N397" s="35"/>
      <c r="O397" s="36"/>
      <c r="P397" s="37"/>
      <c r="Q397" s="15"/>
      <c r="R397" s="17"/>
      <c r="S397" s="17"/>
      <c r="T397" s="15"/>
      <c r="U397" s="17"/>
      <c r="V397" s="17"/>
      <c r="W397" s="15"/>
      <c r="X397" s="17"/>
      <c r="Y397" s="17"/>
      <c r="Z397" s="18"/>
    </row>
    <row r="398" spans="1:26" ht="14.25" customHeight="1">
      <c r="A398" s="50"/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>
        <v>303.22000000000003</v>
      </c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/>
      <c r="B399" s="19" t="s">
        <v>294</v>
      </c>
      <c r="C399" s="19" t="s">
        <v>34</v>
      </c>
      <c r="D399" s="24" t="s">
        <v>293</v>
      </c>
      <c r="E399" s="24"/>
      <c r="F399" s="24">
        <v>0</v>
      </c>
      <c r="G399" s="24">
        <v>0</v>
      </c>
      <c r="H399" s="24">
        <v>0</v>
      </c>
      <c r="I399" s="24">
        <v>0</v>
      </c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1" spans="2:3" ht="14.25" customHeight="1">
      <c r="B401" s="39" t="s">
        <v>295</v>
      </c>
      <c r="C401" s="19" t="s">
        <v>34</v>
      </c>
    </row>
    <row r="646" spans="15:23" ht="14.25" customHeight="1">
      <c r="O646" s="52">
        <f>SUM(O6:O645)/1000</f>
        <v>63.866248999999968</v>
      </c>
      <c r="P646" s="18"/>
      <c r="Q646" s="52">
        <f>SUMIF(Q5:Q645,"Completed",$O$5:$O$645)/1000</f>
        <v>16.841015999999996</v>
      </c>
      <c r="R646" s="36"/>
      <c r="S646" s="36"/>
      <c r="T646" s="52">
        <f>SUMIF(T5:T645,"Submitted",$O$5:$O$645)/1000</f>
        <v>0</v>
      </c>
      <c r="U646" s="36"/>
      <c r="V646" s="36"/>
      <c r="W646" s="52">
        <f>SUMIF(W5:W645,"Approved",$O$5:$O$645)/1000</f>
        <v>59.056707999999972</v>
      </c>
    </row>
  </sheetData>
  <autoFilter ref="A4:AB646" xr:uid="{00000000-0009-0000-0000-000001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31"/>
  <sheetViews>
    <sheetView workbookViewId="0"/>
  </sheetViews>
  <sheetFormatPr defaultColWidth="14.42578125" defaultRowHeight="15" customHeight="1"/>
  <cols>
    <col min="1" max="1" width="5.28515625" customWidth="1"/>
    <col min="2" max="2" width="13.7109375" customWidth="1"/>
    <col min="3" max="3" width="11.140625" customWidth="1"/>
    <col min="4" max="4" width="14.85546875" customWidth="1"/>
    <col min="5" max="14" width="6.7109375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603" t="str">
        <f>+Summary!A2</f>
        <v>Name of the Line: 220KV DC AL59 line from Neemuch - Chanderiya + 132KV DC ACSS Line from Chanderiya to Hindustan Zinc</v>
      </c>
      <c r="B1" s="604"/>
      <c r="C1" s="604"/>
      <c r="D1" s="604"/>
      <c r="E1" s="604"/>
      <c r="F1" s="604"/>
      <c r="G1" s="604"/>
      <c r="H1" s="604"/>
      <c r="I1" s="604"/>
      <c r="J1" s="604"/>
      <c r="K1" s="604"/>
      <c r="L1" s="604"/>
      <c r="M1" s="604"/>
      <c r="N1" s="604"/>
      <c r="O1" s="604"/>
      <c r="P1" s="604"/>
      <c r="Q1" s="604"/>
      <c r="R1" s="604"/>
      <c r="S1" s="604"/>
      <c r="T1" s="604"/>
      <c r="U1" s="604"/>
      <c r="V1" s="604"/>
      <c r="W1" s="604"/>
      <c r="X1" s="604"/>
      <c r="Y1" s="604"/>
      <c r="Z1" s="605"/>
    </row>
    <row r="2" spans="1:26" ht="14.25" customHeight="1">
      <c r="A2" s="603" t="s">
        <v>302</v>
      </c>
      <c r="B2" s="604"/>
      <c r="C2" s="604"/>
      <c r="D2" s="604"/>
      <c r="E2" s="604"/>
      <c r="F2" s="604"/>
      <c r="G2" s="604"/>
      <c r="H2" s="604"/>
      <c r="I2" s="604"/>
      <c r="J2" s="604"/>
      <c r="K2" s="604"/>
      <c r="L2" s="604"/>
      <c r="M2" s="604"/>
      <c r="N2" s="604"/>
      <c r="O2" s="604"/>
      <c r="P2" s="604"/>
      <c r="Q2" s="604"/>
      <c r="R2" s="604"/>
      <c r="S2" s="604"/>
      <c r="T2" s="604"/>
      <c r="U2" s="604"/>
      <c r="V2" s="604"/>
      <c r="W2" s="604"/>
      <c r="X2" s="604"/>
      <c r="Y2" s="604"/>
      <c r="Z2" s="605"/>
    </row>
    <row r="3" spans="1:26" ht="30" customHeight="1">
      <c r="A3" s="613" t="s">
        <v>2</v>
      </c>
      <c r="B3" s="613" t="s">
        <v>3</v>
      </c>
      <c r="C3" s="613" t="s">
        <v>4</v>
      </c>
      <c r="D3" s="2" t="s">
        <v>5</v>
      </c>
      <c r="E3" s="2" t="s">
        <v>6</v>
      </c>
      <c r="F3" s="606" t="s">
        <v>7</v>
      </c>
      <c r="G3" s="604"/>
      <c r="H3" s="604"/>
      <c r="I3" s="605"/>
      <c r="J3" s="2" t="s">
        <v>8</v>
      </c>
      <c r="K3" s="606" t="s">
        <v>9</v>
      </c>
      <c r="L3" s="604"/>
      <c r="M3" s="604"/>
      <c r="N3" s="605"/>
      <c r="O3" s="2" t="s">
        <v>10</v>
      </c>
      <c r="P3" s="4" t="s">
        <v>11</v>
      </c>
      <c r="Q3" s="607" t="s">
        <v>12</v>
      </c>
      <c r="R3" s="604"/>
      <c r="S3" s="605"/>
      <c r="T3" s="608" t="s">
        <v>13</v>
      </c>
      <c r="U3" s="604"/>
      <c r="V3" s="605"/>
      <c r="W3" s="609" t="s">
        <v>14</v>
      </c>
      <c r="X3" s="610"/>
      <c r="Y3" s="611"/>
      <c r="Z3" s="612" t="s">
        <v>15</v>
      </c>
    </row>
    <row r="4" spans="1:26" ht="22.5" customHeight="1">
      <c r="A4" s="589"/>
      <c r="B4" s="589"/>
      <c r="C4" s="589"/>
      <c r="D4" s="6" t="s">
        <v>16</v>
      </c>
      <c r="E4" s="6" t="s">
        <v>17</v>
      </c>
      <c r="F4" s="6" t="s">
        <v>18</v>
      </c>
      <c r="G4" s="6" t="s">
        <v>19</v>
      </c>
      <c r="H4" s="6" t="s">
        <v>20</v>
      </c>
      <c r="I4" s="6" t="s">
        <v>21</v>
      </c>
      <c r="J4" s="6" t="s">
        <v>17</v>
      </c>
      <c r="K4" s="6" t="s">
        <v>18</v>
      </c>
      <c r="L4" s="6" t="s">
        <v>19</v>
      </c>
      <c r="M4" s="6" t="s">
        <v>20</v>
      </c>
      <c r="N4" s="6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89"/>
    </row>
    <row r="5" spans="1:26" ht="14.25" customHeight="1">
      <c r="A5" s="2"/>
      <c r="B5" s="57" t="s">
        <v>303</v>
      </c>
      <c r="C5" s="57" t="s">
        <v>34</v>
      </c>
      <c r="D5" s="57" t="s">
        <v>304</v>
      </c>
      <c r="E5" s="15"/>
      <c r="F5" s="57">
        <v>0</v>
      </c>
      <c r="G5" s="57">
        <v>0</v>
      </c>
      <c r="H5" s="57">
        <v>0</v>
      </c>
      <c r="I5" s="57">
        <v>0</v>
      </c>
      <c r="J5" s="57"/>
      <c r="K5" s="15">
        <v>0</v>
      </c>
      <c r="L5" s="15">
        <v>0</v>
      </c>
      <c r="M5" s="15">
        <v>0</v>
      </c>
      <c r="N5" s="15">
        <v>0</v>
      </c>
      <c r="O5" s="15" t="s">
        <v>0</v>
      </c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57"/>
      <c r="C6" s="57"/>
      <c r="D6" s="57"/>
      <c r="E6" s="15"/>
      <c r="F6" s="57"/>
      <c r="G6" s="57"/>
      <c r="H6" s="57"/>
      <c r="I6" s="57"/>
      <c r="J6" s="57"/>
      <c r="K6" s="15" t="s">
        <v>31</v>
      </c>
      <c r="L6" s="15" t="s">
        <v>31</v>
      </c>
      <c r="M6" s="15" t="s">
        <v>31</v>
      </c>
      <c r="N6" s="15" t="s">
        <v>31</v>
      </c>
      <c r="O6" s="16">
        <v>25.917000000000002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57" t="s">
        <v>305</v>
      </c>
      <c r="C7" s="57" t="s">
        <v>34</v>
      </c>
      <c r="D7" s="57" t="s">
        <v>306</v>
      </c>
      <c r="E7" s="15"/>
      <c r="F7" s="57">
        <v>0</v>
      </c>
      <c r="G7" s="57">
        <v>0</v>
      </c>
      <c r="H7" s="57">
        <v>0</v>
      </c>
      <c r="I7" s="57">
        <v>0</v>
      </c>
      <c r="J7" s="57"/>
      <c r="K7" s="15">
        <v>0</v>
      </c>
      <c r="L7" s="15">
        <v>0</v>
      </c>
      <c r="M7" s="15">
        <v>0</v>
      </c>
      <c r="N7" s="15">
        <v>0</v>
      </c>
      <c r="O7" s="15"/>
      <c r="P7" s="16">
        <v>25.92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57"/>
      <c r="C8" s="57"/>
      <c r="D8" s="57"/>
      <c r="E8" s="15"/>
      <c r="F8" s="57"/>
      <c r="G8" s="57"/>
      <c r="H8" s="57"/>
      <c r="I8" s="57"/>
      <c r="J8" s="57"/>
      <c r="K8" s="15" t="s">
        <v>31</v>
      </c>
      <c r="L8" s="15" t="s">
        <v>31</v>
      </c>
      <c r="M8" s="15" t="s">
        <v>31</v>
      </c>
      <c r="N8" s="15" t="s">
        <v>31</v>
      </c>
      <c r="O8" s="16">
        <v>261.98500000000001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57" t="s">
        <v>38</v>
      </c>
      <c r="C9" s="57" t="s">
        <v>76</v>
      </c>
      <c r="D9" s="57" t="s">
        <v>307</v>
      </c>
      <c r="E9" s="20"/>
      <c r="F9" s="57">
        <v>0</v>
      </c>
      <c r="G9" s="57">
        <v>0</v>
      </c>
      <c r="H9" s="57">
        <v>0</v>
      </c>
      <c r="I9" s="57">
        <v>0</v>
      </c>
      <c r="J9" s="57"/>
      <c r="K9" s="15">
        <v>0</v>
      </c>
      <c r="L9" s="15">
        <v>0</v>
      </c>
      <c r="M9" s="15">
        <v>0</v>
      </c>
      <c r="N9" s="15">
        <v>0</v>
      </c>
      <c r="O9" s="15"/>
      <c r="P9" s="16">
        <v>261.99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57"/>
      <c r="C10" s="57"/>
      <c r="D10" s="57"/>
      <c r="E10" s="15"/>
      <c r="F10" s="57"/>
      <c r="G10" s="57"/>
      <c r="H10" s="57"/>
      <c r="I10" s="57"/>
      <c r="J10" s="57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339.33100000000002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57" t="s">
        <v>64</v>
      </c>
      <c r="C11" s="57" t="s">
        <v>65</v>
      </c>
      <c r="D11" s="57" t="s">
        <v>308</v>
      </c>
      <c r="E11" s="15"/>
      <c r="F11" s="57">
        <v>0</v>
      </c>
      <c r="G11" s="57">
        <v>0</v>
      </c>
      <c r="H11" s="57">
        <v>0</v>
      </c>
      <c r="I11" s="57">
        <v>0</v>
      </c>
      <c r="J11" s="57"/>
      <c r="K11" s="15">
        <v>0</v>
      </c>
      <c r="L11" s="15">
        <v>0</v>
      </c>
      <c r="M11" s="15">
        <v>0</v>
      </c>
      <c r="N11" s="15">
        <v>0</v>
      </c>
      <c r="O11" s="15"/>
      <c r="P11" s="16">
        <v>339.33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57"/>
      <c r="C12" s="57"/>
      <c r="D12" s="57"/>
      <c r="E12" s="15"/>
      <c r="F12" s="57"/>
      <c r="G12" s="57"/>
      <c r="H12" s="57"/>
      <c r="I12" s="57"/>
      <c r="J12" s="57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379.17500000000001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57" t="s">
        <v>67</v>
      </c>
      <c r="C13" s="57" t="s">
        <v>81</v>
      </c>
      <c r="D13" s="57" t="s">
        <v>309</v>
      </c>
      <c r="E13" s="15"/>
      <c r="F13" s="57">
        <v>0</v>
      </c>
      <c r="G13" s="57">
        <v>0</v>
      </c>
      <c r="H13" s="57">
        <v>0</v>
      </c>
      <c r="I13" s="57">
        <v>0</v>
      </c>
      <c r="J13" s="57"/>
      <c r="K13" s="15">
        <v>0</v>
      </c>
      <c r="L13" s="15">
        <v>0</v>
      </c>
      <c r="M13" s="15">
        <v>0</v>
      </c>
      <c r="N13" s="15">
        <v>0</v>
      </c>
      <c r="O13" s="15"/>
      <c r="P13" s="16">
        <v>379.18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5"/>
      <c r="C14" s="15"/>
      <c r="D14" s="15"/>
      <c r="E14" s="15"/>
      <c r="F14" s="15"/>
      <c r="G14" s="15"/>
      <c r="H14" s="15"/>
      <c r="I14" s="15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238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5" t="s">
        <v>310</v>
      </c>
      <c r="C15" s="15" t="s">
        <v>56</v>
      </c>
      <c r="D15" s="15" t="s">
        <v>31</v>
      </c>
      <c r="E15" s="15"/>
      <c r="F15" s="15">
        <v>0</v>
      </c>
      <c r="G15" s="15">
        <v>0</v>
      </c>
      <c r="H15" s="15">
        <v>0</v>
      </c>
      <c r="I15" s="15">
        <v>0</v>
      </c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 t="s">
        <v>31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5"/>
      <c r="C16" s="15"/>
      <c r="D16" s="15"/>
      <c r="E16" s="15"/>
      <c r="F16" s="15"/>
      <c r="G16" s="15"/>
      <c r="H16" s="15"/>
      <c r="I16" s="15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260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5" t="s">
        <v>311</v>
      </c>
      <c r="C17" s="15" t="s">
        <v>37</v>
      </c>
      <c r="D17" s="15" t="s">
        <v>31</v>
      </c>
      <c r="E17" s="15"/>
      <c r="F17" s="15">
        <v>0</v>
      </c>
      <c r="G17" s="15">
        <v>0</v>
      </c>
      <c r="H17" s="15">
        <v>0</v>
      </c>
      <c r="I17" s="15">
        <v>0</v>
      </c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5"/>
      <c r="C18" s="15"/>
      <c r="D18" s="15"/>
      <c r="E18" s="15"/>
      <c r="F18" s="15"/>
      <c r="G18" s="15"/>
      <c r="H18" s="15"/>
      <c r="I18" s="15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256.01799999999997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5" t="s">
        <v>69</v>
      </c>
      <c r="C19" s="15" t="s">
        <v>76</v>
      </c>
      <c r="D19" s="15" t="s">
        <v>312</v>
      </c>
      <c r="E19" s="15"/>
      <c r="F19" s="15">
        <v>0</v>
      </c>
      <c r="G19" s="15">
        <v>0</v>
      </c>
      <c r="H19" s="15">
        <v>0</v>
      </c>
      <c r="I19" s="15">
        <v>0</v>
      </c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>
        <v>754.02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5"/>
      <c r="C20" s="15"/>
      <c r="D20" s="15"/>
      <c r="E20" s="15"/>
      <c r="F20" s="15"/>
      <c r="G20" s="15"/>
      <c r="H20" s="15"/>
      <c r="I20" s="15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321.75299999999999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5" t="s">
        <v>71</v>
      </c>
      <c r="C21" s="15" t="s">
        <v>76</v>
      </c>
      <c r="D21" s="15" t="s">
        <v>31</v>
      </c>
      <c r="E21" s="15"/>
      <c r="F21" s="15">
        <v>0</v>
      </c>
      <c r="G21" s="15">
        <v>0</v>
      </c>
      <c r="H21" s="15">
        <v>0</v>
      </c>
      <c r="I21" s="15">
        <v>0</v>
      </c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321.75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5"/>
      <c r="C22" s="15"/>
      <c r="D22" s="15"/>
      <c r="E22" s="15"/>
      <c r="F22" s="15"/>
      <c r="G22" s="15"/>
      <c r="H22" s="15"/>
      <c r="I22" s="15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161.24700000000001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5" t="s">
        <v>72</v>
      </c>
      <c r="C23" s="15" t="s">
        <v>37</v>
      </c>
      <c r="D23" s="15" t="s">
        <v>31</v>
      </c>
      <c r="E23" s="15"/>
      <c r="F23" s="15">
        <v>0</v>
      </c>
      <c r="G23" s="15">
        <v>0</v>
      </c>
      <c r="H23" s="15">
        <v>0</v>
      </c>
      <c r="I23" s="15">
        <v>0</v>
      </c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 t="s">
        <v>31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5"/>
      <c r="C24" s="15"/>
      <c r="D24" s="15"/>
      <c r="E24" s="15"/>
      <c r="F24" s="15"/>
      <c r="G24" s="15"/>
      <c r="H24" s="15"/>
      <c r="I24" s="15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327.38099999999997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5" t="s">
        <v>93</v>
      </c>
      <c r="C25" s="15" t="s">
        <v>51</v>
      </c>
      <c r="D25" s="15" t="s">
        <v>313</v>
      </c>
      <c r="E25" s="15"/>
      <c r="F25" s="15">
        <v>0</v>
      </c>
      <c r="G25" s="15">
        <v>0</v>
      </c>
      <c r="H25" s="15">
        <v>0</v>
      </c>
      <c r="I25" s="15">
        <v>0</v>
      </c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488.63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5"/>
      <c r="C26" s="15"/>
      <c r="D26" s="15"/>
      <c r="E26" s="15"/>
      <c r="F26" s="15"/>
      <c r="G26" s="15"/>
      <c r="H26" s="15"/>
      <c r="I26" s="15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36.276000000000003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5" t="s">
        <v>94</v>
      </c>
      <c r="C27" s="15" t="s">
        <v>314</v>
      </c>
      <c r="D27" s="15" t="s">
        <v>31</v>
      </c>
      <c r="E27" s="15"/>
      <c r="F27" s="15">
        <v>0</v>
      </c>
      <c r="G27" s="15">
        <v>0</v>
      </c>
      <c r="H27" s="15">
        <v>0</v>
      </c>
      <c r="I27" s="15">
        <v>0</v>
      </c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29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5"/>
      <c r="C28" s="15"/>
      <c r="D28" s="15"/>
      <c r="E28" s="15"/>
      <c r="F28" s="15"/>
      <c r="G28" s="15"/>
      <c r="H28" s="15"/>
      <c r="I28" s="15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61.139000000000003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5" t="s">
        <v>95</v>
      </c>
      <c r="C29" s="15" t="s">
        <v>314</v>
      </c>
      <c r="D29" s="15" t="s">
        <v>31</v>
      </c>
      <c r="E29" s="15"/>
      <c r="F29" s="15">
        <v>0</v>
      </c>
      <c r="G29" s="15">
        <v>0</v>
      </c>
      <c r="H29" s="15">
        <v>0</v>
      </c>
      <c r="I29" s="15">
        <v>0</v>
      </c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81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5"/>
      <c r="C30" s="15"/>
      <c r="D30" s="15"/>
      <c r="E30" s="15"/>
      <c r="F30" s="15"/>
      <c r="G30" s="15"/>
      <c r="H30" s="15"/>
      <c r="I30" s="15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38.566000000000003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5" t="s">
        <v>104</v>
      </c>
      <c r="C31" s="15" t="s">
        <v>34</v>
      </c>
      <c r="D31" s="15" t="s">
        <v>315</v>
      </c>
      <c r="E31" s="15"/>
      <c r="F31" s="15">
        <v>0</v>
      </c>
      <c r="G31" s="15">
        <v>0</v>
      </c>
      <c r="H31" s="15">
        <v>0</v>
      </c>
      <c r="I31" s="15">
        <v>0</v>
      </c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25.98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5"/>
      <c r="C32" s="15"/>
      <c r="D32" s="15"/>
      <c r="E32" s="15"/>
      <c r="F32" s="15"/>
      <c r="G32" s="15"/>
      <c r="H32" s="15"/>
      <c r="I32" s="15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182.04300000000001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5" t="s">
        <v>316</v>
      </c>
      <c r="C33" s="15" t="s">
        <v>34</v>
      </c>
      <c r="D33" s="15" t="s">
        <v>317</v>
      </c>
      <c r="E33" s="15"/>
      <c r="F33" s="15">
        <v>0</v>
      </c>
      <c r="G33" s="15">
        <v>0</v>
      </c>
      <c r="H33" s="15">
        <v>0</v>
      </c>
      <c r="I33" s="15">
        <v>0</v>
      </c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182.04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5"/>
      <c r="C34" s="15"/>
      <c r="D34" s="15"/>
      <c r="E34" s="15"/>
      <c r="F34" s="15"/>
      <c r="G34" s="15"/>
      <c r="H34" s="15"/>
      <c r="I34" s="15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204.148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5" t="s">
        <v>106</v>
      </c>
      <c r="C35" s="15" t="s">
        <v>76</v>
      </c>
      <c r="D35" s="15" t="s">
        <v>318</v>
      </c>
      <c r="E35" s="15"/>
      <c r="F35" s="15">
        <v>0</v>
      </c>
      <c r="G35" s="15">
        <v>0</v>
      </c>
      <c r="H35" s="15">
        <v>0</v>
      </c>
      <c r="I35" s="15">
        <v>0</v>
      </c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204.15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5"/>
      <c r="C36" s="15"/>
      <c r="D36" s="15"/>
      <c r="E36" s="15"/>
      <c r="F36" s="15"/>
      <c r="G36" s="15"/>
      <c r="H36" s="15"/>
      <c r="I36" s="15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254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5" t="s">
        <v>107</v>
      </c>
      <c r="C37" s="15" t="s">
        <v>37</v>
      </c>
      <c r="D37" s="15" t="s">
        <v>31</v>
      </c>
      <c r="E37" s="15"/>
      <c r="F37" s="15">
        <v>0</v>
      </c>
      <c r="G37" s="15">
        <v>0</v>
      </c>
      <c r="H37" s="15">
        <v>0</v>
      </c>
      <c r="I37" s="15">
        <v>0</v>
      </c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 t="s">
        <v>31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5"/>
      <c r="C38" s="15"/>
      <c r="D38" s="15"/>
      <c r="E38" s="15"/>
      <c r="F38" s="15"/>
      <c r="G38" s="15"/>
      <c r="H38" s="15"/>
      <c r="I38" s="15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294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5" t="s">
        <v>108</v>
      </c>
      <c r="C39" s="15" t="s">
        <v>37</v>
      </c>
      <c r="D39" s="15" t="s">
        <v>31</v>
      </c>
      <c r="E39" s="15"/>
      <c r="F39" s="15">
        <v>0</v>
      </c>
      <c r="G39" s="15">
        <v>0</v>
      </c>
      <c r="H39" s="15">
        <v>0</v>
      </c>
      <c r="I39" s="15">
        <v>0</v>
      </c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5"/>
      <c r="C40" s="15"/>
      <c r="D40" s="15"/>
      <c r="E40" s="15"/>
      <c r="F40" s="15"/>
      <c r="G40" s="15"/>
      <c r="H40" s="15"/>
      <c r="I40" s="15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249.82400000000001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5" t="s">
        <v>111</v>
      </c>
      <c r="C41" s="15" t="s">
        <v>51</v>
      </c>
      <c r="D41" s="15" t="s">
        <v>319</v>
      </c>
      <c r="E41" s="15"/>
      <c r="F41" s="15">
        <v>0</v>
      </c>
      <c r="G41" s="15">
        <v>0</v>
      </c>
      <c r="H41" s="15">
        <v>0</v>
      </c>
      <c r="I41" s="15">
        <v>0</v>
      </c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>
        <v>797.81999999999994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5"/>
      <c r="C42" s="15"/>
      <c r="D42" s="15"/>
      <c r="E42" s="15"/>
      <c r="F42" s="15"/>
      <c r="G42" s="15"/>
      <c r="H42" s="15"/>
      <c r="I42" s="15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329.65699999999998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5" t="s">
        <v>320</v>
      </c>
      <c r="C43" s="15" t="s">
        <v>51</v>
      </c>
      <c r="D43" s="15" t="s">
        <v>321</v>
      </c>
      <c r="E43" s="15"/>
      <c r="F43" s="15">
        <v>0</v>
      </c>
      <c r="G43" s="15">
        <v>0</v>
      </c>
      <c r="H43" s="15">
        <v>0</v>
      </c>
      <c r="I43" s="15">
        <v>0</v>
      </c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>
        <v>329.66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5"/>
      <c r="C44" s="15"/>
      <c r="D44" s="15"/>
      <c r="E44" s="15"/>
      <c r="F44" s="15"/>
      <c r="G44" s="15"/>
      <c r="H44" s="15"/>
      <c r="I44" s="15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170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5" t="s">
        <v>145</v>
      </c>
      <c r="C45" s="15" t="s">
        <v>56</v>
      </c>
      <c r="D45" s="15" t="s">
        <v>31</v>
      </c>
      <c r="E45" s="15"/>
      <c r="F45" s="15">
        <v>0</v>
      </c>
      <c r="G45" s="15">
        <v>0</v>
      </c>
      <c r="H45" s="15">
        <v>0</v>
      </c>
      <c r="I45" s="15">
        <v>0</v>
      </c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5"/>
      <c r="C46" s="15"/>
      <c r="D46" s="15"/>
      <c r="E46" s="15"/>
      <c r="F46" s="15"/>
      <c r="G46" s="15"/>
      <c r="H46" s="15"/>
      <c r="I46" s="15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312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5" t="s">
        <v>146</v>
      </c>
      <c r="C47" s="15" t="s">
        <v>56</v>
      </c>
      <c r="D47" s="15" t="s">
        <v>31</v>
      </c>
      <c r="E47" s="15"/>
      <c r="F47" s="15">
        <v>0</v>
      </c>
      <c r="G47" s="15">
        <v>0</v>
      </c>
      <c r="H47" s="15">
        <v>0</v>
      </c>
      <c r="I47" s="15">
        <v>0</v>
      </c>
      <c r="J47" s="15">
        <v>3</v>
      </c>
      <c r="K47" s="15">
        <v>3</v>
      </c>
      <c r="L47" s="15">
        <v>3</v>
      </c>
      <c r="M47" s="15">
        <v>3</v>
      </c>
      <c r="N47" s="15">
        <v>3</v>
      </c>
      <c r="O47" s="15"/>
      <c r="P47" s="16" t="s">
        <v>31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5"/>
      <c r="C48" s="15"/>
      <c r="D48" s="15"/>
      <c r="E48" s="15"/>
      <c r="F48" s="15"/>
      <c r="G48" s="15"/>
      <c r="H48" s="15"/>
      <c r="I48" s="15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259.91899999999998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5" t="s">
        <v>322</v>
      </c>
      <c r="C49" s="15" t="s">
        <v>62</v>
      </c>
      <c r="D49" s="15" t="s">
        <v>323</v>
      </c>
      <c r="E49" s="15"/>
      <c r="F49" s="15">
        <v>0</v>
      </c>
      <c r="G49" s="15">
        <v>0</v>
      </c>
      <c r="H49" s="15">
        <v>0</v>
      </c>
      <c r="I49" s="15">
        <v>0</v>
      </c>
      <c r="J49" s="15">
        <v>3</v>
      </c>
      <c r="K49" s="15">
        <v>3</v>
      </c>
      <c r="L49" s="15">
        <v>3</v>
      </c>
      <c r="M49" s="15">
        <v>3</v>
      </c>
      <c r="N49" s="15">
        <v>3</v>
      </c>
      <c r="O49" s="15"/>
      <c r="P49" s="16">
        <v>741.92000000000007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5"/>
      <c r="C50" s="15"/>
      <c r="D50" s="15"/>
      <c r="E50" s="15"/>
      <c r="F50" s="15"/>
      <c r="G50" s="15"/>
      <c r="H50" s="15"/>
      <c r="I50" s="15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215.125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5" t="s">
        <v>324</v>
      </c>
      <c r="C51" s="15" t="s">
        <v>62</v>
      </c>
      <c r="D51" s="15" t="s">
        <v>325</v>
      </c>
      <c r="E51" s="15"/>
      <c r="F51" s="15">
        <v>0</v>
      </c>
      <c r="G51" s="15">
        <v>0</v>
      </c>
      <c r="H51" s="15">
        <v>0</v>
      </c>
      <c r="I51" s="15">
        <v>0</v>
      </c>
      <c r="J51" s="15">
        <v>3</v>
      </c>
      <c r="K51" s="15">
        <v>3</v>
      </c>
      <c r="L51" s="15">
        <v>3</v>
      </c>
      <c r="M51" s="15">
        <v>3</v>
      </c>
      <c r="N51" s="15">
        <v>3</v>
      </c>
      <c r="O51" s="15"/>
      <c r="P51" s="16">
        <v>215.13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5"/>
      <c r="C52" s="15"/>
      <c r="D52" s="15"/>
      <c r="E52" s="15"/>
      <c r="F52" s="15"/>
      <c r="G52" s="15"/>
      <c r="H52" s="15"/>
      <c r="I52" s="15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316.14499999999998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5" t="s">
        <v>326</v>
      </c>
      <c r="C53" s="15" t="s">
        <v>76</v>
      </c>
      <c r="D53" s="15" t="s">
        <v>327</v>
      </c>
      <c r="E53" s="15"/>
      <c r="F53" s="15">
        <v>0</v>
      </c>
      <c r="G53" s="15">
        <v>0</v>
      </c>
      <c r="H53" s="15">
        <v>0</v>
      </c>
      <c r="I53" s="15">
        <v>0</v>
      </c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316.14999999999998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5"/>
      <c r="C54" s="15"/>
      <c r="D54" s="15"/>
      <c r="E54" s="15"/>
      <c r="F54" s="15"/>
      <c r="G54" s="15"/>
      <c r="H54" s="15"/>
      <c r="I54" s="15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267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5" t="s">
        <v>328</v>
      </c>
      <c r="C55" s="15" t="s">
        <v>37</v>
      </c>
      <c r="D55" s="15" t="s">
        <v>31</v>
      </c>
      <c r="E55" s="15"/>
      <c r="F55" s="15">
        <v>0</v>
      </c>
      <c r="G55" s="15">
        <v>0</v>
      </c>
      <c r="H55" s="15">
        <v>0</v>
      </c>
      <c r="I55" s="15">
        <v>0</v>
      </c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 t="s">
        <v>31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5"/>
      <c r="C56" s="15"/>
      <c r="D56" s="15"/>
      <c r="E56" s="15"/>
      <c r="F56" s="15"/>
      <c r="G56" s="15"/>
      <c r="H56" s="15"/>
      <c r="I56" s="15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267.185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5" t="s">
        <v>329</v>
      </c>
      <c r="C57" s="15" t="s">
        <v>34</v>
      </c>
      <c r="D57" s="15" t="s">
        <v>330</v>
      </c>
      <c r="E57" s="15"/>
      <c r="F57" s="15">
        <v>0</v>
      </c>
      <c r="G57" s="15">
        <v>0</v>
      </c>
      <c r="H57" s="15">
        <v>0</v>
      </c>
      <c r="I57" s="15">
        <v>0</v>
      </c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534.19000000000005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5"/>
      <c r="C58" s="15"/>
      <c r="D58" s="15"/>
      <c r="E58" s="15"/>
      <c r="F58" s="15"/>
      <c r="G58" s="15"/>
      <c r="H58" s="15"/>
      <c r="I58" s="15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87.412000000000006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5" t="s">
        <v>167</v>
      </c>
      <c r="C59" s="15" t="s">
        <v>314</v>
      </c>
      <c r="D59" s="15" t="s">
        <v>31</v>
      </c>
      <c r="E59" s="15"/>
      <c r="F59" s="15">
        <v>0</v>
      </c>
      <c r="G59" s="15">
        <v>0</v>
      </c>
      <c r="H59" s="15">
        <v>0</v>
      </c>
      <c r="I59" s="15">
        <v>0</v>
      </c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85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5"/>
      <c r="C60" s="15"/>
      <c r="D60" s="15"/>
      <c r="E60" s="15"/>
      <c r="F60" s="15"/>
      <c r="G60" s="15"/>
      <c r="H60" s="15"/>
      <c r="I60" s="15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66.460999999999999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5" t="s">
        <v>331</v>
      </c>
      <c r="C61" s="15" t="s">
        <v>314</v>
      </c>
      <c r="D61" s="15" t="s">
        <v>31</v>
      </c>
      <c r="E61" s="15"/>
      <c r="F61" s="15">
        <v>0</v>
      </c>
      <c r="G61" s="15">
        <v>0</v>
      </c>
      <c r="H61" s="15">
        <v>0</v>
      </c>
      <c r="I61" s="15">
        <v>0</v>
      </c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70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5"/>
      <c r="C62" s="15"/>
      <c r="D62" s="15"/>
      <c r="E62" s="15"/>
      <c r="F62" s="15"/>
      <c r="G62" s="15"/>
      <c r="H62" s="15"/>
      <c r="I62" s="15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56.381999999999998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5" t="s">
        <v>332</v>
      </c>
      <c r="C63" s="15" t="s">
        <v>62</v>
      </c>
      <c r="D63" s="15" t="s">
        <v>333</v>
      </c>
      <c r="E63" s="15"/>
      <c r="F63" s="15">
        <v>0</v>
      </c>
      <c r="G63" s="15">
        <v>0</v>
      </c>
      <c r="H63" s="15">
        <v>0</v>
      </c>
      <c r="I63" s="15">
        <v>0</v>
      </c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>
        <v>55.25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5"/>
      <c r="C64" s="15"/>
      <c r="D64" s="15"/>
      <c r="E64" s="15"/>
      <c r="F64" s="15"/>
      <c r="G64" s="15"/>
      <c r="H64" s="15"/>
      <c r="I64" s="15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224.23099999999999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5" t="s">
        <v>334</v>
      </c>
      <c r="C65" s="15" t="s">
        <v>51</v>
      </c>
      <c r="D65" s="15" t="s">
        <v>335</v>
      </c>
      <c r="E65" s="15"/>
      <c r="F65" s="15">
        <v>0</v>
      </c>
      <c r="G65" s="15">
        <v>0</v>
      </c>
      <c r="H65" s="15">
        <v>0</v>
      </c>
      <c r="I65" s="15">
        <v>0</v>
      </c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>
        <v>224.23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5"/>
      <c r="C66" s="15"/>
      <c r="D66" s="15"/>
      <c r="E66" s="15"/>
      <c r="F66" s="15"/>
      <c r="G66" s="15"/>
      <c r="H66" s="15"/>
      <c r="I66" s="15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276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5" t="s">
        <v>181</v>
      </c>
      <c r="C67" s="15" t="s">
        <v>42</v>
      </c>
      <c r="D67" s="15" t="s">
        <v>31</v>
      </c>
      <c r="E67" s="15"/>
      <c r="F67" s="15">
        <v>0</v>
      </c>
      <c r="G67" s="15">
        <v>0</v>
      </c>
      <c r="H67" s="15">
        <v>0</v>
      </c>
      <c r="I67" s="15">
        <v>0</v>
      </c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5"/>
      <c r="C68" s="15"/>
      <c r="D68" s="15"/>
      <c r="E68" s="15"/>
      <c r="F68" s="15"/>
      <c r="G68" s="15"/>
      <c r="H68" s="15"/>
      <c r="I68" s="15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244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5" t="s">
        <v>182</v>
      </c>
      <c r="C69" s="15" t="s">
        <v>42</v>
      </c>
      <c r="D69" s="15" t="s">
        <v>31</v>
      </c>
      <c r="E69" s="15"/>
      <c r="F69" s="15">
        <v>0</v>
      </c>
      <c r="G69" s="15">
        <v>0</v>
      </c>
      <c r="H69" s="15">
        <v>0</v>
      </c>
      <c r="I69" s="15">
        <v>0</v>
      </c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 t="s">
        <v>31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5"/>
      <c r="C70" s="15"/>
      <c r="D70" s="15"/>
      <c r="E70" s="15"/>
      <c r="F70" s="15"/>
      <c r="G70" s="15"/>
      <c r="H70" s="15"/>
      <c r="I70" s="15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241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5" t="s">
        <v>183</v>
      </c>
      <c r="C71" s="15" t="s">
        <v>42</v>
      </c>
      <c r="D71" s="15" t="s">
        <v>31</v>
      </c>
      <c r="E71" s="15"/>
      <c r="F71" s="15">
        <v>0</v>
      </c>
      <c r="G71" s="15">
        <v>0</v>
      </c>
      <c r="H71" s="15">
        <v>0</v>
      </c>
      <c r="I71" s="15">
        <v>0</v>
      </c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 t="s">
        <v>31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5"/>
      <c r="C72" s="15"/>
      <c r="D72" s="15"/>
      <c r="E72" s="15"/>
      <c r="F72" s="15"/>
      <c r="G72" s="15"/>
      <c r="H72" s="15"/>
      <c r="I72" s="15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240.727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5" t="s">
        <v>336</v>
      </c>
      <c r="C73" s="15" t="s">
        <v>34</v>
      </c>
      <c r="D73" s="15" t="s">
        <v>337</v>
      </c>
      <c r="E73" s="15"/>
      <c r="F73" s="15">
        <v>0</v>
      </c>
      <c r="G73" s="15">
        <v>0</v>
      </c>
      <c r="H73" s="15">
        <v>0</v>
      </c>
      <c r="I73" s="15">
        <v>0</v>
      </c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1001.73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48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5" t="s">
        <v>192</v>
      </c>
      <c r="C75" s="15" t="s">
        <v>314</v>
      </c>
      <c r="D75" s="15" t="s">
        <v>31</v>
      </c>
      <c r="E75" s="15"/>
      <c r="F75" s="15">
        <v>0</v>
      </c>
      <c r="G75" s="15">
        <v>0</v>
      </c>
      <c r="H75" s="15">
        <v>0</v>
      </c>
      <c r="I75" s="15">
        <v>0</v>
      </c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48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49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5" t="s">
        <v>193</v>
      </c>
      <c r="C77" s="15" t="s">
        <v>314</v>
      </c>
      <c r="D77" s="15" t="s">
        <v>31</v>
      </c>
      <c r="E77" s="15"/>
      <c r="F77" s="15">
        <v>0</v>
      </c>
      <c r="G77" s="15">
        <v>0</v>
      </c>
      <c r="H77" s="15">
        <v>0</v>
      </c>
      <c r="I77" s="15">
        <v>0</v>
      </c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49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48.938000000000002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57" t="s">
        <v>338</v>
      </c>
      <c r="C79" s="57" t="s">
        <v>34</v>
      </c>
      <c r="D79" s="57" t="s">
        <v>339</v>
      </c>
      <c r="E79" s="15"/>
      <c r="F79" s="57">
        <v>0</v>
      </c>
      <c r="G79" s="57">
        <v>0</v>
      </c>
      <c r="H79" s="57">
        <v>0</v>
      </c>
      <c r="I79" s="57">
        <v>0</v>
      </c>
      <c r="J79" s="57"/>
      <c r="K79" s="15">
        <v>0</v>
      </c>
      <c r="L79" s="15">
        <v>0</v>
      </c>
      <c r="M79" s="15">
        <v>0</v>
      </c>
      <c r="N79" s="15">
        <v>0</v>
      </c>
      <c r="O79" s="15"/>
      <c r="P79" s="16">
        <v>48.94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57"/>
      <c r="C80" s="57"/>
      <c r="D80" s="57"/>
      <c r="E80" s="15"/>
      <c r="F80" s="57"/>
      <c r="G80" s="57"/>
      <c r="H80" s="57"/>
      <c r="I80" s="57"/>
      <c r="J80" s="57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165.14699999999999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 t="e">
        <f t="shared" ref="A81:A82" si="1">IF(B81&gt;0,#REF!+1," ")</f>
        <v>#REF!</v>
      </c>
      <c r="B81" s="57" t="s">
        <v>340</v>
      </c>
      <c r="C81" s="57" t="s">
        <v>341</v>
      </c>
      <c r="D81" s="57" t="s">
        <v>342</v>
      </c>
      <c r="E81" s="18"/>
      <c r="F81" s="57">
        <v>0</v>
      </c>
      <c r="G81" s="57">
        <v>0</v>
      </c>
      <c r="H81" s="57">
        <v>0</v>
      </c>
      <c r="I81" s="57">
        <v>0</v>
      </c>
      <c r="J81" s="57"/>
      <c r="K81" s="15"/>
      <c r="L81" s="15"/>
      <c r="M81" s="15"/>
      <c r="N81" s="35"/>
      <c r="O81" s="36"/>
      <c r="P81" s="18">
        <v>165.15</v>
      </c>
      <c r="Q81" s="15"/>
      <c r="R81" s="17"/>
      <c r="S81" s="17"/>
      <c r="T81" s="15"/>
      <c r="U81" s="17"/>
      <c r="V81" s="17"/>
      <c r="W81" s="15"/>
      <c r="X81" s="17"/>
      <c r="Y81" s="17"/>
      <c r="Z81" s="18"/>
    </row>
    <row r="82" spans="1:26" ht="14.25" customHeight="1">
      <c r="A82" s="15" t="str">
        <f t="shared" si="1"/>
        <v xml:space="preserve"> </v>
      </c>
      <c r="B82" s="57"/>
      <c r="C82" s="57"/>
      <c r="D82" s="57"/>
      <c r="E82" s="18"/>
      <c r="F82" s="57"/>
      <c r="G82" s="57"/>
      <c r="H82" s="57"/>
      <c r="I82" s="57"/>
      <c r="J82" s="57"/>
      <c r="K82" s="15"/>
      <c r="L82" s="15"/>
      <c r="M82" s="15"/>
      <c r="N82" s="35"/>
      <c r="O82" s="36">
        <v>39.999000000000002</v>
      </c>
      <c r="P82" s="37" t="s">
        <v>31</v>
      </c>
      <c r="Q82" s="15"/>
      <c r="R82" s="17"/>
      <c r="S82" s="17"/>
      <c r="T82" s="15"/>
      <c r="U82" s="17"/>
      <c r="V82" s="17"/>
      <c r="W82" s="15"/>
      <c r="X82" s="17"/>
      <c r="Y82" s="17"/>
      <c r="Z82" s="18"/>
    </row>
    <row r="83" spans="1:26" ht="14.25" customHeight="1">
      <c r="A83" s="15" t="e">
        <f t="shared" ref="A83:A165" si="2">IF(B83&gt;0,A81+1," ")</f>
        <v>#REF!</v>
      </c>
      <c r="B83" s="57" t="s">
        <v>30</v>
      </c>
      <c r="C83" s="57" t="s">
        <v>30</v>
      </c>
      <c r="D83" s="57" t="s">
        <v>31</v>
      </c>
      <c r="E83" s="18"/>
      <c r="F83" s="57">
        <v>0</v>
      </c>
      <c r="G83" s="57">
        <v>0</v>
      </c>
      <c r="H83" s="57">
        <v>0</v>
      </c>
      <c r="I83" s="57">
        <v>0</v>
      </c>
      <c r="J83" s="57"/>
      <c r="K83" s="15"/>
      <c r="L83" s="15"/>
      <c r="M83" s="15"/>
      <c r="N83" s="35"/>
      <c r="O83" s="36"/>
      <c r="P83" s="18">
        <v>40</v>
      </c>
      <c r="Q83" s="15"/>
      <c r="R83" s="17"/>
      <c r="S83" s="17"/>
      <c r="T83" s="15"/>
      <c r="U83" s="17"/>
      <c r="V83" s="17"/>
      <c r="W83" s="15"/>
      <c r="X83" s="17"/>
      <c r="Y83" s="17"/>
      <c r="Z83" s="18"/>
    </row>
    <row r="84" spans="1:26" ht="14.25" customHeight="1">
      <c r="A84" s="15" t="str">
        <f t="shared" si="2"/>
        <v xml:space="preserve"> </v>
      </c>
      <c r="B84" s="15"/>
      <c r="C84" s="15"/>
      <c r="D84" s="18"/>
      <c r="E84" s="18"/>
      <c r="F84" s="18"/>
      <c r="G84" s="18"/>
      <c r="H84" s="18"/>
      <c r="I84" s="18"/>
      <c r="J84" s="15"/>
      <c r="K84" s="15"/>
      <c r="L84" s="15"/>
      <c r="M84" s="15"/>
      <c r="N84" s="35"/>
      <c r="O84" s="36"/>
      <c r="P84" s="37"/>
      <c r="Q84" s="15"/>
      <c r="R84" s="17"/>
      <c r="S84" s="17"/>
      <c r="T84" s="15"/>
      <c r="U84" s="17"/>
      <c r="V84" s="17"/>
      <c r="W84" s="15"/>
      <c r="X84" s="17"/>
      <c r="Y84" s="17"/>
      <c r="Z84" s="18"/>
    </row>
    <row r="85" spans="1:26" ht="14.25" customHeight="1">
      <c r="A85" s="15" t="str">
        <f t="shared" si="2"/>
        <v xml:space="preserve"> </v>
      </c>
      <c r="B85" s="15"/>
      <c r="C85" s="15"/>
      <c r="D85" s="18"/>
      <c r="E85" s="18"/>
      <c r="F85" s="18"/>
      <c r="G85" s="18"/>
      <c r="H85" s="18"/>
      <c r="I85" s="18"/>
      <c r="J85" s="15"/>
      <c r="K85" s="15"/>
      <c r="L85" s="15"/>
      <c r="M85" s="15"/>
      <c r="N85" s="35"/>
      <c r="O85" s="36"/>
      <c r="P85" s="18"/>
      <c r="Q85" s="15"/>
      <c r="R85" s="17"/>
      <c r="S85" s="17"/>
      <c r="T85" s="15"/>
      <c r="U85" s="17"/>
      <c r="V85" s="17"/>
      <c r="W85" s="15"/>
      <c r="X85" s="17"/>
      <c r="Y85" s="17"/>
      <c r="Z85" s="18"/>
    </row>
    <row r="86" spans="1:26" ht="14.25" customHeight="1">
      <c r="A86" s="15" t="str">
        <f t="shared" si="2"/>
        <v xml:space="preserve"> </v>
      </c>
      <c r="B86" s="15"/>
      <c r="C86" s="15"/>
      <c r="D86" s="18"/>
      <c r="E86" s="18"/>
      <c r="F86" s="18"/>
      <c r="G86" s="18"/>
      <c r="H86" s="18"/>
      <c r="I86" s="18"/>
      <c r="J86" s="15"/>
      <c r="K86" s="15"/>
      <c r="L86" s="15"/>
      <c r="M86" s="15"/>
      <c r="N86" s="35"/>
      <c r="O86" s="36"/>
      <c r="P86" s="37"/>
      <c r="Q86" s="15"/>
      <c r="R86" s="17"/>
      <c r="S86" s="17"/>
      <c r="T86" s="15"/>
      <c r="U86" s="17"/>
      <c r="V86" s="17"/>
      <c r="W86" s="15"/>
      <c r="X86" s="17"/>
      <c r="Y86" s="17"/>
      <c r="Z86" s="18"/>
    </row>
    <row r="87" spans="1:26" ht="14.25" customHeight="1">
      <c r="A87" s="15" t="str">
        <f t="shared" si="2"/>
        <v xml:space="preserve"> </v>
      </c>
      <c r="B87" s="15"/>
      <c r="C87" s="15"/>
      <c r="D87" s="18"/>
      <c r="E87" s="18"/>
      <c r="F87" s="18"/>
      <c r="G87" s="18"/>
      <c r="H87" s="18"/>
      <c r="I87" s="18"/>
      <c r="J87" s="15"/>
      <c r="K87" s="15"/>
      <c r="L87" s="15"/>
      <c r="M87" s="15"/>
      <c r="N87" s="35"/>
      <c r="O87" s="36"/>
      <c r="P87" s="18"/>
      <c r="Q87" s="15"/>
      <c r="R87" s="17"/>
      <c r="S87" s="17"/>
      <c r="T87" s="15"/>
      <c r="U87" s="17"/>
      <c r="V87" s="17"/>
      <c r="W87" s="15"/>
      <c r="X87" s="17"/>
      <c r="Y87" s="17"/>
      <c r="Z87" s="18"/>
    </row>
    <row r="88" spans="1:26" ht="14.25" customHeight="1">
      <c r="A88" s="15" t="str">
        <f t="shared" si="2"/>
        <v xml:space="preserve"> 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37"/>
      <c r="Q88" s="15"/>
      <c r="R88" s="17"/>
      <c r="S88" s="17"/>
      <c r="T88" s="15"/>
      <c r="U88" s="17"/>
      <c r="V88" s="40"/>
      <c r="W88" s="15"/>
      <c r="X88" s="17"/>
      <c r="Y88" s="17"/>
      <c r="Z88" s="18"/>
    </row>
    <row r="89" spans="1:26" ht="14.25" customHeight="1">
      <c r="A89" s="15" t="str">
        <f t="shared" si="2"/>
        <v xml:space="preserve"> 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18"/>
      <c r="Q89" s="15"/>
      <c r="R89" s="17"/>
      <c r="S89" s="17"/>
      <c r="T89" s="15"/>
      <c r="U89" s="17"/>
      <c r="V89" s="40"/>
      <c r="W89" s="15"/>
      <c r="X89" s="17"/>
      <c r="Y89" s="17"/>
      <c r="Z89" s="18"/>
    </row>
    <row r="90" spans="1:26" ht="14.25" customHeight="1">
      <c r="A90" s="15" t="str">
        <f t="shared" si="2"/>
        <v xml:space="preserve"> 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37"/>
      <c r="Q90" s="15"/>
      <c r="R90" s="17"/>
      <c r="S90" s="17"/>
      <c r="T90" s="15"/>
      <c r="U90" s="17"/>
      <c r="V90" s="40"/>
      <c r="W90" s="15"/>
      <c r="X90" s="17"/>
      <c r="Y90" s="17"/>
      <c r="Z90" s="18"/>
    </row>
    <row r="91" spans="1:26" ht="14.25" customHeight="1">
      <c r="A91" s="15" t="str">
        <f t="shared" si="2"/>
        <v xml:space="preserve"> 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18"/>
      <c r="Q91" s="15"/>
      <c r="R91" s="17"/>
      <c r="S91" s="17"/>
      <c r="T91" s="15"/>
      <c r="U91" s="17"/>
      <c r="V91" s="40"/>
      <c r="W91" s="15"/>
      <c r="X91" s="17"/>
      <c r="Y91" s="17"/>
      <c r="Z91" s="18"/>
    </row>
    <row r="92" spans="1:26" ht="14.25" customHeight="1">
      <c r="A92" s="15" t="str">
        <f t="shared" si="2"/>
        <v xml:space="preserve"> 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37"/>
      <c r="Q92" s="15"/>
      <c r="R92" s="17"/>
      <c r="S92" s="17"/>
      <c r="T92" s="15"/>
      <c r="U92" s="17"/>
      <c r="V92" s="40"/>
      <c r="W92" s="15"/>
      <c r="X92" s="17"/>
      <c r="Y92" s="17"/>
      <c r="Z92" s="18"/>
    </row>
    <row r="93" spans="1:26" ht="14.25" customHeight="1">
      <c r="A93" s="15" t="str">
        <f t="shared" si="2"/>
        <v xml:space="preserve"> 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17"/>
      <c r="S93" s="17"/>
      <c r="T93" s="15"/>
      <c r="U93" s="40"/>
      <c r="V93" s="40"/>
      <c r="W93" s="15"/>
      <c r="X93" s="17"/>
      <c r="Y93" s="17"/>
      <c r="Z93" s="18"/>
    </row>
    <row r="94" spans="1:26" ht="14.25" customHeight="1">
      <c r="A94" s="15" t="str">
        <f t="shared" si="2"/>
        <v xml:space="preserve"> 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17"/>
      <c r="S94" s="17"/>
      <c r="T94" s="15"/>
      <c r="U94" s="40"/>
      <c r="V94" s="40"/>
      <c r="W94" s="15"/>
      <c r="X94" s="17"/>
      <c r="Y94" s="17"/>
      <c r="Z94" s="18"/>
    </row>
    <row r="95" spans="1:26" ht="14.25" customHeight="1">
      <c r="A95" s="15" t="str">
        <f t="shared" si="2"/>
        <v xml:space="preserve"> 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17"/>
      <c r="S95" s="17"/>
      <c r="T95" s="15"/>
      <c r="U95" s="40"/>
      <c r="V95" s="40"/>
      <c r="W95" s="15"/>
      <c r="X95" s="17"/>
      <c r="Y95" s="17"/>
      <c r="Z95" s="18"/>
    </row>
    <row r="96" spans="1:26" ht="14.25" customHeight="1">
      <c r="A96" s="15" t="str">
        <f t="shared" si="2"/>
        <v xml:space="preserve"> 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0"/>
      <c r="V96" s="40"/>
      <c r="W96" s="15"/>
      <c r="X96" s="17"/>
      <c r="Y96" s="17"/>
      <c r="Z96" s="18"/>
    </row>
    <row r="97" spans="1:26" ht="14.25" customHeight="1">
      <c r="A97" s="15" t="str">
        <f t="shared" si="2"/>
        <v xml:space="preserve"> 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0"/>
      <c r="V97" s="40"/>
      <c r="W97" s="15"/>
      <c r="X97" s="17"/>
      <c r="Y97" s="17"/>
      <c r="Z97" s="18"/>
    </row>
    <row r="98" spans="1:26" ht="14.25" customHeight="1">
      <c r="A98" s="15" t="str">
        <f t="shared" si="2"/>
        <v xml:space="preserve"> 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0"/>
      <c r="V98" s="40"/>
      <c r="W98" s="15"/>
      <c r="X98" s="17"/>
      <c r="Y98" s="17"/>
      <c r="Z98" s="18"/>
    </row>
    <row r="99" spans="1:26" ht="14.25" customHeight="1">
      <c r="A99" s="15" t="str">
        <f t="shared" si="2"/>
        <v xml:space="preserve"> 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0"/>
      <c r="V99" s="40"/>
      <c r="W99" s="15"/>
      <c r="X99" s="17"/>
      <c r="Y99" s="17"/>
      <c r="Z99" s="18"/>
    </row>
    <row r="100" spans="1:26" ht="14.25" customHeight="1">
      <c r="A100" s="15" t="str">
        <f t="shared" si="2"/>
        <v xml:space="preserve"> 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0"/>
      <c r="V100" s="40"/>
      <c r="W100" s="15"/>
      <c r="X100" s="17"/>
      <c r="Y100" s="17"/>
      <c r="Z100" s="18"/>
    </row>
    <row r="101" spans="1:26" ht="14.25" customHeight="1">
      <c r="A101" s="15" t="str">
        <f t="shared" si="2"/>
        <v xml:space="preserve"> 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0"/>
      <c r="V101" s="40"/>
      <c r="W101" s="15"/>
      <c r="X101" s="17"/>
      <c r="Y101" s="17"/>
      <c r="Z101" s="18"/>
    </row>
    <row r="102" spans="1:26" ht="14.25" customHeight="1">
      <c r="A102" s="15" t="str">
        <f t="shared" si="2"/>
        <v xml:space="preserve"> 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0"/>
      <c r="V102" s="40"/>
      <c r="W102" s="15"/>
      <c r="X102" s="17"/>
      <c r="Y102" s="17"/>
      <c r="Z102" s="18"/>
    </row>
    <row r="103" spans="1:26" ht="14.25" customHeight="1">
      <c r="A103" s="15" t="str">
        <f t="shared" si="2"/>
        <v xml:space="preserve"> 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0"/>
      <c r="V103" s="40"/>
      <c r="W103" s="15"/>
      <c r="X103" s="17"/>
      <c r="Y103" s="17"/>
      <c r="Z103" s="18"/>
    </row>
    <row r="104" spans="1:26" ht="14.25" customHeight="1">
      <c r="A104" s="15" t="str">
        <f t="shared" si="2"/>
        <v xml:space="preserve"> 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0"/>
      <c r="V104" s="40"/>
      <c r="W104" s="15"/>
      <c r="X104" s="17"/>
      <c r="Y104" s="17"/>
      <c r="Z104" s="18"/>
    </row>
    <row r="105" spans="1:26" ht="14.25" customHeight="1">
      <c r="A105" s="15" t="str">
        <f t="shared" si="2"/>
        <v xml:space="preserve"> 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0"/>
      <c r="V105" s="40"/>
      <c r="W105" s="15"/>
      <c r="X105" s="17"/>
      <c r="Y105" s="17"/>
      <c r="Z105" s="18"/>
    </row>
    <row r="106" spans="1:26" ht="14.25" customHeight="1">
      <c r="A106" s="15" t="str">
        <f t="shared" si="2"/>
        <v xml:space="preserve"> 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0"/>
      <c r="V106" s="40"/>
      <c r="W106" s="15"/>
      <c r="X106" s="17"/>
      <c r="Y106" s="17"/>
      <c r="Z106" s="18"/>
    </row>
    <row r="107" spans="1:26" ht="14.25" customHeight="1">
      <c r="A107" s="15" t="str">
        <f t="shared" si="2"/>
        <v xml:space="preserve"> 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6"/>
      <c r="P107" s="41"/>
      <c r="Q107" s="15"/>
      <c r="R107" s="17"/>
      <c r="S107" s="17"/>
      <c r="T107" s="15"/>
      <c r="U107" s="40"/>
      <c r="V107" s="40"/>
      <c r="W107" s="15"/>
      <c r="X107" s="17"/>
      <c r="Y107" s="17"/>
      <c r="Z107" s="18"/>
    </row>
    <row r="108" spans="1:26" ht="14.25" customHeight="1">
      <c r="A108" s="15" t="str">
        <f t="shared" si="2"/>
        <v xml:space="preserve"> 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41"/>
      <c r="Q108" s="15"/>
      <c r="R108" s="17"/>
      <c r="S108" s="17"/>
      <c r="T108" s="15"/>
      <c r="U108" s="40"/>
      <c r="V108" s="40"/>
      <c r="W108" s="15"/>
      <c r="X108" s="17"/>
      <c r="Y108" s="17"/>
      <c r="Z108" s="18"/>
    </row>
    <row r="109" spans="1:26" ht="14.25" customHeight="1">
      <c r="A109" s="15" t="str">
        <f t="shared" si="2"/>
        <v xml:space="preserve"> 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6"/>
      <c r="P109" s="41"/>
      <c r="Q109" s="15"/>
      <c r="R109" s="17"/>
      <c r="S109" s="17"/>
      <c r="T109" s="15"/>
      <c r="U109" s="40"/>
      <c r="V109" s="40"/>
      <c r="W109" s="15"/>
      <c r="X109" s="17"/>
      <c r="Y109" s="17"/>
      <c r="Z109" s="18"/>
    </row>
    <row r="110" spans="1:26" ht="14.25" customHeight="1">
      <c r="A110" s="15" t="str">
        <f t="shared" si="2"/>
        <v xml:space="preserve"> 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41"/>
      <c r="Q110" s="15"/>
      <c r="R110" s="17"/>
      <c r="S110" s="17"/>
      <c r="T110" s="15"/>
      <c r="U110" s="40"/>
      <c r="V110" s="40"/>
      <c r="W110" s="15"/>
      <c r="X110" s="17"/>
      <c r="Y110" s="17"/>
      <c r="Z110" s="18"/>
    </row>
    <row r="111" spans="1:26" ht="14.25" customHeight="1">
      <c r="A111" s="15" t="str">
        <f t="shared" si="2"/>
        <v xml:space="preserve"> 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6"/>
      <c r="P111" s="41"/>
      <c r="Q111" s="15"/>
      <c r="R111" s="17"/>
      <c r="S111" s="17"/>
      <c r="T111" s="15"/>
      <c r="U111" s="40"/>
      <c r="V111" s="40"/>
      <c r="W111" s="15"/>
      <c r="X111" s="17"/>
      <c r="Y111" s="17"/>
      <c r="Z111" s="18"/>
    </row>
    <row r="112" spans="1:26" ht="14.25" customHeight="1">
      <c r="A112" s="15" t="str">
        <f t="shared" si="2"/>
        <v xml:space="preserve"> 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6"/>
      <c r="P112" s="41"/>
      <c r="Q112" s="15"/>
      <c r="R112" s="17"/>
      <c r="S112" s="17"/>
      <c r="T112" s="15"/>
      <c r="U112" s="40"/>
      <c r="V112" s="40"/>
      <c r="W112" s="15"/>
      <c r="X112" s="17"/>
      <c r="Y112" s="17"/>
      <c r="Z112" s="18"/>
    </row>
    <row r="113" spans="1:26" ht="14.25" customHeight="1">
      <c r="A113" s="15" t="str">
        <f t="shared" si="2"/>
        <v xml:space="preserve"> 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6"/>
      <c r="P113" s="41"/>
      <c r="Q113" s="15"/>
      <c r="R113" s="17"/>
      <c r="S113" s="17"/>
      <c r="T113" s="15"/>
      <c r="U113" s="40"/>
      <c r="V113" s="40"/>
      <c r="W113" s="15"/>
      <c r="X113" s="17"/>
      <c r="Y113" s="17"/>
      <c r="Z113" s="18"/>
    </row>
    <row r="114" spans="1:26" ht="14.25" customHeight="1">
      <c r="A114" s="15" t="str">
        <f t="shared" si="2"/>
        <v xml:space="preserve"> 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6"/>
      <c r="P114" s="41"/>
      <c r="Q114" s="15"/>
      <c r="R114" s="17"/>
      <c r="S114" s="17"/>
      <c r="T114" s="15"/>
      <c r="U114" s="40"/>
      <c r="V114" s="40"/>
      <c r="W114" s="15"/>
      <c r="X114" s="17"/>
      <c r="Y114" s="17"/>
      <c r="Z114" s="18"/>
    </row>
    <row r="115" spans="1:26" ht="14.25" customHeight="1">
      <c r="A115" s="15" t="str">
        <f t="shared" si="2"/>
        <v xml:space="preserve"> 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6"/>
      <c r="P115" s="41"/>
      <c r="Q115" s="15"/>
      <c r="R115" s="17"/>
      <c r="S115" s="17"/>
      <c r="T115" s="15"/>
      <c r="U115" s="40"/>
      <c r="V115" s="40"/>
      <c r="W115" s="15"/>
      <c r="X115" s="17"/>
      <c r="Y115" s="17"/>
      <c r="Z115" s="18"/>
    </row>
    <row r="116" spans="1:26" ht="14.25" customHeight="1">
      <c r="A116" s="15" t="str">
        <f t="shared" si="2"/>
        <v xml:space="preserve"> 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6"/>
      <c r="P116" s="41"/>
      <c r="Q116" s="15"/>
      <c r="R116" s="17"/>
      <c r="S116" s="17"/>
      <c r="T116" s="15"/>
      <c r="U116" s="40"/>
      <c r="V116" s="40"/>
      <c r="W116" s="15"/>
      <c r="X116" s="17"/>
      <c r="Y116" s="17"/>
      <c r="Z116" s="18"/>
    </row>
    <row r="117" spans="1:26" ht="14.25" customHeight="1">
      <c r="A117" s="15" t="str">
        <f t="shared" si="2"/>
        <v xml:space="preserve"> 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6"/>
      <c r="P117" s="41"/>
      <c r="Q117" s="15"/>
      <c r="R117" s="17"/>
      <c r="S117" s="17"/>
      <c r="T117" s="15"/>
      <c r="U117" s="40"/>
      <c r="V117" s="40"/>
      <c r="W117" s="15"/>
      <c r="X117" s="17"/>
      <c r="Y117" s="17"/>
      <c r="Z117" s="18"/>
    </row>
    <row r="118" spans="1:26" ht="14.25" customHeight="1">
      <c r="A118" s="15" t="str">
        <f t="shared" si="2"/>
        <v xml:space="preserve"> 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6"/>
      <c r="P118" s="41"/>
      <c r="Q118" s="15"/>
      <c r="R118" s="17"/>
      <c r="S118" s="17"/>
      <c r="T118" s="15"/>
      <c r="U118" s="40"/>
      <c r="V118" s="40"/>
      <c r="W118" s="15"/>
      <c r="X118" s="17"/>
      <c r="Y118" s="17"/>
      <c r="Z118" s="18"/>
    </row>
    <row r="119" spans="1:26" ht="14.25" customHeight="1">
      <c r="A119" s="15" t="str">
        <f t="shared" si="2"/>
        <v xml:space="preserve"> 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6"/>
      <c r="P119" s="41"/>
      <c r="Q119" s="15"/>
      <c r="R119" s="17"/>
      <c r="S119" s="17"/>
      <c r="T119" s="15"/>
      <c r="U119" s="40"/>
      <c r="V119" s="40"/>
      <c r="W119" s="15"/>
      <c r="X119" s="17"/>
      <c r="Y119" s="17"/>
      <c r="Z119" s="18"/>
    </row>
    <row r="120" spans="1:26" ht="14.25" customHeight="1">
      <c r="A120" s="15" t="str">
        <f t="shared" si="2"/>
        <v xml:space="preserve"> 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6"/>
      <c r="P120" s="41"/>
      <c r="Q120" s="15"/>
      <c r="R120" s="17"/>
      <c r="S120" s="17"/>
      <c r="T120" s="15"/>
      <c r="U120" s="40"/>
      <c r="V120" s="40"/>
      <c r="W120" s="15"/>
      <c r="X120" s="17"/>
      <c r="Y120" s="17"/>
      <c r="Z120" s="18"/>
    </row>
    <row r="121" spans="1:26" ht="14.25" customHeight="1">
      <c r="A121" s="15" t="str">
        <f t="shared" si="2"/>
        <v xml:space="preserve"> 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6"/>
      <c r="P121" s="41"/>
      <c r="Q121" s="15"/>
      <c r="R121" s="17"/>
      <c r="S121" s="17"/>
      <c r="T121" s="15"/>
      <c r="U121" s="40"/>
      <c r="V121" s="40"/>
      <c r="W121" s="15"/>
      <c r="X121" s="17"/>
      <c r="Y121" s="17"/>
      <c r="Z121" s="18"/>
    </row>
    <row r="122" spans="1:26" ht="14.25" customHeight="1">
      <c r="A122" s="15" t="str">
        <f t="shared" si="2"/>
        <v xml:space="preserve"> 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6"/>
      <c r="P122" s="41"/>
      <c r="Q122" s="15"/>
      <c r="R122" s="17"/>
      <c r="S122" s="17"/>
      <c r="T122" s="15"/>
      <c r="U122" s="40"/>
      <c r="V122" s="40"/>
      <c r="W122" s="15"/>
      <c r="X122" s="17"/>
      <c r="Y122" s="17"/>
      <c r="Z122" s="18"/>
    </row>
    <row r="123" spans="1:26" ht="14.25" customHeight="1">
      <c r="A123" s="15" t="str">
        <f t="shared" si="2"/>
        <v xml:space="preserve"> 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6"/>
      <c r="P123" s="41"/>
      <c r="Q123" s="15"/>
      <c r="R123" s="17"/>
      <c r="S123" s="17"/>
      <c r="T123" s="15"/>
      <c r="U123" s="40"/>
      <c r="V123" s="40"/>
      <c r="W123" s="15"/>
      <c r="X123" s="17"/>
      <c r="Y123" s="17"/>
      <c r="Z123" s="18"/>
    </row>
    <row r="124" spans="1:26" ht="14.25" customHeight="1">
      <c r="A124" s="15" t="str">
        <f t="shared" si="2"/>
        <v xml:space="preserve"> 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6"/>
      <c r="P124" s="41"/>
      <c r="Q124" s="15"/>
      <c r="R124" s="17"/>
      <c r="S124" s="17"/>
      <c r="T124" s="15"/>
      <c r="U124" s="40"/>
      <c r="V124" s="40"/>
      <c r="W124" s="15"/>
      <c r="X124" s="17"/>
      <c r="Y124" s="17"/>
      <c r="Z124" s="18"/>
    </row>
    <row r="125" spans="1:26" ht="14.25" customHeight="1">
      <c r="A125" s="15" t="str">
        <f t="shared" si="2"/>
        <v xml:space="preserve"> 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6"/>
      <c r="P125" s="41"/>
      <c r="Q125" s="15"/>
      <c r="R125" s="17"/>
      <c r="S125" s="17"/>
      <c r="T125" s="15"/>
      <c r="U125" s="40"/>
      <c r="V125" s="40"/>
      <c r="W125" s="15"/>
      <c r="X125" s="17"/>
      <c r="Y125" s="17"/>
      <c r="Z125" s="18"/>
    </row>
    <row r="126" spans="1:26" ht="14.25" customHeight="1">
      <c r="A126" s="15" t="str">
        <f t="shared" si="2"/>
        <v xml:space="preserve"> 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6"/>
      <c r="P126" s="41"/>
      <c r="Q126" s="15"/>
      <c r="R126" s="17"/>
      <c r="S126" s="17"/>
      <c r="T126" s="15"/>
      <c r="U126" s="40"/>
      <c r="V126" s="40"/>
      <c r="W126" s="15"/>
      <c r="X126" s="17"/>
      <c r="Y126" s="17"/>
      <c r="Z126" s="18"/>
    </row>
    <row r="127" spans="1:26" ht="14.25" customHeight="1">
      <c r="A127" s="15" t="str">
        <f t="shared" si="2"/>
        <v xml:space="preserve"> 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6"/>
      <c r="P127" s="41"/>
      <c r="Q127" s="15"/>
      <c r="R127" s="17"/>
      <c r="S127" s="17"/>
      <c r="T127" s="15"/>
      <c r="U127" s="40"/>
      <c r="V127" s="40"/>
      <c r="W127" s="15"/>
      <c r="X127" s="17"/>
      <c r="Y127" s="17"/>
      <c r="Z127" s="18"/>
    </row>
    <row r="128" spans="1:26" ht="14.25" customHeight="1">
      <c r="A128" s="15" t="str">
        <f t="shared" si="2"/>
        <v xml:space="preserve"> 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6"/>
      <c r="P128" s="41"/>
      <c r="Q128" s="15"/>
      <c r="R128" s="17"/>
      <c r="S128" s="17"/>
      <c r="T128" s="15"/>
      <c r="U128" s="40"/>
      <c r="V128" s="40"/>
      <c r="W128" s="15"/>
      <c r="X128" s="17"/>
      <c r="Y128" s="17"/>
      <c r="Z128" s="18"/>
    </row>
    <row r="129" spans="1:26" ht="14.25" customHeight="1">
      <c r="A129" s="15" t="str">
        <f t="shared" si="2"/>
        <v xml:space="preserve"> 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6"/>
      <c r="P129" s="41"/>
      <c r="Q129" s="15"/>
      <c r="R129" s="17"/>
      <c r="S129" s="40"/>
      <c r="T129" s="15"/>
      <c r="U129" s="40"/>
      <c r="V129" s="40"/>
      <c r="W129" s="15"/>
      <c r="X129" s="17"/>
      <c r="Y129" s="17"/>
      <c r="Z129" s="18"/>
    </row>
    <row r="130" spans="1:26" ht="14.25" customHeight="1">
      <c r="A130" s="15" t="str">
        <f t="shared" si="2"/>
        <v xml:space="preserve"> 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6"/>
      <c r="P130" s="41"/>
      <c r="Q130" s="15"/>
      <c r="R130" s="17"/>
      <c r="S130" s="40"/>
      <c r="T130" s="15"/>
      <c r="U130" s="40"/>
      <c r="V130" s="40"/>
      <c r="W130" s="15"/>
      <c r="X130" s="17"/>
      <c r="Y130" s="17"/>
      <c r="Z130" s="18"/>
    </row>
    <row r="131" spans="1:26" ht="14.25" customHeight="1">
      <c r="A131" s="15" t="str">
        <f t="shared" si="2"/>
        <v xml:space="preserve"> 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6"/>
      <c r="P131" s="41"/>
      <c r="Q131" s="15"/>
      <c r="R131" s="17"/>
      <c r="S131" s="40"/>
      <c r="T131" s="15"/>
      <c r="U131" s="40"/>
      <c r="V131" s="40"/>
      <c r="W131" s="15"/>
      <c r="X131" s="17"/>
      <c r="Y131" s="17"/>
      <c r="Z131" s="18"/>
    </row>
    <row r="132" spans="1:26" ht="14.25" customHeight="1">
      <c r="A132" s="15" t="str">
        <f t="shared" si="2"/>
        <v xml:space="preserve"> 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6"/>
      <c r="P132" s="41"/>
      <c r="Q132" s="15"/>
      <c r="R132" s="17"/>
      <c r="S132" s="40"/>
      <c r="T132" s="15"/>
      <c r="U132" s="40"/>
      <c r="V132" s="40"/>
      <c r="W132" s="15"/>
      <c r="X132" s="17"/>
      <c r="Y132" s="17"/>
      <c r="Z132" s="18"/>
    </row>
    <row r="133" spans="1:26" ht="14.25" customHeight="1">
      <c r="A133" s="15" t="str">
        <f t="shared" si="2"/>
        <v xml:space="preserve"> 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6"/>
      <c r="P133" s="41"/>
      <c r="Q133" s="15"/>
      <c r="R133" s="17"/>
      <c r="S133" s="40"/>
      <c r="T133" s="15"/>
      <c r="U133" s="40"/>
      <c r="V133" s="40"/>
      <c r="W133" s="15"/>
      <c r="X133" s="17"/>
      <c r="Y133" s="17"/>
      <c r="Z133" s="18"/>
    </row>
    <row r="134" spans="1:26" ht="14.25" customHeight="1">
      <c r="A134" s="15" t="str">
        <f t="shared" si="2"/>
        <v xml:space="preserve"> 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6"/>
      <c r="P134" s="41"/>
      <c r="Q134" s="15"/>
      <c r="R134" s="17"/>
      <c r="S134" s="40"/>
      <c r="T134" s="15"/>
      <c r="U134" s="40"/>
      <c r="V134" s="40"/>
      <c r="W134" s="15"/>
      <c r="X134" s="17"/>
      <c r="Y134" s="17"/>
      <c r="Z134" s="18"/>
    </row>
    <row r="135" spans="1:26" ht="14.25" customHeight="1">
      <c r="A135" s="15" t="str">
        <f t="shared" si="2"/>
        <v xml:space="preserve"> 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6"/>
      <c r="P135" s="41"/>
      <c r="Q135" s="15"/>
      <c r="R135" s="17"/>
      <c r="S135" s="40"/>
      <c r="T135" s="15"/>
      <c r="U135" s="40"/>
      <c r="V135" s="40"/>
      <c r="W135" s="15"/>
      <c r="X135" s="17"/>
      <c r="Y135" s="17"/>
      <c r="Z135" s="18"/>
    </row>
    <row r="136" spans="1:26" ht="14.25" customHeight="1">
      <c r="A136" s="15" t="str">
        <f t="shared" si="2"/>
        <v xml:space="preserve"> 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6"/>
      <c r="P136" s="41"/>
      <c r="Q136" s="15"/>
      <c r="R136" s="17"/>
      <c r="S136" s="40"/>
      <c r="T136" s="15"/>
      <c r="U136" s="40"/>
      <c r="V136" s="40"/>
      <c r="W136" s="15"/>
      <c r="X136" s="17"/>
      <c r="Y136" s="17"/>
      <c r="Z136" s="18"/>
    </row>
    <row r="137" spans="1:26" ht="14.25" customHeight="1">
      <c r="A137" s="15" t="str">
        <f t="shared" si="2"/>
        <v xml:space="preserve"> 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6"/>
      <c r="P137" s="41"/>
      <c r="Q137" s="15"/>
      <c r="R137" s="17"/>
      <c r="S137" s="40"/>
      <c r="T137" s="15"/>
      <c r="U137" s="40"/>
      <c r="V137" s="40"/>
      <c r="W137" s="15"/>
      <c r="X137" s="17"/>
      <c r="Y137" s="17"/>
      <c r="Z137" s="18"/>
    </row>
    <row r="138" spans="1:26" ht="14.25" customHeight="1">
      <c r="A138" s="15" t="str">
        <f t="shared" si="2"/>
        <v xml:space="preserve"> 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6"/>
      <c r="P138" s="41"/>
      <c r="Q138" s="15"/>
      <c r="R138" s="17"/>
      <c r="S138" s="40"/>
      <c r="T138" s="15"/>
      <c r="U138" s="40"/>
      <c r="V138" s="40"/>
      <c r="W138" s="15"/>
      <c r="X138" s="17"/>
      <c r="Y138" s="17"/>
      <c r="Z138" s="18"/>
    </row>
    <row r="139" spans="1:26" ht="14.25" customHeight="1">
      <c r="A139" s="15" t="str">
        <f t="shared" si="2"/>
        <v xml:space="preserve"> 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6"/>
      <c r="P139" s="41"/>
      <c r="Q139" s="15"/>
      <c r="R139" s="17"/>
      <c r="S139" s="40"/>
      <c r="T139" s="15"/>
      <c r="U139" s="40"/>
      <c r="V139" s="40"/>
      <c r="W139" s="15"/>
      <c r="X139" s="17"/>
      <c r="Y139" s="17"/>
      <c r="Z139" s="18"/>
    </row>
    <row r="140" spans="1:26" ht="14.25" customHeight="1">
      <c r="A140" s="15" t="str">
        <f t="shared" si="2"/>
        <v xml:space="preserve"> 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6"/>
      <c r="P140" s="41"/>
      <c r="Q140" s="15"/>
      <c r="R140" s="17"/>
      <c r="S140" s="40"/>
      <c r="T140" s="15"/>
      <c r="U140" s="40"/>
      <c r="V140" s="40"/>
      <c r="W140" s="15"/>
      <c r="X140" s="17"/>
      <c r="Y140" s="17"/>
      <c r="Z140" s="18"/>
    </row>
    <row r="141" spans="1:26" ht="14.25" customHeight="1">
      <c r="A141" s="15" t="str">
        <f t="shared" si="2"/>
        <v xml:space="preserve"> 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6"/>
      <c r="P141" s="41"/>
      <c r="Q141" s="15"/>
      <c r="R141" s="17"/>
      <c r="S141" s="40"/>
      <c r="T141" s="15"/>
      <c r="U141" s="40"/>
      <c r="V141" s="40"/>
      <c r="W141" s="15"/>
      <c r="X141" s="17"/>
      <c r="Y141" s="17"/>
      <c r="Z141" s="18"/>
    </row>
    <row r="142" spans="1:26" ht="14.25" customHeight="1">
      <c r="A142" s="15" t="str">
        <f t="shared" si="2"/>
        <v xml:space="preserve"> 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6"/>
      <c r="P142" s="41"/>
      <c r="Q142" s="15"/>
      <c r="R142" s="17"/>
      <c r="S142" s="40"/>
      <c r="T142" s="15"/>
      <c r="U142" s="40"/>
      <c r="V142" s="40"/>
      <c r="W142" s="15"/>
      <c r="X142" s="17"/>
      <c r="Y142" s="17"/>
      <c r="Z142" s="18"/>
    </row>
    <row r="143" spans="1:26" ht="14.25" customHeight="1">
      <c r="A143" s="15" t="str">
        <f t="shared" si="2"/>
        <v xml:space="preserve"> 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6"/>
      <c r="P143" s="41"/>
      <c r="Q143" s="15"/>
      <c r="R143" s="17"/>
      <c r="S143" s="40"/>
      <c r="T143" s="15"/>
      <c r="U143" s="40"/>
      <c r="V143" s="40"/>
      <c r="W143" s="15"/>
      <c r="X143" s="17"/>
      <c r="Y143" s="17"/>
      <c r="Z143" s="18"/>
    </row>
    <row r="144" spans="1:26" ht="14.25" customHeight="1">
      <c r="A144" s="15" t="str">
        <f t="shared" si="2"/>
        <v xml:space="preserve"> 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41"/>
      <c r="Q144" s="15"/>
      <c r="R144" s="17"/>
      <c r="S144" s="40"/>
      <c r="T144" s="15"/>
      <c r="U144" s="42"/>
      <c r="V144" s="40"/>
      <c r="W144" s="15"/>
      <c r="X144" s="17"/>
      <c r="Y144" s="17"/>
      <c r="Z144" s="18"/>
    </row>
    <row r="145" spans="1:26" ht="14.25" customHeight="1">
      <c r="A145" s="15" t="str">
        <f t="shared" si="2"/>
        <v xml:space="preserve"> 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6"/>
      <c r="P145" s="41"/>
      <c r="Q145" s="15"/>
      <c r="R145" s="40"/>
      <c r="S145" s="40"/>
      <c r="T145" s="15"/>
      <c r="U145" s="40"/>
      <c r="V145" s="40"/>
      <c r="W145" s="15"/>
      <c r="X145" s="17"/>
      <c r="Y145" s="40"/>
      <c r="Z145" s="18"/>
    </row>
    <row r="146" spans="1:26" ht="14.25" customHeight="1">
      <c r="A146" s="15" t="str">
        <f t="shared" si="2"/>
        <v xml:space="preserve"> 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6"/>
      <c r="P146" s="41"/>
      <c r="Q146" s="15"/>
      <c r="R146" s="40"/>
      <c r="S146" s="40"/>
      <c r="T146" s="15"/>
      <c r="U146" s="40"/>
      <c r="V146" s="40"/>
      <c r="W146" s="15"/>
      <c r="X146" s="17"/>
      <c r="Y146" s="40"/>
      <c r="Z146" s="18"/>
    </row>
    <row r="147" spans="1:26" ht="14.25" customHeight="1">
      <c r="A147" s="15" t="str">
        <f t="shared" si="2"/>
        <v xml:space="preserve"> 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6"/>
      <c r="P147" s="41"/>
      <c r="Q147" s="15"/>
      <c r="R147" s="40"/>
      <c r="S147" s="40"/>
      <c r="T147" s="15"/>
      <c r="U147" s="40"/>
      <c r="V147" s="40"/>
      <c r="W147" s="15"/>
      <c r="X147" s="17"/>
      <c r="Y147" s="40"/>
      <c r="Z147" s="18"/>
    </row>
    <row r="148" spans="1:26" ht="14.25" customHeight="1">
      <c r="A148" s="15" t="str">
        <f t="shared" si="2"/>
        <v xml:space="preserve"> 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6"/>
      <c r="P148" s="41"/>
      <c r="Q148" s="15"/>
      <c r="R148" s="40"/>
      <c r="S148" s="40"/>
      <c r="T148" s="15"/>
      <c r="U148" s="40"/>
      <c r="V148" s="40"/>
      <c r="W148" s="15"/>
      <c r="X148" s="17"/>
      <c r="Y148" s="40"/>
      <c r="Z148" s="18"/>
    </row>
    <row r="149" spans="1:26" ht="14.25" customHeight="1">
      <c r="A149" s="15" t="str">
        <f t="shared" si="2"/>
        <v xml:space="preserve"> 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6"/>
      <c r="P149" s="41"/>
      <c r="Q149" s="15"/>
      <c r="R149" s="40"/>
      <c r="S149" s="40"/>
      <c r="T149" s="15"/>
      <c r="U149" s="40"/>
      <c r="V149" s="40"/>
      <c r="W149" s="15"/>
      <c r="X149" s="17"/>
      <c r="Y149" s="40"/>
      <c r="Z149" s="18"/>
    </row>
    <row r="150" spans="1:26" ht="14.25" customHeight="1">
      <c r="A150" s="15" t="str">
        <f t="shared" si="2"/>
        <v xml:space="preserve"> 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6"/>
      <c r="P150" s="41"/>
      <c r="Q150" s="15"/>
      <c r="R150" s="40"/>
      <c r="S150" s="40"/>
      <c r="T150" s="15"/>
      <c r="U150" s="40"/>
      <c r="V150" s="40"/>
      <c r="W150" s="15"/>
      <c r="X150" s="17"/>
      <c r="Y150" s="40"/>
      <c r="Z150" s="18"/>
    </row>
    <row r="151" spans="1:26" ht="14.25" customHeight="1">
      <c r="A151" s="15" t="str">
        <f t="shared" si="2"/>
        <v xml:space="preserve"> 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6"/>
      <c r="P151" s="41"/>
      <c r="Q151" s="15"/>
      <c r="R151" s="40"/>
      <c r="S151" s="40"/>
      <c r="T151" s="15"/>
      <c r="U151" s="40"/>
      <c r="V151" s="40"/>
      <c r="W151" s="15"/>
      <c r="X151" s="17"/>
      <c r="Y151" s="40"/>
      <c r="Z151" s="18"/>
    </row>
    <row r="152" spans="1:26" ht="14.25" customHeight="1">
      <c r="A152" s="15" t="str">
        <f t="shared" si="2"/>
        <v xml:space="preserve"> 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6"/>
      <c r="P152" s="41"/>
      <c r="Q152" s="15"/>
      <c r="R152" s="40"/>
      <c r="S152" s="40"/>
      <c r="T152" s="15"/>
      <c r="U152" s="40"/>
      <c r="V152" s="40"/>
      <c r="W152" s="15"/>
      <c r="X152" s="17"/>
      <c r="Y152" s="40"/>
      <c r="Z152" s="18"/>
    </row>
    <row r="153" spans="1:26" ht="14.25" customHeight="1">
      <c r="A153" s="15" t="str">
        <f t="shared" si="2"/>
        <v xml:space="preserve"> 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6"/>
      <c r="P153" s="41"/>
      <c r="Q153" s="15"/>
      <c r="R153" s="40"/>
      <c r="S153" s="40"/>
      <c r="T153" s="15"/>
      <c r="U153" s="40"/>
      <c r="V153" s="40"/>
      <c r="W153" s="15"/>
      <c r="X153" s="17"/>
      <c r="Y153" s="40"/>
      <c r="Z153" s="18"/>
    </row>
    <row r="154" spans="1:26" ht="14.25" customHeight="1">
      <c r="A154" s="15" t="str">
        <f t="shared" si="2"/>
        <v xml:space="preserve"> 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6"/>
      <c r="P154" s="41"/>
      <c r="Q154" s="15"/>
      <c r="R154" s="40"/>
      <c r="S154" s="40"/>
      <c r="T154" s="15"/>
      <c r="U154" s="40"/>
      <c r="V154" s="40"/>
      <c r="W154" s="15"/>
      <c r="X154" s="17"/>
      <c r="Y154" s="40"/>
      <c r="Z154" s="18"/>
    </row>
    <row r="155" spans="1:26" ht="14.25" customHeight="1">
      <c r="A155" s="15" t="str">
        <f t="shared" si="2"/>
        <v xml:space="preserve"> 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6"/>
      <c r="P155" s="41"/>
      <c r="Q155" s="15"/>
      <c r="R155" s="40"/>
      <c r="S155" s="40"/>
      <c r="T155" s="15"/>
      <c r="U155" s="40"/>
      <c r="V155" s="40"/>
      <c r="W155" s="15"/>
      <c r="X155" s="17"/>
      <c r="Y155" s="40"/>
      <c r="Z155" s="18"/>
    </row>
    <row r="156" spans="1:26" ht="14.25" customHeight="1">
      <c r="A156" s="15" t="str">
        <f t="shared" si="2"/>
        <v xml:space="preserve"> 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6"/>
      <c r="P156" s="41"/>
      <c r="Q156" s="15"/>
      <c r="R156" s="40"/>
      <c r="S156" s="40"/>
      <c r="T156" s="15"/>
      <c r="U156" s="40"/>
      <c r="V156" s="40"/>
      <c r="W156" s="15"/>
      <c r="X156" s="17"/>
      <c r="Y156" s="40"/>
      <c r="Z156" s="18"/>
    </row>
    <row r="157" spans="1:26" ht="14.25" customHeight="1">
      <c r="A157" s="15" t="str">
        <f t="shared" si="2"/>
        <v xml:space="preserve"> 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6"/>
      <c r="P157" s="41"/>
      <c r="Q157" s="15"/>
      <c r="R157" s="40"/>
      <c r="S157" s="40"/>
      <c r="T157" s="15"/>
      <c r="U157" s="40"/>
      <c r="V157" s="40"/>
      <c r="W157" s="15"/>
      <c r="X157" s="17"/>
      <c r="Y157" s="40"/>
      <c r="Z157" s="18"/>
    </row>
    <row r="158" spans="1:26" ht="14.25" customHeight="1">
      <c r="A158" s="15" t="str">
        <f t="shared" si="2"/>
        <v xml:space="preserve"> 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6"/>
      <c r="P158" s="41"/>
      <c r="Q158" s="15"/>
      <c r="R158" s="40"/>
      <c r="S158" s="40"/>
      <c r="T158" s="15"/>
      <c r="U158" s="40"/>
      <c r="V158" s="40"/>
      <c r="W158" s="15"/>
      <c r="X158" s="17"/>
      <c r="Y158" s="40"/>
      <c r="Z158" s="18"/>
    </row>
    <row r="159" spans="1:26" ht="14.25" customHeight="1">
      <c r="A159" s="15" t="str">
        <f t="shared" si="2"/>
        <v xml:space="preserve"> 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6"/>
      <c r="P159" s="41"/>
      <c r="Q159" s="15"/>
      <c r="R159" s="40"/>
      <c r="S159" s="40"/>
      <c r="T159" s="15"/>
      <c r="U159" s="40"/>
      <c r="V159" s="40"/>
      <c r="W159" s="15"/>
      <c r="X159" s="17"/>
      <c r="Y159" s="40"/>
      <c r="Z159" s="18"/>
    </row>
    <row r="160" spans="1:26" ht="14.25" customHeight="1">
      <c r="A160" s="15" t="str">
        <f t="shared" si="2"/>
        <v xml:space="preserve"> 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6"/>
      <c r="P160" s="41"/>
      <c r="Q160" s="15"/>
      <c r="R160" s="40"/>
      <c r="S160" s="40"/>
      <c r="T160" s="15"/>
      <c r="U160" s="40"/>
      <c r="V160" s="40"/>
      <c r="W160" s="15"/>
      <c r="X160" s="17"/>
      <c r="Y160" s="40"/>
      <c r="Z160" s="18"/>
    </row>
    <row r="161" spans="1:26" ht="14.25" customHeight="1">
      <c r="A161" s="15" t="str">
        <f t="shared" si="2"/>
        <v xml:space="preserve"> 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6"/>
      <c r="P161" s="41"/>
      <c r="Q161" s="15"/>
      <c r="R161" s="40"/>
      <c r="S161" s="40"/>
      <c r="T161" s="15"/>
      <c r="U161" s="40"/>
      <c r="V161" s="40"/>
      <c r="W161" s="15"/>
      <c r="X161" s="17"/>
      <c r="Y161" s="40"/>
      <c r="Z161" s="18"/>
    </row>
    <row r="162" spans="1:26" ht="14.25" customHeight="1">
      <c r="A162" s="15" t="str">
        <f t="shared" si="2"/>
        <v xml:space="preserve"> 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6"/>
      <c r="P162" s="41"/>
      <c r="Q162" s="15"/>
      <c r="R162" s="40"/>
      <c r="S162" s="40"/>
      <c r="T162" s="15"/>
      <c r="U162" s="40"/>
      <c r="V162" s="40"/>
      <c r="W162" s="15"/>
      <c r="X162" s="17"/>
      <c r="Y162" s="40"/>
      <c r="Z162" s="18"/>
    </row>
    <row r="163" spans="1:26" ht="14.25" customHeight="1">
      <c r="A163" s="15" t="str">
        <f t="shared" si="2"/>
        <v xml:space="preserve"> 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6"/>
      <c r="P163" s="41"/>
      <c r="Q163" s="15"/>
      <c r="R163" s="40"/>
      <c r="S163" s="40"/>
      <c r="T163" s="15"/>
      <c r="U163" s="40"/>
      <c r="V163" s="40"/>
      <c r="W163" s="15"/>
      <c r="X163" s="17"/>
      <c r="Y163" s="40"/>
      <c r="Z163" s="18"/>
    </row>
    <row r="164" spans="1:26" ht="14.25" customHeight="1">
      <c r="A164" s="15" t="str">
        <f t="shared" si="2"/>
        <v xml:space="preserve"> 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6"/>
      <c r="P164" s="41"/>
      <c r="Q164" s="15"/>
      <c r="R164" s="40"/>
      <c r="S164" s="40"/>
      <c r="T164" s="15"/>
      <c r="U164" s="40"/>
      <c r="V164" s="40"/>
      <c r="W164" s="15"/>
      <c r="X164" s="17"/>
      <c r="Y164" s="40"/>
      <c r="Z164" s="18"/>
    </row>
    <row r="165" spans="1:26" ht="14.25" customHeight="1">
      <c r="A165" s="15" t="str">
        <f t="shared" si="2"/>
        <v xml:space="preserve"> 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6"/>
      <c r="P165" s="41"/>
      <c r="Q165" s="15"/>
      <c r="R165" s="40"/>
      <c r="S165" s="40"/>
      <c r="T165" s="15"/>
      <c r="U165" s="40"/>
      <c r="V165" s="40"/>
      <c r="W165" s="15"/>
      <c r="X165" s="17"/>
      <c r="Y165" s="40"/>
      <c r="Z165" s="18"/>
    </row>
    <row r="331" spans="15:23" ht="14.25" customHeight="1">
      <c r="O331" s="52">
        <f>SUM(O6:O330)/1000</f>
        <v>7.8151309999999992</v>
      </c>
      <c r="P331" s="18"/>
      <c r="Q331" s="52">
        <f>SUMIF(Q5:Q330,"Completed",$O$5:$O$330)/1000</f>
        <v>7.7751319999999993</v>
      </c>
      <c r="R331" s="36"/>
      <c r="S331" s="36"/>
      <c r="T331" s="52">
        <f>SUMIF(T5:T330,"Submitted",$O$5:$O$330)/1000</f>
        <v>6.5307240000000002</v>
      </c>
      <c r="U331" s="36"/>
      <c r="V331" s="36"/>
      <c r="W331" s="52">
        <f>SUMIF(W5:W330,"Approved",$O$5:$O$330)/1000</f>
        <v>6.5307240000000002</v>
      </c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22"/>
  <sheetViews>
    <sheetView workbookViewId="0"/>
  </sheetViews>
  <sheetFormatPr defaultColWidth="14.42578125" defaultRowHeight="15" customHeight="1"/>
  <cols>
    <col min="1" max="2" width="8.85546875" customWidth="1"/>
    <col min="3" max="3" width="16.85546875" customWidth="1"/>
    <col min="4" max="4" width="14.85546875" hidden="1" customWidth="1"/>
    <col min="5" max="14" width="6.7109375" hidden="1" customWidth="1"/>
    <col min="15" max="15" width="12.7109375" customWidth="1"/>
    <col min="16" max="16" width="10.7109375" hidden="1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603" t="str">
        <f>+Summary!A2</f>
        <v>Name of the Line: 220KV DC AL59 line from Neemuch - Chanderiya + 132KV DC ACSS Line from Chanderiya to Hindustan Zinc</v>
      </c>
      <c r="B1" s="604"/>
      <c r="C1" s="604"/>
      <c r="D1" s="604"/>
      <c r="E1" s="604"/>
      <c r="F1" s="604"/>
      <c r="G1" s="604"/>
      <c r="H1" s="604"/>
      <c r="I1" s="604"/>
      <c r="J1" s="604"/>
      <c r="K1" s="604"/>
      <c r="L1" s="604"/>
      <c r="M1" s="604"/>
      <c r="N1" s="604"/>
      <c r="O1" s="604"/>
      <c r="P1" s="604"/>
      <c r="Q1" s="604"/>
      <c r="R1" s="604"/>
      <c r="S1" s="604"/>
      <c r="T1" s="604"/>
      <c r="U1" s="604"/>
      <c r="V1" s="604"/>
      <c r="W1" s="604"/>
      <c r="X1" s="604"/>
      <c r="Y1" s="604"/>
      <c r="Z1" s="605"/>
    </row>
    <row r="2" spans="1:26" ht="14.25" customHeight="1">
      <c r="A2" s="603" t="s">
        <v>296</v>
      </c>
      <c r="B2" s="604"/>
      <c r="C2" s="604"/>
      <c r="D2" s="604"/>
      <c r="E2" s="604"/>
      <c r="F2" s="604"/>
      <c r="G2" s="604"/>
      <c r="H2" s="604"/>
      <c r="I2" s="604"/>
      <c r="J2" s="604"/>
      <c r="K2" s="604"/>
      <c r="L2" s="604"/>
      <c r="M2" s="604"/>
      <c r="N2" s="604"/>
      <c r="O2" s="604"/>
      <c r="P2" s="604"/>
      <c r="Q2" s="604"/>
      <c r="R2" s="604"/>
      <c r="S2" s="604"/>
      <c r="T2" s="604"/>
      <c r="U2" s="604"/>
      <c r="V2" s="604"/>
      <c r="W2" s="604"/>
      <c r="X2" s="604"/>
      <c r="Y2" s="604"/>
      <c r="Z2" s="605"/>
    </row>
    <row r="3" spans="1:26" ht="30" customHeight="1">
      <c r="A3" s="613" t="s">
        <v>2</v>
      </c>
      <c r="B3" s="613" t="s">
        <v>3</v>
      </c>
      <c r="C3" s="613" t="s">
        <v>4</v>
      </c>
      <c r="D3" s="2" t="s">
        <v>5</v>
      </c>
      <c r="E3" s="2" t="s">
        <v>6</v>
      </c>
      <c r="F3" s="606" t="s">
        <v>7</v>
      </c>
      <c r="G3" s="604"/>
      <c r="H3" s="604"/>
      <c r="I3" s="605"/>
      <c r="J3" s="2" t="s">
        <v>8</v>
      </c>
      <c r="K3" s="606" t="s">
        <v>9</v>
      </c>
      <c r="L3" s="604"/>
      <c r="M3" s="604"/>
      <c r="N3" s="605"/>
      <c r="O3" s="2" t="s">
        <v>10</v>
      </c>
      <c r="P3" s="4" t="s">
        <v>11</v>
      </c>
      <c r="Q3" s="607" t="s">
        <v>12</v>
      </c>
      <c r="R3" s="604"/>
      <c r="S3" s="605"/>
      <c r="T3" s="608" t="s">
        <v>13</v>
      </c>
      <c r="U3" s="604"/>
      <c r="V3" s="605"/>
      <c r="W3" s="609" t="s">
        <v>14</v>
      </c>
      <c r="X3" s="610"/>
      <c r="Y3" s="611"/>
      <c r="Z3" s="612" t="s">
        <v>15</v>
      </c>
    </row>
    <row r="4" spans="1:26" ht="22.5" customHeight="1">
      <c r="A4" s="589"/>
      <c r="B4" s="589"/>
      <c r="C4" s="589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89"/>
    </row>
    <row r="5" spans="1:26" ht="14.25" customHeight="1">
      <c r="A5" s="58"/>
      <c r="B5" s="59" t="s">
        <v>30</v>
      </c>
      <c r="C5" s="59" t="s">
        <v>30</v>
      </c>
      <c r="D5" s="59" t="s">
        <v>31</v>
      </c>
      <c r="E5" s="59"/>
      <c r="F5" s="60"/>
      <c r="G5" s="60"/>
      <c r="H5" s="60"/>
      <c r="I5" s="60"/>
      <c r="J5" s="59"/>
      <c r="K5" s="59">
        <v>0</v>
      </c>
      <c r="L5" s="59">
        <v>0</v>
      </c>
      <c r="M5" s="59">
        <v>0</v>
      </c>
      <c r="N5" s="59">
        <v>0</v>
      </c>
      <c r="O5" s="59"/>
      <c r="P5" s="61" t="s">
        <v>31</v>
      </c>
      <c r="Q5" s="59"/>
      <c r="R5" s="62"/>
      <c r="S5" s="59"/>
      <c r="T5" s="59"/>
      <c r="U5" s="62"/>
      <c r="V5" s="62"/>
      <c r="W5" s="59"/>
      <c r="X5" s="62"/>
      <c r="Y5" s="62"/>
      <c r="Z5" s="63"/>
    </row>
    <row r="6" spans="1:26" ht="14.25" customHeight="1">
      <c r="A6" s="59" t="e">
        <f t="shared" ref="A6:A7" si="0">IF(B6&gt;0,#REF!+1," ")</f>
        <v>#REF!</v>
      </c>
      <c r="B6" s="59" t="s">
        <v>38</v>
      </c>
      <c r="C6" s="59" t="s">
        <v>343</v>
      </c>
      <c r="D6" s="59" t="s">
        <v>60</v>
      </c>
      <c r="E6" s="59"/>
      <c r="F6" s="60"/>
      <c r="G6" s="60"/>
      <c r="H6" s="60"/>
      <c r="I6" s="60"/>
      <c r="J6" s="59"/>
      <c r="K6" s="59">
        <v>0</v>
      </c>
      <c r="L6" s="59">
        <v>0</v>
      </c>
      <c r="M6" s="59">
        <v>0</v>
      </c>
      <c r="N6" s="59">
        <v>0</v>
      </c>
      <c r="O6" s="59"/>
      <c r="P6" s="61">
        <v>699.92000000000007</v>
      </c>
      <c r="Q6" s="59"/>
      <c r="R6" s="62"/>
      <c r="S6" s="59"/>
      <c r="T6" s="59"/>
      <c r="U6" s="62"/>
      <c r="V6" s="59"/>
      <c r="W6" s="59"/>
      <c r="X6" s="62"/>
      <c r="Y6" s="62"/>
      <c r="Z6" s="63"/>
    </row>
    <row r="7" spans="1:26" ht="14.25" customHeight="1">
      <c r="A7" s="59" t="str">
        <f t="shared" si="0"/>
        <v xml:space="preserve"> </v>
      </c>
      <c r="B7" s="59"/>
      <c r="C7" s="59"/>
      <c r="D7" s="59"/>
      <c r="E7" s="59"/>
      <c r="F7" s="60"/>
      <c r="G7" s="60"/>
      <c r="H7" s="60"/>
      <c r="I7" s="60"/>
      <c r="J7" s="59"/>
      <c r="K7" s="59" t="s">
        <v>31</v>
      </c>
      <c r="L7" s="59" t="s">
        <v>31</v>
      </c>
      <c r="M7" s="59" t="s">
        <v>31</v>
      </c>
      <c r="N7" s="59" t="s">
        <v>31</v>
      </c>
      <c r="O7" s="61">
        <v>230.15</v>
      </c>
      <c r="P7" s="61" t="s">
        <v>31</v>
      </c>
      <c r="Q7" s="59"/>
      <c r="R7" s="62"/>
      <c r="S7" s="59"/>
      <c r="T7" s="59"/>
      <c r="U7" s="62"/>
      <c r="V7" s="59"/>
      <c r="W7" s="59"/>
      <c r="X7" s="62"/>
      <c r="Y7" s="62"/>
      <c r="Z7" s="63"/>
    </row>
    <row r="8" spans="1:26" ht="14.25" customHeight="1">
      <c r="A8" s="59" t="e">
        <f t="shared" ref="A8:A48" si="1">IF(B8&gt;0,A6+1," ")</f>
        <v>#REF!</v>
      </c>
      <c r="B8" s="59" t="s">
        <v>64</v>
      </c>
      <c r="C8" s="59" t="s">
        <v>76</v>
      </c>
      <c r="D8" s="59" t="s">
        <v>63</v>
      </c>
      <c r="E8" s="59"/>
      <c r="F8" s="60"/>
      <c r="G8" s="60"/>
      <c r="H8" s="60"/>
      <c r="I8" s="60"/>
      <c r="J8" s="59"/>
      <c r="K8" s="59">
        <v>0</v>
      </c>
      <c r="L8" s="59">
        <v>0</v>
      </c>
      <c r="M8" s="59">
        <v>0</v>
      </c>
      <c r="N8" s="59">
        <v>0</v>
      </c>
      <c r="O8" s="59"/>
      <c r="P8" s="61">
        <v>356.66</v>
      </c>
      <c r="Q8" s="59"/>
      <c r="R8" s="62"/>
      <c r="S8" s="59"/>
      <c r="T8" s="59"/>
      <c r="U8" s="62"/>
      <c r="V8" s="59"/>
      <c r="W8" s="59"/>
      <c r="X8" s="62"/>
      <c r="Y8" s="62"/>
      <c r="Z8" s="63"/>
    </row>
    <row r="9" spans="1:26" ht="14.25" customHeight="1">
      <c r="A9" s="59" t="str">
        <f t="shared" si="1"/>
        <v xml:space="preserve"> </v>
      </c>
      <c r="B9" s="59"/>
      <c r="C9" s="59"/>
      <c r="D9" s="59"/>
      <c r="E9" s="59"/>
      <c r="F9" s="60"/>
      <c r="G9" s="60"/>
      <c r="H9" s="60"/>
      <c r="I9" s="60"/>
      <c r="J9" s="59"/>
      <c r="K9" s="59" t="s">
        <v>31</v>
      </c>
      <c r="L9" s="59" t="s">
        <v>31</v>
      </c>
      <c r="M9" s="59" t="s">
        <v>31</v>
      </c>
      <c r="N9" s="59" t="s">
        <v>31</v>
      </c>
      <c r="O9" s="61">
        <v>234.56</v>
      </c>
      <c r="P9" s="61" t="s">
        <v>31</v>
      </c>
      <c r="Q9" s="59"/>
      <c r="R9" s="62"/>
      <c r="S9" s="59"/>
      <c r="T9" s="59"/>
      <c r="U9" s="62"/>
      <c r="V9" s="59"/>
      <c r="W9" s="59"/>
      <c r="X9" s="62"/>
      <c r="Y9" s="62"/>
      <c r="Z9" s="63"/>
    </row>
    <row r="10" spans="1:26" ht="14.25" customHeight="1">
      <c r="A10" s="59" t="e">
        <f t="shared" si="1"/>
        <v>#REF!</v>
      </c>
      <c r="B10" s="59" t="s">
        <v>344</v>
      </c>
      <c r="C10" s="59" t="s">
        <v>81</v>
      </c>
      <c r="D10" s="59" t="s">
        <v>66</v>
      </c>
      <c r="E10" s="59"/>
      <c r="F10" s="60"/>
      <c r="G10" s="60"/>
      <c r="H10" s="60"/>
      <c r="I10" s="60"/>
      <c r="J10" s="59"/>
      <c r="K10" s="59">
        <v>0</v>
      </c>
      <c r="L10" s="59">
        <v>0</v>
      </c>
      <c r="M10" s="59">
        <v>0</v>
      </c>
      <c r="N10" s="59">
        <v>0</v>
      </c>
      <c r="O10" s="59"/>
      <c r="P10" s="61">
        <v>174.21</v>
      </c>
      <c r="Q10" s="59"/>
      <c r="R10" s="62"/>
      <c r="S10" s="59"/>
      <c r="T10" s="59"/>
      <c r="U10" s="62"/>
      <c r="V10" s="59"/>
      <c r="W10" s="59"/>
      <c r="X10" s="62"/>
      <c r="Y10" s="62"/>
      <c r="Z10" s="63"/>
    </row>
    <row r="11" spans="1:26" ht="14.25" customHeight="1">
      <c r="A11" s="59" t="str">
        <f t="shared" si="1"/>
        <v xml:space="preserve"> </v>
      </c>
      <c r="B11" s="59"/>
      <c r="C11" s="59"/>
      <c r="D11" s="59"/>
      <c r="E11" s="59"/>
      <c r="F11" s="60"/>
      <c r="G11" s="60"/>
      <c r="H11" s="60"/>
      <c r="I11" s="60"/>
      <c r="J11" s="59"/>
      <c r="K11" s="59" t="s">
        <v>31</v>
      </c>
      <c r="L11" s="59" t="s">
        <v>31</v>
      </c>
      <c r="M11" s="59" t="s">
        <v>31</v>
      </c>
      <c r="N11" s="59" t="s">
        <v>31</v>
      </c>
      <c r="O11" s="61">
        <v>251.12</v>
      </c>
      <c r="P11" s="61" t="s">
        <v>31</v>
      </c>
      <c r="Q11" s="59"/>
      <c r="R11" s="62"/>
      <c r="S11" s="59"/>
      <c r="T11" s="59"/>
      <c r="U11" s="62"/>
      <c r="V11" s="59"/>
      <c r="W11" s="59"/>
      <c r="X11" s="62"/>
      <c r="Y11" s="62"/>
      <c r="Z11" s="63"/>
    </row>
    <row r="12" spans="1:26" ht="14.25" customHeight="1">
      <c r="A12" s="59" t="e">
        <f t="shared" si="1"/>
        <v>#REF!</v>
      </c>
      <c r="B12" s="59" t="s">
        <v>67</v>
      </c>
      <c r="C12" s="59" t="s">
        <v>34</v>
      </c>
      <c r="D12" s="59" t="s">
        <v>68</v>
      </c>
      <c r="E12" s="59"/>
      <c r="F12" s="60"/>
      <c r="G12" s="60"/>
      <c r="H12" s="60"/>
      <c r="I12" s="60"/>
      <c r="J12" s="59"/>
      <c r="K12" s="59">
        <v>0</v>
      </c>
      <c r="L12" s="59">
        <v>0</v>
      </c>
      <c r="M12" s="59">
        <v>0</v>
      </c>
      <c r="N12" s="59">
        <v>0</v>
      </c>
      <c r="O12" s="59"/>
      <c r="P12" s="61"/>
      <c r="Q12" s="59"/>
      <c r="R12" s="62"/>
      <c r="S12" s="59"/>
      <c r="T12" s="59"/>
      <c r="U12" s="62"/>
      <c r="V12" s="59"/>
      <c r="W12" s="59"/>
      <c r="X12" s="62"/>
      <c r="Y12" s="62"/>
      <c r="Z12" s="63"/>
    </row>
    <row r="13" spans="1:26" ht="14.25" customHeight="1">
      <c r="A13" s="59" t="str">
        <f t="shared" si="1"/>
        <v xml:space="preserve"> </v>
      </c>
      <c r="B13" s="59"/>
      <c r="C13" s="59"/>
      <c r="D13" s="59"/>
      <c r="E13" s="59"/>
      <c r="F13" s="60"/>
      <c r="G13" s="60"/>
      <c r="H13" s="60"/>
      <c r="I13" s="60"/>
      <c r="J13" s="59"/>
      <c r="K13" s="59" t="s">
        <v>31</v>
      </c>
      <c r="L13" s="59" t="s">
        <v>31</v>
      </c>
      <c r="M13" s="59" t="s">
        <v>31</v>
      </c>
      <c r="N13" s="59" t="s">
        <v>31</v>
      </c>
      <c r="O13" s="61">
        <v>183</v>
      </c>
      <c r="P13" s="61" t="s">
        <v>31</v>
      </c>
      <c r="Q13" s="59"/>
      <c r="R13" s="62"/>
      <c r="S13" s="59"/>
      <c r="T13" s="59"/>
      <c r="U13" s="62"/>
      <c r="V13" s="59"/>
      <c r="W13" s="59"/>
      <c r="X13" s="62"/>
      <c r="Y13" s="62"/>
      <c r="Z13" s="63"/>
    </row>
    <row r="14" spans="1:26" ht="14.25" customHeight="1">
      <c r="A14" s="59" t="e">
        <f t="shared" si="1"/>
        <v>#REF!</v>
      </c>
      <c r="B14" s="59" t="s">
        <v>310</v>
      </c>
      <c r="C14" s="59" t="s">
        <v>37</v>
      </c>
      <c r="D14" s="59" t="s">
        <v>31</v>
      </c>
      <c r="E14" s="59"/>
      <c r="F14" s="60"/>
      <c r="G14" s="60"/>
      <c r="H14" s="60"/>
      <c r="I14" s="60"/>
      <c r="J14" s="59"/>
      <c r="K14" s="59">
        <v>0</v>
      </c>
      <c r="L14" s="59">
        <v>0</v>
      </c>
      <c r="M14" s="59">
        <v>0</v>
      </c>
      <c r="N14" s="59">
        <v>0</v>
      </c>
      <c r="O14" s="59"/>
      <c r="P14" s="61">
        <v>321.75</v>
      </c>
      <c r="Q14" s="59"/>
      <c r="R14" s="62"/>
      <c r="S14" s="59"/>
      <c r="T14" s="59"/>
      <c r="U14" s="62"/>
      <c r="V14" s="59"/>
      <c r="W14" s="59"/>
      <c r="X14" s="62"/>
      <c r="Y14" s="62"/>
      <c r="Z14" s="63"/>
    </row>
    <row r="15" spans="1:26" ht="14.25" customHeight="1">
      <c r="A15" s="59" t="str">
        <f t="shared" si="1"/>
        <v xml:space="preserve"> </v>
      </c>
      <c r="B15" s="59"/>
      <c r="C15" s="59"/>
      <c r="D15" s="59"/>
      <c r="E15" s="59"/>
      <c r="F15" s="60"/>
      <c r="G15" s="60"/>
      <c r="H15" s="60"/>
      <c r="I15" s="60"/>
      <c r="J15" s="59"/>
      <c r="K15" s="59" t="s">
        <v>31</v>
      </c>
      <c r="L15" s="59" t="s">
        <v>31</v>
      </c>
      <c r="M15" s="59" t="s">
        <v>31</v>
      </c>
      <c r="N15" s="59" t="s">
        <v>31</v>
      </c>
      <c r="O15" s="61">
        <v>182.07</v>
      </c>
      <c r="P15" s="61" t="s">
        <v>31</v>
      </c>
      <c r="Q15" s="59"/>
      <c r="R15" s="62"/>
      <c r="S15" s="59"/>
      <c r="T15" s="59"/>
      <c r="U15" s="62"/>
      <c r="V15" s="59"/>
      <c r="W15" s="59"/>
      <c r="X15" s="62"/>
      <c r="Y15" s="62"/>
      <c r="Z15" s="63"/>
    </row>
    <row r="16" spans="1:26" ht="14.25" customHeight="1">
      <c r="A16" s="59" t="e">
        <f t="shared" si="1"/>
        <v>#REF!</v>
      </c>
      <c r="B16" s="59" t="s">
        <v>69</v>
      </c>
      <c r="C16" s="59" t="s">
        <v>39</v>
      </c>
      <c r="D16" s="59" t="s">
        <v>31</v>
      </c>
      <c r="E16" s="59"/>
      <c r="F16" s="60"/>
      <c r="G16" s="60"/>
      <c r="H16" s="60"/>
      <c r="I16" s="60"/>
      <c r="J16" s="59"/>
      <c r="K16" s="59">
        <v>0</v>
      </c>
      <c r="L16" s="59">
        <v>0</v>
      </c>
      <c r="M16" s="59">
        <v>0</v>
      </c>
      <c r="N16" s="59">
        <v>0</v>
      </c>
      <c r="O16" s="59"/>
      <c r="P16" s="61" t="s">
        <v>31</v>
      </c>
      <c r="Q16" s="59"/>
      <c r="R16" s="62"/>
      <c r="S16" s="59"/>
      <c r="T16" s="59"/>
      <c r="U16" s="62"/>
      <c r="V16" s="59"/>
      <c r="W16" s="59"/>
      <c r="X16" s="62"/>
      <c r="Y16" s="62"/>
      <c r="Z16" s="63"/>
    </row>
    <row r="17" spans="1:26" ht="14.25" customHeight="1">
      <c r="A17" s="59" t="str">
        <f t="shared" si="1"/>
        <v xml:space="preserve"> </v>
      </c>
      <c r="B17" s="59"/>
      <c r="C17" s="59"/>
      <c r="D17" s="59"/>
      <c r="E17" s="59"/>
      <c r="F17" s="60"/>
      <c r="G17" s="60"/>
      <c r="H17" s="60"/>
      <c r="I17" s="60"/>
      <c r="J17" s="59"/>
      <c r="K17" s="59" t="s">
        <v>31</v>
      </c>
      <c r="L17" s="59" t="s">
        <v>31</v>
      </c>
      <c r="M17" s="59" t="s">
        <v>31</v>
      </c>
      <c r="N17" s="59" t="s">
        <v>31</v>
      </c>
      <c r="O17" s="61">
        <v>328.09</v>
      </c>
      <c r="P17" s="61" t="s">
        <v>31</v>
      </c>
      <c r="Q17" s="59"/>
      <c r="R17" s="62"/>
      <c r="S17" s="59"/>
      <c r="T17" s="59"/>
      <c r="U17" s="62"/>
      <c r="V17" s="59"/>
      <c r="W17" s="59"/>
      <c r="X17" s="62"/>
      <c r="Y17" s="62"/>
      <c r="Z17" s="63"/>
    </row>
    <row r="18" spans="1:26" ht="14.25" customHeight="1">
      <c r="A18" s="15" t="e">
        <f t="shared" si="1"/>
        <v>#REF!</v>
      </c>
      <c r="B18" s="15" t="s">
        <v>93</v>
      </c>
      <c r="C18" s="15" t="s">
        <v>51</v>
      </c>
      <c r="D18" s="15" t="s">
        <v>31</v>
      </c>
      <c r="E18" s="15"/>
      <c r="F18" s="6"/>
      <c r="G18" s="6"/>
      <c r="H18" s="6"/>
      <c r="I18" s="6"/>
      <c r="J18" s="15"/>
      <c r="K18" s="15">
        <v>0</v>
      </c>
      <c r="L18" s="15">
        <v>0</v>
      </c>
      <c r="M18" s="15">
        <v>0</v>
      </c>
      <c r="N18" s="15">
        <v>0</v>
      </c>
      <c r="O18" s="15"/>
      <c r="P18" s="64">
        <v>488.63</v>
      </c>
      <c r="Q18" s="15" t="s">
        <v>32</v>
      </c>
      <c r="R18" s="17"/>
      <c r="S18" s="15"/>
      <c r="T18" s="15"/>
      <c r="U18" s="17"/>
      <c r="V18" s="15"/>
      <c r="W18" s="15" t="s">
        <v>28</v>
      </c>
      <c r="X18" s="17"/>
      <c r="Y18" s="17"/>
      <c r="Z18" s="18"/>
    </row>
    <row r="19" spans="1:26" ht="14.25" customHeight="1">
      <c r="A19" s="15" t="str">
        <f t="shared" si="1"/>
        <v xml:space="preserve"> </v>
      </c>
      <c r="B19" s="15"/>
      <c r="C19" s="15"/>
      <c r="D19" s="15"/>
      <c r="E19" s="15"/>
      <c r="F19" s="6"/>
      <c r="G19" s="6"/>
      <c r="H19" s="6"/>
      <c r="I19" s="6"/>
      <c r="J19" s="15"/>
      <c r="K19" s="15" t="s">
        <v>31</v>
      </c>
      <c r="L19" s="15" t="s">
        <v>31</v>
      </c>
      <c r="M19" s="15" t="s">
        <v>31</v>
      </c>
      <c r="N19" s="15" t="s">
        <v>31</v>
      </c>
      <c r="O19" s="16">
        <v>40</v>
      </c>
      <c r="P19" s="16" t="s">
        <v>31</v>
      </c>
      <c r="Q19" s="15" t="s">
        <v>32</v>
      </c>
      <c r="R19" s="17"/>
      <c r="S19" s="15"/>
      <c r="T19" s="15"/>
      <c r="U19" s="17"/>
      <c r="V19" s="15"/>
      <c r="W19" s="15" t="s">
        <v>28</v>
      </c>
      <c r="X19" s="17"/>
      <c r="Y19" s="17"/>
      <c r="Z19" s="18"/>
    </row>
    <row r="20" spans="1:26" ht="14.25" customHeight="1">
      <c r="A20" s="15" t="e">
        <f t="shared" si="1"/>
        <v>#REF!</v>
      </c>
      <c r="B20" s="15" t="s">
        <v>94</v>
      </c>
      <c r="C20" s="15" t="s">
        <v>314</v>
      </c>
      <c r="D20" s="15" t="s">
        <v>31</v>
      </c>
      <c r="E20" s="15"/>
      <c r="F20" s="6"/>
      <c r="G20" s="6"/>
      <c r="H20" s="6"/>
      <c r="I20" s="6"/>
      <c r="J20" s="15"/>
      <c r="K20" s="15">
        <v>0</v>
      </c>
      <c r="L20" s="15">
        <v>0</v>
      </c>
      <c r="M20" s="15">
        <v>0</v>
      </c>
      <c r="N20" s="15">
        <v>0</v>
      </c>
      <c r="O20" s="15"/>
      <c r="P20" s="16">
        <v>40</v>
      </c>
      <c r="Q20" s="15" t="s">
        <v>32</v>
      </c>
      <c r="R20" s="17"/>
      <c r="S20" s="15"/>
      <c r="T20" s="15"/>
      <c r="U20" s="17"/>
      <c r="V20" s="15"/>
      <c r="W20" s="15" t="s">
        <v>28</v>
      </c>
      <c r="X20" s="17"/>
      <c r="Y20" s="17"/>
      <c r="Z20" s="18"/>
    </row>
    <row r="21" spans="1:26" ht="14.25" customHeight="1">
      <c r="A21" s="15" t="str">
        <f t="shared" si="1"/>
        <v xml:space="preserve"> </v>
      </c>
      <c r="B21" s="15"/>
      <c r="C21" s="15"/>
      <c r="D21" s="15"/>
      <c r="E21" s="15"/>
      <c r="F21" s="6"/>
      <c r="G21" s="6"/>
      <c r="H21" s="6"/>
      <c r="I21" s="6"/>
      <c r="J21" s="15"/>
      <c r="K21" s="15" t="s">
        <v>31</v>
      </c>
      <c r="L21" s="15" t="s">
        <v>31</v>
      </c>
      <c r="M21" s="15" t="s">
        <v>31</v>
      </c>
      <c r="N21" s="15" t="s">
        <v>31</v>
      </c>
      <c r="O21" s="16">
        <v>57.414999999999999</v>
      </c>
      <c r="P21" s="16" t="s">
        <v>31</v>
      </c>
      <c r="Q21" s="15" t="s">
        <v>32</v>
      </c>
      <c r="R21" s="17"/>
      <c r="S21" s="15"/>
      <c r="T21" s="15"/>
      <c r="U21" s="17"/>
      <c r="V21" s="15"/>
      <c r="W21" s="15" t="s">
        <v>28</v>
      </c>
      <c r="X21" s="17"/>
      <c r="Y21" s="17"/>
      <c r="Z21" s="18"/>
    </row>
    <row r="22" spans="1:26" ht="14.25" customHeight="1">
      <c r="A22" s="15" t="e">
        <f t="shared" si="1"/>
        <v>#REF!</v>
      </c>
      <c r="B22" s="15" t="s">
        <v>95</v>
      </c>
      <c r="C22" s="15" t="s">
        <v>314</v>
      </c>
      <c r="D22" s="15" t="s">
        <v>31</v>
      </c>
      <c r="E22" s="15"/>
      <c r="F22" s="6"/>
      <c r="G22" s="6"/>
      <c r="H22" s="6"/>
      <c r="I22" s="6"/>
      <c r="J22" s="15"/>
      <c r="K22" s="15">
        <v>0</v>
      </c>
      <c r="L22" s="15">
        <v>0</v>
      </c>
      <c r="M22" s="15">
        <v>0</v>
      </c>
      <c r="N22" s="15">
        <v>0</v>
      </c>
      <c r="O22" s="15"/>
      <c r="P22" s="16">
        <v>57.42</v>
      </c>
      <c r="Q22" s="15" t="s">
        <v>32</v>
      </c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 t="str">
        <f t="shared" si="1"/>
        <v xml:space="preserve"> </v>
      </c>
      <c r="B23" s="15"/>
      <c r="C23" s="15"/>
      <c r="D23" s="15"/>
      <c r="E23" s="15"/>
      <c r="F23" s="6"/>
      <c r="G23" s="6"/>
      <c r="H23" s="6"/>
      <c r="I23" s="6"/>
      <c r="J23" s="15"/>
      <c r="K23" s="15" t="s">
        <v>31</v>
      </c>
      <c r="L23" s="15" t="s">
        <v>31</v>
      </c>
      <c r="M23" s="15" t="s">
        <v>31</v>
      </c>
      <c r="N23" s="15" t="s">
        <v>31</v>
      </c>
      <c r="O23" s="16">
        <v>38.566000000000003</v>
      </c>
      <c r="P23" s="16" t="s">
        <v>31</v>
      </c>
      <c r="Q23" s="15" t="s">
        <v>32</v>
      </c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e">
        <f t="shared" si="1"/>
        <v>#REF!</v>
      </c>
      <c r="B24" s="15" t="s">
        <v>104</v>
      </c>
      <c r="C24" s="15" t="s">
        <v>34</v>
      </c>
      <c r="D24" s="15" t="s">
        <v>31</v>
      </c>
      <c r="E24" s="15"/>
      <c r="F24" s="6"/>
      <c r="G24" s="6"/>
      <c r="H24" s="6"/>
      <c r="I24" s="6"/>
      <c r="J24" s="15"/>
      <c r="K24" s="15">
        <v>0</v>
      </c>
      <c r="L24" s="15">
        <v>0</v>
      </c>
      <c r="M24" s="15">
        <v>0</v>
      </c>
      <c r="N24" s="15">
        <v>0</v>
      </c>
      <c r="O24" s="15"/>
      <c r="P24" s="16">
        <v>38.57</v>
      </c>
      <c r="Q24" s="15" t="s">
        <v>32</v>
      </c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 t="str">
        <f t="shared" si="1"/>
        <v xml:space="preserve"> </v>
      </c>
      <c r="B25" s="15"/>
      <c r="C25" s="15"/>
      <c r="D25" s="15"/>
      <c r="E25" s="15"/>
      <c r="F25" s="6"/>
      <c r="G25" s="6"/>
      <c r="H25" s="6"/>
      <c r="I25" s="6"/>
      <c r="J25" s="15"/>
      <c r="K25" s="15" t="s">
        <v>31</v>
      </c>
      <c r="L25" s="15" t="s">
        <v>31</v>
      </c>
      <c r="M25" s="15" t="s">
        <v>31</v>
      </c>
      <c r="N25" s="15" t="s">
        <v>31</v>
      </c>
      <c r="O25" s="16">
        <v>182.04300000000001</v>
      </c>
      <c r="P25" s="16" t="s">
        <v>31</v>
      </c>
      <c r="Q25" s="15" t="s">
        <v>32</v>
      </c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e">
        <f t="shared" si="1"/>
        <v>#REF!</v>
      </c>
      <c r="B26" s="15" t="s">
        <v>316</v>
      </c>
      <c r="C26" s="15" t="s">
        <v>34</v>
      </c>
      <c r="D26" s="15" t="s">
        <v>31</v>
      </c>
      <c r="E26" s="15"/>
      <c r="F26" s="6"/>
      <c r="G26" s="6"/>
      <c r="H26" s="6"/>
      <c r="I26" s="6"/>
      <c r="J26" s="15"/>
      <c r="K26" s="15">
        <v>0</v>
      </c>
      <c r="L26" s="15">
        <v>0</v>
      </c>
      <c r="M26" s="15">
        <v>0</v>
      </c>
      <c r="N26" s="15">
        <v>0</v>
      </c>
      <c r="O26" s="15"/>
      <c r="P26" s="16">
        <v>182.04</v>
      </c>
      <c r="Q26" s="15" t="s">
        <v>32</v>
      </c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 t="str">
        <f t="shared" si="1"/>
        <v xml:space="preserve"> </v>
      </c>
      <c r="B27" s="15"/>
      <c r="C27" s="15"/>
      <c r="D27" s="15"/>
      <c r="E27" s="15"/>
      <c r="F27" s="6"/>
      <c r="G27" s="6"/>
      <c r="H27" s="6"/>
      <c r="I27" s="6"/>
      <c r="J27" s="15"/>
      <c r="K27" s="15" t="s">
        <v>31</v>
      </c>
      <c r="L27" s="15" t="s">
        <v>31</v>
      </c>
      <c r="M27" s="15" t="s">
        <v>31</v>
      </c>
      <c r="N27" s="15" t="s">
        <v>31</v>
      </c>
      <c r="O27" s="16">
        <v>204.148</v>
      </c>
      <c r="P27" s="16" t="s">
        <v>31</v>
      </c>
      <c r="Q27" s="15" t="s">
        <v>32</v>
      </c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65" t="e">
        <f t="shared" si="1"/>
        <v>#REF!</v>
      </c>
      <c r="B28" s="65" t="s">
        <v>106</v>
      </c>
      <c r="C28" s="65" t="s">
        <v>76</v>
      </c>
      <c r="D28" s="65" t="s">
        <v>31</v>
      </c>
      <c r="E28" s="65"/>
      <c r="F28" s="66"/>
      <c r="G28" s="66"/>
      <c r="H28" s="66"/>
      <c r="I28" s="66"/>
      <c r="J28" s="65"/>
      <c r="K28" s="65">
        <v>0</v>
      </c>
      <c r="L28" s="65">
        <v>0</v>
      </c>
      <c r="M28" s="65">
        <v>0</v>
      </c>
      <c r="N28" s="65">
        <v>0</v>
      </c>
      <c r="O28" s="65"/>
      <c r="P28" s="67">
        <v>204.15</v>
      </c>
      <c r="Q28" s="15" t="s">
        <v>32</v>
      </c>
      <c r="R28" s="68"/>
      <c r="S28" s="65"/>
      <c r="T28" s="65"/>
      <c r="U28" s="68"/>
      <c r="V28" s="65"/>
      <c r="W28" s="65" t="s">
        <v>28</v>
      </c>
      <c r="X28" s="68"/>
      <c r="Y28" s="68"/>
      <c r="Z28" s="53"/>
    </row>
    <row r="29" spans="1:26" ht="14.25" customHeight="1">
      <c r="A29" s="15" t="str">
        <f t="shared" si="1"/>
        <v xml:space="preserve"> </v>
      </c>
      <c r="B29" s="15"/>
      <c r="C29" s="15"/>
      <c r="D29" s="15"/>
      <c r="E29" s="15"/>
      <c r="F29" s="6"/>
      <c r="G29" s="6"/>
      <c r="H29" s="6"/>
      <c r="I29" s="6"/>
      <c r="J29" s="15"/>
      <c r="K29" s="15" t="s">
        <v>31</v>
      </c>
      <c r="L29" s="15" t="s">
        <v>31</v>
      </c>
      <c r="M29" s="15" t="s">
        <v>31</v>
      </c>
      <c r="N29" s="15" t="s">
        <v>31</v>
      </c>
      <c r="O29" s="16">
        <v>230</v>
      </c>
      <c r="P29" s="16" t="s">
        <v>31</v>
      </c>
      <c r="Q29" s="15" t="s">
        <v>32</v>
      </c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e">
        <f t="shared" si="1"/>
        <v>#REF!</v>
      </c>
      <c r="B30" s="15" t="s">
        <v>107</v>
      </c>
      <c r="C30" s="15" t="s">
        <v>37</v>
      </c>
      <c r="D30" s="15" t="s">
        <v>31</v>
      </c>
      <c r="E30" s="15"/>
      <c r="F30" s="6"/>
      <c r="G30" s="6"/>
      <c r="H30" s="6"/>
      <c r="I30" s="6"/>
      <c r="J30" s="15"/>
      <c r="K30" s="15">
        <v>0</v>
      </c>
      <c r="L30" s="15">
        <v>0</v>
      </c>
      <c r="M30" s="15">
        <v>0</v>
      </c>
      <c r="N30" s="15">
        <v>0</v>
      </c>
      <c r="O30" s="15"/>
      <c r="P30" s="16" t="s">
        <v>31</v>
      </c>
      <c r="Q30" s="15" t="s">
        <v>32</v>
      </c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 t="str">
        <f t="shared" si="1"/>
        <v xml:space="preserve"> </v>
      </c>
      <c r="B31" s="15"/>
      <c r="C31" s="15"/>
      <c r="D31" s="15"/>
      <c r="E31" s="15"/>
      <c r="F31" s="6"/>
      <c r="G31" s="6"/>
      <c r="H31" s="6"/>
      <c r="I31" s="6"/>
      <c r="J31" s="15"/>
      <c r="K31" s="15" t="s">
        <v>31</v>
      </c>
      <c r="L31" s="15" t="s">
        <v>31</v>
      </c>
      <c r="M31" s="15" t="s">
        <v>31</v>
      </c>
      <c r="N31" s="15" t="s">
        <v>31</v>
      </c>
      <c r="O31" s="16">
        <v>294</v>
      </c>
      <c r="P31" s="16" t="s">
        <v>31</v>
      </c>
      <c r="Q31" s="15" t="s">
        <v>32</v>
      </c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e">
        <f t="shared" si="1"/>
        <v>#REF!</v>
      </c>
      <c r="B32" s="15" t="s">
        <v>108</v>
      </c>
      <c r="C32" s="15" t="s">
        <v>37</v>
      </c>
      <c r="D32" s="15" t="s">
        <v>31</v>
      </c>
      <c r="E32" s="15"/>
      <c r="F32" s="6"/>
      <c r="G32" s="6"/>
      <c r="H32" s="6"/>
      <c r="I32" s="6"/>
      <c r="J32" s="15">
        <v>1</v>
      </c>
      <c r="K32" s="15">
        <v>1</v>
      </c>
      <c r="L32" s="15">
        <v>1</v>
      </c>
      <c r="M32" s="15">
        <v>1</v>
      </c>
      <c r="N32" s="15">
        <v>1</v>
      </c>
      <c r="O32" s="15"/>
      <c r="P32" s="16" t="s">
        <v>31</v>
      </c>
      <c r="Q32" s="15" t="s">
        <v>32</v>
      </c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 t="str">
        <f t="shared" si="1"/>
        <v xml:space="preserve"> </v>
      </c>
      <c r="B33" s="15"/>
      <c r="C33" s="15"/>
      <c r="D33" s="15"/>
      <c r="E33" s="15"/>
      <c r="F33" s="6"/>
      <c r="G33" s="6"/>
      <c r="H33" s="6"/>
      <c r="I33" s="6"/>
      <c r="J33" s="15"/>
      <c r="K33" s="15" t="s">
        <v>31</v>
      </c>
      <c r="L33" s="15" t="s">
        <v>31</v>
      </c>
      <c r="M33" s="15" t="s">
        <v>31</v>
      </c>
      <c r="N33" s="15" t="s">
        <v>31</v>
      </c>
      <c r="O33" s="16">
        <v>249.82</v>
      </c>
      <c r="P33" s="16"/>
      <c r="Q33" s="15" t="s">
        <v>32</v>
      </c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e">
        <f t="shared" si="1"/>
        <v>#REF!</v>
      </c>
      <c r="B34" s="15" t="s">
        <v>111</v>
      </c>
      <c r="C34" s="15" t="s">
        <v>51</v>
      </c>
      <c r="D34" s="15" t="s">
        <v>31</v>
      </c>
      <c r="E34" s="15"/>
      <c r="F34" s="6"/>
      <c r="G34" s="6"/>
      <c r="H34" s="6"/>
      <c r="I34" s="6"/>
      <c r="J34" s="15"/>
      <c r="K34" s="15">
        <v>0</v>
      </c>
      <c r="L34" s="15">
        <v>0</v>
      </c>
      <c r="M34" s="15">
        <v>0</v>
      </c>
      <c r="N34" s="15">
        <v>0</v>
      </c>
      <c r="O34" s="15"/>
      <c r="P34" s="16"/>
      <c r="Q34" s="15" t="s">
        <v>32</v>
      </c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 t="str">
        <f t="shared" si="1"/>
        <v xml:space="preserve"> </v>
      </c>
      <c r="B35" s="15"/>
      <c r="C35" s="15"/>
      <c r="D35" s="15"/>
      <c r="E35" s="15"/>
      <c r="F35" s="6"/>
      <c r="G35" s="6"/>
      <c r="H35" s="6"/>
      <c r="I35" s="6"/>
      <c r="J35" s="15"/>
      <c r="K35" s="15" t="s">
        <v>31</v>
      </c>
      <c r="L35" s="15" t="s">
        <v>31</v>
      </c>
      <c r="M35" s="15" t="s">
        <v>31</v>
      </c>
      <c r="N35" s="15" t="s">
        <v>31</v>
      </c>
      <c r="O35" s="16">
        <v>329.66</v>
      </c>
      <c r="P35" s="16"/>
      <c r="Q35" s="15" t="s">
        <v>32</v>
      </c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e">
        <f t="shared" si="1"/>
        <v>#REF!</v>
      </c>
      <c r="B36" s="15" t="s">
        <v>320</v>
      </c>
      <c r="C36" s="15" t="s">
        <v>51</v>
      </c>
      <c r="D36" s="15" t="s">
        <v>31</v>
      </c>
      <c r="E36" s="15"/>
      <c r="F36" s="6"/>
      <c r="G36" s="6"/>
      <c r="H36" s="6"/>
      <c r="I36" s="6"/>
      <c r="J36" s="15"/>
      <c r="K36" s="15">
        <v>0</v>
      </c>
      <c r="L36" s="15">
        <v>0</v>
      </c>
      <c r="M36" s="15">
        <v>0</v>
      </c>
      <c r="N36" s="15">
        <v>0</v>
      </c>
      <c r="O36" s="15"/>
      <c r="P36" s="16"/>
      <c r="Q36" s="15" t="s">
        <v>32</v>
      </c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 t="str">
        <f t="shared" si="1"/>
        <v xml:space="preserve"> </v>
      </c>
      <c r="B37" s="15"/>
      <c r="C37" s="15"/>
      <c r="D37" s="15"/>
      <c r="E37" s="15"/>
      <c r="F37" s="6"/>
      <c r="G37" s="6"/>
      <c r="H37" s="6"/>
      <c r="I37" s="6"/>
      <c r="J37" s="15"/>
      <c r="K37" s="15" t="s">
        <v>31</v>
      </c>
      <c r="L37" s="15" t="s">
        <v>31</v>
      </c>
      <c r="M37" s="15" t="s">
        <v>31</v>
      </c>
      <c r="N37" s="15" t="s">
        <v>31</v>
      </c>
      <c r="O37" s="16">
        <v>170</v>
      </c>
      <c r="P37" s="16"/>
      <c r="Q37" s="15" t="s">
        <v>32</v>
      </c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e">
        <f t="shared" si="1"/>
        <v>#REF!</v>
      </c>
      <c r="B38" s="15" t="s">
        <v>145</v>
      </c>
      <c r="C38" s="15" t="s">
        <v>56</v>
      </c>
      <c r="D38" s="15" t="s">
        <v>31</v>
      </c>
      <c r="E38" s="15"/>
      <c r="F38" s="6"/>
      <c r="G38" s="6"/>
      <c r="H38" s="6"/>
      <c r="I38" s="6"/>
      <c r="J38" s="15"/>
      <c r="K38" s="15">
        <v>0</v>
      </c>
      <c r="L38" s="15">
        <v>0</v>
      </c>
      <c r="M38" s="15">
        <v>0</v>
      </c>
      <c r="N38" s="15">
        <v>0</v>
      </c>
      <c r="O38" s="15"/>
      <c r="P38" s="16"/>
      <c r="Q38" s="15" t="s">
        <v>32</v>
      </c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 t="str">
        <f t="shared" si="1"/>
        <v xml:space="preserve"> </v>
      </c>
      <c r="B39" s="15"/>
      <c r="C39" s="15"/>
      <c r="D39" s="15"/>
      <c r="E39" s="15"/>
      <c r="F39" s="6"/>
      <c r="G39" s="6"/>
      <c r="H39" s="6"/>
      <c r="I39" s="6"/>
      <c r="J39" s="15"/>
      <c r="K39" s="15" t="s">
        <v>31</v>
      </c>
      <c r="L39" s="15" t="s">
        <v>31</v>
      </c>
      <c r="M39" s="15" t="s">
        <v>31</v>
      </c>
      <c r="N39" s="15" t="s">
        <v>31</v>
      </c>
      <c r="O39" s="16">
        <v>312</v>
      </c>
      <c r="P39" s="16"/>
      <c r="Q39" s="15" t="s">
        <v>32</v>
      </c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e">
        <f t="shared" si="1"/>
        <v>#REF!</v>
      </c>
      <c r="B40" s="15" t="s">
        <v>146</v>
      </c>
      <c r="C40" s="15" t="s">
        <v>56</v>
      </c>
      <c r="D40" s="15" t="s">
        <v>31</v>
      </c>
      <c r="E40" s="15"/>
      <c r="F40" s="6"/>
      <c r="G40" s="6"/>
      <c r="H40" s="6"/>
      <c r="I40" s="6"/>
      <c r="J40" s="15"/>
      <c r="K40" s="15">
        <v>0</v>
      </c>
      <c r="L40" s="15">
        <v>0</v>
      </c>
      <c r="M40" s="15">
        <v>0</v>
      </c>
      <c r="N40" s="15">
        <v>0</v>
      </c>
      <c r="O40" s="15"/>
      <c r="P40" s="16"/>
      <c r="Q40" s="15" t="s">
        <v>32</v>
      </c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 t="str">
        <f t="shared" si="1"/>
        <v xml:space="preserve"> </v>
      </c>
      <c r="B41" s="15"/>
      <c r="C41" s="15"/>
      <c r="D41" s="15"/>
      <c r="E41" s="15"/>
      <c r="F41" s="6"/>
      <c r="G41" s="6"/>
      <c r="H41" s="6"/>
      <c r="I41" s="6"/>
      <c r="J41" s="15"/>
      <c r="K41" s="15" t="s">
        <v>31</v>
      </c>
      <c r="L41" s="15" t="s">
        <v>31</v>
      </c>
      <c r="M41" s="15" t="s">
        <v>31</v>
      </c>
      <c r="N41" s="15" t="s">
        <v>31</v>
      </c>
      <c r="O41" s="16">
        <v>259.92</v>
      </c>
      <c r="P41" s="16"/>
      <c r="Q41" s="15" t="s">
        <v>32</v>
      </c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e">
        <f t="shared" si="1"/>
        <v>#REF!</v>
      </c>
      <c r="B42" s="15" t="s">
        <v>322</v>
      </c>
      <c r="C42" s="15" t="s">
        <v>62</v>
      </c>
      <c r="D42" s="15" t="s">
        <v>31</v>
      </c>
      <c r="E42" s="15"/>
      <c r="F42" s="6"/>
      <c r="G42" s="6"/>
      <c r="H42" s="6"/>
      <c r="I42" s="6"/>
      <c r="J42" s="15"/>
      <c r="K42" s="15">
        <v>0</v>
      </c>
      <c r="L42" s="15">
        <v>0</v>
      </c>
      <c r="M42" s="15">
        <v>0</v>
      </c>
      <c r="N42" s="15">
        <v>0</v>
      </c>
      <c r="O42" s="15"/>
      <c r="P42" s="16"/>
      <c r="Q42" s="15" t="s">
        <v>32</v>
      </c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 t="str">
        <f t="shared" si="1"/>
        <v xml:space="preserve"> </v>
      </c>
      <c r="B43" s="15"/>
      <c r="C43" s="15"/>
      <c r="D43" s="15"/>
      <c r="E43" s="15"/>
      <c r="F43" s="6"/>
      <c r="G43" s="6"/>
      <c r="H43" s="6"/>
      <c r="I43" s="6"/>
      <c r="J43" s="15"/>
      <c r="K43" s="15" t="s">
        <v>31</v>
      </c>
      <c r="L43" s="15" t="s">
        <v>31</v>
      </c>
      <c r="M43" s="15" t="s">
        <v>31</v>
      </c>
      <c r="N43" s="15" t="s">
        <v>31</v>
      </c>
      <c r="O43" s="16">
        <v>215.13</v>
      </c>
      <c r="P43" s="16"/>
      <c r="Q43" s="15" t="s">
        <v>32</v>
      </c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e">
        <f t="shared" si="1"/>
        <v>#REF!</v>
      </c>
      <c r="B44" s="15" t="s">
        <v>324</v>
      </c>
      <c r="C44" s="15" t="s">
        <v>62</v>
      </c>
      <c r="D44" s="15" t="s">
        <v>31</v>
      </c>
      <c r="E44" s="15"/>
      <c r="F44" s="6"/>
      <c r="G44" s="6"/>
      <c r="H44" s="6"/>
      <c r="I44" s="6"/>
      <c r="J44" s="15"/>
      <c r="K44" s="15">
        <v>0</v>
      </c>
      <c r="L44" s="15">
        <v>0</v>
      </c>
      <c r="M44" s="15">
        <v>0</v>
      </c>
      <c r="N44" s="15">
        <v>0</v>
      </c>
      <c r="O44" s="15"/>
      <c r="P44" s="16"/>
      <c r="Q44" s="15" t="s">
        <v>32</v>
      </c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 t="str">
        <f t="shared" si="1"/>
        <v xml:space="preserve"> </v>
      </c>
      <c r="B45" s="57"/>
      <c r="C45" s="57"/>
      <c r="D45" s="15"/>
      <c r="E45" s="15"/>
      <c r="F45" s="6"/>
      <c r="G45" s="6"/>
      <c r="H45" s="6"/>
      <c r="I45" s="6"/>
      <c r="J45" s="15"/>
      <c r="K45" s="15" t="s">
        <v>31</v>
      </c>
      <c r="L45" s="15" t="s">
        <v>31</v>
      </c>
      <c r="M45" s="15" t="s">
        <v>31</v>
      </c>
      <c r="N45" s="15" t="s">
        <v>31</v>
      </c>
      <c r="O45" s="64">
        <v>316.14999999999998</v>
      </c>
      <c r="P45" s="64"/>
      <c r="Q45" s="15" t="s">
        <v>32</v>
      </c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e">
        <f t="shared" si="1"/>
        <v>#REF!</v>
      </c>
      <c r="B46" s="15" t="s">
        <v>326</v>
      </c>
      <c r="C46" s="15" t="s">
        <v>76</v>
      </c>
      <c r="D46" s="15" t="s">
        <v>31</v>
      </c>
      <c r="E46" s="15"/>
      <c r="F46" s="6"/>
      <c r="G46" s="6"/>
      <c r="H46" s="6"/>
      <c r="I46" s="6"/>
      <c r="J46" s="15"/>
      <c r="K46" s="15">
        <v>0</v>
      </c>
      <c r="L46" s="15">
        <v>0</v>
      </c>
      <c r="M46" s="15">
        <v>0</v>
      </c>
      <c r="N46" s="15">
        <v>0</v>
      </c>
      <c r="O46" s="57"/>
      <c r="P46" s="64"/>
      <c r="Q46" s="15" t="s">
        <v>32</v>
      </c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 t="str">
        <f t="shared" si="1"/>
        <v xml:space="preserve"> </v>
      </c>
      <c r="B47" s="15"/>
      <c r="C47" s="15"/>
      <c r="D47" s="15"/>
      <c r="E47" s="15"/>
      <c r="F47" s="6"/>
      <c r="G47" s="6"/>
      <c r="H47" s="6"/>
      <c r="I47" s="6"/>
      <c r="J47" s="15"/>
      <c r="K47" s="15" t="s">
        <v>31</v>
      </c>
      <c r="L47" s="15" t="s">
        <v>31</v>
      </c>
      <c r="M47" s="15" t="s">
        <v>31</v>
      </c>
      <c r="N47" s="15" t="s">
        <v>31</v>
      </c>
      <c r="O47" s="16">
        <v>267</v>
      </c>
      <c r="P47" s="16">
        <v>267</v>
      </c>
      <c r="Q47" s="15" t="s">
        <v>32</v>
      </c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e">
        <f t="shared" si="1"/>
        <v>#REF!</v>
      </c>
      <c r="B48" s="15" t="s">
        <v>328</v>
      </c>
      <c r="C48" s="15" t="s">
        <v>37</v>
      </c>
      <c r="D48" s="15" t="s">
        <v>299</v>
      </c>
      <c r="E48" s="15"/>
      <c r="F48" s="15"/>
      <c r="G48" s="15"/>
      <c r="H48" s="15"/>
      <c r="I48" s="15"/>
      <c r="J48" s="15"/>
      <c r="K48" s="15">
        <v>0</v>
      </c>
      <c r="L48" s="15">
        <v>0</v>
      </c>
      <c r="M48" s="15">
        <v>0</v>
      </c>
      <c r="N48" s="15">
        <v>0</v>
      </c>
      <c r="O48" s="15"/>
      <c r="P48" s="15"/>
      <c r="Q48" s="15" t="s">
        <v>32</v>
      </c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 t="s">
        <v>31</v>
      </c>
      <c r="L49" s="15" t="s">
        <v>31</v>
      </c>
      <c r="M49" s="15" t="s">
        <v>31</v>
      </c>
      <c r="N49" s="15" t="s">
        <v>31</v>
      </c>
      <c r="O49" s="16">
        <v>267.185</v>
      </c>
      <c r="P49" s="16">
        <v>267.185</v>
      </c>
      <c r="Q49" s="15" t="s">
        <v>32</v>
      </c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e">
        <f>IF(B50&gt;0,A48+1," ")</f>
        <v>#REF!</v>
      </c>
      <c r="B50" s="15" t="s">
        <v>329</v>
      </c>
      <c r="C50" s="15" t="s">
        <v>34</v>
      </c>
      <c r="D50" s="15" t="s">
        <v>31</v>
      </c>
      <c r="E50" s="15"/>
      <c r="F50" s="15"/>
      <c r="G50" s="15"/>
      <c r="H50" s="15"/>
      <c r="I50" s="15"/>
      <c r="J50" s="15"/>
      <c r="K50" s="15">
        <v>0</v>
      </c>
      <c r="L50" s="15">
        <v>0</v>
      </c>
      <c r="M50" s="15">
        <v>0</v>
      </c>
      <c r="N50" s="15">
        <v>0</v>
      </c>
      <c r="O50" s="15"/>
      <c r="P50" s="15"/>
      <c r="Q50" s="15" t="s">
        <v>32</v>
      </c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 t="s">
        <v>31</v>
      </c>
      <c r="L51" s="15" t="s">
        <v>31</v>
      </c>
      <c r="M51" s="15" t="s">
        <v>31</v>
      </c>
      <c r="N51" s="15" t="s">
        <v>31</v>
      </c>
      <c r="O51" s="16">
        <v>87.412000000000006</v>
      </c>
      <c r="P51" s="16">
        <v>87.412000000000006</v>
      </c>
      <c r="Q51" s="15" t="s">
        <v>32</v>
      </c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e">
        <f>IF(B52&gt;0,A50+1," ")</f>
        <v>#REF!</v>
      </c>
      <c r="B52" s="15" t="s">
        <v>167</v>
      </c>
      <c r="C52" s="15" t="s">
        <v>314</v>
      </c>
      <c r="D52" s="15" t="s">
        <v>31</v>
      </c>
      <c r="E52" s="15"/>
      <c r="F52" s="15"/>
      <c r="G52" s="15"/>
      <c r="H52" s="15"/>
      <c r="I52" s="15"/>
      <c r="J52" s="15"/>
      <c r="K52" s="15">
        <v>0</v>
      </c>
      <c r="L52" s="15">
        <v>0</v>
      </c>
      <c r="M52" s="15">
        <v>0</v>
      </c>
      <c r="N52" s="15">
        <v>0</v>
      </c>
      <c r="O52" s="15"/>
      <c r="P52" s="15"/>
      <c r="Q52" s="15" t="s">
        <v>32</v>
      </c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 t="s">
        <v>31</v>
      </c>
      <c r="L53" s="15" t="s">
        <v>31</v>
      </c>
      <c r="M53" s="15" t="s">
        <v>31</v>
      </c>
      <c r="N53" s="15" t="s">
        <v>31</v>
      </c>
      <c r="O53" s="16">
        <v>66.460999999999999</v>
      </c>
      <c r="P53" s="16">
        <v>66.460999999999999</v>
      </c>
      <c r="Q53" s="15" t="s">
        <v>32</v>
      </c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e">
        <f>IF(B54&gt;0,A52+1," ")</f>
        <v>#REF!</v>
      </c>
      <c r="B54" s="15" t="s">
        <v>331</v>
      </c>
      <c r="C54" s="15" t="s">
        <v>314</v>
      </c>
      <c r="D54" s="15" t="s">
        <v>31</v>
      </c>
      <c r="E54" s="15"/>
      <c r="F54" s="15"/>
      <c r="G54" s="15"/>
      <c r="H54" s="15"/>
      <c r="I54" s="15"/>
      <c r="J54" s="15"/>
      <c r="K54" s="15">
        <v>0</v>
      </c>
      <c r="L54" s="15">
        <v>0</v>
      </c>
      <c r="M54" s="15">
        <v>0</v>
      </c>
      <c r="N54" s="15">
        <v>0</v>
      </c>
      <c r="O54" s="15"/>
      <c r="P54" s="15"/>
      <c r="Q54" s="15" t="s">
        <v>32</v>
      </c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 t="s">
        <v>31</v>
      </c>
      <c r="L55" s="15" t="s">
        <v>31</v>
      </c>
      <c r="M55" s="15" t="s">
        <v>31</v>
      </c>
      <c r="N55" s="15" t="s">
        <v>31</v>
      </c>
      <c r="O55" s="16">
        <v>56.381</v>
      </c>
      <c r="P55" s="16">
        <v>56.381</v>
      </c>
      <c r="Q55" s="15" t="s">
        <v>32</v>
      </c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e">
        <f>IF(B56&gt;0,A54+1," ")</f>
        <v>#REF!</v>
      </c>
      <c r="B56" s="15" t="s">
        <v>332</v>
      </c>
      <c r="C56" s="15" t="s">
        <v>62</v>
      </c>
      <c r="D56" s="15" t="s">
        <v>97</v>
      </c>
      <c r="E56" s="15"/>
      <c r="F56" s="15"/>
      <c r="G56" s="15"/>
      <c r="H56" s="15"/>
      <c r="I56" s="15"/>
      <c r="J56" s="15"/>
      <c r="K56" s="15">
        <v>0</v>
      </c>
      <c r="L56" s="15">
        <v>0</v>
      </c>
      <c r="M56" s="15">
        <v>0</v>
      </c>
      <c r="N56" s="15">
        <v>0</v>
      </c>
      <c r="O56" s="15"/>
      <c r="P56" s="15"/>
      <c r="Q56" s="15" t="s">
        <v>32</v>
      </c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 t="s">
        <v>31</v>
      </c>
      <c r="L57" s="15" t="s">
        <v>31</v>
      </c>
      <c r="M57" s="15" t="s">
        <v>31</v>
      </c>
      <c r="N57" s="15" t="s">
        <v>31</v>
      </c>
      <c r="O57" s="16">
        <v>224.23099999999999</v>
      </c>
      <c r="P57" s="16">
        <v>224.23099999999999</v>
      </c>
      <c r="Q57" s="15" t="s">
        <v>32</v>
      </c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43"/>
      <c r="B58" s="15" t="s">
        <v>334</v>
      </c>
      <c r="C58" s="15" t="s">
        <v>51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 t="s">
        <v>32</v>
      </c>
      <c r="R58" s="17"/>
      <c r="S58" s="40"/>
      <c r="T58" s="15"/>
      <c r="U58" s="44"/>
      <c r="V58" s="42"/>
      <c r="W58" s="15" t="s">
        <v>28</v>
      </c>
      <c r="X58" s="17"/>
      <c r="Y58" s="40"/>
      <c r="Z58" s="18"/>
    </row>
    <row r="59" spans="1:26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6">
        <v>276</v>
      </c>
      <c r="P59" s="16">
        <v>276</v>
      </c>
      <c r="Q59" s="15" t="s">
        <v>32</v>
      </c>
      <c r="R59" s="17"/>
      <c r="S59" s="40"/>
      <c r="T59" s="15"/>
      <c r="U59" s="44"/>
      <c r="V59" s="42"/>
      <c r="W59" s="15" t="s">
        <v>28</v>
      </c>
      <c r="X59" s="17"/>
      <c r="Y59" s="40"/>
      <c r="Z59" s="18"/>
    </row>
    <row r="60" spans="1:26" ht="14.25" customHeight="1">
      <c r="A60" s="43"/>
      <c r="B60" s="15" t="s">
        <v>181</v>
      </c>
      <c r="C60" s="15" t="s">
        <v>42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 t="s">
        <v>32</v>
      </c>
      <c r="R60" s="17"/>
      <c r="S60" s="40"/>
      <c r="T60" s="15"/>
      <c r="U60" s="44"/>
      <c r="V60" s="42"/>
      <c r="W60" s="15" t="s">
        <v>28</v>
      </c>
      <c r="X60" s="17"/>
      <c r="Y60" s="40"/>
      <c r="Z60" s="18"/>
    </row>
    <row r="61" spans="1:26" ht="14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6">
        <v>244</v>
      </c>
      <c r="P61" s="16">
        <v>244</v>
      </c>
      <c r="Q61" s="15" t="s">
        <v>32</v>
      </c>
      <c r="R61" s="17"/>
      <c r="S61" s="40"/>
      <c r="T61" s="15"/>
      <c r="U61" s="44"/>
      <c r="V61" s="42"/>
      <c r="W61" s="15" t="s">
        <v>28</v>
      </c>
      <c r="X61" s="17"/>
      <c r="Y61" s="40"/>
      <c r="Z61" s="18"/>
    </row>
    <row r="62" spans="1:26" ht="14.25" customHeight="1">
      <c r="A62" s="43"/>
      <c r="B62" s="15" t="s">
        <v>182</v>
      </c>
      <c r="C62" s="15" t="s">
        <v>42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 t="s">
        <v>32</v>
      </c>
      <c r="R62" s="17"/>
      <c r="S62" s="40"/>
      <c r="T62" s="15"/>
      <c r="U62" s="44"/>
      <c r="V62" s="42"/>
      <c r="W62" s="15" t="s">
        <v>28</v>
      </c>
      <c r="X62" s="17"/>
      <c r="Y62" s="40"/>
      <c r="Z62" s="18"/>
    </row>
    <row r="63" spans="1:26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6">
        <v>241</v>
      </c>
      <c r="P63" s="16">
        <v>241</v>
      </c>
      <c r="Q63" s="15" t="s">
        <v>32</v>
      </c>
      <c r="R63" s="17"/>
      <c r="S63" s="40"/>
      <c r="T63" s="15"/>
      <c r="U63" s="44"/>
      <c r="V63" s="42"/>
      <c r="W63" s="15" t="s">
        <v>28</v>
      </c>
      <c r="X63" s="17"/>
      <c r="Y63" s="40"/>
      <c r="Z63" s="18"/>
    </row>
    <row r="64" spans="1:26" ht="14.25" customHeight="1">
      <c r="A64" s="43"/>
      <c r="B64" s="15" t="s">
        <v>183</v>
      </c>
      <c r="C64" s="15" t="s">
        <v>42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 t="s">
        <v>32</v>
      </c>
      <c r="R64" s="17"/>
      <c r="S64" s="40"/>
      <c r="T64" s="15"/>
      <c r="U64" s="44"/>
      <c r="V64" s="42"/>
      <c r="W64" s="15" t="s">
        <v>28</v>
      </c>
      <c r="X64" s="17"/>
      <c r="Y64" s="40"/>
      <c r="Z64" s="18"/>
    </row>
    <row r="65" spans="1:26" ht="14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6">
        <v>240.727</v>
      </c>
      <c r="P65" s="16">
        <v>240.727</v>
      </c>
      <c r="Q65" s="15" t="s">
        <v>32</v>
      </c>
      <c r="R65" s="17"/>
      <c r="S65" s="40"/>
      <c r="T65" s="15"/>
      <c r="U65" s="44"/>
      <c r="V65" s="42"/>
      <c r="W65" s="15" t="s">
        <v>28</v>
      </c>
      <c r="X65" s="17"/>
      <c r="Y65" s="40"/>
      <c r="Z65" s="18"/>
    </row>
    <row r="66" spans="1:26" ht="14.25" customHeight="1">
      <c r="A66" s="43"/>
      <c r="B66" s="15" t="s">
        <v>336</v>
      </c>
      <c r="C66" s="15" t="s">
        <v>34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 t="s">
        <v>32</v>
      </c>
      <c r="R66" s="17"/>
      <c r="S66" s="40"/>
      <c r="T66" s="15"/>
      <c r="U66" s="44"/>
      <c r="V66" s="42"/>
      <c r="W66" s="15" t="s">
        <v>28</v>
      </c>
      <c r="X66" s="17"/>
      <c r="Y66" s="40"/>
      <c r="Z66" s="18"/>
    </row>
    <row r="67" spans="1:26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6">
        <v>48</v>
      </c>
      <c r="P67" s="16">
        <v>48</v>
      </c>
      <c r="Q67" s="15" t="s">
        <v>32</v>
      </c>
      <c r="R67" s="17"/>
      <c r="S67" s="40"/>
      <c r="T67" s="15"/>
      <c r="U67" s="44"/>
      <c r="V67" s="42"/>
      <c r="W67" s="15" t="s">
        <v>28</v>
      </c>
      <c r="X67" s="17"/>
      <c r="Y67" s="40"/>
      <c r="Z67" s="18"/>
    </row>
    <row r="68" spans="1:26" ht="14.25" customHeight="1">
      <c r="A68" s="43"/>
      <c r="B68" s="15" t="s">
        <v>192</v>
      </c>
      <c r="C68" s="15" t="s">
        <v>314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 t="s">
        <v>32</v>
      </c>
      <c r="R68" s="17"/>
      <c r="S68" s="40"/>
      <c r="T68" s="15"/>
      <c r="U68" s="44"/>
      <c r="V68" s="42"/>
      <c r="W68" s="15" t="s">
        <v>28</v>
      </c>
      <c r="X68" s="17"/>
      <c r="Y68" s="40"/>
      <c r="Z68" s="18"/>
    </row>
    <row r="69" spans="1:26" ht="14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6">
        <v>49</v>
      </c>
      <c r="P69" s="16">
        <v>49</v>
      </c>
      <c r="Q69" s="15" t="s">
        <v>32</v>
      </c>
      <c r="R69" s="17"/>
      <c r="S69" s="40"/>
      <c r="T69" s="15"/>
      <c r="U69" s="44"/>
      <c r="V69" s="42"/>
      <c r="W69" s="15" t="s">
        <v>28</v>
      </c>
      <c r="X69" s="17"/>
      <c r="Y69" s="40"/>
      <c r="Z69" s="18"/>
    </row>
    <row r="70" spans="1:26" ht="14.25" customHeight="1">
      <c r="A70" s="43"/>
      <c r="B70" s="15" t="s">
        <v>193</v>
      </c>
      <c r="C70" s="15" t="s">
        <v>314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 t="s">
        <v>32</v>
      </c>
      <c r="R70" s="17"/>
      <c r="S70" s="40"/>
      <c r="T70" s="15"/>
      <c r="U70" s="44"/>
      <c r="V70" s="42"/>
      <c r="W70" s="15" t="s">
        <v>28</v>
      </c>
      <c r="X70" s="17"/>
      <c r="Y70" s="40"/>
      <c r="Z70" s="18"/>
    </row>
    <row r="71" spans="1:26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6">
        <v>48.938000000000002</v>
      </c>
      <c r="P71" s="16">
        <v>48.938000000000002</v>
      </c>
      <c r="Q71" s="15" t="s">
        <v>32</v>
      </c>
      <c r="R71" s="17"/>
      <c r="S71" s="40"/>
      <c r="T71" s="15"/>
      <c r="U71" s="44"/>
      <c r="V71" s="42"/>
      <c r="W71" s="15" t="s">
        <v>28</v>
      </c>
      <c r="X71" s="17"/>
      <c r="Y71" s="40"/>
      <c r="Z71" s="18"/>
    </row>
    <row r="72" spans="1:26" ht="14.25" customHeight="1">
      <c r="A72" s="43"/>
      <c r="B72" s="15" t="s">
        <v>338</v>
      </c>
      <c r="C72" s="15" t="s">
        <v>34</v>
      </c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 t="s">
        <v>32</v>
      </c>
      <c r="R72" s="40"/>
      <c r="S72" s="40"/>
      <c r="T72" s="15"/>
      <c r="U72" s="44"/>
      <c r="V72" s="44"/>
      <c r="W72" s="15" t="s">
        <v>28</v>
      </c>
      <c r="X72" s="17"/>
      <c r="Y72" s="40"/>
      <c r="Z72" s="18"/>
    </row>
    <row r="73" spans="1:26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6">
        <v>165.14699999999999</v>
      </c>
      <c r="P73" s="16">
        <v>165.14699999999999</v>
      </c>
      <c r="Q73" s="15" t="s">
        <v>32</v>
      </c>
      <c r="R73" s="40"/>
      <c r="S73" s="40"/>
      <c r="T73" s="15"/>
      <c r="U73" s="44"/>
      <c r="V73" s="44"/>
      <c r="W73" s="15" t="s">
        <v>28</v>
      </c>
      <c r="X73" s="17"/>
      <c r="Y73" s="40"/>
      <c r="Z73" s="18"/>
    </row>
    <row r="74" spans="1:26" ht="14.25" customHeight="1">
      <c r="A74" s="43"/>
      <c r="B74" s="33" t="s">
        <v>340</v>
      </c>
      <c r="C74" s="33" t="s">
        <v>341</v>
      </c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33"/>
      <c r="P74" s="33"/>
      <c r="Q74" s="15" t="s">
        <v>32</v>
      </c>
      <c r="R74" s="40"/>
      <c r="S74" s="40"/>
      <c r="T74" s="15"/>
      <c r="U74" s="44"/>
      <c r="V74" s="44"/>
      <c r="W74" s="15" t="s">
        <v>28</v>
      </c>
      <c r="X74" s="17"/>
      <c r="Y74" s="40"/>
      <c r="Z74" s="18"/>
    </row>
    <row r="75" spans="1:26" ht="14.25" customHeight="1">
      <c r="A75" s="15"/>
      <c r="B75" s="33"/>
      <c r="C75" s="33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34">
        <v>39.999000000000002</v>
      </c>
      <c r="P75" s="34">
        <v>39.999000000000002</v>
      </c>
      <c r="Q75" s="15" t="s">
        <v>32</v>
      </c>
      <c r="R75" s="40"/>
      <c r="S75" s="40"/>
      <c r="T75" s="15"/>
      <c r="U75" s="44"/>
      <c r="V75" s="44"/>
      <c r="W75" s="15" t="s">
        <v>28</v>
      </c>
      <c r="X75" s="17"/>
      <c r="Y75" s="40"/>
      <c r="Z75" s="18"/>
    </row>
    <row r="76" spans="1:26" ht="14.25" customHeight="1">
      <c r="A76" s="43"/>
      <c r="B76" s="33" t="s">
        <v>30</v>
      </c>
      <c r="C76" s="33" t="s">
        <v>30</v>
      </c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6"/>
      <c r="P76" s="41"/>
      <c r="Q76" s="15"/>
      <c r="R76" s="40"/>
      <c r="S76" s="40"/>
      <c r="T76" s="15"/>
      <c r="U76" s="44"/>
      <c r="V76" s="44"/>
      <c r="W76" s="15" t="s">
        <v>28</v>
      </c>
      <c r="X76" s="17"/>
      <c r="Y76" s="40"/>
      <c r="Z76" s="18"/>
    </row>
    <row r="77" spans="1:26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6"/>
      <c r="P77" s="41"/>
      <c r="Q77" s="15"/>
      <c r="R77" s="40"/>
      <c r="S77" s="40"/>
      <c r="T77" s="15"/>
      <c r="U77" s="44"/>
      <c r="V77" s="44"/>
      <c r="W77" s="15" t="s">
        <v>28</v>
      </c>
      <c r="X77" s="17"/>
      <c r="Y77" s="40"/>
      <c r="Z77" s="18"/>
    </row>
    <row r="78" spans="1:26" ht="14.25" customHeight="1">
      <c r="A78" s="43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6"/>
      <c r="P78" s="41"/>
      <c r="Q78" s="15"/>
      <c r="R78" s="40"/>
      <c r="S78" s="40"/>
      <c r="T78" s="15"/>
      <c r="U78" s="44"/>
      <c r="V78" s="44"/>
      <c r="W78" s="15" t="s">
        <v>28</v>
      </c>
      <c r="X78" s="17"/>
      <c r="Y78" s="40"/>
      <c r="Z78" s="18"/>
    </row>
    <row r="79" spans="1:26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6"/>
      <c r="P79" s="41"/>
      <c r="Q79" s="15"/>
      <c r="R79" s="40"/>
      <c r="S79" s="40"/>
      <c r="T79" s="15"/>
      <c r="U79" s="44"/>
      <c r="V79" s="44"/>
      <c r="W79" s="15" t="s">
        <v>28</v>
      </c>
      <c r="X79" s="17"/>
      <c r="Y79" s="40"/>
      <c r="Z79" s="18"/>
    </row>
    <row r="80" spans="1:26" ht="14.25" customHeight="1">
      <c r="A80" s="43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6"/>
      <c r="P80" s="41"/>
      <c r="Q80" s="15"/>
      <c r="R80" s="40"/>
      <c r="S80" s="40"/>
      <c r="T80" s="15"/>
      <c r="U80" s="44"/>
      <c r="V80" s="44"/>
      <c r="W80" s="15" t="s">
        <v>28</v>
      </c>
      <c r="X80" s="17"/>
      <c r="Y80" s="40"/>
      <c r="Z80" s="18"/>
    </row>
    <row r="81" spans="1:26" ht="14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6"/>
      <c r="P81" s="41"/>
      <c r="Q81" s="15"/>
      <c r="R81" s="40"/>
      <c r="S81" s="40"/>
      <c r="T81" s="15"/>
      <c r="U81" s="44"/>
      <c r="V81" s="44"/>
      <c r="W81" s="15" t="s">
        <v>28</v>
      </c>
      <c r="X81" s="17"/>
      <c r="Y81" s="40"/>
      <c r="Z81" s="18"/>
    </row>
    <row r="82" spans="1:26" ht="14.25" customHeight="1">
      <c r="A82" s="43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6"/>
      <c r="P82" s="41"/>
      <c r="Q82" s="15"/>
      <c r="R82" s="40"/>
      <c r="S82" s="40"/>
      <c r="T82" s="15"/>
      <c r="U82" s="44"/>
      <c r="V82" s="44"/>
      <c r="W82" s="15" t="s">
        <v>28</v>
      </c>
      <c r="X82" s="17"/>
      <c r="Y82" s="40"/>
      <c r="Z82" s="18"/>
    </row>
    <row r="83" spans="1:26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6"/>
      <c r="P83" s="41"/>
      <c r="Q83" s="15"/>
      <c r="R83" s="40"/>
      <c r="S83" s="40"/>
      <c r="T83" s="15"/>
      <c r="U83" s="44"/>
      <c r="V83" s="44"/>
      <c r="W83" s="15" t="s">
        <v>28</v>
      </c>
      <c r="X83" s="17"/>
      <c r="Y83" s="40"/>
      <c r="Z83" s="18"/>
    </row>
    <row r="84" spans="1:26" ht="14.25" customHeight="1">
      <c r="A84" s="43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6"/>
      <c r="P84" s="41"/>
      <c r="Q84" s="15"/>
      <c r="R84" s="40"/>
      <c r="S84" s="40"/>
      <c r="T84" s="15"/>
      <c r="U84" s="44"/>
      <c r="V84" s="44"/>
      <c r="W84" s="15" t="s">
        <v>28</v>
      </c>
      <c r="X84" s="17"/>
      <c r="Y84" s="40"/>
      <c r="Z84" s="18"/>
    </row>
    <row r="85" spans="1:26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6"/>
      <c r="P85" s="41"/>
      <c r="Q85" s="15"/>
      <c r="R85" s="40"/>
      <c r="S85" s="40"/>
      <c r="T85" s="15"/>
      <c r="U85" s="44"/>
      <c r="V85" s="44"/>
      <c r="W85" s="15" t="s">
        <v>28</v>
      </c>
      <c r="X85" s="17"/>
      <c r="Y85" s="40"/>
      <c r="Z85" s="18"/>
    </row>
    <row r="86" spans="1:26" ht="14.25" customHeight="1">
      <c r="A86" s="43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41"/>
      <c r="Q86" s="15"/>
      <c r="R86" s="40"/>
      <c r="S86" s="40"/>
      <c r="T86" s="15"/>
      <c r="U86" s="44"/>
      <c r="V86" s="44"/>
      <c r="W86" s="15" t="s">
        <v>28</v>
      </c>
      <c r="X86" s="17"/>
      <c r="Y86" s="40"/>
      <c r="Z86" s="18"/>
    </row>
    <row r="87" spans="1:26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6"/>
      <c r="P87" s="41"/>
      <c r="Q87" s="15"/>
      <c r="R87" s="40"/>
      <c r="S87" s="40"/>
      <c r="T87" s="15"/>
      <c r="U87" s="44"/>
      <c r="V87" s="44"/>
      <c r="W87" s="15" t="s">
        <v>28</v>
      </c>
      <c r="X87" s="17"/>
      <c r="Y87" s="40"/>
      <c r="Z87" s="18"/>
    </row>
    <row r="88" spans="1:26" ht="14.25" customHeight="1">
      <c r="A88" s="43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41"/>
      <c r="Q88" s="15"/>
      <c r="R88" s="40"/>
      <c r="S88" s="40"/>
      <c r="T88" s="15"/>
      <c r="U88" s="44"/>
      <c r="V88" s="44"/>
      <c r="W88" s="15" t="s">
        <v>28</v>
      </c>
      <c r="X88" s="17"/>
      <c r="Y88" s="40"/>
      <c r="Z88" s="18"/>
    </row>
    <row r="89" spans="1:26" ht="14.2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41"/>
      <c r="Q89" s="15"/>
      <c r="R89" s="40"/>
      <c r="S89" s="40"/>
      <c r="T89" s="15"/>
      <c r="U89" s="44"/>
      <c r="V89" s="44"/>
      <c r="W89" s="15" t="s">
        <v>28</v>
      </c>
      <c r="X89" s="17"/>
      <c r="Y89" s="40"/>
      <c r="Z89" s="18"/>
    </row>
    <row r="90" spans="1:26" ht="14.25" customHeight="1">
      <c r="A90" s="43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41"/>
      <c r="Q90" s="15"/>
      <c r="R90" s="40"/>
      <c r="S90" s="40"/>
      <c r="T90" s="15"/>
      <c r="U90" s="44"/>
      <c r="V90" s="44"/>
      <c r="W90" s="15" t="s">
        <v>28</v>
      </c>
      <c r="X90" s="17"/>
      <c r="Y90" s="40"/>
      <c r="Z90" s="18"/>
    </row>
    <row r="91" spans="1:26" ht="14.2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41"/>
      <c r="Q91" s="15"/>
      <c r="R91" s="40"/>
      <c r="S91" s="40"/>
      <c r="T91" s="15"/>
      <c r="U91" s="44"/>
      <c r="V91" s="44"/>
      <c r="W91" s="15" t="s">
        <v>28</v>
      </c>
      <c r="X91" s="17"/>
      <c r="Y91" s="40"/>
      <c r="Z91" s="18"/>
    </row>
    <row r="92" spans="1:26" ht="14.25" customHeight="1">
      <c r="A92" s="43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41"/>
      <c r="Q92" s="15"/>
      <c r="R92" s="40"/>
      <c r="S92" s="40"/>
      <c r="T92" s="15"/>
      <c r="U92" s="44"/>
      <c r="V92" s="44"/>
      <c r="W92" s="15" t="s">
        <v>28</v>
      </c>
      <c r="X92" s="17"/>
      <c r="Y92" s="40"/>
      <c r="Z92" s="18"/>
    </row>
    <row r="93" spans="1:26" ht="14.2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40"/>
      <c r="S93" s="40"/>
      <c r="T93" s="15"/>
      <c r="U93" s="44"/>
      <c r="V93" s="44"/>
      <c r="W93" s="15" t="s">
        <v>28</v>
      </c>
      <c r="X93" s="17"/>
      <c r="Y93" s="40"/>
      <c r="Z93" s="18"/>
    </row>
    <row r="94" spans="1:26" ht="14.25" customHeight="1">
      <c r="A94" s="43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40"/>
      <c r="S94" s="40"/>
      <c r="T94" s="15"/>
      <c r="U94" s="44"/>
      <c r="V94" s="44"/>
      <c r="W94" s="15" t="s">
        <v>28</v>
      </c>
      <c r="X94" s="17"/>
      <c r="Y94" s="40"/>
      <c r="Z94" s="18"/>
    </row>
    <row r="95" spans="1:26" ht="14.2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40"/>
      <c r="S95" s="40"/>
      <c r="T95" s="15"/>
      <c r="U95" s="44"/>
      <c r="V95" s="44"/>
      <c r="W95" s="15" t="s">
        <v>28</v>
      </c>
      <c r="X95" s="17"/>
      <c r="Y95" s="40"/>
      <c r="Z95" s="18"/>
    </row>
    <row r="96" spans="1:26" ht="14.25" customHeight="1">
      <c r="A96" s="43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4"/>
      <c r="V96" s="44"/>
      <c r="W96" s="15" t="s">
        <v>28</v>
      </c>
      <c r="X96" s="17"/>
      <c r="Y96" s="40"/>
      <c r="Z96" s="18"/>
    </row>
    <row r="97" spans="1:26" ht="14.2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4"/>
      <c r="V97" s="44"/>
      <c r="W97" s="15" t="s">
        <v>28</v>
      </c>
      <c r="X97" s="17"/>
      <c r="Y97" s="40"/>
      <c r="Z97" s="18"/>
    </row>
    <row r="98" spans="1:26" ht="14.25" customHeight="1">
      <c r="A98" s="43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4"/>
      <c r="V98" s="44"/>
      <c r="W98" s="15" t="s">
        <v>28</v>
      </c>
      <c r="X98" s="17"/>
      <c r="Y98" s="40"/>
      <c r="Z98" s="18"/>
    </row>
    <row r="99" spans="1:26" ht="14.2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4"/>
      <c r="V99" s="44"/>
      <c r="W99" s="15" t="s">
        <v>28</v>
      </c>
      <c r="X99" s="17"/>
      <c r="Y99" s="40"/>
      <c r="Z99" s="18"/>
    </row>
    <row r="100" spans="1:26" ht="14.25" customHeight="1">
      <c r="A100" s="43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4"/>
      <c r="V100" s="44"/>
      <c r="W100" s="15" t="s">
        <v>28</v>
      </c>
      <c r="X100" s="17"/>
      <c r="Y100" s="40"/>
      <c r="Z100" s="18"/>
    </row>
    <row r="101" spans="1:26" ht="14.2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4"/>
      <c r="V101" s="44"/>
      <c r="W101" s="15" t="s">
        <v>28</v>
      </c>
      <c r="X101" s="17"/>
      <c r="Y101" s="40"/>
      <c r="Z101" s="18"/>
    </row>
    <row r="102" spans="1:26" ht="14.25" customHeight="1">
      <c r="A102" s="43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4"/>
      <c r="V102" s="44"/>
      <c r="W102" s="15" t="s">
        <v>28</v>
      </c>
      <c r="X102" s="17"/>
      <c r="Y102" s="40"/>
      <c r="Z102" s="18"/>
    </row>
    <row r="103" spans="1:26" ht="14.2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4"/>
      <c r="V103" s="44"/>
      <c r="W103" s="15" t="s">
        <v>28</v>
      </c>
      <c r="X103" s="17"/>
      <c r="Y103" s="40"/>
      <c r="Z103" s="18"/>
    </row>
    <row r="104" spans="1:26" ht="14.25" customHeight="1">
      <c r="A104" s="43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4"/>
      <c r="V104" s="44"/>
      <c r="W104" s="15" t="s">
        <v>28</v>
      </c>
      <c r="X104" s="17"/>
      <c r="Y104" s="40"/>
      <c r="Z104" s="18"/>
    </row>
    <row r="105" spans="1:26" ht="14.2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4"/>
      <c r="V105" s="44"/>
      <c r="W105" s="15" t="s">
        <v>28</v>
      </c>
      <c r="X105" s="17"/>
      <c r="Y105" s="40"/>
      <c r="Z105" s="18"/>
    </row>
    <row r="106" spans="1:26" ht="14.25" customHeight="1">
      <c r="A106" s="43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4"/>
      <c r="V106" s="44"/>
      <c r="W106" s="15" t="s">
        <v>28</v>
      </c>
      <c r="X106" s="17"/>
      <c r="Y106" s="40"/>
      <c r="Z106" s="18"/>
    </row>
    <row r="107" spans="1:26" ht="14.2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41"/>
      <c r="Q107" s="15"/>
      <c r="R107" s="17"/>
      <c r="S107" s="40"/>
      <c r="T107" s="15"/>
      <c r="U107" s="44"/>
      <c r="V107" s="44"/>
      <c r="W107" s="15" t="s">
        <v>28</v>
      </c>
      <c r="X107" s="17"/>
      <c r="Y107" s="40"/>
      <c r="Z107" s="18"/>
    </row>
    <row r="108" spans="1:26" ht="14.25" customHeight="1">
      <c r="A108" s="43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6"/>
      <c r="P108" s="41"/>
      <c r="Q108" s="15"/>
      <c r="R108" s="17"/>
      <c r="S108" s="40"/>
      <c r="T108" s="15"/>
      <c r="U108" s="44"/>
      <c r="V108" s="44"/>
      <c r="W108" s="15" t="s">
        <v>28</v>
      </c>
      <c r="X108" s="17"/>
      <c r="Y108" s="40"/>
      <c r="Z108" s="18"/>
    </row>
    <row r="109" spans="1:26" ht="14.2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41"/>
      <c r="Q109" s="15"/>
      <c r="R109" s="17"/>
      <c r="S109" s="40"/>
      <c r="T109" s="15"/>
      <c r="U109" s="44"/>
      <c r="V109" s="44"/>
      <c r="W109" s="15" t="s">
        <v>28</v>
      </c>
      <c r="X109" s="17"/>
      <c r="Y109" s="40"/>
      <c r="Z109" s="18"/>
    </row>
    <row r="110" spans="1:26" ht="14.25" customHeight="1">
      <c r="A110" s="43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6"/>
      <c r="P110" s="41"/>
      <c r="Q110" s="15"/>
      <c r="R110" s="17"/>
      <c r="S110" s="17"/>
      <c r="T110" s="15"/>
      <c r="U110" s="44"/>
      <c r="V110" s="17"/>
      <c r="W110" s="15" t="s">
        <v>28</v>
      </c>
      <c r="X110" s="17"/>
      <c r="Y110" s="40"/>
      <c r="Z110" s="18"/>
    </row>
    <row r="111" spans="1:26" ht="1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45"/>
      <c r="P111" s="41"/>
      <c r="Q111" s="15"/>
      <c r="R111" s="17"/>
      <c r="S111" s="17"/>
      <c r="T111" s="15"/>
      <c r="U111" s="17"/>
      <c r="V111" s="17"/>
      <c r="W111" s="15" t="s">
        <v>28</v>
      </c>
      <c r="X111" s="17"/>
      <c r="Y111" s="17"/>
      <c r="Z111" s="18"/>
    </row>
    <row r="112" spans="1:26" ht="14.25" customHeight="1">
      <c r="A112" s="43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45"/>
      <c r="P112" s="41"/>
      <c r="Q112" s="15"/>
      <c r="R112" s="17"/>
      <c r="S112" s="17"/>
      <c r="T112" s="15"/>
      <c r="U112" s="17"/>
      <c r="V112" s="46"/>
      <c r="W112" s="15" t="s">
        <v>28</v>
      </c>
      <c r="X112" s="17"/>
      <c r="Y112" s="17"/>
      <c r="Z112" s="18"/>
    </row>
    <row r="113" spans="1:26" ht="14.2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45"/>
      <c r="P113" s="41"/>
      <c r="Q113" s="15"/>
      <c r="R113" s="17"/>
      <c r="S113" s="17"/>
      <c r="T113" s="15"/>
      <c r="U113" s="17"/>
      <c r="V113" s="46"/>
      <c r="W113" s="15" t="s">
        <v>28</v>
      </c>
      <c r="X113" s="17"/>
      <c r="Y113" s="17"/>
      <c r="Z113" s="18"/>
    </row>
    <row r="114" spans="1:26" ht="14.25" customHeight="1">
      <c r="A114" s="43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45"/>
      <c r="P114" s="41"/>
      <c r="Q114" s="15"/>
      <c r="R114" s="17"/>
      <c r="S114" s="17"/>
      <c r="T114" s="15"/>
      <c r="U114" s="17"/>
      <c r="V114" s="46"/>
      <c r="W114" s="15" t="s">
        <v>28</v>
      </c>
      <c r="X114" s="17"/>
      <c r="Y114" s="17"/>
      <c r="Z114" s="18"/>
    </row>
    <row r="115" spans="1:26" ht="14.2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45"/>
      <c r="P115" s="41"/>
      <c r="Q115" s="15"/>
      <c r="R115" s="17"/>
      <c r="S115" s="17"/>
      <c r="T115" s="15"/>
      <c r="U115" s="17"/>
      <c r="V115" s="46"/>
      <c r="W115" s="15" t="s">
        <v>28</v>
      </c>
      <c r="X115" s="17"/>
      <c r="Y115" s="17"/>
      <c r="Z115" s="18"/>
    </row>
    <row r="116" spans="1:26" ht="14.25" customHeight="1">
      <c r="A116" s="43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45"/>
      <c r="P116" s="41"/>
      <c r="Q116" s="15"/>
      <c r="R116" s="17"/>
      <c r="S116" s="17"/>
      <c r="T116" s="15"/>
      <c r="U116" s="17"/>
      <c r="V116" s="17"/>
      <c r="W116" s="15" t="s">
        <v>28</v>
      </c>
      <c r="X116" s="17"/>
      <c r="Y116" s="17"/>
      <c r="Z116" s="18"/>
    </row>
    <row r="117" spans="1:26" ht="14.25" customHeight="1">
      <c r="A117" s="15"/>
      <c r="B117" s="15"/>
      <c r="C117" s="15"/>
      <c r="D117" s="20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45"/>
      <c r="P117" s="41"/>
      <c r="Q117" s="15"/>
      <c r="R117" s="17"/>
      <c r="S117" s="17"/>
      <c r="T117" s="15"/>
      <c r="U117" s="17"/>
      <c r="V117" s="17"/>
      <c r="W117" s="15" t="s">
        <v>28</v>
      </c>
      <c r="X117" s="17"/>
      <c r="Y117" s="17"/>
      <c r="Z117" s="18"/>
    </row>
    <row r="118" spans="1:26" ht="14.25" customHeight="1">
      <c r="A118" s="43"/>
      <c r="B118" s="15"/>
      <c r="C118" s="15"/>
      <c r="D118" s="20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45"/>
      <c r="P118" s="41"/>
      <c r="Q118" s="15"/>
      <c r="R118" s="17"/>
      <c r="S118" s="17"/>
      <c r="T118" s="15"/>
      <c r="U118" s="17"/>
      <c r="V118" s="17"/>
      <c r="W118" s="15" t="s">
        <v>28</v>
      </c>
      <c r="X118" s="17"/>
      <c r="Y118" s="17"/>
      <c r="Z118" s="18"/>
    </row>
    <row r="119" spans="1:26" ht="14.25" customHeight="1">
      <c r="A119" s="15"/>
      <c r="B119" s="15"/>
      <c r="C119" s="15"/>
      <c r="D119" s="20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45"/>
      <c r="P119" s="41"/>
      <c r="Q119" s="15"/>
      <c r="R119" s="17"/>
      <c r="S119" s="17"/>
      <c r="T119" s="15"/>
      <c r="U119" s="17"/>
      <c r="V119" s="17"/>
      <c r="W119" s="15" t="s">
        <v>28</v>
      </c>
      <c r="X119" s="17"/>
      <c r="Y119" s="17"/>
      <c r="Z119" s="18"/>
    </row>
    <row r="120" spans="1:26" ht="14.25" customHeight="1">
      <c r="A120" s="43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45"/>
      <c r="P120" s="41"/>
      <c r="Q120" s="15"/>
      <c r="R120" s="17"/>
      <c r="S120" s="17"/>
      <c r="T120" s="15"/>
      <c r="U120" s="17"/>
      <c r="V120" s="17"/>
      <c r="W120" s="15" t="s">
        <v>28</v>
      </c>
      <c r="X120" s="17"/>
      <c r="Y120" s="17"/>
      <c r="Z120" s="18"/>
    </row>
    <row r="121" spans="1:26" ht="14.25" customHeight="1">
      <c r="A121" s="15"/>
      <c r="B121" s="15"/>
      <c r="C121" s="15"/>
      <c r="D121" s="20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47"/>
      <c r="P121" s="41"/>
      <c r="Q121" s="31"/>
      <c r="R121" s="48"/>
      <c r="S121" s="48"/>
      <c r="T121" s="31"/>
      <c r="U121" s="48"/>
      <c r="V121" s="48"/>
      <c r="W121" s="15" t="s">
        <v>28</v>
      </c>
      <c r="X121" s="48"/>
      <c r="Y121" s="48"/>
      <c r="Z121" s="18"/>
    </row>
    <row r="122" spans="1:26" ht="14.25" customHeight="1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1"/>
      <c r="O122" s="52">
        <f>SUM(O6:O121)/1000</f>
        <v>6.6293230000000012</v>
      </c>
      <c r="P122" s="18"/>
      <c r="Q122" s="52">
        <f>SUMIF(Q5:Q121,"Completed",$O$5:$O$121)/1000</f>
        <v>5.2203329999999992</v>
      </c>
      <c r="R122" s="36"/>
      <c r="S122" s="36"/>
      <c r="T122" s="52">
        <f>SUMIF(T5:T121,"Submitted",$O$5:$O$121)/1000</f>
        <v>0</v>
      </c>
      <c r="U122" s="36"/>
      <c r="V122" s="36"/>
      <c r="W122" s="15"/>
      <c r="X122" s="15"/>
      <c r="Y122" s="15"/>
      <c r="Z122" s="18"/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48135"/>
    <pageSetUpPr fitToPage="1"/>
  </sheetPr>
  <dimension ref="A1:AQ31"/>
  <sheetViews>
    <sheetView zoomScale="85" zoomScaleNormal="85" workbookViewId="0">
      <pane xSplit="2" ySplit="7" topLeftCell="C26" activePane="bottomRight" state="frozen"/>
      <selection pane="topRight" activeCell="C1" sqref="C1"/>
      <selection pane="bottomLeft" activeCell="A8" sqref="A8"/>
      <selection pane="bottomRight" activeCell="J37" sqref="J37"/>
    </sheetView>
  </sheetViews>
  <sheetFormatPr defaultColWidth="14.42578125" defaultRowHeight="15" customHeight="1"/>
  <cols>
    <col min="1" max="1" width="6.5703125" style="359" customWidth="1"/>
    <col min="2" max="2" width="18.85546875" style="359" customWidth="1"/>
    <col min="3" max="3" width="6.28515625" style="359" customWidth="1"/>
    <col min="4" max="4" width="13" style="359" customWidth="1"/>
    <col min="5" max="5" width="12.140625" style="359" hidden="1" customWidth="1"/>
    <col min="6" max="6" width="11.28515625" style="359" hidden="1" customWidth="1"/>
    <col min="7" max="8" width="11.42578125" style="359" customWidth="1"/>
    <col min="9" max="9" width="11.140625" style="359" customWidth="1"/>
    <col min="10" max="10" width="10.85546875" style="359" customWidth="1"/>
    <col min="11" max="11" width="13.140625" style="359" customWidth="1"/>
    <col min="12" max="12" width="11.5703125" style="359" customWidth="1"/>
    <col min="13" max="13" width="13.85546875" style="359" customWidth="1"/>
    <col min="14" max="14" width="12.42578125" style="359" customWidth="1"/>
    <col min="15" max="15" width="11.5703125" style="359" customWidth="1"/>
    <col min="16" max="16" width="12" style="359" customWidth="1"/>
    <col min="17" max="17" width="9.42578125" style="359" customWidth="1"/>
    <col min="18" max="18" width="44.140625" style="359" customWidth="1"/>
    <col min="19" max="19" width="13.5703125" style="359" customWidth="1"/>
    <col min="20" max="20" width="13.7109375" style="359" customWidth="1"/>
    <col min="21" max="21" width="14.85546875" style="359" customWidth="1"/>
    <col min="22" max="22" width="12.28515625" style="359" customWidth="1"/>
    <col min="23" max="42" width="9.140625" style="359" customWidth="1"/>
    <col min="43" max="43" width="14.140625" style="359" customWidth="1"/>
    <col min="44" max="63" width="9.140625" style="359" customWidth="1"/>
    <col min="64" max="16384" width="14.42578125" style="359"/>
  </cols>
  <sheetData>
    <row r="1" spans="1:43" ht="12.75" customHeight="1">
      <c r="A1" s="614" t="s">
        <v>345</v>
      </c>
      <c r="B1" s="615"/>
      <c r="C1" s="615"/>
      <c r="D1" s="615"/>
      <c r="E1" s="615"/>
      <c r="F1" s="615"/>
      <c r="G1" s="615"/>
      <c r="H1" s="615"/>
      <c r="I1" s="615"/>
      <c r="J1" s="615"/>
      <c r="K1" s="615"/>
      <c r="L1" s="615"/>
      <c r="M1" s="615"/>
      <c r="N1" s="615"/>
      <c r="O1" s="615"/>
      <c r="P1" s="615"/>
      <c r="Q1" s="615"/>
      <c r="R1" s="616"/>
      <c r="S1" s="358"/>
      <c r="T1" s="69"/>
      <c r="U1" s="70"/>
      <c r="V1" s="69"/>
      <c r="W1" s="69"/>
      <c r="X1" s="69"/>
      <c r="Y1" s="69"/>
      <c r="Z1" s="69"/>
      <c r="AA1" s="69"/>
      <c r="AB1" s="69"/>
      <c r="AC1" s="69"/>
      <c r="AD1" s="69"/>
      <c r="AE1" s="358"/>
      <c r="AF1" s="358"/>
      <c r="AG1" s="358"/>
      <c r="AH1" s="358"/>
      <c r="AI1" s="358"/>
      <c r="AJ1" s="358"/>
      <c r="AK1" s="358"/>
      <c r="AL1" s="358"/>
      <c r="AM1" s="358"/>
      <c r="AN1" s="358"/>
      <c r="AO1" s="358"/>
      <c r="AP1" s="358"/>
      <c r="AQ1" s="358"/>
    </row>
    <row r="2" spans="1:43" ht="15.75" customHeight="1">
      <c r="A2" s="617" t="s">
        <v>346</v>
      </c>
      <c r="B2" s="618"/>
      <c r="C2" s="618"/>
      <c r="D2" s="618"/>
      <c r="E2" s="618"/>
      <c r="F2" s="618"/>
      <c r="G2" s="618"/>
      <c r="H2" s="618"/>
      <c r="I2" s="618"/>
      <c r="J2" s="618"/>
      <c r="K2" s="618"/>
      <c r="L2" s="618"/>
      <c r="M2" s="618"/>
      <c r="N2" s="350"/>
      <c r="O2" s="619" t="s">
        <v>347</v>
      </c>
      <c r="P2" s="618"/>
      <c r="Q2" s="618"/>
      <c r="R2" s="71">
        <v>45449</v>
      </c>
      <c r="S2" s="70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358"/>
      <c r="AF2" s="358"/>
      <c r="AG2" s="358"/>
      <c r="AH2" s="358"/>
      <c r="AI2" s="358"/>
      <c r="AJ2" s="358"/>
      <c r="AK2" s="358"/>
      <c r="AL2" s="358"/>
      <c r="AM2" s="358"/>
      <c r="AN2" s="358"/>
      <c r="AO2" s="358"/>
      <c r="AP2" s="358"/>
      <c r="AQ2" s="358"/>
    </row>
    <row r="3" spans="1:43" ht="13.5" customHeight="1">
      <c r="A3" s="620" t="s">
        <v>348</v>
      </c>
      <c r="B3" s="618"/>
      <c r="C3" s="618"/>
      <c r="D3" s="618"/>
      <c r="E3" s="618"/>
      <c r="F3" s="618"/>
      <c r="G3" s="618"/>
      <c r="H3" s="618"/>
      <c r="I3" s="618"/>
      <c r="J3" s="618"/>
      <c r="K3" s="618"/>
      <c r="L3" s="618"/>
      <c r="M3" s="621"/>
      <c r="N3" s="622"/>
      <c r="O3" s="623" t="s">
        <v>349</v>
      </c>
      <c r="P3" s="618"/>
      <c r="Q3" s="618"/>
      <c r="R3" s="71">
        <v>45802</v>
      </c>
      <c r="S3" s="70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</row>
    <row r="4" spans="1:43" ht="23.25" customHeight="1">
      <c r="A4" s="630" t="s">
        <v>350</v>
      </c>
      <c r="B4" s="625"/>
      <c r="C4" s="625"/>
      <c r="D4" s="625"/>
      <c r="E4" s="625"/>
      <c r="F4" s="625"/>
      <c r="G4" s="625"/>
      <c r="H4" s="625"/>
      <c r="I4" s="625"/>
      <c r="J4" s="625"/>
      <c r="K4" s="625"/>
      <c r="L4" s="625"/>
      <c r="M4" s="351"/>
      <c r="N4" s="351"/>
      <c r="O4" s="624" t="s">
        <v>351</v>
      </c>
      <c r="P4" s="625"/>
      <c r="Q4" s="625"/>
      <c r="R4" s="72">
        <v>46188</v>
      </c>
      <c r="S4" s="70"/>
      <c r="T4" s="69" t="s">
        <v>352</v>
      </c>
      <c r="U4" s="73"/>
      <c r="V4" s="69"/>
      <c r="W4" s="69"/>
      <c r="X4" s="69"/>
      <c r="Y4" s="69"/>
      <c r="Z4" s="69"/>
      <c r="AA4" s="69"/>
      <c r="AB4" s="73"/>
      <c r="AC4" s="69"/>
      <c r="AD4" s="69"/>
      <c r="AE4" s="69"/>
      <c r="AF4" s="69"/>
      <c r="AG4" s="69"/>
      <c r="AH4" s="69"/>
      <c r="AI4" s="73"/>
      <c r="AJ4" s="69"/>
      <c r="AK4" s="69"/>
      <c r="AL4" s="69"/>
      <c r="AM4" s="69"/>
      <c r="AN4" s="69"/>
      <c r="AO4" s="69"/>
      <c r="AP4" s="73"/>
      <c r="AQ4" s="69"/>
    </row>
    <row r="5" spans="1:43" ht="12.75" customHeight="1" thickBot="1">
      <c r="A5" s="631" t="s">
        <v>353</v>
      </c>
      <c r="B5" s="615"/>
      <c r="C5" s="615"/>
      <c r="D5" s="615"/>
      <c r="E5" s="615"/>
      <c r="F5" s="615"/>
      <c r="G5" s="615"/>
      <c r="H5" s="615"/>
      <c r="I5" s="615"/>
      <c r="J5" s="615"/>
      <c r="K5" s="615"/>
      <c r="L5" s="615"/>
      <c r="M5" s="615"/>
      <c r="N5" s="615"/>
      <c r="O5" s="615"/>
      <c r="P5" s="632"/>
      <c r="Q5" s="407" t="s">
        <v>354</v>
      </c>
      <c r="R5" s="408">
        <v>46162</v>
      </c>
      <c r="S5" s="70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</row>
    <row r="6" spans="1:43" ht="33" customHeight="1">
      <c r="A6" s="633" t="s">
        <v>355</v>
      </c>
      <c r="B6" s="635" t="s">
        <v>356</v>
      </c>
      <c r="C6" s="635" t="s">
        <v>357</v>
      </c>
      <c r="D6" s="635" t="s">
        <v>358</v>
      </c>
      <c r="E6" s="626" t="s">
        <v>359</v>
      </c>
      <c r="F6" s="627"/>
      <c r="G6" s="626" t="s">
        <v>360</v>
      </c>
      <c r="H6" s="627"/>
      <c r="I6" s="628" t="s">
        <v>760</v>
      </c>
      <c r="J6" s="629"/>
      <c r="K6" s="627"/>
      <c r="L6" s="626" t="s">
        <v>361</v>
      </c>
      <c r="M6" s="629"/>
      <c r="N6" s="627"/>
      <c r="O6" s="626" t="s">
        <v>362</v>
      </c>
      <c r="P6" s="629"/>
      <c r="Q6" s="627"/>
      <c r="R6" s="640" t="s">
        <v>363</v>
      </c>
      <c r="S6" s="70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</row>
    <row r="7" spans="1:43" ht="33.75" customHeight="1">
      <c r="A7" s="634"/>
      <c r="B7" s="636"/>
      <c r="C7" s="636"/>
      <c r="D7" s="636"/>
      <c r="E7" s="76" t="s">
        <v>364</v>
      </c>
      <c r="F7" s="76" t="s">
        <v>365</v>
      </c>
      <c r="G7" s="76" t="s">
        <v>366</v>
      </c>
      <c r="H7" s="76" t="s">
        <v>367</v>
      </c>
      <c r="I7" s="76" t="s">
        <v>368</v>
      </c>
      <c r="J7" s="76" t="s">
        <v>369</v>
      </c>
      <c r="K7" s="76" t="s">
        <v>370</v>
      </c>
      <c r="L7" s="76" t="s">
        <v>371</v>
      </c>
      <c r="M7" s="76" t="s">
        <v>32</v>
      </c>
      <c r="N7" s="76" t="s">
        <v>372</v>
      </c>
      <c r="O7" s="76" t="s">
        <v>373</v>
      </c>
      <c r="P7" s="76" t="s">
        <v>374</v>
      </c>
      <c r="Q7" s="76" t="s">
        <v>375</v>
      </c>
      <c r="R7" s="641"/>
      <c r="S7" s="70"/>
      <c r="T7" s="69"/>
      <c r="U7" s="70"/>
      <c r="V7" s="69"/>
      <c r="W7" s="69"/>
      <c r="X7" s="69"/>
      <c r="Y7" s="69"/>
      <c r="Z7" s="69"/>
      <c r="AA7" s="69"/>
      <c r="AB7" s="70"/>
      <c r="AC7" s="69"/>
      <c r="AD7" s="69"/>
      <c r="AE7" s="69"/>
      <c r="AF7" s="69"/>
      <c r="AG7" s="69"/>
      <c r="AH7" s="69"/>
      <c r="AI7" s="70"/>
      <c r="AJ7" s="69"/>
      <c r="AK7" s="69"/>
      <c r="AL7" s="69"/>
      <c r="AM7" s="69"/>
      <c r="AN7" s="69"/>
      <c r="AO7" s="69"/>
      <c r="AP7" s="70"/>
      <c r="AQ7" s="69"/>
    </row>
    <row r="8" spans="1:43" ht="26.25" customHeight="1">
      <c r="A8" s="409">
        <v>1</v>
      </c>
      <c r="B8" s="352" t="s">
        <v>376</v>
      </c>
      <c r="C8" s="78" t="s">
        <v>377</v>
      </c>
      <c r="D8" s="79">
        <v>64</v>
      </c>
      <c r="E8" s="80">
        <v>45461</v>
      </c>
      <c r="F8" s="80">
        <v>45535</v>
      </c>
      <c r="G8" s="81">
        <v>64</v>
      </c>
      <c r="H8" s="81">
        <v>64.177999999999997</v>
      </c>
      <c r="I8" s="81">
        <v>0</v>
      </c>
      <c r="J8" s="81">
        <v>0</v>
      </c>
      <c r="K8" s="79">
        <f t="shared" ref="K8:K9" si="0">M8-H8</f>
        <v>0</v>
      </c>
      <c r="L8" s="79">
        <v>64</v>
      </c>
      <c r="M8" s="79">
        <v>64.177999999999997</v>
      </c>
      <c r="N8" s="79">
        <f>D8-M8</f>
        <v>-0.17799999999999727</v>
      </c>
      <c r="O8" s="78">
        <v>0</v>
      </c>
      <c r="P8" s="78">
        <v>0</v>
      </c>
      <c r="Q8" s="78">
        <f t="shared" ref="Q8:Q10" si="1">+O8-P8</f>
        <v>0</v>
      </c>
      <c r="R8" s="410"/>
      <c r="S8" s="70"/>
      <c r="T8" s="69"/>
      <c r="U8" s="70"/>
      <c r="V8" s="69"/>
      <c r="W8" s="69"/>
      <c r="X8" s="69"/>
      <c r="Y8" s="69"/>
      <c r="Z8" s="69"/>
      <c r="AA8" s="69"/>
      <c r="AB8" s="70"/>
      <c r="AC8" s="69"/>
      <c r="AD8" s="69"/>
      <c r="AE8" s="69"/>
      <c r="AF8" s="69"/>
      <c r="AG8" s="69"/>
      <c r="AH8" s="69"/>
      <c r="AI8" s="70"/>
      <c r="AJ8" s="69"/>
      <c r="AK8" s="69"/>
      <c r="AL8" s="69"/>
      <c r="AM8" s="69"/>
      <c r="AN8" s="69"/>
      <c r="AO8" s="69"/>
      <c r="AP8" s="70"/>
      <c r="AQ8" s="69"/>
    </row>
    <row r="9" spans="1:43" ht="28.5" customHeight="1">
      <c r="A9" s="409">
        <v>2</v>
      </c>
      <c r="B9" s="352" t="s">
        <v>378</v>
      </c>
      <c r="C9" s="78" t="s">
        <v>377</v>
      </c>
      <c r="D9" s="79">
        <v>64</v>
      </c>
      <c r="E9" s="80">
        <v>45474</v>
      </c>
      <c r="F9" s="80">
        <v>45565</v>
      </c>
      <c r="G9" s="81">
        <v>64</v>
      </c>
      <c r="H9" s="81">
        <f>H8</f>
        <v>64.177999999999997</v>
      </c>
      <c r="I9" s="81">
        <v>0</v>
      </c>
      <c r="J9" s="81">
        <v>0</v>
      </c>
      <c r="K9" s="79">
        <f t="shared" si="0"/>
        <v>0</v>
      </c>
      <c r="L9" s="79">
        <v>64</v>
      </c>
      <c r="M9" s="81">
        <f>M8</f>
        <v>64.177999999999997</v>
      </c>
      <c r="N9" s="79">
        <f t="shared" ref="N9" si="2">D9-M9</f>
        <v>-0.17799999999999727</v>
      </c>
      <c r="O9" s="78"/>
      <c r="P9" s="78"/>
      <c r="Q9" s="78">
        <f t="shared" si="1"/>
        <v>0</v>
      </c>
      <c r="R9" s="519"/>
      <c r="S9" s="69"/>
      <c r="T9" s="69"/>
      <c r="U9" s="70"/>
      <c r="V9" s="69"/>
      <c r="W9" s="70"/>
      <c r="X9" s="69"/>
      <c r="Y9" s="69"/>
      <c r="Z9" s="69"/>
      <c r="AA9" s="69"/>
      <c r="AB9" s="70"/>
      <c r="AC9" s="69"/>
      <c r="AD9" s="70"/>
      <c r="AE9" s="69"/>
      <c r="AF9" s="69"/>
      <c r="AG9" s="69"/>
      <c r="AH9" s="69"/>
      <c r="AI9" s="70"/>
      <c r="AJ9" s="69"/>
      <c r="AK9" s="70"/>
      <c r="AL9" s="69"/>
      <c r="AM9" s="69"/>
      <c r="AN9" s="69"/>
      <c r="AO9" s="69"/>
      <c r="AP9" s="70"/>
      <c r="AQ9" s="69"/>
    </row>
    <row r="10" spans="1:43" ht="26.25" customHeight="1">
      <c r="A10" s="409">
        <v>3</v>
      </c>
      <c r="B10" s="352" t="s">
        <v>379</v>
      </c>
      <c r="C10" s="78" t="s">
        <v>380</v>
      </c>
      <c r="D10" s="82">
        <v>199</v>
      </c>
      <c r="E10" s="80">
        <v>45505</v>
      </c>
      <c r="F10" s="80">
        <v>45688</v>
      </c>
      <c r="G10" s="78">
        <v>199</v>
      </c>
      <c r="H10" s="83">
        <v>198</v>
      </c>
      <c r="I10" s="83">
        <v>1</v>
      </c>
      <c r="J10" s="81">
        <v>0</v>
      </c>
      <c r="K10" s="84">
        <f>M10-H10</f>
        <v>1</v>
      </c>
      <c r="L10" s="79">
        <v>199</v>
      </c>
      <c r="M10" s="81">
        <f>'Progress-220kV'!AM411</f>
        <v>199</v>
      </c>
      <c r="N10" s="79">
        <f>D10-M10</f>
        <v>0</v>
      </c>
      <c r="O10" s="642">
        <v>1</v>
      </c>
      <c r="P10" s="642">
        <v>1</v>
      </c>
      <c r="Q10" s="643">
        <f t="shared" si="1"/>
        <v>0</v>
      </c>
      <c r="R10" s="645"/>
      <c r="S10" s="350"/>
      <c r="T10" s="73"/>
      <c r="U10" s="85"/>
      <c r="V10" s="69"/>
      <c r="W10" s="70"/>
      <c r="X10" s="69"/>
      <c r="Y10" s="69"/>
      <c r="Z10" s="69"/>
      <c r="AA10" s="69"/>
      <c r="AB10" s="85"/>
      <c r="AC10" s="69"/>
      <c r="AD10" s="70"/>
      <c r="AE10" s="69"/>
      <c r="AF10" s="69"/>
      <c r="AG10" s="69"/>
      <c r="AH10" s="69"/>
      <c r="AI10" s="85"/>
      <c r="AJ10" s="69"/>
      <c r="AK10" s="70"/>
      <c r="AL10" s="69"/>
      <c r="AM10" s="69"/>
      <c r="AN10" s="69"/>
      <c r="AO10" s="69"/>
      <c r="AP10" s="85"/>
      <c r="AQ10" s="69"/>
    </row>
    <row r="11" spans="1:43" ht="45" customHeight="1">
      <c r="A11" s="409">
        <v>4</v>
      </c>
      <c r="B11" s="352" t="s">
        <v>381</v>
      </c>
      <c r="C11" s="78" t="s">
        <v>380</v>
      </c>
      <c r="D11" s="82">
        <v>199</v>
      </c>
      <c r="E11" s="80">
        <v>45505</v>
      </c>
      <c r="F11" s="80">
        <v>45688</v>
      </c>
      <c r="G11" s="78">
        <v>199</v>
      </c>
      <c r="H11" s="83">
        <v>198</v>
      </c>
      <c r="I11" s="83">
        <v>1</v>
      </c>
      <c r="J11" s="81">
        <v>0</v>
      </c>
      <c r="K11" s="79">
        <v>1</v>
      </c>
      <c r="L11" s="79">
        <v>199</v>
      </c>
      <c r="M11" s="83">
        <f>'Progress-220kV'!AV411</f>
        <v>199</v>
      </c>
      <c r="N11" s="79">
        <f>D11-M11</f>
        <v>0</v>
      </c>
      <c r="O11" s="636"/>
      <c r="P11" s="636"/>
      <c r="Q11" s="644"/>
      <c r="R11" s="645"/>
      <c r="S11" s="350"/>
      <c r="T11" s="73"/>
      <c r="U11" s="85"/>
      <c r="V11" s="69"/>
      <c r="W11" s="70"/>
      <c r="X11" s="69"/>
      <c r="Y11" s="73"/>
      <c r="Z11" s="69"/>
      <c r="AA11" s="69"/>
      <c r="AB11" s="70"/>
      <c r="AC11" s="69"/>
      <c r="AD11" s="70"/>
      <c r="AE11" s="69"/>
      <c r="AF11" s="73"/>
      <c r="AG11" s="69"/>
      <c r="AH11" s="69"/>
      <c r="AI11" s="70"/>
      <c r="AJ11" s="69"/>
      <c r="AK11" s="70"/>
      <c r="AL11" s="69"/>
      <c r="AM11" s="73"/>
      <c r="AN11" s="69"/>
      <c r="AO11" s="69"/>
      <c r="AP11" s="70"/>
      <c r="AQ11" s="69"/>
    </row>
    <row r="12" spans="1:43" ht="35.25" customHeight="1">
      <c r="A12" s="409">
        <v>5</v>
      </c>
      <c r="B12" s="352" t="s">
        <v>382</v>
      </c>
      <c r="C12" s="78" t="s">
        <v>380</v>
      </c>
      <c r="D12" s="82">
        <v>199</v>
      </c>
      <c r="E12" s="80">
        <v>45555</v>
      </c>
      <c r="F12" s="80">
        <v>45716</v>
      </c>
      <c r="G12" s="78">
        <v>199</v>
      </c>
      <c r="H12" s="83">
        <v>195</v>
      </c>
      <c r="I12" s="83">
        <v>4</v>
      </c>
      <c r="J12" s="83">
        <v>0</v>
      </c>
      <c r="K12" s="79">
        <f>M12-H12</f>
        <v>2</v>
      </c>
      <c r="L12" s="79">
        <v>199</v>
      </c>
      <c r="M12" s="81">
        <f>'Progress-220kV'!BB411</f>
        <v>197</v>
      </c>
      <c r="N12" s="79">
        <f>D12-M12</f>
        <v>2</v>
      </c>
      <c r="O12" s="78">
        <v>2</v>
      </c>
      <c r="P12" s="78">
        <v>0</v>
      </c>
      <c r="Q12" s="78">
        <v>2</v>
      </c>
      <c r="R12" s="581" t="s">
        <v>767</v>
      </c>
      <c r="S12" s="350"/>
      <c r="T12" s="73"/>
      <c r="U12" s="85"/>
      <c r="V12" s="69"/>
      <c r="W12" s="70"/>
      <c r="X12" s="69"/>
      <c r="Y12" s="69"/>
      <c r="Z12" s="69"/>
      <c r="AA12" s="69"/>
      <c r="AB12" s="85"/>
      <c r="AC12" s="69"/>
      <c r="AD12" s="70"/>
      <c r="AE12" s="69"/>
      <c r="AF12" s="69"/>
      <c r="AG12" s="69"/>
      <c r="AH12" s="69"/>
      <c r="AI12" s="85"/>
      <c r="AJ12" s="69"/>
      <c r="AK12" s="70"/>
      <c r="AL12" s="69"/>
      <c r="AM12" s="69"/>
      <c r="AN12" s="69"/>
      <c r="AO12" s="69"/>
      <c r="AP12" s="85"/>
      <c r="AQ12" s="69">
        <v>12500</v>
      </c>
    </row>
    <row r="13" spans="1:43" ht="33.75" customHeight="1">
      <c r="A13" s="409">
        <v>6</v>
      </c>
      <c r="B13" s="352" t="s">
        <v>383</v>
      </c>
      <c r="C13" s="78" t="s">
        <v>380</v>
      </c>
      <c r="D13" s="82">
        <v>199</v>
      </c>
      <c r="E13" s="80">
        <v>45555</v>
      </c>
      <c r="F13" s="80">
        <v>45716</v>
      </c>
      <c r="G13" s="78">
        <v>199</v>
      </c>
      <c r="H13" s="83">
        <v>194</v>
      </c>
      <c r="I13" s="83">
        <v>5</v>
      </c>
      <c r="J13" s="83">
        <v>0</v>
      </c>
      <c r="K13" s="84">
        <f>M13-H13</f>
        <v>0</v>
      </c>
      <c r="L13" s="79">
        <v>199</v>
      </c>
      <c r="M13" s="83">
        <f>'Progress-220kV'!BI411</f>
        <v>194</v>
      </c>
      <c r="N13" s="79">
        <f>D13-M13</f>
        <v>5</v>
      </c>
      <c r="O13" s="78">
        <v>0</v>
      </c>
      <c r="P13" s="78">
        <v>0</v>
      </c>
      <c r="Q13" s="78">
        <f t="shared" ref="Q13" si="3">+O13-P13</f>
        <v>0</v>
      </c>
      <c r="R13" s="265"/>
      <c r="S13" s="350"/>
      <c r="T13" s="86"/>
      <c r="U13" s="85"/>
      <c r="V13" s="87"/>
      <c r="W13" s="70"/>
      <c r="X13" s="69"/>
      <c r="Y13" s="69"/>
      <c r="Z13" s="69"/>
      <c r="AA13" s="69"/>
      <c r="AB13" s="88"/>
      <c r="AC13" s="69"/>
      <c r="AD13" s="70"/>
      <c r="AE13" s="69"/>
      <c r="AF13" s="69"/>
      <c r="AG13" s="69"/>
      <c r="AH13" s="69"/>
      <c r="AI13" s="88"/>
      <c r="AJ13" s="69"/>
      <c r="AK13" s="70"/>
      <c r="AL13" s="69"/>
      <c r="AM13" s="69"/>
      <c r="AN13" s="69"/>
      <c r="AO13" s="69"/>
      <c r="AP13" s="88"/>
      <c r="AQ13" s="69"/>
    </row>
    <row r="14" spans="1:43" ht="27.95" customHeight="1">
      <c r="A14" s="409">
        <v>7</v>
      </c>
      <c r="B14" s="352" t="s">
        <v>384</v>
      </c>
      <c r="C14" s="78" t="s">
        <v>377</v>
      </c>
      <c r="D14" s="79"/>
      <c r="E14" s="80"/>
      <c r="F14" s="80"/>
      <c r="G14" s="81"/>
      <c r="H14" s="81"/>
      <c r="I14" s="81"/>
      <c r="J14" s="81"/>
      <c r="K14" s="79">
        <f t="shared" ref="K14" si="4">M14-H14</f>
        <v>0</v>
      </c>
      <c r="L14" s="79"/>
      <c r="M14" s="81"/>
      <c r="N14" s="79"/>
      <c r="O14" s="78"/>
      <c r="P14" s="78"/>
      <c r="Q14" s="78"/>
      <c r="R14" s="637"/>
      <c r="S14" s="70"/>
      <c r="T14" s="73"/>
      <c r="U14" s="85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>
        <f>9</f>
        <v>9</v>
      </c>
    </row>
    <row r="15" spans="1:43" ht="27.95" customHeight="1">
      <c r="A15" s="409" t="s">
        <v>385</v>
      </c>
      <c r="B15" s="352" t="s">
        <v>386</v>
      </c>
      <c r="C15" s="78" t="s">
        <v>377</v>
      </c>
      <c r="D15" s="79">
        <v>64</v>
      </c>
      <c r="E15" s="80">
        <v>45607</v>
      </c>
      <c r="F15" s="80">
        <v>45777</v>
      </c>
      <c r="G15" s="90">
        <v>64</v>
      </c>
      <c r="H15" s="89">
        <v>61.2</v>
      </c>
      <c r="I15" s="89">
        <f>G15-H15</f>
        <v>2.7999999999999972</v>
      </c>
      <c r="J15" s="91">
        <v>0</v>
      </c>
      <c r="K15" s="502">
        <f>M15-H15</f>
        <v>-7.3700000000798127E-4</v>
      </c>
      <c r="L15" s="79">
        <v>64</v>
      </c>
      <c r="M15" s="499">
        <f>'Stringing-220kV'!I3</f>
        <v>61.199262999999995</v>
      </c>
      <c r="N15" s="494">
        <f>D15-M15</f>
        <v>2.8007370000000051</v>
      </c>
      <c r="O15" s="646">
        <v>1</v>
      </c>
      <c r="P15" s="642">
        <v>0</v>
      </c>
      <c r="Q15" s="646">
        <f>+O15-P15</f>
        <v>1</v>
      </c>
      <c r="R15" s="638"/>
      <c r="S15" s="70"/>
      <c r="T15" s="73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>
        <v>15</v>
      </c>
    </row>
    <row r="16" spans="1:43" ht="27.95" customHeight="1">
      <c r="A16" s="409" t="s">
        <v>387</v>
      </c>
      <c r="B16" s="352" t="s">
        <v>388</v>
      </c>
      <c r="C16" s="78" t="s">
        <v>377</v>
      </c>
      <c r="D16" s="79">
        <v>64</v>
      </c>
      <c r="E16" s="80">
        <v>45607</v>
      </c>
      <c r="F16" s="80">
        <v>45777</v>
      </c>
      <c r="G16" s="90">
        <v>64</v>
      </c>
      <c r="H16" s="89">
        <v>61.2</v>
      </c>
      <c r="I16" s="89">
        <f t="shared" ref="I16:I17" si="5">G16-H16</f>
        <v>2.7999999999999972</v>
      </c>
      <c r="J16" s="91">
        <v>0</v>
      </c>
      <c r="K16" s="502">
        <f>M16-H16</f>
        <v>-7.3700000000798127E-4</v>
      </c>
      <c r="L16" s="79">
        <v>64</v>
      </c>
      <c r="M16" s="499">
        <f>'Stringing-220kV'!L3</f>
        <v>61.199262999999995</v>
      </c>
      <c r="N16" s="494">
        <f t="shared" ref="N16:N17" si="6">D16-M16</f>
        <v>2.8007370000000051</v>
      </c>
      <c r="O16" s="636"/>
      <c r="P16" s="636"/>
      <c r="Q16" s="636"/>
      <c r="R16" s="639"/>
      <c r="S16" s="70"/>
      <c r="T16" s="73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</row>
    <row r="17" spans="1:18" ht="32.450000000000003" customHeight="1" thickBot="1">
      <c r="A17" s="411" t="s">
        <v>389</v>
      </c>
      <c r="B17" s="412" t="s">
        <v>390</v>
      </c>
      <c r="C17" s="413" t="s">
        <v>377</v>
      </c>
      <c r="D17" s="414">
        <v>64</v>
      </c>
      <c r="E17" s="415">
        <v>45627</v>
      </c>
      <c r="F17" s="415">
        <v>45777</v>
      </c>
      <c r="G17" s="416">
        <v>64</v>
      </c>
      <c r="H17" s="417">
        <v>53.721834999999999</v>
      </c>
      <c r="I17" s="417">
        <f t="shared" si="5"/>
        <v>10.278165000000001</v>
      </c>
      <c r="J17" s="417">
        <v>0</v>
      </c>
      <c r="K17" s="418">
        <f>M17-H17</f>
        <v>8.5273809999999841</v>
      </c>
      <c r="L17" s="414">
        <v>64</v>
      </c>
      <c r="M17" s="520">
        <f>'Stringing-220kV'!X3</f>
        <v>62.249215999999983</v>
      </c>
      <c r="N17" s="414">
        <f t="shared" si="6"/>
        <v>1.7507840000000172</v>
      </c>
      <c r="O17" s="413">
        <v>1</v>
      </c>
      <c r="P17" s="419">
        <v>0</v>
      </c>
      <c r="Q17" s="413">
        <f>+O17-P17</f>
        <v>1</v>
      </c>
      <c r="R17" s="420"/>
    </row>
    <row r="18" spans="1:18" ht="12.75" customHeight="1" thickBot="1">
      <c r="A18" s="360"/>
      <c r="B18" s="358"/>
      <c r="C18" s="358"/>
      <c r="D18" s="358"/>
      <c r="E18" s="358"/>
      <c r="F18" s="358"/>
      <c r="G18" s="358"/>
      <c r="H18" s="358"/>
      <c r="I18" s="358"/>
      <c r="J18" s="358"/>
      <c r="K18" s="358"/>
      <c r="L18" s="358"/>
      <c r="M18" s="358"/>
      <c r="N18" s="358"/>
      <c r="O18" s="358"/>
      <c r="P18" s="358"/>
      <c r="Q18" s="358"/>
      <c r="R18" s="361"/>
    </row>
    <row r="19" spans="1:18" ht="12.75" customHeight="1">
      <c r="A19" s="647" t="s">
        <v>391</v>
      </c>
      <c r="B19" s="648"/>
      <c r="C19" s="648"/>
      <c r="D19" s="648"/>
      <c r="E19" s="648"/>
      <c r="F19" s="648"/>
      <c r="G19" s="648"/>
      <c r="H19" s="648"/>
      <c r="I19" s="648"/>
      <c r="J19" s="648"/>
      <c r="K19" s="648"/>
      <c r="L19" s="648"/>
      <c r="M19" s="648"/>
      <c r="N19" s="648"/>
      <c r="O19" s="648"/>
      <c r="P19" s="649"/>
      <c r="Q19" s="74" t="s">
        <v>354</v>
      </c>
      <c r="R19" s="75">
        <f>+R5</f>
        <v>46162</v>
      </c>
    </row>
    <row r="20" spans="1:18" ht="30" customHeight="1">
      <c r="A20" s="650" t="s">
        <v>355</v>
      </c>
      <c r="B20" s="652" t="s">
        <v>356</v>
      </c>
      <c r="C20" s="652" t="s">
        <v>357</v>
      </c>
      <c r="D20" s="652" t="s">
        <v>358</v>
      </c>
      <c r="E20" s="654" t="s">
        <v>359</v>
      </c>
      <c r="F20" s="655"/>
      <c r="G20" s="654" t="s">
        <v>360</v>
      </c>
      <c r="H20" s="655"/>
      <c r="I20" s="654" t="str">
        <f>+I6</f>
        <v>Progress of Current Month (May'26)</v>
      </c>
      <c r="J20" s="656"/>
      <c r="K20" s="655"/>
      <c r="L20" s="654" t="s">
        <v>361</v>
      </c>
      <c r="M20" s="656"/>
      <c r="N20" s="655"/>
      <c r="O20" s="654" t="s">
        <v>362</v>
      </c>
      <c r="P20" s="656"/>
      <c r="Q20" s="655"/>
      <c r="R20" s="660" t="s">
        <v>363</v>
      </c>
    </row>
    <row r="21" spans="1:18" ht="12.75" customHeight="1">
      <c r="A21" s="651"/>
      <c r="B21" s="653"/>
      <c r="C21" s="653"/>
      <c r="D21" s="653"/>
      <c r="E21" s="76" t="s">
        <v>364</v>
      </c>
      <c r="F21" s="76" t="s">
        <v>365</v>
      </c>
      <c r="G21" s="76" t="s">
        <v>366</v>
      </c>
      <c r="H21" s="76" t="s">
        <v>367</v>
      </c>
      <c r="I21" s="76" t="s">
        <v>368</v>
      </c>
      <c r="J21" s="76" t="s">
        <v>369</v>
      </c>
      <c r="K21" s="76" t="s">
        <v>370</v>
      </c>
      <c r="L21" s="76" t="s">
        <v>371</v>
      </c>
      <c r="M21" s="76" t="s">
        <v>32</v>
      </c>
      <c r="N21" s="76" t="s">
        <v>372</v>
      </c>
      <c r="O21" s="76" t="s">
        <v>373</v>
      </c>
      <c r="P21" s="76" t="s">
        <v>374</v>
      </c>
      <c r="Q21" s="76" t="s">
        <v>375</v>
      </c>
      <c r="R21" s="661"/>
    </row>
    <row r="22" spans="1:18" ht="32.25" customHeight="1">
      <c r="A22" s="77">
        <v>1</v>
      </c>
      <c r="B22" s="352" t="s">
        <v>376</v>
      </c>
      <c r="C22" s="78" t="s">
        <v>377</v>
      </c>
      <c r="D22" s="79">
        <v>9</v>
      </c>
      <c r="E22" s="80">
        <v>45461</v>
      </c>
      <c r="F22" s="80">
        <v>45535</v>
      </c>
      <c r="G22" s="81">
        <v>9</v>
      </c>
      <c r="H22" s="81">
        <v>9</v>
      </c>
      <c r="I22" s="81"/>
      <c r="J22" s="81">
        <v>0</v>
      </c>
      <c r="K22" s="79">
        <f>M22-H22</f>
        <v>0</v>
      </c>
      <c r="L22" s="79">
        <v>9</v>
      </c>
      <c r="M22" s="79">
        <v>9</v>
      </c>
      <c r="N22" s="79">
        <f>D22-M22</f>
        <v>0</v>
      </c>
      <c r="O22" s="78"/>
      <c r="P22" s="78"/>
      <c r="Q22" s="78">
        <f t="shared" ref="Q22:Q23" si="7">+O22-P22</f>
        <v>0</v>
      </c>
      <c r="R22" s="353"/>
    </row>
    <row r="23" spans="1:18" ht="29.25" customHeight="1">
      <c r="A23" s="77">
        <v>2</v>
      </c>
      <c r="B23" s="352" t="s">
        <v>378</v>
      </c>
      <c r="C23" s="78" t="s">
        <v>377</v>
      </c>
      <c r="D23" s="79">
        <v>9</v>
      </c>
      <c r="E23" s="80">
        <v>45474</v>
      </c>
      <c r="F23" s="80">
        <v>45565</v>
      </c>
      <c r="G23" s="81">
        <v>9</v>
      </c>
      <c r="H23" s="81">
        <v>9</v>
      </c>
      <c r="I23" s="81"/>
      <c r="J23" s="81">
        <v>0</v>
      </c>
      <c r="K23" s="79">
        <f t="shared" ref="K23:K31" si="8">M23-H23</f>
        <v>0</v>
      </c>
      <c r="L23" s="79">
        <v>9</v>
      </c>
      <c r="M23" s="79">
        <v>9</v>
      </c>
      <c r="N23" s="79">
        <f t="shared" ref="N23:N27" si="9">D23-M23</f>
        <v>0</v>
      </c>
      <c r="O23" s="78"/>
      <c r="P23" s="78"/>
      <c r="Q23" s="78">
        <f t="shared" si="7"/>
        <v>0</v>
      </c>
      <c r="R23" s="353"/>
    </row>
    <row r="24" spans="1:18" ht="51.6" customHeight="1">
      <c r="A24" s="77">
        <v>3</v>
      </c>
      <c r="B24" s="352" t="s">
        <v>379</v>
      </c>
      <c r="C24" s="78" t="s">
        <v>380</v>
      </c>
      <c r="D24" s="78">
        <v>39</v>
      </c>
      <c r="E24" s="80">
        <v>45505</v>
      </c>
      <c r="F24" s="80">
        <v>45688</v>
      </c>
      <c r="G24" s="78">
        <v>39</v>
      </c>
      <c r="H24" s="83">
        <v>34</v>
      </c>
      <c r="I24" s="83">
        <v>5</v>
      </c>
      <c r="J24" s="81">
        <v>0</v>
      </c>
      <c r="K24" s="84">
        <f>M24-H24</f>
        <v>2</v>
      </c>
      <c r="L24" s="79">
        <v>39</v>
      </c>
      <c r="M24" s="81">
        <f>'Progress-132kV'!AF89</f>
        <v>36</v>
      </c>
      <c r="N24" s="79">
        <f>D24-M24</f>
        <v>3</v>
      </c>
      <c r="O24" s="82">
        <v>1</v>
      </c>
      <c r="P24" s="82">
        <v>1</v>
      </c>
      <c r="Q24" s="82">
        <f>O24-P24</f>
        <v>0</v>
      </c>
      <c r="R24" s="580" t="s">
        <v>769</v>
      </c>
    </row>
    <row r="25" spans="1:18" ht="22.5" customHeight="1">
      <c r="A25" s="77">
        <v>4</v>
      </c>
      <c r="B25" s="352" t="s">
        <v>381</v>
      </c>
      <c r="C25" s="78" t="s">
        <v>380</v>
      </c>
      <c r="D25" s="78">
        <v>39</v>
      </c>
      <c r="E25" s="80">
        <v>45505</v>
      </c>
      <c r="F25" s="80">
        <v>45688</v>
      </c>
      <c r="G25" s="78">
        <v>39</v>
      </c>
      <c r="H25" s="83">
        <v>34</v>
      </c>
      <c r="I25" s="83">
        <v>5</v>
      </c>
      <c r="J25" s="81">
        <v>0</v>
      </c>
      <c r="K25" s="84">
        <f>M25-H25</f>
        <v>2</v>
      </c>
      <c r="L25" s="79">
        <v>39</v>
      </c>
      <c r="M25" s="81">
        <f>'Progress-132kV'!AL89</f>
        <v>36</v>
      </c>
      <c r="N25" s="79">
        <f t="shared" si="9"/>
        <v>3</v>
      </c>
      <c r="O25" s="82">
        <v>1</v>
      </c>
      <c r="P25" s="82">
        <v>1</v>
      </c>
      <c r="Q25" s="82">
        <v>0</v>
      </c>
      <c r="R25" s="356"/>
    </row>
    <row r="26" spans="1:18" ht="27" customHeight="1">
      <c r="A26" s="77">
        <v>5</v>
      </c>
      <c r="B26" s="352" t="s">
        <v>382</v>
      </c>
      <c r="C26" s="78" t="s">
        <v>380</v>
      </c>
      <c r="D26" s="78">
        <v>39</v>
      </c>
      <c r="E26" s="80">
        <v>45555</v>
      </c>
      <c r="F26" s="80">
        <v>45716</v>
      </c>
      <c r="G26" s="78">
        <v>39</v>
      </c>
      <c r="H26" s="83">
        <v>31</v>
      </c>
      <c r="I26" s="83">
        <v>5</v>
      </c>
      <c r="J26" s="83">
        <v>0</v>
      </c>
      <c r="K26" s="84">
        <f>M26-H26</f>
        <v>0</v>
      </c>
      <c r="L26" s="79">
        <v>39</v>
      </c>
      <c r="M26" s="81">
        <f>'Progress-132kV'!AQ89</f>
        <v>31</v>
      </c>
      <c r="N26" s="79">
        <f t="shared" si="9"/>
        <v>8</v>
      </c>
      <c r="O26" s="82">
        <v>1</v>
      </c>
      <c r="P26" s="78">
        <v>1</v>
      </c>
      <c r="Q26" s="78">
        <f t="shared" ref="Q26" si="10">+O26-P26</f>
        <v>0</v>
      </c>
      <c r="R26" s="354"/>
    </row>
    <row r="27" spans="1:18" ht="24.75" customHeight="1">
      <c r="A27" s="77">
        <v>6</v>
      </c>
      <c r="B27" s="352" t="s">
        <v>383</v>
      </c>
      <c r="C27" s="78" t="s">
        <v>380</v>
      </c>
      <c r="D27" s="78">
        <v>39</v>
      </c>
      <c r="E27" s="80">
        <v>45555</v>
      </c>
      <c r="F27" s="80">
        <v>45716</v>
      </c>
      <c r="G27" s="78">
        <v>39</v>
      </c>
      <c r="H27" s="81">
        <v>29</v>
      </c>
      <c r="I27" s="81">
        <v>0</v>
      </c>
      <c r="J27" s="81">
        <v>0</v>
      </c>
      <c r="K27" s="79">
        <f>M27-H27</f>
        <v>0</v>
      </c>
      <c r="L27" s="79">
        <v>39</v>
      </c>
      <c r="M27" s="81">
        <f>'Progress-132kV'!AV89</f>
        <v>29</v>
      </c>
      <c r="N27" s="79">
        <f t="shared" si="9"/>
        <v>10</v>
      </c>
      <c r="O27" s="78">
        <v>1</v>
      </c>
      <c r="P27" s="78">
        <v>0</v>
      </c>
      <c r="Q27" s="78">
        <v>0</v>
      </c>
      <c r="R27" s="354"/>
    </row>
    <row r="28" spans="1:18" ht="23.25" customHeight="1">
      <c r="A28" s="77">
        <v>7</v>
      </c>
      <c r="B28" s="352" t="s">
        <v>384</v>
      </c>
      <c r="C28" s="78"/>
      <c r="D28" s="79"/>
      <c r="E28" s="80"/>
      <c r="F28" s="80"/>
      <c r="G28" s="79"/>
      <c r="H28" s="79"/>
      <c r="I28" s="81"/>
      <c r="J28" s="83"/>
      <c r="K28" s="79"/>
      <c r="L28" s="79"/>
      <c r="M28" s="81"/>
      <c r="N28" s="79"/>
      <c r="O28" s="78"/>
      <c r="P28" s="78"/>
      <c r="Q28" s="78"/>
      <c r="R28" s="354"/>
    </row>
    <row r="29" spans="1:18" ht="27" customHeight="1">
      <c r="A29" s="77" t="s">
        <v>385</v>
      </c>
      <c r="B29" s="352" t="s">
        <v>386</v>
      </c>
      <c r="C29" s="78" t="s">
        <v>377</v>
      </c>
      <c r="D29" s="79">
        <v>9</v>
      </c>
      <c r="E29" s="80">
        <v>45607</v>
      </c>
      <c r="F29" s="80">
        <v>45777</v>
      </c>
      <c r="G29" s="79">
        <v>9</v>
      </c>
      <c r="H29" s="494">
        <v>5</v>
      </c>
      <c r="I29" s="499">
        <f>D29-H29</f>
        <v>4</v>
      </c>
      <c r="J29" s="499">
        <v>0</v>
      </c>
      <c r="K29" s="494">
        <f>M29-H29</f>
        <v>1.2313260000000001</v>
      </c>
      <c r="L29" s="494">
        <v>9</v>
      </c>
      <c r="M29" s="494">
        <f>'Stringing-132KV'!I3</f>
        <v>6.2313260000000001</v>
      </c>
      <c r="N29" s="494">
        <f t="shared" ref="N29:N31" si="11">D29-M29</f>
        <v>2.7686739999999999</v>
      </c>
      <c r="O29" s="646">
        <v>1</v>
      </c>
      <c r="P29" s="646">
        <v>1</v>
      </c>
      <c r="Q29" s="662">
        <f>+O29-P29</f>
        <v>0</v>
      </c>
      <c r="R29" s="658" t="s">
        <v>770</v>
      </c>
    </row>
    <row r="30" spans="1:18" ht="27" customHeight="1">
      <c r="A30" s="77" t="s">
        <v>387</v>
      </c>
      <c r="B30" s="352" t="s">
        <v>388</v>
      </c>
      <c r="C30" s="78" t="s">
        <v>377</v>
      </c>
      <c r="D30" s="79">
        <v>9</v>
      </c>
      <c r="E30" s="80">
        <v>45607</v>
      </c>
      <c r="F30" s="80">
        <v>45777</v>
      </c>
      <c r="G30" s="79">
        <v>9</v>
      </c>
      <c r="H30" s="494">
        <v>5</v>
      </c>
      <c r="I30" s="499">
        <f>D30-H30</f>
        <v>4</v>
      </c>
      <c r="J30" s="499">
        <v>0</v>
      </c>
      <c r="K30" s="494">
        <f>M30-H30</f>
        <v>1.2313260000000001</v>
      </c>
      <c r="L30" s="494">
        <v>9</v>
      </c>
      <c r="M30" s="494">
        <f>'Stringing-132KV'!L3</f>
        <v>6.2313260000000001</v>
      </c>
      <c r="N30" s="494">
        <f t="shared" si="11"/>
        <v>2.7686739999999999</v>
      </c>
      <c r="O30" s="657"/>
      <c r="P30" s="657"/>
      <c r="Q30" s="653"/>
      <c r="R30" s="659"/>
    </row>
    <row r="31" spans="1:18" ht="38.25" customHeight="1" thickBot="1">
      <c r="A31" s="92" t="s">
        <v>389</v>
      </c>
      <c r="B31" s="355" t="s">
        <v>390</v>
      </c>
      <c r="C31" s="93" t="s">
        <v>377</v>
      </c>
      <c r="D31" s="94">
        <v>9</v>
      </c>
      <c r="E31" s="95">
        <v>45627</v>
      </c>
      <c r="F31" s="95">
        <v>45777</v>
      </c>
      <c r="G31" s="96">
        <v>9</v>
      </c>
      <c r="H31" s="96">
        <v>0</v>
      </c>
      <c r="I31" s="96">
        <f t="shared" ref="I31" si="12">G31-H31</f>
        <v>9</v>
      </c>
      <c r="J31" s="96">
        <v>0</v>
      </c>
      <c r="K31" s="94">
        <f t="shared" si="8"/>
        <v>6.2313260000000001</v>
      </c>
      <c r="L31" s="495">
        <v>9</v>
      </c>
      <c r="M31" s="94">
        <f>'Stringing-132KV'!Y3</f>
        <v>6.2313260000000001</v>
      </c>
      <c r="N31" s="495">
        <f t="shared" si="11"/>
        <v>2.7686739999999999</v>
      </c>
      <c r="O31" s="93">
        <v>1</v>
      </c>
      <c r="P31" s="93">
        <v>0</v>
      </c>
      <c r="Q31" s="93">
        <f>+O31-P31</f>
        <v>1</v>
      </c>
      <c r="R31" s="357"/>
    </row>
  </sheetData>
  <mergeCells count="42">
    <mergeCell ref="O29:O30"/>
    <mergeCell ref="P29:P30"/>
    <mergeCell ref="R29:R30"/>
    <mergeCell ref="R20:R21"/>
    <mergeCell ref="Q29:Q30"/>
    <mergeCell ref="A19:P19"/>
    <mergeCell ref="A20:A21"/>
    <mergeCell ref="B20:B21"/>
    <mergeCell ref="C20:C21"/>
    <mergeCell ref="D20:D21"/>
    <mergeCell ref="E20:F20"/>
    <mergeCell ref="G20:H20"/>
    <mergeCell ref="I20:K20"/>
    <mergeCell ref="L20:N20"/>
    <mergeCell ref="O20:Q20"/>
    <mergeCell ref="R14:R16"/>
    <mergeCell ref="R6:R7"/>
    <mergeCell ref="L6:N6"/>
    <mergeCell ref="O6:Q6"/>
    <mergeCell ref="O10:O11"/>
    <mergeCell ref="P10:P11"/>
    <mergeCell ref="Q10:Q11"/>
    <mergeCell ref="R10:R11"/>
    <mergeCell ref="O15:O16"/>
    <mergeCell ref="P15:P16"/>
    <mergeCell ref="Q15:Q16"/>
    <mergeCell ref="O4:Q4"/>
    <mergeCell ref="G6:H6"/>
    <mergeCell ref="I6:K6"/>
    <mergeCell ref="A4:L4"/>
    <mergeCell ref="A5:P5"/>
    <mergeCell ref="A6:A7"/>
    <mergeCell ref="B6:B7"/>
    <mergeCell ref="C6:C7"/>
    <mergeCell ref="D6:D7"/>
    <mergeCell ref="E6:F6"/>
    <mergeCell ref="A1:R1"/>
    <mergeCell ref="A2:M2"/>
    <mergeCell ref="O2:Q2"/>
    <mergeCell ref="A3:L3"/>
    <mergeCell ref="M3:N3"/>
    <mergeCell ref="O3:Q3"/>
  </mergeCells>
  <conditionalFormatting sqref="R5">
    <cfRule type="cellIs" dxfId="1538" priority="1" operator="equal">
      <formula>"U/P"</formula>
    </cfRule>
    <cfRule type="cellIs" dxfId="1537" priority="2" operator="equal">
      <formula>"C"</formula>
    </cfRule>
  </conditionalFormatting>
  <conditionalFormatting sqref="R19">
    <cfRule type="cellIs" dxfId="1536" priority="3" operator="equal">
      <formula>"U/P"</formula>
    </cfRule>
    <cfRule type="cellIs" dxfId="1535" priority="4" operator="equal">
      <formula>"C"</formula>
    </cfRule>
  </conditionalFormatting>
  <pageMargins left="0.31496062992125984" right="0.23622047244094491" top="0.62992125984251968" bottom="0.74803149606299213" header="0" footer="0"/>
  <pageSetup paperSize="9" scale="3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38"/>
  <sheetViews>
    <sheetView workbookViewId="0">
      <pane xSplit="7" ySplit="2" topLeftCell="H21" activePane="bottomRight" state="frozen"/>
      <selection pane="topRight" activeCell="H1" sqref="H1"/>
      <selection pane="bottomLeft" activeCell="A3" sqref="A3"/>
      <selection pane="bottomRight" activeCell="F40" sqref="F40"/>
    </sheetView>
  </sheetViews>
  <sheetFormatPr defaultColWidth="14.42578125" defaultRowHeight="15" customHeight="1"/>
  <cols>
    <col min="1" max="1" width="24.7109375" customWidth="1"/>
    <col min="2" max="2" width="32.7109375" customWidth="1"/>
    <col min="3" max="3" width="17" customWidth="1"/>
    <col min="4" max="4" width="12" customWidth="1"/>
    <col min="5" max="5" width="13.42578125" customWidth="1"/>
    <col min="6" max="6" width="12.5703125" customWidth="1"/>
    <col min="7" max="7" width="79.42578125" customWidth="1"/>
    <col min="8" max="8" width="26" customWidth="1"/>
    <col min="9" max="9" width="20.140625" customWidth="1"/>
    <col min="10" max="10" width="11.5703125" customWidth="1"/>
    <col min="11" max="11" width="11" customWidth="1"/>
    <col min="12" max="12" width="17.140625" customWidth="1"/>
    <col min="13" max="13" width="14.5703125" customWidth="1"/>
    <col min="14" max="14" width="16.28515625" customWidth="1"/>
    <col min="15" max="15" width="17.42578125" customWidth="1"/>
    <col min="16" max="16" width="14.140625" customWidth="1"/>
    <col min="17" max="17" width="18.7109375" customWidth="1"/>
    <col min="18" max="18" width="13" customWidth="1"/>
    <col min="19" max="19" width="27.85546875" customWidth="1"/>
    <col min="20" max="26" width="8.7109375" customWidth="1"/>
  </cols>
  <sheetData>
    <row r="1" spans="1:19" ht="14.25" customHeight="1">
      <c r="A1" s="663" t="str">
        <f>+Summary!A2</f>
        <v>Name of the Line: 220KV DC AL59 line from Neemuch - Chanderiya + 132KV DC ACSS Line from Chanderiya to Hindustan Zinc</v>
      </c>
      <c r="B1" s="604"/>
      <c r="C1" s="604"/>
      <c r="D1" s="604"/>
      <c r="E1" s="604"/>
      <c r="F1" s="604"/>
      <c r="G1" s="604"/>
      <c r="H1" s="604"/>
      <c r="I1" s="604"/>
      <c r="J1" s="604"/>
      <c r="K1" s="604"/>
      <c r="L1" s="604"/>
      <c r="M1" s="604"/>
      <c r="N1" s="604"/>
      <c r="O1" s="604"/>
      <c r="P1" s="604"/>
      <c r="Q1" s="604"/>
      <c r="R1" s="604"/>
      <c r="S1" s="605"/>
    </row>
    <row r="2" spans="1:19" ht="14.25" hidden="1" customHeight="1">
      <c r="A2" s="97" t="s">
        <v>392</v>
      </c>
      <c r="B2" s="97" t="s">
        <v>393</v>
      </c>
      <c r="C2" s="98" t="s">
        <v>394</v>
      </c>
      <c r="D2" s="97" t="s">
        <v>395</v>
      </c>
      <c r="E2" s="97" t="s">
        <v>396</v>
      </c>
      <c r="F2" s="97" t="s">
        <v>397</v>
      </c>
      <c r="G2" s="13" t="s">
        <v>398</v>
      </c>
      <c r="H2" s="13" t="s">
        <v>399</v>
      </c>
      <c r="I2" s="13" t="s">
        <v>400</v>
      </c>
      <c r="J2" s="99" t="s">
        <v>401</v>
      </c>
      <c r="K2" s="99" t="s">
        <v>402</v>
      </c>
      <c r="L2" s="99" t="s">
        <v>403</v>
      </c>
      <c r="M2" s="99" t="s">
        <v>404</v>
      </c>
      <c r="N2" s="99" t="s">
        <v>405</v>
      </c>
      <c r="O2" s="99" t="s">
        <v>406</v>
      </c>
      <c r="P2" s="99" t="s">
        <v>407</v>
      </c>
      <c r="Q2" s="99" t="s">
        <v>408</v>
      </c>
      <c r="R2" s="99" t="s">
        <v>409</v>
      </c>
      <c r="S2" s="99" t="s">
        <v>15</v>
      </c>
    </row>
    <row r="3" spans="1:19" ht="14.25" hidden="1" customHeight="1">
      <c r="A3" s="664" t="s">
        <v>410</v>
      </c>
      <c r="B3" s="604"/>
      <c r="C3" s="604"/>
      <c r="D3" s="604"/>
      <c r="E3" s="604"/>
      <c r="F3" s="604"/>
      <c r="G3" s="604"/>
      <c r="H3" s="604"/>
      <c r="I3" s="604"/>
      <c r="J3" s="604"/>
      <c r="K3" s="604"/>
      <c r="L3" s="604"/>
      <c r="M3" s="604"/>
      <c r="N3" s="604"/>
      <c r="O3" s="604"/>
      <c r="P3" s="604"/>
      <c r="Q3" s="604"/>
      <c r="R3" s="604"/>
      <c r="S3" s="605"/>
    </row>
    <row r="4" spans="1:19" ht="14.25" hidden="1" customHeight="1">
      <c r="A4" s="15">
        <v>1</v>
      </c>
      <c r="B4" s="100" t="s">
        <v>411</v>
      </c>
      <c r="C4" s="35" t="s">
        <v>412</v>
      </c>
      <c r="D4" s="35" t="s">
        <v>413</v>
      </c>
      <c r="E4" s="35"/>
      <c r="F4" s="35"/>
      <c r="G4" s="35" t="s">
        <v>414</v>
      </c>
      <c r="H4" s="35" t="s">
        <v>415</v>
      </c>
      <c r="I4" s="15" t="s">
        <v>416</v>
      </c>
      <c r="J4" s="15"/>
      <c r="K4" s="15">
        <v>248</v>
      </c>
      <c r="L4" s="15"/>
      <c r="M4" s="17"/>
      <c r="N4" s="17"/>
      <c r="O4" s="17"/>
      <c r="P4" s="17"/>
      <c r="Q4" s="17"/>
      <c r="R4" s="17"/>
      <c r="S4" s="101"/>
    </row>
    <row r="5" spans="1:19" ht="14.25" hidden="1" customHeight="1">
      <c r="A5" s="15">
        <v>2</v>
      </c>
      <c r="B5" s="100" t="s">
        <v>411</v>
      </c>
      <c r="C5" s="35" t="s">
        <v>412</v>
      </c>
      <c r="D5" s="35" t="s">
        <v>413</v>
      </c>
      <c r="E5" s="35"/>
      <c r="F5" s="35"/>
      <c r="G5" s="15" t="s">
        <v>417</v>
      </c>
      <c r="H5" s="15" t="s">
        <v>418</v>
      </c>
      <c r="I5" s="15" t="s">
        <v>416</v>
      </c>
      <c r="J5" s="15"/>
      <c r="K5" s="23">
        <v>229.73</v>
      </c>
      <c r="L5" s="15"/>
      <c r="M5" s="17"/>
      <c r="N5" s="17"/>
      <c r="O5" s="17"/>
      <c r="P5" s="17"/>
      <c r="Q5" s="17"/>
      <c r="R5" s="17"/>
      <c r="S5" s="101"/>
    </row>
    <row r="6" spans="1:19" ht="14.25" hidden="1" customHeight="1">
      <c r="A6" s="15">
        <v>3</v>
      </c>
      <c r="B6" s="100" t="s">
        <v>419</v>
      </c>
      <c r="C6" s="15" t="s">
        <v>420</v>
      </c>
      <c r="D6" s="35" t="s">
        <v>421</v>
      </c>
      <c r="E6" s="35" t="s">
        <v>422</v>
      </c>
      <c r="F6" s="35"/>
      <c r="G6" s="15" t="s">
        <v>423</v>
      </c>
      <c r="H6" s="15" t="s">
        <v>424</v>
      </c>
      <c r="I6" s="15" t="s">
        <v>425</v>
      </c>
      <c r="J6" s="15"/>
      <c r="K6" s="15">
        <v>190.52</v>
      </c>
      <c r="L6" s="15"/>
      <c r="M6" s="17"/>
      <c r="N6" s="17"/>
      <c r="O6" s="17"/>
      <c r="P6" s="17"/>
      <c r="Q6" s="17"/>
      <c r="R6" s="17"/>
      <c r="S6" s="101"/>
    </row>
    <row r="7" spans="1:19" ht="14.25" hidden="1" customHeight="1">
      <c r="A7" s="15">
        <v>4</v>
      </c>
      <c r="B7" s="100" t="s">
        <v>426</v>
      </c>
      <c r="C7" s="15" t="s">
        <v>420</v>
      </c>
      <c r="D7" s="35" t="s">
        <v>421</v>
      </c>
      <c r="E7" s="35" t="s">
        <v>422</v>
      </c>
      <c r="F7" s="15"/>
      <c r="G7" s="15" t="s">
        <v>427</v>
      </c>
      <c r="H7" s="15" t="s">
        <v>428</v>
      </c>
      <c r="I7" s="15" t="s">
        <v>429</v>
      </c>
      <c r="J7" s="15"/>
      <c r="K7" s="15">
        <v>142.38</v>
      </c>
      <c r="L7" s="15"/>
      <c r="M7" s="17"/>
      <c r="N7" s="17"/>
      <c r="O7" s="17"/>
      <c r="P7" s="17"/>
      <c r="Q7" s="17"/>
      <c r="R7" s="17"/>
      <c r="S7" s="101"/>
    </row>
    <row r="8" spans="1:19" ht="14.25" hidden="1" customHeight="1">
      <c r="A8" s="15">
        <v>5</v>
      </c>
      <c r="B8" s="100" t="s">
        <v>430</v>
      </c>
      <c r="C8" s="15"/>
      <c r="D8" s="35" t="s">
        <v>421</v>
      </c>
      <c r="E8" s="35"/>
      <c r="F8" s="35"/>
      <c r="G8" s="15" t="s">
        <v>431</v>
      </c>
      <c r="H8" s="15" t="s">
        <v>432</v>
      </c>
      <c r="I8" s="15" t="s">
        <v>416</v>
      </c>
      <c r="J8" s="15"/>
      <c r="K8" s="15">
        <v>44</v>
      </c>
      <c r="L8" s="15"/>
      <c r="M8" s="17"/>
      <c r="N8" s="17"/>
      <c r="O8" s="17"/>
      <c r="P8" s="17"/>
      <c r="Q8" s="17"/>
      <c r="R8" s="17"/>
      <c r="S8" s="102"/>
    </row>
    <row r="9" spans="1:19" ht="14.25" hidden="1" customHeight="1">
      <c r="A9" s="15">
        <v>6</v>
      </c>
      <c r="B9" s="100" t="s">
        <v>433</v>
      </c>
      <c r="C9" s="15"/>
      <c r="D9" s="35"/>
      <c r="E9" s="35"/>
      <c r="F9" s="35"/>
      <c r="G9" s="15" t="s">
        <v>434</v>
      </c>
      <c r="H9" s="15" t="s">
        <v>435</v>
      </c>
      <c r="I9" s="15" t="s">
        <v>436</v>
      </c>
      <c r="J9" s="15"/>
      <c r="K9" s="15">
        <v>361</v>
      </c>
      <c r="L9" s="15"/>
      <c r="M9" s="17"/>
      <c r="N9" s="17"/>
      <c r="O9" s="17"/>
      <c r="P9" s="17"/>
      <c r="Q9" s="17"/>
      <c r="R9" s="17"/>
      <c r="S9" s="101"/>
    </row>
    <row r="10" spans="1:19" ht="14.25" hidden="1" customHeight="1">
      <c r="A10" s="15"/>
      <c r="B10" s="100"/>
      <c r="C10" s="15"/>
      <c r="D10" s="35"/>
      <c r="E10" s="35"/>
      <c r="F10" s="35"/>
      <c r="G10" s="15"/>
      <c r="H10" s="15"/>
      <c r="I10" s="15"/>
      <c r="J10" s="15"/>
      <c r="K10" s="15"/>
      <c r="L10" s="15"/>
      <c r="M10" s="17"/>
      <c r="N10" s="17"/>
      <c r="O10" s="17"/>
      <c r="P10" s="17"/>
      <c r="Q10" s="17"/>
      <c r="R10" s="17"/>
      <c r="S10" s="102"/>
    </row>
    <row r="11" spans="1:19" ht="14.25" hidden="1" customHeight="1">
      <c r="A11" s="664" t="s">
        <v>437</v>
      </c>
      <c r="B11" s="604"/>
      <c r="C11" s="604"/>
      <c r="D11" s="604"/>
      <c r="E11" s="604"/>
      <c r="F11" s="604"/>
      <c r="G11" s="604"/>
      <c r="H11" s="604"/>
      <c r="I11" s="604"/>
      <c r="J11" s="604"/>
      <c r="K11" s="604"/>
      <c r="L11" s="604"/>
      <c r="M11" s="604"/>
      <c r="N11" s="604"/>
      <c r="O11" s="604"/>
      <c r="P11" s="604"/>
      <c r="Q11" s="604"/>
      <c r="R11" s="604"/>
      <c r="S11" s="605"/>
    </row>
    <row r="12" spans="1:19" ht="14.25" hidden="1" customHeight="1">
      <c r="A12" s="15">
        <v>1</v>
      </c>
      <c r="B12" s="100" t="s">
        <v>438</v>
      </c>
      <c r="C12" s="15"/>
      <c r="D12" s="35" t="s">
        <v>439</v>
      </c>
      <c r="E12" s="35"/>
      <c r="F12" s="35"/>
      <c r="G12" s="35" t="s">
        <v>440</v>
      </c>
      <c r="H12" s="35" t="s">
        <v>441</v>
      </c>
      <c r="I12" s="15" t="s">
        <v>416</v>
      </c>
      <c r="J12" s="15"/>
      <c r="K12" s="15">
        <v>25.92</v>
      </c>
      <c r="L12" s="15"/>
      <c r="M12" s="17"/>
      <c r="N12" s="17"/>
      <c r="O12" s="17"/>
      <c r="P12" s="17"/>
      <c r="Q12" s="17"/>
      <c r="R12" s="17"/>
      <c r="S12" s="101"/>
    </row>
    <row r="13" spans="1:19" ht="14.25" hidden="1" customHeight="1">
      <c r="A13" s="15">
        <v>2</v>
      </c>
      <c r="B13" s="100" t="s">
        <v>442</v>
      </c>
      <c r="C13" s="15"/>
      <c r="D13" s="35" t="s">
        <v>439</v>
      </c>
      <c r="E13" s="35"/>
      <c r="F13" s="35"/>
      <c r="G13" s="15" t="s">
        <v>443</v>
      </c>
      <c r="H13" s="15" t="s">
        <v>444</v>
      </c>
      <c r="I13" s="15" t="s">
        <v>416</v>
      </c>
      <c r="J13" s="15"/>
      <c r="K13" s="15">
        <v>260</v>
      </c>
      <c r="L13" s="15"/>
      <c r="M13" s="17"/>
      <c r="N13" s="17"/>
      <c r="O13" s="17"/>
      <c r="P13" s="17"/>
      <c r="Q13" s="17"/>
      <c r="R13" s="17"/>
      <c r="S13" s="35"/>
    </row>
    <row r="14" spans="1:19" ht="14.25" hidden="1" customHeight="1">
      <c r="A14" s="15">
        <v>3</v>
      </c>
      <c r="B14" s="100" t="s">
        <v>445</v>
      </c>
      <c r="C14" s="15"/>
      <c r="D14" s="15" t="s">
        <v>445</v>
      </c>
      <c r="E14" s="15"/>
      <c r="F14" s="15"/>
      <c r="G14" s="15" t="s">
        <v>446</v>
      </c>
      <c r="H14" s="15" t="s">
        <v>447</v>
      </c>
      <c r="I14" s="15" t="s">
        <v>416</v>
      </c>
      <c r="J14" s="15"/>
      <c r="K14" s="15">
        <v>302</v>
      </c>
      <c r="L14" s="15"/>
      <c r="M14" s="17"/>
      <c r="N14" s="17"/>
      <c r="O14" s="17"/>
      <c r="P14" s="17"/>
      <c r="Q14" s="17"/>
      <c r="R14" s="17"/>
      <c r="S14" s="35"/>
    </row>
    <row r="15" spans="1:19" ht="14.25" hidden="1" customHeight="1">
      <c r="A15" s="15">
        <v>4</v>
      </c>
      <c r="B15" s="100" t="s">
        <v>448</v>
      </c>
      <c r="C15" s="15"/>
      <c r="D15" s="15" t="s">
        <v>421</v>
      </c>
      <c r="E15" s="15"/>
      <c r="F15" s="15"/>
      <c r="G15" s="15" t="s">
        <v>449</v>
      </c>
      <c r="H15" s="15" t="s">
        <v>450</v>
      </c>
      <c r="I15" s="15" t="s">
        <v>416</v>
      </c>
      <c r="J15" s="15"/>
      <c r="K15" s="15">
        <v>50</v>
      </c>
      <c r="L15" s="15"/>
      <c r="M15" s="17"/>
      <c r="N15" s="17"/>
      <c r="O15" s="17"/>
      <c r="P15" s="17"/>
      <c r="Q15" s="17"/>
      <c r="R15" s="17"/>
      <c r="S15" s="101"/>
    </row>
    <row r="16" spans="1:19" ht="14.25" hidden="1" customHeight="1">
      <c r="A16" s="15">
        <v>5</v>
      </c>
      <c r="B16" s="100" t="s">
        <v>451</v>
      </c>
      <c r="C16" s="15"/>
      <c r="D16" s="15" t="s">
        <v>452</v>
      </c>
      <c r="E16" s="15"/>
      <c r="F16" s="15"/>
      <c r="G16" s="15" t="s">
        <v>453</v>
      </c>
      <c r="H16" s="15" t="s">
        <v>454</v>
      </c>
      <c r="I16" s="15" t="s">
        <v>416</v>
      </c>
      <c r="J16" s="15"/>
      <c r="K16" s="15">
        <v>215.13</v>
      </c>
      <c r="L16" s="15"/>
      <c r="M16" s="17"/>
      <c r="N16" s="17"/>
      <c r="O16" s="17"/>
      <c r="P16" s="17"/>
      <c r="Q16" s="17"/>
      <c r="R16" s="17"/>
      <c r="S16" s="102"/>
    </row>
    <row r="17" spans="1:19" ht="14.25" hidden="1" customHeight="1">
      <c r="A17" s="15">
        <v>6</v>
      </c>
      <c r="B17" s="100" t="s">
        <v>419</v>
      </c>
      <c r="C17" s="15"/>
      <c r="D17" s="15" t="s">
        <v>421</v>
      </c>
      <c r="E17" s="15"/>
      <c r="F17" s="15"/>
      <c r="G17" s="15" t="s">
        <v>455</v>
      </c>
      <c r="H17" s="15" t="s">
        <v>456</v>
      </c>
      <c r="I17" s="15" t="s">
        <v>416</v>
      </c>
      <c r="J17" s="15"/>
      <c r="K17" s="15">
        <v>53</v>
      </c>
      <c r="L17" s="15"/>
      <c r="M17" s="17"/>
      <c r="N17" s="17"/>
      <c r="O17" s="17"/>
      <c r="P17" s="17"/>
      <c r="Q17" s="17"/>
      <c r="R17" s="17"/>
      <c r="S17" s="102"/>
    </row>
    <row r="18" spans="1:19" ht="14.25" hidden="1" customHeight="1">
      <c r="A18" s="15">
        <v>7</v>
      </c>
      <c r="B18" s="100" t="s">
        <v>411</v>
      </c>
      <c r="C18" s="35" t="s">
        <v>412</v>
      </c>
      <c r="D18" s="15" t="s">
        <v>413</v>
      </c>
      <c r="E18" s="15"/>
      <c r="F18" s="15"/>
      <c r="G18" s="15" t="s">
        <v>457</v>
      </c>
      <c r="H18" s="15" t="s">
        <v>458</v>
      </c>
      <c r="I18" s="15" t="s">
        <v>416</v>
      </c>
      <c r="J18" s="15"/>
      <c r="K18" s="15">
        <v>250</v>
      </c>
      <c r="L18" s="15"/>
      <c r="M18" s="17"/>
      <c r="N18" s="17"/>
      <c r="O18" s="17"/>
      <c r="P18" s="17"/>
      <c r="Q18" s="17"/>
      <c r="R18" s="17"/>
      <c r="S18" s="102"/>
    </row>
    <row r="19" spans="1:19" ht="14.25" hidden="1" customHeight="1">
      <c r="A19" s="43"/>
      <c r="B19" s="103"/>
      <c r="C19" s="43"/>
      <c r="D19" s="43"/>
      <c r="E19" s="43"/>
      <c r="F19" s="43"/>
      <c r="G19" s="104"/>
      <c r="H19" s="43"/>
      <c r="I19" s="43"/>
      <c r="J19" s="43"/>
      <c r="L19" s="43"/>
      <c r="M19" s="105"/>
      <c r="N19" s="105"/>
      <c r="O19" s="106"/>
      <c r="P19" s="105"/>
      <c r="Q19" s="105"/>
      <c r="R19" s="105"/>
    </row>
    <row r="20" spans="1:19" ht="14.25" hidden="1" customHeight="1"/>
    <row r="21" spans="1:19" ht="14.25" customHeight="1" thickBot="1"/>
    <row r="22" spans="1:19" ht="14.25" customHeight="1" thickBot="1">
      <c r="A22" s="107" t="s">
        <v>393</v>
      </c>
      <c r="B22" s="108" t="s">
        <v>394</v>
      </c>
      <c r="C22" s="109" t="s">
        <v>395</v>
      </c>
      <c r="D22" s="109" t="s">
        <v>459</v>
      </c>
      <c r="E22" s="109" t="s">
        <v>460</v>
      </c>
      <c r="F22" s="109" t="s">
        <v>461</v>
      </c>
      <c r="G22" s="109" t="s">
        <v>15</v>
      </c>
    </row>
    <row r="23" spans="1:19" ht="14.25" customHeight="1">
      <c r="A23" s="110" t="s">
        <v>411</v>
      </c>
      <c r="B23" s="111" t="s">
        <v>412</v>
      </c>
      <c r="C23" s="111" t="s">
        <v>413</v>
      </c>
      <c r="D23" s="111" t="s">
        <v>414</v>
      </c>
      <c r="E23" s="111"/>
      <c r="F23" s="112">
        <v>45654</v>
      </c>
      <c r="G23" s="111" t="s">
        <v>462</v>
      </c>
    </row>
    <row r="24" spans="1:19" ht="14.25" customHeight="1">
      <c r="A24" s="110" t="s">
        <v>411</v>
      </c>
      <c r="B24" s="111" t="s">
        <v>412</v>
      </c>
      <c r="C24" s="111" t="s">
        <v>413</v>
      </c>
      <c r="D24" s="111" t="s">
        <v>417</v>
      </c>
      <c r="E24" s="111"/>
      <c r="F24" s="112">
        <v>45586</v>
      </c>
      <c r="G24" s="111" t="s">
        <v>462</v>
      </c>
    </row>
    <row r="25" spans="1:19" ht="14.25" customHeight="1">
      <c r="A25" s="110" t="s">
        <v>419</v>
      </c>
      <c r="B25" s="111" t="s">
        <v>420</v>
      </c>
      <c r="C25" s="111" t="s">
        <v>421</v>
      </c>
      <c r="D25" s="111" t="s">
        <v>423</v>
      </c>
      <c r="E25" s="111" t="s">
        <v>463</v>
      </c>
      <c r="F25" s="111"/>
      <c r="G25" s="111" t="s">
        <v>462</v>
      </c>
    </row>
    <row r="26" spans="1:19" ht="14.25" customHeight="1" thickBot="1">
      <c r="A26" s="110" t="s">
        <v>426</v>
      </c>
      <c r="B26" s="111" t="s">
        <v>420</v>
      </c>
      <c r="C26" s="111" t="s">
        <v>421</v>
      </c>
      <c r="D26" s="111" t="s">
        <v>427</v>
      </c>
      <c r="E26" s="111" t="s">
        <v>463</v>
      </c>
      <c r="F26" s="111"/>
      <c r="G26" s="111" t="s">
        <v>462</v>
      </c>
    </row>
    <row r="27" spans="1:19" ht="14.25" customHeight="1" thickBot="1">
      <c r="A27" s="392" t="s">
        <v>430</v>
      </c>
      <c r="B27" s="393" t="s">
        <v>420</v>
      </c>
      <c r="C27" s="393" t="s">
        <v>421</v>
      </c>
      <c r="D27" s="393" t="s">
        <v>431</v>
      </c>
      <c r="E27" s="393" t="s">
        <v>463</v>
      </c>
      <c r="F27" s="393"/>
      <c r="G27" s="393" t="s">
        <v>462</v>
      </c>
    </row>
    <row r="28" spans="1:19" ht="14.25" customHeight="1" thickBot="1">
      <c r="A28" s="396" t="s">
        <v>702</v>
      </c>
      <c r="B28" s="397" t="s">
        <v>420</v>
      </c>
      <c r="C28" s="397" t="s">
        <v>421</v>
      </c>
      <c r="D28" s="397" t="s">
        <v>704</v>
      </c>
      <c r="E28" s="397"/>
      <c r="F28" s="397"/>
      <c r="G28" s="398" t="s">
        <v>706</v>
      </c>
    </row>
    <row r="29" spans="1:19" ht="14.25" customHeight="1" thickBot="1">
      <c r="A29" s="394" t="s">
        <v>703</v>
      </c>
      <c r="B29" s="395" t="s">
        <v>420</v>
      </c>
      <c r="C29" s="395" t="s">
        <v>421</v>
      </c>
      <c r="D29" s="395" t="s">
        <v>705</v>
      </c>
      <c r="E29" s="395"/>
      <c r="F29" s="395"/>
      <c r="G29" s="398" t="s">
        <v>706</v>
      </c>
    </row>
    <row r="30" spans="1:19" ht="14.25" customHeight="1">
      <c r="A30" s="113"/>
    </row>
    <row r="31" spans="1:19" ht="14.25" customHeight="1">
      <c r="A31" s="113" t="s">
        <v>464</v>
      </c>
    </row>
    <row r="32" spans="1:19" ht="14.25" customHeight="1">
      <c r="A32" s="113"/>
    </row>
    <row r="33" spans="1:7" ht="14.25" customHeight="1" thickBot="1">
      <c r="A33" s="107" t="s">
        <v>393</v>
      </c>
      <c r="B33" s="108" t="s">
        <v>394</v>
      </c>
      <c r="C33" s="109" t="s">
        <v>395</v>
      </c>
      <c r="D33" s="109" t="s">
        <v>459</v>
      </c>
      <c r="E33" s="109" t="s">
        <v>460</v>
      </c>
      <c r="F33" s="109" t="s">
        <v>461</v>
      </c>
      <c r="G33" s="109" t="s">
        <v>15</v>
      </c>
    </row>
    <row r="34" spans="1:7" ht="14.25" customHeight="1" thickBot="1">
      <c r="A34" s="114" t="s">
        <v>448</v>
      </c>
      <c r="B34" s="115" t="s">
        <v>421</v>
      </c>
      <c r="C34" s="116"/>
      <c r="D34" s="115" t="s">
        <v>707</v>
      </c>
      <c r="E34" s="117">
        <v>45667</v>
      </c>
      <c r="F34" s="117">
        <v>45667</v>
      </c>
      <c r="G34" s="115" t="s">
        <v>465</v>
      </c>
    </row>
    <row r="35" spans="1:7" ht="14.25" customHeight="1" thickBot="1">
      <c r="A35" s="114" t="s">
        <v>451</v>
      </c>
      <c r="B35" s="115" t="s">
        <v>452</v>
      </c>
      <c r="C35" s="116"/>
      <c r="D35" s="115" t="s">
        <v>453</v>
      </c>
      <c r="E35" s="117">
        <v>45659</v>
      </c>
      <c r="F35" s="117">
        <v>45666</v>
      </c>
      <c r="G35" s="111" t="s">
        <v>462</v>
      </c>
    </row>
    <row r="36" spans="1:7" ht="14.25" customHeight="1">
      <c r="A36" s="114" t="s">
        <v>419</v>
      </c>
      <c r="B36" s="115" t="s">
        <v>421</v>
      </c>
      <c r="C36" s="116"/>
      <c r="D36" s="115" t="s">
        <v>455</v>
      </c>
      <c r="E36" s="116"/>
      <c r="F36" s="117">
        <v>45648</v>
      </c>
      <c r="G36" s="111" t="s">
        <v>462</v>
      </c>
    </row>
    <row r="37" spans="1:7" ht="14.25" customHeight="1" thickBot="1">
      <c r="A37" s="114" t="s">
        <v>466</v>
      </c>
      <c r="B37" s="115" t="s">
        <v>421</v>
      </c>
      <c r="C37" s="116"/>
      <c r="D37" s="115" t="s">
        <v>467</v>
      </c>
      <c r="E37" s="117">
        <v>45637</v>
      </c>
      <c r="F37" s="116"/>
      <c r="G37" s="111" t="s">
        <v>462</v>
      </c>
    </row>
    <row r="38" spans="1:7" ht="14.25" customHeight="1" thickBot="1">
      <c r="A38" s="110" t="s">
        <v>411</v>
      </c>
      <c r="B38" s="111" t="s">
        <v>412</v>
      </c>
      <c r="C38" s="111" t="s">
        <v>413</v>
      </c>
      <c r="D38" s="111" t="s">
        <v>457</v>
      </c>
      <c r="E38" s="111"/>
      <c r="F38" s="112"/>
      <c r="G38" s="111" t="s">
        <v>462</v>
      </c>
    </row>
  </sheetData>
  <autoFilter ref="A2:S18" xr:uid="{00000000-0009-0000-0000-000005000000}"/>
  <mergeCells count="3">
    <mergeCell ref="A1:S1"/>
    <mergeCell ref="A3:S3"/>
    <mergeCell ref="A11:S11"/>
  </mergeCells>
  <pageMargins left="0.31496062992125984" right="0.31496062992125984" top="0.74803149606299213" bottom="0.74803149606299213" header="0" footer="0"/>
  <pageSetup paperSize="9" scale="35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A93"/>
  <sheetViews>
    <sheetView zoomScale="55" zoomScaleNormal="55" workbookViewId="0">
      <pane xSplit="3" ySplit="5" topLeftCell="N6" activePane="bottomRight" state="frozen"/>
      <selection pane="topRight" activeCell="D1" sqref="D1"/>
      <selection pane="bottomLeft" activeCell="A6" sqref="A6"/>
      <selection pane="bottomRight" activeCell="AP12" sqref="AP12"/>
    </sheetView>
  </sheetViews>
  <sheetFormatPr defaultColWidth="14.42578125" defaultRowHeight="15" customHeight="1"/>
  <cols>
    <col min="1" max="1" width="4.5703125" style="359" customWidth="1"/>
    <col min="2" max="2" width="8.7109375" style="359" customWidth="1"/>
    <col min="3" max="3" width="16.5703125" style="359" customWidth="1"/>
    <col min="4" max="14" width="14.5703125" style="359" customWidth="1"/>
    <col min="15" max="17" width="4.28515625" style="359" customWidth="1"/>
    <col min="18" max="18" width="3.42578125" style="359" customWidth="1"/>
    <col min="19" max="19" width="10.5703125" style="359" customWidth="1"/>
    <col min="20" max="25" width="10.42578125" style="359" customWidth="1"/>
    <col min="26" max="29" width="11.42578125" style="359" customWidth="1"/>
    <col min="30" max="30" width="11" style="359" customWidth="1"/>
    <col min="31" max="31" width="10.42578125" style="359" customWidth="1"/>
    <col min="32" max="32" width="8.28515625" style="359" customWidth="1"/>
    <col min="33" max="36" width="10.42578125" style="359" customWidth="1"/>
    <col min="37" max="37" width="30.5703125" style="359" customWidth="1"/>
    <col min="38" max="38" width="9.140625" customWidth="1"/>
    <col min="39" max="39" width="5.28515625" style="391" customWidth="1"/>
    <col min="40" max="41" width="10.42578125" customWidth="1"/>
    <col min="42" max="42" width="20.28515625" customWidth="1"/>
    <col min="43" max="43" width="9.140625" style="359" customWidth="1"/>
    <col min="44" max="45" width="10.42578125" style="359" customWidth="1"/>
    <col min="46" max="46" width="20.28515625" style="359" customWidth="1"/>
    <col min="47" max="47" width="15.28515625" style="359" customWidth="1"/>
    <col min="48" max="48" width="8.5703125" style="359" customWidth="1"/>
    <col min="49" max="51" width="10.5703125" style="359" customWidth="1"/>
    <col min="52" max="52" width="15.7109375" style="359" customWidth="1"/>
    <col min="53" max="53" width="18.85546875" style="359" customWidth="1"/>
    <col min="54" max="16384" width="14.42578125" style="359"/>
  </cols>
  <sheetData>
    <row r="1" spans="1:53" ht="14.25" customHeight="1">
      <c r="A1" s="603" t="str">
        <f>+Summary!A2</f>
        <v>Name of the Line: 220KV DC AL59 line from Neemuch - Chanderiya + 132KV DC ACSS Line from Chanderiya to Hindustan Zinc</v>
      </c>
      <c r="B1" s="666"/>
      <c r="C1" s="666"/>
      <c r="D1" s="666"/>
      <c r="E1" s="666"/>
      <c r="F1" s="666"/>
      <c r="G1" s="666"/>
      <c r="H1" s="666"/>
      <c r="I1" s="666"/>
      <c r="J1" s="666"/>
      <c r="K1" s="666"/>
      <c r="L1" s="666"/>
      <c r="M1" s="666"/>
      <c r="N1" s="666"/>
      <c r="O1" s="666"/>
      <c r="P1" s="666"/>
      <c r="Q1" s="666"/>
      <c r="R1" s="666"/>
      <c r="S1" s="666"/>
      <c r="T1" s="666"/>
      <c r="U1" s="666"/>
      <c r="V1" s="666"/>
      <c r="W1" s="666"/>
      <c r="X1" s="666"/>
      <c r="Y1" s="666"/>
      <c r="Z1" s="666"/>
      <c r="AA1" s="666"/>
      <c r="AB1" s="666"/>
      <c r="AC1" s="666"/>
      <c r="AD1" s="666"/>
      <c r="AE1" s="666"/>
      <c r="AF1" s="666"/>
      <c r="AG1" s="666"/>
      <c r="AH1" s="666"/>
      <c r="AI1" s="666"/>
      <c r="AJ1" s="666"/>
      <c r="AK1" s="666"/>
      <c r="AL1" s="604"/>
      <c r="AM1" s="604"/>
      <c r="AN1" s="604"/>
      <c r="AO1" s="604"/>
      <c r="AP1" s="604"/>
      <c r="AQ1" s="666"/>
      <c r="AR1" s="666"/>
      <c r="AS1" s="666"/>
      <c r="AT1" s="666"/>
      <c r="AU1" s="666"/>
      <c r="AV1" s="666"/>
      <c r="AW1" s="666"/>
      <c r="AX1" s="666"/>
      <c r="AY1" s="666"/>
      <c r="AZ1" s="666"/>
      <c r="BA1" s="665"/>
    </row>
    <row r="2" spans="1:53" ht="14.25" customHeight="1">
      <c r="A2" s="603" t="str">
        <f>+Summary!A5</f>
        <v>Progress of 220kV Line</v>
      </c>
      <c r="B2" s="666"/>
      <c r="C2" s="666"/>
      <c r="D2" s="666"/>
      <c r="E2" s="666"/>
      <c r="F2" s="666"/>
      <c r="G2" s="666"/>
      <c r="H2" s="666"/>
      <c r="I2" s="666"/>
      <c r="J2" s="666"/>
      <c r="K2" s="666"/>
      <c r="L2" s="666"/>
      <c r="M2" s="666"/>
      <c r="N2" s="666"/>
      <c r="O2" s="666"/>
      <c r="P2" s="666"/>
      <c r="Q2" s="666"/>
      <c r="R2" s="666"/>
      <c r="S2" s="666"/>
      <c r="T2" s="666"/>
      <c r="U2" s="666"/>
      <c r="V2" s="666"/>
      <c r="W2" s="666"/>
      <c r="X2" s="666"/>
      <c r="Y2" s="666"/>
      <c r="Z2" s="666"/>
      <c r="AA2" s="666"/>
      <c r="AB2" s="666"/>
      <c r="AC2" s="666"/>
      <c r="AD2" s="666"/>
      <c r="AE2" s="666"/>
      <c r="AF2" s="666"/>
      <c r="AG2" s="666"/>
      <c r="AH2" s="666"/>
      <c r="AI2" s="666"/>
      <c r="AJ2" s="666"/>
      <c r="AK2" s="666"/>
      <c r="AL2" s="604"/>
      <c r="AM2" s="604"/>
      <c r="AN2" s="604"/>
      <c r="AO2" s="604"/>
      <c r="AP2" s="604"/>
      <c r="AQ2" s="666"/>
      <c r="AR2" s="666"/>
      <c r="AS2" s="666"/>
      <c r="AT2" s="666"/>
      <c r="AU2" s="666"/>
      <c r="AV2" s="666"/>
      <c r="AW2" s="666"/>
      <c r="AX2" s="666"/>
      <c r="AY2" s="666"/>
      <c r="AZ2" s="666"/>
      <c r="BA2" s="665"/>
    </row>
    <row r="3" spans="1:53" ht="23.1" customHeight="1">
      <c r="A3" s="603" t="s">
        <v>468</v>
      </c>
      <c r="B3" s="666"/>
      <c r="C3" s="666"/>
      <c r="D3" s="666"/>
      <c r="E3" s="666"/>
      <c r="F3" s="666"/>
      <c r="G3" s="666"/>
      <c r="H3" s="666"/>
      <c r="I3" s="666"/>
      <c r="J3" s="666"/>
      <c r="K3" s="666"/>
      <c r="L3" s="666"/>
      <c r="M3" s="666"/>
      <c r="N3" s="666"/>
      <c r="O3" s="666"/>
      <c r="P3" s="666"/>
      <c r="Q3" s="666"/>
      <c r="R3" s="666"/>
      <c r="S3" s="665"/>
      <c r="T3" s="603" t="s">
        <v>379</v>
      </c>
      <c r="U3" s="666"/>
      <c r="V3" s="666"/>
      <c r="W3" s="666"/>
      <c r="X3" s="666"/>
      <c r="Y3" s="666"/>
      <c r="Z3" s="666"/>
      <c r="AA3" s="666"/>
      <c r="AB3" s="666"/>
      <c r="AC3" s="666"/>
      <c r="AD3" s="666"/>
      <c r="AE3" s="666"/>
      <c r="AF3" s="666"/>
      <c r="AG3" s="666"/>
      <c r="AH3" s="666"/>
      <c r="AI3" s="666"/>
      <c r="AJ3" s="666"/>
      <c r="AK3" s="665"/>
      <c r="AL3" s="603" t="s">
        <v>381</v>
      </c>
      <c r="AM3" s="604"/>
      <c r="AN3" s="604"/>
      <c r="AO3" s="604"/>
      <c r="AP3" s="605"/>
      <c r="AQ3" s="603" t="s">
        <v>469</v>
      </c>
      <c r="AR3" s="666"/>
      <c r="AS3" s="666"/>
      <c r="AT3" s="665"/>
      <c r="AU3" s="55" t="s">
        <v>470</v>
      </c>
      <c r="AV3" s="603" t="s">
        <v>471</v>
      </c>
      <c r="AW3" s="666"/>
      <c r="AX3" s="666"/>
      <c r="AY3" s="666"/>
      <c r="AZ3" s="665"/>
      <c r="BA3" s="55" t="s">
        <v>472</v>
      </c>
    </row>
    <row r="4" spans="1:53" ht="24" customHeight="1">
      <c r="A4" s="2" t="s">
        <v>2</v>
      </c>
      <c r="B4" s="2" t="s">
        <v>3</v>
      </c>
      <c r="C4" s="2" t="s">
        <v>399</v>
      </c>
      <c r="D4" s="120"/>
      <c r="E4" s="120"/>
      <c r="F4" s="120"/>
      <c r="G4" s="667" t="s">
        <v>473</v>
      </c>
      <c r="H4" s="668"/>
      <c r="I4" s="668"/>
      <c r="J4" s="669"/>
      <c r="K4" s="667" t="s">
        <v>474</v>
      </c>
      <c r="L4" s="668"/>
      <c r="M4" s="668"/>
      <c r="N4" s="669"/>
      <c r="O4" s="670" t="s">
        <v>9</v>
      </c>
      <c r="P4" s="666"/>
      <c r="Q4" s="666"/>
      <c r="R4" s="665"/>
      <c r="S4" s="121" t="s">
        <v>475</v>
      </c>
      <c r="T4" s="55" t="s">
        <v>476</v>
      </c>
      <c r="U4" s="2" t="s">
        <v>477</v>
      </c>
      <c r="V4" s="603" t="s">
        <v>478</v>
      </c>
      <c r="W4" s="666"/>
      <c r="X4" s="665"/>
      <c r="Y4" s="122" t="s">
        <v>479</v>
      </c>
      <c r="Z4" s="122" t="s">
        <v>480</v>
      </c>
      <c r="AA4" s="122" t="s">
        <v>481</v>
      </c>
      <c r="AB4" s="122" t="s">
        <v>482</v>
      </c>
      <c r="AC4" s="122" t="s">
        <v>483</v>
      </c>
      <c r="AD4" s="122" t="s">
        <v>484</v>
      </c>
      <c r="AE4" s="123" t="s">
        <v>485</v>
      </c>
      <c r="AF4" s="55" t="s">
        <v>486</v>
      </c>
      <c r="AG4" s="671" t="s">
        <v>487</v>
      </c>
      <c r="AH4" s="665"/>
      <c r="AI4" s="603" t="s">
        <v>488</v>
      </c>
      <c r="AJ4" s="665"/>
      <c r="AK4" s="55" t="s">
        <v>489</v>
      </c>
      <c r="AL4" s="55" t="s">
        <v>490</v>
      </c>
      <c r="AM4" s="55" t="s">
        <v>491</v>
      </c>
      <c r="AN4" s="6" t="s">
        <v>492</v>
      </c>
      <c r="AO4" s="6" t="s">
        <v>23</v>
      </c>
      <c r="AP4" s="55" t="s">
        <v>489</v>
      </c>
      <c r="AQ4" s="55" t="s">
        <v>490</v>
      </c>
      <c r="AR4" s="6" t="s">
        <v>492</v>
      </c>
      <c r="AS4" s="6" t="s">
        <v>23</v>
      </c>
      <c r="AT4" s="55" t="s">
        <v>489</v>
      </c>
      <c r="AU4" s="123"/>
      <c r="AV4" s="55" t="s">
        <v>490</v>
      </c>
      <c r="AW4" s="6" t="s">
        <v>492</v>
      </c>
      <c r="AX4" s="6" t="s">
        <v>23</v>
      </c>
      <c r="AY4" s="124" t="s">
        <v>493</v>
      </c>
      <c r="AZ4" s="55" t="s">
        <v>489</v>
      </c>
      <c r="BA4" s="123"/>
    </row>
    <row r="5" spans="1:53" ht="14.25" customHeight="1">
      <c r="A5" s="2"/>
      <c r="B5" s="2"/>
      <c r="C5" s="2"/>
      <c r="D5" s="125"/>
      <c r="E5" s="125"/>
      <c r="F5" s="125"/>
      <c r="G5" s="126" t="s">
        <v>494</v>
      </c>
      <c r="H5" s="2" t="s">
        <v>495</v>
      </c>
      <c r="I5" s="2" t="s">
        <v>496</v>
      </c>
      <c r="J5" s="127" t="s">
        <v>497</v>
      </c>
      <c r="K5" s="126" t="s">
        <v>494</v>
      </c>
      <c r="L5" s="125" t="s">
        <v>495</v>
      </c>
      <c r="M5" s="2" t="s">
        <v>496</v>
      </c>
      <c r="N5" s="127" t="s">
        <v>497</v>
      </c>
      <c r="O5" s="6" t="s">
        <v>18</v>
      </c>
      <c r="P5" s="6" t="s">
        <v>19</v>
      </c>
      <c r="Q5" s="6" t="s">
        <v>20</v>
      </c>
      <c r="R5" s="6" t="s">
        <v>21</v>
      </c>
      <c r="S5" s="8" t="s">
        <v>17</v>
      </c>
      <c r="T5" s="128"/>
      <c r="U5" s="55"/>
      <c r="V5" s="55" t="s">
        <v>498</v>
      </c>
      <c r="W5" s="55" t="s">
        <v>499</v>
      </c>
      <c r="X5" s="55" t="s">
        <v>497</v>
      </c>
      <c r="Y5" s="123"/>
      <c r="Z5" s="123"/>
      <c r="AA5" s="123"/>
      <c r="AB5" s="123"/>
      <c r="AC5" s="123"/>
      <c r="AD5" s="123"/>
      <c r="AE5" s="128"/>
      <c r="AF5" s="128"/>
      <c r="AG5" s="6" t="s">
        <v>492</v>
      </c>
      <c r="AH5" s="6" t="s">
        <v>23</v>
      </c>
      <c r="AI5" s="6" t="s">
        <v>492</v>
      </c>
      <c r="AJ5" s="6" t="s">
        <v>23</v>
      </c>
      <c r="AK5" s="128"/>
      <c r="AL5" s="128"/>
      <c r="AM5" s="128"/>
      <c r="AN5" s="6"/>
      <c r="AO5" s="6"/>
      <c r="AP5" s="128"/>
      <c r="AQ5" s="128"/>
      <c r="AR5" s="6"/>
      <c r="AS5" s="6"/>
      <c r="AT5" s="128"/>
      <c r="AU5" s="128"/>
      <c r="AV5" s="128"/>
      <c r="AW5" s="6"/>
      <c r="AX5" s="6"/>
      <c r="AY5" s="129"/>
      <c r="AZ5" s="128"/>
      <c r="BA5" s="128"/>
    </row>
    <row r="6" spans="1:53" ht="14.25" customHeight="1">
      <c r="A6" s="2"/>
      <c r="B6" s="505" t="s">
        <v>710</v>
      </c>
      <c r="C6" s="506"/>
      <c r="D6" s="125"/>
      <c r="E6" s="125"/>
      <c r="F6" s="125"/>
      <c r="G6" s="125"/>
      <c r="H6" s="2"/>
      <c r="I6" s="2"/>
      <c r="J6" s="399"/>
      <c r="K6" s="125"/>
      <c r="L6" s="125"/>
      <c r="M6" s="2"/>
      <c r="N6" s="399"/>
      <c r="O6" s="6"/>
      <c r="P6" s="6"/>
      <c r="Q6" s="6"/>
      <c r="R6" s="6"/>
      <c r="S6" s="8"/>
      <c r="T6" s="400"/>
      <c r="U6" s="401"/>
      <c r="V6" s="401"/>
      <c r="W6" s="401"/>
      <c r="X6" s="401"/>
      <c r="Y6" s="402"/>
      <c r="Z6" s="402"/>
      <c r="AA6" s="402"/>
      <c r="AB6" s="402"/>
      <c r="AC6" s="402"/>
      <c r="AD6" s="402"/>
      <c r="AE6" s="400"/>
      <c r="AF6" s="400"/>
      <c r="AG6" s="6"/>
      <c r="AH6" s="6"/>
      <c r="AI6" s="6"/>
      <c r="AJ6" s="6"/>
      <c r="AK6" s="400"/>
      <c r="AL6" s="400"/>
      <c r="AM6" s="400"/>
      <c r="AN6" s="6"/>
      <c r="AO6" s="6"/>
      <c r="AP6" s="400"/>
      <c r="AQ6" s="400"/>
      <c r="AR6" s="6"/>
      <c r="AS6" s="6"/>
      <c r="AT6" s="400"/>
      <c r="AU6" s="400"/>
      <c r="AV6" s="400"/>
      <c r="AW6" s="6"/>
      <c r="AX6" s="6"/>
      <c r="AY6" s="403"/>
      <c r="AZ6" s="400"/>
      <c r="BA6" s="400"/>
    </row>
    <row r="7" spans="1:53" ht="14.25" customHeight="1">
      <c r="A7" s="2"/>
      <c r="B7" s="505"/>
      <c r="C7" s="506"/>
      <c r="D7" s="125"/>
      <c r="E7" s="125"/>
      <c r="F7" s="125"/>
      <c r="G7" s="125"/>
      <c r="H7" s="2"/>
      <c r="I7" s="2"/>
      <c r="J7" s="399"/>
      <c r="K7" s="125"/>
      <c r="L7" s="125"/>
      <c r="M7" s="2"/>
      <c r="N7" s="399"/>
      <c r="O7" s="6"/>
      <c r="P7" s="6"/>
      <c r="Q7" s="6"/>
      <c r="R7" s="6"/>
      <c r="S7" s="8"/>
      <c r="T7" s="400"/>
      <c r="U7" s="401"/>
      <c r="V7" s="401"/>
      <c r="W7" s="401"/>
      <c r="X7" s="401"/>
      <c r="Y7" s="402"/>
      <c r="Z7" s="402"/>
      <c r="AA7" s="402"/>
      <c r="AB7" s="402"/>
      <c r="AC7" s="402"/>
      <c r="AD7" s="402"/>
      <c r="AE7" s="400"/>
      <c r="AF7" s="400"/>
      <c r="AG7" s="6"/>
      <c r="AH7" s="6"/>
      <c r="AI7" s="6"/>
      <c r="AJ7" s="6"/>
      <c r="AK7" s="400"/>
      <c r="AL7" s="400"/>
      <c r="AM7" s="400"/>
      <c r="AN7" s="6"/>
      <c r="AO7" s="6"/>
      <c r="AP7" s="400"/>
      <c r="AQ7" s="400"/>
      <c r="AR7" s="6"/>
      <c r="AS7" s="6"/>
      <c r="AT7" s="400"/>
      <c r="AU7" s="400"/>
      <c r="AV7" s="400"/>
      <c r="AW7" s="6"/>
      <c r="AX7" s="6"/>
      <c r="AY7" s="403"/>
      <c r="AZ7" s="400"/>
      <c r="BA7" s="400"/>
    </row>
    <row r="8" spans="1:53" ht="14.25" customHeight="1">
      <c r="A8" s="2"/>
      <c r="B8" s="505" t="s">
        <v>763</v>
      </c>
      <c r="C8" s="506" t="s">
        <v>712</v>
      </c>
      <c r="D8" s="125"/>
      <c r="E8" s="125"/>
      <c r="F8" s="125"/>
      <c r="G8" s="125"/>
      <c r="H8" s="2"/>
      <c r="I8" s="2"/>
      <c r="J8" s="399"/>
      <c r="K8" s="125"/>
      <c r="L8" s="125"/>
      <c r="M8" s="2"/>
      <c r="N8" s="399"/>
      <c r="O8" s="6"/>
      <c r="P8" s="6"/>
      <c r="Q8" s="6"/>
      <c r="R8" s="6"/>
      <c r="S8" s="8"/>
      <c r="T8" s="400"/>
      <c r="U8" s="401"/>
      <c r="V8" s="401"/>
      <c r="W8" s="401"/>
      <c r="X8" s="401"/>
      <c r="Y8" s="402"/>
      <c r="Z8" s="402"/>
      <c r="AA8" s="402"/>
      <c r="AB8" s="402"/>
      <c r="AC8" s="402"/>
      <c r="AD8" s="402"/>
      <c r="AE8" s="400"/>
      <c r="AF8" s="400"/>
      <c r="AG8" s="6"/>
      <c r="AH8" s="6"/>
      <c r="AI8" s="6"/>
      <c r="AJ8" s="6"/>
      <c r="AK8" s="400"/>
      <c r="AL8" s="400"/>
      <c r="AM8" s="400"/>
      <c r="AN8" s="6"/>
      <c r="AO8" s="6"/>
      <c r="AP8" s="400"/>
      <c r="AQ8" s="400"/>
      <c r="AR8" s="6"/>
      <c r="AS8" s="6"/>
      <c r="AT8" s="400"/>
      <c r="AU8" s="400"/>
      <c r="AV8" s="400"/>
      <c r="AW8" s="6"/>
      <c r="AX8" s="6"/>
      <c r="AY8" s="403"/>
      <c r="AZ8" s="400"/>
      <c r="BA8" s="400"/>
    </row>
    <row r="9" spans="1:53" ht="14.25" customHeight="1">
      <c r="A9" s="2"/>
      <c r="B9" s="506"/>
      <c r="C9" s="506"/>
      <c r="D9" s="125"/>
      <c r="E9" s="125"/>
      <c r="F9" s="125"/>
      <c r="G9" s="125"/>
      <c r="H9" s="2"/>
      <c r="I9" s="2"/>
      <c r="J9" s="399"/>
      <c r="K9" s="125"/>
      <c r="L9" s="125"/>
      <c r="M9" s="2"/>
      <c r="N9" s="399"/>
      <c r="O9" s="6"/>
      <c r="P9" s="6"/>
      <c r="Q9" s="6"/>
      <c r="R9" s="6"/>
      <c r="S9" s="8"/>
      <c r="T9" s="400"/>
      <c r="U9" s="401"/>
      <c r="V9" s="401"/>
      <c r="W9" s="401"/>
      <c r="X9" s="401"/>
      <c r="Y9" s="402"/>
      <c r="Z9" s="402"/>
      <c r="AA9" s="402"/>
      <c r="AB9" s="402"/>
      <c r="AC9" s="402"/>
      <c r="AD9" s="402"/>
      <c r="AE9" s="400"/>
      <c r="AF9" s="400"/>
      <c r="AG9" s="6"/>
      <c r="AH9" s="6"/>
      <c r="AI9" s="6"/>
      <c r="AJ9" s="6"/>
      <c r="AK9" s="400"/>
      <c r="AL9" s="400"/>
      <c r="AM9" s="400"/>
      <c r="AN9" s="6"/>
      <c r="AO9" s="6"/>
      <c r="AP9" s="400"/>
      <c r="AQ9" s="400"/>
      <c r="AR9" s="6"/>
      <c r="AS9" s="6"/>
      <c r="AT9" s="400"/>
      <c r="AU9" s="400"/>
      <c r="AV9" s="400"/>
      <c r="AW9" s="6"/>
      <c r="AX9" s="6"/>
      <c r="AY9" s="403"/>
      <c r="AZ9" s="400"/>
      <c r="BA9" s="400"/>
    </row>
    <row r="10" spans="1:53" ht="14.25" customHeight="1">
      <c r="A10" s="2">
        <v>1</v>
      </c>
      <c r="B10" s="505" t="s">
        <v>711</v>
      </c>
      <c r="C10" s="506" t="s">
        <v>714</v>
      </c>
      <c r="D10" s="172">
        <v>11.987</v>
      </c>
      <c r="E10" s="172">
        <f>D10*4</f>
        <v>47.948</v>
      </c>
      <c r="F10" s="172">
        <f>E10*8</f>
        <v>383.584</v>
      </c>
      <c r="G10" s="173">
        <v>6.0579999999999998</v>
      </c>
      <c r="H10" s="15">
        <v>5.8739999999999997</v>
      </c>
      <c r="I10" s="15">
        <v>7.7000000000000002E-3</v>
      </c>
      <c r="J10" s="15">
        <v>0.56299999999999994</v>
      </c>
      <c r="K10" s="175">
        <f t="shared" ref="K10" si="0">SUM(G10:J10)</f>
        <v>12.502699999999999</v>
      </c>
      <c r="L10" s="173">
        <v>0.55700000000000005</v>
      </c>
      <c r="M10" s="15">
        <v>0.01</v>
      </c>
      <c r="N10" s="175">
        <f>SUM(L10:M10)</f>
        <v>0.56700000000000006</v>
      </c>
      <c r="O10" s="6"/>
      <c r="P10" s="6"/>
      <c r="Q10" s="6"/>
      <c r="R10" s="6"/>
      <c r="S10" s="8"/>
      <c r="T10" s="15" t="s">
        <v>500</v>
      </c>
      <c r="U10" s="15">
        <v>119.36</v>
      </c>
      <c r="V10" s="15">
        <v>2.0499999999999998</v>
      </c>
      <c r="W10" s="15">
        <v>18.37</v>
      </c>
      <c r="X10" s="15">
        <v>20.420000000000002</v>
      </c>
      <c r="Y10" s="15">
        <v>157.16420000000002</v>
      </c>
      <c r="Z10" s="15">
        <v>7858.2100000000009</v>
      </c>
      <c r="AA10" s="15">
        <v>89.9</v>
      </c>
      <c r="AB10" s="15"/>
      <c r="AC10" s="15">
        <v>1115.3400000000001</v>
      </c>
      <c r="AD10" s="15">
        <v>198.68</v>
      </c>
      <c r="AE10" s="15"/>
      <c r="AF10" s="15"/>
      <c r="AG10" s="15"/>
      <c r="AH10" s="15"/>
      <c r="AI10" s="6"/>
      <c r="AJ10" s="6"/>
      <c r="AK10" s="400"/>
      <c r="AL10" s="400"/>
      <c r="AM10" s="400"/>
      <c r="AN10" s="6"/>
      <c r="AO10" s="6"/>
      <c r="AP10" s="400"/>
      <c r="AQ10" s="400"/>
      <c r="AR10" s="6"/>
      <c r="AS10" s="6"/>
      <c r="AT10" s="400"/>
      <c r="AU10" s="400"/>
      <c r="AV10" s="400"/>
      <c r="AW10" s="6"/>
      <c r="AX10" s="6"/>
      <c r="AY10" s="403"/>
      <c r="AZ10" s="400"/>
      <c r="BA10" s="400"/>
    </row>
    <row r="11" spans="1:53" ht="14.25" customHeight="1">
      <c r="A11" s="2"/>
      <c r="B11" s="506"/>
      <c r="C11" s="506"/>
      <c r="D11" s="125"/>
      <c r="E11" s="125"/>
      <c r="F11" s="125"/>
      <c r="G11" s="125"/>
      <c r="H11" s="2"/>
      <c r="I11" s="2"/>
      <c r="J11" s="399"/>
      <c r="K11" s="125"/>
      <c r="L11" s="125"/>
      <c r="M11" s="2"/>
      <c r="N11" s="399"/>
      <c r="O11" s="6"/>
      <c r="P11" s="6"/>
      <c r="Q11" s="6"/>
      <c r="R11" s="6"/>
      <c r="S11" s="8"/>
      <c r="T11" s="400"/>
      <c r="U11" s="401"/>
      <c r="V11" s="401"/>
      <c r="W11" s="401"/>
      <c r="X11" s="401"/>
      <c r="Y11" s="402"/>
      <c r="Z11" s="402"/>
      <c r="AA11" s="402"/>
      <c r="AB11" s="402"/>
      <c r="AC11" s="402"/>
      <c r="AD11" s="402"/>
      <c r="AE11" s="400"/>
      <c r="AF11" s="400"/>
      <c r="AG11" s="6"/>
      <c r="AH11" s="6"/>
      <c r="AI11" s="6"/>
      <c r="AJ11" s="6"/>
      <c r="AK11" s="400"/>
      <c r="AL11" s="400"/>
      <c r="AM11" s="400"/>
      <c r="AN11" s="6"/>
      <c r="AO11" s="6"/>
      <c r="AP11" s="400"/>
      <c r="AQ11" s="400"/>
      <c r="AR11" s="6"/>
      <c r="AS11" s="6"/>
      <c r="AT11" s="400"/>
      <c r="AU11" s="400"/>
      <c r="AV11" s="400"/>
      <c r="AW11" s="6"/>
      <c r="AX11" s="6"/>
      <c r="AY11" s="403"/>
      <c r="AZ11" s="400"/>
      <c r="BA11" s="400"/>
    </row>
    <row r="12" spans="1:53" ht="14.25" customHeight="1">
      <c r="A12" s="2">
        <f>A10+1</f>
        <v>2</v>
      </c>
      <c r="B12" s="505" t="s">
        <v>713</v>
      </c>
      <c r="C12" s="506" t="s">
        <v>714</v>
      </c>
      <c r="D12" s="172">
        <v>11.987</v>
      </c>
      <c r="E12" s="172">
        <f>D12*4</f>
        <v>47.948</v>
      </c>
      <c r="F12" s="172">
        <f>E12*8</f>
        <v>383.584</v>
      </c>
      <c r="G12" s="173">
        <v>6.0579999999999998</v>
      </c>
      <c r="H12" s="15">
        <v>5.8739999999999997</v>
      </c>
      <c r="I12" s="15">
        <v>7.7000000000000002E-3</v>
      </c>
      <c r="J12" s="15">
        <v>0.56299999999999994</v>
      </c>
      <c r="K12" s="175">
        <f t="shared" ref="K12" si="1">SUM(G12:J12)</f>
        <v>12.502699999999999</v>
      </c>
      <c r="L12" s="173">
        <v>0.55700000000000005</v>
      </c>
      <c r="M12" s="15">
        <v>0.01</v>
      </c>
      <c r="N12" s="175">
        <f>SUM(L12:M12)</f>
        <v>0.56700000000000006</v>
      </c>
      <c r="O12" s="6"/>
      <c r="P12" s="6"/>
      <c r="Q12" s="6"/>
      <c r="R12" s="6"/>
      <c r="S12" s="8"/>
      <c r="T12" s="15" t="s">
        <v>500</v>
      </c>
      <c r="U12" s="15">
        <v>119.36</v>
      </c>
      <c r="V12" s="15">
        <v>2.0499999999999998</v>
      </c>
      <c r="W12" s="15">
        <v>18.37</v>
      </c>
      <c r="X12" s="15">
        <v>20.420000000000002</v>
      </c>
      <c r="Y12" s="15">
        <v>157.16420000000002</v>
      </c>
      <c r="Z12" s="15">
        <v>7858.2100000000009</v>
      </c>
      <c r="AA12" s="15">
        <v>89.9</v>
      </c>
      <c r="AB12" s="15"/>
      <c r="AC12" s="15">
        <v>1115.3400000000001</v>
      </c>
      <c r="AD12" s="15">
        <v>198.68</v>
      </c>
      <c r="AE12" s="15"/>
      <c r="AF12" s="137" t="s">
        <v>20</v>
      </c>
      <c r="AG12" s="15"/>
      <c r="AH12" s="15"/>
      <c r="AI12" s="6"/>
      <c r="AJ12" s="6"/>
      <c r="AK12" s="400"/>
      <c r="AL12" s="400" t="s">
        <v>20</v>
      </c>
      <c r="AM12" s="400" t="s">
        <v>768</v>
      </c>
      <c r="AN12" s="6"/>
      <c r="AO12" s="6"/>
      <c r="AP12" s="400"/>
      <c r="AQ12" s="400"/>
      <c r="AR12" s="6"/>
      <c r="AS12" s="6"/>
      <c r="AT12" s="400"/>
      <c r="AU12" s="400"/>
      <c r="AV12" s="400"/>
      <c r="AW12" s="6"/>
      <c r="AX12" s="6"/>
      <c r="AY12" s="403"/>
      <c r="AZ12" s="400"/>
      <c r="BA12" s="400"/>
    </row>
    <row r="13" spans="1:53" ht="14.25" customHeight="1">
      <c r="A13" s="2"/>
      <c r="B13" s="506"/>
      <c r="C13" s="506"/>
      <c r="D13" s="125"/>
      <c r="E13" s="125"/>
      <c r="F13" s="125"/>
      <c r="G13" s="125"/>
      <c r="H13" s="2"/>
      <c r="I13" s="2"/>
      <c r="J13" s="399"/>
      <c r="K13" s="125"/>
      <c r="L13" s="125"/>
      <c r="M13" s="2"/>
      <c r="N13" s="399"/>
      <c r="O13" s="6"/>
      <c r="P13" s="6"/>
      <c r="Q13" s="6"/>
      <c r="R13" s="6"/>
      <c r="S13" s="8"/>
      <c r="T13" s="400"/>
      <c r="U13" s="401"/>
      <c r="V13" s="401"/>
      <c r="W13" s="401"/>
      <c r="X13" s="401"/>
      <c r="Y13" s="402"/>
      <c r="Z13" s="402"/>
      <c r="AA13" s="402"/>
      <c r="AB13" s="402"/>
      <c r="AC13" s="402"/>
      <c r="AD13" s="402"/>
      <c r="AE13" s="400"/>
      <c r="AF13" s="400"/>
      <c r="AG13" s="6"/>
      <c r="AH13" s="6"/>
      <c r="AI13" s="6"/>
      <c r="AJ13" s="6"/>
      <c r="AK13" s="400"/>
      <c r="AL13" s="400"/>
      <c r="AM13" s="400"/>
      <c r="AN13" s="6"/>
      <c r="AO13" s="6"/>
      <c r="AP13" s="400"/>
      <c r="AQ13" s="400"/>
      <c r="AR13" s="6"/>
      <c r="AS13" s="6"/>
      <c r="AT13" s="400"/>
      <c r="AU13" s="400"/>
      <c r="AV13" s="400"/>
      <c r="AW13" s="6"/>
      <c r="AX13" s="6"/>
      <c r="AY13" s="403"/>
      <c r="AZ13" s="400"/>
      <c r="BA13" s="400"/>
    </row>
    <row r="14" spans="1:53" ht="14.25" customHeight="1">
      <c r="A14" s="2">
        <f>A12+1</f>
        <v>3</v>
      </c>
      <c r="B14" s="505" t="s">
        <v>715</v>
      </c>
      <c r="C14" s="582" t="s">
        <v>34</v>
      </c>
      <c r="D14" s="172">
        <v>11.987</v>
      </c>
      <c r="E14" s="172">
        <f>D14*4</f>
        <v>47.948</v>
      </c>
      <c r="F14" s="172">
        <f>E14*8</f>
        <v>383.584</v>
      </c>
      <c r="G14" s="173">
        <v>6.0579999999999998</v>
      </c>
      <c r="H14" s="15">
        <v>5.8739999999999997</v>
      </c>
      <c r="I14" s="15">
        <v>7.7000000000000002E-3</v>
      </c>
      <c r="J14" s="15">
        <v>0.56299999999999994</v>
      </c>
      <c r="K14" s="175">
        <f t="shared" ref="K14" si="2">SUM(G14:J14)</f>
        <v>12.502699999999999</v>
      </c>
      <c r="L14" s="173">
        <v>0.55700000000000005</v>
      </c>
      <c r="M14" s="15">
        <v>0.01</v>
      </c>
      <c r="N14" s="175">
        <f>SUM(L14:M14)</f>
        <v>0.56700000000000006</v>
      </c>
      <c r="O14" s="6"/>
      <c r="P14" s="6"/>
      <c r="Q14" s="6"/>
      <c r="R14" s="6"/>
      <c r="S14" s="8"/>
      <c r="T14" s="15" t="s">
        <v>500</v>
      </c>
      <c r="U14" s="15">
        <v>119.36</v>
      </c>
      <c r="V14" s="15">
        <v>2.0499999999999998</v>
      </c>
      <c r="W14" s="15">
        <v>18.37</v>
      </c>
      <c r="X14" s="15">
        <v>20.420000000000002</v>
      </c>
      <c r="Y14" s="15">
        <v>157.16420000000002</v>
      </c>
      <c r="Z14" s="15">
        <v>7858.2100000000009</v>
      </c>
      <c r="AA14" s="15">
        <v>89.9</v>
      </c>
      <c r="AB14" s="15"/>
      <c r="AC14" s="15">
        <v>1115.3400000000001</v>
      </c>
      <c r="AD14" s="15">
        <v>198.68</v>
      </c>
      <c r="AE14" s="15"/>
      <c r="AF14" s="15" t="s">
        <v>762</v>
      </c>
      <c r="AG14" s="15"/>
      <c r="AH14" s="15"/>
      <c r="AI14" s="6"/>
      <c r="AJ14" s="6"/>
      <c r="AK14" s="400"/>
      <c r="AL14" s="400"/>
      <c r="AM14" s="400"/>
      <c r="AN14" s="6"/>
      <c r="AO14" s="6"/>
      <c r="AP14" s="400"/>
      <c r="AQ14" s="400"/>
      <c r="AR14" s="6"/>
      <c r="AS14" s="6"/>
      <c r="AT14" s="400"/>
      <c r="AU14" s="400"/>
      <c r="AV14" s="400"/>
      <c r="AW14" s="6"/>
      <c r="AX14" s="6"/>
      <c r="AY14" s="403"/>
      <c r="AZ14" s="400"/>
      <c r="BA14" s="400"/>
    </row>
    <row r="15" spans="1:53" ht="14.25" customHeight="1">
      <c r="A15" s="2"/>
      <c r="B15" s="506"/>
      <c r="C15" s="506"/>
      <c r="D15" s="125"/>
      <c r="E15" s="125"/>
      <c r="F15" s="125"/>
      <c r="G15" s="125"/>
      <c r="H15" s="2"/>
      <c r="I15" s="2"/>
      <c r="J15" s="399"/>
      <c r="K15" s="125"/>
      <c r="L15" s="125"/>
      <c r="M15" s="2"/>
      <c r="N15" s="399"/>
      <c r="O15" s="6"/>
      <c r="P15" s="6"/>
      <c r="Q15" s="6"/>
      <c r="R15" s="6"/>
      <c r="S15" s="8"/>
      <c r="T15" s="400"/>
      <c r="U15" s="401"/>
      <c r="V15" s="401"/>
      <c r="W15" s="401"/>
      <c r="X15" s="401"/>
      <c r="Y15" s="402"/>
      <c r="Z15" s="402"/>
      <c r="AA15" s="402"/>
      <c r="AB15" s="402"/>
      <c r="AC15" s="402"/>
      <c r="AD15" s="402"/>
      <c r="AE15" s="400"/>
      <c r="AF15" s="400"/>
      <c r="AG15" s="6"/>
      <c r="AH15" s="6"/>
      <c r="AI15" s="6"/>
      <c r="AJ15" s="6"/>
      <c r="AK15" s="400"/>
      <c r="AL15" s="400"/>
      <c r="AM15" s="400"/>
      <c r="AN15" s="6"/>
      <c r="AO15" s="6"/>
      <c r="AP15" s="400"/>
      <c r="AQ15" s="400"/>
      <c r="AR15" s="6"/>
      <c r="AS15" s="6"/>
      <c r="AT15" s="400"/>
      <c r="AU15" s="400"/>
      <c r="AV15" s="400"/>
      <c r="AW15" s="6"/>
      <c r="AX15" s="6"/>
      <c r="AY15" s="403"/>
      <c r="AZ15" s="400"/>
      <c r="BA15" s="400"/>
    </row>
    <row r="16" spans="1:53" ht="14.25" customHeight="1">
      <c r="A16" s="2">
        <f>A14+1</f>
        <v>4</v>
      </c>
      <c r="B16" s="505" t="s">
        <v>716</v>
      </c>
      <c r="C16" s="512" t="s">
        <v>62</v>
      </c>
      <c r="D16" s="172">
        <v>11.987</v>
      </c>
      <c r="E16" s="172">
        <f>D16*4</f>
        <v>47.948</v>
      </c>
      <c r="F16" s="172">
        <f>E16*8</f>
        <v>383.584</v>
      </c>
      <c r="G16" s="15">
        <f>4.906+4.424+0.596</f>
        <v>9.9260000000000002</v>
      </c>
      <c r="H16" s="15">
        <f>0.066+1.053+0.272</f>
        <v>1.391</v>
      </c>
      <c r="I16" s="15">
        <f>0.274+0.181+0.043</f>
        <v>0.498</v>
      </c>
      <c r="J16" s="15">
        <f>SUM(G16:I16)</f>
        <v>11.815</v>
      </c>
      <c r="K16" s="15">
        <v>0.53200000000000003</v>
      </c>
      <c r="L16" s="15"/>
      <c r="M16" s="15">
        <v>1.0999999999999999E-2</v>
      </c>
      <c r="N16" s="15">
        <f>K16+M16</f>
        <v>0.54300000000000004</v>
      </c>
      <c r="O16" s="15"/>
      <c r="P16" s="15"/>
      <c r="Q16" s="15"/>
      <c r="R16" s="15"/>
      <c r="S16" s="16"/>
      <c r="T16" s="15" t="s">
        <v>500</v>
      </c>
      <c r="U16" s="15">
        <v>75.36</v>
      </c>
      <c r="V16" s="15">
        <v>1.35</v>
      </c>
      <c r="W16" s="15">
        <v>13.06</v>
      </c>
      <c r="X16" s="15">
        <f>V16+W16</f>
        <v>14.41</v>
      </c>
      <c r="Y16" s="15">
        <v>89.9</v>
      </c>
      <c r="Z16" s="15"/>
      <c r="AA16" s="15">
        <v>1287.27</v>
      </c>
      <c r="AB16" s="15">
        <v>193.64</v>
      </c>
      <c r="AC16" s="15"/>
      <c r="AD16" s="15"/>
      <c r="AE16" s="15">
        <v>1.571</v>
      </c>
      <c r="AF16" s="137" t="s">
        <v>20</v>
      </c>
      <c r="AG16" s="17"/>
      <c r="AH16" s="17"/>
      <c r="AI16" s="17"/>
      <c r="AJ16" s="17"/>
      <c r="AK16" s="15" t="s">
        <v>721</v>
      </c>
      <c r="AL16" s="137" t="s">
        <v>20</v>
      </c>
      <c r="AM16" s="15" t="s">
        <v>6</v>
      </c>
      <c r="AN16" s="131"/>
      <c r="AO16" s="131"/>
      <c r="AP16" s="24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</row>
    <row r="17" spans="1:53" ht="14.25" customHeight="1">
      <c r="A17" s="2"/>
      <c r="B17" s="2"/>
      <c r="C17" s="2"/>
      <c r="D17" s="125"/>
      <c r="E17" s="125"/>
      <c r="F17" s="125"/>
      <c r="G17" s="125"/>
      <c r="H17" s="2"/>
      <c r="I17" s="2"/>
      <c r="J17" s="399"/>
      <c r="K17" s="125"/>
      <c r="L17" s="125"/>
      <c r="M17" s="2"/>
      <c r="N17" s="399"/>
      <c r="O17" s="6"/>
      <c r="P17" s="6"/>
      <c r="Q17" s="6"/>
      <c r="R17" s="6"/>
      <c r="S17" s="8"/>
      <c r="T17" s="400"/>
      <c r="U17" s="401"/>
      <c r="V17" s="401"/>
      <c r="W17" s="401"/>
      <c r="X17" s="401"/>
      <c r="Y17" s="402"/>
      <c r="Z17" s="402"/>
      <c r="AA17" s="402"/>
      <c r="AB17" s="402"/>
      <c r="AC17" s="402"/>
      <c r="AD17" s="402"/>
      <c r="AE17" s="400"/>
      <c r="AF17" s="400"/>
      <c r="AG17" s="6"/>
      <c r="AH17" s="6"/>
      <c r="AI17" s="6"/>
      <c r="AJ17" s="6"/>
      <c r="AK17" s="400"/>
      <c r="AL17" s="400"/>
      <c r="AM17" s="400"/>
      <c r="AN17" s="6"/>
      <c r="AO17" s="6"/>
      <c r="AP17" s="400"/>
      <c r="AQ17" s="400"/>
      <c r="AR17" s="6"/>
      <c r="AS17" s="6"/>
      <c r="AT17" s="400"/>
      <c r="AU17" s="400"/>
      <c r="AV17" s="400"/>
      <c r="AW17" s="6"/>
      <c r="AX17" s="6"/>
      <c r="AY17" s="403"/>
      <c r="AZ17" s="400"/>
      <c r="BA17" s="400"/>
    </row>
    <row r="18" spans="1:53" ht="14.25" customHeight="1">
      <c r="A18" s="15"/>
      <c r="B18" s="35" t="s">
        <v>303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24"/>
      <c r="AM18" s="25"/>
      <c r="AN18" s="24"/>
      <c r="AO18" s="24"/>
      <c r="AP18" s="24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</row>
    <row r="19" spans="1:53" customFormat="1" ht="14.2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6">
        <v>25.92</v>
      </c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24"/>
      <c r="AH19" s="24"/>
      <c r="AI19" s="24"/>
      <c r="AJ19" s="24"/>
      <c r="AK19" s="24"/>
      <c r="AL19" s="24"/>
      <c r="AM19" s="25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</row>
    <row r="20" spans="1:53" ht="14.25" customHeight="1">
      <c r="A20" s="15">
        <f>A16+1</f>
        <v>5</v>
      </c>
      <c r="B20" s="507" t="s">
        <v>38</v>
      </c>
      <c r="C20" s="513" t="s">
        <v>34</v>
      </c>
      <c r="D20" s="172">
        <v>9.6539999999999999</v>
      </c>
      <c r="E20" s="172">
        <f>D20*4</f>
        <v>38.616</v>
      </c>
      <c r="F20" s="172">
        <f>E20*8</f>
        <v>308.928</v>
      </c>
      <c r="G20" s="15">
        <f>4.906+1.456+0.596</f>
        <v>6.9580000000000002</v>
      </c>
      <c r="H20" s="15">
        <f>0.066+0.717+0.272</f>
        <v>1.0549999999999999</v>
      </c>
      <c r="I20" s="15">
        <f>0.274+0.083+0.043</f>
        <v>0.4</v>
      </c>
      <c r="J20" s="15">
        <f>SUM(G20:I20)</f>
        <v>8.4130000000000003</v>
      </c>
      <c r="K20" s="15">
        <v>0.53200000000000003</v>
      </c>
      <c r="L20" s="15"/>
      <c r="M20" s="15">
        <v>1.0999999999999999E-2</v>
      </c>
      <c r="N20" s="15">
        <f>K20+M20</f>
        <v>0.54300000000000004</v>
      </c>
      <c r="O20" s="15"/>
      <c r="P20" s="15"/>
      <c r="Q20" s="15"/>
      <c r="R20" s="15"/>
      <c r="S20" s="16"/>
      <c r="T20" s="15" t="s">
        <v>500</v>
      </c>
      <c r="U20" s="15">
        <v>75.36</v>
      </c>
      <c r="V20" s="15">
        <v>1.35</v>
      </c>
      <c r="W20" s="15">
        <v>13.06</v>
      </c>
      <c r="X20" s="15">
        <f>V20+W20</f>
        <v>14.41</v>
      </c>
      <c r="Y20" s="15">
        <v>89.9</v>
      </c>
      <c r="Z20" s="15"/>
      <c r="AA20" s="15">
        <v>1287.27</v>
      </c>
      <c r="AB20" s="15">
        <v>193.64</v>
      </c>
      <c r="AC20" s="15"/>
      <c r="AD20" s="15"/>
      <c r="AE20" s="15">
        <v>1.571</v>
      </c>
      <c r="AF20" s="137" t="s">
        <v>20</v>
      </c>
      <c r="AG20" s="17"/>
      <c r="AH20" s="17"/>
      <c r="AI20" s="17"/>
      <c r="AJ20" s="17"/>
      <c r="AK20" s="15" t="s">
        <v>721</v>
      </c>
      <c r="AL20" s="137" t="s">
        <v>20</v>
      </c>
      <c r="AM20" s="15" t="s">
        <v>6</v>
      </c>
      <c r="AN20" s="131"/>
      <c r="AO20" s="131"/>
      <c r="AP20" s="24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</row>
    <row r="21" spans="1:53" customFormat="1" ht="14.25" customHeight="1">
      <c r="A21" s="15"/>
      <c r="B21" s="507"/>
      <c r="C21" s="507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6">
        <v>230.15</v>
      </c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24"/>
      <c r="AH21" s="24"/>
      <c r="AI21" s="24"/>
      <c r="AJ21" s="24"/>
      <c r="AK21" s="24"/>
      <c r="AL21" s="24"/>
      <c r="AM21" s="25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</row>
    <row r="22" spans="1:53" ht="14.25" customHeight="1">
      <c r="A22" s="15">
        <f>A20+1</f>
        <v>6</v>
      </c>
      <c r="B22" s="507" t="s">
        <v>64</v>
      </c>
      <c r="C22" s="513" t="s">
        <v>34</v>
      </c>
      <c r="D22" s="172">
        <v>9.6539999999999999</v>
      </c>
      <c r="E22" s="172">
        <f>D22*4</f>
        <v>38.616</v>
      </c>
      <c r="F22" s="172">
        <f>E22*8</f>
        <v>308.928</v>
      </c>
      <c r="G22" s="15">
        <f>4.906+1.456+0.596</f>
        <v>6.9580000000000002</v>
      </c>
      <c r="H22" s="15">
        <f>0.066+0.717+0.272</f>
        <v>1.0549999999999999</v>
      </c>
      <c r="I22" s="15">
        <f>0.274+0.083+0.043</f>
        <v>0.4</v>
      </c>
      <c r="J22" s="15">
        <f>SUM(G22:I22)</f>
        <v>8.4130000000000003</v>
      </c>
      <c r="K22" s="15">
        <v>0.53200000000000003</v>
      </c>
      <c r="L22" s="15"/>
      <c r="M22" s="15">
        <v>1.0999999999999999E-2</v>
      </c>
      <c r="N22" s="15">
        <f>K22+M22</f>
        <v>0.54300000000000004</v>
      </c>
      <c r="O22" s="15"/>
      <c r="P22" s="15"/>
      <c r="Q22" s="15"/>
      <c r="R22" s="15"/>
      <c r="S22" s="16"/>
      <c r="T22" s="15" t="s">
        <v>500</v>
      </c>
      <c r="U22" s="15">
        <v>75.36</v>
      </c>
      <c r="V22" s="15">
        <v>1.35</v>
      </c>
      <c r="W22" s="15">
        <v>13.06</v>
      </c>
      <c r="X22" s="15">
        <f>V22+W22</f>
        <v>14.41</v>
      </c>
      <c r="Y22" s="15">
        <v>89.9</v>
      </c>
      <c r="Z22" s="15"/>
      <c r="AA22" s="15">
        <v>1287.27</v>
      </c>
      <c r="AB22" s="15">
        <v>193.64</v>
      </c>
      <c r="AC22" s="15"/>
      <c r="AD22" s="15"/>
      <c r="AE22" s="15">
        <v>1.571</v>
      </c>
      <c r="AF22" s="137" t="s">
        <v>20</v>
      </c>
      <c r="AG22" s="17"/>
      <c r="AH22" s="17"/>
      <c r="AI22" s="17"/>
      <c r="AJ22" s="17"/>
      <c r="AK22" s="15" t="s">
        <v>721</v>
      </c>
      <c r="AL22" s="137" t="s">
        <v>20</v>
      </c>
      <c r="AM22" s="15" t="s">
        <v>6</v>
      </c>
      <c r="AN22" s="131"/>
      <c r="AO22" s="131"/>
      <c r="AP22" s="24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</row>
    <row r="23" spans="1:53" customFormat="1" ht="14.25" customHeight="1">
      <c r="A23" s="15"/>
      <c r="B23" s="507"/>
      <c r="C23" s="507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6">
        <v>234.56</v>
      </c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24"/>
      <c r="AH23" s="24"/>
      <c r="AI23" s="24"/>
      <c r="AJ23" s="24"/>
      <c r="AK23" s="24"/>
      <c r="AL23" s="24"/>
      <c r="AM23" s="25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</row>
    <row r="24" spans="1:53" ht="14.1" customHeight="1">
      <c r="A24" s="15">
        <f t="shared" ref="A24" si="3">A22+1</f>
        <v>7</v>
      </c>
      <c r="B24" s="508" t="s">
        <v>344</v>
      </c>
      <c r="C24" s="513" t="s">
        <v>62</v>
      </c>
      <c r="D24" s="172">
        <v>11.987</v>
      </c>
      <c r="E24" s="172">
        <f>D24*4</f>
        <v>47.948</v>
      </c>
      <c r="F24" s="172">
        <f>E24*8</f>
        <v>383.584</v>
      </c>
      <c r="G24" s="15">
        <f>4.906+4.424+0.596</f>
        <v>9.9260000000000002</v>
      </c>
      <c r="H24" s="15">
        <f>0.066+1.053+0.272</f>
        <v>1.391</v>
      </c>
      <c r="I24" s="15">
        <f>0.274+0.181+0.043</f>
        <v>0.498</v>
      </c>
      <c r="J24" s="15">
        <f>SUM(G24:I24)</f>
        <v>11.815</v>
      </c>
      <c r="K24" s="15">
        <v>0.53200000000000003</v>
      </c>
      <c r="L24" s="15"/>
      <c r="M24" s="15">
        <v>1.0999999999999999E-2</v>
      </c>
      <c r="N24" s="15">
        <f>K24+M24</f>
        <v>0.54300000000000004</v>
      </c>
      <c r="O24" s="15"/>
      <c r="P24" s="15"/>
      <c r="Q24" s="15"/>
      <c r="R24" s="15"/>
      <c r="S24" s="16"/>
      <c r="T24" s="15" t="s">
        <v>500</v>
      </c>
      <c r="U24" s="15">
        <v>75.36</v>
      </c>
      <c r="V24" s="15">
        <v>1.35</v>
      </c>
      <c r="W24" s="15">
        <v>13.06</v>
      </c>
      <c r="X24" s="15">
        <f>V24+W24</f>
        <v>14.41</v>
      </c>
      <c r="Y24" s="15">
        <v>89.9</v>
      </c>
      <c r="Z24" s="15"/>
      <c r="AA24" s="15">
        <v>1287.27</v>
      </c>
      <c r="AB24" s="15">
        <v>193.64</v>
      </c>
      <c r="AC24" s="15"/>
      <c r="AD24" s="15"/>
      <c r="AE24" s="15">
        <v>1.571</v>
      </c>
      <c r="AF24" s="137" t="s">
        <v>20</v>
      </c>
      <c r="AG24" s="17"/>
      <c r="AH24" s="17"/>
      <c r="AI24" s="17"/>
      <c r="AJ24" s="17"/>
      <c r="AK24" s="15" t="s">
        <v>721</v>
      </c>
      <c r="AL24" s="137" t="s">
        <v>20</v>
      </c>
      <c r="AM24" s="15" t="s">
        <v>6</v>
      </c>
      <c r="AN24" s="131"/>
      <c r="AO24" s="131"/>
      <c r="AP24" s="24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</row>
    <row r="25" spans="1:53" customFormat="1" ht="14.25" customHeight="1">
      <c r="A25" s="15"/>
      <c r="B25" s="507"/>
      <c r="C25" s="507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6">
        <v>251.12</v>
      </c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24"/>
      <c r="AH25" s="24"/>
      <c r="AI25" s="24"/>
      <c r="AJ25" s="24"/>
      <c r="AK25" s="24"/>
      <c r="AL25" s="24"/>
      <c r="AM25" s="25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</row>
    <row r="26" spans="1:53" ht="14.25" customHeight="1">
      <c r="A26" s="15">
        <f t="shared" ref="A26" si="4">A24+1</f>
        <v>8</v>
      </c>
      <c r="B26" s="508" t="s">
        <v>67</v>
      </c>
      <c r="C26" s="513" t="s">
        <v>34</v>
      </c>
      <c r="D26" s="172">
        <v>9.6539999999999999</v>
      </c>
      <c r="E26" s="172">
        <f>D26*4</f>
        <v>38.616</v>
      </c>
      <c r="F26" s="172">
        <f>E26*8</f>
        <v>308.928</v>
      </c>
      <c r="G26" s="15">
        <f>4.906+1.456+0.596</f>
        <v>6.9580000000000002</v>
      </c>
      <c r="H26" s="15">
        <f>0.066+0.717+0.272</f>
        <v>1.0549999999999999</v>
      </c>
      <c r="I26" s="15">
        <f>0.274+0.083+0.043</f>
        <v>0.4</v>
      </c>
      <c r="J26" s="15">
        <f>SUM(G26:I26)</f>
        <v>8.4130000000000003</v>
      </c>
      <c r="K26" s="15">
        <v>0.53200000000000003</v>
      </c>
      <c r="L26" s="15"/>
      <c r="M26" s="15">
        <v>1.0999999999999999E-2</v>
      </c>
      <c r="N26" s="15">
        <f>K26+M26</f>
        <v>0.54300000000000004</v>
      </c>
      <c r="O26" s="15"/>
      <c r="P26" s="15"/>
      <c r="Q26" s="15"/>
      <c r="R26" s="15"/>
      <c r="S26" s="16"/>
      <c r="T26" s="15" t="s">
        <v>500</v>
      </c>
      <c r="U26" s="15">
        <v>75.36</v>
      </c>
      <c r="V26" s="15">
        <v>1.35</v>
      </c>
      <c r="W26" s="15">
        <v>13.06</v>
      </c>
      <c r="X26" s="15">
        <f>V26+W26</f>
        <v>14.41</v>
      </c>
      <c r="Y26" s="15">
        <v>89.9</v>
      </c>
      <c r="Z26" s="15"/>
      <c r="AA26" s="15">
        <v>1287.27</v>
      </c>
      <c r="AB26" s="15">
        <v>193.64</v>
      </c>
      <c r="AC26" s="15"/>
      <c r="AD26" s="15"/>
      <c r="AE26" s="15">
        <v>1.571</v>
      </c>
      <c r="AF26" s="137" t="s">
        <v>20</v>
      </c>
      <c r="AG26" s="17">
        <v>46121</v>
      </c>
      <c r="AH26" s="17">
        <v>46122</v>
      </c>
      <c r="AI26" s="17">
        <v>46124</v>
      </c>
      <c r="AJ26" s="17">
        <v>46126</v>
      </c>
      <c r="AK26" s="15" t="s">
        <v>744</v>
      </c>
      <c r="AL26" s="137" t="s">
        <v>20</v>
      </c>
      <c r="AM26" s="15" t="s">
        <v>6</v>
      </c>
      <c r="AN26" s="131"/>
      <c r="AO26" s="131"/>
      <c r="AP26" s="24"/>
      <c r="AQ26" s="137" t="s">
        <v>20</v>
      </c>
      <c r="AR26" s="15" t="s">
        <v>749</v>
      </c>
      <c r="AS26" s="363" t="s">
        <v>746</v>
      </c>
      <c r="AT26" s="15" t="s">
        <v>747</v>
      </c>
      <c r="AU26" s="15"/>
      <c r="AV26" s="15"/>
      <c r="AW26" s="15"/>
      <c r="AX26" s="15"/>
      <c r="AY26" s="15"/>
      <c r="AZ26" s="15"/>
      <c r="BA26" s="15"/>
    </row>
    <row r="27" spans="1:53" customFormat="1" ht="14.25" customHeight="1">
      <c r="A27" s="15"/>
      <c r="B27" s="507"/>
      <c r="C27" s="507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6">
        <v>183</v>
      </c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24"/>
      <c r="AH27" s="24"/>
      <c r="AI27" s="24"/>
      <c r="AJ27" s="24"/>
      <c r="AK27" s="24"/>
      <c r="AL27" s="24"/>
      <c r="AM27" s="25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</row>
    <row r="28" spans="1:53" ht="14.25" customHeight="1">
      <c r="A28" s="15">
        <f t="shared" ref="A28" si="5">A26+1</f>
        <v>9</v>
      </c>
      <c r="B28" s="508" t="s">
        <v>310</v>
      </c>
      <c r="C28" s="507" t="s">
        <v>37</v>
      </c>
      <c r="D28" s="172">
        <v>6.992</v>
      </c>
      <c r="E28" s="172">
        <f>D28*4</f>
        <v>27.968</v>
      </c>
      <c r="F28" s="172">
        <f>E28*8</f>
        <v>223.744</v>
      </c>
      <c r="G28" s="15">
        <f>1.267+0.234+1.276</f>
        <v>2.7770000000000001</v>
      </c>
      <c r="H28" s="15">
        <f>1.137+0.487+0.273</f>
        <v>1.8970000000000002</v>
      </c>
      <c r="I28" s="15">
        <f>0.182+0.074+0.032</f>
        <v>0.28800000000000003</v>
      </c>
      <c r="J28" s="15">
        <f>SUM(G28:I28)</f>
        <v>4.9620000000000006</v>
      </c>
      <c r="K28" s="15">
        <v>0.27100000000000002</v>
      </c>
      <c r="L28" s="15"/>
      <c r="M28" s="15">
        <v>7.0000000000000001E-3</v>
      </c>
      <c r="N28" s="15">
        <f>M28+K28</f>
        <v>0.27800000000000002</v>
      </c>
      <c r="O28" s="15"/>
      <c r="P28" s="15"/>
      <c r="Q28" s="15"/>
      <c r="R28" s="15"/>
      <c r="S28" s="16"/>
      <c r="T28" s="15" t="s">
        <v>500</v>
      </c>
      <c r="U28" s="15">
        <v>41.44</v>
      </c>
      <c r="V28" s="15">
        <v>0.8</v>
      </c>
      <c r="W28" s="15">
        <v>7.73</v>
      </c>
      <c r="X28" s="15">
        <f>W28+V28</f>
        <v>8.5300000000000011</v>
      </c>
      <c r="Y28" s="15">
        <v>73.75</v>
      </c>
      <c r="Z28" s="15">
        <v>235.38</v>
      </c>
      <c r="AA28" s="15"/>
      <c r="AB28" s="15">
        <v>201.4</v>
      </c>
      <c r="AC28" s="15"/>
      <c r="AD28" s="15"/>
      <c r="AE28" s="15">
        <v>0.51</v>
      </c>
      <c r="AF28" s="137" t="s">
        <v>20</v>
      </c>
      <c r="AG28" s="17">
        <v>46118</v>
      </c>
      <c r="AH28" s="17">
        <v>46119</v>
      </c>
      <c r="AI28" s="17">
        <v>46123</v>
      </c>
      <c r="AJ28" s="17">
        <v>46124</v>
      </c>
      <c r="AK28" s="15" t="s">
        <v>744</v>
      </c>
      <c r="AL28" s="137" t="s">
        <v>20</v>
      </c>
      <c r="AM28" s="15"/>
      <c r="AN28" s="131"/>
      <c r="AO28" s="131"/>
      <c r="AP28" s="24"/>
      <c r="AQ28" s="137" t="s">
        <v>20</v>
      </c>
      <c r="AR28" s="17">
        <v>46130</v>
      </c>
      <c r="AS28" s="363" t="s">
        <v>748</v>
      </c>
      <c r="AT28" s="15" t="s">
        <v>747</v>
      </c>
      <c r="AU28" s="15"/>
      <c r="AV28" s="15"/>
      <c r="AW28" s="15"/>
      <c r="AX28" s="15"/>
      <c r="AY28" s="15"/>
      <c r="AZ28" s="15"/>
      <c r="BA28" s="15"/>
    </row>
    <row r="29" spans="1:53" customFormat="1" ht="14.25" customHeight="1">
      <c r="A29" s="15"/>
      <c r="B29" s="507"/>
      <c r="C29" s="507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6">
        <v>182.07</v>
      </c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24"/>
      <c r="AH29" s="24"/>
      <c r="AI29" s="24"/>
      <c r="AJ29" s="24"/>
      <c r="AK29" s="24"/>
      <c r="AL29" s="24"/>
      <c r="AM29" s="25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</row>
    <row r="30" spans="1:53" ht="14.25" customHeight="1">
      <c r="A30" s="15">
        <f t="shared" ref="A30" si="6">A28+1</f>
        <v>10</v>
      </c>
      <c r="B30" s="507" t="s">
        <v>69</v>
      </c>
      <c r="C30" s="513" t="s">
        <v>34</v>
      </c>
      <c r="D30" s="172">
        <v>9.6539999999999999</v>
      </c>
      <c r="E30" s="172">
        <f>D30*4</f>
        <v>38.616</v>
      </c>
      <c r="F30" s="172">
        <f>E30*8</f>
        <v>308.928</v>
      </c>
      <c r="G30" s="15">
        <f>4.906+1.456+0.596</f>
        <v>6.9580000000000002</v>
      </c>
      <c r="H30" s="15">
        <f>0.066+0.717+0.272</f>
        <v>1.0549999999999999</v>
      </c>
      <c r="I30" s="15">
        <f>0.274+0.083+0.043</f>
        <v>0.4</v>
      </c>
      <c r="J30" s="15">
        <f>SUM(G30:I30)</f>
        <v>8.4130000000000003</v>
      </c>
      <c r="K30" s="15">
        <v>0.53200000000000003</v>
      </c>
      <c r="L30" s="15"/>
      <c r="M30" s="15">
        <v>1.0999999999999999E-2</v>
      </c>
      <c r="N30" s="15">
        <f>K30+M30</f>
        <v>0.54300000000000004</v>
      </c>
      <c r="O30" s="15"/>
      <c r="P30" s="15"/>
      <c r="Q30" s="15"/>
      <c r="R30" s="15"/>
      <c r="S30" s="16"/>
      <c r="T30" s="15" t="s">
        <v>500</v>
      </c>
      <c r="U30" s="15">
        <v>75.36</v>
      </c>
      <c r="V30" s="15">
        <v>1.35</v>
      </c>
      <c r="W30" s="15">
        <v>13.06</v>
      </c>
      <c r="X30" s="15">
        <f>V30+W30</f>
        <v>14.41</v>
      </c>
      <c r="Y30" s="15">
        <v>89.9</v>
      </c>
      <c r="Z30" s="15"/>
      <c r="AA30" s="15">
        <v>1287.27</v>
      </c>
      <c r="AB30" s="15">
        <v>193.64</v>
      </c>
      <c r="AC30" s="15"/>
      <c r="AD30" s="15"/>
      <c r="AE30" s="15">
        <v>1.571</v>
      </c>
      <c r="AF30" s="137" t="s">
        <v>20</v>
      </c>
      <c r="AG30" s="17">
        <v>46082</v>
      </c>
      <c r="AH30" s="17">
        <v>46083</v>
      </c>
      <c r="AI30" s="17">
        <v>46087</v>
      </c>
      <c r="AJ30" s="17">
        <v>46089</v>
      </c>
      <c r="AK30" s="15" t="s">
        <v>701</v>
      </c>
      <c r="AL30" s="137" t="s">
        <v>20</v>
      </c>
      <c r="AM30" s="15" t="s">
        <v>6</v>
      </c>
      <c r="AN30" s="131"/>
      <c r="AO30" s="131"/>
      <c r="AP30" s="24"/>
      <c r="AQ30" s="137" t="s">
        <v>20</v>
      </c>
      <c r="AR30" s="17">
        <v>46097</v>
      </c>
      <c r="AS30" s="17">
        <v>46100</v>
      </c>
      <c r="AT30" s="17" t="s">
        <v>740</v>
      </c>
      <c r="AU30" s="15"/>
      <c r="AV30" s="137" t="s">
        <v>20</v>
      </c>
      <c r="AW30" s="15"/>
      <c r="AX30" s="15"/>
      <c r="AY30" s="15"/>
      <c r="AZ30" s="15"/>
      <c r="BA30" s="15"/>
    </row>
    <row r="31" spans="1:53" customFormat="1" ht="14.25" customHeight="1">
      <c r="A31" s="15"/>
      <c r="B31" s="507"/>
      <c r="C31" s="507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6">
        <v>328.09</v>
      </c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24"/>
      <c r="AH31" s="24"/>
      <c r="AI31" s="24"/>
      <c r="AJ31" s="24"/>
      <c r="AK31" s="24"/>
      <c r="AL31" s="24"/>
      <c r="AM31" s="25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</row>
    <row r="32" spans="1:53" ht="14.25" customHeight="1">
      <c r="A32" s="15">
        <f t="shared" ref="A32" si="7">A30+1</f>
        <v>11</v>
      </c>
      <c r="B32" s="509" t="s">
        <v>71</v>
      </c>
      <c r="C32" s="513" t="s">
        <v>501</v>
      </c>
      <c r="D32" s="172">
        <v>10.82</v>
      </c>
      <c r="E32" s="172">
        <f>D32*4</f>
        <v>43.28</v>
      </c>
      <c r="F32" s="172">
        <f>E32*8</f>
        <v>346.24</v>
      </c>
      <c r="G32" s="15">
        <f>4.906+2.484+0.596</f>
        <v>7.9859999999999998</v>
      </c>
      <c r="H32" s="15">
        <f>0.066+1.044+0.272</f>
        <v>1.3820000000000001</v>
      </c>
      <c r="I32" s="15">
        <f>0.274+0.132+0.043</f>
        <v>0.44900000000000001</v>
      </c>
      <c r="J32" s="15">
        <f>SUM(G32:I32)</f>
        <v>9.8170000000000002</v>
      </c>
      <c r="K32" s="15">
        <v>0.53200000000000003</v>
      </c>
      <c r="L32" s="15"/>
      <c r="M32" s="15">
        <v>1.0999999999999999E-2</v>
      </c>
      <c r="N32" s="15">
        <f>K32+M32</f>
        <v>0.54300000000000004</v>
      </c>
      <c r="O32" s="15"/>
      <c r="P32" s="15"/>
      <c r="Q32" s="15"/>
      <c r="R32" s="15"/>
      <c r="S32" s="16"/>
      <c r="T32" s="15" t="s">
        <v>500</v>
      </c>
      <c r="U32" s="15">
        <v>75.36</v>
      </c>
      <c r="V32" s="15">
        <v>1.35</v>
      </c>
      <c r="W32" s="15">
        <v>13.06</v>
      </c>
      <c r="X32" s="15">
        <f>V32+W32</f>
        <v>14.41</v>
      </c>
      <c r="Y32" s="15">
        <v>89.9</v>
      </c>
      <c r="Z32" s="15"/>
      <c r="AA32" s="15">
        <v>1287.27</v>
      </c>
      <c r="AB32" s="15">
        <v>193.64</v>
      </c>
      <c r="AC32" s="15"/>
      <c r="AD32" s="15"/>
      <c r="AE32" s="15">
        <v>1.571</v>
      </c>
      <c r="AF32" s="137" t="s">
        <v>20</v>
      </c>
      <c r="AG32" s="17"/>
      <c r="AH32" s="17"/>
      <c r="AI32" s="17">
        <v>46084</v>
      </c>
      <c r="AJ32" s="17">
        <v>46097</v>
      </c>
      <c r="AK32" s="15" t="s">
        <v>701</v>
      </c>
      <c r="AL32" s="137" t="s">
        <v>20</v>
      </c>
      <c r="AM32" s="15" t="s">
        <v>6</v>
      </c>
      <c r="AN32" s="131"/>
      <c r="AO32" s="131"/>
      <c r="AP32" s="24"/>
      <c r="AQ32" s="137" t="s">
        <v>20</v>
      </c>
      <c r="AR32" s="17">
        <v>46101</v>
      </c>
      <c r="AS32" s="17">
        <v>46103</v>
      </c>
      <c r="AT32" s="17" t="s">
        <v>740</v>
      </c>
      <c r="AU32" s="15"/>
      <c r="AV32" s="137" t="s">
        <v>20</v>
      </c>
      <c r="AW32" s="15"/>
      <c r="AX32" s="15"/>
      <c r="AY32" s="15"/>
      <c r="AZ32" s="15"/>
      <c r="BA32" s="15"/>
    </row>
    <row r="33" spans="1:53" customFormat="1" ht="14.25" customHeight="1">
      <c r="A33" s="15"/>
      <c r="B33" s="507"/>
      <c r="C33" s="507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6">
        <v>40</v>
      </c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24"/>
      <c r="AH33" s="24"/>
      <c r="AI33" s="24"/>
      <c r="AJ33" s="24"/>
      <c r="AK33" s="24"/>
      <c r="AL33" s="24"/>
      <c r="AM33" s="25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</row>
    <row r="34" spans="1:53" ht="14.25" customHeight="1">
      <c r="A34" s="15">
        <f t="shared" ref="A34" si="8">A32+1</f>
        <v>12</v>
      </c>
      <c r="B34" s="509" t="s">
        <v>72</v>
      </c>
      <c r="C34" s="513" t="s">
        <v>501</v>
      </c>
      <c r="D34" s="15"/>
      <c r="E34" s="15"/>
      <c r="F34" s="15">
        <v>54</v>
      </c>
      <c r="G34" s="15"/>
      <c r="H34" s="15">
        <v>4.1059999999999999</v>
      </c>
      <c r="I34" s="15">
        <v>0.23</v>
      </c>
      <c r="J34" s="15">
        <f>SUM(G34:I34)</f>
        <v>4.3360000000000003</v>
      </c>
      <c r="K34" s="15"/>
      <c r="L34" s="15">
        <f>0.12+0.219</f>
        <v>0.33899999999999997</v>
      </c>
      <c r="M34" s="15">
        <f>0.003+0.003</f>
        <v>6.0000000000000001E-3</v>
      </c>
      <c r="N34" s="15">
        <f>SUM(K34:M34)</f>
        <v>0.34499999999999997</v>
      </c>
      <c r="O34" s="15"/>
      <c r="P34" s="15"/>
      <c r="Q34" s="15"/>
      <c r="R34" s="15"/>
      <c r="S34" s="16"/>
      <c r="T34" s="15" t="s">
        <v>500</v>
      </c>
      <c r="U34" s="15">
        <v>315</v>
      </c>
      <c r="V34" s="15">
        <v>4.0999999999999996</v>
      </c>
      <c r="W34" s="15">
        <v>42</v>
      </c>
      <c r="X34" s="15">
        <f>W34+V34</f>
        <v>46.1</v>
      </c>
      <c r="Y34" s="15"/>
      <c r="Z34" s="15"/>
      <c r="AA34" s="15"/>
      <c r="AB34" s="15"/>
      <c r="AC34" s="15"/>
      <c r="AD34" s="15"/>
      <c r="AE34" s="15">
        <v>3.95</v>
      </c>
      <c r="AF34" s="137" t="s">
        <v>20</v>
      </c>
      <c r="AG34" s="17"/>
      <c r="AH34" s="17"/>
      <c r="AI34" s="17" t="s">
        <v>726</v>
      </c>
      <c r="AJ34" s="17">
        <v>46098</v>
      </c>
      <c r="AK34" s="15" t="s">
        <v>701</v>
      </c>
      <c r="AL34" s="137" t="s">
        <v>20</v>
      </c>
      <c r="AM34" s="15" t="s">
        <v>6</v>
      </c>
      <c r="AN34" s="131"/>
      <c r="AO34" s="131"/>
      <c r="AP34" s="24"/>
      <c r="AQ34" s="137" t="s">
        <v>20</v>
      </c>
      <c r="AR34" s="17">
        <v>46103</v>
      </c>
      <c r="AS34" s="17">
        <v>46104</v>
      </c>
      <c r="AT34" s="17" t="s">
        <v>740</v>
      </c>
      <c r="AU34" s="15"/>
      <c r="AV34" s="137" t="s">
        <v>20</v>
      </c>
      <c r="AW34" s="15"/>
      <c r="AX34" s="15"/>
      <c r="AY34" s="15"/>
      <c r="AZ34" s="15"/>
      <c r="BA34" s="15"/>
    </row>
    <row r="35" spans="1:53" customFormat="1" ht="14.25" customHeight="1">
      <c r="A35" s="15"/>
      <c r="B35" s="508"/>
      <c r="C35" s="513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6">
        <v>57.414999999999999</v>
      </c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24"/>
      <c r="AH35" s="24"/>
      <c r="AI35" s="24"/>
      <c r="AJ35" s="24"/>
      <c r="AK35" s="24"/>
      <c r="AL35" s="24"/>
      <c r="AM35" s="25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</row>
    <row r="36" spans="1:53" ht="14.25" customHeight="1">
      <c r="A36" s="15">
        <f t="shared" ref="A36" si="9">A34+1</f>
        <v>13</v>
      </c>
      <c r="B36" s="526" t="s">
        <v>93</v>
      </c>
      <c r="C36" s="513" t="s">
        <v>34</v>
      </c>
      <c r="D36" s="15"/>
      <c r="E36" s="15"/>
      <c r="F36" s="15">
        <v>54</v>
      </c>
      <c r="G36" s="15"/>
      <c r="H36" s="15">
        <v>4.1059999999999999</v>
      </c>
      <c r="I36" s="15">
        <v>0.23</v>
      </c>
      <c r="J36" s="15">
        <f>SUM(G36:I36)</f>
        <v>4.3360000000000003</v>
      </c>
      <c r="K36" s="15"/>
      <c r="L36" s="15">
        <f>0.12+0.219</f>
        <v>0.33899999999999997</v>
      </c>
      <c r="M36" s="15">
        <f>0.003+0.003</f>
        <v>6.0000000000000001E-3</v>
      </c>
      <c r="N36" s="15">
        <f>SUM(K36:M36)</f>
        <v>0.34499999999999997</v>
      </c>
      <c r="O36" s="15"/>
      <c r="P36" s="15"/>
      <c r="Q36" s="15"/>
      <c r="R36" s="15"/>
      <c r="S36" s="16"/>
      <c r="T36" s="15" t="s">
        <v>500</v>
      </c>
      <c r="U36" s="15">
        <v>315</v>
      </c>
      <c r="V36" s="15">
        <v>4.0999999999999996</v>
      </c>
      <c r="W36" s="15">
        <v>42</v>
      </c>
      <c r="X36" s="15">
        <f>W36+V36</f>
        <v>46.1</v>
      </c>
      <c r="Y36" s="15"/>
      <c r="Z36" s="15"/>
      <c r="AA36" s="15"/>
      <c r="AB36" s="15"/>
      <c r="AC36" s="15"/>
      <c r="AD36" s="15"/>
      <c r="AE36" s="15">
        <v>3.95</v>
      </c>
      <c r="AF36" s="137" t="s">
        <v>20</v>
      </c>
      <c r="AG36" s="17">
        <v>46050</v>
      </c>
      <c r="AH36" s="17">
        <v>46051</v>
      </c>
      <c r="AI36" s="17">
        <v>46056</v>
      </c>
      <c r="AJ36" s="17">
        <v>46058</v>
      </c>
      <c r="AK36" s="15" t="s">
        <v>701</v>
      </c>
      <c r="AL36" s="137" t="s">
        <v>20</v>
      </c>
      <c r="AM36" s="25" t="s">
        <v>6</v>
      </c>
      <c r="AN36" s="131"/>
      <c r="AO36" s="131"/>
      <c r="AP36" s="24"/>
      <c r="AQ36" s="137" t="s">
        <v>20</v>
      </c>
      <c r="AR36" s="17">
        <v>46095</v>
      </c>
      <c r="AS36" s="17">
        <v>46097</v>
      </c>
      <c r="AT36" s="17" t="s">
        <v>739</v>
      </c>
      <c r="AU36" s="15"/>
      <c r="AV36" s="137" t="s">
        <v>20</v>
      </c>
      <c r="AW36" s="15"/>
      <c r="AX36" s="15"/>
      <c r="AY36" s="15"/>
      <c r="AZ36" s="15"/>
      <c r="BA36" s="15"/>
    </row>
    <row r="37" spans="1:53" customFormat="1" ht="14.25" customHeight="1">
      <c r="A37" s="15"/>
      <c r="B37" s="507"/>
      <c r="C37" s="507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6">
        <v>38.566000000000003</v>
      </c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24"/>
      <c r="AH37" s="24"/>
      <c r="AI37" s="24"/>
      <c r="AJ37" s="24"/>
      <c r="AK37" s="24"/>
      <c r="AL37" s="24"/>
      <c r="AM37" s="25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</row>
    <row r="38" spans="1:53" ht="14.25" customHeight="1">
      <c r="A38" s="15">
        <f t="shared" ref="A38" si="10">A36+1</f>
        <v>14</v>
      </c>
      <c r="B38" s="508" t="s">
        <v>104</v>
      </c>
      <c r="C38" s="513" t="s">
        <v>51</v>
      </c>
      <c r="D38" s="172">
        <v>9.6539999999999999</v>
      </c>
      <c r="E38" s="172">
        <f>D38*4</f>
        <v>38.616</v>
      </c>
      <c r="F38" s="172">
        <f>E38*8</f>
        <v>308.928</v>
      </c>
      <c r="G38" s="15">
        <f>4.906+1.456+0.596</f>
        <v>6.9580000000000002</v>
      </c>
      <c r="H38" s="15">
        <f>0.066+0.717+0.272</f>
        <v>1.0549999999999999</v>
      </c>
      <c r="I38" s="15">
        <f>0.274+0.083+0.043</f>
        <v>0.4</v>
      </c>
      <c r="J38" s="15">
        <f>SUM(G38:I38)</f>
        <v>8.4130000000000003</v>
      </c>
      <c r="K38" s="15">
        <v>0.53200000000000003</v>
      </c>
      <c r="L38" s="15"/>
      <c r="M38" s="15">
        <v>1.0999999999999999E-2</v>
      </c>
      <c r="N38" s="15">
        <f>K38+M38</f>
        <v>0.54300000000000004</v>
      </c>
      <c r="O38" s="15"/>
      <c r="P38" s="15"/>
      <c r="Q38" s="15"/>
      <c r="R38" s="15"/>
      <c r="S38" s="16"/>
      <c r="T38" s="15" t="s">
        <v>500</v>
      </c>
      <c r="U38" s="15">
        <v>75.36</v>
      </c>
      <c r="V38" s="15">
        <v>1.35</v>
      </c>
      <c r="W38" s="15">
        <v>13.06</v>
      </c>
      <c r="X38" s="15">
        <f>V38+W38</f>
        <v>14.41</v>
      </c>
      <c r="Y38" s="15">
        <v>89.9</v>
      </c>
      <c r="Z38" s="15"/>
      <c r="AA38" s="15">
        <v>1287.27</v>
      </c>
      <c r="AB38" s="15">
        <v>193.64</v>
      </c>
      <c r="AC38" s="15"/>
      <c r="AD38" s="15"/>
      <c r="AE38" s="15">
        <v>1.571</v>
      </c>
      <c r="AF38" s="137" t="s">
        <v>20</v>
      </c>
      <c r="AG38" s="17">
        <v>46052</v>
      </c>
      <c r="AH38" s="17" t="s">
        <v>717</v>
      </c>
      <c r="AI38" s="17">
        <v>46058</v>
      </c>
      <c r="AJ38" s="17" t="s">
        <v>720</v>
      </c>
      <c r="AK38" s="15" t="s">
        <v>690</v>
      </c>
      <c r="AL38" s="137" t="s">
        <v>20</v>
      </c>
      <c r="AM38" s="25" t="s">
        <v>6</v>
      </c>
      <c r="AN38" s="131"/>
      <c r="AO38" s="131"/>
      <c r="AP38" s="24"/>
      <c r="AQ38" s="137" t="s">
        <v>20</v>
      </c>
      <c r="AR38" s="17">
        <v>46070</v>
      </c>
      <c r="AS38" s="17">
        <v>46072</v>
      </c>
      <c r="AT38" s="15" t="s">
        <v>694</v>
      </c>
      <c r="AU38" s="17"/>
      <c r="AV38" s="137" t="s">
        <v>20</v>
      </c>
      <c r="AW38" s="17"/>
      <c r="AX38" s="17"/>
      <c r="AY38" s="17"/>
      <c r="AZ38" s="15"/>
      <c r="BA38" s="15"/>
    </row>
    <row r="39" spans="1:53" customFormat="1" ht="14.25" customHeight="1">
      <c r="A39" s="15"/>
      <c r="B39" s="507"/>
      <c r="C39" s="507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6">
        <v>182.04300000000001</v>
      </c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24"/>
      <c r="AH39" s="24"/>
      <c r="AI39" s="24"/>
      <c r="AJ39" s="24"/>
      <c r="AK39" s="24"/>
      <c r="AL39" s="24"/>
      <c r="AM39" s="25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</row>
    <row r="40" spans="1:53" ht="14.25" customHeight="1">
      <c r="A40" s="15">
        <f t="shared" ref="A40" si="11">A38+1</f>
        <v>15</v>
      </c>
      <c r="B40" s="527" t="s">
        <v>697</v>
      </c>
      <c r="C40" s="513" t="s">
        <v>56</v>
      </c>
      <c r="D40" s="172">
        <v>9.6539999999999999</v>
      </c>
      <c r="E40" s="172">
        <f>D40*4</f>
        <v>38.616</v>
      </c>
      <c r="F40" s="172">
        <f>E40*8</f>
        <v>308.928</v>
      </c>
      <c r="G40" s="15">
        <f>4.906+1.456+0.596</f>
        <v>6.9580000000000002</v>
      </c>
      <c r="H40" s="15">
        <f>0.066+0.717+0.272</f>
        <v>1.0549999999999999</v>
      </c>
      <c r="I40" s="15">
        <f>0.274+0.083+0.043</f>
        <v>0.4</v>
      </c>
      <c r="J40" s="15">
        <f>SUM(G40:I40)</f>
        <v>8.4130000000000003</v>
      </c>
      <c r="K40" s="15">
        <v>0.53200000000000003</v>
      </c>
      <c r="L40" s="15"/>
      <c r="M40" s="15">
        <v>1.0999999999999999E-2</v>
      </c>
      <c r="N40" s="15">
        <f>K40+M40</f>
        <v>0.54300000000000004</v>
      </c>
      <c r="O40" s="15"/>
      <c r="P40" s="15"/>
      <c r="Q40" s="15"/>
      <c r="R40" s="15"/>
      <c r="S40" s="16"/>
      <c r="T40" s="15" t="s">
        <v>500</v>
      </c>
      <c r="U40" s="15">
        <v>75.36</v>
      </c>
      <c r="V40" s="15">
        <v>1.35</v>
      </c>
      <c r="W40" s="15">
        <v>13.06</v>
      </c>
      <c r="X40" s="15">
        <f>V40+W40</f>
        <v>14.41</v>
      </c>
      <c r="Y40" s="15">
        <v>89.9</v>
      </c>
      <c r="Z40" s="15"/>
      <c r="AA40" s="15">
        <v>1287.27</v>
      </c>
      <c r="AB40" s="15">
        <v>193.64</v>
      </c>
      <c r="AC40" s="15"/>
      <c r="AD40" s="15"/>
      <c r="AE40" s="15">
        <v>1.571</v>
      </c>
      <c r="AF40" s="137" t="s">
        <v>20</v>
      </c>
      <c r="AG40" s="17">
        <v>46045</v>
      </c>
      <c r="AH40" s="17">
        <v>45681</v>
      </c>
      <c r="AI40" s="17">
        <v>46050</v>
      </c>
      <c r="AJ40" s="17">
        <v>46052</v>
      </c>
      <c r="AK40" s="15" t="s">
        <v>701</v>
      </c>
      <c r="AL40" s="137" t="s">
        <v>20</v>
      </c>
      <c r="AM40" s="25" t="s">
        <v>6</v>
      </c>
      <c r="AN40" s="131"/>
      <c r="AO40" s="131"/>
      <c r="AP40" s="24"/>
      <c r="AQ40" s="137" t="s">
        <v>20</v>
      </c>
      <c r="AR40" s="17">
        <v>46062</v>
      </c>
      <c r="AS40" s="17">
        <v>46064</v>
      </c>
      <c r="AT40" s="15" t="s">
        <v>694</v>
      </c>
      <c r="AU40" s="15"/>
      <c r="AV40" s="137" t="s">
        <v>20</v>
      </c>
      <c r="AW40" s="15"/>
      <c r="AX40" s="15"/>
      <c r="AY40" s="15"/>
      <c r="AZ40" s="15"/>
      <c r="BA40" s="15"/>
    </row>
    <row r="41" spans="1:53" customFormat="1" ht="14.25" customHeight="1">
      <c r="A41" s="15"/>
      <c r="B41" s="507"/>
      <c r="C41" s="507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6">
        <v>204.148</v>
      </c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24"/>
      <c r="AH41" s="24"/>
      <c r="AI41" s="24"/>
      <c r="AJ41" s="24"/>
      <c r="AK41" s="24"/>
      <c r="AL41" s="24"/>
      <c r="AM41" s="25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</row>
    <row r="42" spans="1:53" ht="14.25" customHeight="1">
      <c r="A42" s="15">
        <f t="shared" ref="A42" si="12">A40+1</f>
        <v>16</v>
      </c>
      <c r="B42" s="508" t="s">
        <v>698</v>
      </c>
      <c r="C42" s="513" t="s">
        <v>56</v>
      </c>
      <c r="D42" s="172">
        <v>9.6539999999999999</v>
      </c>
      <c r="E42" s="172">
        <f>D42*4</f>
        <v>38.616</v>
      </c>
      <c r="F42" s="172">
        <f>E42*8</f>
        <v>308.928</v>
      </c>
      <c r="G42" s="15">
        <f>4.906+1.456+0.596</f>
        <v>6.9580000000000002</v>
      </c>
      <c r="H42" s="15">
        <f>0.066+0.717+0.272</f>
        <v>1.0549999999999999</v>
      </c>
      <c r="I42" s="15">
        <f>0.274+0.083+0.043</f>
        <v>0.4</v>
      </c>
      <c r="J42" s="15">
        <f>SUM(G42:I42)</f>
        <v>8.4130000000000003</v>
      </c>
      <c r="K42" s="15">
        <v>0.53200000000000003</v>
      </c>
      <c r="L42" s="15"/>
      <c r="M42" s="15">
        <v>1.0999999999999999E-2</v>
      </c>
      <c r="N42" s="15">
        <f>K42+M42</f>
        <v>0.54300000000000004</v>
      </c>
      <c r="O42" s="15"/>
      <c r="P42" s="15"/>
      <c r="Q42" s="15"/>
      <c r="R42" s="15"/>
      <c r="S42" s="16"/>
      <c r="T42" s="15" t="s">
        <v>500</v>
      </c>
      <c r="U42" s="15">
        <v>75.36</v>
      </c>
      <c r="V42" s="15">
        <v>1.35</v>
      </c>
      <c r="W42" s="15">
        <v>13.06</v>
      </c>
      <c r="X42" s="15">
        <f>V42+W42</f>
        <v>14.41</v>
      </c>
      <c r="Y42" s="15">
        <v>89.9</v>
      </c>
      <c r="Z42" s="15"/>
      <c r="AA42" s="15">
        <v>1287.27</v>
      </c>
      <c r="AB42" s="15">
        <v>193.64</v>
      </c>
      <c r="AC42" s="15"/>
      <c r="AD42" s="15"/>
      <c r="AE42" s="15">
        <v>1.571</v>
      </c>
      <c r="AF42" s="137" t="s">
        <v>20</v>
      </c>
      <c r="AG42" s="17">
        <v>46043</v>
      </c>
      <c r="AH42" s="17">
        <v>46045</v>
      </c>
      <c r="AI42" s="17">
        <v>46047</v>
      </c>
      <c r="AJ42" s="17">
        <v>46049</v>
      </c>
      <c r="AK42" s="15" t="s">
        <v>690</v>
      </c>
      <c r="AL42" s="137" t="s">
        <v>20</v>
      </c>
      <c r="AM42" s="25" t="s">
        <v>6</v>
      </c>
      <c r="AN42" s="131"/>
      <c r="AO42" s="131"/>
      <c r="AP42" s="24"/>
      <c r="AQ42" s="137" t="s">
        <v>20</v>
      </c>
      <c r="AR42" s="17">
        <v>46097</v>
      </c>
      <c r="AS42" s="17">
        <v>46099</v>
      </c>
      <c r="AT42" s="17" t="s">
        <v>739</v>
      </c>
      <c r="AU42" s="15"/>
      <c r="AV42" s="137" t="s">
        <v>20</v>
      </c>
      <c r="AW42" s="15"/>
      <c r="AX42" s="15"/>
      <c r="AY42" s="15"/>
      <c r="AZ42" s="15"/>
      <c r="BA42" s="15"/>
    </row>
    <row r="43" spans="1:53" customFormat="1" ht="14.25" customHeight="1">
      <c r="A43" s="15"/>
      <c r="B43" s="507"/>
      <c r="C43" s="507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6">
        <v>254</v>
      </c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24"/>
      <c r="AH43" s="24"/>
      <c r="AI43" s="24"/>
      <c r="AJ43" s="24"/>
      <c r="AK43" s="24"/>
      <c r="AL43" s="24"/>
      <c r="AM43" s="25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</row>
    <row r="44" spans="1:53" ht="14.25" customHeight="1">
      <c r="A44" s="15">
        <f t="shared" ref="A44" si="13">A42+1</f>
        <v>17</v>
      </c>
      <c r="B44" s="510" t="s">
        <v>699</v>
      </c>
      <c r="C44" s="513" t="s">
        <v>42</v>
      </c>
      <c r="D44" s="172">
        <v>6.992</v>
      </c>
      <c r="E44" s="172">
        <f>D44*4</f>
        <v>27.968</v>
      </c>
      <c r="F44" s="172">
        <f>E44*8</f>
        <v>223.744</v>
      </c>
      <c r="G44" s="15">
        <f>1.267+0.234+1.276</f>
        <v>2.7770000000000001</v>
      </c>
      <c r="H44" s="15">
        <f>1.137+0.487+0.273</f>
        <v>1.8970000000000002</v>
      </c>
      <c r="I44" s="15">
        <f>0.182+0.074+0.032</f>
        <v>0.28800000000000003</v>
      </c>
      <c r="J44" s="15">
        <f>SUM(G44:I44)</f>
        <v>4.9620000000000006</v>
      </c>
      <c r="K44" s="15">
        <v>0.27100000000000002</v>
      </c>
      <c r="L44" s="15"/>
      <c r="M44" s="15">
        <v>7.0000000000000001E-3</v>
      </c>
      <c r="N44" s="15">
        <f>M44+K44</f>
        <v>0.27800000000000002</v>
      </c>
      <c r="O44" s="15"/>
      <c r="P44" s="15"/>
      <c r="Q44" s="15"/>
      <c r="R44" s="15"/>
      <c r="S44" s="16"/>
      <c r="T44" s="15" t="s">
        <v>537</v>
      </c>
      <c r="U44" s="15">
        <v>41.44</v>
      </c>
      <c r="V44" s="15">
        <v>0.8</v>
      </c>
      <c r="W44" s="15">
        <v>7.73</v>
      </c>
      <c r="X44" s="15">
        <f>W44+V44</f>
        <v>8.5300000000000011</v>
      </c>
      <c r="Y44" s="15">
        <v>73.75</v>
      </c>
      <c r="Z44" s="15">
        <v>235.38</v>
      </c>
      <c r="AA44" s="15"/>
      <c r="AB44" s="15">
        <v>201.4</v>
      </c>
      <c r="AC44" s="15"/>
      <c r="AD44" s="15"/>
      <c r="AE44" s="15">
        <v>0.51</v>
      </c>
      <c r="AF44" s="137" t="s">
        <v>20</v>
      </c>
      <c r="AG44" s="17">
        <v>46032</v>
      </c>
      <c r="AH44" s="17">
        <v>46038</v>
      </c>
      <c r="AI44" s="17" t="s">
        <v>708</v>
      </c>
      <c r="AJ44" s="17">
        <v>46053</v>
      </c>
      <c r="AK44" s="15" t="s">
        <v>690</v>
      </c>
      <c r="AL44" s="137" t="s">
        <v>20</v>
      </c>
      <c r="AM44" s="25" t="s">
        <v>6</v>
      </c>
      <c r="AN44" s="131"/>
      <c r="AO44" s="131"/>
      <c r="AP44" s="24"/>
      <c r="AQ44" s="137" t="s">
        <v>20</v>
      </c>
      <c r="AR44" s="17">
        <v>46067</v>
      </c>
      <c r="AS44" s="17">
        <v>46069</v>
      </c>
      <c r="AT44" s="15" t="s">
        <v>694</v>
      </c>
      <c r="AU44" s="15"/>
      <c r="AV44" s="137" t="s">
        <v>20</v>
      </c>
      <c r="AW44" s="15"/>
      <c r="AX44" s="15"/>
      <c r="AY44" s="15"/>
      <c r="AZ44" s="15"/>
      <c r="BA44" s="15"/>
    </row>
    <row r="45" spans="1:53" customFormat="1" ht="14.25" customHeight="1">
      <c r="A45" s="15"/>
      <c r="B45" s="507"/>
      <c r="C45" s="507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6">
        <v>294</v>
      </c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24"/>
      <c r="AH45" s="24"/>
      <c r="AI45" s="24"/>
      <c r="AJ45" s="24"/>
      <c r="AK45" s="24"/>
      <c r="AL45" s="24"/>
      <c r="AM45" s="25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</row>
    <row r="46" spans="1:53" ht="14.25" customHeight="1">
      <c r="A46" s="15">
        <f t="shared" ref="A46" si="14">A44+1</f>
        <v>18</v>
      </c>
      <c r="B46" s="511" t="s">
        <v>700</v>
      </c>
      <c r="C46" s="507" t="s">
        <v>37</v>
      </c>
      <c r="D46" s="172">
        <v>6.992</v>
      </c>
      <c r="E46" s="172">
        <f>D46*4</f>
        <v>27.968</v>
      </c>
      <c r="F46" s="172">
        <f>E46*8</f>
        <v>223.744</v>
      </c>
      <c r="G46" s="15">
        <f>1.267+0.234+1.276</f>
        <v>2.7770000000000001</v>
      </c>
      <c r="H46" s="15">
        <f>1.137+0.487+0.273</f>
        <v>1.8970000000000002</v>
      </c>
      <c r="I46" s="15">
        <f>0.182+0.074+0.032</f>
        <v>0.28800000000000003</v>
      </c>
      <c r="J46" s="15">
        <f>SUM(G46:I46)</f>
        <v>4.9620000000000006</v>
      </c>
      <c r="K46" s="15">
        <v>0.27100000000000002</v>
      </c>
      <c r="L46" s="15"/>
      <c r="M46" s="15">
        <v>7.0000000000000001E-3</v>
      </c>
      <c r="N46" s="15">
        <f>M46+K46</f>
        <v>0.27800000000000002</v>
      </c>
      <c r="O46" s="15"/>
      <c r="P46" s="15"/>
      <c r="Q46" s="15"/>
      <c r="R46" s="15"/>
      <c r="S46" s="16"/>
      <c r="T46" s="15" t="s">
        <v>500</v>
      </c>
      <c r="U46" s="15">
        <v>41.44</v>
      </c>
      <c r="V46" s="15">
        <v>0.8</v>
      </c>
      <c r="W46" s="15">
        <v>7.73</v>
      </c>
      <c r="X46" s="15">
        <f>W46+V46</f>
        <v>8.5300000000000011</v>
      </c>
      <c r="Y46" s="15">
        <v>73.75</v>
      </c>
      <c r="Z46" s="15">
        <v>235.38</v>
      </c>
      <c r="AA46" s="15"/>
      <c r="AB46" s="15">
        <v>201.4</v>
      </c>
      <c r="AC46" s="15"/>
      <c r="AD46" s="15"/>
      <c r="AE46" s="15">
        <v>0.51</v>
      </c>
      <c r="AF46" s="137" t="s">
        <v>20</v>
      </c>
      <c r="AG46" s="17">
        <v>46089</v>
      </c>
      <c r="AH46" s="17">
        <f>AG46+3</f>
        <v>46092</v>
      </c>
      <c r="AI46" s="17">
        <v>46094</v>
      </c>
      <c r="AJ46" s="17">
        <v>46095</v>
      </c>
      <c r="AK46" s="15" t="s">
        <v>701</v>
      </c>
      <c r="AL46" s="137" t="s">
        <v>20</v>
      </c>
      <c r="AM46" s="15" t="s">
        <v>6</v>
      </c>
      <c r="AN46" s="131"/>
      <c r="AO46" s="131"/>
      <c r="AP46" s="24"/>
      <c r="AQ46" s="137" t="s">
        <v>20</v>
      </c>
      <c r="AR46" s="17">
        <v>46099</v>
      </c>
      <c r="AS46" s="17">
        <v>46101</v>
      </c>
      <c r="AT46" s="17" t="s">
        <v>739</v>
      </c>
      <c r="AU46" s="15"/>
      <c r="AV46" s="137" t="s">
        <v>20</v>
      </c>
      <c r="AW46" s="15"/>
      <c r="AX46" s="15"/>
      <c r="AY46" s="15"/>
      <c r="AZ46" s="15"/>
      <c r="BA46" s="15"/>
    </row>
    <row r="47" spans="1:53" customFormat="1" ht="14.25" customHeight="1">
      <c r="A47" s="15"/>
      <c r="B47" s="507"/>
      <c r="C47" s="507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6">
        <v>249.82</v>
      </c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24"/>
      <c r="AH47" s="24"/>
      <c r="AI47" s="24"/>
      <c r="AJ47" s="24"/>
      <c r="AK47" s="24"/>
      <c r="AL47" s="24"/>
      <c r="AM47" s="25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</row>
    <row r="48" spans="1:53" ht="14.25" customHeight="1">
      <c r="A48" s="15">
        <f t="shared" ref="A48" si="15">A46+1</f>
        <v>19</v>
      </c>
      <c r="B48" s="524" t="s">
        <v>106</v>
      </c>
      <c r="C48" s="507" t="s">
        <v>34</v>
      </c>
      <c r="D48" s="172">
        <v>10.82</v>
      </c>
      <c r="E48" s="172">
        <f>D48*4</f>
        <v>43.28</v>
      </c>
      <c r="F48" s="172">
        <f>E48*8</f>
        <v>346.24</v>
      </c>
      <c r="G48" s="15">
        <f>4.906+2.484+0.596</f>
        <v>7.9859999999999998</v>
      </c>
      <c r="H48" s="15">
        <f>0.066+1.044+0.272</f>
        <v>1.3820000000000001</v>
      </c>
      <c r="I48" s="15">
        <f>0.274+0.132+0.043</f>
        <v>0.44900000000000001</v>
      </c>
      <c r="J48" s="15">
        <f>SUM(G48:I48)</f>
        <v>9.8170000000000002</v>
      </c>
      <c r="K48" s="15">
        <v>0.53200000000000003</v>
      </c>
      <c r="L48" s="15"/>
      <c r="M48" s="15">
        <v>1.0999999999999999E-2</v>
      </c>
      <c r="N48" s="15">
        <f>K48+M48</f>
        <v>0.54300000000000004</v>
      </c>
      <c r="O48" s="15"/>
      <c r="P48" s="15"/>
      <c r="Q48" s="15"/>
      <c r="R48" s="15"/>
      <c r="S48" s="16"/>
      <c r="T48" s="15" t="s">
        <v>500</v>
      </c>
      <c r="U48" s="15">
        <v>75.36</v>
      </c>
      <c r="V48" s="15">
        <v>1.35</v>
      </c>
      <c r="W48" s="15">
        <v>13.06</v>
      </c>
      <c r="X48" s="15">
        <f>V48+W48</f>
        <v>14.41</v>
      </c>
      <c r="Y48" s="15">
        <v>89.9</v>
      </c>
      <c r="Z48" s="15"/>
      <c r="AA48" s="15">
        <v>1287.27</v>
      </c>
      <c r="AB48" s="15">
        <v>193.64</v>
      </c>
      <c r="AC48" s="15"/>
      <c r="AD48" s="15"/>
      <c r="AE48" s="15">
        <v>1.571</v>
      </c>
      <c r="AF48" s="137" t="s">
        <v>20</v>
      </c>
      <c r="AG48" s="17">
        <v>46041</v>
      </c>
      <c r="AH48" s="17">
        <v>46042</v>
      </c>
      <c r="AI48" s="17">
        <v>46045</v>
      </c>
      <c r="AJ48" s="17">
        <v>46047</v>
      </c>
      <c r="AK48" s="15" t="s">
        <v>701</v>
      </c>
      <c r="AL48" s="137" t="s">
        <v>20</v>
      </c>
      <c r="AM48" s="25" t="s">
        <v>6</v>
      </c>
      <c r="AN48" s="131"/>
      <c r="AO48" s="131"/>
      <c r="AP48" s="19"/>
      <c r="AQ48" s="137" t="s">
        <v>20</v>
      </c>
      <c r="AR48" s="17">
        <v>46059</v>
      </c>
      <c r="AS48" s="17">
        <v>46061</v>
      </c>
      <c r="AT48" s="15" t="s">
        <v>694</v>
      </c>
      <c r="AU48" s="15"/>
      <c r="AV48" s="137" t="s">
        <v>20</v>
      </c>
      <c r="AW48" s="15"/>
      <c r="AX48" s="15"/>
      <c r="AY48" s="15"/>
      <c r="AZ48" s="15"/>
      <c r="BA48" s="15"/>
    </row>
    <row r="49" spans="1:53" customFormat="1" ht="14.1" customHeight="1">
      <c r="A49" s="15"/>
      <c r="B49" s="507"/>
      <c r="C49" s="507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6">
        <v>329.66</v>
      </c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24"/>
      <c r="AH49" s="24"/>
      <c r="AI49" s="24"/>
      <c r="AJ49" s="24"/>
      <c r="AK49" s="24"/>
      <c r="AL49" s="24"/>
      <c r="AM49" s="25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</row>
    <row r="50" spans="1:53" ht="14.25" customHeight="1">
      <c r="A50" s="15">
        <f t="shared" ref="A50" si="16">A48+1</f>
        <v>20</v>
      </c>
      <c r="B50" s="524" t="s">
        <v>111</v>
      </c>
      <c r="C50" s="507" t="s">
        <v>51</v>
      </c>
      <c r="D50" s="172">
        <v>10.82</v>
      </c>
      <c r="E50" s="172">
        <f>D50*4</f>
        <v>43.28</v>
      </c>
      <c r="F50" s="172">
        <f>E50*8</f>
        <v>346.24</v>
      </c>
      <c r="G50" s="15">
        <f>4.906+2.484+0.596</f>
        <v>7.9859999999999998</v>
      </c>
      <c r="H50" s="15">
        <f>0.066+1.044+0.272</f>
        <v>1.3820000000000001</v>
      </c>
      <c r="I50" s="15">
        <f>0.274+0.132+0.043</f>
        <v>0.44900000000000001</v>
      </c>
      <c r="J50" s="15">
        <f>SUM(G50:I50)</f>
        <v>9.8170000000000002</v>
      </c>
      <c r="K50" s="15">
        <v>0.53200000000000003</v>
      </c>
      <c r="L50" s="15"/>
      <c r="M50" s="15">
        <v>1.0999999999999999E-2</v>
      </c>
      <c r="N50" s="15">
        <f>K50+M50</f>
        <v>0.54300000000000004</v>
      </c>
      <c r="O50" s="15"/>
      <c r="P50" s="15"/>
      <c r="Q50" s="15"/>
      <c r="R50" s="15"/>
      <c r="S50" s="16"/>
      <c r="T50" s="15" t="s">
        <v>500</v>
      </c>
      <c r="U50" s="15">
        <v>75.36</v>
      </c>
      <c r="V50" s="15">
        <v>1.35</v>
      </c>
      <c r="W50" s="15">
        <v>13.06</v>
      </c>
      <c r="X50" s="15">
        <f>V50+W50</f>
        <v>14.41</v>
      </c>
      <c r="Y50" s="15">
        <v>89.9</v>
      </c>
      <c r="Z50" s="15"/>
      <c r="AA50" s="15">
        <v>1287.27</v>
      </c>
      <c r="AB50" s="15">
        <v>193.64</v>
      </c>
      <c r="AC50" s="15"/>
      <c r="AD50" s="15"/>
      <c r="AE50" s="15">
        <v>1.571</v>
      </c>
      <c r="AF50" s="137" t="s">
        <v>20</v>
      </c>
      <c r="AG50" s="17">
        <v>46033</v>
      </c>
      <c r="AH50" s="17">
        <v>46035</v>
      </c>
      <c r="AI50" s="17">
        <v>46036</v>
      </c>
      <c r="AJ50" s="17">
        <v>46043</v>
      </c>
      <c r="AK50" s="15" t="s">
        <v>701</v>
      </c>
      <c r="AL50" s="137" t="s">
        <v>20</v>
      </c>
      <c r="AM50" s="25" t="s">
        <v>6</v>
      </c>
      <c r="AN50" s="131"/>
      <c r="AO50" s="131"/>
      <c r="AP50" s="19"/>
      <c r="AQ50" s="137" t="s">
        <v>20</v>
      </c>
      <c r="AR50" s="17">
        <v>46054</v>
      </c>
      <c r="AS50" s="17">
        <v>46056</v>
      </c>
      <c r="AT50" s="15" t="s">
        <v>694</v>
      </c>
      <c r="AU50" s="17"/>
      <c r="AV50" s="137" t="s">
        <v>20</v>
      </c>
      <c r="AW50" s="17"/>
      <c r="AX50" s="17"/>
      <c r="AY50" s="17"/>
      <c r="AZ50" s="15"/>
      <c r="BA50" s="15"/>
    </row>
    <row r="51" spans="1:53" customFormat="1" ht="14.25" customHeight="1">
      <c r="A51" s="15"/>
      <c r="B51" s="507"/>
      <c r="C51" s="507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6">
        <v>170</v>
      </c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24"/>
      <c r="AH51" s="24"/>
      <c r="AI51" s="24"/>
      <c r="AJ51" s="24"/>
      <c r="AK51" s="24"/>
      <c r="AL51" s="24"/>
      <c r="AM51" s="25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</row>
    <row r="52" spans="1:53" ht="14.25" customHeight="1">
      <c r="A52" s="15">
        <f t="shared" ref="A52" si="17">A50+1</f>
        <v>21</v>
      </c>
      <c r="B52" s="524" t="s">
        <v>320</v>
      </c>
      <c r="C52" s="507" t="s">
        <v>51</v>
      </c>
      <c r="D52" s="172">
        <v>7.6219999999999999</v>
      </c>
      <c r="E52" s="172">
        <f>D52*4</f>
        <v>30.488</v>
      </c>
      <c r="F52" s="172">
        <f>E52*8</f>
        <v>243.904</v>
      </c>
      <c r="G52" s="15">
        <f>1.267+1.845+0.234</f>
        <v>3.3460000000000001</v>
      </c>
      <c r="H52" s="15">
        <f>1.137+0.646+0.273</f>
        <v>2.056</v>
      </c>
      <c r="I52" s="15">
        <f>0.182+0.091+0.032</f>
        <v>0.30500000000000005</v>
      </c>
      <c r="J52" s="15">
        <f>SUM(G52:I52)</f>
        <v>5.7069999999999999</v>
      </c>
      <c r="K52" s="15">
        <v>0.27100000000000002</v>
      </c>
      <c r="L52" s="15"/>
      <c r="M52" s="15">
        <v>7.0000000000000001E-3</v>
      </c>
      <c r="N52" s="15">
        <f>M52+K52</f>
        <v>0.27800000000000002</v>
      </c>
      <c r="O52" s="15"/>
      <c r="P52" s="15"/>
      <c r="Q52" s="15"/>
      <c r="R52" s="15"/>
      <c r="S52" s="16"/>
      <c r="T52" s="15" t="s">
        <v>537</v>
      </c>
      <c r="U52" s="15">
        <v>41.44</v>
      </c>
      <c r="V52" s="15">
        <v>0.8</v>
      </c>
      <c r="W52" s="15">
        <v>7.73</v>
      </c>
      <c r="X52" s="15">
        <f>W52+V52</f>
        <v>8.5300000000000011</v>
      </c>
      <c r="Y52" s="15">
        <v>73.75</v>
      </c>
      <c r="Z52" s="15">
        <v>235.38</v>
      </c>
      <c r="AA52" s="15"/>
      <c r="AB52" s="15">
        <v>201.4</v>
      </c>
      <c r="AC52" s="15"/>
      <c r="AD52" s="15"/>
      <c r="AE52" s="15">
        <v>0.51</v>
      </c>
      <c r="AF52" s="137" t="s">
        <v>20</v>
      </c>
      <c r="AG52" s="17">
        <v>46036</v>
      </c>
      <c r="AH52" s="17">
        <v>46038</v>
      </c>
      <c r="AI52" s="17">
        <v>46040</v>
      </c>
      <c r="AJ52" s="17">
        <v>46043</v>
      </c>
      <c r="AK52" s="15" t="s">
        <v>701</v>
      </c>
      <c r="AL52" s="137" t="s">
        <v>20</v>
      </c>
      <c r="AM52" s="25" t="s">
        <v>6</v>
      </c>
      <c r="AN52" s="131"/>
      <c r="AO52" s="131"/>
      <c r="AP52" s="19"/>
      <c r="AQ52" s="137" t="s">
        <v>20</v>
      </c>
      <c r="AR52" s="17">
        <v>46057</v>
      </c>
      <c r="AS52" s="17">
        <v>46059</v>
      </c>
      <c r="AT52" s="15" t="s">
        <v>694</v>
      </c>
      <c r="AU52" s="17"/>
      <c r="AV52" s="137" t="s">
        <v>20</v>
      </c>
      <c r="AW52" s="17"/>
      <c r="AX52" s="17"/>
      <c r="AY52" s="17"/>
      <c r="AZ52" s="15"/>
      <c r="BA52" s="15"/>
    </row>
    <row r="53" spans="1:53" customFormat="1" ht="14.25" customHeight="1">
      <c r="A53" s="15"/>
      <c r="B53" s="507"/>
      <c r="C53" s="507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6">
        <v>312</v>
      </c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24"/>
      <c r="AH53" s="24"/>
      <c r="AI53" s="24"/>
      <c r="AJ53" s="24"/>
      <c r="AK53" s="24"/>
      <c r="AL53" s="24"/>
      <c r="AM53" s="25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</row>
    <row r="54" spans="1:53" ht="14.25" customHeight="1">
      <c r="A54" s="15">
        <f t="shared" ref="A54" si="18">A52+1</f>
        <v>22</v>
      </c>
      <c r="B54" s="15" t="s">
        <v>322</v>
      </c>
      <c r="C54" s="15" t="s">
        <v>62</v>
      </c>
      <c r="D54" s="172">
        <v>11.987</v>
      </c>
      <c r="E54" s="172">
        <f>D54*4</f>
        <v>47.948</v>
      </c>
      <c r="F54" s="172">
        <f>E54*8</f>
        <v>383.584</v>
      </c>
      <c r="G54" s="15">
        <f>4.906+4.424+0.596</f>
        <v>9.9260000000000002</v>
      </c>
      <c r="H54" s="15">
        <f>0.066+1.053+0.272</f>
        <v>1.391</v>
      </c>
      <c r="I54" s="15">
        <f>0.274+0.181+0.043</f>
        <v>0.498</v>
      </c>
      <c r="J54" s="15">
        <f>SUM(G54:I54)</f>
        <v>11.815</v>
      </c>
      <c r="K54" s="15">
        <v>0.53200000000000003</v>
      </c>
      <c r="L54" s="15"/>
      <c r="M54" s="15">
        <v>1.0999999999999999E-2</v>
      </c>
      <c r="N54" s="15">
        <f>K54+M54</f>
        <v>0.54300000000000004</v>
      </c>
      <c r="O54" s="15">
        <v>3</v>
      </c>
      <c r="P54" s="15">
        <v>3</v>
      </c>
      <c r="Q54" s="15">
        <v>3</v>
      </c>
      <c r="R54" s="15">
        <v>3</v>
      </c>
      <c r="S54" s="16"/>
      <c r="T54" s="15" t="s">
        <v>502</v>
      </c>
      <c r="U54" s="15">
        <v>230.76</v>
      </c>
      <c r="V54" s="15">
        <v>3.77</v>
      </c>
      <c r="W54" s="15">
        <v>38.65</v>
      </c>
      <c r="X54" s="15">
        <f>W54+V54</f>
        <v>42.42</v>
      </c>
      <c r="Y54" s="15">
        <v>184.2</v>
      </c>
      <c r="Z54" s="15">
        <v>1264.5899999999999</v>
      </c>
      <c r="AA54" s="15"/>
      <c r="AB54" s="15"/>
      <c r="AC54" s="15">
        <v>832.39</v>
      </c>
      <c r="AD54" s="15"/>
      <c r="AE54" s="15">
        <v>2.2810000000000001</v>
      </c>
      <c r="AF54" s="137" t="s">
        <v>20</v>
      </c>
      <c r="AG54" s="17">
        <v>45988</v>
      </c>
      <c r="AH54" s="17">
        <v>45992</v>
      </c>
      <c r="AI54" s="17">
        <v>45996</v>
      </c>
      <c r="AJ54" s="17">
        <v>46004</v>
      </c>
      <c r="AK54" s="283" t="s">
        <v>681</v>
      </c>
      <c r="AL54" s="137" t="s">
        <v>20</v>
      </c>
      <c r="AM54" s="25" t="s">
        <v>6</v>
      </c>
      <c r="AN54" s="24"/>
      <c r="AO54" s="24"/>
      <c r="AP54" s="24"/>
      <c r="AQ54" s="137" t="s">
        <v>20</v>
      </c>
      <c r="AR54" s="17" t="s">
        <v>691</v>
      </c>
      <c r="AS54" s="17" t="s">
        <v>692</v>
      </c>
      <c r="AT54" s="15" t="s">
        <v>694</v>
      </c>
      <c r="AU54" s="17"/>
      <c r="AV54" s="137" t="s">
        <v>20</v>
      </c>
      <c r="AW54" s="17"/>
      <c r="AX54" s="17"/>
      <c r="AY54" s="17"/>
      <c r="AZ54" s="15"/>
      <c r="BA54" s="15"/>
    </row>
    <row r="55" spans="1:53" customFormat="1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6">
        <v>215.13</v>
      </c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24"/>
      <c r="AH55" s="24"/>
      <c r="AI55" s="24"/>
      <c r="AJ55" s="24"/>
      <c r="AK55" s="24"/>
      <c r="AL55" s="24"/>
      <c r="AM55" s="25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</row>
    <row r="56" spans="1:53" ht="14.1" customHeight="1">
      <c r="A56" s="15">
        <f t="shared" ref="A56" si="19">A54+1</f>
        <v>23</v>
      </c>
      <c r="B56" s="15" t="s">
        <v>324</v>
      </c>
      <c r="C56" s="15" t="s">
        <v>62</v>
      </c>
      <c r="D56" s="172">
        <v>11.987</v>
      </c>
      <c r="E56" s="172">
        <f>D56*4</f>
        <v>47.948</v>
      </c>
      <c r="F56" s="172">
        <f>E56*8</f>
        <v>383.584</v>
      </c>
      <c r="G56" s="15">
        <f>4.906+4.424+0.596</f>
        <v>9.9260000000000002</v>
      </c>
      <c r="H56" s="15">
        <f>0.066+1.053+0.272</f>
        <v>1.391</v>
      </c>
      <c r="I56" s="15">
        <f>0.274+0.181+0.043</f>
        <v>0.498</v>
      </c>
      <c r="J56" s="15">
        <f>SUM(G56:I56)</f>
        <v>11.815</v>
      </c>
      <c r="K56" s="15">
        <v>0.53200000000000003</v>
      </c>
      <c r="L56" s="15"/>
      <c r="M56" s="15">
        <v>1.0999999999999999E-2</v>
      </c>
      <c r="N56" s="15">
        <f>K56+M56</f>
        <v>0.54300000000000004</v>
      </c>
      <c r="O56" s="15">
        <v>3</v>
      </c>
      <c r="P56" s="15">
        <v>3</v>
      </c>
      <c r="Q56" s="15">
        <v>3</v>
      </c>
      <c r="R56" s="15">
        <v>3</v>
      </c>
      <c r="S56" s="16"/>
      <c r="T56" s="15" t="s">
        <v>537</v>
      </c>
      <c r="U56" s="15">
        <v>230.76</v>
      </c>
      <c r="V56" s="15">
        <v>3.77</v>
      </c>
      <c r="W56" s="15">
        <v>38.65</v>
      </c>
      <c r="X56" s="15">
        <f>W56+V56</f>
        <v>42.42</v>
      </c>
      <c r="Y56" s="15">
        <v>184.2</v>
      </c>
      <c r="Z56" s="15">
        <v>1264.5899999999999</v>
      </c>
      <c r="AA56" s="15"/>
      <c r="AB56" s="15"/>
      <c r="AC56" s="15">
        <v>832.39</v>
      </c>
      <c r="AD56" s="15"/>
      <c r="AE56" s="15">
        <v>2.2810000000000001</v>
      </c>
      <c r="AF56" s="137" t="s">
        <v>20</v>
      </c>
      <c r="AG56" s="17">
        <v>45998</v>
      </c>
      <c r="AH56" s="17">
        <v>46001</v>
      </c>
      <c r="AI56" s="17">
        <v>46003</v>
      </c>
      <c r="AJ56" s="17">
        <v>46007</v>
      </c>
      <c r="AK56" s="283" t="s">
        <v>681</v>
      </c>
      <c r="AL56" s="137" t="s">
        <v>20</v>
      </c>
      <c r="AM56" s="25" t="s">
        <v>6</v>
      </c>
      <c r="AN56" s="131"/>
      <c r="AO56" s="131"/>
      <c r="AP56" s="19"/>
      <c r="AQ56" s="137" t="s">
        <v>20</v>
      </c>
      <c r="AR56" s="17">
        <v>46033</v>
      </c>
      <c r="AS56" s="17">
        <v>46039</v>
      </c>
      <c r="AT56" s="15" t="s">
        <v>694</v>
      </c>
      <c r="AU56" s="17"/>
      <c r="AV56" s="137" t="s">
        <v>20</v>
      </c>
      <c r="AW56" s="17"/>
      <c r="AX56" s="17"/>
      <c r="AY56" s="17"/>
      <c r="AZ56" s="15"/>
      <c r="BA56" s="15"/>
    </row>
    <row r="57" spans="1:53" customFormat="1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6">
        <v>316.14999999999998</v>
      </c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24"/>
      <c r="AH57" s="24"/>
      <c r="AI57" s="24"/>
      <c r="AJ57" s="24"/>
      <c r="AK57" s="24"/>
      <c r="AL57" s="24"/>
      <c r="AM57" s="25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</row>
    <row r="58" spans="1:53" ht="14.25" customHeight="1">
      <c r="A58" s="15">
        <f t="shared" ref="A58" si="20">A56+1</f>
        <v>24</v>
      </c>
      <c r="B58" s="15" t="s">
        <v>326</v>
      </c>
      <c r="C58" s="15" t="s">
        <v>34</v>
      </c>
      <c r="D58" s="172">
        <v>9.6539999999999999</v>
      </c>
      <c r="E58" s="172">
        <f>D58*4</f>
        <v>38.616</v>
      </c>
      <c r="F58" s="172">
        <f>E58*8</f>
        <v>308.928</v>
      </c>
      <c r="G58" s="15">
        <f>4.906+1.456+0.596</f>
        <v>6.9580000000000002</v>
      </c>
      <c r="H58" s="15">
        <f>0.066+0.717+0.272</f>
        <v>1.0549999999999999</v>
      </c>
      <c r="I58" s="15">
        <f>0.274+0.083+0.043</f>
        <v>0.4</v>
      </c>
      <c r="J58" s="15">
        <f>SUM(G58:I58)</f>
        <v>8.4130000000000003</v>
      </c>
      <c r="K58" s="15">
        <v>0.53200000000000003</v>
      </c>
      <c r="L58" s="15"/>
      <c r="M58" s="15">
        <v>1.0999999999999999E-2</v>
      </c>
      <c r="N58" s="15">
        <f>K58+M58</f>
        <v>0.54300000000000004</v>
      </c>
      <c r="O58" s="15"/>
      <c r="P58" s="15"/>
      <c r="Q58" s="15"/>
      <c r="R58" s="15"/>
      <c r="S58" s="16"/>
      <c r="T58" s="15" t="s">
        <v>537</v>
      </c>
      <c r="U58" s="15">
        <v>75.36</v>
      </c>
      <c r="V58" s="15">
        <v>1.35</v>
      </c>
      <c r="W58" s="15">
        <v>13.06</v>
      </c>
      <c r="X58" s="15">
        <f>V58+W58</f>
        <v>14.41</v>
      </c>
      <c r="Y58" s="15">
        <v>70.930000000000007</v>
      </c>
      <c r="Z58" s="15">
        <v>900.95</v>
      </c>
      <c r="AA58" s="15"/>
      <c r="AB58" s="15">
        <v>96.82</v>
      </c>
      <c r="AC58" s="15">
        <v>151.27000000000001</v>
      </c>
      <c r="AD58" s="15"/>
      <c r="AE58" s="15">
        <v>1.22</v>
      </c>
      <c r="AF58" s="137" t="s">
        <v>20</v>
      </c>
      <c r="AG58" s="17">
        <v>45992</v>
      </c>
      <c r="AH58" s="17">
        <v>46001</v>
      </c>
      <c r="AI58" s="17">
        <v>46007</v>
      </c>
      <c r="AJ58" s="17">
        <v>46008</v>
      </c>
      <c r="AK58" s="283" t="s">
        <v>681</v>
      </c>
      <c r="AL58" s="137" t="s">
        <v>20</v>
      </c>
      <c r="AM58" s="25" t="s">
        <v>6</v>
      </c>
      <c r="AN58" s="131"/>
      <c r="AO58" s="131"/>
      <c r="AP58" s="19"/>
      <c r="AQ58" s="137" t="s">
        <v>20</v>
      </c>
      <c r="AR58" s="17">
        <v>46028</v>
      </c>
      <c r="AS58" s="17">
        <v>46029</v>
      </c>
      <c r="AT58" s="15" t="s">
        <v>694</v>
      </c>
      <c r="AU58" s="17"/>
      <c r="AV58" s="137" t="s">
        <v>20</v>
      </c>
      <c r="AW58" s="17"/>
      <c r="AX58" s="17"/>
      <c r="AY58" s="17"/>
      <c r="AZ58" s="15"/>
      <c r="BA58" s="15"/>
    </row>
    <row r="59" spans="1:53" customFormat="1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6">
        <v>267</v>
      </c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24"/>
      <c r="AH59" s="24"/>
      <c r="AI59" s="24"/>
      <c r="AJ59" s="24"/>
      <c r="AK59" s="24"/>
      <c r="AL59" s="24"/>
      <c r="AM59" s="25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</row>
    <row r="60" spans="1:53" ht="14.25" customHeight="1">
      <c r="A60" s="15">
        <f t="shared" ref="A60" si="21">A58+1</f>
        <v>25</v>
      </c>
      <c r="B60" s="525" t="s">
        <v>328</v>
      </c>
      <c r="C60" s="15" t="s">
        <v>37</v>
      </c>
      <c r="D60" s="172">
        <v>6.992</v>
      </c>
      <c r="E60" s="172">
        <f>D60*4</f>
        <v>27.968</v>
      </c>
      <c r="F60" s="172">
        <f>E60*8</f>
        <v>223.744</v>
      </c>
      <c r="G60" s="15">
        <f>1.267+0.234+1.276</f>
        <v>2.7770000000000001</v>
      </c>
      <c r="H60" s="15">
        <f>1.137+0.487+0.273</f>
        <v>1.8970000000000002</v>
      </c>
      <c r="I60" s="15">
        <f>0.182+0.074+0.032</f>
        <v>0.28800000000000003</v>
      </c>
      <c r="J60" s="15">
        <f>SUM(G60:I60)</f>
        <v>4.9620000000000006</v>
      </c>
      <c r="K60" s="15">
        <v>0.27100000000000002</v>
      </c>
      <c r="L60" s="15"/>
      <c r="M60" s="15">
        <v>7.0000000000000001E-3</v>
      </c>
      <c r="N60" s="15">
        <f>M60+K60</f>
        <v>0.27800000000000002</v>
      </c>
      <c r="O60" s="135"/>
      <c r="P60" s="135"/>
      <c r="Q60" s="135"/>
      <c r="R60" s="135"/>
      <c r="S60" s="16"/>
      <c r="T60" s="15" t="s">
        <v>537</v>
      </c>
      <c r="U60" s="15">
        <v>41.44</v>
      </c>
      <c r="V60" s="15">
        <v>0.8</v>
      </c>
      <c r="W60" s="15">
        <v>7.73</v>
      </c>
      <c r="X60" s="15">
        <f>W60+V60</f>
        <v>8.5300000000000011</v>
      </c>
      <c r="Y60" s="15">
        <v>73.75</v>
      </c>
      <c r="Z60" s="15">
        <v>564.37</v>
      </c>
      <c r="AA60" s="15"/>
      <c r="AB60" s="15">
        <v>201.4</v>
      </c>
      <c r="AC60" s="15"/>
      <c r="AD60" s="15"/>
      <c r="AE60" s="15">
        <v>0.84</v>
      </c>
      <c r="AF60" s="137" t="s">
        <v>20</v>
      </c>
      <c r="AG60" s="17">
        <v>46028</v>
      </c>
      <c r="AH60" s="17">
        <v>46029</v>
      </c>
      <c r="AI60" s="17">
        <v>46031</v>
      </c>
      <c r="AJ60" s="17">
        <v>46032</v>
      </c>
      <c r="AK60" s="15" t="s">
        <v>701</v>
      </c>
      <c r="AL60" s="137" t="s">
        <v>20</v>
      </c>
      <c r="AM60" s="25" t="s">
        <v>6</v>
      </c>
      <c r="AN60" s="131"/>
      <c r="AO60" s="131"/>
      <c r="AP60" s="24"/>
      <c r="AQ60" s="137" t="s">
        <v>20</v>
      </c>
      <c r="AR60" s="17">
        <v>46052</v>
      </c>
      <c r="AS60" s="17">
        <v>46053</v>
      </c>
      <c r="AT60" s="15" t="s">
        <v>694</v>
      </c>
      <c r="AU60" s="15"/>
      <c r="AV60" s="137" t="s">
        <v>20</v>
      </c>
      <c r="AW60" s="17"/>
      <c r="AX60" s="17"/>
      <c r="AY60" s="17"/>
      <c r="AZ60" s="15"/>
      <c r="BA60" s="15"/>
    </row>
    <row r="61" spans="1:53" customFormat="1" ht="14.1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6">
        <v>267.185</v>
      </c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24"/>
      <c r="AH61" s="24"/>
      <c r="AI61" s="24"/>
      <c r="AJ61" s="24"/>
      <c r="AK61" s="24"/>
      <c r="AL61" s="24"/>
      <c r="AM61" s="25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</row>
    <row r="62" spans="1:53" ht="12.95" customHeight="1">
      <c r="A62" s="15">
        <f t="shared" ref="A62" si="22">A60+1</f>
        <v>26</v>
      </c>
      <c r="B62" s="15" t="s">
        <v>329</v>
      </c>
      <c r="C62" s="15" t="s">
        <v>34</v>
      </c>
      <c r="D62" s="172">
        <v>9.6539999999999999</v>
      </c>
      <c r="E62" s="172">
        <f>D62*4</f>
        <v>38.616</v>
      </c>
      <c r="F62" s="172">
        <f>E62*8</f>
        <v>308.928</v>
      </c>
      <c r="G62" s="15">
        <f>4.906+1.456+0.596</f>
        <v>6.9580000000000002</v>
      </c>
      <c r="H62" s="15">
        <f>0.066+0.717+0.272</f>
        <v>1.0549999999999999</v>
      </c>
      <c r="I62" s="15">
        <f>0.274+0.083+0.043</f>
        <v>0.4</v>
      </c>
      <c r="J62" s="15">
        <f>SUM(G62:I62)</f>
        <v>8.4130000000000003</v>
      </c>
      <c r="K62" s="15">
        <v>0.53200000000000003</v>
      </c>
      <c r="L62" s="15"/>
      <c r="M62" s="15">
        <v>1.0999999999999999E-2</v>
      </c>
      <c r="N62" s="15">
        <f>K62+M62</f>
        <v>0.54300000000000004</v>
      </c>
      <c r="O62" s="15"/>
      <c r="P62" s="15"/>
      <c r="Q62" s="15"/>
      <c r="R62" s="15"/>
      <c r="S62" s="16"/>
      <c r="T62" s="15" t="s">
        <v>500</v>
      </c>
      <c r="U62" s="15">
        <v>75.36</v>
      </c>
      <c r="V62" s="15">
        <v>1.35</v>
      </c>
      <c r="W62" s="15">
        <v>13.06</v>
      </c>
      <c r="X62" s="15">
        <f>V62+W62</f>
        <v>14.41</v>
      </c>
      <c r="Y62" s="15">
        <v>70.930000000000007</v>
      </c>
      <c r="Z62" s="15">
        <v>900.95</v>
      </c>
      <c r="AA62" s="15"/>
      <c r="AB62" s="15">
        <v>96.82</v>
      </c>
      <c r="AC62" s="15">
        <v>151.27000000000001</v>
      </c>
      <c r="AD62" s="15"/>
      <c r="AE62" s="15">
        <v>1.22</v>
      </c>
      <c r="AF62" s="137" t="s">
        <v>20</v>
      </c>
      <c r="AG62" s="17">
        <v>46010</v>
      </c>
      <c r="AH62" s="17">
        <v>46013</v>
      </c>
      <c r="AI62" s="17">
        <v>46015</v>
      </c>
      <c r="AJ62" s="17">
        <v>46016</v>
      </c>
      <c r="AK62" s="283" t="s">
        <v>681</v>
      </c>
      <c r="AL62" s="137" t="s">
        <v>20</v>
      </c>
      <c r="AM62" s="25" t="s">
        <v>6</v>
      </c>
      <c r="AN62" s="131"/>
      <c r="AO62" s="131"/>
      <c r="AP62" s="24"/>
      <c r="AQ62" s="137" t="s">
        <v>20</v>
      </c>
      <c r="AR62" s="17">
        <v>46025</v>
      </c>
      <c r="AS62" s="17">
        <v>46027</v>
      </c>
      <c r="AT62" s="15" t="s">
        <v>694</v>
      </c>
      <c r="AU62" s="17"/>
      <c r="AV62" s="137" t="s">
        <v>20</v>
      </c>
      <c r="AW62" s="15"/>
      <c r="AX62" s="15"/>
      <c r="AY62" s="15"/>
      <c r="AZ62" s="15"/>
      <c r="BA62" s="15"/>
    </row>
    <row r="63" spans="1:53" customFormat="1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6">
        <v>87.412000000000006</v>
      </c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24"/>
      <c r="AH63" s="24"/>
      <c r="AI63" s="24"/>
      <c r="AJ63" s="24"/>
      <c r="AK63" s="24"/>
      <c r="AL63" s="24"/>
      <c r="AM63" s="25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</row>
    <row r="64" spans="1:53" ht="14.25" customHeight="1">
      <c r="A64" s="15">
        <f t="shared" ref="A64" si="23">A62+1</f>
        <v>27</v>
      </c>
      <c r="B64" s="132" t="s">
        <v>167</v>
      </c>
      <c r="C64" s="15" t="s">
        <v>501</v>
      </c>
      <c r="D64" s="15"/>
      <c r="E64" s="15"/>
      <c r="F64" s="15">
        <v>54</v>
      </c>
      <c r="G64" s="15"/>
      <c r="H64" s="15">
        <v>4.1059999999999999</v>
      </c>
      <c r="I64" s="15">
        <v>0.23</v>
      </c>
      <c r="J64" s="15">
        <f>SUM(G64:I64)</f>
        <v>4.3360000000000003</v>
      </c>
      <c r="K64" s="15"/>
      <c r="L64" s="15">
        <f>0.12+0.219</f>
        <v>0.33899999999999997</v>
      </c>
      <c r="M64" s="15">
        <f>0.003+0.003</f>
        <v>6.0000000000000001E-3</v>
      </c>
      <c r="N64" s="15">
        <f>SUM(K64:M64)</f>
        <v>0.34499999999999997</v>
      </c>
      <c r="O64" s="15"/>
      <c r="P64" s="15"/>
      <c r="Q64" s="15"/>
      <c r="R64" s="15"/>
      <c r="S64" s="16"/>
      <c r="T64" s="15" t="s">
        <v>537</v>
      </c>
      <c r="U64" s="15">
        <v>315</v>
      </c>
      <c r="V64" s="15">
        <v>4.0999999999999996</v>
      </c>
      <c r="W64" s="15">
        <v>42</v>
      </c>
      <c r="X64" s="15">
        <f>W64+V64</f>
        <v>46.1</v>
      </c>
      <c r="Y64" s="15"/>
      <c r="Z64" s="15"/>
      <c r="AA64" s="15"/>
      <c r="AB64" s="15"/>
      <c r="AC64" s="15"/>
      <c r="AD64" s="15"/>
      <c r="AE64" s="15">
        <v>3.95</v>
      </c>
      <c r="AF64" s="137" t="s">
        <v>20</v>
      </c>
      <c r="AG64" s="17">
        <v>46016</v>
      </c>
      <c r="AH64" s="17">
        <v>46020</v>
      </c>
      <c r="AI64" s="17">
        <v>46032</v>
      </c>
      <c r="AJ64" s="17">
        <v>46036</v>
      </c>
      <c r="AK64" s="283" t="s">
        <v>681</v>
      </c>
      <c r="AL64" s="137" t="s">
        <v>20</v>
      </c>
      <c r="AM64" s="25" t="s">
        <v>6</v>
      </c>
      <c r="AN64" s="131"/>
      <c r="AO64" s="131"/>
      <c r="AP64" s="24"/>
      <c r="AQ64" s="137" t="s">
        <v>20</v>
      </c>
      <c r="AR64" s="17">
        <v>46050</v>
      </c>
      <c r="AS64" s="17">
        <v>46051</v>
      </c>
      <c r="AT64" s="15" t="s">
        <v>694</v>
      </c>
      <c r="AU64" s="15"/>
      <c r="AV64" s="137" t="s">
        <v>20</v>
      </c>
      <c r="AW64" s="15"/>
      <c r="AX64" s="15"/>
      <c r="AY64" s="15"/>
      <c r="AZ64" s="15"/>
      <c r="BA64" s="15"/>
    </row>
    <row r="65" spans="1:53" customFormat="1" ht="14.1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6">
        <v>66.460999999999999</v>
      </c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24"/>
      <c r="AH65" s="24"/>
      <c r="AI65" s="24"/>
      <c r="AJ65" s="24"/>
      <c r="AK65" s="24"/>
      <c r="AL65" s="24"/>
      <c r="AM65" s="25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</row>
    <row r="66" spans="1:53" ht="14.25" customHeight="1">
      <c r="A66" s="15">
        <f t="shared" ref="A66" si="24">A64+1</f>
        <v>28</v>
      </c>
      <c r="B66" s="132" t="s">
        <v>331</v>
      </c>
      <c r="C66" s="15" t="s">
        <v>501</v>
      </c>
      <c r="D66" s="15"/>
      <c r="E66" s="15"/>
      <c r="F66" s="15">
        <v>54</v>
      </c>
      <c r="G66" s="15"/>
      <c r="H66" s="15">
        <v>4.1059999999999999</v>
      </c>
      <c r="I66" s="15">
        <v>0.23</v>
      </c>
      <c r="J66" s="15">
        <f>SUM(G66:I66)</f>
        <v>4.3360000000000003</v>
      </c>
      <c r="K66" s="15"/>
      <c r="L66" s="15">
        <f>0.12+0.219</f>
        <v>0.33899999999999997</v>
      </c>
      <c r="M66" s="15">
        <f>0.003+0.003</f>
        <v>6.0000000000000001E-3</v>
      </c>
      <c r="N66" s="15">
        <f>SUM(K66:M66)</f>
        <v>0.34499999999999997</v>
      </c>
      <c r="O66" s="15"/>
      <c r="P66" s="15"/>
      <c r="Q66" s="15"/>
      <c r="R66" s="15"/>
      <c r="S66" s="16"/>
      <c r="T66" s="15" t="s">
        <v>537</v>
      </c>
      <c r="U66" s="15">
        <v>315</v>
      </c>
      <c r="V66" s="15">
        <v>4.0999999999999996</v>
      </c>
      <c r="W66" s="15">
        <v>42</v>
      </c>
      <c r="X66" s="15">
        <f>W66+V66</f>
        <v>46.1</v>
      </c>
      <c r="Y66" s="15"/>
      <c r="Z66" s="15"/>
      <c r="AA66" s="15"/>
      <c r="AB66" s="15"/>
      <c r="AC66" s="15"/>
      <c r="AD66" s="15"/>
      <c r="AE66" s="15">
        <v>3.95</v>
      </c>
      <c r="AF66" s="137" t="s">
        <v>20</v>
      </c>
      <c r="AG66" s="17">
        <v>46020</v>
      </c>
      <c r="AH66" s="17">
        <v>46024</v>
      </c>
      <c r="AI66" s="17">
        <v>46025</v>
      </c>
      <c r="AJ66" s="17">
        <v>46032</v>
      </c>
      <c r="AK66" s="15" t="s">
        <v>690</v>
      </c>
      <c r="AL66" s="137" t="s">
        <v>20</v>
      </c>
      <c r="AM66" s="25" t="s">
        <v>6</v>
      </c>
      <c r="AN66" s="131"/>
      <c r="AO66" s="131"/>
      <c r="AP66" s="24"/>
      <c r="AQ66" s="137" t="s">
        <v>20</v>
      </c>
      <c r="AR66" s="17">
        <v>46046</v>
      </c>
      <c r="AS66" s="17">
        <v>46049</v>
      </c>
      <c r="AT66" s="15" t="s">
        <v>694</v>
      </c>
      <c r="AU66" s="17"/>
      <c r="AV66" s="137" t="s">
        <v>20</v>
      </c>
      <c r="AW66" s="17"/>
      <c r="AX66" s="17"/>
      <c r="AY66" s="17"/>
      <c r="AZ66" s="15"/>
      <c r="BA66" s="15"/>
    </row>
    <row r="67" spans="1:53" customFormat="1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6">
        <v>56.381</v>
      </c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24"/>
      <c r="AH67" s="24"/>
      <c r="AI67" s="24"/>
      <c r="AJ67" s="24"/>
      <c r="AK67" s="24"/>
      <c r="AL67" s="24"/>
      <c r="AM67" s="25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</row>
    <row r="68" spans="1:53" ht="14.25" customHeight="1">
      <c r="A68" s="15">
        <f t="shared" ref="A68" si="25">A66+1</f>
        <v>29</v>
      </c>
      <c r="B68" s="15" t="s">
        <v>332</v>
      </c>
      <c r="C68" s="15" t="s">
        <v>62</v>
      </c>
      <c r="D68" s="172">
        <v>11.987</v>
      </c>
      <c r="E68" s="172">
        <f>D68*4</f>
        <v>47.948</v>
      </c>
      <c r="F68" s="172">
        <f>E68*8</f>
        <v>383.584</v>
      </c>
      <c r="G68" s="15">
        <f>4.906+4.424+0.596</f>
        <v>9.9260000000000002</v>
      </c>
      <c r="H68" s="15">
        <f>0.066+1.053+0.272</f>
        <v>1.391</v>
      </c>
      <c r="I68" s="15">
        <f>0.274+0.181+0.043</f>
        <v>0.498</v>
      </c>
      <c r="J68" s="15">
        <f>SUM(G68:I68)</f>
        <v>11.815</v>
      </c>
      <c r="K68" s="15">
        <v>0.53200000000000003</v>
      </c>
      <c r="L68" s="15"/>
      <c r="M68" s="15">
        <v>1.0999999999999999E-2</v>
      </c>
      <c r="N68" s="15">
        <f>K68+M68</f>
        <v>0.54300000000000004</v>
      </c>
      <c r="O68" s="15"/>
      <c r="P68" s="15"/>
      <c r="Q68" s="15"/>
      <c r="R68" s="15"/>
      <c r="S68" s="16"/>
      <c r="T68" s="15" t="s">
        <v>500</v>
      </c>
      <c r="U68" s="15">
        <v>75.36</v>
      </c>
      <c r="V68" s="15">
        <v>1.35</v>
      </c>
      <c r="W68" s="15">
        <v>13.06</v>
      </c>
      <c r="X68" s="15">
        <f>V68+W68</f>
        <v>14.41</v>
      </c>
      <c r="Y68" s="15">
        <v>70.930000000000007</v>
      </c>
      <c r="Z68" s="15">
        <v>900.95</v>
      </c>
      <c r="AA68" s="15"/>
      <c r="AB68" s="15">
        <v>96.82</v>
      </c>
      <c r="AC68" s="15">
        <v>151.27000000000001</v>
      </c>
      <c r="AD68" s="15"/>
      <c r="AE68" s="15">
        <v>1.22</v>
      </c>
      <c r="AF68" s="137" t="s">
        <v>20</v>
      </c>
      <c r="AG68" s="17">
        <v>46013</v>
      </c>
      <c r="AH68" s="17">
        <v>46015</v>
      </c>
      <c r="AI68" s="17">
        <v>46018</v>
      </c>
      <c r="AJ68" s="17">
        <v>46019</v>
      </c>
      <c r="AK68" s="15" t="s">
        <v>690</v>
      </c>
      <c r="AL68" s="137" t="s">
        <v>20</v>
      </c>
      <c r="AM68" s="25" t="s">
        <v>6</v>
      </c>
      <c r="AN68" s="131"/>
      <c r="AO68" s="131"/>
      <c r="AP68" s="24"/>
      <c r="AQ68" s="137" t="s">
        <v>20</v>
      </c>
      <c r="AR68" s="17">
        <v>46030</v>
      </c>
      <c r="AS68" s="17">
        <v>46032</v>
      </c>
      <c r="AT68" s="15" t="s">
        <v>694</v>
      </c>
      <c r="AU68" s="17"/>
      <c r="AV68" s="137" t="s">
        <v>20</v>
      </c>
      <c r="AW68" s="15"/>
      <c r="AX68" s="15"/>
      <c r="AY68" s="15"/>
      <c r="AZ68" s="15"/>
      <c r="BA68" s="15"/>
    </row>
    <row r="69" spans="1:53" customFormat="1" ht="14.25" customHeight="1">
      <c r="A69" s="15"/>
      <c r="B69" s="15"/>
      <c r="C69" s="15"/>
      <c r="D69" s="136"/>
      <c r="E69" s="136"/>
      <c r="F69" s="136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6">
        <v>224.23099999999999</v>
      </c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24"/>
      <c r="AH69" s="24"/>
      <c r="AI69" s="24"/>
      <c r="AJ69" s="24"/>
      <c r="AK69" s="24"/>
      <c r="AL69" s="24"/>
      <c r="AM69" s="25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</row>
    <row r="70" spans="1:53" ht="14.25" customHeight="1">
      <c r="A70" s="15">
        <f t="shared" ref="A70" si="26">A68+1</f>
        <v>30</v>
      </c>
      <c r="B70" s="518" t="s">
        <v>334</v>
      </c>
      <c r="C70" s="15" t="s">
        <v>51</v>
      </c>
      <c r="D70" s="172">
        <v>10.82</v>
      </c>
      <c r="E70" s="172">
        <f>D70*4</f>
        <v>43.28</v>
      </c>
      <c r="F70" s="172">
        <f>E70*8</f>
        <v>346.24</v>
      </c>
      <c r="G70" s="15">
        <f>4.906+2.484+0.596</f>
        <v>7.9859999999999998</v>
      </c>
      <c r="H70" s="15">
        <f>0.066+1.044+0.272</f>
        <v>1.3820000000000001</v>
      </c>
      <c r="I70" s="15">
        <f>0.274+0.132+0.043</f>
        <v>0.44900000000000001</v>
      </c>
      <c r="J70" s="15">
        <f>SUM(G70:I70)</f>
        <v>9.8170000000000002</v>
      </c>
      <c r="K70" s="15">
        <v>0.53200000000000003</v>
      </c>
      <c r="L70" s="15"/>
      <c r="M70" s="15">
        <v>1.0999999999999999E-2</v>
      </c>
      <c r="N70" s="15">
        <f>K70+M70</f>
        <v>0.54300000000000004</v>
      </c>
      <c r="O70" s="15"/>
      <c r="P70" s="15"/>
      <c r="Q70" s="15"/>
      <c r="R70" s="15"/>
      <c r="S70" s="16"/>
      <c r="T70" s="15" t="s">
        <v>500</v>
      </c>
      <c r="U70" s="15">
        <v>75.36</v>
      </c>
      <c r="V70" s="15">
        <v>1.35</v>
      </c>
      <c r="W70" s="15">
        <v>13.06</v>
      </c>
      <c r="X70" s="15">
        <f>V70+W70</f>
        <v>14.41</v>
      </c>
      <c r="Y70" s="15">
        <v>70.930000000000007</v>
      </c>
      <c r="Z70" s="15">
        <v>900.95</v>
      </c>
      <c r="AA70" s="15"/>
      <c r="AB70" s="15">
        <v>96.82</v>
      </c>
      <c r="AC70" s="15">
        <v>151.27000000000001</v>
      </c>
      <c r="AD70" s="15"/>
      <c r="AE70" s="15">
        <v>1.22</v>
      </c>
      <c r="AF70" s="137" t="s">
        <v>20</v>
      </c>
      <c r="AG70" s="17">
        <v>46054</v>
      </c>
      <c r="AH70" s="17">
        <v>46056</v>
      </c>
      <c r="AI70" s="17">
        <v>46061</v>
      </c>
      <c r="AJ70" s="17">
        <v>46063</v>
      </c>
      <c r="AK70" s="15" t="s">
        <v>701</v>
      </c>
      <c r="AL70" s="137" t="s">
        <v>20</v>
      </c>
      <c r="AM70" s="15"/>
      <c r="AN70" s="131"/>
      <c r="AO70" s="131"/>
      <c r="AP70" s="24"/>
      <c r="AQ70" s="137" t="s">
        <v>20</v>
      </c>
      <c r="AR70" s="17">
        <v>46073</v>
      </c>
      <c r="AS70" s="17">
        <v>46077</v>
      </c>
      <c r="AT70" s="15" t="s">
        <v>694</v>
      </c>
      <c r="AU70" s="17"/>
      <c r="AV70" s="137" t="s">
        <v>20</v>
      </c>
      <c r="AW70" s="17"/>
      <c r="AX70" s="17"/>
      <c r="AY70" s="17"/>
      <c r="AZ70" s="15"/>
      <c r="BA70" s="15"/>
    </row>
    <row r="71" spans="1:53" customFormat="1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6">
        <v>276</v>
      </c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24"/>
      <c r="AH71" s="24"/>
      <c r="AI71" s="24"/>
      <c r="AJ71" s="24"/>
      <c r="AK71" s="24"/>
      <c r="AL71" s="24"/>
      <c r="AM71" s="25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</row>
    <row r="72" spans="1:53" ht="14.25" customHeight="1">
      <c r="A72" s="15">
        <f t="shared" ref="A72" si="27">A70+1</f>
        <v>31</v>
      </c>
      <c r="B72" s="525" t="s">
        <v>181</v>
      </c>
      <c r="C72" s="15" t="s">
        <v>42</v>
      </c>
      <c r="D72" s="172">
        <v>6.3620000000000001</v>
      </c>
      <c r="E72" s="172">
        <f>D72*4</f>
        <v>25.448</v>
      </c>
      <c r="F72" s="172">
        <f>E72*8</f>
        <v>203.584</v>
      </c>
      <c r="G72" s="15">
        <f>1.267+0.929+0.234</f>
        <v>2.4299999999999997</v>
      </c>
      <c r="H72" s="15">
        <f>1.137+0.231+0.273</f>
        <v>1.641</v>
      </c>
      <c r="I72" s="15">
        <f>0.182+0.054+0.032</f>
        <v>0.26800000000000002</v>
      </c>
      <c r="J72" s="15">
        <f>SUM(G72:I72)</f>
        <v>4.3389999999999995</v>
      </c>
      <c r="K72" s="15">
        <v>0.27100000000000002</v>
      </c>
      <c r="L72" s="15"/>
      <c r="M72" s="15">
        <v>7.0000000000000001E-3</v>
      </c>
      <c r="N72" s="15">
        <f>M72+K72</f>
        <v>0.27800000000000002</v>
      </c>
      <c r="O72" s="15"/>
      <c r="P72" s="15"/>
      <c r="Q72" s="15"/>
      <c r="R72" s="15"/>
      <c r="S72" s="16"/>
      <c r="T72" s="15" t="s">
        <v>537</v>
      </c>
      <c r="U72" s="15">
        <v>41.44</v>
      </c>
      <c r="V72" s="15">
        <v>0.8</v>
      </c>
      <c r="W72" s="15">
        <v>7.73</v>
      </c>
      <c r="X72" s="15">
        <f>W72+V72</f>
        <v>8.5300000000000011</v>
      </c>
      <c r="Y72" s="15">
        <v>73.75</v>
      </c>
      <c r="Z72" s="15">
        <v>564.37</v>
      </c>
      <c r="AA72" s="15"/>
      <c r="AB72" s="15">
        <v>201.4</v>
      </c>
      <c r="AC72" s="15"/>
      <c r="AD72" s="15"/>
      <c r="AE72" s="15">
        <v>0.84</v>
      </c>
      <c r="AF72" s="137" t="s">
        <v>20</v>
      </c>
      <c r="AG72" s="17">
        <v>46000</v>
      </c>
      <c r="AH72" s="17">
        <v>46004</v>
      </c>
      <c r="AI72" s="17">
        <v>46005</v>
      </c>
      <c r="AJ72" s="17">
        <v>46007</v>
      </c>
      <c r="AK72" s="15" t="s">
        <v>701</v>
      </c>
      <c r="AL72" s="137" t="s">
        <v>20</v>
      </c>
      <c r="AM72" s="25" t="s">
        <v>6</v>
      </c>
      <c r="AN72" s="131"/>
      <c r="AO72" s="131"/>
      <c r="AP72" s="24"/>
      <c r="AQ72" s="137" t="s">
        <v>20</v>
      </c>
      <c r="AR72" s="17" t="s">
        <v>693</v>
      </c>
      <c r="AS72" s="17">
        <v>46024</v>
      </c>
      <c r="AT72" s="15" t="s">
        <v>694</v>
      </c>
      <c r="AU72" s="17"/>
      <c r="AV72" s="137" t="s">
        <v>20</v>
      </c>
      <c r="AW72" s="17"/>
      <c r="AX72" s="17"/>
      <c r="AY72" s="17"/>
      <c r="AZ72" s="15"/>
      <c r="BA72" s="15"/>
    </row>
    <row r="73" spans="1:53" customFormat="1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6">
        <v>244</v>
      </c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24"/>
      <c r="AH73" s="24"/>
      <c r="AI73" s="24"/>
      <c r="AJ73" s="24"/>
      <c r="AK73" s="24"/>
      <c r="AL73" s="24"/>
      <c r="AM73" s="25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</row>
    <row r="74" spans="1:53" ht="14.25" customHeight="1">
      <c r="A74" s="15">
        <f t="shared" ref="A74" si="28">A72+1</f>
        <v>32</v>
      </c>
      <c r="B74" s="132" t="s">
        <v>182</v>
      </c>
      <c r="C74" s="15" t="s">
        <v>42</v>
      </c>
      <c r="D74" s="172">
        <v>6.3620000000000001</v>
      </c>
      <c r="E74" s="172">
        <f>D74*4</f>
        <v>25.448</v>
      </c>
      <c r="F74" s="172">
        <f>E74*8</f>
        <v>203.584</v>
      </c>
      <c r="G74" s="15">
        <f>1.267+0.929+0.234</f>
        <v>2.4299999999999997</v>
      </c>
      <c r="H74" s="15">
        <f>1.137+0.231+0.273</f>
        <v>1.641</v>
      </c>
      <c r="I74" s="15">
        <f>0.182+0.054+0.032</f>
        <v>0.26800000000000002</v>
      </c>
      <c r="J74" s="15">
        <f>SUM(G74:I74)</f>
        <v>4.3389999999999995</v>
      </c>
      <c r="K74" s="15">
        <v>0.27100000000000002</v>
      </c>
      <c r="L74" s="15"/>
      <c r="M74" s="15">
        <v>7.0000000000000001E-3</v>
      </c>
      <c r="N74" s="15">
        <f>M74+K74</f>
        <v>0.27800000000000002</v>
      </c>
      <c r="O74" s="15"/>
      <c r="P74" s="15"/>
      <c r="Q74" s="15"/>
      <c r="R74" s="15"/>
      <c r="S74" s="16"/>
      <c r="T74" s="15" t="s">
        <v>500</v>
      </c>
      <c r="U74" s="15">
        <v>41.44</v>
      </c>
      <c r="V74" s="15">
        <v>0.8</v>
      </c>
      <c r="W74" s="15">
        <v>7.73</v>
      </c>
      <c r="X74" s="15">
        <f>W74+V74</f>
        <v>8.5300000000000011</v>
      </c>
      <c r="Y74" s="15">
        <v>73.75</v>
      </c>
      <c r="Z74" s="15">
        <v>564.37</v>
      </c>
      <c r="AA74" s="15"/>
      <c r="AB74" s="15">
        <v>201.4</v>
      </c>
      <c r="AC74" s="15"/>
      <c r="AD74" s="15"/>
      <c r="AE74" s="15">
        <v>0.84</v>
      </c>
      <c r="AF74" s="137" t="s">
        <v>20</v>
      </c>
      <c r="AG74" s="17">
        <v>46004</v>
      </c>
      <c r="AH74" s="17" t="s">
        <v>684</v>
      </c>
      <c r="AI74" s="17">
        <v>46005</v>
      </c>
      <c r="AJ74" s="17">
        <v>46006</v>
      </c>
      <c r="AK74" s="283" t="s">
        <v>681</v>
      </c>
      <c r="AL74" s="137" t="s">
        <v>20</v>
      </c>
      <c r="AM74" s="25" t="s">
        <v>6</v>
      </c>
      <c r="AN74" s="131"/>
      <c r="AO74" s="131"/>
      <c r="AP74" s="24"/>
      <c r="AQ74" s="137" t="s">
        <v>20</v>
      </c>
      <c r="AR74" s="17">
        <v>46018</v>
      </c>
      <c r="AS74" s="17">
        <v>46018</v>
      </c>
      <c r="AT74" s="15" t="s">
        <v>694</v>
      </c>
      <c r="AU74" s="17"/>
      <c r="AV74" s="137" t="s">
        <v>20</v>
      </c>
      <c r="AW74" s="17"/>
      <c r="AX74" s="17"/>
      <c r="AY74" s="17"/>
      <c r="AZ74" s="15"/>
      <c r="BA74" s="15"/>
    </row>
    <row r="75" spans="1:53" customFormat="1" ht="14.2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6">
        <v>241</v>
      </c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24"/>
      <c r="AH75" s="24"/>
      <c r="AI75" s="24"/>
      <c r="AJ75" s="24"/>
      <c r="AK75" s="24"/>
      <c r="AL75" s="24"/>
      <c r="AM75" s="25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</row>
    <row r="76" spans="1:53" ht="14.25" customHeight="1">
      <c r="A76" s="15">
        <f t="shared" ref="A76" si="29">A74+1</f>
        <v>33</v>
      </c>
      <c r="B76" s="525" t="s">
        <v>183</v>
      </c>
      <c r="C76" s="15" t="s">
        <v>42</v>
      </c>
      <c r="D76" s="172">
        <v>6.3620000000000001</v>
      </c>
      <c r="E76" s="172">
        <f>D76*4</f>
        <v>25.448</v>
      </c>
      <c r="F76" s="172">
        <f>E76*8</f>
        <v>203.584</v>
      </c>
      <c r="G76" s="15">
        <f>1.267+0.929+0.234</f>
        <v>2.4299999999999997</v>
      </c>
      <c r="H76" s="15">
        <f>1.137+0.231+0.273</f>
        <v>1.641</v>
      </c>
      <c r="I76" s="15">
        <f>0.182+0.054+0.032</f>
        <v>0.26800000000000002</v>
      </c>
      <c r="J76" s="15">
        <f>SUM(G76:I76)</f>
        <v>4.3389999999999995</v>
      </c>
      <c r="K76" s="15">
        <v>0.27100000000000002</v>
      </c>
      <c r="L76" s="15"/>
      <c r="M76" s="15">
        <v>7.0000000000000001E-3</v>
      </c>
      <c r="N76" s="15">
        <f>M76+K76</f>
        <v>0.27800000000000002</v>
      </c>
      <c r="O76" s="15"/>
      <c r="P76" s="15"/>
      <c r="Q76" s="15"/>
      <c r="R76" s="15"/>
      <c r="S76" s="16"/>
      <c r="T76" s="15" t="s">
        <v>537</v>
      </c>
      <c r="U76" s="15">
        <v>41.44</v>
      </c>
      <c r="V76" s="15">
        <v>0.8</v>
      </c>
      <c r="W76" s="15">
        <v>7.73</v>
      </c>
      <c r="X76" s="15">
        <f>W76+V76</f>
        <v>8.5300000000000011</v>
      </c>
      <c r="Y76" s="15">
        <v>73.75</v>
      </c>
      <c r="Z76" s="15">
        <v>564.37</v>
      </c>
      <c r="AA76" s="15"/>
      <c r="AB76" s="15">
        <v>201.4</v>
      </c>
      <c r="AC76" s="15"/>
      <c r="AD76" s="15"/>
      <c r="AE76" s="15">
        <v>0.84</v>
      </c>
      <c r="AF76" s="137" t="s">
        <v>20</v>
      </c>
      <c r="AG76" s="17">
        <v>45987</v>
      </c>
      <c r="AH76" s="17"/>
      <c r="AI76" s="17" t="s">
        <v>686</v>
      </c>
      <c r="AJ76" s="17" t="s">
        <v>689</v>
      </c>
      <c r="AK76" s="15" t="s">
        <v>701</v>
      </c>
      <c r="AL76" s="137" t="s">
        <v>20</v>
      </c>
      <c r="AM76" s="25" t="s">
        <v>6</v>
      </c>
      <c r="AN76" s="131"/>
      <c r="AO76" s="131"/>
      <c r="AP76" s="24"/>
      <c r="AQ76" s="137" t="s">
        <v>20</v>
      </c>
      <c r="AR76" s="17">
        <v>46016</v>
      </c>
      <c r="AS76" s="17">
        <v>46017</v>
      </c>
      <c r="AT76" s="15" t="s">
        <v>694</v>
      </c>
      <c r="AU76" s="15"/>
      <c r="AV76" s="137" t="s">
        <v>20</v>
      </c>
      <c r="AW76" s="15"/>
      <c r="AX76" s="15"/>
      <c r="AY76" s="15"/>
      <c r="AZ76" s="15"/>
      <c r="BA76" s="15"/>
    </row>
    <row r="77" spans="1:53" customFormat="1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6">
        <v>240.727</v>
      </c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24"/>
      <c r="AH77" s="24"/>
      <c r="AI77" s="24"/>
      <c r="AJ77" s="24"/>
      <c r="AK77" s="24"/>
      <c r="AL77" s="24"/>
      <c r="AM77" s="25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</row>
    <row r="78" spans="1:53" ht="14.25" customHeight="1">
      <c r="A78" s="15">
        <f t="shared" ref="A78" si="30">A76+1</f>
        <v>34</v>
      </c>
      <c r="B78" s="15" t="s">
        <v>336</v>
      </c>
      <c r="C78" s="15" t="s">
        <v>34</v>
      </c>
      <c r="D78" s="172">
        <v>9.6539999999999999</v>
      </c>
      <c r="E78" s="172">
        <f>D78*4</f>
        <v>38.616</v>
      </c>
      <c r="F78" s="172">
        <f>E78*8</f>
        <v>308.928</v>
      </c>
      <c r="G78" s="15">
        <f>4.906+1.456+0.596</f>
        <v>6.9580000000000002</v>
      </c>
      <c r="H78" s="15">
        <f>0.066+0.717+0.272</f>
        <v>1.0549999999999999</v>
      </c>
      <c r="I78" s="15">
        <f>0.274+0.083+0.043</f>
        <v>0.4</v>
      </c>
      <c r="J78" s="15">
        <f>SUM(G78:I78)</f>
        <v>8.4130000000000003</v>
      </c>
      <c r="K78" s="15">
        <v>0.53200000000000003</v>
      </c>
      <c r="L78" s="15"/>
      <c r="M78" s="15">
        <v>1.0999999999999999E-2</v>
      </c>
      <c r="N78" s="15">
        <f>K78+M78</f>
        <v>0.54300000000000004</v>
      </c>
      <c r="O78" s="15"/>
      <c r="P78" s="15"/>
      <c r="Q78" s="15"/>
      <c r="R78" s="15"/>
      <c r="S78" s="16"/>
      <c r="T78" s="15" t="s">
        <v>500</v>
      </c>
      <c r="U78" s="15">
        <v>75.36</v>
      </c>
      <c r="V78" s="15">
        <v>1.35</v>
      </c>
      <c r="W78" s="15">
        <v>13.06</v>
      </c>
      <c r="X78" s="15">
        <f>V78+W78</f>
        <v>14.41</v>
      </c>
      <c r="Y78" s="15">
        <v>70.930000000000007</v>
      </c>
      <c r="Z78" s="15">
        <v>900.95</v>
      </c>
      <c r="AA78" s="15"/>
      <c r="AB78" s="15">
        <v>96.82</v>
      </c>
      <c r="AC78" s="15">
        <v>151.27000000000001</v>
      </c>
      <c r="AD78" s="15"/>
      <c r="AE78" s="15">
        <v>1.22</v>
      </c>
      <c r="AF78" s="137" t="s">
        <v>20</v>
      </c>
      <c r="AG78" s="17">
        <f>AH78-3</f>
        <v>45946</v>
      </c>
      <c r="AH78" s="17">
        <f t="shared" ref="AH78:AI78" si="31">AI78-2</f>
        <v>45949</v>
      </c>
      <c r="AI78" s="17">
        <f t="shared" si="31"/>
        <v>45951</v>
      </c>
      <c r="AJ78" s="17">
        <v>45953</v>
      </c>
      <c r="AK78" s="283" t="s">
        <v>681</v>
      </c>
      <c r="AL78" s="137" t="s">
        <v>20</v>
      </c>
      <c r="AM78" s="25" t="s">
        <v>6</v>
      </c>
      <c r="AN78" s="131"/>
      <c r="AO78" s="131"/>
      <c r="AP78" s="24"/>
      <c r="AQ78" s="137" t="s">
        <v>20</v>
      </c>
      <c r="AR78" s="17">
        <v>45973</v>
      </c>
      <c r="AS78" s="17" t="s">
        <v>685</v>
      </c>
      <c r="AT78" s="15" t="s">
        <v>694</v>
      </c>
      <c r="AU78" s="15"/>
      <c r="AV78" s="137" t="s">
        <v>20</v>
      </c>
      <c r="AW78" s="17"/>
      <c r="AX78" s="17"/>
      <c r="AY78" s="17"/>
      <c r="AZ78" s="15"/>
      <c r="BA78" s="17"/>
    </row>
    <row r="79" spans="1:53" customFormat="1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6">
        <v>48</v>
      </c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24"/>
      <c r="AH79" s="24"/>
      <c r="AI79" s="24"/>
      <c r="AJ79" s="24"/>
      <c r="AK79" s="24"/>
      <c r="AL79" s="24"/>
      <c r="AM79" s="25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</row>
    <row r="80" spans="1:53" ht="14.25" customHeight="1">
      <c r="A80" s="15">
        <f t="shared" ref="A80" si="32">A78+1</f>
        <v>35</v>
      </c>
      <c r="B80" s="132" t="s">
        <v>192</v>
      </c>
      <c r="C80" s="15" t="s">
        <v>501</v>
      </c>
      <c r="D80" s="15"/>
      <c r="E80" s="15"/>
      <c r="F80" s="15">
        <v>54</v>
      </c>
      <c r="G80" s="15"/>
      <c r="H80" s="15">
        <v>4.1059999999999999</v>
      </c>
      <c r="I80" s="15">
        <v>0.23</v>
      </c>
      <c r="J80" s="15">
        <f>SUM(G80:I80)</f>
        <v>4.3360000000000003</v>
      </c>
      <c r="K80" s="15"/>
      <c r="L80" s="15">
        <f>0.12+0.219</f>
        <v>0.33899999999999997</v>
      </c>
      <c r="M80" s="15">
        <f>0.003+0.003</f>
        <v>6.0000000000000001E-3</v>
      </c>
      <c r="N80" s="15">
        <f>SUM(K80:M80)</f>
        <v>0.34499999999999997</v>
      </c>
      <c r="O80" s="15"/>
      <c r="P80" s="15"/>
      <c r="Q80" s="15"/>
      <c r="R80" s="15"/>
      <c r="S80" s="16"/>
      <c r="T80" s="15" t="s">
        <v>537</v>
      </c>
      <c r="U80" s="15">
        <v>315</v>
      </c>
      <c r="V80" s="15">
        <v>4.0999999999999996</v>
      </c>
      <c r="W80" s="15">
        <v>42</v>
      </c>
      <c r="X80" s="15">
        <f>W80+V80</f>
        <v>46.1</v>
      </c>
      <c r="Y80" s="15"/>
      <c r="Z80" s="15"/>
      <c r="AA80" s="15"/>
      <c r="AB80" s="15"/>
      <c r="AC80" s="15"/>
      <c r="AD80" s="15"/>
      <c r="AE80" s="15">
        <v>3.95</v>
      </c>
      <c r="AF80" s="137" t="s">
        <v>20</v>
      </c>
      <c r="AG80" s="17">
        <f>AH80-3</f>
        <v>45950</v>
      </c>
      <c r="AH80" s="17">
        <f t="shared" ref="AH80:AI80" si="33">AI80-2</f>
        <v>45953</v>
      </c>
      <c r="AI80" s="17">
        <f t="shared" si="33"/>
        <v>45955</v>
      </c>
      <c r="AJ80" s="17">
        <v>45957</v>
      </c>
      <c r="AK80" s="283" t="s">
        <v>681</v>
      </c>
      <c r="AL80" s="137" t="s">
        <v>20</v>
      </c>
      <c r="AM80" s="25" t="s">
        <v>6</v>
      </c>
      <c r="AN80" s="131"/>
      <c r="AO80" s="131"/>
      <c r="AP80" s="24"/>
      <c r="AQ80" s="137" t="s">
        <v>20</v>
      </c>
      <c r="AR80" s="17">
        <f>AS80-3</f>
        <v>45975</v>
      </c>
      <c r="AS80" s="17">
        <v>45978</v>
      </c>
      <c r="AT80" s="15" t="s">
        <v>504</v>
      </c>
      <c r="AU80" s="15"/>
      <c r="AV80" s="137" t="s">
        <v>20</v>
      </c>
      <c r="AW80" s="15"/>
      <c r="AX80" s="15"/>
      <c r="AY80" s="15"/>
      <c r="AZ80" s="15"/>
      <c r="BA80" s="15"/>
    </row>
    <row r="81" spans="1:53" customFormat="1" ht="14.25" customHeight="1">
      <c r="A81" s="15"/>
      <c r="B81" s="28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6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24"/>
      <c r="AH81" s="24"/>
      <c r="AI81" s="24"/>
      <c r="AJ81" s="24"/>
      <c r="AK81" s="24"/>
      <c r="AL81" s="24"/>
      <c r="AM81" s="25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</row>
    <row r="82" spans="1:53" ht="14.25" customHeight="1">
      <c r="A82" s="15">
        <f t="shared" ref="A82" si="34">A80+1</f>
        <v>36</v>
      </c>
      <c r="B82" s="132" t="s">
        <v>193</v>
      </c>
      <c r="C82" s="15" t="s">
        <v>501</v>
      </c>
      <c r="D82" s="15"/>
      <c r="E82" s="15"/>
      <c r="F82" s="15">
        <v>54</v>
      </c>
      <c r="G82" s="15"/>
      <c r="H82" s="15">
        <v>4.1059999999999999</v>
      </c>
      <c r="I82" s="15">
        <v>0.23</v>
      </c>
      <c r="J82" s="15">
        <f>SUM(G82:I82)</f>
        <v>4.3360000000000003</v>
      </c>
      <c r="K82" s="15"/>
      <c r="L82" s="15">
        <f>0.12+0.219</f>
        <v>0.33899999999999997</v>
      </c>
      <c r="M82" s="15">
        <f>0.003+0.003</f>
        <v>6.0000000000000001E-3</v>
      </c>
      <c r="N82" s="15">
        <f>SUM(K82:M82)</f>
        <v>0.34499999999999997</v>
      </c>
      <c r="O82" s="15"/>
      <c r="P82" s="15"/>
      <c r="Q82" s="15"/>
      <c r="R82" s="15"/>
      <c r="S82" s="16"/>
      <c r="T82" s="15" t="s">
        <v>537</v>
      </c>
      <c r="U82" s="15">
        <v>315</v>
      </c>
      <c r="V82" s="15">
        <v>4.0999999999999996</v>
      </c>
      <c r="W82" s="15">
        <v>42</v>
      </c>
      <c r="X82" s="15">
        <f>W82+V82</f>
        <v>46.1</v>
      </c>
      <c r="Y82" s="15"/>
      <c r="Z82" s="15"/>
      <c r="AA82" s="15"/>
      <c r="AB82" s="15"/>
      <c r="AC82" s="15"/>
      <c r="AD82" s="15"/>
      <c r="AE82" s="15">
        <v>3.95</v>
      </c>
      <c r="AF82" s="137" t="s">
        <v>20</v>
      </c>
      <c r="AG82" s="17">
        <f>AH82-2</f>
        <v>45969</v>
      </c>
      <c r="AH82" s="17">
        <f>AI82-3</f>
        <v>45971</v>
      </c>
      <c r="AI82" s="17">
        <f>AJ82-2</f>
        <v>45974</v>
      </c>
      <c r="AJ82" s="17">
        <v>45976</v>
      </c>
      <c r="AK82" s="283" t="s">
        <v>681</v>
      </c>
      <c r="AL82" s="137" t="s">
        <v>20</v>
      </c>
      <c r="AM82" s="25" t="s">
        <v>6</v>
      </c>
      <c r="AN82" s="24"/>
      <c r="AO82" s="24"/>
      <c r="AP82" s="24"/>
      <c r="AQ82" s="137" t="s">
        <v>20</v>
      </c>
      <c r="AR82" s="17">
        <f>AS82-3</f>
        <v>45978</v>
      </c>
      <c r="AS82" s="17">
        <v>45981</v>
      </c>
      <c r="AT82" s="15" t="s">
        <v>504</v>
      </c>
      <c r="AU82" s="15"/>
      <c r="AV82" s="137" t="s">
        <v>20</v>
      </c>
      <c r="AW82" s="15"/>
      <c r="AX82" s="15"/>
      <c r="AY82" s="15"/>
      <c r="AZ82" s="15"/>
      <c r="BA82" s="15"/>
    </row>
    <row r="83" spans="1:53" customFormat="1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6">
        <v>48.938000000000002</v>
      </c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24"/>
      <c r="AH83" s="24"/>
      <c r="AI83" s="24"/>
      <c r="AJ83" s="24"/>
      <c r="AK83" s="24"/>
      <c r="AL83" s="24"/>
      <c r="AM83" s="25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</row>
    <row r="84" spans="1:53" ht="14.25" customHeight="1">
      <c r="A84" s="15">
        <f t="shared" ref="A84" si="35">A82+1</f>
        <v>37</v>
      </c>
      <c r="B84" s="132" t="s">
        <v>338</v>
      </c>
      <c r="C84" s="15" t="s">
        <v>34</v>
      </c>
      <c r="D84" s="172">
        <v>9.6539999999999999</v>
      </c>
      <c r="E84" s="172">
        <f>D84*4</f>
        <v>38.616</v>
      </c>
      <c r="F84" s="172">
        <f>E84*8</f>
        <v>308.928</v>
      </c>
      <c r="G84" s="15">
        <f>4.906+1.456+0.596</f>
        <v>6.9580000000000002</v>
      </c>
      <c r="H84" s="15">
        <f>0.066+0.717+0.272</f>
        <v>1.0549999999999999</v>
      </c>
      <c r="I84" s="15">
        <f>0.274+0.083+0.043</f>
        <v>0.4</v>
      </c>
      <c r="J84" s="15">
        <f>SUM(G84:I84)</f>
        <v>8.4130000000000003</v>
      </c>
      <c r="K84" s="15">
        <v>0.53200000000000003</v>
      </c>
      <c r="L84" s="15"/>
      <c r="M84" s="15">
        <v>1.0999999999999999E-2</v>
      </c>
      <c r="N84" s="15">
        <f>K84+M84</f>
        <v>0.54300000000000004</v>
      </c>
      <c r="O84" s="15"/>
      <c r="P84" s="15"/>
      <c r="Q84" s="15"/>
      <c r="R84" s="15"/>
      <c r="S84" s="16"/>
      <c r="T84" s="15" t="s">
        <v>500</v>
      </c>
      <c r="U84" s="15">
        <v>75.36</v>
      </c>
      <c r="V84" s="15">
        <v>1.35</v>
      </c>
      <c r="W84" s="15">
        <v>13.06</v>
      </c>
      <c r="X84" s="15">
        <f>V84+W84</f>
        <v>14.41</v>
      </c>
      <c r="Y84" s="15">
        <v>70.930000000000007</v>
      </c>
      <c r="Z84" s="15">
        <v>900.95</v>
      </c>
      <c r="AA84" s="15"/>
      <c r="AB84" s="15">
        <v>96.82</v>
      </c>
      <c r="AC84" s="15">
        <v>151.27000000000001</v>
      </c>
      <c r="AD84" s="15"/>
      <c r="AE84" s="15">
        <v>1.22</v>
      </c>
      <c r="AF84" s="137" t="s">
        <v>20</v>
      </c>
      <c r="AG84" s="17">
        <f t="shared" ref="AG84:AI84" si="36">AH84-2</f>
        <v>45842</v>
      </c>
      <c r="AH84" s="17">
        <f t="shared" si="36"/>
        <v>45844</v>
      </c>
      <c r="AI84" s="17">
        <f t="shared" si="36"/>
        <v>45846</v>
      </c>
      <c r="AJ84" s="17">
        <v>45848</v>
      </c>
      <c r="AK84" s="15" t="s">
        <v>505</v>
      </c>
      <c r="AL84" s="137" t="s">
        <v>20</v>
      </c>
      <c r="AM84" s="25" t="s">
        <v>6</v>
      </c>
      <c r="AN84" s="131">
        <f>AO84</f>
        <v>45853</v>
      </c>
      <c r="AO84" s="131">
        <v>45853</v>
      </c>
      <c r="AP84" s="24" t="s">
        <v>505</v>
      </c>
      <c r="AQ84" s="137" t="s">
        <v>20</v>
      </c>
      <c r="AR84" s="17">
        <f>AS84-3</f>
        <v>45897</v>
      </c>
      <c r="AS84" s="17">
        <v>45900</v>
      </c>
      <c r="AT84" s="15" t="s">
        <v>694</v>
      </c>
      <c r="AU84" s="15"/>
      <c r="AV84" s="137" t="s">
        <v>20</v>
      </c>
      <c r="AW84" s="15"/>
      <c r="AX84" s="15"/>
      <c r="AY84" s="15"/>
      <c r="AZ84" s="15"/>
      <c r="BA84" s="15"/>
    </row>
    <row r="85" spans="1:53" customFormat="1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6">
        <v>165.14699999999999</v>
      </c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24"/>
      <c r="AH85" s="24"/>
      <c r="AI85" s="24"/>
      <c r="AJ85" s="24"/>
      <c r="AK85" s="24"/>
      <c r="AL85" s="24"/>
      <c r="AM85" s="25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</row>
    <row r="86" spans="1:53" ht="14.25" customHeight="1">
      <c r="A86" s="15">
        <f t="shared" ref="A86" si="37">A84+1</f>
        <v>38</v>
      </c>
      <c r="B86" s="132" t="s">
        <v>340</v>
      </c>
      <c r="C86" s="15" t="s">
        <v>507</v>
      </c>
      <c r="D86" s="172">
        <v>9.6539999999999999</v>
      </c>
      <c r="E86" s="172">
        <f>D86*4</f>
        <v>38.616</v>
      </c>
      <c r="F86" s="172">
        <f>E86*8</f>
        <v>308.928</v>
      </c>
      <c r="G86" s="15">
        <v>9.9130000000000003</v>
      </c>
      <c r="H86" s="15">
        <v>0.874</v>
      </c>
      <c r="I86" s="15">
        <v>0.73</v>
      </c>
      <c r="J86" s="15">
        <f>SUM(G86:I86)</f>
        <v>11.517000000000001</v>
      </c>
      <c r="K86" s="15">
        <v>0.84499999999999997</v>
      </c>
      <c r="L86" s="15"/>
      <c r="M86" s="15">
        <v>8.9999999999999993E-3</v>
      </c>
      <c r="N86" s="15">
        <f>SUM(K86:M86)</f>
        <v>0.85399999999999998</v>
      </c>
      <c r="O86" s="15"/>
      <c r="P86" s="15"/>
      <c r="Q86" s="15"/>
      <c r="R86" s="15"/>
      <c r="S86" s="16"/>
      <c r="T86" s="15" t="s">
        <v>537</v>
      </c>
      <c r="U86" s="15">
        <v>315</v>
      </c>
      <c r="V86" s="15">
        <v>4.0999999999999996</v>
      </c>
      <c r="W86" s="15">
        <v>42</v>
      </c>
      <c r="X86" s="15">
        <f>W86+V86</f>
        <v>46.1</v>
      </c>
      <c r="Y86" s="15"/>
      <c r="Z86" s="15"/>
      <c r="AA86" s="15"/>
      <c r="AB86" s="15"/>
      <c r="AC86" s="15"/>
      <c r="AD86" s="15"/>
      <c r="AE86" s="15">
        <v>3.95</v>
      </c>
      <c r="AF86" s="137" t="s">
        <v>20</v>
      </c>
      <c r="AG86" s="17">
        <f>AH86-3</f>
        <v>45961</v>
      </c>
      <c r="AH86" s="17">
        <f t="shared" ref="AH86:AI86" si="38">AI86-2</f>
        <v>45964</v>
      </c>
      <c r="AI86" s="17">
        <f t="shared" si="38"/>
        <v>45966</v>
      </c>
      <c r="AJ86" s="17">
        <v>45968</v>
      </c>
      <c r="AK86" s="283" t="s">
        <v>681</v>
      </c>
      <c r="AL86" s="137" t="s">
        <v>20</v>
      </c>
      <c r="AM86" s="25" t="s">
        <v>6</v>
      </c>
      <c r="AN86" s="24"/>
      <c r="AO86" s="24"/>
      <c r="AP86" s="24"/>
      <c r="AQ86" s="137" t="s">
        <v>20</v>
      </c>
      <c r="AR86" s="15" t="s">
        <v>688</v>
      </c>
      <c r="AS86" s="363" t="s">
        <v>687</v>
      </c>
      <c r="AT86" s="15" t="s">
        <v>694</v>
      </c>
      <c r="AU86" s="15"/>
      <c r="AV86" s="137" t="s">
        <v>20</v>
      </c>
      <c r="AW86" s="15"/>
      <c r="AX86" s="15"/>
      <c r="AY86" s="15"/>
      <c r="AZ86" s="15"/>
      <c r="BA86" s="15"/>
    </row>
    <row r="87" spans="1:53" customFormat="1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6">
        <v>39.999000000000002</v>
      </c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24"/>
      <c r="AH87" s="24"/>
      <c r="AI87" s="24"/>
      <c r="AJ87" s="24"/>
      <c r="AK87" s="24"/>
      <c r="AL87" s="24"/>
      <c r="AM87" s="25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</row>
    <row r="88" spans="1:53" customFormat="1" ht="14.2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31"/>
      <c r="AH88" s="131"/>
      <c r="AI88" s="131"/>
      <c r="AJ88" s="131"/>
      <c r="AK88" s="19"/>
      <c r="AL88" s="15"/>
      <c r="AM88" s="15"/>
      <c r="AN88" s="131"/>
      <c r="AO88" s="131"/>
      <c r="AP88" s="19"/>
      <c r="AQ88" s="15"/>
      <c r="AR88" s="24"/>
      <c r="AS88" s="24"/>
      <c r="AT88" s="24"/>
      <c r="AU88" s="24"/>
      <c r="AV88" s="24"/>
      <c r="AW88" s="24"/>
      <c r="AX88" s="24"/>
      <c r="AY88" s="24"/>
      <c r="AZ88" s="24"/>
      <c r="BA88" s="24"/>
    </row>
    <row r="89" spans="1:53" customFormat="1" ht="14.25" customHeight="1">
      <c r="A89" s="15"/>
      <c r="B89" s="15"/>
      <c r="C89" s="15"/>
      <c r="D89" s="43"/>
      <c r="E89" s="43"/>
      <c r="F89" s="43">
        <v>8944</v>
      </c>
      <c r="G89" s="43"/>
      <c r="H89" s="43"/>
      <c r="I89" s="43"/>
      <c r="J89" s="43"/>
      <c r="K89" s="43"/>
      <c r="L89" s="43"/>
      <c r="M89" s="43"/>
      <c r="N89" s="43"/>
      <c r="S89" s="138">
        <f>SUM(S18:S88)/1000</f>
        <v>6.370323</v>
      </c>
      <c r="T89" s="15" t="s">
        <v>32</v>
      </c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5">
        <f>+COUNTIF($AF$6:$AF$88,"C")</f>
        <v>36</v>
      </c>
      <c r="AL89" s="139">
        <f>+COUNTIF($AL$6:$AL$88,"C")</f>
        <v>36</v>
      </c>
      <c r="AM89" s="139"/>
      <c r="AQ89" s="43">
        <f>+COUNTIF($AQ$6:$AQ$88,"C")</f>
        <v>31</v>
      </c>
      <c r="AV89" s="139">
        <f>+COUNTIF(AV6:AV88,"C")</f>
        <v>29</v>
      </c>
    </row>
    <row r="92" spans="1:53" ht="14.25" customHeight="1">
      <c r="I92" s="43"/>
      <c r="J92" s="43"/>
      <c r="K92" s="43"/>
      <c r="L92" s="43">
        <v>15</v>
      </c>
      <c r="M92" s="43"/>
      <c r="N92" s="43"/>
      <c r="T92" s="43"/>
      <c r="U92" s="43"/>
      <c r="V92" s="43"/>
      <c r="W92" s="43"/>
      <c r="X92" s="43"/>
      <c r="Y92" s="43">
        <f t="shared" ref="Y92:AD92" si="39">SUM(Y18:Y89)/1000</f>
        <v>2.3728800000000003</v>
      </c>
      <c r="Z92" s="43">
        <f t="shared" si="39"/>
        <v>11.133880000000003</v>
      </c>
      <c r="AA92" s="43">
        <f t="shared" si="39"/>
        <v>14.159970000000003</v>
      </c>
      <c r="AB92" s="43">
        <f t="shared" si="39"/>
        <v>4.3221600000000002</v>
      </c>
      <c r="AC92" s="43">
        <f t="shared" si="39"/>
        <v>2.5724</v>
      </c>
      <c r="AD92" s="43">
        <f t="shared" si="39"/>
        <v>0</v>
      </c>
      <c r="AE92" s="43">
        <f>SUM(AE18:AE89)</f>
        <v>62.213000000000029</v>
      </c>
    </row>
    <row r="93" spans="1:53" ht="14.25" customHeight="1">
      <c r="I93" s="364">
        <f>10.738*4</f>
        <v>42.951999999999998</v>
      </c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</row>
  </sheetData>
  <autoFilter ref="A5:BA89" xr:uid="{00000000-0009-0000-0000-000006000000}"/>
  <mergeCells count="13">
    <mergeCell ref="AI4:AJ4"/>
    <mergeCell ref="A1:BA1"/>
    <mergeCell ref="A2:BA2"/>
    <mergeCell ref="A3:S3"/>
    <mergeCell ref="T3:AK3"/>
    <mergeCell ref="AL3:AP3"/>
    <mergeCell ref="AQ3:AT3"/>
    <mergeCell ref="AV3:AZ3"/>
    <mergeCell ref="G4:J4"/>
    <mergeCell ref="K4:N4"/>
    <mergeCell ref="O4:R4"/>
    <mergeCell ref="V4:X4"/>
    <mergeCell ref="AG4:AH4"/>
  </mergeCells>
  <pageMargins left="0.11811023622047245" right="0.11811023622047245" top="0.15748031496062992" bottom="0.15748031496062992" header="0" footer="0"/>
  <pageSetup paperSize="9" scale="16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P413"/>
  <sheetViews>
    <sheetView topLeftCell="A5" zoomScale="60" zoomScaleNormal="60" workbookViewId="0">
      <pane xSplit="11" ySplit="15" topLeftCell="BD22" activePane="bottomRight" state="frozen"/>
      <selection activeCell="A5" sqref="A5"/>
      <selection pane="topRight" activeCell="L5" sqref="L5"/>
      <selection pane="bottomLeft" activeCell="A20" sqref="A20"/>
      <selection pane="bottomRight" activeCell="N413" sqref="N413"/>
    </sheetView>
  </sheetViews>
  <sheetFormatPr defaultColWidth="14.42578125" defaultRowHeight="15" customHeight="1"/>
  <cols>
    <col min="1" max="1" width="4.5703125" customWidth="1"/>
    <col min="2" max="2" width="17" customWidth="1"/>
    <col min="3" max="3" width="9.85546875" customWidth="1"/>
    <col min="4" max="4" width="9" customWidth="1"/>
    <col min="5" max="5" width="12.85546875" customWidth="1"/>
    <col min="6" max="6" width="12.140625" customWidth="1"/>
    <col min="7" max="7" width="9" customWidth="1"/>
    <col min="8" max="8" width="5" customWidth="1"/>
    <col min="9" max="9" width="4.7109375" customWidth="1"/>
    <col min="10" max="10" width="5" customWidth="1"/>
    <col min="11" max="11" width="4.85546875" customWidth="1"/>
    <col min="12" max="15" width="11" customWidth="1"/>
    <col min="16" max="16" width="11.5703125" customWidth="1"/>
    <col min="17" max="19" width="11" customWidth="1"/>
    <col min="20" max="20" width="14.140625" customWidth="1"/>
    <col min="21" max="21" width="8.85546875" customWidth="1"/>
    <col min="22" max="22" width="10.5703125" customWidth="1"/>
    <col min="23" max="26" width="13.85546875" customWidth="1"/>
    <col min="27" max="27" width="10.85546875" customWidth="1"/>
    <col min="28" max="29" width="13.85546875" hidden="1" customWidth="1"/>
    <col min="30" max="37" width="13.85546875" customWidth="1"/>
    <col min="38" max="38" width="1.7109375" customWidth="1"/>
    <col min="39" max="39" width="15.7109375" customWidth="1"/>
    <col min="40" max="41" width="13.42578125" customWidth="1"/>
    <col min="42" max="42" width="16.28515625" customWidth="1"/>
    <col min="43" max="43" width="16.85546875" customWidth="1"/>
    <col min="44" max="44" width="15" customWidth="1"/>
    <col min="45" max="45" width="14.85546875" style="391" customWidth="1"/>
    <col min="46" max="46" width="20.140625" style="391" customWidth="1"/>
    <col min="47" max="47" width="1.5703125" customWidth="1"/>
    <col min="48" max="48" width="12.42578125" customWidth="1"/>
    <col min="49" max="49" width="11.85546875" customWidth="1"/>
    <col min="50" max="50" width="16" customWidth="1"/>
    <col min="51" max="51" width="15.140625" customWidth="1"/>
    <col min="52" max="52" width="20.28515625" customWidth="1"/>
    <col min="53" max="53" width="1.42578125" customWidth="1"/>
    <col min="54" max="54" width="14" customWidth="1"/>
    <col min="55" max="55" width="29.28515625" customWidth="1"/>
    <col min="56" max="56" width="39" customWidth="1"/>
    <col min="57" max="57" width="17.7109375" style="281" customWidth="1"/>
    <col min="58" max="58" width="14.140625" style="281" customWidth="1"/>
    <col min="59" max="59" width="33.42578125" customWidth="1"/>
    <col min="60" max="60" width="2" customWidth="1"/>
    <col min="61" max="61" width="8.5703125" customWidth="1"/>
    <col min="62" max="62" width="13.85546875" customWidth="1"/>
    <col min="63" max="63" width="13" customWidth="1"/>
    <col min="64" max="64" width="10.5703125" style="391" customWidth="1"/>
    <col min="65" max="65" width="15.7109375" customWidth="1"/>
    <col min="66" max="67" width="37.5703125" customWidth="1"/>
    <col min="68" max="68" width="8.7109375" customWidth="1"/>
  </cols>
  <sheetData>
    <row r="1" spans="1:67" ht="14.25" hidden="1" customHeight="1">
      <c r="W1" s="43"/>
      <c r="X1" s="141"/>
      <c r="Y1" s="142">
        <f t="shared" ref="Y1:AK1" si="0">SUBTOTAL(109,Y9:Y410)</f>
        <v>280.91600000000034</v>
      </c>
      <c r="Z1" s="49">
        <f t="shared" si="0"/>
        <v>2556.3350000000005</v>
      </c>
      <c r="AA1" s="43">
        <f t="shared" si="0"/>
        <v>2837.2509999999966</v>
      </c>
      <c r="AB1" s="43">
        <f t="shared" si="0"/>
        <v>19254.080599999983</v>
      </c>
      <c r="AC1" s="43">
        <f t="shared" si="0"/>
        <v>850780.46999999974</v>
      </c>
      <c r="AD1" s="43">
        <f t="shared" si="0"/>
        <v>16158.369999999981</v>
      </c>
      <c r="AE1" s="43">
        <f t="shared" si="0"/>
        <v>75630.580000000016</v>
      </c>
      <c r="AF1" s="43">
        <f t="shared" si="0"/>
        <v>33623.100000000006</v>
      </c>
      <c r="AG1" s="43">
        <f t="shared" si="0"/>
        <v>34567.349999999933</v>
      </c>
      <c r="AH1" s="43">
        <f t="shared" si="0"/>
        <v>14833.600000000008</v>
      </c>
      <c r="AI1" s="43">
        <f t="shared" si="0"/>
        <v>3104.4</v>
      </c>
      <c r="AJ1" s="43">
        <f t="shared" si="0"/>
        <v>177917.40000000031</v>
      </c>
      <c r="AK1" s="43">
        <f t="shared" si="0"/>
        <v>177.82742999999996</v>
      </c>
      <c r="AL1" s="143"/>
      <c r="AM1" s="43"/>
      <c r="AU1" s="144"/>
      <c r="BA1" s="144"/>
      <c r="BE1"/>
      <c r="BF1"/>
      <c r="BH1" s="144"/>
      <c r="BL1"/>
    </row>
    <row r="2" spans="1:67" ht="14.25" hidden="1" customHeight="1">
      <c r="A2" s="145" t="str">
        <f>+Summary!A2</f>
        <v>Name of the Line: 220KV DC AL59 line from Neemuch - Chanderiya + 132KV DC ACSS Line from Chanderiya to Hindustan Zinc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18"/>
      <c r="X2" s="145"/>
      <c r="Y2" s="145"/>
      <c r="Z2" s="145"/>
      <c r="AA2" s="146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7"/>
      <c r="AM2" s="145"/>
      <c r="AN2" s="145"/>
      <c r="AO2" s="145"/>
      <c r="AP2" s="145"/>
      <c r="AQ2" s="145"/>
      <c r="AR2" s="145"/>
      <c r="AS2" s="149"/>
      <c r="AT2" s="149"/>
      <c r="AU2" s="147"/>
      <c r="AV2" s="145"/>
      <c r="AW2" s="145"/>
      <c r="AX2" s="145"/>
      <c r="AY2" s="145"/>
      <c r="AZ2" s="145"/>
      <c r="BA2" s="147"/>
      <c r="BB2" s="145"/>
      <c r="BC2" s="145"/>
      <c r="BD2" s="145"/>
      <c r="BE2" s="145"/>
      <c r="BF2" s="145"/>
      <c r="BG2" s="145"/>
      <c r="BH2" s="147"/>
      <c r="BI2" s="145"/>
      <c r="BJ2" s="145"/>
      <c r="BK2" s="145"/>
      <c r="BL2" s="145"/>
      <c r="BM2" s="145"/>
      <c r="BN2" s="145"/>
      <c r="BO2" s="145"/>
    </row>
    <row r="3" spans="1:67" ht="14.25" hidden="1" customHeight="1">
      <c r="A3" s="145" t="str">
        <f>+Summary!A5</f>
        <v>Progress of 220kV Line</v>
      </c>
      <c r="B3" s="145"/>
      <c r="C3" s="145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5"/>
      <c r="W3" s="118"/>
      <c r="X3" s="145"/>
      <c r="Y3" s="145"/>
      <c r="Z3" s="145"/>
      <c r="AA3" s="146"/>
      <c r="AB3" s="145"/>
      <c r="AC3" s="145"/>
      <c r="AD3" s="145"/>
      <c r="AE3" s="145"/>
      <c r="AF3" s="145"/>
      <c r="AG3" s="145"/>
      <c r="AH3" s="145"/>
      <c r="AI3" s="145"/>
      <c r="AJ3" s="145"/>
      <c r="AK3" s="145"/>
      <c r="AL3" s="147"/>
      <c r="AM3" s="145"/>
      <c r="AN3" s="145"/>
      <c r="AO3" s="145"/>
      <c r="AP3" s="145"/>
      <c r="AQ3" s="145"/>
      <c r="AR3" s="145"/>
      <c r="AS3" s="149"/>
      <c r="AT3" s="149"/>
      <c r="AU3" s="147"/>
      <c r="AV3" s="145"/>
      <c r="AW3" s="145"/>
      <c r="AX3" s="145"/>
      <c r="AY3" s="145"/>
      <c r="AZ3" s="145"/>
      <c r="BA3" s="147"/>
      <c r="BB3" s="145"/>
      <c r="BC3" s="145"/>
      <c r="BD3" s="145"/>
      <c r="BE3" s="145"/>
      <c r="BF3" s="145"/>
      <c r="BG3" s="145"/>
      <c r="BH3" s="147"/>
      <c r="BI3" s="145"/>
      <c r="BJ3" s="145"/>
      <c r="BK3" s="145"/>
      <c r="BL3" s="145"/>
      <c r="BM3" s="145"/>
      <c r="BN3" s="145"/>
      <c r="BO3" s="145"/>
    </row>
    <row r="4" spans="1:67" ht="15" hidden="1" customHeight="1">
      <c r="A4" s="149" t="s">
        <v>468</v>
      </c>
      <c r="B4" s="149"/>
      <c r="C4" s="119"/>
      <c r="D4" s="150"/>
      <c r="E4" s="150"/>
      <c r="F4" s="150"/>
      <c r="G4" s="150"/>
      <c r="H4" s="675" t="s">
        <v>508</v>
      </c>
      <c r="I4" s="676"/>
      <c r="J4" s="676"/>
      <c r="K4" s="677"/>
      <c r="L4" s="675" t="s">
        <v>473</v>
      </c>
      <c r="M4" s="678"/>
      <c r="N4" s="678"/>
      <c r="O4" s="678"/>
      <c r="P4" s="679"/>
      <c r="Q4" s="675" t="s">
        <v>474</v>
      </c>
      <c r="R4" s="678"/>
      <c r="S4" s="679"/>
      <c r="T4" s="151"/>
      <c r="U4" s="151"/>
      <c r="V4" s="149"/>
      <c r="W4" s="1" t="s">
        <v>379</v>
      </c>
      <c r="X4" s="5"/>
      <c r="Y4" s="5"/>
      <c r="Z4" s="5"/>
      <c r="AA4" s="152"/>
      <c r="AB4" s="5"/>
      <c r="AC4" s="5"/>
      <c r="AD4" s="5"/>
      <c r="AE4" s="5"/>
      <c r="AF4" s="5"/>
      <c r="AG4" s="5"/>
      <c r="AH4" s="5"/>
      <c r="AI4" s="5"/>
      <c r="AJ4" s="5"/>
      <c r="AK4" s="5"/>
      <c r="AL4" s="153"/>
      <c r="AM4" s="5"/>
      <c r="AN4" s="5"/>
      <c r="AO4" s="5"/>
      <c r="AP4" s="5"/>
      <c r="AQ4" s="5"/>
      <c r="AR4" s="5"/>
      <c r="AS4" s="5"/>
      <c r="AT4" s="5"/>
      <c r="AU4" s="153"/>
      <c r="AV4" s="5" t="s">
        <v>381</v>
      </c>
      <c r="AW4" s="5"/>
      <c r="AX4" s="5"/>
      <c r="AY4" s="5"/>
      <c r="AZ4" s="5"/>
      <c r="BA4" s="153"/>
      <c r="BB4" s="5" t="s">
        <v>469</v>
      </c>
      <c r="BC4" s="5"/>
      <c r="BD4" s="5"/>
      <c r="BE4" s="5"/>
      <c r="BF4" s="5"/>
      <c r="BG4" s="5"/>
      <c r="BH4" s="154"/>
      <c r="BI4" s="5" t="s">
        <v>471</v>
      </c>
      <c r="BJ4" s="5"/>
      <c r="BK4" s="5"/>
      <c r="BL4" s="5"/>
      <c r="BM4" s="5"/>
      <c r="BN4" s="55" t="s">
        <v>15</v>
      </c>
      <c r="BO4" s="55" t="s">
        <v>15</v>
      </c>
    </row>
    <row r="5" spans="1:67" ht="15" customHeight="1">
      <c r="A5" s="149"/>
      <c r="B5" s="149"/>
      <c r="C5" s="119"/>
      <c r="D5" s="150"/>
      <c r="E5" s="150"/>
      <c r="F5" s="150"/>
      <c r="G5" s="150"/>
      <c r="H5" s="155"/>
      <c r="I5" s="150"/>
      <c r="J5" s="150"/>
      <c r="K5" s="156"/>
      <c r="L5" s="155"/>
      <c r="M5" s="150"/>
      <c r="N5" s="150"/>
      <c r="O5" s="150"/>
      <c r="P5" s="156">
        <f>SUBTOTAL(109,P8:P410)</f>
        <v>1367.3216000000032</v>
      </c>
      <c r="Q5" s="155"/>
      <c r="R5" s="150"/>
      <c r="S5" s="156">
        <f>SUBTOTAL(109,S8:S410)</f>
        <v>72.173000000000087</v>
      </c>
      <c r="T5" s="157"/>
      <c r="U5" s="157"/>
      <c r="V5" s="149">
        <f>SUBTOTAL(109,V8:V410)</f>
        <v>64047.148999999976</v>
      </c>
      <c r="W5" s="158"/>
      <c r="X5" s="149">
        <f>SUBTOTAL(109,X8:X410)</f>
        <v>17952.97</v>
      </c>
      <c r="Y5" s="149">
        <f>SUBTOTAL(109,Y8:Y410)</f>
        <v>280.91600000000034</v>
      </c>
      <c r="Z5" s="159">
        <f>SUBTOTAL(109,Z8:Z410)</f>
        <v>2556.3350000000005</v>
      </c>
      <c r="AA5" s="159">
        <f>SUBTOTAL(109,AA8:AA410)</f>
        <v>2837.2509999999966</v>
      </c>
      <c r="AB5" s="149">
        <f>SUBTOTAL(109,AB8:AB410)</f>
        <v>19254.080599999983</v>
      </c>
      <c r="AC5" s="152"/>
      <c r="AD5" s="5"/>
      <c r="AE5" s="5"/>
      <c r="AF5" s="5"/>
      <c r="AG5" s="5"/>
      <c r="AH5" s="5"/>
      <c r="AI5" s="5"/>
      <c r="AJ5" s="5"/>
      <c r="AK5" s="156">
        <f>SUBTOTAL(109,AK8:AK410)</f>
        <v>179.18973999999994</v>
      </c>
      <c r="AL5" s="160"/>
      <c r="AM5" s="149">
        <f>SUBTOTAL(109,AM8:AM410)</f>
        <v>0</v>
      </c>
      <c r="AN5" s="152"/>
      <c r="AO5" s="5"/>
      <c r="AP5" s="5"/>
      <c r="AQ5" s="5"/>
      <c r="AR5" s="5"/>
      <c r="AS5" s="5"/>
      <c r="AT5" s="56"/>
      <c r="AU5" s="160"/>
      <c r="AV5" s="149">
        <f>SUBTOTAL(109,AV8:AV410)</f>
        <v>0</v>
      </c>
      <c r="AW5" s="161"/>
      <c r="AX5" s="5"/>
      <c r="AY5" s="5"/>
      <c r="AZ5" s="56"/>
      <c r="BA5" s="160"/>
      <c r="BB5" s="149">
        <f>SUBTOTAL(109,BB8:BB410)</f>
        <v>0</v>
      </c>
      <c r="BC5" s="152"/>
      <c r="BD5" s="5"/>
      <c r="BE5" s="276"/>
      <c r="BF5" s="276"/>
      <c r="BG5" s="56"/>
      <c r="BH5" s="162"/>
      <c r="BI5" s="149">
        <f>SUBTOTAL(109,BI8:BI410)</f>
        <v>0</v>
      </c>
      <c r="BJ5" s="152"/>
      <c r="BK5" s="5"/>
      <c r="BL5" s="56"/>
      <c r="BM5" s="56"/>
      <c r="BN5" s="123"/>
      <c r="BO5" s="123"/>
    </row>
    <row r="6" spans="1:67" ht="58.5" customHeight="1">
      <c r="A6" s="2" t="s">
        <v>2</v>
      </c>
      <c r="B6" s="2" t="s">
        <v>3</v>
      </c>
      <c r="C6" s="3" t="s">
        <v>399</v>
      </c>
      <c r="D6" s="163"/>
      <c r="E6" s="163"/>
      <c r="F6" s="163"/>
      <c r="G6" s="163"/>
      <c r="H6" s="126" t="s">
        <v>18</v>
      </c>
      <c r="I6" s="2" t="s">
        <v>19</v>
      </c>
      <c r="J6" s="3" t="s">
        <v>20</v>
      </c>
      <c r="K6" s="164" t="s">
        <v>21</v>
      </c>
      <c r="L6" s="126" t="s">
        <v>494</v>
      </c>
      <c r="M6" s="2" t="s">
        <v>495</v>
      </c>
      <c r="N6" s="2" t="s">
        <v>509</v>
      </c>
      <c r="O6" s="2" t="s">
        <v>496</v>
      </c>
      <c r="P6" s="127" t="s">
        <v>510</v>
      </c>
      <c r="Q6" s="126" t="s">
        <v>494</v>
      </c>
      <c r="R6" s="2" t="s">
        <v>496</v>
      </c>
      <c r="S6" s="127" t="s">
        <v>511</v>
      </c>
      <c r="T6" s="165" t="s">
        <v>5</v>
      </c>
      <c r="U6" s="165" t="s">
        <v>512</v>
      </c>
      <c r="V6" s="121" t="s">
        <v>475</v>
      </c>
      <c r="W6" s="55" t="s">
        <v>476</v>
      </c>
      <c r="X6" s="2" t="s">
        <v>477</v>
      </c>
      <c r="Y6" s="166" t="s">
        <v>478</v>
      </c>
      <c r="Z6" s="167"/>
      <c r="AA6" s="168"/>
      <c r="AB6" s="606" t="s">
        <v>513</v>
      </c>
      <c r="AC6" s="605"/>
      <c r="AD6" s="606" t="s">
        <v>514</v>
      </c>
      <c r="AE6" s="604"/>
      <c r="AF6" s="604"/>
      <c r="AG6" s="604"/>
      <c r="AH6" s="604"/>
      <c r="AI6" s="604"/>
      <c r="AJ6" s="604"/>
      <c r="AK6" s="605"/>
      <c r="AL6" s="160"/>
      <c r="AM6" s="55" t="s">
        <v>515</v>
      </c>
      <c r="AN6" s="6" t="s">
        <v>516</v>
      </c>
      <c r="AO6" s="6" t="s">
        <v>517</v>
      </c>
      <c r="AP6" s="671" t="s">
        <v>487</v>
      </c>
      <c r="AQ6" s="605"/>
      <c r="AR6" s="603" t="s">
        <v>488</v>
      </c>
      <c r="AS6" s="605"/>
      <c r="AT6" s="2" t="s">
        <v>489</v>
      </c>
      <c r="AU6" s="154"/>
      <c r="AV6" s="2" t="s">
        <v>518</v>
      </c>
      <c r="AW6" s="2" t="s">
        <v>519</v>
      </c>
      <c r="AX6" s="6" t="s">
        <v>492</v>
      </c>
      <c r="AY6" s="6" t="s">
        <v>23</v>
      </c>
      <c r="AZ6" s="2" t="s">
        <v>520</v>
      </c>
      <c r="BA6" s="154"/>
      <c r="BB6" s="55" t="s">
        <v>521</v>
      </c>
      <c r="BC6" s="6" t="s">
        <v>516</v>
      </c>
      <c r="BD6" s="6" t="s">
        <v>517</v>
      </c>
      <c r="BE6" s="277" t="s">
        <v>492</v>
      </c>
      <c r="BF6" s="277" t="s">
        <v>23</v>
      </c>
      <c r="BG6" s="2" t="s">
        <v>520</v>
      </c>
      <c r="BH6" s="162"/>
      <c r="BI6" s="55" t="s">
        <v>490</v>
      </c>
      <c r="BJ6" s="6" t="s">
        <v>492</v>
      </c>
      <c r="BK6" s="6" t="s">
        <v>23</v>
      </c>
      <c r="BL6" s="124" t="s">
        <v>522</v>
      </c>
      <c r="BM6" s="55" t="s">
        <v>489</v>
      </c>
      <c r="BN6" s="123"/>
      <c r="BO6" s="123"/>
    </row>
    <row r="7" spans="1:67" ht="14.25" customHeight="1">
      <c r="A7" s="2" t="s">
        <v>0</v>
      </c>
      <c r="B7" s="2"/>
      <c r="C7" s="3"/>
      <c r="D7" s="163" t="s">
        <v>523</v>
      </c>
      <c r="E7" s="163" t="s">
        <v>524</v>
      </c>
      <c r="F7" s="163" t="s">
        <v>525</v>
      </c>
      <c r="G7" s="163" t="s">
        <v>508</v>
      </c>
      <c r="H7" s="126"/>
      <c r="I7" s="2"/>
      <c r="J7" s="3"/>
      <c r="K7" s="164"/>
      <c r="L7" s="126" t="s">
        <v>526</v>
      </c>
      <c r="M7" s="2" t="s">
        <v>526</v>
      </c>
      <c r="N7" s="2" t="s">
        <v>526</v>
      </c>
      <c r="O7" s="2" t="s">
        <v>526</v>
      </c>
      <c r="P7" s="127" t="s">
        <v>526</v>
      </c>
      <c r="Q7" s="127" t="s">
        <v>526</v>
      </c>
      <c r="R7" s="127" t="s">
        <v>526</v>
      </c>
      <c r="S7" s="127" t="s">
        <v>526</v>
      </c>
      <c r="T7" s="169" t="s">
        <v>16</v>
      </c>
      <c r="U7" s="169"/>
      <c r="V7" s="8" t="s">
        <v>17</v>
      </c>
      <c r="W7" s="128"/>
      <c r="X7" s="55"/>
      <c r="Y7" s="55" t="s">
        <v>498</v>
      </c>
      <c r="Z7" s="55" t="s">
        <v>499</v>
      </c>
      <c r="AA7" s="55" t="s">
        <v>497</v>
      </c>
      <c r="AB7" s="55" t="s">
        <v>527</v>
      </c>
      <c r="AC7" s="55" t="s">
        <v>528</v>
      </c>
      <c r="AD7" s="123" t="s">
        <v>529</v>
      </c>
      <c r="AE7" s="123" t="s">
        <v>530</v>
      </c>
      <c r="AF7" s="123" t="s">
        <v>531</v>
      </c>
      <c r="AG7" s="123" t="s">
        <v>532</v>
      </c>
      <c r="AH7" s="123" t="s">
        <v>533</v>
      </c>
      <c r="AI7" s="123" t="s">
        <v>534</v>
      </c>
      <c r="AJ7" s="123" t="s">
        <v>535</v>
      </c>
      <c r="AK7" s="123" t="s">
        <v>485</v>
      </c>
      <c r="AL7" s="162"/>
      <c r="AM7" s="128"/>
      <c r="AN7" s="6"/>
      <c r="AO7" s="6"/>
      <c r="AP7" s="6" t="s">
        <v>492</v>
      </c>
      <c r="AQ7" s="6" t="s">
        <v>23</v>
      </c>
      <c r="AR7" s="6" t="s">
        <v>492</v>
      </c>
      <c r="AS7" s="6">
        <v>9</v>
      </c>
      <c r="AT7" s="128"/>
      <c r="AU7" s="170"/>
      <c r="AV7" s="128"/>
      <c r="AW7" s="128"/>
      <c r="AX7" s="348"/>
      <c r="AY7" s="348"/>
      <c r="AZ7" s="128"/>
      <c r="BA7" s="170"/>
      <c r="BB7" s="128"/>
      <c r="BC7" s="6"/>
      <c r="BD7" s="6"/>
      <c r="BE7" s="277"/>
      <c r="BF7" s="277"/>
      <c r="BG7" s="128"/>
      <c r="BH7" s="170"/>
      <c r="BI7" s="128"/>
      <c r="BJ7" s="6"/>
      <c r="BK7" s="6"/>
      <c r="BL7" s="129"/>
      <c r="BM7" s="128"/>
      <c r="BN7" s="128"/>
      <c r="BO7" s="128"/>
    </row>
    <row r="8" spans="1:67" ht="14.25" customHeight="1">
      <c r="A8" s="2">
        <v>0</v>
      </c>
      <c r="B8" s="15" t="s">
        <v>30</v>
      </c>
      <c r="C8" s="171" t="s">
        <v>30</v>
      </c>
      <c r="D8" s="172"/>
      <c r="E8" s="172"/>
      <c r="F8" s="172"/>
      <c r="G8" s="172"/>
      <c r="H8" s="173"/>
      <c r="I8" s="15"/>
      <c r="J8" s="15"/>
      <c r="K8" s="174"/>
      <c r="L8" s="173"/>
      <c r="M8" s="15"/>
      <c r="N8" s="15"/>
      <c r="O8" s="15"/>
      <c r="P8" s="175">
        <v>13</v>
      </c>
      <c r="Q8" s="173"/>
      <c r="R8" s="15"/>
      <c r="S8" s="175"/>
      <c r="T8" s="176" t="s">
        <v>31</v>
      </c>
      <c r="U8" s="176"/>
      <c r="V8" s="15"/>
      <c r="W8" s="15"/>
      <c r="X8" s="15"/>
      <c r="Y8" s="15"/>
      <c r="Z8" s="15"/>
      <c r="AA8" s="15"/>
      <c r="AB8" s="15"/>
      <c r="AC8" s="15"/>
      <c r="AD8" s="15">
        <v>70.930000000000007</v>
      </c>
      <c r="AE8" s="15">
        <v>1040.06</v>
      </c>
      <c r="AF8" s="15"/>
      <c r="AG8" s="15">
        <v>98.08</v>
      </c>
      <c r="AH8" s="15">
        <v>153.24</v>
      </c>
      <c r="AI8" s="15"/>
      <c r="AJ8" s="15">
        <v>1362.31</v>
      </c>
      <c r="AK8" s="15">
        <v>1.3623099999999999</v>
      </c>
      <c r="AL8" s="177"/>
      <c r="AM8" s="15"/>
      <c r="AN8" s="24"/>
      <c r="AO8" s="24"/>
      <c r="AP8" s="349"/>
      <c r="AQ8" s="349"/>
      <c r="AR8" s="349"/>
      <c r="AS8" s="530"/>
      <c r="AT8" s="25"/>
      <c r="AU8" s="178"/>
      <c r="AV8" s="24"/>
      <c r="AW8" s="24"/>
      <c r="AX8" s="278"/>
      <c r="AY8" s="278"/>
      <c r="AZ8" s="24"/>
      <c r="BA8" s="178"/>
      <c r="BB8" s="24"/>
      <c r="BC8" s="24"/>
      <c r="BD8" s="24"/>
      <c r="BE8" s="24"/>
      <c r="BF8" s="24"/>
      <c r="BG8" s="24"/>
      <c r="BH8" s="178"/>
      <c r="BI8" s="24"/>
      <c r="BJ8" s="24"/>
      <c r="BK8" s="24"/>
      <c r="BL8" s="25"/>
      <c r="BM8" s="24"/>
      <c r="BN8" s="24"/>
      <c r="BO8" s="24"/>
    </row>
    <row r="9" spans="1:67" ht="14.25" customHeight="1">
      <c r="A9" s="2"/>
      <c r="B9" s="15"/>
      <c r="C9" s="171"/>
      <c r="D9" s="172"/>
      <c r="E9" s="172"/>
      <c r="F9" s="172"/>
      <c r="G9" s="172"/>
      <c r="H9" s="173"/>
      <c r="I9" s="15"/>
      <c r="J9" s="15"/>
      <c r="K9" s="174"/>
      <c r="L9" s="173"/>
      <c r="M9" s="15"/>
      <c r="N9" s="15"/>
      <c r="O9" s="15"/>
      <c r="P9" s="175"/>
      <c r="Q9" s="173"/>
      <c r="R9" s="15"/>
      <c r="S9" s="175"/>
      <c r="T9" s="176"/>
      <c r="U9" s="176"/>
      <c r="V9" s="16">
        <v>47</v>
      </c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77"/>
      <c r="AM9" s="15"/>
      <c r="AN9" s="24"/>
      <c r="AO9" s="24"/>
      <c r="AP9" s="24"/>
      <c r="AQ9" s="24"/>
      <c r="AR9" s="24"/>
      <c r="AS9" s="25"/>
      <c r="AT9" s="25"/>
      <c r="AU9" s="178"/>
      <c r="AV9" s="24"/>
      <c r="AW9" s="24"/>
      <c r="AX9" s="278"/>
      <c r="AY9" s="278"/>
      <c r="AZ9" s="24"/>
      <c r="BA9" s="178"/>
      <c r="BB9" s="24"/>
      <c r="BC9" s="24"/>
      <c r="BD9" s="24"/>
      <c r="BE9" s="24"/>
      <c r="BF9" s="24"/>
      <c r="BG9" s="24"/>
      <c r="BH9" s="178"/>
      <c r="BI9" s="24"/>
      <c r="BJ9" s="24"/>
      <c r="BK9" s="24"/>
      <c r="BL9" s="24"/>
      <c r="BM9" s="24"/>
      <c r="BN9" s="24"/>
      <c r="BO9" s="24"/>
    </row>
    <row r="10" spans="1:67" ht="14.25" customHeight="1">
      <c r="A10" s="15">
        <v>1</v>
      </c>
      <c r="B10" s="19" t="s">
        <v>33</v>
      </c>
      <c r="C10" s="179" t="s">
        <v>34</v>
      </c>
      <c r="D10" s="130">
        <v>9.6539999999999999</v>
      </c>
      <c r="E10" s="130">
        <f>D10*4</f>
        <v>38.616</v>
      </c>
      <c r="F10" s="130">
        <f>E10*8</f>
        <v>308.928</v>
      </c>
      <c r="G10" s="130"/>
      <c r="H10" s="180"/>
      <c r="I10" s="19"/>
      <c r="J10" s="19"/>
      <c r="K10" s="181"/>
      <c r="L10" s="173">
        <v>4.8070000000000004</v>
      </c>
      <c r="M10" s="15">
        <v>4.016</v>
      </c>
      <c r="N10" s="15">
        <v>7.0000000000000001E-3</v>
      </c>
      <c r="O10" s="15">
        <v>0.43099999999999999</v>
      </c>
      <c r="P10" s="175">
        <f>SUM(L10:O10)</f>
        <v>9.2609999999999992</v>
      </c>
      <c r="Q10" s="173">
        <v>0.55700000000000005</v>
      </c>
      <c r="R10" s="15">
        <v>0.01</v>
      </c>
      <c r="S10" s="175">
        <f>SUM(Q10:R10)</f>
        <v>0.56700000000000006</v>
      </c>
      <c r="T10" s="176" t="s">
        <v>35</v>
      </c>
      <c r="U10" s="176" t="s">
        <v>536</v>
      </c>
      <c r="V10" s="15"/>
      <c r="W10" s="15"/>
      <c r="X10" s="15">
        <v>220.64</v>
      </c>
      <c r="Y10" s="15">
        <v>3.61</v>
      </c>
      <c r="Z10" s="15">
        <v>27.92</v>
      </c>
      <c r="AA10" s="15">
        <f>Y10+Z10</f>
        <v>31.53</v>
      </c>
      <c r="AB10" s="15">
        <v>241.06360000000001</v>
      </c>
      <c r="AC10" s="15">
        <v>12053.180000000002</v>
      </c>
      <c r="AD10" s="15">
        <v>77.930000000000007</v>
      </c>
      <c r="AE10" s="15"/>
      <c r="AF10" s="15">
        <v>1601.75</v>
      </c>
      <c r="AG10" s="15">
        <v>96.72</v>
      </c>
      <c r="AH10" s="15">
        <v>151.11000000000001</v>
      </c>
      <c r="AI10" s="15"/>
      <c r="AJ10" s="15">
        <v>1927.5100000000002</v>
      </c>
      <c r="AK10" s="15">
        <v>1.9275100000000003</v>
      </c>
      <c r="AL10" s="177"/>
      <c r="AM10" s="137" t="s">
        <v>20</v>
      </c>
      <c r="AN10" s="131" t="str">
        <f>AO10</f>
        <v>D</v>
      </c>
      <c r="AO10" s="131" t="s">
        <v>21</v>
      </c>
      <c r="AP10" s="349">
        <f>AQ10-1</f>
        <v>45703</v>
      </c>
      <c r="AQ10" s="349">
        <f t="shared" ref="AQ10:AR10" si="1">AR10-2</f>
        <v>45704</v>
      </c>
      <c r="AR10" s="349">
        <f t="shared" si="1"/>
        <v>45706</v>
      </c>
      <c r="AS10" s="530">
        <v>45708</v>
      </c>
      <c r="AT10" s="25" t="s">
        <v>538</v>
      </c>
      <c r="AU10" s="178"/>
      <c r="AV10" s="137" t="s">
        <v>20</v>
      </c>
      <c r="AW10" s="15" t="s">
        <v>6</v>
      </c>
      <c r="AX10" s="278">
        <v>45737</v>
      </c>
      <c r="AY10" s="278">
        <f>AX10</f>
        <v>45737</v>
      </c>
      <c r="AZ10" s="182" t="s">
        <v>539</v>
      </c>
      <c r="BA10" s="183"/>
      <c r="BB10" s="137" t="s">
        <v>20</v>
      </c>
      <c r="BC10" s="131" t="s">
        <v>540</v>
      </c>
      <c r="BD10" s="131" t="s">
        <v>21</v>
      </c>
      <c r="BE10" s="279">
        <f>BF10-2</f>
        <v>45754</v>
      </c>
      <c r="BF10" s="279">
        <v>45756</v>
      </c>
      <c r="BG10" s="15" t="s">
        <v>506</v>
      </c>
      <c r="BH10" s="178"/>
      <c r="BI10" s="137" t="s">
        <v>20</v>
      </c>
      <c r="BJ10" s="131">
        <v>45824</v>
      </c>
      <c r="BK10" s="131">
        <v>45824</v>
      </c>
      <c r="BL10" s="25">
        <v>1202</v>
      </c>
      <c r="BM10" s="24" t="s">
        <v>541</v>
      </c>
      <c r="BN10" s="24"/>
      <c r="BO10" s="24"/>
    </row>
    <row r="11" spans="1:67" ht="14.25" customHeight="1">
      <c r="A11" s="2"/>
      <c r="B11" s="19"/>
      <c r="C11" s="179"/>
      <c r="D11" s="130"/>
      <c r="E11" s="130"/>
      <c r="F11" s="130"/>
      <c r="G11" s="130"/>
      <c r="H11" s="180"/>
      <c r="I11" s="19"/>
      <c r="J11" s="19"/>
      <c r="K11" s="181"/>
      <c r="L11" s="173"/>
      <c r="M11" s="15"/>
      <c r="N11" s="15"/>
      <c r="O11" s="15"/>
      <c r="P11" s="175"/>
      <c r="Q11" s="173"/>
      <c r="R11" s="15"/>
      <c r="S11" s="175"/>
      <c r="T11" s="176"/>
      <c r="U11" s="176"/>
      <c r="V11" s="16">
        <v>196</v>
      </c>
      <c r="W11" s="15" t="s">
        <v>537</v>
      </c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77"/>
      <c r="AM11" s="15"/>
      <c r="AN11" s="24"/>
      <c r="AO11" s="24"/>
      <c r="AP11" s="24"/>
      <c r="AQ11" s="24"/>
      <c r="AR11" s="24"/>
      <c r="AS11" s="25"/>
      <c r="AT11" s="25"/>
      <c r="AU11" s="178"/>
      <c r="AV11" s="24"/>
      <c r="AW11" s="24"/>
      <c r="AX11" s="278"/>
      <c r="AY11" s="278"/>
      <c r="AZ11" s="24"/>
      <c r="BA11" s="178"/>
      <c r="BB11" s="24"/>
      <c r="BC11" s="24"/>
      <c r="BD11" s="24"/>
      <c r="BE11" s="24"/>
      <c r="BF11" s="24"/>
      <c r="BG11" s="24"/>
      <c r="BH11" s="178"/>
      <c r="BI11" s="24"/>
      <c r="BJ11" s="24"/>
      <c r="BK11" s="24"/>
      <c r="BL11" s="24"/>
      <c r="BM11" s="24"/>
      <c r="BN11" s="24"/>
      <c r="BO11" s="24"/>
    </row>
    <row r="12" spans="1:67" ht="14.25" customHeight="1">
      <c r="A12" s="15">
        <f>A10+1</f>
        <v>2</v>
      </c>
      <c r="B12" s="19" t="s">
        <v>36</v>
      </c>
      <c r="C12" s="179" t="s">
        <v>37</v>
      </c>
      <c r="D12" s="130">
        <v>6.992</v>
      </c>
      <c r="E12" s="130">
        <f>D12*4</f>
        <v>27.968</v>
      </c>
      <c r="F12" s="130">
        <f>E12*8</f>
        <v>223.744</v>
      </c>
      <c r="G12" s="130"/>
      <c r="H12" s="180"/>
      <c r="I12" s="19"/>
      <c r="J12" s="19"/>
      <c r="K12" s="181"/>
      <c r="L12" s="173">
        <v>2.6070000000000002</v>
      </c>
      <c r="M12" s="15">
        <v>2.657</v>
      </c>
      <c r="N12" s="15">
        <v>2E-3</v>
      </c>
      <c r="O12" s="15">
        <v>0.21299999999999999</v>
      </c>
      <c r="P12" s="184">
        <f t="shared" ref="P12:P74" si="2">SUM(L12:O12)</f>
        <v>5.4790000000000001</v>
      </c>
      <c r="Q12" s="173">
        <v>0.24399999999999999</v>
      </c>
      <c r="R12" s="15">
        <v>5.0000000000000001E-3</v>
      </c>
      <c r="S12" s="175">
        <f t="shared" ref="S12:S74" si="3">SUM(Q12:R12)</f>
        <v>0.249</v>
      </c>
      <c r="T12" s="176" t="s">
        <v>31</v>
      </c>
      <c r="U12" s="176" t="s">
        <v>536</v>
      </c>
      <c r="V12" s="15"/>
      <c r="W12" s="15"/>
      <c r="X12" s="15">
        <v>121.84</v>
      </c>
      <c r="Y12" s="15">
        <v>0.8</v>
      </c>
      <c r="Z12" s="15">
        <v>7.8</v>
      </c>
      <c r="AA12" s="15">
        <f t="shared" ref="AA12:AA74" si="4">Y12+Z12</f>
        <v>8.6</v>
      </c>
      <c r="AB12" s="15">
        <v>66.42</v>
      </c>
      <c r="AC12" s="15">
        <v>3321</v>
      </c>
      <c r="AD12" s="15">
        <v>73.73</v>
      </c>
      <c r="AE12" s="15">
        <v>301.5</v>
      </c>
      <c r="AF12" s="15"/>
      <c r="AG12" s="15">
        <v>206.46</v>
      </c>
      <c r="AH12" s="15"/>
      <c r="AI12" s="15"/>
      <c r="AJ12" s="15">
        <v>581.69000000000005</v>
      </c>
      <c r="AK12" s="16">
        <v>0.80300000000000005</v>
      </c>
      <c r="AL12" s="177"/>
      <c r="AM12" s="137" t="s">
        <v>20</v>
      </c>
      <c r="AN12" s="131" t="str">
        <f>AO12</f>
        <v>D</v>
      </c>
      <c r="AO12" s="131" t="s">
        <v>21</v>
      </c>
      <c r="AP12" s="349">
        <f>AQ12-2</f>
        <v>45693</v>
      </c>
      <c r="AQ12" s="349">
        <f t="shared" ref="AQ12:AR12" si="5">AR12-1</f>
        <v>45695</v>
      </c>
      <c r="AR12" s="349">
        <f t="shared" si="5"/>
        <v>45696</v>
      </c>
      <c r="AS12" s="530">
        <v>45697</v>
      </c>
      <c r="AT12" s="25" t="s">
        <v>538</v>
      </c>
      <c r="AU12" s="178"/>
      <c r="AV12" s="137" t="s">
        <v>20</v>
      </c>
      <c r="AW12" s="15" t="s">
        <v>6</v>
      </c>
      <c r="AX12" s="278">
        <v>45709</v>
      </c>
      <c r="AY12" s="278">
        <f>AX12</f>
        <v>45709</v>
      </c>
      <c r="AZ12" s="182" t="s">
        <v>539</v>
      </c>
      <c r="BA12" s="183"/>
      <c r="BB12" s="137" t="s">
        <v>20</v>
      </c>
      <c r="BC12" s="131" t="s">
        <v>540</v>
      </c>
      <c r="BD12" s="131" t="s">
        <v>21</v>
      </c>
      <c r="BE12" s="279">
        <f>BF12-2</f>
        <v>45749</v>
      </c>
      <c r="BF12" s="279">
        <v>45751</v>
      </c>
      <c r="BG12" s="15" t="s">
        <v>506</v>
      </c>
      <c r="BH12" s="178"/>
      <c r="BI12" s="137" t="s">
        <v>20</v>
      </c>
      <c r="BJ12" s="131">
        <v>45824</v>
      </c>
      <c r="BK12" s="131">
        <v>45824</v>
      </c>
      <c r="BL12" s="25">
        <v>1330</v>
      </c>
      <c r="BM12" s="24" t="s">
        <v>541</v>
      </c>
      <c r="BN12" s="24"/>
      <c r="BO12" s="24"/>
    </row>
    <row r="13" spans="1:67" ht="14.25" customHeight="1">
      <c r="A13" s="15" t="s">
        <v>0</v>
      </c>
      <c r="B13" s="19"/>
      <c r="C13" s="179"/>
      <c r="D13" s="130"/>
      <c r="E13" s="130"/>
      <c r="F13" s="130"/>
      <c r="G13" s="130"/>
      <c r="H13" s="180"/>
      <c r="I13" s="19"/>
      <c r="J13" s="19"/>
      <c r="K13" s="181"/>
      <c r="L13" s="173"/>
      <c r="M13" s="15"/>
      <c r="N13" s="15"/>
      <c r="O13" s="15"/>
      <c r="P13" s="175"/>
      <c r="Q13" s="173"/>
      <c r="R13" s="15"/>
      <c r="S13" s="175"/>
      <c r="T13" s="176"/>
      <c r="U13" s="176"/>
      <c r="V13" s="16">
        <v>196.74299999999999</v>
      </c>
      <c r="W13" s="15" t="s">
        <v>500</v>
      </c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77"/>
      <c r="AM13" s="15"/>
      <c r="AN13" s="24"/>
      <c r="AO13" s="24"/>
      <c r="AP13" s="24"/>
      <c r="AQ13" s="24"/>
      <c r="AR13" s="24"/>
      <c r="AS13" s="25"/>
      <c r="AT13" s="25"/>
      <c r="AU13" s="178"/>
      <c r="AV13" s="24"/>
      <c r="AW13" s="24"/>
      <c r="AX13" s="278"/>
      <c r="AY13" s="278"/>
      <c r="AZ13" s="24"/>
      <c r="BA13" s="178"/>
      <c r="BB13" s="24"/>
      <c r="BC13" s="24"/>
      <c r="BD13" s="24"/>
      <c r="BE13" s="24"/>
      <c r="BF13" s="24"/>
      <c r="BG13" s="24"/>
      <c r="BH13" s="178"/>
      <c r="BI13" s="24"/>
      <c r="BJ13" s="24"/>
      <c r="BK13" s="24"/>
      <c r="BL13" s="24"/>
      <c r="BM13" s="24"/>
      <c r="BN13" s="24"/>
      <c r="BO13" s="24"/>
    </row>
    <row r="14" spans="1:67" ht="14.25" customHeight="1">
      <c r="A14" s="15">
        <f t="shared" ref="A14" si="6">A12+1</f>
        <v>3</v>
      </c>
      <c r="B14" s="19" t="s">
        <v>38</v>
      </c>
      <c r="C14" s="179" t="s">
        <v>39</v>
      </c>
      <c r="D14" s="130">
        <v>7.7080000000000002</v>
      </c>
      <c r="E14" s="130">
        <f>D14*4</f>
        <v>30.832000000000001</v>
      </c>
      <c r="F14" s="130">
        <f>E14*8</f>
        <v>246.65600000000001</v>
      </c>
      <c r="G14" s="130"/>
      <c r="H14" s="180"/>
      <c r="I14" s="19"/>
      <c r="J14" s="19"/>
      <c r="K14" s="181"/>
      <c r="L14" s="173">
        <v>4.0570000000000004</v>
      </c>
      <c r="M14" s="15">
        <v>2.48</v>
      </c>
      <c r="N14" s="15">
        <v>6.0000000000000001E-3</v>
      </c>
      <c r="O14" s="15">
        <v>0.36499999999999999</v>
      </c>
      <c r="P14" s="175">
        <f t="shared" si="2"/>
        <v>6.9080000000000013</v>
      </c>
      <c r="Q14" s="173">
        <v>0.436</v>
      </c>
      <c r="R14" s="15">
        <v>0.01</v>
      </c>
      <c r="S14" s="175">
        <f t="shared" si="3"/>
        <v>0.44600000000000001</v>
      </c>
      <c r="T14" s="176" t="s">
        <v>40</v>
      </c>
      <c r="U14" s="176" t="s">
        <v>536</v>
      </c>
      <c r="V14" s="15"/>
      <c r="W14" s="15"/>
      <c r="X14" s="15">
        <v>75.36</v>
      </c>
      <c r="Y14" s="15">
        <v>1.35</v>
      </c>
      <c r="Z14" s="15">
        <v>12.85</v>
      </c>
      <c r="AA14" s="15">
        <f t="shared" si="4"/>
        <v>14.2</v>
      </c>
      <c r="AB14" s="15">
        <v>109.565</v>
      </c>
      <c r="AC14" s="15">
        <v>5478.25</v>
      </c>
      <c r="AD14" s="15">
        <v>81.819999999999993</v>
      </c>
      <c r="AE14" s="15">
        <v>599.6</v>
      </c>
      <c r="AF14" s="15"/>
      <c r="AG14" s="15">
        <v>201.4</v>
      </c>
      <c r="AH14" s="15"/>
      <c r="AI14" s="15"/>
      <c r="AJ14" s="15">
        <v>882.82</v>
      </c>
      <c r="AK14" s="15">
        <v>0.88282000000000005</v>
      </c>
      <c r="AL14" s="177"/>
      <c r="AM14" s="137" t="s">
        <v>20</v>
      </c>
      <c r="AN14" s="131" t="str">
        <f>AO14</f>
        <v>D</v>
      </c>
      <c r="AO14" s="131" t="s">
        <v>21</v>
      </c>
      <c r="AP14" s="349">
        <f>AQ14-3</f>
        <v>45736</v>
      </c>
      <c r="AQ14" s="349">
        <f t="shared" ref="AQ14:AR14" si="7">AR14-2</f>
        <v>45739</v>
      </c>
      <c r="AR14" s="349">
        <f t="shared" si="7"/>
        <v>45741</v>
      </c>
      <c r="AS14" s="530">
        <v>45743</v>
      </c>
      <c r="AT14" s="25" t="s">
        <v>538</v>
      </c>
      <c r="AU14" s="178"/>
      <c r="AV14" s="137" t="s">
        <v>20</v>
      </c>
      <c r="AW14" s="15" t="s">
        <v>6</v>
      </c>
      <c r="AX14" s="278">
        <v>45709</v>
      </c>
      <c r="AY14" s="278">
        <f>AX14</f>
        <v>45709</v>
      </c>
      <c r="AZ14" s="182" t="s">
        <v>539</v>
      </c>
      <c r="BA14" s="183"/>
      <c r="BB14" s="137" t="s">
        <v>20</v>
      </c>
      <c r="BC14" s="131" t="s">
        <v>543</v>
      </c>
      <c r="BD14" s="131" t="s">
        <v>21</v>
      </c>
      <c r="BE14" s="279">
        <f>BF14-2</f>
        <v>45758</v>
      </c>
      <c r="BF14" s="279">
        <v>45760</v>
      </c>
      <c r="BG14" s="15" t="s">
        <v>506</v>
      </c>
      <c r="BH14" s="178"/>
      <c r="BI14" s="137" t="s">
        <v>20</v>
      </c>
      <c r="BJ14" s="131">
        <v>45824</v>
      </c>
      <c r="BK14" s="131">
        <v>45824</v>
      </c>
      <c r="BL14" s="25">
        <v>1001</v>
      </c>
      <c r="BM14" s="185" t="s">
        <v>541</v>
      </c>
      <c r="BN14" s="24"/>
      <c r="BO14" s="24"/>
    </row>
    <row r="15" spans="1:67" ht="14.25" customHeight="1">
      <c r="A15" s="15" t="s">
        <v>0</v>
      </c>
      <c r="B15" s="19"/>
      <c r="C15" s="179"/>
      <c r="D15" s="130"/>
      <c r="E15" s="130"/>
      <c r="F15" s="130"/>
      <c r="G15" s="130"/>
      <c r="H15" s="180"/>
      <c r="I15" s="19"/>
      <c r="J15" s="19"/>
      <c r="K15" s="181"/>
      <c r="L15" s="173"/>
      <c r="M15" s="15"/>
      <c r="N15" s="15"/>
      <c r="O15" s="15"/>
      <c r="P15" s="175"/>
      <c r="Q15" s="173"/>
      <c r="R15" s="15"/>
      <c r="S15" s="175"/>
      <c r="T15" s="176"/>
      <c r="U15" s="176"/>
      <c r="V15" s="16">
        <v>334</v>
      </c>
      <c r="W15" s="15" t="s">
        <v>500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77"/>
      <c r="AM15" s="15"/>
      <c r="AN15" s="24"/>
      <c r="AO15" s="24"/>
      <c r="AP15" s="24"/>
      <c r="AQ15" s="24"/>
      <c r="AR15" s="24"/>
      <c r="AS15" s="25"/>
      <c r="AT15" s="25"/>
      <c r="AU15" s="178"/>
      <c r="AV15" s="24"/>
      <c r="AW15" s="24"/>
      <c r="AX15" s="278"/>
      <c r="AY15" s="278"/>
      <c r="AZ15" s="24"/>
      <c r="BA15" s="178"/>
      <c r="BB15" s="24"/>
      <c r="BC15" s="24"/>
      <c r="BD15" s="24"/>
      <c r="BE15" s="24"/>
      <c r="BF15" s="24"/>
      <c r="BG15" s="24"/>
      <c r="BH15" s="178"/>
      <c r="BI15" s="24"/>
      <c r="BJ15" s="24"/>
      <c r="BK15" s="24"/>
      <c r="BL15" s="24"/>
      <c r="BM15" s="24"/>
      <c r="BN15" s="24"/>
      <c r="BO15" s="24"/>
    </row>
    <row r="16" spans="1:67" ht="14.25" customHeight="1">
      <c r="A16" s="15">
        <f t="shared" ref="A16" si="8">A14+1</f>
        <v>4</v>
      </c>
      <c r="B16" s="19" t="s">
        <v>41</v>
      </c>
      <c r="C16" s="179" t="s">
        <v>42</v>
      </c>
      <c r="D16" s="130">
        <v>6.3620000000000001</v>
      </c>
      <c r="E16" s="130">
        <f>D16*4</f>
        <v>25.448</v>
      </c>
      <c r="F16" s="130">
        <f>E16*8</f>
        <v>203.584</v>
      </c>
      <c r="G16" s="130"/>
      <c r="H16" s="180"/>
      <c r="I16" s="19"/>
      <c r="J16" s="19"/>
      <c r="K16" s="181"/>
      <c r="L16" s="173">
        <v>2.25</v>
      </c>
      <c r="M16" s="15">
        <v>2.1880000000000002</v>
      </c>
      <c r="N16" s="15">
        <v>2E-3</v>
      </c>
      <c r="O16" s="15">
        <v>0.183</v>
      </c>
      <c r="P16" s="175">
        <f t="shared" si="2"/>
        <v>4.6230000000000002</v>
      </c>
      <c r="Q16" s="173">
        <v>0.24399999999999999</v>
      </c>
      <c r="R16" s="15">
        <v>5.0000000000000001E-3</v>
      </c>
      <c r="S16" s="175">
        <f t="shared" si="3"/>
        <v>0.249</v>
      </c>
      <c r="T16" s="176" t="s">
        <v>31</v>
      </c>
      <c r="U16" s="176" t="s">
        <v>536</v>
      </c>
      <c r="V16" s="15"/>
      <c r="W16" s="15"/>
      <c r="X16" s="15">
        <v>121.84</v>
      </c>
      <c r="Y16" s="15">
        <v>0.88</v>
      </c>
      <c r="Z16" s="15">
        <v>8.1199999999999992</v>
      </c>
      <c r="AA16" s="15">
        <f t="shared" si="4"/>
        <v>9</v>
      </c>
      <c r="AB16" s="15">
        <v>66.42</v>
      </c>
      <c r="AC16" s="15">
        <v>3321</v>
      </c>
      <c r="AD16" s="15">
        <v>73.73</v>
      </c>
      <c r="AE16" s="15">
        <v>301.5</v>
      </c>
      <c r="AF16" s="15"/>
      <c r="AG16" s="15">
        <v>206.46</v>
      </c>
      <c r="AH16" s="15"/>
      <c r="AI16" s="15"/>
      <c r="AJ16" s="15">
        <v>581.69000000000005</v>
      </c>
      <c r="AK16" s="16">
        <v>0.80300000000000005</v>
      </c>
      <c r="AL16" s="177"/>
      <c r="AM16" s="137" t="s">
        <v>20</v>
      </c>
      <c r="AN16" s="131" t="str">
        <f>AO16</f>
        <v>D</v>
      </c>
      <c r="AO16" s="131" t="s">
        <v>21</v>
      </c>
      <c r="AP16" s="349">
        <f>AQ16-2</f>
        <v>45706</v>
      </c>
      <c r="AQ16" s="349">
        <f>AR16-1</f>
        <v>45708</v>
      </c>
      <c r="AR16" s="349">
        <f>AS16-2</f>
        <v>45709</v>
      </c>
      <c r="AS16" s="530">
        <v>45711</v>
      </c>
      <c r="AT16" s="25" t="s">
        <v>538</v>
      </c>
      <c r="AU16" s="178"/>
      <c r="AV16" s="137" t="s">
        <v>20</v>
      </c>
      <c r="AW16" s="15" t="s">
        <v>544</v>
      </c>
      <c r="AX16" s="278">
        <v>45709</v>
      </c>
      <c r="AY16" s="278">
        <f>AX16</f>
        <v>45709</v>
      </c>
      <c r="AZ16" s="182" t="s">
        <v>539</v>
      </c>
      <c r="BA16" s="183"/>
      <c r="BB16" s="137" t="s">
        <v>20</v>
      </c>
      <c r="BC16" s="131" t="s">
        <v>540</v>
      </c>
      <c r="BD16" s="131" t="s">
        <v>21</v>
      </c>
      <c r="BE16" s="279">
        <f>BF16-2</f>
        <v>45747</v>
      </c>
      <c r="BF16" s="279">
        <v>45749</v>
      </c>
      <c r="BG16" s="15" t="s">
        <v>506</v>
      </c>
      <c r="BH16" s="178"/>
      <c r="BI16" s="137" t="s">
        <v>20</v>
      </c>
      <c r="BJ16" s="131">
        <v>45825</v>
      </c>
      <c r="BK16" s="131">
        <v>45825</v>
      </c>
      <c r="BL16" s="25">
        <v>980</v>
      </c>
      <c r="BM16" s="24" t="s">
        <v>541</v>
      </c>
      <c r="BN16" s="24"/>
      <c r="BO16" s="24"/>
    </row>
    <row r="17" spans="1:65" ht="14.25" customHeight="1">
      <c r="A17" s="15" t="s">
        <v>0</v>
      </c>
      <c r="B17" s="19"/>
      <c r="C17" s="179"/>
      <c r="D17" s="130"/>
      <c r="E17" s="130"/>
      <c r="F17" s="130"/>
      <c r="G17" s="130"/>
      <c r="H17" s="180"/>
      <c r="I17" s="19"/>
      <c r="J17" s="19"/>
      <c r="K17" s="181"/>
      <c r="L17" s="173"/>
      <c r="M17" s="15"/>
      <c r="N17" s="15"/>
      <c r="O17" s="15"/>
      <c r="P17" s="175"/>
      <c r="Q17" s="173"/>
      <c r="R17" s="15"/>
      <c r="S17" s="175"/>
      <c r="T17" s="176"/>
      <c r="U17" s="176"/>
      <c r="V17" s="16">
        <v>319</v>
      </c>
      <c r="W17" s="15" t="s">
        <v>565</v>
      </c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77"/>
      <c r="AM17" s="15"/>
      <c r="AN17" s="24"/>
      <c r="AO17" s="24"/>
      <c r="AP17" s="24"/>
      <c r="AQ17" s="24"/>
      <c r="AR17" s="24"/>
      <c r="AS17" s="25"/>
      <c r="AT17" s="25"/>
      <c r="AU17" s="178"/>
      <c r="AV17" s="24"/>
      <c r="AW17" s="24"/>
      <c r="AX17" s="278"/>
      <c r="AY17" s="278"/>
      <c r="AZ17" s="24"/>
      <c r="BA17" s="178"/>
      <c r="BB17" s="24"/>
      <c r="BC17" s="24"/>
      <c r="BD17" s="24"/>
      <c r="BE17" s="24"/>
      <c r="BF17" s="24"/>
      <c r="BG17" s="24"/>
      <c r="BH17" s="178"/>
      <c r="BI17" s="24"/>
      <c r="BJ17" s="24"/>
      <c r="BK17" s="24"/>
      <c r="BL17" s="24"/>
      <c r="BM17" s="24"/>
    </row>
    <row r="18" spans="1:65" ht="14.25" customHeight="1">
      <c r="A18" s="15">
        <f t="shared" ref="A18" si="9">A16+1</f>
        <v>5</v>
      </c>
      <c r="B18" s="19" t="s">
        <v>43</v>
      </c>
      <c r="C18" s="179" t="s">
        <v>37</v>
      </c>
      <c r="D18" s="130">
        <v>6.992</v>
      </c>
      <c r="E18" s="130">
        <f>D18*4</f>
        <v>27.968</v>
      </c>
      <c r="F18" s="130">
        <f>E18*8</f>
        <v>223.744</v>
      </c>
      <c r="G18" s="130"/>
      <c r="H18" s="180"/>
      <c r="I18" s="19"/>
      <c r="J18" s="19"/>
      <c r="K18" s="181"/>
      <c r="L18" s="173">
        <v>2.6070000000000002</v>
      </c>
      <c r="M18" s="15">
        <v>2.657</v>
      </c>
      <c r="N18" s="15">
        <v>2E-3</v>
      </c>
      <c r="O18" s="15">
        <v>0.21299999999999999</v>
      </c>
      <c r="P18" s="175">
        <f t="shared" si="2"/>
        <v>5.4790000000000001</v>
      </c>
      <c r="Q18" s="173">
        <v>0.24399999999999999</v>
      </c>
      <c r="R18" s="15">
        <v>5.0000000000000001E-3</v>
      </c>
      <c r="S18" s="175">
        <f t="shared" si="3"/>
        <v>0.249</v>
      </c>
      <c r="T18" s="176"/>
      <c r="U18" s="176" t="s">
        <v>536</v>
      </c>
      <c r="V18" s="16"/>
      <c r="W18" s="15"/>
      <c r="X18" s="15">
        <v>41.44</v>
      </c>
      <c r="Y18" s="15">
        <v>0.8</v>
      </c>
      <c r="Z18" s="15">
        <v>7.8</v>
      </c>
      <c r="AA18" s="15">
        <f t="shared" si="4"/>
        <v>8.6</v>
      </c>
      <c r="AB18" s="15">
        <v>66.42</v>
      </c>
      <c r="AC18" s="15">
        <v>3321</v>
      </c>
      <c r="AD18" s="15">
        <v>73.73</v>
      </c>
      <c r="AE18" s="15">
        <v>301.5</v>
      </c>
      <c r="AF18" s="186"/>
      <c r="AG18" s="186">
        <v>206.46</v>
      </c>
      <c r="AH18" s="186"/>
      <c r="AI18" s="186"/>
      <c r="AJ18" s="186">
        <v>581.69000000000005</v>
      </c>
      <c r="AK18" s="15">
        <v>0.58169000000000004</v>
      </c>
      <c r="AL18" s="177"/>
      <c r="AM18" s="137" t="s">
        <v>20</v>
      </c>
      <c r="AN18" s="131" t="str">
        <f>AO18</f>
        <v>D</v>
      </c>
      <c r="AO18" s="131" t="s">
        <v>21</v>
      </c>
      <c r="AP18" s="349">
        <f t="shared" ref="AP18:AR18" si="10">AQ18-1</f>
        <v>45691</v>
      </c>
      <c r="AQ18" s="349">
        <f t="shared" si="10"/>
        <v>45692</v>
      </c>
      <c r="AR18" s="349">
        <f t="shared" si="10"/>
        <v>45693</v>
      </c>
      <c r="AS18" s="530">
        <v>45694</v>
      </c>
      <c r="AT18" s="25" t="s">
        <v>538</v>
      </c>
      <c r="AU18" s="178"/>
      <c r="AV18" s="137" t="s">
        <v>20</v>
      </c>
      <c r="AW18" s="15" t="s">
        <v>6</v>
      </c>
      <c r="AX18" s="278">
        <v>45709</v>
      </c>
      <c r="AY18" s="278">
        <f>AX18</f>
        <v>45709</v>
      </c>
      <c r="AZ18" s="182" t="s">
        <v>539</v>
      </c>
      <c r="BA18" s="183"/>
      <c r="BB18" s="137" t="s">
        <v>20</v>
      </c>
      <c r="BC18" s="131" t="s">
        <v>543</v>
      </c>
      <c r="BD18" s="131" t="s">
        <v>21</v>
      </c>
      <c r="BE18" s="279">
        <f>BF18-2</f>
        <v>45745</v>
      </c>
      <c r="BF18" s="279">
        <v>45747</v>
      </c>
      <c r="BG18" s="15" t="s">
        <v>506</v>
      </c>
      <c r="BH18" s="178"/>
      <c r="BI18" s="137" t="s">
        <v>20</v>
      </c>
      <c r="BJ18" s="131">
        <v>45825</v>
      </c>
      <c r="BK18" s="131">
        <v>45825</v>
      </c>
      <c r="BL18" s="25">
        <v>1330</v>
      </c>
      <c r="BM18" s="24" t="s">
        <v>541</v>
      </c>
    </row>
    <row r="19" spans="1:65" ht="14.25" customHeight="1">
      <c r="A19" s="15" t="s">
        <v>0</v>
      </c>
      <c r="B19" s="19"/>
      <c r="C19" s="179"/>
      <c r="D19" s="130"/>
      <c r="E19" s="130"/>
      <c r="F19" s="130"/>
      <c r="G19" s="130"/>
      <c r="H19" s="180"/>
      <c r="I19" s="19"/>
      <c r="J19" s="19"/>
      <c r="K19" s="181"/>
      <c r="L19" s="173"/>
      <c r="M19" s="15"/>
      <c r="N19" s="15"/>
      <c r="O19" s="15"/>
      <c r="P19" s="175"/>
      <c r="Q19" s="173"/>
      <c r="R19" s="15"/>
      <c r="S19" s="175"/>
      <c r="T19" s="176"/>
      <c r="U19" s="176"/>
      <c r="V19" s="16">
        <v>384.31799999999998</v>
      </c>
      <c r="W19" s="15" t="s">
        <v>500</v>
      </c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77"/>
      <c r="AM19" s="15"/>
      <c r="AN19" s="24"/>
      <c r="AO19" s="24"/>
      <c r="AP19" s="24"/>
      <c r="AQ19" s="24"/>
      <c r="AR19" s="24"/>
      <c r="AS19" s="25"/>
      <c r="AT19" s="25"/>
      <c r="AU19" s="178"/>
      <c r="AV19" s="24"/>
      <c r="AW19" s="24"/>
      <c r="AX19" s="278"/>
      <c r="AY19" s="278"/>
      <c r="AZ19" s="24"/>
      <c r="BA19" s="178"/>
      <c r="BB19" s="24"/>
      <c r="BC19" s="24"/>
      <c r="BD19" s="24"/>
      <c r="BE19" s="24"/>
      <c r="BF19" s="24"/>
      <c r="BG19" s="24"/>
      <c r="BH19" s="178"/>
      <c r="BI19" s="24"/>
      <c r="BJ19" s="24"/>
      <c r="BK19" s="24"/>
      <c r="BL19" s="24"/>
      <c r="BM19" s="24"/>
    </row>
    <row r="20" spans="1:65" ht="14.25" customHeight="1">
      <c r="A20" s="15">
        <f t="shared" ref="A20" si="11">A18+1</f>
        <v>6</v>
      </c>
      <c r="B20" s="19" t="s">
        <v>45</v>
      </c>
      <c r="C20" s="179" t="s">
        <v>46</v>
      </c>
      <c r="D20" s="130">
        <v>8.6259999999999994</v>
      </c>
      <c r="E20" s="130">
        <f>D20*4</f>
        <v>34.503999999999998</v>
      </c>
      <c r="F20" s="130">
        <f>E20*8</f>
        <v>276.03199999999998</v>
      </c>
      <c r="G20" s="130"/>
      <c r="H20" s="180"/>
      <c r="I20" s="19"/>
      <c r="J20" s="19"/>
      <c r="K20" s="181"/>
      <c r="L20" s="173">
        <v>4.5380000000000003</v>
      </c>
      <c r="M20" s="15">
        <v>3.2290000000000001</v>
      </c>
      <c r="N20" s="15">
        <v>6.4000000000000003E-3</v>
      </c>
      <c r="O20" s="15">
        <v>0.42899999999999999</v>
      </c>
      <c r="P20" s="175">
        <f t="shared" si="2"/>
        <v>8.2024000000000008</v>
      </c>
      <c r="Q20" s="173">
        <v>0.436</v>
      </c>
      <c r="R20" s="15">
        <v>0.01</v>
      </c>
      <c r="S20" s="175">
        <f t="shared" si="3"/>
        <v>0.44600000000000001</v>
      </c>
      <c r="T20" s="176" t="s">
        <v>297</v>
      </c>
      <c r="U20" s="176" t="s">
        <v>536</v>
      </c>
      <c r="V20" s="15"/>
      <c r="W20" s="15"/>
      <c r="X20" s="15">
        <v>75.36</v>
      </c>
      <c r="Y20" s="15">
        <v>1.35</v>
      </c>
      <c r="Z20" s="15">
        <v>12.85</v>
      </c>
      <c r="AA20" s="15">
        <f t="shared" si="4"/>
        <v>14.2</v>
      </c>
      <c r="AB20" s="15">
        <v>109.565</v>
      </c>
      <c r="AC20" s="15">
        <v>5478.25</v>
      </c>
      <c r="AD20" s="15">
        <v>81.819999999999993</v>
      </c>
      <c r="AE20" s="15">
        <v>599.6</v>
      </c>
      <c r="AF20" s="15"/>
      <c r="AG20" s="15">
        <v>201.4</v>
      </c>
      <c r="AH20" s="15"/>
      <c r="AI20" s="15"/>
      <c r="AJ20" s="15">
        <v>882.82</v>
      </c>
      <c r="AK20" s="15">
        <v>0.88282000000000005</v>
      </c>
      <c r="AL20" s="177"/>
      <c r="AM20" s="137" t="s">
        <v>20</v>
      </c>
      <c r="AN20" s="131" t="str">
        <f>AO20</f>
        <v>D</v>
      </c>
      <c r="AO20" s="131" t="s">
        <v>21</v>
      </c>
      <c r="AP20" s="349">
        <f>AQ20-3</f>
        <v>45698</v>
      </c>
      <c r="AQ20" s="349">
        <f t="shared" ref="AQ20:AR20" si="12">AR20-2</f>
        <v>45701</v>
      </c>
      <c r="AR20" s="349">
        <f t="shared" si="12"/>
        <v>45703</v>
      </c>
      <c r="AS20" s="530">
        <v>45705</v>
      </c>
      <c r="AT20" s="25" t="s">
        <v>538</v>
      </c>
      <c r="AU20" s="178"/>
      <c r="AV20" s="137" t="s">
        <v>20</v>
      </c>
      <c r="AW20" s="15" t="s">
        <v>6</v>
      </c>
      <c r="AX20" s="278">
        <v>45733</v>
      </c>
      <c r="AY20" s="278">
        <f>AX20</f>
        <v>45733</v>
      </c>
      <c r="AZ20" s="182" t="s">
        <v>539</v>
      </c>
      <c r="BA20" s="183"/>
      <c r="BB20" s="137" t="s">
        <v>20</v>
      </c>
      <c r="BC20" s="131" t="s">
        <v>543</v>
      </c>
      <c r="BD20" s="131" t="s">
        <v>21</v>
      </c>
      <c r="BE20" s="279">
        <f>BF20-2</f>
        <v>45768</v>
      </c>
      <c r="BF20" s="279">
        <v>45770</v>
      </c>
      <c r="BG20" s="15" t="s">
        <v>506</v>
      </c>
      <c r="BH20" s="178"/>
      <c r="BI20" s="137" t="s">
        <v>20</v>
      </c>
      <c r="BJ20" s="131">
        <v>45827</v>
      </c>
      <c r="BK20" s="131">
        <v>45827</v>
      </c>
      <c r="BL20" s="25">
        <v>1433</v>
      </c>
      <c r="BM20" s="185" t="s">
        <v>541</v>
      </c>
    </row>
    <row r="21" spans="1:65" ht="14.25" customHeight="1">
      <c r="A21" s="15" t="s">
        <v>0</v>
      </c>
      <c r="B21" s="19"/>
      <c r="C21" s="179"/>
      <c r="D21" s="130"/>
      <c r="E21" s="130"/>
      <c r="F21" s="130"/>
      <c r="G21" s="130"/>
      <c r="H21" s="180"/>
      <c r="I21" s="19"/>
      <c r="J21" s="19"/>
      <c r="K21" s="181"/>
      <c r="L21" s="173"/>
      <c r="M21" s="15"/>
      <c r="N21" s="15"/>
      <c r="O21" s="15"/>
      <c r="P21" s="175"/>
      <c r="Q21" s="173"/>
      <c r="R21" s="15"/>
      <c r="S21" s="175"/>
      <c r="T21" s="176"/>
      <c r="U21" s="176"/>
      <c r="V21" s="16">
        <v>329</v>
      </c>
      <c r="W21" s="15" t="s">
        <v>500</v>
      </c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77"/>
      <c r="AM21" s="15"/>
      <c r="AN21" s="24"/>
      <c r="AO21" s="24"/>
      <c r="AP21" s="24"/>
      <c r="AQ21" s="24"/>
      <c r="AR21" s="24"/>
      <c r="AS21" s="25"/>
      <c r="AT21" s="25"/>
      <c r="AU21" s="178"/>
      <c r="AV21" s="24"/>
      <c r="AW21" s="24"/>
      <c r="AX21" s="278"/>
      <c r="AY21" s="278"/>
      <c r="AZ21" s="24"/>
      <c r="BA21" s="178"/>
      <c r="BB21" s="24"/>
      <c r="BC21" s="24"/>
      <c r="BD21" s="24"/>
      <c r="BE21" s="24"/>
      <c r="BF21" s="24"/>
      <c r="BG21" s="24"/>
      <c r="BH21" s="178"/>
      <c r="BI21" s="24"/>
      <c r="BJ21" s="24"/>
      <c r="BK21" s="24"/>
      <c r="BL21" s="24"/>
      <c r="BM21" s="24"/>
    </row>
    <row r="22" spans="1:65" ht="14.25" customHeight="1">
      <c r="A22" s="15">
        <f t="shared" ref="A22" si="13">A20+1</f>
        <v>7</v>
      </c>
      <c r="B22" s="19" t="s">
        <v>47</v>
      </c>
      <c r="C22" s="179" t="s">
        <v>37</v>
      </c>
      <c r="D22" s="130">
        <v>6.992</v>
      </c>
      <c r="E22" s="130">
        <f>D22*4</f>
        <v>27.968</v>
      </c>
      <c r="F22" s="130">
        <f>E22*8</f>
        <v>223.744</v>
      </c>
      <c r="G22" s="130"/>
      <c r="H22" s="180"/>
      <c r="I22" s="19"/>
      <c r="J22" s="19"/>
      <c r="K22" s="181"/>
      <c r="L22" s="173">
        <v>2.6070000000000002</v>
      </c>
      <c r="M22" s="15">
        <v>2.657</v>
      </c>
      <c r="N22" s="15">
        <v>2E-3</v>
      </c>
      <c r="O22" s="15">
        <v>0.21299999999999999</v>
      </c>
      <c r="P22" s="175">
        <f t="shared" si="2"/>
        <v>5.4790000000000001</v>
      </c>
      <c r="Q22" s="173">
        <v>0.24399999999999999</v>
      </c>
      <c r="R22" s="15">
        <v>5.0000000000000001E-3</v>
      </c>
      <c r="S22" s="175">
        <f t="shared" si="3"/>
        <v>0.249</v>
      </c>
      <c r="T22" s="176" t="s">
        <v>31</v>
      </c>
      <c r="U22" s="176" t="s">
        <v>536</v>
      </c>
      <c r="V22" s="15"/>
      <c r="W22" s="15"/>
      <c r="X22" s="15">
        <v>41.44</v>
      </c>
      <c r="Y22" s="15">
        <v>0.8</v>
      </c>
      <c r="Z22" s="15">
        <v>7.8</v>
      </c>
      <c r="AA22" s="15">
        <f t="shared" si="4"/>
        <v>8.6</v>
      </c>
      <c r="AB22" s="15">
        <v>66.42</v>
      </c>
      <c r="AC22" s="15">
        <v>3321</v>
      </c>
      <c r="AD22" s="15">
        <v>73.73</v>
      </c>
      <c r="AE22" s="15">
        <v>301.5</v>
      </c>
      <c r="AF22" s="186"/>
      <c r="AG22" s="186">
        <v>206.46</v>
      </c>
      <c r="AH22" s="186"/>
      <c r="AI22" s="186"/>
      <c r="AJ22" s="186">
        <v>581.69000000000005</v>
      </c>
      <c r="AK22" s="15">
        <v>0.58169000000000004</v>
      </c>
      <c r="AL22" s="177"/>
      <c r="AM22" s="137" t="s">
        <v>20</v>
      </c>
      <c r="AN22" s="131" t="str">
        <f>AO22</f>
        <v>D</v>
      </c>
      <c r="AO22" s="131" t="s">
        <v>21</v>
      </c>
      <c r="AP22" s="349">
        <v>45688</v>
      </c>
      <c r="AQ22" s="349">
        <f>AP22+2</f>
        <v>45690</v>
      </c>
      <c r="AR22" s="349">
        <f>AS22-2</f>
        <v>45691</v>
      </c>
      <c r="AS22" s="530">
        <v>45693</v>
      </c>
      <c r="AT22" s="25" t="s">
        <v>539</v>
      </c>
      <c r="AU22" s="178"/>
      <c r="AV22" s="137" t="s">
        <v>20</v>
      </c>
      <c r="AW22" s="15" t="s">
        <v>6</v>
      </c>
      <c r="AX22" s="278">
        <v>45709</v>
      </c>
      <c r="AY22" s="278">
        <f>AX22</f>
        <v>45709</v>
      </c>
      <c r="AZ22" s="182" t="s">
        <v>539</v>
      </c>
      <c r="BA22" s="183"/>
      <c r="BB22" s="137" t="s">
        <v>20</v>
      </c>
      <c r="BC22" s="131" t="s">
        <v>540</v>
      </c>
      <c r="BD22" s="131" t="s">
        <v>21</v>
      </c>
      <c r="BE22" s="279">
        <f>BF22-2</f>
        <v>45751</v>
      </c>
      <c r="BF22" s="279">
        <v>45753</v>
      </c>
      <c r="BG22" s="15" t="s">
        <v>506</v>
      </c>
      <c r="BH22" s="178"/>
      <c r="BI22" s="137" t="s">
        <v>20</v>
      </c>
      <c r="BJ22" s="131">
        <v>45827</v>
      </c>
      <c r="BK22" s="131">
        <v>45827</v>
      </c>
      <c r="BL22" s="25">
        <v>1330</v>
      </c>
      <c r="BM22" s="24" t="s">
        <v>541</v>
      </c>
    </row>
    <row r="23" spans="1:65" ht="14.25" customHeight="1">
      <c r="A23" s="15" t="s">
        <v>0</v>
      </c>
      <c r="B23" s="19"/>
      <c r="C23" s="179"/>
      <c r="D23" s="130"/>
      <c r="E23" s="130"/>
      <c r="F23" s="130"/>
      <c r="G23" s="130"/>
      <c r="H23" s="180"/>
      <c r="I23" s="19"/>
      <c r="J23" s="19"/>
      <c r="K23" s="181"/>
      <c r="L23" s="173"/>
      <c r="M23" s="15"/>
      <c r="N23" s="15"/>
      <c r="O23" s="15"/>
      <c r="P23" s="175"/>
      <c r="Q23" s="173"/>
      <c r="R23" s="15"/>
      <c r="S23" s="175"/>
      <c r="T23" s="176"/>
      <c r="U23" s="176"/>
      <c r="V23" s="16">
        <v>280</v>
      </c>
      <c r="W23" s="15" t="s">
        <v>500</v>
      </c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77"/>
      <c r="AM23" s="15"/>
      <c r="AN23" s="24"/>
      <c r="AO23" s="24"/>
      <c r="AP23" s="24"/>
      <c r="AQ23" s="24"/>
      <c r="AR23" s="24"/>
      <c r="AS23" s="25"/>
      <c r="AT23" s="25"/>
      <c r="AU23" s="178"/>
      <c r="AV23" s="24"/>
      <c r="AW23" s="24"/>
      <c r="AX23" s="278"/>
      <c r="AY23" s="278"/>
      <c r="AZ23" s="24"/>
      <c r="BA23" s="178"/>
      <c r="BB23" s="24"/>
      <c r="BC23" s="24"/>
      <c r="BD23" s="24"/>
      <c r="BE23" s="24"/>
      <c r="BF23" s="24"/>
      <c r="BG23" s="24"/>
      <c r="BH23" s="178"/>
      <c r="BI23" s="24"/>
      <c r="BJ23" s="24"/>
      <c r="BK23" s="24"/>
      <c r="BL23" s="24"/>
      <c r="BM23" s="24"/>
    </row>
    <row r="24" spans="1:65" ht="14.25" customHeight="1">
      <c r="A24" s="15">
        <f t="shared" ref="A24" si="14">A22+1</f>
        <v>8</v>
      </c>
      <c r="B24" s="19" t="s">
        <v>48</v>
      </c>
      <c r="C24" s="179" t="s">
        <v>39</v>
      </c>
      <c r="D24" s="130">
        <v>7.7080000000000002</v>
      </c>
      <c r="E24" s="130">
        <f>D24*4</f>
        <v>30.832000000000001</v>
      </c>
      <c r="F24" s="130">
        <f>E24*8</f>
        <v>246.65600000000001</v>
      </c>
      <c r="G24" s="130"/>
      <c r="H24" s="180"/>
      <c r="I24" s="19"/>
      <c r="J24" s="19"/>
      <c r="K24" s="181"/>
      <c r="L24" s="173">
        <v>4.0570000000000004</v>
      </c>
      <c r="M24" s="15">
        <v>2.48</v>
      </c>
      <c r="N24" s="15">
        <v>6.0000000000000001E-3</v>
      </c>
      <c r="O24" s="15">
        <v>0.36499999999999999</v>
      </c>
      <c r="P24" s="175">
        <f t="shared" si="2"/>
        <v>6.9080000000000013</v>
      </c>
      <c r="Q24" s="173">
        <v>0.436</v>
      </c>
      <c r="R24" s="15">
        <v>0.01</v>
      </c>
      <c r="S24" s="175">
        <f t="shared" si="3"/>
        <v>0.44600000000000001</v>
      </c>
      <c r="T24" s="176" t="s">
        <v>31</v>
      </c>
      <c r="U24" s="176" t="s">
        <v>536</v>
      </c>
      <c r="V24" s="15"/>
      <c r="W24" s="15"/>
      <c r="X24" s="15">
        <v>148.80000000000001</v>
      </c>
      <c r="Y24" s="15">
        <v>2.5099999999999998</v>
      </c>
      <c r="Z24" s="15">
        <v>19.47</v>
      </c>
      <c r="AA24" s="15">
        <f t="shared" si="4"/>
        <v>21.979999999999997</v>
      </c>
      <c r="AB24" s="15">
        <v>168.07259999999999</v>
      </c>
      <c r="AC24" s="15">
        <v>8403.6299999999992</v>
      </c>
      <c r="AD24" s="15">
        <v>70.930000000000007</v>
      </c>
      <c r="AE24" s="15">
        <v>914.33</v>
      </c>
      <c r="AF24" s="15"/>
      <c r="AG24" s="15">
        <v>98.08</v>
      </c>
      <c r="AH24" s="15">
        <v>153.24</v>
      </c>
      <c r="AI24" s="15"/>
      <c r="AJ24" s="15">
        <v>1236.58</v>
      </c>
      <c r="AK24" s="15">
        <v>1.23658</v>
      </c>
      <c r="AL24" s="177"/>
      <c r="AM24" s="137" t="s">
        <v>20</v>
      </c>
      <c r="AN24" s="131" t="str">
        <f>AO24</f>
        <v>D</v>
      </c>
      <c r="AO24" s="131" t="s">
        <v>21</v>
      </c>
      <c r="AP24" s="349">
        <v>45681</v>
      </c>
      <c r="AQ24" s="349">
        <f>AP24+2</f>
        <v>45683</v>
      </c>
      <c r="AR24" s="349">
        <f>AS24-2</f>
        <v>45688</v>
      </c>
      <c r="AS24" s="530">
        <v>45690</v>
      </c>
      <c r="AT24" s="25" t="s">
        <v>539</v>
      </c>
      <c r="AU24" s="178"/>
      <c r="AV24" s="137" t="s">
        <v>20</v>
      </c>
      <c r="AW24" s="15" t="s">
        <v>6</v>
      </c>
      <c r="AX24" s="278">
        <v>45733</v>
      </c>
      <c r="AY24" s="278">
        <f>AX24</f>
        <v>45733</v>
      </c>
      <c r="AZ24" s="182" t="s">
        <v>539</v>
      </c>
      <c r="BA24" s="183"/>
      <c r="BB24" s="137" t="s">
        <v>20</v>
      </c>
      <c r="BC24" s="131" t="s">
        <v>543</v>
      </c>
      <c r="BD24" s="131" t="s">
        <v>21</v>
      </c>
      <c r="BE24" s="279">
        <f>BF24-2</f>
        <v>45761</v>
      </c>
      <c r="BF24" s="279">
        <v>45763</v>
      </c>
      <c r="BG24" s="15" t="s">
        <v>506</v>
      </c>
      <c r="BH24" s="178"/>
      <c r="BI24" s="137" t="s">
        <v>20</v>
      </c>
      <c r="BJ24" s="131">
        <v>45830</v>
      </c>
      <c r="BK24" s="131">
        <v>45830</v>
      </c>
      <c r="BL24" s="25">
        <v>1001</v>
      </c>
      <c r="BM24" s="185" t="s">
        <v>541</v>
      </c>
    </row>
    <row r="25" spans="1:65" ht="14.25" customHeight="1">
      <c r="A25" s="15" t="s">
        <v>0</v>
      </c>
      <c r="B25" s="19"/>
      <c r="C25" s="179"/>
      <c r="D25" s="130"/>
      <c r="E25" s="130"/>
      <c r="F25" s="130"/>
      <c r="G25" s="130"/>
      <c r="H25" s="180"/>
      <c r="I25" s="19"/>
      <c r="J25" s="19"/>
      <c r="K25" s="181"/>
      <c r="L25" s="173"/>
      <c r="M25" s="15"/>
      <c r="N25" s="15"/>
      <c r="O25" s="15"/>
      <c r="P25" s="175"/>
      <c r="Q25" s="173"/>
      <c r="R25" s="15"/>
      <c r="S25" s="175"/>
      <c r="T25" s="176"/>
      <c r="U25" s="176"/>
      <c r="V25" s="16">
        <v>232.09800000000001</v>
      </c>
      <c r="W25" s="15" t="s">
        <v>537</v>
      </c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77"/>
      <c r="AM25" s="15"/>
      <c r="AN25" s="24"/>
      <c r="AO25" s="24"/>
      <c r="AP25" s="24"/>
      <c r="AQ25" s="24"/>
      <c r="AR25" s="24"/>
      <c r="AS25" s="25"/>
      <c r="AT25" s="25"/>
      <c r="AU25" s="178"/>
      <c r="AV25" s="24"/>
      <c r="AW25" s="24"/>
      <c r="AX25" s="278"/>
      <c r="AY25" s="278"/>
      <c r="AZ25" s="24"/>
      <c r="BA25" s="178"/>
      <c r="BB25" s="24"/>
      <c r="BC25" s="24"/>
      <c r="BD25" s="24"/>
      <c r="BE25" s="24"/>
      <c r="BF25" s="24"/>
      <c r="BG25" s="24"/>
      <c r="BH25" s="178"/>
      <c r="BI25" s="24"/>
      <c r="BJ25" s="24"/>
      <c r="BK25" s="24"/>
      <c r="BL25" s="24"/>
      <c r="BM25" s="24"/>
    </row>
    <row r="26" spans="1:65" ht="14.25" customHeight="1">
      <c r="A26" s="15">
        <f t="shared" ref="A26" si="15">A24+1</f>
        <v>9</v>
      </c>
      <c r="B26" s="19" t="s">
        <v>50</v>
      </c>
      <c r="C26" s="179" t="s">
        <v>51</v>
      </c>
      <c r="D26" s="130">
        <v>10.82</v>
      </c>
      <c r="E26" s="130">
        <f>D26*4</f>
        <v>43.28</v>
      </c>
      <c r="F26" s="130">
        <f>E26*8</f>
        <v>346.24</v>
      </c>
      <c r="G26" s="130"/>
      <c r="H26" s="180"/>
      <c r="I26" s="19"/>
      <c r="J26" s="19"/>
      <c r="K26" s="181"/>
      <c r="L26" s="173">
        <v>5.4920000000000009</v>
      </c>
      <c r="M26" s="15">
        <v>5.0969999999999995</v>
      </c>
      <c r="N26" s="15">
        <v>7.4000000000000003E-3</v>
      </c>
      <c r="O26" s="15">
        <v>0.502</v>
      </c>
      <c r="P26" s="175">
        <f t="shared" si="2"/>
        <v>11.098400000000002</v>
      </c>
      <c r="Q26" s="173">
        <v>0.55700000000000005</v>
      </c>
      <c r="R26" s="15">
        <v>0.01</v>
      </c>
      <c r="S26" s="175">
        <f t="shared" si="3"/>
        <v>0.56700000000000006</v>
      </c>
      <c r="T26" s="176" t="s">
        <v>298</v>
      </c>
      <c r="U26" s="176" t="s">
        <v>536</v>
      </c>
      <c r="V26" s="15"/>
      <c r="W26" s="15"/>
      <c r="X26" s="15">
        <v>220.64</v>
      </c>
      <c r="Y26" s="15">
        <v>3.61</v>
      </c>
      <c r="Z26" s="15">
        <v>27.92</v>
      </c>
      <c r="AA26" s="15">
        <f t="shared" si="4"/>
        <v>31.53</v>
      </c>
      <c r="AB26" s="15">
        <v>241.06360000000004</v>
      </c>
      <c r="AC26" s="15">
        <v>12053.180000000002</v>
      </c>
      <c r="AD26" s="15">
        <v>77.930000000000007</v>
      </c>
      <c r="AE26" s="15"/>
      <c r="AF26" s="15">
        <v>1601.75</v>
      </c>
      <c r="AG26" s="15">
        <v>96.72</v>
      </c>
      <c r="AH26" s="15">
        <v>151.11000000000001</v>
      </c>
      <c r="AI26" s="15"/>
      <c r="AJ26" s="15">
        <v>1927.5100000000002</v>
      </c>
      <c r="AK26" s="15">
        <v>1.9275100000000003</v>
      </c>
      <c r="AL26" s="177"/>
      <c r="AM26" s="137" t="s">
        <v>20</v>
      </c>
      <c r="AN26" s="131" t="str">
        <f>AO26</f>
        <v>D</v>
      </c>
      <c r="AO26" s="131" t="s">
        <v>21</v>
      </c>
      <c r="AP26" s="349">
        <f>AQ26-2</f>
        <v>45717</v>
      </c>
      <c r="AQ26" s="349">
        <f t="shared" ref="AQ26:AR26" si="16">AR26-1</f>
        <v>45719</v>
      </c>
      <c r="AR26" s="349">
        <f t="shared" si="16"/>
        <v>45720</v>
      </c>
      <c r="AS26" s="530">
        <v>45721</v>
      </c>
      <c r="AT26" s="25" t="s">
        <v>539</v>
      </c>
      <c r="AU26" s="178"/>
      <c r="AV26" s="137" t="s">
        <v>20</v>
      </c>
      <c r="AW26" s="15" t="s">
        <v>6</v>
      </c>
      <c r="AX26" s="278">
        <v>45733</v>
      </c>
      <c r="AY26" s="278">
        <f>AX26</f>
        <v>45733</v>
      </c>
      <c r="AZ26" s="182" t="s">
        <v>539</v>
      </c>
      <c r="BA26" s="183"/>
      <c r="BB26" s="137" t="s">
        <v>20</v>
      </c>
      <c r="BC26" s="131" t="s">
        <v>540</v>
      </c>
      <c r="BD26" s="131" t="s">
        <v>21</v>
      </c>
      <c r="BE26" s="279">
        <f>BF26-2</f>
        <v>45772</v>
      </c>
      <c r="BF26" s="279">
        <v>45774</v>
      </c>
      <c r="BG26" s="15" t="s">
        <v>506</v>
      </c>
      <c r="BH26" s="178"/>
      <c r="BI26" s="137" t="s">
        <v>20</v>
      </c>
      <c r="BJ26" s="131">
        <v>45830</v>
      </c>
      <c r="BK26" s="131">
        <v>45830</v>
      </c>
      <c r="BL26" s="25">
        <v>1552</v>
      </c>
      <c r="BM26" s="185" t="s">
        <v>541</v>
      </c>
    </row>
    <row r="27" spans="1:65" ht="14.25" customHeight="1">
      <c r="A27" s="15" t="s">
        <v>0</v>
      </c>
      <c r="B27" s="19"/>
      <c r="C27" s="179"/>
      <c r="D27" s="130"/>
      <c r="E27" s="130"/>
      <c r="F27" s="130"/>
      <c r="G27" s="130"/>
      <c r="H27" s="180"/>
      <c r="I27" s="19"/>
      <c r="J27" s="19"/>
      <c r="K27" s="181"/>
      <c r="L27" s="173"/>
      <c r="M27" s="15"/>
      <c r="N27" s="15"/>
      <c r="O27" s="15"/>
      <c r="P27" s="175"/>
      <c r="Q27" s="173"/>
      <c r="R27" s="15"/>
      <c r="S27" s="175"/>
      <c r="T27" s="176"/>
      <c r="U27" s="176"/>
      <c r="V27" s="16">
        <v>237.78299999999999</v>
      </c>
      <c r="W27" s="15" t="s">
        <v>537</v>
      </c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77"/>
      <c r="AM27" s="15"/>
      <c r="AN27" s="24"/>
      <c r="AO27" s="24"/>
      <c r="AP27" s="24"/>
      <c r="AQ27" s="24"/>
      <c r="AR27" s="24"/>
      <c r="AS27" s="25"/>
      <c r="AT27" s="25"/>
      <c r="AU27" s="178"/>
      <c r="AV27" s="24"/>
      <c r="AW27" s="24"/>
      <c r="AX27" s="278"/>
      <c r="AY27" s="278"/>
      <c r="AZ27" s="24"/>
      <c r="BA27" s="178"/>
      <c r="BB27" s="24"/>
      <c r="BC27" s="24"/>
      <c r="BD27" s="24"/>
      <c r="BE27" s="24"/>
      <c r="BF27" s="24"/>
      <c r="BG27" s="24"/>
      <c r="BH27" s="178"/>
      <c r="BI27" s="24"/>
      <c r="BJ27" s="24"/>
      <c r="BK27" s="24"/>
      <c r="BL27" s="24"/>
      <c r="BM27" s="24"/>
    </row>
    <row r="28" spans="1:65" ht="14.25" customHeight="1">
      <c r="A28" s="15">
        <f t="shared" ref="A28:A90" si="17">A26+1</f>
        <v>10</v>
      </c>
      <c r="B28" s="19" t="s">
        <v>53</v>
      </c>
      <c r="C28" s="179" t="s">
        <v>54</v>
      </c>
      <c r="D28" s="130">
        <v>13.257999999999999</v>
      </c>
      <c r="E28" s="130">
        <f>D28*4</f>
        <v>53.031999999999996</v>
      </c>
      <c r="F28" s="130">
        <f>E28*8</f>
        <v>424.25599999999997</v>
      </c>
      <c r="G28" s="130"/>
      <c r="H28" s="180"/>
      <c r="I28" s="19"/>
      <c r="J28" s="19"/>
      <c r="K28" s="181"/>
      <c r="L28" s="173">
        <v>6.0590000000000002</v>
      </c>
      <c r="M28" s="15">
        <v>5.8739999999999997</v>
      </c>
      <c r="N28" s="15">
        <v>7.7000000000000002E-3</v>
      </c>
      <c r="O28" s="15">
        <v>0.56299999999999994</v>
      </c>
      <c r="P28" s="175">
        <f t="shared" si="2"/>
        <v>12.5037</v>
      </c>
      <c r="Q28" s="173">
        <v>0.55700000000000005</v>
      </c>
      <c r="R28" s="15">
        <v>0.01</v>
      </c>
      <c r="S28" s="175">
        <f t="shared" si="3"/>
        <v>0.56700000000000006</v>
      </c>
      <c r="T28" s="176" t="s">
        <v>52</v>
      </c>
      <c r="U28" s="176" t="s">
        <v>536</v>
      </c>
      <c r="V28" s="15"/>
      <c r="W28" s="15"/>
      <c r="X28" s="15">
        <v>119.36</v>
      </c>
      <c r="Y28" s="15">
        <v>2.0499999999999998</v>
      </c>
      <c r="Z28" s="15">
        <v>18.37</v>
      </c>
      <c r="AA28" s="15">
        <f t="shared" si="4"/>
        <v>20.420000000000002</v>
      </c>
      <c r="AB28" s="15">
        <v>157.16420000000002</v>
      </c>
      <c r="AC28" s="15">
        <v>7858.2100000000009</v>
      </c>
      <c r="AD28" s="15">
        <v>89.9</v>
      </c>
      <c r="AE28" s="15"/>
      <c r="AF28" s="15">
        <v>1115.3400000000001</v>
      </c>
      <c r="AG28" s="15">
        <v>198.68</v>
      </c>
      <c r="AH28" s="15"/>
      <c r="AI28" s="15"/>
      <c r="AJ28" s="15">
        <v>1403.9200000000003</v>
      </c>
      <c r="AK28" s="15">
        <v>1.4039200000000003</v>
      </c>
      <c r="AL28" s="177"/>
      <c r="AM28" s="137" t="s">
        <v>20</v>
      </c>
      <c r="AN28" s="131"/>
      <c r="AO28" s="131"/>
      <c r="AP28" s="349">
        <v>46057</v>
      </c>
      <c r="AQ28" s="349">
        <v>46074</v>
      </c>
      <c r="AR28" s="349"/>
      <c r="AS28" s="530">
        <v>46077</v>
      </c>
      <c r="AT28" s="25" t="s">
        <v>701</v>
      </c>
      <c r="AU28" s="178"/>
      <c r="AV28" s="137" t="s">
        <v>20</v>
      </c>
      <c r="AW28" s="15" t="s">
        <v>6</v>
      </c>
      <c r="AX28" s="278"/>
      <c r="AY28" s="278"/>
      <c r="AZ28" s="24"/>
      <c r="BA28" s="178"/>
      <c r="BB28" s="137" t="s">
        <v>20</v>
      </c>
      <c r="BC28" s="131"/>
      <c r="BD28" s="131"/>
      <c r="BE28" s="279">
        <v>46101</v>
      </c>
      <c r="BF28" s="279">
        <v>46106</v>
      </c>
      <c r="BG28" s="17" t="s">
        <v>739</v>
      </c>
      <c r="BH28" s="178"/>
      <c r="BI28" s="137" t="s">
        <v>20</v>
      </c>
      <c r="BJ28" s="24"/>
      <c r="BK28" s="24"/>
      <c r="BL28" s="25">
        <v>2008</v>
      </c>
      <c r="BM28" s="24" t="s">
        <v>709</v>
      </c>
    </row>
    <row r="29" spans="1:65" ht="14.25" customHeight="1">
      <c r="A29" s="15" t="s">
        <v>0</v>
      </c>
      <c r="B29" s="19"/>
      <c r="C29" s="179"/>
      <c r="D29" s="130"/>
      <c r="E29" s="130"/>
      <c r="F29" s="130"/>
      <c r="G29" s="130"/>
      <c r="H29" s="180"/>
      <c r="I29" s="19"/>
      <c r="J29" s="19"/>
      <c r="K29" s="181"/>
      <c r="L29" s="173"/>
      <c r="M29" s="15"/>
      <c r="N29" s="15"/>
      <c r="O29" s="15"/>
      <c r="P29" s="175"/>
      <c r="Q29" s="173"/>
      <c r="R29" s="15"/>
      <c r="S29" s="175"/>
      <c r="T29" s="176"/>
      <c r="U29" s="176"/>
      <c r="V29" s="16">
        <v>334</v>
      </c>
      <c r="W29" s="15" t="s">
        <v>537</v>
      </c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77"/>
      <c r="AM29" s="15"/>
      <c r="AN29" s="24"/>
      <c r="AO29" s="24"/>
      <c r="AP29" s="24"/>
      <c r="AQ29" s="24"/>
      <c r="AR29" s="24"/>
      <c r="AS29" s="25"/>
      <c r="AT29" s="25"/>
      <c r="AU29" s="178"/>
      <c r="AV29" s="24"/>
      <c r="AW29" s="24"/>
      <c r="AX29" s="278"/>
      <c r="AY29" s="278"/>
      <c r="AZ29" s="24"/>
      <c r="BA29" s="178"/>
      <c r="BB29" s="24"/>
      <c r="BC29" s="24"/>
      <c r="BD29" s="24"/>
      <c r="BE29" s="24"/>
      <c r="BF29" s="24"/>
      <c r="BG29" s="24"/>
      <c r="BH29" s="178"/>
      <c r="BI29" s="24"/>
      <c r="BJ29" s="24"/>
      <c r="BK29" s="24"/>
      <c r="BL29" s="24"/>
      <c r="BM29" s="24"/>
    </row>
    <row r="30" spans="1:65" ht="14.25" customHeight="1">
      <c r="A30" s="15">
        <f t="shared" si="17"/>
        <v>11</v>
      </c>
      <c r="B30" s="19" t="s">
        <v>55</v>
      </c>
      <c r="C30" s="179" t="s">
        <v>56</v>
      </c>
      <c r="D30" s="130">
        <v>7.6219999999999999</v>
      </c>
      <c r="E30" s="130">
        <f>D30*4</f>
        <v>30.488</v>
      </c>
      <c r="F30" s="130">
        <f>E30*8</f>
        <v>243.904</v>
      </c>
      <c r="G30" s="130"/>
      <c r="H30" s="180"/>
      <c r="I30" s="19"/>
      <c r="J30" s="19"/>
      <c r="K30" s="181"/>
      <c r="L30" s="173">
        <v>2.6789999999999998</v>
      </c>
      <c r="M30" s="15">
        <v>3.133</v>
      </c>
      <c r="N30" s="15">
        <v>2.5000000000000001E-3</v>
      </c>
      <c r="O30" s="15">
        <v>0.23299999999999998</v>
      </c>
      <c r="P30" s="175">
        <f t="shared" si="2"/>
        <v>6.0474999999999994</v>
      </c>
      <c r="Q30" s="173">
        <v>0.24399999999999999</v>
      </c>
      <c r="R30" s="15">
        <v>5.0000000000000001E-3</v>
      </c>
      <c r="S30" s="175">
        <f t="shared" si="3"/>
        <v>0.249</v>
      </c>
      <c r="T30" s="176" t="s">
        <v>31</v>
      </c>
      <c r="U30" s="176" t="s">
        <v>536</v>
      </c>
      <c r="V30" s="15"/>
      <c r="W30" s="186"/>
      <c r="X30" s="186">
        <v>143.35999999999999</v>
      </c>
      <c r="Y30" s="186">
        <v>1.68</v>
      </c>
      <c r="Z30" s="186">
        <v>11.97</v>
      </c>
      <c r="AA30" s="186">
        <f t="shared" si="4"/>
        <v>13.65</v>
      </c>
      <c r="AB30" s="23">
        <f>+Y30*4.44+Z30*8.06</f>
        <v>103.93740000000001</v>
      </c>
      <c r="AC30" s="16">
        <f>+AB30*50</f>
        <v>5196.8700000000008</v>
      </c>
      <c r="AD30" s="16">
        <v>63.93</v>
      </c>
      <c r="AE30" s="16">
        <v>535.23</v>
      </c>
      <c r="AF30" s="186"/>
      <c r="AG30" s="15">
        <v>100.6</v>
      </c>
      <c r="AH30" s="15">
        <v>157.18</v>
      </c>
      <c r="AI30" s="186"/>
      <c r="AJ30" s="15">
        <v>856.94</v>
      </c>
      <c r="AK30" s="15">
        <v>0.85694000000000004</v>
      </c>
      <c r="AL30" s="177"/>
      <c r="AM30" s="137" t="s">
        <v>20</v>
      </c>
      <c r="AN30" s="131" t="str">
        <f>AO30</f>
        <v>D</v>
      </c>
      <c r="AO30" s="131" t="s">
        <v>21</v>
      </c>
      <c r="AP30" s="349">
        <f t="shared" ref="AP30:AR30" si="18">AQ30-2</f>
        <v>45707</v>
      </c>
      <c r="AQ30" s="349">
        <f t="shared" si="18"/>
        <v>45709</v>
      </c>
      <c r="AR30" s="349">
        <f t="shared" si="18"/>
        <v>45711</v>
      </c>
      <c r="AS30" s="530">
        <v>45713</v>
      </c>
      <c r="AT30" s="25" t="s">
        <v>545</v>
      </c>
      <c r="AU30" s="178"/>
      <c r="AV30" s="137" t="s">
        <v>20</v>
      </c>
      <c r="AW30" s="15" t="s">
        <v>544</v>
      </c>
      <c r="AX30" s="278">
        <f>AY30</f>
        <v>45720</v>
      </c>
      <c r="AY30" s="278">
        <v>45720</v>
      </c>
      <c r="AZ30" s="182" t="s">
        <v>539</v>
      </c>
      <c r="BA30" s="183"/>
      <c r="BB30" s="137" t="s">
        <v>20</v>
      </c>
      <c r="BC30" s="131" t="s">
        <v>540</v>
      </c>
      <c r="BD30" s="131" t="s">
        <v>21</v>
      </c>
      <c r="BE30" s="279">
        <f>BF30-2</f>
        <v>45794</v>
      </c>
      <c r="BF30" s="279">
        <v>45796</v>
      </c>
      <c r="BG30" s="17" t="s">
        <v>546</v>
      </c>
      <c r="BH30" s="187"/>
      <c r="BI30" s="137" t="s">
        <v>20</v>
      </c>
      <c r="BJ30" s="131">
        <v>45830</v>
      </c>
      <c r="BK30" s="131">
        <v>45830</v>
      </c>
      <c r="BL30" s="25">
        <v>1545</v>
      </c>
      <c r="BM30" s="185" t="s">
        <v>541</v>
      </c>
    </row>
    <row r="31" spans="1:65" ht="14.25" customHeight="1">
      <c r="A31" s="15" t="s">
        <v>0</v>
      </c>
      <c r="B31" s="19"/>
      <c r="C31" s="179"/>
      <c r="D31" s="130"/>
      <c r="E31" s="130"/>
      <c r="F31" s="130"/>
      <c r="G31" s="130"/>
      <c r="H31" s="180"/>
      <c r="I31" s="19"/>
      <c r="J31" s="19"/>
      <c r="K31" s="181"/>
      <c r="L31" s="173"/>
      <c r="M31" s="15"/>
      <c r="N31" s="15"/>
      <c r="O31" s="15"/>
      <c r="P31" s="175"/>
      <c r="Q31" s="173"/>
      <c r="R31" s="15"/>
      <c r="S31" s="175"/>
      <c r="T31" s="176"/>
      <c r="U31" s="176"/>
      <c r="V31" s="16">
        <v>341.209</v>
      </c>
      <c r="W31" s="15" t="s">
        <v>503</v>
      </c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77"/>
      <c r="AM31" s="15"/>
      <c r="AN31" s="24"/>
      <c r="AO31" s="24"/>
      <c r="AP31" s="24"/>
      <c r="AQ31" s="24"/>
      <c r="AR31" s="24"/>
      <c r="AS31" s="25"/>
      <c r="AT31" s="25"/>
      <c r="AU31" s="178"/>
      <c r="AV31" s="24"/>
      <c r="AW31" s="24"/>
      <c r="AX31" s="278"/>
      <c r="AY31" s="278"/>
      <c r="AZ31" s="24"/>
      <c r="BA31" s="178"/>
      <c r="BB31" s="24"/>
      <c r="BC31" s="24"/>
      <c r="BD31" s="24"/>
      <c r="BE31" s="24"/>
      <c r="BF31" s="24"/>
      <c r="BG31" s="24"/>
      <c r="BH31" s="178"/>
      <c r="BI31" s="24"/>
      <c r="BJ31" s="24"/>
      <c r="BK31" s="24"/>
      <c r="BL31" s="24"/>
      <c r="BM31" s="24"/>
    </row>
    <row r="32" spans="1:65" ht="14.25" customHeight="1">
      <c r="A32" s="15">
        <f t="shared" si="17"/>
        <v>12</v>
      </c>
      <c r="B32" s="19" t="s">
        <v>58</v>
      </c>
      <c r="C32" s="179" t="s">
        <v>39</v>
      </c>
      <c r="D32" s="130">
        <v>7.7080000000000002</v>
      </c>
      <c r="E32" s="130">
        <f>D32*4</f>
        <v>30.832000000000001</v>
      </c>
      <c r="F32" s="130">
        <f>E32*8</f>
        <v>246.65600000000001</v>
      </c>
      <c r="G32" s="130"/>
      <c r="H32" s="180"/>
      <c r="I32" s="19"/>
      <c r="J32" s="19"/>
      <c r="K32" s="181"/>
      <c r="L32" s="173">
        <v>4.0570000000000004</v>
      </c>
      <c r="M32" s="15">
        <v>2.48</v>
      </c>
      <c r="N32" s="15">
        <v>6.0000000000000001E-3</v>
      </c>
      <c r="O32" s="15">
        <v>0.36499999999999999</v>
      </c>
      <c r="P32" s="175">
        <f t="shared" si="2"/>
        <v>6.9080000000000013</v>
      </c>
      <c r="Q32" s="173">
        <v>0.436</v>
      </c>
      <c r="R32" s="15">
        <v>0.01</v>
      </c>
      <c r="S32" s="175">
        <f t="shared" si="3"/>
        <v>0.44600000000000001</v>
      </c>
      <c r="T32" s="176" t="s">
        <v>57</v>
      </c>
      <c r="U32" s="176" t="s">
        <v>536</v>
      </c>
      <c r="V32" s="15"/>
      <c r="W32" s="186"/>
      <c r="X32" s="15">
        <v>229.64</v>
      </c>
      <c r="Y32" s="15">
        <v>2.81</v>
      </c>
      <c r="Z32" s="15">
        <v>21.11</v>
      </c>
      <c r="AA32" s="15">
        <f t="shared" si="4"/>
        <v>23.919999999999998</v>
      </c>
      <c r="AB32" s="15">
        <v>182.62300000000002</v>
      </c>
      <c r="AC32" s="15">
        <v>9131.1500000000015</v>
      </c>
      <c r="AD32" s="15">
        <v>70.930000000000007</v>
      </c>
      <c r="AE32" s="15">
        <v>1040.06</v>
      </c>
      <c r="AF32" s="15"/>
      <c r="AG32" s="15">
        <v>98.08</v>
      </c>
      <c r="AH32" s="15">
        <v>153.24</v>
      </c>
      <c r="AI32" s="15"/>
      <c r="AJ32" s="15">
        <v>1362.31</v>
      </c>
      <c r="AK32" s="15">
        <v>1.3623099999999999</v>
      </c>
      <c r="AL32" s="177"/>
      <c r="AM32" s="137" t="s">
        <v>20</v>
      </c>
      <c r="AN32" s="131" t="s">
        <v>547</v>
      </c>
      <c r="AO32" s="131" t="s">
        <v>21</v>
      </c>
      <c r="AP32" s="349">
        <v>45679</v>
      </c>
      <c r="AQ32" s="349">
        <f t="shared" ref="AQ32:AR32" si="19">AR32-2</f>
        <v>45684</v>
      </c>
      <c r="AR32" s="349">
        <f t="shared" si="19"/>
        <v>45686</v>
      </c>
      <c r="AS32" s="530">
        <v>45688</v>
      </c>
      <c r="AT32" s="25" t="s">
        <v>539</v>
      </c>
      <c r="AU32" s="183"/>
      <c r="AV32" s="137" t="s">
        <v>20</v>
      </c>
      <c r="AW32" s="15" t="s">
        <v>544</v>
      </c>
      <c r="AX32" s="278">
        <v>45703</v>
      </c>
      <c r="AY32" s="278">
        <v>45703</v>
      </c>
      <c r="AZ32" s="182" t="s">
        <v>539</v>
      </c>
      <c r="BA32" s="183"/>
      <c r="BB32" s="137" t="s">
        <v>20</v>
      </c>
      <c r="BC32" s="131" t="s">
        <v>540</v>
      </c>
      <c r="BD32" s="131" t="s">
        <v>21</v>
      </c>
      <c r="BE32" s="279">
        <f>BF32-1</f>
        <v>45745</v>
      </c>
      <c r="BF32" s="279">
        <v>45746</v>
      </c>
      <c r="BG32" s="15" t="s">
        <v>506</v>
      </c>
      <c r="BH32" s="178"/>
      <c r="BI32" s="137" t="s">
        <v>20</v>
      </c>
      <c r="BJ32" s="131">
        <v>45831</v>
      </c>
      <c r="BK32" s="131">
        <v>45831</v>
      </c>
      <c r="BL32" s="25">
        <v>1001</v>
      </c>
      <c r="BM32" s="24" t="s">
        <v>541</v>
      </c>
    </row>
    <row r="33" spans="1:65" ht="14.25" customHeight="1">
      <c r="A33" s="15" t="s">
        <v>0</v>
      </c>
      <c r="B33" s="19"/>
      <c r="C33" s="179"/>
      <c r="D33" s="130"/>
      <c r="E33" s="130"/>
      <c r="F33" s="130"/>
      <c r="G33" s="130"/>
      <c r="H33" s="180"/>
      <c r="I33" s="19"/>
      <c r="J33" s="19"/>
      <c r="K33" s="181"/>
      <c r="L33" s="173"/>
      <c r="M33" s="15"/>
      <c r="N33" s="15"/>
      <c r="O33" s="15"/>
      <c r="P33" s="175"/>
      <c r="Q33" s="173"/>
      <c r="R33" s="15"/>
      <c r="S33" s="175"/>
      <c r="T33" s="176"/>
      <c r="U33" s="176"/>
      <c r="V33" s="16">
        <v>306.00099999999998</v>
      </c>
      <c r="W33" s="15" t="s">
        <v>503</v>
      </c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77"/>
      <c r="AM33" s="15"/>
      <c r="AN33" s="24"/>
      <c r="AO33" s="24"/>
      <c r="AP33" s="24"/>
      <c r="AQ33" s="24"/>
      <c r="AR33" s="24"/>
      <c r="AS33" s="25"/>
      <c r="AT33" s="25"/>
      <c r="AU33" s="178"/>
      <c r="AV33" s="24"/>
      <c r="AW33" s="24"/>
      <c r="AX33" s="278"/>
      <c r="AY33" s="278"/>
      <c r="AZ33" s="24"/>
      <c r="BA33" s="178"/>
      <c r="BB33" s="24"/>
      <c r="BC33" s="24"/>
      <c r="BD33" s="24"/>
      <c r="BE33" s="24"/>
      <c r="BF33" s="24"/>
      <c r="BG33" s="24"/>
      <c r="BH33" s="178"/>
      <c r="BI33" s="24"/>
      <c r="BJ33" s="24"/>
      <c r="BK33" s="24"/>
      <c r="BL33" s="24"/>
      <c r="BM33" s="24"/>
    </row>
    <row r="34" spans="1:65" ht="14.25" customHeight="1">
      <c r="A34" s="15">
        <f t="shared" si="17"/>
        <v>13</v>
      </c>
      <c r="B34" s="19" t="s">
        <v>59</v>
      </c>
      <c r="C34" s="179" t="s">
        <v>42</v>
      </c>
      <c r="D34" s="130">
        <v>6.3620000000000001</v>
      </c>
      <c r="E34" s="130">
        <f>D34*4</f>
        <v>25.448</v>
      </c>
      <c r="F34" s="130">
        <f>E34*8</f>
        <v>203.584</v>
      </c>
      <c r="G34" s="130"/>
      <c r="H34" s="180"/>
      <c r="I34" s="19"/>
      <c r="J34" s="19"/>
      <c r="K34" s="181"/>
      <c r="L34" s="173">
        <v>2.25</v>
      </c>
      <c r="M34" s="15">
        <v>2.1880000000000002</v>
      </c>
      <c r="N34" s="15">
        <v>2E-3</v>
      </c>
      <c r="O34" s="15">
        <v>0.183</v>
      </c>
      <c r="P34" s="175">
        <f t="shared" si="2"/>
        <v>4.6230000000000002</v>
      </c>
      <c r="Q34" s="173">
        <v>0.24399999999999999</v>
      </c>
      <c r="R34" s="15">
        <v>5.0000000000000001E-3</v>
      </c>
      <c r="S34" s="175">
        <f t="shared" si="3"/>
        <v>0.249</v>
      </c>
      <c r="T34" s="176" t="s">
        <v>31</v>
      </c>
      <c r="U34" s="176" t="s">
        <v>536</v>
      </c>
      <c r="V34" s="15"/>
      <c r="W34" s="186"/>
      <c r="X34" s="15">
        <v>143.36000000000001</v>
      </c>
      <c r="Y34" s="15">
        <v>1.68</v>
      </c>
      <c r="Z34" s="15">
        <v>11.97</v>
      </c>
      <c r="AA34" s="15">
        <f t="shared" si="4"/>
        <v>13.65</v>
      </c>
      <c r="AB34" s="23">
        <f>+Y34*4.44+Z34*8.06</f>
        <v>103.93740000000001</v>
      </c>
      <c r="AC34" s="16">
        <f>+AB34*50</f>
        <v>5196.8700000000008</v>
      </c>
      <c r="AD34" s="15">
        <v>63.93</v>
      </c>
      <c r="AE34" s="15">
        <v>535.23</v>
      </c>
      <c r="AF34" s="15"/>
      <c r="AG34" s="15">
        <v>100.6</v>
      </c>
      <c r="AH34" s="15">
        <v>157.18</v>
      </c>
      <c r="AI34" s="15"/>
      <c r="AJ34" s="15">
        <v>856.94</v>
      </c>
      <c r="AK34" s="15">
        <v>0.85694000000000004</v>
      </c>
      <c r="AL34" s="177"/>
      <c r="AM34" s="137" t="s">
        <v>20</v>
      </c>
      <c r="AN34" s="131" t="str">
        <f>AO34</f>
        <v>D</v>
      </c>
      <c r="AO34" s="131" t="s">
        <v>21</v>
      </c>
      <c r="AP34" s="349">
        <f t="shared" ref="AP34:AR34" si="20">AQ34-2</f>
        <v>45704</v>
      </c>
      <c r="AQ34" s="349">
        <f t="shared" si="20"/>
        <v>45706</v>
      </c>
      <c r="AR34" s="349">
        <f t="shared" si="20"/>
        <v>45708</v>
      </c>
      <c r="AS34" s="530">
        <v>45710</v>
      </c>
      <c r="AT34" s="25" t="s">
        <v>545</v>
      </c>
      <c r="AU34" s="178"/>
      <c r="AV34" s="137" t="s">
        <v>20</v>
      </c>
      <c r="AW34" s="15" t="s">
        <v>544</v>
      </c>
      <c r="AX34" s="278">
        <v>45703</v>
      </c>
      <c r="AY34" s="278">
        <v>45703</v>
      </c>
      <c r="AZ34" s="182" t="s">
        <v>539</v>
      </c>
      <c r="BA34" s="183"/>
      <c r="BB34" s="137" t="s">
        <v>20</v>
      </c>
      <c r="BC34" s="131" t="s">
        <v>540</v>
      </c>
      <c r="BD34" s="131" t="s">
        <v>21</v>
      </c>
      <c r="BE34" s="279">
        <f>BF34-1</f>
        <v>45743</v>
      </c>
      <c r="BF34" s="279">
        <v>45744</v>
      </c>
      <c r="BG34" s="15" t="s">
        <v>506</v>
      </c>
      <c r="BH34" s="178"/>
      <c r="BI34" s="137" t="s">
        <v>20</v>
      </c>
      <c r="BJ34" s="131">
        <v>45831</v>
      </c>
      <c r="BK34" s="131">
        <v>45831</v>
      </c>
      <c r="BL34" s="25">
        <v>980</v>
      </c>
      <c r="BM34" s="185" t="s">
        <v>541</v>
      </c>
    </row>
    <row r="35" spans="1:65" ht="14.25" customHeight="1">
      <c r="A35" s="15" t="s">
        <v>0</v>
      </c>
      <c r="B35" s="19"/>
      <c r="C35" s="179"/>
      <c r="D35" s="130"/>
      <c r="E35" s="130"/>
      <c r="F35" s="130"/>
      <c r="G35" s="130"/>
      <c r="H35" s="180"/>
      <c r="I35" s="19"/>
      <c r="J35" s="19"/>
      <c r="K35" s="181"/>
      <c r="L35" s="173"/>
      <c r="M35" s="15"/>
      <c r="N35" s="15"/>
      <c r="O35" s="15"/>
      <c r="P35" s="175"/>
      <c r="Q35" s="173"/>
      <c r="R35" s="15"/>
      <c r="S35" s="175"/>
      <c r="T35" s="176"/>
      <c r="U35" s="176"/>
      <c r="V35" s="16">
        <v>393.92</v>
      </c>
      <c r="W35" s="15" t="s">
        <v>503</v>
      </c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77"/>
      <c r="AM35" s="15"/>
      <c r="AN35" s="24"/>
      <c r="AO35" s="24"/>
      <c r="AP35" s="24"/>
      <c r="AQ35" s="24"/>
      <c r="AR35" s="24"/>
      <c r="AS35" s="25"/>
      <c r="AT35" s="25"/>
      <c r="AU35" s="178"/>
      <c r="AV35" s="24"/>
      <c r="AW35" s="24"/>
      <c r="AX35" s="278"/>
      <c r="AY35" s="278"/>
      <c r="AZ35" s="24"/>
      <c r="BA35" s="178"/>
      <c r="BB35" s="24"/>
      <c r="BC35" s="24"/>
      <c r="BD35" s="24"/>
      <c r="BE35" s="24"/>
      <c r="BF35" s="24"/>
      <c r="BG35" s="24"/>
      <c r="BH35" s="178"/>
      <c r="BI35" s="24"/>
      <c r="BJ35" s="24"/>
      <c r="BK35" s="24"/>
      <c r="BL35" s="24"/>
      <c r="BM35" s="24"/>
    </row>
    <row r="36" spans="1:65" ht="14.25" customHeight="1">
      <c r="A36" s="15">
        <f t="shared" si="17"/>
        <v>14</v>
      </c>
      <c r="B36" s="19" t="s">
        <v>61</v>
      </c>
      <c r="C36" s="179" t="s">
        <v>62</v>
      </c>
      <c r="D36" s="130">
        <v>11.987</v>
      </c>
      <c r="E36" s="130">
        <f>D36*4</f>
        <v>47.948</v>
      </c>
      <c r="F36" s="130">
        <f>E36*8</f>
        <v>383.584</v>
      </c>
      <c r="G36" s="130"/>
      <c r="H36" s="180"/>
      <c r="I36" s="19"/>
      <c r="J36" s="19"/>
      <c r="K36" s="181"/>
      <c r="L36" s="173">
        <v>5.9039999999999999</v>
      </c>
      <c r="M36" s="15">
        <v>5.5410000000000004</v>
      </c>
      <c r="N36" s="15">
        <v>7.9000000000000008E-3</v>
      </c>
      <c r="O36" s="15">
        <v>0.53500000000000003</v>
      </c>
      <c r="P36" s="175">
        <f t="shared" si="2"/>
        <v>11.9879</v>
      </c>
      <c r="Q36" s="173">
        <v>0.55700000000000005</v>
      </c>
      <c r="R36" s="15">
        <v>0.01</v>
      </c>
      <c r="S36" s="175">
        <f t="shared" si="3"/>
        <v>0.56700000000000006</v>
      </c>
      <c r="T36" s="176" t="s">
        <v>60</v>
      </c>
      <c r="U36" s="176" t="s">
        <v>536</v>
      </c>
      <c r="V36" s="15"/>
      <c r="W36" s="186"/>
      <c r="X36" s="15">
        <v>220.64</v>
      </c>
      <c r="Y36" s="15">
        <v>3.61</v>
      </c>
      <c r="Z36" s="15">
        <v>27.92</v>
      </c>
      <c r="AA36" s="15">
        <f t="shared" si="4"/>
        <v>31.53</v>
      </c>
      <c r="AB36" s="15">
        <v>241.06360000000004</v>
      </c>
      <c r="AC36" s="15">
        <v>12053.180000000002</v>
      </c>
      <c r="AD36" s="15">
        <v>77.930000000000007</v>
      </c>
      <c r="AE36" s="15"/>
      <c r="AF36" s="15">
        <v>1601.75</v>
      </c>
      <c r="AG36" s="15">
        <v>96.72</v>
      </c>
      <c r="AH36" s="15">
        <v>151.11000000000001</v>
      </c>
      <c r="AI36" s="15"/>
      <c r="AJ36" s="15">
        <v>1927.5100000000002</v>
      </c>
      <c r="AK36" s="15">
        <v>1.9275100000000003</v>
      </c>
      <c r="AL36" s="177"/>
      <c r="AM36" s="137" t="s">
        <v>20</v>
      </c>
      <c r="AN36" s="131" t="s">
        <v>21</v>
      </c>
      <c r="AO36" s="131" t="s">
        <v>21</v>
      </c>
      <c r="AP36" s="349">
        <f t="shared" ref="AP36:AQ36" si="21">AQ36-2</f>
        <v>45731</v>
      </c>
      <c r="AQ36" s="349">
        <f t="shared" si="21"/>
        <v>45733</v>
      </c>
      <c r="AR36" s="349">
        <f>AS36-3</f>
        <v>45735</v>
      </c>
      <c r="AS36" s="530">
        <v>45738</v>
      </c>
      <c r="AT36" s="25" t="s">
        <v>545</v>
      </c>
      <c r="AU36" s="178"/>
      <c r="AV36" s="137" t="s">
        <v>20</v>
      </c>
      <c r="AW36" s="15" t="s">
        <v>6</v>
      </c>
      <c r="AX36" s="278">
        <f>AY36</f>
        <v>45661</v>
      </c>
      <c r="AY36" s="278">
        <v>45661</v>
      </c>
      <c r="AZ36" s="182" t="s">
        <v>539</v>
      </c>
      <c r="BA36" s="183"/>
      <c r="BB36" s="137" t="s">
        <v>20</v>
      </c>
      <c r="BC36" s="131" t="s">
        <v>540</v>
      </c>
      <c r="BD36" s="131" t="s">
        <v>21</v>
      </c>
      <c r="BE36" s="279">
        <f>BF36-2</f>
        <v>45802</v>
      </c>
      <c r="BF36" s="279">
        <v>45804</v>
      </c>
      <c r="BG36" s="17" t="s">
        <v>548</v>
      </c>
      <c r="BH36" s="178"/>
      <c r="BI36" s="137" t="s">
        <v>20</v>
      </c>
      <c r="BJ36" s="131">
        <v>45837</v>
      </c>
      <c r="BK36" s="131">
        <v>45837</v>
      </c>
      <c r="BL36" s="25">
        <v>1750</v>
      </c>
      <c r="BM36" s="185" t="s">
        <v>541</v>
      </c>
    </row>
    <row r="37" spans="1:65" ht="14.25" customHeight="1">
      <c r="A37" s="15" t="s">
        <v>0</v>
      </c>
      <c r="B37" s="19"/>
      <c r="C37" s="179"/>
      <c r="D37" s="130"/>
      <c r="E37" s="130"/>
      <c r="F37" s="130"/>
      <c r="G37" s="130"/>
      <c r="H37" s="180"/>
      <c r="I37" s="19"/>
      <c r="J37" s="19"/>
      <c r="K37" s="181"/>
      <c r="L37" s="173"/>
      <c r="M37" s="15"/>
      <c r="N37" s="15"/>
      <c r="O37" s="15"/>
      <c r="P37" s="175"/>
      <c r="Q37" s="173"/>
      <c r="R37" s="15"/>
      <c r="S37" s="175"/>
      <c r="T37" s="176"/>
      <c r="U37" s="176"/>
      <c r="V37" s="16">
        <v>356.66399999999999</v>
      </c>
      <c r="W37" s="15" t="s">
        <v>537</v>
      </c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77"/>
      <c r="AM37" s="15"/>
      <c r="AN37" s="24"/>
      <c r="AO37" s="24"/>
      <c r="AP37" s="24"/>
      <c r="AQ37" s="24"/>
      <c r="AR37" s="24"/>
      <c r="AS37" s="25"/>
      <c r="AT37" s="25"/>
      <c r="AU37" s="178"/>
      <c r="AV37" s="24"/>
      <c r="AW37" s="24"/>
      <c r="AX37" s="278"/>
      <c r="AY37" s="278"/>
      <c r="AZ37" s="24"/>
      <c r="BA37" s="178"/>
      <c r="BB37" s="24"/>
      <c r="BC37" s="24"/>
      <c r="BD37" s="24"/>
      <c r="BE37" s="24"/>
      <c r="BF37" s="24"/>
      <c r="BG37" s="24"/>
      <c r="BH37" s="178"/>
      <c r="BI37" s="24"/>
      <c r="BJ37" s="24"/>
      <c r="BK37" s="24"/>
      <c r="BL37" s="24"/>
      <c r="BM37" s="24"/>
    </row>
    <row r="38" spans="1:65" ht="14.25" customHeight="1">
      <c r="A38" s="15">
        <f t="shared" si="17"/>
        <v>15</v>
      </c>
      <c r="B38" s="19" t="s">
        <v>64</v>
      </c>
      <c r="C38" s="179" t="s">
        <v>65</v>
      </c>
      <c r="D38" s="130">
        <v>9.5440000000000005</v>
      </c>
      <c r="E38" s="130">
        <f>D38*4</f>
        <v>38.176000000000002</v>
      </c>
      <c r="F38" s="130">
        <f>E38*8</f>
        <v>305.40800000000002</v>
      </c>
      <c r="G38" s="130"/>
      <c r="H38" s="180"/>
      <c r="I38" s="19"/>
      <c r="J38" s="19"/>
      <c r="K38" s="181"/>
      <c r="L38" s="173">
        <v>4.9380000000000006</v>
      </c>
      <c r="M38" s="15">
        <v>3.609</v>
      </c>
      <c r="N38" s="15">
        <v>6.3E-3</v>
      </c>
      <c r="O38" s="15">
        <v>0.42399999999999999</v>
      </c>
      <c r="P38" s="175">
        <f t="shared" si="2"/>
        <v>8.9772999999999996</v>
      </c>
      <c r="Q38" s="173">
        <v>0.436</v>
      </c>
      <c r="R38" s="15">
        <v>0.01</v>
      </c>
      <c r="S38" s="175">
        <f t="shared" si="3"/>
        <v>0.44600000000000001</v>
      </c>
      <c r="T38" s="176" t="s">
        <v>63</v>
      </c>
      <c r="U38" s="176" t="s">
        <v>536</v>
      </c>
      <c r="V38" s="15"/>
      <c r="W38" s="15"/>
      <c r="X38" s="15">
        <v>184.48</v>
      </c>
      <c r="Y38" s="15">
        <v>2.2200000000000002</v>
      </c>
      <c r="Z38" s="15">
        <v>17.649999999999999</v>
      </c>
      <c r="AA38" s="15">
        <f t="shared" si="4"/>
        <v>19.869999999999997</v>
      </c>
      <c r="AB38" s="15"/>
      <c r="AC38" s="15"/>
      <c r="AD38" s="15">
        <v>70.930000000000007</v>
      </c>
      <c r="AE38" s="15">
        <v>848.79</v>
      </c>
      <c r="AF38" s="15"/>
      <c r="AG38" s="15">
        <v>98.08</v>
      </c>
      <c r="AH38" s="15">
        <v>153.24</v>
      </c>
      <c r="AI38" s="15"/>
      <c r="AJ38" s="15">
        <f>SUM(AD38:AH38)</f>
        <v>1171.04</v>
      </c>
      <c r="AK38" s="15">
        <v>0.88282000000000005</v>
      </c>
      <c r="AL38" s="177"/>
      <c r="AM38" s="137" t="s">
        <v>20</v>
      </c>
      <c r="AN38" s="131" t="str">
        <f>AO38</f>
        <v>D</v>
      </c>
      <c r="AO38" s="131" t="s">
        <v>21</v>
      </c>
      <c r="AP38" s="349">
        <v>45679</v>
      </c>
      <c r="AQ38" s="349">
        <f>AP38+2</f>
        <v>45681</v>
      </c>
      <c r="AR38" s="349">
        <f>AS38-2</f>
        <v>45688</v>
      </c>
      <c r="AS38" s="530">
        <v>45690</v>
      </c>
      <c r="AT38" s="25" t="s">
        <v>545</v>
      </c>
      <c r="AU38" s="178"/>
      <c r="AV38" s="137" t="s">
        <v>20</v>
      </c>
      <c r="AW38" s="15" t="s">
        <v>544</v>
      </c>
      <c r="AX38" s="278">
        <v>45703</v>
      </c>
      <c r="AY38" s="278">
        <v>45703</v>
      </c>
      <c r="AZ38" s="182" t="s">
        <v>539</v>
      </c>
      <c r="BA38" s="183"/>
      <c r="BB38" s="137" t="s">
        <v>20</v>
      </c>
      <c r="BC38" s="131" t="s">
        <v>543</v>
      </c>
      <c r="BD38" s="131" t="s">
        <v>21</v>
      </c>
      <c r="BE38" s="279">
        <f>BF38-2</f>
        <v>45766</v>
      </c>
      <c r="BF38" s="279">
        <v>45768</v>
      </c>
      <c r="BG38" s="15" t="s">
        <v>506</v>
      </c>
      <c r="BH38" s="188"/>
      <c r="BI38" s="137" t="s">
        <v>20</v>
      </c>
      <c r="BJ38" s="131">
        <v>45831</v>
      </c>
      <c r="BK38" s="131">
        <v>45831</v>
      </c>
      <c r="BL38" s="25">
        <v>1657</v>
      </c>
      <c r="BM38" s="185" t="s">
        <v>541</v>
      </c>
    </row>
    <row r="39" spans="1:65" ht="14.25" customHeight="1">
      <c r="A39" s="15" t="s">
        <v>0</v>
      </c>
      <c r="B39" s="19"/>
      <c r="C39" s="179"/>
      <c r="D39" s="130"/>
      <c r="E39" s="130"/>
      <c r="F39" s="130"/>
      <c r="G39" s="130"/>
      <c r="H39" s="180"/>
      <c r="I39" s="19"/>
      <c r="J39" s="19"/>
      <c r="K39" s="181"/>
      <c r="L39" s="173"/>
      <c r="M39" s="15"/>
      <c r="N39" s="15"/>
      <c r="O39" s="15"/>
      <c r="P39" s="175"/>
      <c r="Q39" s="173"/>
      <c r="R39" s="15"/>
      <c r="S39" s="175"/>
      <c r="T39" s="176"/>
      <c r="U39" s="176"/>
      <c r="V39" s="16">
        <v>174.20500000000001</v>
      </c>
      <c r="W39" s="15" t="s">
        <v>542</v>
      </c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77"/>
      <c r="AM39" s="15"/>
      <c r="AN39" s="24"/>
      <c r="AO39" s="24"/>
      <c r="AP39" s="24"/>
      <c r="AQ39" s="24"/>
      <c r="AR39" s="24"/>
      <c r="AS39" s="25"/>
      <c r="AT39" s="25"/>
      <c r="AU39" s="178"/>
      <c r="AV39" s="24"/>
      <c r="AW39" s="24"/>
      <c r="AX39" s="278"/>
      <c r="AY39" s="278"/>
      <c r="AZ39" s="24"/>
      <c r="BA39" s="178"/>
      <c r="BB39" s="24"/>
      <c r="BC39" s="24"/>
      <c r="BD39" s="24"/>
      <c r="BE39" s="24"/>
      <c r="BF39" s="24"/>
      <c r="BG39" s="24"/>
      <c r="BH39" s="178"/>
      <c r="BI39" s="24"/>
      <c r="BJ39" s="24"/>
      <c r="BK39" s="24"/>
      <c r="BL39" s="24"/>
      <c r="BM39" s="24"/>
    </row>
    <row r="40" spans="1:65" ht="14.25" customHeight="1">
      <c r="A40" s="15">
        <f t="shared" si="17"/>
        <v>16</v>
      </c>
      <c r="B40" s="19" t="s">
        <v>67</v>
      </c>
      <c r="C40" s="179" t="s">
        <v>51</v>
      </c>
      <c r="D40" s="130">
        <v>10.82</v>
      </c>
      <c r="E40" s="130">
        <f>D40*4</f>
        <v>43.28</v>
      </c>
      <c r="F40" s="130">
        <f>E40*8</f>
        <v>346.24</v>
      </c>
      <c r="G40" s="130"/>
      <c r="H40" s="180"/>
      <c r="I40" s="19"/>
      <c r="J40" s="19"/>
      <c r="K40" s="181"/>
      <c r="L40" s="173">
        <v>5.4920000000000009</v>
      </c>
      <c r="M40" s="15">
        <v>5.0969999999999995</v>
      </c>
      <c r="N40" s="15">
        <v>7.7999999999999996E-3</v>
      </c>
      <c r="O40" s="15">
        <v>0.502</v>
      </c>
      <c r="P40" s="175">
        <f t="shared" si="2"/>
        <v>11.098800000000001</v>
      </c>
      <c r="Q40" s="173">
        <v>0.55700000000000005</v>
      </c>
      <c r="R40" s="15">
        <v>0.01</v>
      </c>
      <c r="S40" s="175">
        <f t="shared" si="3"/>
        <v>0.56700000000000006</v>
      </c>
      <c r="T40" s="176" t="s">
        <v>66</v>
      </c>
      <c r="U40" s="176" t="s">
        <v>536</v>
      </c>
      <c r="V40" s="15"/>
      <c r="W40" s="186"/>
      <c r="X40" s="15">
        <v>268.58</v>
      </c>
      <c r="Y40" s="15">
        <v>3.33</v>
      </c>
      <c r="Z40" s="15">
        <v>26.1</v>
      </c>
      <c r="AA40" s="15">
        <f t="shared" si="4"/>
        <v>29.43</v>
      </c>
      <c r="AB40" s="15">
        <v>225.15120000000002</v>
      </c>
      <c r="AC40" s="15">
        <v>11257.560000000001</v>
      </c>
      <c r="AD40" s="15">
        <v>77.930000000000007</v>
      </c>
      <c r="AE40" s="15"/>
      <c r="AF40" s="15">
        <v>1484.97</v>
      </c>
      <c r="AG40" s="15">
        <v>96.72</v>
      </c>
      <c r="AH40" s="15">
        <v>151.11000000000001</v>
      </c>
      <c r="AI40" s="15"/>
      <c r="AJ40" s="15">
        <v>1810.73</v>
      </c>
      <c r="AK40" s="15">
        <v>1.81073</v>
      </c>
      <c r="AL40" s="177"/>
      <c r="AM40" s="137" t="s">
        <v>20</v>
      </c>
      <c r="AN40" s="131" t="str">
        <f>AO40</f>
        <v>D</v>
      </c>
      <c r="AO40" s="131" t="s">
        <v>21</v>
      </c>
      <c r="AP40" s="349">
        <f t="shared" ref="AP40:AR40" si="22">AQ40-2</f>
        <v>45700</v>
      </c>
      <c r="AQ40" s="349">
        <f t="shared" si="22"/>
        <v>45702</v>
      </c>
      <c r="AR40" s="349">
        <f t="shared" si="22"/>
        <v>45704</v>
      </c>
      <c r="AS40" s="530">
        <v>45706</v>
      </c>
      <c r="AT40" s="25" t="s">
        <v>545</v>
      </c>
      <c r="AU40" s="178"/>
      <c r="AV40" s="137" t="s">
        <v>20</v>
      </c>
      <c r="AW40" s="15" t="s">
        <v>544</v>
      </c>
      <c r="AX40" s="278">
        <v>45703</v>
      </c>
      <c r="AY40" s="278">
        <v>45703</v>
      </c>
      <c r="AZ40" s="182" t="s">
        <v>539</v>
      </c>
      <c r="BA40" s="183"/>
      <c r="BB40" s="137" t="s">
        <v>20</v>
      </c>
      <c r="BC40" s="131" t="s">
        <v>543</v>
      </c>
      <c r="BD40" s="131" t="s">
        <v>21</v>
      </c>
      <c r="BE40" s="279">
        <f>BF40-2</f>
        <v>45778</v>
      </c>
      <c r="BF40" s="279">
        <v>45780</v>
      </c>
      <c r="BG40" s="15" t="s">
        <v>506</v>
      </c>
      <c r="BH40" s="178"/>
      <c r="BI40" s="137" t="s">
        <v>20</v>
      </c>
      <c r="BJ40" s="131">
        <v>45802</v>
      </c>
      <c r="BK40" s="131">
        <v>45802</v>
      </c>
      <c r="BL40" s="25">
        <v>1552</v>
      </c>
      <c r="BM40" s="185" t="s">
        <v>541</v>
      </c>
    </row>
    <row r="41" spans="1:65" ht="14.25" customHeight="1">
      <c r="A41" s="15" t="s">
        <v>0</v>
      </c>
      <c r="B41" s="19"/>
      <c r="C41" s="179"/>
      <c r="D41" s="130"/>
      <c r="E41" s="130"/>
      <c r="F41" s="130"/>
      <c r="G41" s="130"/>
      <c r="H41" s="180"/>
      <c r="I41" s="19"/>
      <c r="J41" s="19"/>
      <c r="K41" s="181"/>
      <c r="L41" s="173"/>
      <c r="M41" s="15"/>
      <c r="N41" s="15"/>
      <c r="O41" s="15"/>
      <c r="P41" s="175"/>
      <c r="Q41" s="173"/>
      <c r="R41" s="15"/>
      <c r="S41" s="175"/>
      <c r="T41" s="176"/>
      <c r="U41" s="176"/>
      <c r="V41" s="16">
        <v>229.73</v>
      </c>
      <c r="W41" s="15" t="s">
        <v>542</v>
      </c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77"/>
      <c r="AM41" s="15"/>
      <c r="AN41" s="24"/>
      <c r="AO41" s="24"/>
      <c r="AP41" s="24"/>
      <c r="AQ41" s="24"/>
      <c r="AR41" s="24"/>
      <c r="AS41" s="25"/>
      <c r="AT41" s="25"/>
      <c r="AU41" s="178"/>
      <c r="AV41" s="24"/>
      <c r="AW41" s="24"/>
      <c r="AX41" s="278"/>
      <c r="AY41" s="278"/>
      <c r="AZ41" s="24"/>
      <c r="BA41" s="178"/>
      <c r="BB41" s="24"/>
      <c r="BC41" s="24"/>
      <c r="BD41" s="24"/>
      <c r="BE41" s="24"/>
      <c r="BF41" s="24"/>
      <c r="BG41" s="24"/>
      <c r="BH41" s="178"/>
      <c r="BI41" s="24"/>
      <c r="BJ41" s="24"/>
      <c r="BK41" s="24"/>
      <c r="BL41" s="24"/>
      <c r="BM41" s="24"/>
    </row>
    <row r="42" spans="1:65" ht="14.25" customHeight="1">
      <c r="A42" s="15">
        <f t="shared" si="17"/>
        <v>17</v>
      </c>
      <c r="B42" s="19" t="s">
        <v>69</v>
      </c>
      <c r="C42" s="179" t="s">
        <v>70</v>
      </c>
      <c r="D42" s="130">
        <v>10.468</v>
      </c>
      <c r="E42" s="130">
        <f>D42*4</f>
        <v>41.872</v>
      </c>
      <c r="F42" s="130">
        <f>E42*8</f>
        <v>334.976</v>
      </c>
      <c r="G42" s="130"/>
      <c r="H42" s="180"/>
      <c r="I42" s="19"/>
      <c r="J42" s="19"/>
      <c r="K42" s="181"/>
      <c r="L42" s="173">
        <v>4.351</v>
      </c>
      <c r="M42" s="15">
        <v>4.2219999999999995</v>
      </c>
      <c r="N42" s="15">
        <v>5.0000000000000001E-3</v>
      </c>
      <c r="O42" s="15">
        <v>0.32100000000000001</v>
      </c>
      <c r="P42" s="175">
        <f t="shared" si="2"/>
        <v>8.8990000000000009</v>
      </c>
      <c r="Q42" s="173">
        <v>0.36299999999999999</v>
      </c>
      <c r="R42" s="15">
        <v>6.0000000000000001E-3</v>
      </c>
      <c r="S42" s="175">
        <f t="shared" si="3"/>
        <v>0.36899999999999999</v>
      </c>
      <c r="T42" s="176" t="s">
        <v>68</v>
      </c>
      <c r="U42" s="176" t="s">
        <v>536</v>
      </c>
      <c r="V42" s="15"/>
      <c r="W42" s="15"/>
      <c r="X42" s="15">
        <v>103.6</v>
      </c>
      <c r="Y42" s="15">
        <v>1.8</v>
      </c>
      <c r="Z42" s="15">
        <v>13.84</v>
      </c>
      <c r="AA42" s="15">
        <f t="shared" si="4"/>
        <v>15.64</v>
      </c>
      <c r="AB42" s="15"/>
      <c r="AC42" s="15"/>
      <c r="AD42" s="15">
        <v>70.930000000000007</v>
      </c>
      <c r="AE42" s="15">
        <v>613.54999999999995</v>
      </c>
      <c r="AF42" s="15"/>
      <c r="AG42" s="15">
        <v>99.34</v>
      </c>
      <c r="AH42" s="15">
        <v>155.21</v>
      </c>
      <c r="AI42" s="15"/>
      <c r="AJ42" s="15">
        <f>SUM(AD42:AH42)</f>
        <v>939.03000000000009</v>
      </c>
      <c r="AK42" s="15">
        <v>0.69465999999999994</v>
      </c>
      <c r="AL42" s="177"/>
      <c r="AM42" s="137" t="s">
        <v>20</v>
      </c>
      <c r="AN42" s="131" t="str">
        <f>AO42</f>
        <v>D</v>
      </c>
      <c r="AO42" s="131" t="s">
        <v>21</v>
      </c>
      <c r="AP42" s="349">
        <f t="shared" ref="AP42:AQ42" si="23">AQ42-1</f>
        <v>45689</v>
      </c>
      <c r="AQ42" s="349">
        <f t="shared" si="23"/>
        <v>45690</v>
      </c>
      <c r="AR42" s="349">
        <f>AS42-2</f>
        <v>45691</v>
      </c>
      <c r="AS42" s="530">
        <v>45693</v>
      </c>
      <c r="AT42" s="25" t="s">
        <v>545</v>
      </c>
      <c r="AU42" s="178"/>
      <c r="AV42" s="137" t="s">
        <v>20</v>
      </c>
      <c r="AW42" s="15" t="s">
        <v>6</v>
      </c>
      <c r="AX42" s="278">
        <f>AY42</f>
        <v>45661</v>
      </c>
      <c r="AY42" s="278">
        <v>45661</v>
      </c>
      <c r="AZ42" s="182" t="s">
        <v>539</v>
      </c>
      <c r="BA42" s="183"/>
      <c r="BB42" s="137" t="s">
        <v>20</v>
      </c>
      <c r="BC42" s="131" t="s">
        <v>543</v>
      </c>
      <c r="BD42" s="131" t="s">
        <v>21</v>
      </c>
      <c r="BE42" s="279">
        <f>BF42-2</f>
        <v>45805</v>
      </c>
      <c r="BF42" s="279">
        <v>45807</v>
      </c>
      <c r="BG42" s="15" t="s">
        <v>506</v>
      </c>
      <c r="BH42" s="188"/>
      <c r="BI42" s="137" t="s">
        <v>20</v>
      </c>
      <c r="BJ42" s="131">
        <v>45802</v>
      </c>
      <c r="BK42" s="131">
        <v>45802</v>
      </c>
      <c r="BL42" s="25">
        <v>2144</v>
      </c>
      <c r="BM42" s="185" t="s">
        <v>541</v>
      </c>
    </row>
    <row r="43" spans="1:65" ht="14.25" customHeight="1">
      <c r="A43" s="15" t="s">
        <v>0</v>
      </c>
      <c r="B43" s="19"/>
      <c r="C43" s="179"/>
      <c r="D43" s="130"/>
      <c r="E43" s="130"/>
      <c r="F43" s="130"/>
      <c r="G43" s="130"/>
      <c r="H43" s="180"/>
      <c r="I43" s="19"/>
      <c r="J43" s="19"/>
      <c r="K43" s="181"/>
      <c r="L43" s="173"/>
      <c r="M43" s="15"/>
      <c r="N43" s="15"/>
      <c r="O43" s="15"/>
      <c r="P43" s="175"/>
      <c r="Q43" s="173"/>
      <c r="R43" s="15"/>
      <c r="S43" s="175"/>
      <c r="T43" s="176"/>
      <c r="U43" s="176"/>
      <c r="V43" s="16">
        <v>391</v>
      </c>
      <c r="W43" s="15" t="s">
        <v>537</v>
      </c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77"/>
      <c r="AM43" s="15"/>
      <c r="AN43" s="24"/>
      <c r="AO43" s="24"/>
      <c r="AP43" s="24"/>
      <c r="AQ43" s="24"/>
      <c r="AR43" s="24"/>
      <c r="AS43" s="25"/>
      <c r="AT43" s="25"/>
      <c r="AU43" s="178"/>
      <c r="AV43" s="24"/>
      <c r="AW43" s="24"/>
      <c r="AX43" s="278"/>
      <c r="AY43" s="278"/>
      <c r="AZ43" s="24"/>
      <c r="BA43" s="178"/>
      <c r="BB43" s="24"/>
      <c r="BC43" s="24"/>
      <c r="BD43" s="24"/>
      <c r="BE43" s="24"/>
      <c r="BF43" s="24"/>
      <c r="BG43" s="24"/>
      <c r="BH43" s="178"/>
      <c r="BI43" s="24"/>
      <c r="BJ43" s="24"/>
      <c r="BK43" s="24"/>
      <c r="BL43" s="24"/>
      <c r="BM43" s="24"/>
    </row>
    <row r="44" spans="1:65" ht="14.25" customHeight="1">
      <c r="A44" s="15">
        <f t="shared" si="17"/>
        <v>18</v>
      </c>
      <c r="B44" s="19" t="s">
        <v>71</v>
      </c>
      <c r="C44" s="179" t="s">
        <v>56</v>
      </c>
      <c r="D44" s="130">
        <v>7.6219999999999999</v>
      </c>
      <c r="E44" s="130">
        <f>D44*4</f>
        <v>30.488</v>
      </c>
      <c r="F44" s="130">
        <f>E44*8</f>
        <v>243.904</v>
      </c>
      <c r="G44" s="130"/>
      <c r="H44" s="180"/>
      <c r="I44" s="19"/>
      <c r="J44" s="19"/>
      <c r="K44" s="181"/>
      <c r="L44" s="173">
        <v>2.6789999999999998</v>
      </c>
      <c r="M44" s="15">
        <v>3.133</v>
      </c>
      <c r="N44" s="15">
        <v>2.5000000000000001E-3</v>
      </c>
      <c r="O44" s="15">
        <v>0.23299999999999998</v>
      </c>
      <c r="P44" s="175">
        <f t="shared" si="2"/>
        <v>6.0474999999999994</v>
      </c>
      <c r="Q44" s="173">
        <v>0.24399999999999999</v>
      </c>
      <c r="R44" s="15">
        <v>5.0000000000000001E-3</v>
      </c>
      <c r="S44" s="175">
        <f t="shared" si="3"/>
        <v>0.249</v>
      </c>
      <c r="T44" s="176" t="s">
        <v>31</v>
      </c>
      <c r="U44" s="176" t="s">
        <v>536</v>
      </c>
      <c r="V44" s="15"/>
      <c r="W44" s="15"/>
      <c r="X44" s="15">
        <v>121.84</v>
      </c>
      <c r="Y44" s="15">
        <v>1.4</v>
      </c>
      <c r="Z44" s="15">
        <v>10.63</v>
      </c>
      <c r="AA44" s="15">
        <f t="shared" si="4"/>
        <v>12.030000000000001</v>
      </c>
      <c r="AB44" s="15">
        <v>91.893799999999999</v>
      </c>
      <c r="AC44" s="15">
        <v>4594.6899999999996</v>
      </c>
      <c r="AD44" s="15">
        <v>63.93</v>
      </c>
      <c r="AE44" s="15">
        <v>481.99</v>
      </c>
      <c r="AF44" s="15"/>
      <c r="AG44" s="15">
        <v>100.6</v>
      </c>
      <c r="AH44" s="15">
        <v>157.18</v>
      </c>
      <c r="AI44" s="15"/>
      <c r="AJ44" s="15">
        <v>803.7</v>
      </c>
      <c r="AK44" s="15">
        <v>0.80370000000000008</v>
      </c>
      <c r="AL44" s="177"/>
      <c r="AM44" s="137" t="s">
        <v>20</v>
      </c>
      <c r="AN44" s="131" t="str">
        <f>AO44</f>
        <v>D</v>
      </c>
      <c r="AO44" s="131" t="s">
        <v>21</v>
      </c>
      <c r="AP44" s="349">
        <f t="shared" ref="AP44:AQ44" si="24">AQ44-1</f>
        <v>45677</v>
      </c>
      <c r="AQ44" s="349">
        <f t="shared" si="24"/>
        <v>45678</v>
      </c>
      <c r="AR44" s="349">
        <f>AS44-2</f>
        <v>45679</v>
      </c>
      <c r="AS44" s="530">
        <v>45681</v>
      </c>
      <c r="AT44" s="25" t="s">
        <v>545</v>
      </c>
      <c r="AU44" s="178"/>
      <c r="AV44" s="137" t="s">
        <v>20</v>
      </c>
      <c r="AW44" s="15" t="s">
        <v>544</v>
      </c>
      <c r="AX44" s="278">
        <v>45703</v>
      </c>
      <c r="AY44" s="278">
        <v>45703</v>
      </c>
      <c r="AZ44" s="182" t="s">
        <v>539</v>
      </c>
      <c r="BA44" s="183"/>
      <c r="BB44" s="137" t="s">
        <v>20</v>
      </c>
      <c r="BC44" s="131" t="s">
        <v>540</v>
      </c>
      <c r="BD44" s="131" t="s">
        <v>21</v>
      </c>
      <c r="BE44" s="279">
        <f>BF44</f>
        <v>45742</v>
      </c>
      <c r="BF44" s="279">
        <v>45742</v>
      </c>
      <c r="BG44" s="15" t="s">
        <v>506</v>
      </c>
      <c r="BH44" s="189"/>
      <c r="BI44" s="137" t="s">
        <v>20</v>
      </c>
      <c r="BJ44" s="131">
        <v>45818</v>
      </c>
      <c r="BK44" s="131">
        <f>BJ44</f>
        <v>45818</v>
      </c>
      <c r="BL44" s="25">
        <v>1545</v>
      </c>
      <c r="BM44" s="185" t="s">
        <v>541</v>
      </c>
    </row>
    <row r="45" spans="1:65" ht="14.25" customHeight="1">
      <c r="A45" s="15" t="s">
        <v>0</v>
      </c>
      <c r="B45" s="19"/>
      <c r="C45" s="179"/>
      <c r="D45" s="130"/>
      <c r="E45" s="130"/>
      <c r="F45" s="130"/>
      <c r="G45" s="130"/>
      <c r="H45" s="180"/>
      <c r="I45" s="19"/>
      <c r="J45" s="19"/>
      <c r="K45" s="181"/>
      <c r="L45" s="173"/>
      <c r="M45" s="15"/>
      <c r="N45" s="15"/>
      <c r="O45" s="15"/>
      <c r="P45" s="175"/>
      <c r="Q45" s="173"/>
      <c r="R45" s="15"/>
      <c r="S45" s="175"/>
      <c r="T45" s="176"/>
      <c r="U45" s="176"/>
      <c r="V45" s="16">
        <v>328</v>
      </c>
      <c r="W45" s="15" t="s">
        <v>542</v>
      </c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77"/>
      <c r="AM45" s="15"/>
      <c r="AN45" s="24"/>
      <c r="AO45" s="24"/>
      <c r="AP45" s="24"/>
      <c r="AQ45" s="24"/>
      <c r="AR45" s="24"/>
      <c r="AS45" s="25"/>
      <c r="AT45" s="25"/>
      <c r="AU45" s="178"/>
      <c r="AV45" s="24"/>
      <c r="AW45" s="24"/>
      <c r="AX45" s="278"/>
      <c r="AY45" s="278"/>
      <c r="AZ45" s="24"/>
      <c r="BA45" s="178"/>
      <c r="BB45" s="24"/>
      <c r="BC45" s="24"/>
      <c r="BD45" s="24"/>
      <c r="BE45" s="24"/>
      <c r="BF45" s="24"/>
      <c r="BG45" s="24"/>
      <c r="BH45" s="178"/>
      <c r="BI45" s="24"/>
      <c r="BJ45" s="24"/>
      <c r="BK45" s="131"/>
      <c r="BL45" s="24"/>
      <c r="BM45" s="24"/>
    </row>
    <row r="46" spans="1:65" ht="14.25" customHeight="1">
      <c r="A46" s="15">
        <f t="shared" si="17"/>
        <v>19</v>
      </c>
      <c r="B46" s="19" t="s">
        <v>72</v>
      </c>
      <c r="C46" s="179" t="s">
        <v>37</v>
      </c>
      <c r="D46" s="130">
        <v>6.992</v>
      </c>
      <c r="E46" s="130">
        <f>D46*4</f>
        <v>27.968</v>
      </c>
      <c r="F46" s="130">
        <f>E46*8</f>
        <v>223.744</v>
      </c>
      <c r="G46" s="130"/>
      <c r="H46" s="180"/>
      <c r="I46" s="19"/>
      <c r="J46" s="19"/>
      <c r="K46" s="181"/>
      <c r="L46" s="173">
        <v>2.6070000000000002</v>
      </c>
      <c r="M46" s="15">
        <v>2.657</v>
      </c>
      <c r="N46" s="15">
        <v>2E-3</v>
      </c>
      <c r="O46" s="15">
        <v>0.21299999999999999</v>
      </c>
      <c r="P46" s="175">
        <f t="shared" si="2"/>
        <v>5.4790000000000001</v>
      </c>
      <c r="Q46" s="173">
        <v>0.24399999999999999</v>
      </c>
      <c r="R46" s="15">
        <v>5.0000000000000001E-3</v>
      </c>
      <c r="S46" s="175">
        <f t="shared" si="3"/>
        <v>0.249</v>
      </c>
      <c r="T46" s="176" t="s">
        <v>31</v>
      </c>
      <c r="U46" s="176" t="s">
        <v>536</v>
      </c>
      <c r="V46" s="15"/>
      <c r="W46" s="15"/>
      <c r="X46" s="15">
        <v>121.84</v>
      </c>
      <c r="Y46" s="15">
        <v>1.4</v>
      </c>
      <c r="Z46" s="15">
        <v>10.63</v>
      </c>
      <c r="AA46" s="15">
        <f t="shared" si="4"/>
        <v>12.030000000000001</v>
      </c>
      <c r="AB46" s="15">
        <v>91.893799999999999</v>
      </c>
      <c r="AC46" s="15">
        <v>4594.6899999999996</v>
      </c>
      <c r="AD46" s="15">
        <v>63.93</v>
      </c>
      <c r="AE46" s="15">
        <v>481.99</v>
      </c>
      <c r="AF46" s="15"/>
      <c r="AG46" s="15">
        <v>100.6</v>
      </c>
      <c r="AH46" s="15">
        <v>157.18</v>
      </c>
      <c r="AI46" s="15"/>
      <c r="AJ46" s="15">
        <v>803.7</v>
      </c>
      <c r="AK46" s="15">
        <v>0.80370000000000008</v>
      </c>
      <c r="AL46" s="177"/>
      <c r="AM46" s="137" t="s">
        <v>20</v>
      </c>
      <c r="AN46" s="131" t="str">
        <f>AO46</f>
        <v>D</v>
      </c>
      <c r="AO46" s="131" t="s">
        <v>21</v>
      </c>
      <c r="AP46" s="349">
        <v>45666</v>
      </c>
      <c r="AQ46" s="349">
        <f>AP46+3</f>
        <v>45669</v>
      </c>
      <c r="AR46" s="349">
        <f>AS46-2</f>
        <v>45673</v>
      </c>
      <c r="AS46" s="530">
        <v>45675</v>
      </c>
      <c r="AT46" s="25" t="s">
        <v>545</v>
      </c>
      <c r="AU46" s="178"/>
      <c r="AV46" s="137" t="s">
        <v>20</v>
      </c>
      <c r="AW46" s="15" t="s">
        <v>544</v>
      </c>
      <c r="AX46" s="278">
        <v>45703</v>
      </c>
      <c r="AY46" s="278">
        <v>45703</v>
      </c>
      <c r="AZ46" s="182" t="s">
        <v>539</v>
      </c>
      <c r="BA46" s="183"/>
      <c r="BB46" s="137" t="s">
        <v>20</v>
      </c>
      <c r="BC46" s="131" t="s">
        <v>540</v>
      </c>
      <c r="BD46" s="131" t="s">
        <v>21</v>
      </c>
      <c r="BE46" s="279">
        <f>BF46-2</f>
        <v>45737</v>
      </c>
      <c r="BF46" s="279">
        <v>45739</v>
      </c>
      <c r="BG46" s="15" t="s">
        <v>506</v>
      </c>
      <c r="BH46" s="189"/>
      <c r="BI46" s="137" t="s">
        <v>20</v>
      </c>
      <c r="BJ46" s="131">
        <f>BJ44</f>
        <v>45818</v>
      </c>
      <c r="BK46" s="131">
        <f>BJ46</f>
        <v>45818</v>
      </c>
      <c r="BL46" s="25">
        <v>1330</v>
      </c>
      <c r="BM46" s="185" t="s">
        <v>541</v>
      </c>
    </row>
    <row r="47" spans="1:65" ht="14.25" customHeight="1">
      <c r="A47" s="15" t="s">
        <v>0</v>
      </c>
      <c r="B47" s="19"/>
      <c r="C47" s="179"/>
      <c r="D47" s="130"/>
      <c r="E47" s="130"/>
      <c r="F47" s="130"/>
      <c r="G47" s="130"/>
      <c r="H47" s="180"/>
      <c r="I47" s="19"/>
      <c r="J47" s="19"/>
      <c r="K47" s="181"/>
      <c r="L47" s="173"/>
      <c r="M47" s="15"/>
      <c r="N47" s="15"/>
      <c r="O47" s="15"/>
      <c r="P47" s="175"/>
      <c r="Q47" s="173"/>
      <c r="R47" s="15"/>
      <c r="S47" s="175"/>
      <c r="T47" s="176"/>
      <c r="U47" s="176"/>
      <c r="V47" s="16">
        <v>333</v>
      </c>
      <c r="W47" s="15" t="s">
        <v>542</v>
      </c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77"/>
      <c r="AM47" s="15"/>
      <c r="AN47" s="24"/>
      <c r="AO47" s="24"/>
      <c r="AP47" s="24"/>
      <c r="AQ47" s="24"/>
      <c r="AR47" s="24"/>
      <c r="AS47" s="25"/>
      <c r="AT47" s="25"/>
      <c r="AU47" s="178"/>
      <c r="AV47" s="24"/>
      <c r="AW47" s="24"/>
      <c r="AX47" s="278"/>
      <c r="AY47" s="278"/>
      <c r="AZ47" s="24"/>
      <c r="BA47" s="178"/>
      <c r="BB47" s="24"/>
      <c r="BC47" s="24"/>
      <c r="BD47" s="24"/>
      <c r="BE47" s="24"/>
      <c r="BF47" s="24"/>
      <c r="BG47" s="24"/>
      <c r="BH47" s="178"/>
      <c r="BI47" s="24"/>
      <c r="BJ47" s="24"/>
      <c r="BK47" s="131"/>
      <c r="BL47" s="24"/>
      <c r="BM47" s="24"/>
    </row>
    <row r="48" spans="1:65" ht="14.25" customHeight="1">
      <c r="A48" s="15">
        <f t="shared" si="17"/>
        <v>20</v>
      </c>
      <c r="B48" s="19" t="s">
        <v>73</v>
      </c>
      <c r="C48" s="179" t="s">
        <v>56</v>
      </c>
      <c r="D48" s="130">
        <v>7.6219999999999999</v>
      </c>
      <c r="E48" s="130">
        <f>D48*4</f>
        <v>30.488</v>
      </c>
      <c r="F48" s="130">
        <f>E48*8</f>
        <v>243.904</v>
      </c>
      <c r="G48" s="130"/>
      <c r="H48" s="180"/>
      <c r="I48" s="19"/>
      <c r="J48" s="19"/>
      <c r="K48" s="181"/>
      <c r="L48" s="173">
        <v>2.6789999999999998</v>
      </c>
      <c r="M48" s="15">
        <v>3.133</v>
      </c>
      <c r="N48" s="15">
        <v>2.5000000000000001E-3</v>
      </c>
      <c r="O48" s="15">
        <v>0.23299999999999998</v>
      </c>
      <c r="P48" s="175">
        <f t="shared" si="2"/>
        <v>6.0474999999999994</v>
      </c>
      <c r="Q48" s="173">
        <v>0.24399999999999999</v>
      </c>
      <c r="R48" s="15">
        <v>5.0000000000000001E-3</v>
      </c>
      <c r="S48" s="175">
        <f t="shared" si="3"/>
        <v>0.249</v>
      </c>
      <c r="T48" s="176" t="s">
        <v>31</v>
      </c>
      <c r="U48" s="176" t="s">
        <v>536</v>
      </c>
      <c r="V48" s="15"/>
      <c r="W48" s="15"/>
      <c r="X48" s="15">
        <v>121.84</v>
      </c>
      <c r="Y48" s="15">
        <v>1.4</v>
      </c>
      <c r="Z48" s="15">
        <v>10.63</v>
      </c>
      <c r="AA48" s="15">
        <f t="shared" si="4"/>
        <v>12.030000000000001</v>
      </c>
      <c r="AB48" s="15">
        <v>91.893799999999999</v>
      </c>
      <c r="AC48" s="15">
        <v>4594.6899999999996</v>
      </c>
      <c r="AD48" s="15">
        <v>63.93</v>
      </c>
      <c r="AE48" s="15">
        <v>481.99</v>
      </c>
      <c r="AF48" s="15"/>
      <c r="AG48" s="15">
        <v>100.6</v>
      </c>
      <c r="AH48" s="15">
        <v>157.18</v>
      </c>
      <c r="AI48" s="15"/>
      <c r="AJ48" s="15">
        <v>803.7</v>
      </c>
      <c r="AK48" s="15">
        <v>0.80370000000000008</v>
      </c>
      <c r="AL48" s="177"/>
      <c r="AM48" s="137" t="s">
        <v>20</v>
      </c>
      <c r="AN48" s="131" t="str">
        <f>AO48</f>
        <v>D</v>
      </c>
      <c r="AO48" s="131" t="s">
        <v>21</v>
      </c>
      <c r="AP48" s="349">
        <v>45666</v>
      </c>
      <c r="AQ48" s="349">
        <f t="shared" ref="AQ48:AR48" si="25">AR48-2</f>
        <v>45667</v>
      </c>
      <c r="AR48" s="349">
        <f t="shared" si="25"/>
        <v>45669</v>
      </c>
      <c r="AS48" s="530">
        <v>45671</v>
      </c>
      <c r="AT48" s="25" t="s">
        <v>545</v>
      </c>
      <c r="AU48" s="178"/>
      <c r="AV48" s="137" t="s">
        <v>20</v>
      </c>
      <c r="AW48" s="15" t="s">
        <v>544</v>
      </c>
      <c r="AX48" s="278">
        <v>45703</v>
      </c>
      <c r="AY48" s="278">
        <v>45703</v>
      </c>
      <c r="AZ48" s="182" t="s">
        <v>539</v>
      </c>
      <c r="BA48" s="183"/>
      <c r="BB48" s="137" t="s">
        <v>20</v>
      </c>
      <c r="BC48" s="131" t="s">
        <v>540</v>
      </c>
      <c r="BD48" s="131" t="s">
        <v>21</v>
      </c>
      <c r="BE48" s="279">
        <f>BF48-2</f>
        <v>45734</v>
      </c>
      <c r="BF48" s="279">
        <v>45736</v>
      </c>
      <c r="BG48" s="15" t="s">
        <v>506</v>
      </c>
      <c r="BH48" s="188"/>
      <c r="BI48" s="137" t="s">
        <v>20</v>
      </c>
      <c r="BJ48" s="131">
        <v>45821</v>
      </c>
      <c r="BK48" s="131">
        <f>BJ48</f>
        <v>45821</v>
      </c>
      <c r="BL48" s="25">
        <v>1545</v>
      </c>
      <c r="BM48" s="185" t="s">
        <v>541</v>
      </c>
    </row>
    <row r="49" spans="1:68" ht="14.25" customHeight="1">
      <c r="A49" s="15" t="s">
        <v>0</v>
      </c>
      <c r="B49" s="19"/>
      <c r="C49" s="179"/>
      <c r="D49" s="130"/>
      <c r="E49" s="130"/>
      <c r="F49" s="130"/>
      <c r="G49" s="130"/>
      <c r="H49" s="180"/>
      <c r="I49" s="19"/>
      <c r="J49" s="19"/>
      <c r="K49" s="181"/>
      <c r="L49" s="173"/>
      <c r="M49" s="15"/>
      <c r="N49" s="15"/>
      <c r="O49" s="15"/>
      <c r="P49" s="175"/>
      <c r="Q49" s="173"/>
      <c r="R49" s="15"/>
      <c r="S49" s="175"/>
      <c r="T49" s="176"/>
      <c r="U49" s="176"/>
      <c r="V49" s="16">
        <v>349.99900000000002</v>
      </c>
      <c r="W49" s="15" t="s">
        <v>542</v>
      </c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77"/>
      <c r="AM49" s="15"/>
      <c r="AN49" s="24"/>
      <c r="AO49" s="24"/>
      <c r="AP49" s="24"/>
      <c r="AQ49" s="24"/>
      <c r="AR49" s="24"/>
      <c r="AS49" s="25"/>
      <c r="AT49" s="25"/>
      <c r="AU49" s="178"/>
      <c r="AV49" s="24"/>
      <c r="AW49" s="24"/>
      <c r="AX49" s="278"/>
      <c r="AY49" s="278"/>
      <c r="AZ49" s="24"/>
      <c r="BA49" s="178"/>
      <c r="BB49" s="24"/>
      <c r="BC49" s="24"/>
      <c r="BD49" s="24"/>
      <c r="BE49" s="24"/>
      <c r="BF49" s="24"/>
      <c r="BG49" s="24"/>
      <c r="BH49" s="178"/>
      <c r="BI49" s="24"/>
      <c r="BJ49" s="24"/>
      <c r="BK49" s="131"/>
      <c r="BL49" s="24"/>
      <c r="BM49" s="24"/>
      <c r="BN49" s="24"/>
      <c r="BO49" s="24"/>
    </row>
    <row r="50" spans="1:68" ht="14.25" customHeight="1">
      <c r="A50" s="15">
        <f t="shared" si="17"/>
        <v>21</v>
      </c>
      <c r="B50" s="19" t="s">
        <v>74</v>
      </c>
      <c r="C50" s="179" t="s">
        <v>37</v>
      </c>
      <c r="D50" s="130">
        <v>6.992</v>
      </c>
      <c r="E50" s="130">
        <f>D50*4</f>
        <v>27.968</v>
      </c>
      <c r="F50" s="130">
        <f>E50*8</f>
        <v>223.744</v>
      </c>
      <c r="G50" s="130"/>
      <c r="H50" s="180"/>
      <c r="I50" s="19"/>
      <c r="J50" s="19"/>
      <c r="K50" s="181"/>
      <c r="L50" s="173">
        <v>2.6070000000000002</v>
      </c>
      <c r="M50" s="15">
        <v>2.657</v>
      </c>
      <c r="N50" s="15">
        <v>2E-3</v>
      </c>
      <c r="O50" s="15">
        <v>0.21299999999999999</v>
      </c>
      <c r="P50" s="175">
        <f t="shared" si="2"/>
        <v>5.4790000000000001</v>
      </c>
      <c r="Q50" s="173">
        <v>0.24399999999999999</v>
      </c>
      <c r="R50" s="15">
        <v>5.0000000000000001E-3</v>
      </c>
      <c r="S50" s="175">
        <f t="shared" si="3"/>
        <v>0.249</v>
      </c>
      <c r="T50" s="176" t="s">
        <v>31</v>
      </c>
      <c r="U50" s="176" t="s">
        <v>536</v>
      </c>
      <c r="V50" s="15"/>
      <c r="W50" s="190"/>
      <c r="X50" s="15">
        <v>143.36000000000001</v>
      </c>
      <c r="Y50" s="15">
        <v>0.88</v>
      </c>
      <c r="Z50" s="15">
        <v>8.1199999999999992</v>
      </c>
      <c r="AA50" s="15">
        <f t="shared" si="4"/>
        <v>9</v>
      </c>
      <c r="AB50" s="23">
        <f>+Y50*4.44+Z50*8.06</f>
        <v>69.354399999999998</v>
      </c>
      <c r="AC50" s="16">
        <f>+AB50*50</f>
        <v>3467.72</v>
      </c>
      <c r="AD50" s="15">
        <v>63.93</v>
      </c>
      <c r="AE50" s="15">
        <v>535.23</v>
      </c>
      <c r="AF50" s="15"/>
      <c r="AG50" s="15">
        <v>100.6</v>
      </c>
      <c r="AH50" s="15">
        <v>157.18</v>
      </c>
      <c r="AI50" s="15"/>
      <c r="AJ50" s="15">
        <v>856.94</v>
      </c>
      <c r="AK50" s="15">
        <v>0.85694000000000004</v>
      </c>
      <c r="AL50" s="177"/>
      <c r="AM50" s="137" t="s">
        <v>20</v>
      </c>
      <c r="AN50" s="131" t="str">
        <f>AO50</f>
        <v>D</v>
      </c>
      <c r="AO50" s="131" t="s">
        <v>21</v>
      </c>
      <c r="AP50" s="349">
        <f>AQ50-1</f>
        <v>45660</v>
      </c>
      <c r="AQ50" s="349">
        <f t="shared" ref="AQ50:AR50" si="26">AR50-2</f>
        <v>45661</v>
      </c>
      <c r="AR50" s="349">
        <f t="shared" si="26"/>
        <v>45663</v>
      </c>
      <c r="AS50" s="530">
        <v>45665</v>
      </c>
      <c r="AT50" s="25" t="s">
        <v>539</v>
      </c>
      <c r="AU50" s="183"/>
      <c r="AV50" s="137" t="s">
        <v>20</v>
      </c>
      <c r="AW50" s="15" t="s">
        <v>544</v>
      </c>
      <c r="AX50" s="278">
        <v>45703</v>
      </c>
      <c r="AY50" s="278">
        <v>45703</v>
      </c>
      <c r="AZ50" s="182" t="s">
        <v>539</v>
      </c>
      <c r="BA50" s="183"/>
      <c r="BB50" s="137" t="s">
        <v>20</v>
      </c>
      <c r="BC50" s="131" t="s">
        <v>540</v>
      </c>
      <c r="BD50" s="131" t="s">
        <v>21</v>
      </c>
      <c r="BE50" s="279">
        <f>BF50-2</f>
        <v>45736</v>
      </c>
      <c r="BF50" s="279">
        <v>45738</v>
      </c>
      <c r="BG50" s="15" t="s">
        <v>506</v>
      </c>
      <c r="BH50" s="189"/>
      <c r="BI50" s="137" t="s">
        <v>20</v>
      </c>
      <c r="BJ50" s="131">
        <v>45824</v>
      </c>
      <c r="BK50" s="131">
        <f>BJ50</f>
        <v>45824</v>
      </c>
      <c r="BL50" s="25">
        <v>1330</v>
      </c>
      <c r="BM50" s="185" t="s">
        <v>541</v>
      </c>
      <c r="BN50" s="24"/>
      <c r="BO50" s="24"/>
    </row>
    <row r="51" spans="1:68" ht="14.25" customHeight="1">
      <c r="A51" s="15" t="s">
        <v>0</v>
      </c>
      <c r="B51" s="19"/>
      <c r="C51" s="179"/>
      <c r="D51" s="130"/>
      <c r="E51" s="130"/>
      <c r="F51" s="130"/>
      <c r="G51" s="130"/>
      <c r="H51" s="180"/>
      <c r="I51" s="19"/>
      <c r="J51" s="19"/>
      <c r="K51" s="181"/>
      <c r="L51" s="173"/>
      <c r="M51" s="15"/>
      <c r="N51" s="15"/>
      <c r="O51" s="15"/>
      <c r="P51" s="175"/>
      <c r="Q51" s="173"/>
      <c r="R51" s="15"/>
      <c r="S51" s="175"/>
      <c r="T51" s="176"/>
      <c r="U51" s="176"/>
      <c r="V51" s="16">
        <v>331.00099999999998</v>
      </c>
      <c r="W51" s="15" t="s">
        <v>565</v>
      </c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77"/>
      <c r="AM51" s="15"/>
      <c r="AN51" s="24"/>
      <c r="AO51" s="24"/>
      <c r="AP51" s="24"/>
      <c r="AQ51" s="24"/>
      <c r="AR51" s="24"/>
      <c r="AS51" s="25"/>
      <c r="AT51" s="25"/>
      <c r="AU51" s="178"/>
      <c r="AV51" s="24"/>
      <c r="AW51" s="24"/>
      <c r="AX51" s="278"/>
      <c r="AY51" s="278"/>
      <c r="AZ51" s="24"/>
      <c r="BA51" s="178"/>
      <c r="BB51" s="24"/>
      <c r="BC51" s="24"/>
      <c r="BD51" s="24"/>
      <c r="BE51" s="24"/>
      <c r="BF51" s="24"/>
      <c r="BG51" s="24"/>
      <c r="BH51" s="178"/>
      <c r="BI51" s="24"/>
      <c r="BJ51" s="24"/>
      <c r="BK51" s="131"/>
      <c r="BL51" s="24"/>
      <c r="BM51" s="24"/>
      <c r="BN51" s="24"/>
      <c r="BO51" s="24"/>
    </row>
    <row r="52" spans="1:68" ht="14.25" customHeight="1">
      <c r="A52" s="15">
        <f t="shared" si="17"/>
        <v>22</v>
      </c>
      <c r="B52" s="19" t="s">
        <v>75</v>
      </c>
      <c r="C52" s="179" t="s">
        <v>76</v>
      </c>
      <c r="D52" s="130">
        <v>7.71</v>
      </c>
      <c r="E52" s="130">
        <f>D52*4</f>
        <v>30.84</v>
      </c>
      <c r="F52" s="130">
        <f>E52*8</f>
        <v>246.72</v>
      </c>
      <c r="G52" s="130"/>
      <c r="H52" s="180"/>
      <c r="I52" s="19"/>
      <c r="J52" s="19"/>
      <c r="K52" s="181"/>
      <c r="L52" s="173">
        <v>3.452</v>
      </c>
      <c r="M52" s="15">
        <v>2.633</v>
      </c>
      <c r="N52" s="15">
        <v>4.0000000000000001E-3</v>
      </c>
      <c r="O52" s="15">
        <v>0.24099999999999999</v>
      </c>
      <c r="P52" s="175">
        <f t="shared" si="2"/>
        <v>6.3299999999999992</v>
      </c>
      <c r="Q52" s="173">
        <v>0.36299999999999999</v>
      </c>
      <c r="R52" s="15">
        <v>6.0000000000000001E-3</v>
      </c>
      <c r="S52" s="175">
        <f t="shared" si="3"/>
        <v>0.36899999999999999</v>
      </c>
      <c r="T52" s="176" t="s">
        <v>31</v>
      </c>
      <c r="U52" s="176" t="s">
        <v>536</v>
      </c>
      <c r="V52" s="15"/>
      <c r="W52" s="15"/>
      <c r="X52" s="15">
        <v>51.64</v>
      </c>
      <c r="Y52" s="15">
        <v>0.97</v>
      </c>
      <c r="Z52" s="15">
        <v>9.82</v>
      </c>
      <c r="AA52" s="15">
        <f t="shared" si="4"/>
        <v>10.790000000000001</v>
      </c>
      <c r="AB52" s="15">
        <v>83.456000000000003</v>
      </c>
      <c r="AC52" s="15">
        <v>4172.8</v>
      </c>
      <c r="AD52" s="15">
        <v>81.819999999999993</v>
      </c>
      <c r="AE52" s="15">
        <v>408.9</v>
      </c>
      <c r="AF52" s="15"/>
      <c r="AG52" s="15">
        <v>203.94</v>
      </c>
      <c r="AH52" s="15"/>
      <c r="AI52" s="15"/>
      <c r="AJ52" s="15">
        <v>694.66</v>
      </c>
      <c r="AK52" s="15">
        <v>0.69465999999999994</v>
      </c>
      <c r="AL52" s="177"/>
      <c r="AM52" s="137" t="s">
        <v>20</v>
      </c>
      <c r="AN52" s="131" t="str">
        <f>AO52</f>
        <v>D</v>
      </c>
      <c r="AO52" s="131" t="s">
        <v>21</v>
      </c>
      <c r="AP52" s="349">
        <v>45672</v>
      </c>
      <c r="AQ52" s="349">
        <f>AR52-2</f>
        <v>45673</v>
      </c>
      <c r="AR52" s="349">
        <f>AS52-1</f>
        <v>45675</v>
      </c>
      <c r="AS52" s="530">
        <v>45676</v>
      </c>
      <c r="AT52" s="25" t="s">
        <v>539</v>
      </c>
      <c r="AU52" s="183"/>
      <c r="AV52" s="137" t="s">
        <v>20</v>
      </c>
      <c r="AW52" s="15" t="s">
        <v>6</v>
      </c>
      <c r="AX52" s="278">
        <v>45698</v>
      </c>
      <c r="AY52" s="278">
        <v>45698</v>
      </c>
      <c r="AZ52" s="24" t="s">
        <v>549</v>
      </c>
      <c r="BA52" s="178"/>
      <c r="BB52" s="137" t="s">
        <v>20</v>
      </c>
      <c r="BC52" s="131" t="s">
        <v>550</v>
      </c>
      <c r="BD52" s="131" t="s">
        <v>21</v>
      </c>
      <c r="BE52" s="279">
        <f>BF52-2</f>
        <v>45739</v>
      </c>
      <c r="BF52" s="279">
        <v>45741</v>
      </c>
      <c r="BG52" s="15" t="s">
        <v>506</v>
      </c>
      <c r="BH52" s="189"/>
      <c r="BI52" s="137" t="s">
        <v>20</v>
      </c>
      <c r="BJ52" s="131">
        <v>45828</v>
      </c>
      <c r="BK52" s="131">
        <f>BJ52</f>
        <v>45828</v>
      </c>
      <c r="BL52" s="25">
        <v>1252</v>
      </c>
      <c r="BM52" s="185" t="s">
        <v>541</v>
      </c>
      <c r="BN52" s="24"/>
      <c r="BO52" s="24"/>
    </row>
    <row r="53" spans="1:68" ht="14.25" customHeight="1">
      <c r="A53" s="15" t="s">
        <v>0</v>
      </c>
      <c r="B53" s="19"/>
      <c r="C53" s="179"/>
      <c r="D53" s="130"/>
      <c r="E53" s="130"/>
      <c r="F53" s="130"/>
      <c r="G53" s="130"/>
      <c r="H53" s="180"/>
      <c r="I53" s="19"/>
      <c r="J53" s="19"/>
      <c r="K53" s="181"/>
      <c r="L53" s="173"/>
      <c r="M53" s="15"/>
      <c r="N53" s="15"/>
      <c r="O53" s="15"/>
      <c r="P53" s="175"/>
      <c r="Q53" s="173"/>
      <c r="R53" s="15"/>
      <c r="S53" s="175"/>
      <c r="T53" s="176"/>
      <c r="U53" s="176"/>
      <c r="V53" s="16">
        <v>349</v>
      </c>
      <c r="W53" s="15" t="s">
        <v>500</v>
      </c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77"/>
      <c r="AM53" s="15"/>
      <c r="AN53" s="24"/>
      <c r="AO53" s="24"/>
      <c r="AP53" s="24"/>
      <c r="AQ53" s="24"/>
      <c r="AR53" s="24"/>
      <c r="AS53" s="25"/>
      <c r="AT53" s="25"/>
      <c r="AU53" s="178"/>
      <c r="AV53" s="24"/>
      <c r="AW53" s="24"/>
      <c r="AX53" s="278"/>
      <c r="AY53" s="278"/>
      <c r="AZ53" s="24"/>
      <c r="BA53" s="178"/>
      <c r="BB53" s="24"/>
      <c r="BC53" s="24"/>
      <c r="BD53" s="24"/>
      <c r="BE53" s="24"/>
      <c r="BF53" s="24"/>
      <c r="BG53" s="24"/>
      <c r="BH53" s="178"/>
      <c r="BI53" s="24"/>
      <c r="BJ53" s="24"/>
      <c r="BK53" s="131"/>
      <c r="BL53" s="24"/>
      <c r="BM53" s="24"/>
      <c r="BN53" s="24"/>
      <c r="BO53" s="24"/>
    </row>
    <row r="54" spans="1:68" ht="16.5" customHeight="1">
      <c r="A54" s="15">
        <f t="shared" si="17"/>
        <v>23</v>
      </c>
      <c r="B54" s="19" t="s">
        <v>77</v>
      </c>
      <c r="C54" s="179" t="s">
        <v>70</v>
      </c>
      <c r="D54" s="130">
        <v>10.468</v>
      </c>
      <c r="E54" s="130">
        <f>D54*4</f>
        <v>41.872</v>
      </c>
      <c r="F54" s="130">
        <f>E54*8</f>
        <v>334.976</v>
      </c>
      <c r="G54" s="130"/>
      <c r="H54" s="180"/>
      <c r="I54" s="19"/>
      <c r="J54" s="19"/>
      <c r="K54" s="181"/>
      <c r="L54" s="173">
        <v>4.351</v>
      </c>
      <c r="M54" s="15">
        <v>4.2219999999999995</v>
      </c>
      <c r="N54" s="15">
        <v>5.0000000000000001E-3</v>
      </c>
      <c r="O54" s="15">
        <v>0.32100000000000001</v>
      </c>
      <c r="P54" s="175">
        <f t="shared" si="2"/>
        <v>8.8990000000000009</v>
      </c>
      <c r="Q54" s="173">
        <v>0.36299999999999999</v>
      </c>
      <c r="R54" s="15">
        <v>6.0000000000000001E-3</v>
      </c>
      <c r="S54" s="175">
        <f t="shared" si="3"/>
        <v>0.36899999999999999</v>
      </c>
      <c r="T54" s="176" t="s">
        <v>31</v>
      </c>
      <c r="U54" s="176" t="s">
        <v>536</v>
      </c>
      <c r="V54" s="15"/>
      <c r="W54" s="15"/>
      <c r="X54" s="15">
        <v>51.64</v>
      </c>
      <c r="Y54" s="15">
        <v>0.97</v>
      </c>
      <c r="Z54" s="15">
        <v>9.82</v>
      </c>
      <c r="AA54" s="15">
        <f t="shared" si="4"/>
        <v>10.790000000000001</v>
      </c>
      <c r="AB54" s="15">
        <v>83.456000000000003</v>
      </c>
      <c r="AC54" s="15">
        <v>4172.8</v>
      </c>
      <c r="AD54" s="15">
        <v>81.819999999999993</v>
      </c>
      <c r="AE54" s="15">
        <v>408.9</v>
      </c>
      <c r="AF54" s="15"/>
      <c r="AG54" s="15">
        <v>203.94</v>
      </c>
      <c r="AH54" s="15"/>
      <c r="AI54" s="15"/>
      <c r="AJ54" s="15">
        <v>694.66</v>
      </c>
      <c r="AK54" s="15">
        <v>0.69465999999999994</v>
      </c>
      <c r="AL54" s="177"/>
      <c r="AM54" s="137" t="s">
        <v>20</v>
      </c>
      <c r="AN54" s="131" t="str">
        <f>AO54</f>
        <v>D</v>
      </c>
      <c r="AO54" s="131" t="s">
        <v>21</v>
      </c>
      <c r="AP54" s="349">
        <v>45667</v>
      </c>
      <c r="AQ54" s="349">
        <f>AP54+1</f>
        <v>45668</v>
      </c>
      <c r="AR54" s="349">
        <f>AS54-1</f>
        <v>45670</v>
      </c>
      <c r="AS54" s="530">
        <v>45671</v>
      </c>
      <c r="AT54" s="25" t="s">
        <v>539</v>
      </c>
      <c r="AU54" s="183"/>
      <c r="AV54" s="137" t="s">
        <v>20</v>
      </c>
      <c r="AW54" s="15" t="s">
        <v>6</v>
      </c>
      <c r="AX54" s="278">
        <v>45698</v>
      </c>
      <c r="AY54" s="278">
        <v>45698</v>
      </c>
      <c r="AZ54" s="24" t="s">
        <v>549</v>
      </c>
      <c r="BA54" s="178"/>
      <c r="BB54" s="137" t="s">
        <v>20</v>
      </c>
      <c r="BC54" s="131" t="s">
        <v>551</v>
      </c>
      <c r="BD54" s="131" t="s">
        <v>21</v>
      </c>
      <c r="BE54" s="279">
        <f>BF54-1</f>
        <v>45725</v>
      </c>
      <c r="BF54" s="279">
        <v>45726</v>
      </c>
      <c r="BG54" s="15" t="s">
        <v>506</v>
      </c>
      <c r="BH54" s="177"/>
      <c r="BI54" s="137" t="s">
        <v>20</v>
      </c>
      <c r="BJ54" s="131">
        <v>45840</v>
      </c>
      <c r="BK54" s="131">
        <f>BJ54</f>
        <v>45840</v>
      </c>
      <c r="BL54" s="25">
        <v>2144</v>
      </c>
      <c r="BM54" s="185" t="s">
        <v>541</v>
      </c>
      <c r="BN54" s="191" t="s">
        <v>552</v>
      </c>
      <c r="BO54" s="192"/>
    </row>
    <row r="55" spans="1:68" ht="14.25" customHeight="1">
      <c r="A55" s="15" t="s">
        <v>0</v>
      </c>
      <c r="B55" s="19"/>
      <c r="C55" s="179"/>
      <c r="D55" s="130"/>
      <c r="E55" s="130"/>
      <c r="F55" s="130"/>
      <c r="G55" s="130"/>
      <c r="H55" s="180"/>
      <c r="I55" s="19"/>
      <c r="J55" s="19"/>
      <c r="K55" s="181"/>
      <c r="L55" s="173"/>
      <c r="M55" s="15"/>
      <c r="N55" s="15"/>
      <c r="O55" s="15"/>
      <c r="P55" s="175"/>
      <c r="Q55" s="173"/>
      <c r="R55" s="15"/>
      <c r="S55" s="175"/>
      <c r="T55" s="176"/>
      <c r="U55" s="176"/>
      <c r="V55" s="16">
        <v>360</v>
      </c>
      <c r="W55" s="15" t="s">
        <v>500</v>
      </c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77"/>
      <c r="AM55" s="15"/>
      <c r="AN55" s="24"/>
      <c r="AO55" s="24"/>
      <c r="AP55" s="24"/>
      <c r="AQ55" s="24"/>
      <c r="AR55" s="24"/>
      <c r="AS55" s="25"/>
      <c r="AT55" s="25"/>
      <c r="AU55" s="178"/>
      <c r="AV55" s="24"/>
      <c r="AW55" s="24"/>
      <c r="AX55" s="278"/>
      <c r="AY55" s="278"/>
      <c r="AZ55" s="24"/>
      <c r="BA55" s="178"/>
      <c r="BB55" s="24"/>
      <c r="BC55" s="24"/>
      <c r="BD55" s="24"/>
      <c r="BE55" s="24"/>
      <c r="BF55" s="24"/>
      <c r="BG55" s="24"/>
      <c r="BH55" s="178"/>
      <c r="BI55" s="24"/>
      <c r="BJ55" s="24"/>
      <c r="BK55" s="24"/>
      <c r="BL55" s="24"/>
      <c r="BM55" s="24"/>
      <c r="BN55" s="24"/>
      <c r="BO55" s="24"/>
    </row>
    <row r="56" spans="1:68" ht="14.25" customHeight="1">
      <c r="A56" s="15">
        <f t="shared" si="17"/>
        <v>24</v>
      </c>
      <c r="B56" s="19" t="s">
        <v>78</v>
      </c>
      <c r="C56" s="179" t="s">
        <v>70</v>
      </c>
      <c r="D56" s="130">
        <v>10.468</v>
      </c>
      <c r="E56" s="130">
        <f>D56*4</f>
        <v>41.872</v>
      </c>
      <c r="F56" s="130">
        <f>E56*8</f>
        <v>334.976</v>
      </c>
      <c r="G56" s="130">
        <v>1</v>
      </c>
      <c r="H56" s="180">
        <v>2</v>
      </c>
      <c r="I56" s="19">
        <v>2</v>
      </c>
      <c r="J56" s="19">
        <v>2</v>
      </c>
      <c r="K56" s="181">
        <v>2</v>
      </c>
      <c r="L56" s="173">
        <v>4.351</v>
      </c>
      <c r="M56" s="15">
        <v>4.2219999999999995</v>
      </c>
      <c r="N56" s="15">
        <v>5.0000000000000001E-3</v>
      </c>
      <c r="O56" s="15">
        <v>0.32100000000000001</v>
      </c>
      <c r="P56" s="175">
        <f t="shared" si="2"/>
        <v>8.8990000000000009</v>
      </c>
      <c r="Q56" s="173">
        <v>0.42799999999999999</v>
      </c>
      <c r="R56" s="15">
        <v>1.0999999999999999E-2</v>
      </c>
      <c r="S56" s="175">
        <f t="shared" si="3"/>
        <v>0.439</v>
      </c>
      <c r="T56" s="176" t="s">
        <v>31</v>
      </c>
      <c r="U56" s="176" t="s">
        <v>536</v>
      </c>
      <c r="V56" s="15"/>
      <c r="W56" s="15"/>
      <c r="X56" s="15">
        <v>103.6</v>
      </c>
      <c r="Y56" s="15">
        <v>0.97</v>
      </c>
      <c r="Z56" s="15">
        <v>14.75</v>
      </c>
      <c r="AA56" s="15">
        <f t="shared" si="4"/>
        <v>15.72</v>
      </c>
      <c r="AB56" s="15"/>
      <c r="AC56" s="15"/>
      <c r="AD56" s="15">
        <v>130.54</v>
      </c>
      <c r="AE56" s="15">
        <v>602.37</v>
      </c>
      <c r="AF56" s="15"/>
      <c r="AG56" s="15"/>
      <c r="AH56" s="15">
        <v>725.9</v>
      </c>
      <c r="AI56" s="15"/>
      <c r="AJ56" s="15">
        <f>SUM(AD56:AI56)</f>
        <v>1458.81</v>
      </c>
      <c r="AK56" s="15">
        <f>AJ56/1000</f>
        <v>1.4588099999999999</v>
      </c>
      <c r="AL56" s="177"/>
      <c r="AM56" s="137" t="s">
        <v>20</v>
      </c>
      <c r="AN56" s="131"/>
      <c r="AO56" s="131"/>
      <c r="AP56" s="349">
        <f>AQ56-4</f>
        <v>45915</v>
      </c>
      <c r="AQ56" s="349">
        <f>AR56-3</f>
        <v>45919</v>
      </c>
      <c r="AR56" s="349">
        <f>AS56-4</f>
        <v>45922</v>
      </c>
      <c r="AS56" s="530">
        <v>45926</v>
      </c>
      <c r="AT56" s="25" t="s">
        <v>553</v>
      </c>
      <c r="AU56" s="178"/>
      <c r="AV56" s="137" t="s">
        <v>20</v>
      </c>
      <c r="AW56" s="15" t="s">
        <v>6</v>
      </c>
      <c r="AX56" s="278"/>
      <c r="AY56" s="278"/>
      <c r="AZ56" s="24"/>
      <c r="BA56" s="178"/>
      <c r="BB56" s="137" t="s">
        <v>20</v>
      </c>
      <c r="BC56" s="131"/>
      <c r="BD56" s="131"/>
      <c r="BE56" s="279">
        <v>46041</v>
      </c>
      <c r="BF56" s="279">
        <v>46045</v>
      </c>
      <c r="BG56" s="15" t="s">
        <v>506</v>
      </c>
      <c r="BH56" s="188"/>
      <c r="BI56" s="137" t="s">
        <v>20</v>
      </c>
      <c r="BJ56" s="24"/>
      <c r="BK56" s="24"/>
      <c r="BL56" s="25">
        <v>2144</v>
      </c>
      <c r="BM56" s="24" t="s">
        <v>709</v>
      </c>
      <c r="BN56" s="191" t="s">
        <v>552</v>
      </c>
      <c r="BO56" s="192"/>
      <c r="BP56" s="140" t="s">
        <v>554</v>
      </c>
    </row>
    <row r="57" spans="1:68" ht="14.25" customHeight="1">
      <c r="A57" s="15" t="s">
        <v>0</v>
      </c>
      <c r="B57" s="19"/>
      <c r="C57" s="179"/>
      <c r="D57" s="130"/>
      <c r="E57" s="130"/>
      <c r="F57" s="130"/>
      <c r="G57" s="130"/>
      <c r="H57" s="180"/>
      <c r="I57" s="19"/>
      <c r="J57" s="19"/>
      <c r="K57" s="181"/>
      <c r="L57" s="173"/>
      <c r="M57" s="15"/>
      <c r="N57" s="15"/>
      <c r="O57" s="15"/>
      <c r="P57" s="175"/>
      <c r="Q57" s="173"/>
      <c r="R57" s="15"/>
      <c r="S57" s="175"/>
      <c r="T57" s="176"/>
      <c r="U57" s="176"/>
      <c r="V57" s="16">
        <v>460</v>
      </c>
      <c r="W57" s="15" t="s">
        <v>500</v>
      </c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77"/>
      <c r="AM57" s="15"/>
      <c r="AN57" s="24"/>
      <c r="AO57" s="24"/>
      <c r="AP57" s="24"/>
      <c r="AQ57" s="24"/>
      <c r="AR57" s="24"/>
      <c r="AS57" s="25"/>
      <c r="AT57" s="25"/>
      <c r="AU57" s="178"/>
      <c r="AV57" s="24"/>
      <c r="AW57" s="24"/>
      <c r="AX57" s="278"/>
      <c r="AY57" s="278"/>
      <c r="AZ57" s="24"/>
      <c r="BA57" s="178"/>
      <c r="BB57" s="24"/>
      <c r="BC57" s="24"/>
      <c r="BD57" s="24"/>
      <c r="BE57" s="24"/>
      <c r="BF57" s="24"/>
      <c r="BG57" s="24"/>
      <c r="BH57" s="178"/>
      <c r="BI57" s="24"/>
      <c r="BJ57" s="24"/>
      <c r="BK57" s="24"/>
      <c r="BL57" s="24"/>
      <c r="BM57" s="24"/>
      <c r="BN57" s="24"/>
      <c r="BO57" s="24"/>
    </row>
    <row r="58" spans="1:68" ht="14.25" customHeight="1">
      <c r="A58" s="15">
        <f t="shared" si="17"/>
        <v>25</v>
      </c>
      <c r="B58" s="19" t="s">
        <v>79</v>
      </c>
      <c r="C58" s="179" t="s">
        <v>70</v>
      </c>
      <c r="D58" s="130">
        <v>10.468</v>
      </c>
      <c r="E58" s="130">
        <f>D58*4</f>
        <v>41.872</v>
      </c>
      <c r="F58" s="130">
        <f>E58*8</f>
        <v>334.976</v>
      </c>
      <c r="G58" s="130"/>
      <c r="H58" s="180"/>
      <c r="I58" s="19"/>
      <c r="J58" s="19"/>
      <c r="K58" s="181"/>
      <c r="L58" s="173">
        <v>4.351</v>
      </c>
      <c r="M58" s="15">
        <v>4.2219999999999995</v>
      </c>
      <c r="N58" s="15">
        <v>5.0000000000000001E-3</v>
      </c>
      <c r="O58" s="15">
        <v>0.32100000000000001</v>
      </c>
      <c r="P58" s="175">
        <f t="shared" si="2"/>
        <v>8.8990000000000009</v>
      </c>
      <c r="Q58" s="173">
        <v>0.36299999999999999</v>
      </c>
      <c r="R58" s="15">
        <v>6.0000000000000001E-3</v>
      </c>
      <c r="S58" s="175">
        <f t="shared" si="3"/>
        <v>0.36899999999999999</v>
      </c>
      <c r="T58" s="176" t="s">
        <v>31</v>
      </c>
      <c r="U58" s="176" t="s">
        <v>536</v>
      </c>
      <c r="V58" s="15"/>
      <c r="W58" s="15"/>
      <c r="X58" s="15">
        <v>51.64</v>
      </c>
      <c r="Y58" s="15">
        <v>0.97</v>
      </c>
      <c r="Z58" s="15">
        <v>9.82</v>
      </c>
      <c r="AA58" s="15">
        <f t="shared" si="4"/>
        <v>10.790000000000001</v>
      </c>
      <c r="AB58" s="15">
        <v>83.456000000000003</v>
      </c>
      <c r="AC58" s="15">
        <v>4172.8</v>
      </c>
      <c r="AD58" s="15">
        <v>81.819999999999993</v>
      </c>
      <c r="AE58" s="15">
        <v>408.9</v>
      </c>
      <c r="AF58" s="15"/>
      <c r="AG58" s="15">
        <v>203.94</v>
      </c>
      <c r="AH58" s="15"/>
      <c r="AI58" s="15"/>
      <c r="AJ58" s="15">
        <v>694.66</v>
      </c>
      <c r="AK58" s="15">
        <v>0.69465999999999994</v>
      </c>
      <c r="AL58" s="177"/>
      <c r="AM58" s="137" t="s">
        <v>20</v>
      </c>
      <c r="AN58" s="131"/>
      <c r="AO58" s="131"/>
      <c r="AP58" s="349">
        <f t="shared" ref="AP58:AR58" si="27">AQ58-2</f>
        <v>45897</v>
      </c>
      <c r="AQ58" s="349">
        <f t="shared" si="27"/>
        <v>45899</v>
      </c>
      <c r="AR58" s="349">
        <f t="shared" si="27"/>
        <v>45901</v>
      </c>
      <c r="AS58" s="530">
        <v>45903</v>
      </c>
      <c r="AT58" s="25" t="s">
        <v>549</v>
      </c>
      <c r="AU58" s="183"/>
      <c r="AV58" s="137" t="s">
        <v>20</v>
      </c>
      <c r="AW58" s="15" t="s">
        <v>6</v>
      </c>
      <c r="AX58" s="278">
        <f>AY58</f>
        <v>45905</v>
      </c>
      <c r="AY58" s="278">
        <v>45905</v>
      </c>
      <c r="AZ58" s="24" t="s">
        <v>549</v>
      </c>
      <c r="BA58" s="178"/>
      <c r="BB58" s="137" t="s">
        <v>20</v>
      </c>
      <c r="BC58" s="131"/>
      <c r="BD58" s="131"/>
      <c r="BE58" s="279">
        <v>46013</v>
      </c>
      <c r="BF58" s="279">
        <v>46015</v>
      </c>
      <c r="BG58" s="15" t="s">
        <v>506</v>
      </c>
      <c r="BH58" s="193"/>
      <c r="BI58" s="137" t="s">
        <v>20</v>
      </c>
      <c r="BJ58" s="24"/>
      <c r="BK58" s="24"/>
      <c r="BL58" s="25">
        <v>2144</v>
      </c>
      <c r="BM58" s="24" t="s">
        <v>709</v>
      </c>
      <c r="BN58" s="24"/>
      <c r="BO58" s="24"/>
    </row>
    <row r="59" spans="1:68" ht="14.25" customHeight="1">
      <c r="A59" s="15" t="s">
        <v>0</v>
      </c>
      <c r="B59" s="19"/>
      <c r="C59" s="179"/>
      <c r="D59" s="130"/>
      <c r="E59" s="130"/>
      <c r="F59" s="130"/>
      <c r="G59" s="130"/>
      <c r="H59" s="180"/>
      <c r="I59" s="19"/>
      <c r="J59" s="19"/>
      <c r="K59" s="181"/>
      <c r="L59" s="173"/>
      <c r="M59" s="15"/>
      <c r="N59" s="15"/>
      <c r="O59" s="15"/>
      <c r="P59" s="175"/>
      <c r="Q59" s="173"/>
      <c r="R59" s="15"/>
      <c r="S59" s="175"/>
      <c r="T59" s="176"/>
      <c r="U59" s="176"/>
      <c r="V59" s="16">
        <v>230</v>
      </c>
      <c r="W59" s="15" t="s">
        <v>500</v>
      </c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77"/>
      <c r="AM59" s="15"/>
      <c r="AN59" s="24"/>
      <c r="AO59" s="24"/>
      <c r="AP59" s="24"/>
      <c r="AQ59" s="24"/>
      <c r="AR59" s="24"/>
      <c r="AS59" s="25"/>
      <c r="AT59" s="25"/>
      <c r="AU59" s="178"/>
      <c r="AV59" s="24"/>
      <c r="AW59" s="24"/>
      <c r="AX59" s="278"/>
      <c r="AY59" s="278"/>
      <c r="AZ59" s="24"/>
      <c r="BA59" s="178"/>
      <c r="BB59" s="24"/>
      <c r="BC59" s="24"/>
      <c r="BD59" s="24"/>
      <c r="BE59" s="24"/>
      <c r="BF59" s="24"/>
      <c r="BG59" s="24"/>
      <c r="BH59" s="178"/>
      <c r="BI59" s="24"/>
      <c r="BJ59" s="24"/>
      <c r="BK59" s="24"/>
      <c r="BL59" s="24"/>
      <c r="BM59" s="24"/>
      <c r="BN59" s="24"/>
      <c r="BO59" s="24"/>
    </row>
    <row r="60" spans="1:68" ht="14.25" customHeight="1">
      <c r="A60" s="15">
        <f t="shared" si="17"/>
        <v>26</v>
      </c>
      <c r="B60" s="19" t="s">
        <v>80</v>
      </c>
      <c r="C60" s="179" t="s">
        <v>81</v>
      </c>
      <c r="D60" s="130">
        <v>9.5489999999999995</v>
      </c>
      <c r="E60" s="130">
        <f>D60*4</f>
        <v>38.195999999999998</v>
      </c>
      <c r="F60" s="130">
        <f>E60*8</f>
        <v>305.56799999999998</v>
      </c>
      <c r="G60" s="130"/>
      <c r="H60" s="180"/>
      <c r="I60" s="19"/>
      <c r="J60" s="19"/>
      <c r="K60" s="181"/>
      <c r="L60" s="173">
        <v>4.1440000000000001</v>
      </c>
      <c r="M60" s="15">
        <v>3.6950000000000003</v>
      </c>
      <c r="N60" s="15">
        <v>4.7000000000000002E-3</v>
      </c>
      <c r="O60" s="15">
        <v>0.29799999999999999</v>
      </c>
      <c r="P60" s="175">
        <f t="shared" si="2"/>
        <v>8.1417000000000002</v>
      </c>
      <c r="Q60" s="173">
        <v>0.36299999999999999</v>
      </c>
      <c r="R60" s="15">
        <v>6.0000000000000001E-3</v>
      </c>
      <c r="S60" s="175">
        <f t="shared" si="3"/>
        <v>0.36899999999999999</v>
      </c>
      <c r="T60" s="176" t="s">
        <v>31</v>
      </c>
      <c r="U60" s="176" t="s">
        <v>536</v>
      </c>
      <c r="V60" s="15"/>
      <c r="W60" s="15"/>
      <c r="X60" s="15">
        <v>51.64</v>
      </c>
      <c r="Y60" s="15">
        <v>0.97</v>
      </c>
      <c r="Z60" s="15">
        <v>9.82</v>
      </c>
      <c r="AA60" s="15">
        <f t="shared" si="4"/>
        <v>10.790000000000001</v>
      </c>
      <c r="AB60" s="15">
        <v>83.456000000000003</v>
      </c>
      <c r="AC60" s="15">
        <v>4172.8</v>
      </c>
      <c r="AD60" s="15">
        <v>81.819999999999993</v>
      </c>
      <c r="AE60" s="15">
        <v>408.9</v>
      </c>
      <c r="AF60" s="15"/>
      <c r="AG60" s="15">
        <v>203.94</v>
      </c>
      <c r="AH60" s="15"/>
      <c r="AI60" s="15"/>
      <c r="AJ60" s="15">
        <v>694.66</v>
      </c>
      <c r="AK60" s="15">
        <v>0.69465999999999994</v>
      </c>
      <c r="AL60" s="177"/>
      <c r="AM60" s="137" t="s">
        <v>20</v>
      </c>
      <c r="AN60" s="131" t="s">
        <v>540</v>
      </c>
      <c r="AO60" s="131" t="s">
        <v>21</v>
      </c>
      <c r="AP60" s="349">
        <v>45685</v>
      </c>
      <c r="AQ60" s="349">
        <v>45686</v>
      </c>
      <c r="AR60" s="349">
        <f>AQ60</f>
        <v>45686</v>
      </c>
      <c r="AS60" s="530">
        <v>45687</v>
      </c>
      <c r="AT60" s="25" t="s">
        <v>549</v>
      </c>
      <c r="AU60" s="183"/>
      <c r="AV60" s="137" t="s">
        <v>20</v>
      </c>
      <c r="AW60" s="15" t="s">
        <v>6</v>
      </c>
      <c r="AX60" s="278">
        <v>45698</v>
      </c>
      <c r="AY60" s="278">
        <v>45698</v>
      </c>
      <c r="AZ60" s="24" t="s">
        <v>549</v>
      </c>
      <c r="BA60" s="178"/>
      <c r="BB60" s="137" t="s">
        <v>20</v>
      </c>
      <c r="BC60" s="131" t="s">
        <v>555</v>
      </c>
      <c r="BD60" s="131" t="s">
        <v>21</v>
      </c>
      <c r="BE60" s="279">
        <f>BF60-2</f>
        <v>45731</v>
      </c>
      <c r="BF60" s="279">
        <v>45733</v>
      </c>
      <c r="BG60" s="15" t="s">
        <v>506</v>
      </c>
      <c r="BH60" s="189"/>
      <c r="BI60" s="137" t="s">
        <v>20</v>
      </c>
      <c r="BJ60" s="131">
        <f>BK60</f>
        <v>45846</v>
      </c>
      <c r="BK60" s="131">
        <v>45846</v>
      </c>
      <c r="BL60" s="15">
        <v>1812</v>
      </c>
      <c r="BM60" s="185" t="s">
        <v>541</v>
      </c>
      <c r="BN60" s="24" t="s">
        <v>552</v>
      </c>
      <c r="BO60" s="24"/>
      <c r="BP60" s="140" t="s">
        <v>554</v>
      </c>
    </row>
    <row r="61" spans="1:68" ht="14.25" customHeight="1">
      <c r="A61" s="15" t="s">
        <v>0</v>
      </c>
      <c r="B61" s="19"/>
      <c r="C61" s="179"/>
      <c r="D61" s="130"/>
      <c r="E61" s="130"/>
      <c r="F61" s="130"/>
      <c r="G61" s="130"/>
      <c r="H61" s="180"/>
      <c r="I61" s="19"/>
      <c r="J61" s="19"/>
      <c r="K61" s="181"/>
      <c r="L61" s="173"/>
      <c r="M61" s="15"/>
      <c r="N61" s="15"/>
      <c r="O61" s="15"/>
      <c r="P61" s="175"/>
      <c r="Q61" s="173"/>
      <c r="R61" s="15"/>
      <c r="S61" s="175"/>
      <c r="T61" s="176"/>
      <c r="U61" s="176"/>
      <c r="V61" s="16">
        <v>371.51</v>
      </c>
      <c r="W61" s="15" t="s">
        <v>500</v>
      </c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77"/>
      <c r="AM61" s="15"/>
      <c r="AN61" s="24"/>
      <c r="AO61" s="24"/>
      <c r="AP61" s="24"/>
      <c r="AQ61" s="24"/>
      <c r="AR61" s="24"/>
      <c r="AS61" s="25"/>
      <c r="AT61" s="25"/>
      <c r="AU61" s="178"/>
      <c r="AV61" s="24"/>
      <c r="AW61" s="24"/>
      <c r="AX61" s="278"/>
      <c r="AY61" s="278"/>
      <c r="AZ61" s="24"/>
      <c r="BA61" s="178"/>
      <c r="BB61" s="24"/>
      <c r="BC61" s="24"/>
      <c r="BD61" s="24"/>
      <c r="BE61" s="24"/>
      <c r="BF61" s="24"/>
      <c r="BG61" s="24"/>
      <c r="BH61" s="178"/>
      <c r="BI61" s="24"/>
      <c r="BJ61" s="24"/>
      <c r="BK61" s="24"/>
      <c r="BL61" s="24"/>
      <c r="BM61" s="24"/>
      <c r="BN61" s="24"/>
      <c r="BO61" s="24"/>
    </row>
    <row r="62" spans="1:68" ht="14.25" customHeight="1">
      <c r="A62" s="15">
        <f t="shared" si="17"/>
        <v>27</v>
      </c>
      <c r="B62" s="19" t="s">
        <v>82</v>
      </c>
      <c r="C62" s="179" t="s">
        <v>81</v>
      </c>
      <c r="D62" s="130">
        <v>9.5489999999999995</v>
      </c>
      <c r="E62" s="130">
        <f>D62*4</f>
        <v>38.195999999999998</v>
      </c>
      <c r="F62" s="130">
        <f>E62*8</f>
        <v>305.56799999999998</v>
      </c>
      <c r="G62" s="130"/>
      <c r="H62" s="180"/>
      <c r="I62" s="19"/>
      <c r="J62" s="19"/>
      <c r="K62" s="181"/>
      <c r="L62" s="173">
        <v>4.1440000000000001</v>
      </c>
      <c r="M62" s="15">
        <v>3.6950000000000003</v>
      </c>
      <c r="N62" s="15">
        <v>4.7000000000000002E-3</v>
      </c>
      <c r="O62" s="15">
        <v>0.29799999999999999</v>
      </c>
      <c r="P62" s="175">
        <f t="shared" si="2"/>
        <v>8.1417000000000002</v>
      </c>
      <c r="Q62" s="173">
        <v>0.36299999999999999</v>
      </c>
      <c r="R62" s="15">
        <v>6.0000000000000001E-3</v>
      </c>
      <c r="S62" s="175">
        <f t="shared" si="3"/>
        <v>0.36899999999999999</v>
      </c>
      <c r="T62" s="176" t="s">
        <v>31</v>
      </c>
      <c r="U62" s="176" t="s">
        <v>536</v>
      </c>
      <c r="V62" s="15"/>
      <c r="W62" s="15"/>
      <c r="X62" s="15">
        <v>51.64</v>
      </c>
      <c r="Y62" s="15">
        <v>0.97</v>
      </c>
      <c r="Z62" s="15">
        <v>9.82</v>
      </c>
      <c r="AA62" s="15">
        <f t="shared" si="4"/>
        <v>10.790000000000001</v>
      </c>
      <c r="AB62" s="15">
        <v>83.456000000000003</v>
      </c>
      <c r="AC62" s="15">
        <v>4172.8</v>
      </c>
      <c r="AD62" s="15">
        <v>81.819999999999993</v>
      </c>
      <c r="AE62" s="15">
        <v>408.9</v>
      </c>
      <c r="AF62" s="15"/>
      <c r="AG62" s="15">
        <v>203.94</v>
      </c>
      <c r="AH62" s="15"/>
      <c r="AI62" s="15"/>
      <c r="AJ62" s="15">
        <v>694.66</v>
      </c>
      <c r="AK62" s="15">
        <v>0.69465999999999994</v>
      </c>
      <c r="AL62" s="177"/>
      <c r="AM62" s="137" t="s">
        <v>20</v>
      </c>
      <c r="AN62" s="131"/>
      <c r="AO62" s="131"/>
      <c r="AP62" s="349">
        <v>45688</v>
      </c>
      <c r="AQ62" s="349">
        <f t="shared" ref="AQ62:AR62" si="28">AR62-2</f>
        <v>45692</v>
      </c>
      <c r="AR62" s="349">
        <f t="shared" si="28"/>
        <v>45694</v>
      </c>
      <c r="AS62" s="530">
        <v>45696</v>
      </c>
      <c r="AT62" s="25" t="s">
        <v>549</v>
      </c>
      <c r="AU62" s="183"/>
      <c r="AV62" s="137" t="s">
        <v>20</v>
      </c>
      <c r="AW62" s="15" t="s">
        <v>6</v>
      </c>
      <c r="AX62" s="278">
        <f>AY62</f>
        <v>45721</v>
      </c>
      <c r="AY62" s="278">
        <v>45721</v>
      </c>
      <c r="AZ62" s="24" t="s">
        <v>549</v>
      </c>
      <c r="BA62" s="178"/>
      <c r="BB62" s="137" t="s">
        <v>20</v>
      </c>
      <c r="BC62" s="131" t="s">
        <v>555</v>
      </c>
      <c r="BD62" s="131" t="s">
        <v>21</v>
      </c>
      <c r="BE62" s="279">
        <f>BF62-2</f>
        <v>45727</v>
      </c>
      <c r="BF62" s="279">
        <v>45729</v>
      </c>
      <c r="BG62" s="15" t="s">
        <v>506</v>
      </c>
      <c r="BH62" s="189"/>
      <c r="BI62" s="137" t="s">
        <v>20</v>
      </c>
      <c r="BJ62" s="131">
        <f>BJ60+1</f>
        <v>45847</v>
      </c>
      <c r="BK62" s="131">
        <f>BJ62</f>
        <v>45847</v>
      </c>
      <c r="BL62" s="15">
        <v>1812</v>
      </c>
      <c r="BM62" s="185" t="s">
        <v>541</v>
      </c>
      <c r="BN62" s="24"/>
      <c r="BO62" s="24"/>
    </row>
    <row r="63" spans="1:68" ht="13.5" customHeight="1">
      <c r="A63" s="15" t="s">
        <v>0</v>
      </c>
      <c r="B63" s="19"/>
      <c r="C63" s="179"/>
      <c r="D63" s="130"/>
      <c r="E63" s="130"/>
      <c r="F63" s="130"/>
      <c r="G63" s="130"/>
      <c r="H63" s="180"/>
      <c r="I63" s="19"/>
      <c r="J63" s="19"/>
      <c r="K63" s="181"/>
      <c r="L63" s="173"/>
      <c r="M63" s="15"/>
      <c r="N63" s="15"/>
      <c r="O63" s="15"/>
      <c r="P63" s="175"/>
      <c r="Q63" s="173"/>
      <c r="R63" s="15"/>
      <c r="S63" s="175"/>
      <c r="T63" s="176"/>
      <c r="U63" s="176"/>
      <c r="V63" s="16">
        <v>332.471</v>
      </c>
      <c r="W63" s="15" t="s">
        <v>500</v>
      </c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77"/>
      <c r="AM63" s="15"/>
      <c r="AN63" s="24"/>
      <c r="AO63" s="24"/>
      <c r="AP63" s="24"/>
      <c r="AQ63" s="24"/>
      <c r="AR63" s="24"/>
      <c r="AS63" s="25"/>
      <c r="AT63" s="25"/>
      <c r="AU63" s="178"/>
      <c r="AV63" s="24"/>
      <c r="AW63" s="24"/>
      <c r="AX63" s="278"/>
      <c r="AY63" s="278"/>
      <c r="AZ63" s="24"/>
      <c r="BA63" s="178"/>
      <c r="BB63" s="24"/>
      <c r="BC63" s="24"/>
      <c r="BD63" s="24"/>
      <c r="BE63" s="24"/>
      <c r="BF63" s="24"/>
      <c r="BG63" s="24"/>
      <c r="BH63" s="178"/>
      <c r="BI63" s="24"/>
      <c r="BJ63" s="24"/>
      <c r="BK63" s="24"/>
      <c r="BL63" s="24"/>
      <c r="BM63" s="24"/>
      <c r="BN63" s="24"/>
      <c r="BO63" s="24"/>
    </row>
    <row r="64" spans="1:68" ht="14.25" customHeight="1">
      <c r="A64" s="15">
        <f t="shared" si="17"/>
        <v>28</v>
      </c>
      <c r="B64" s="19" t="s">
        <v>83</v>
      </c>
      <c r="C64" s="179" t="s">
        <v>76</v>
      </c>
      <c r="D64" s="130">
        <v>7.71</v>
      </c>
      <c r="E64" s="130">
        <f>D64*4</f>
        <v>30.84</v>
      </c>
      <c r="F64" s="130">
        <f>E64*8</f>
        <v>246.72</v>
      </c>
      <c r="G64" s="130"/>
      <c r="H64" s="180"/>
      <c r="I64" s="19"/>
      <c r="J64" s="19"/>
      <c r="K64" s="181"/>
      <c r="L64" s="173">
        <v>3.452</v>
      </c>
      <c r="M64" s="15">
        <v>2.633</v>
      </c>
      <c r="N64" s="15">
        <v>4.0000000000000001E-3</v>
      </c>
      <c r="O64" s="15">
        <v>0.24099999999999999</v>
      </c>
      <c r="P64" s="175">
        <f t="shared" si="2"/>
        <v>6.3299999999999992</v>
      </c>
      <c r="Q64" s="173">
        <v>0.36299999999999999</v>
      </c>
      <c r="R64" s="15">
        <v>6.0000000000000001E-3</v>
      </c>
      <c r="S64" s="175">
        <f t="shared" si="3"/>
        <v>0.36899999999999999</v>
      </c>
      <c r="T64" s="176" t="s">
        <v>31</v>
      </c>
      <c r="U64" s="176" t="s">
        <v>536</v>
      </c>
      <c r="V64" s="15"/>
      <c r="W64" s="15"/>
      <c r="X64" s="15">
        <v>51.64</v>
      </c>
      <c r="Y64" s="15">
        <v>0.97</v>
      </c>
      <c r="Z64" s="15">
        <v>9.82</v>
      </c>
      <c r="AA64" s="15">
        <f t="shared" si="4"/>
        <v>10.790000000000001</v>
      </c>
      <c r="AB64" s="15">
        <v>83.456000000000003</v>
      </c>
      <c r="AC64" s="15">
        <v>4172.8</v>
      </c>
      <c r="AD64" s="15">
        <v>81.819999999999993</v>
      </c>
      <c r="AE64" s="15">
        <v>408.9</v>
      </c>
      <c r="AF64" s="15"/>
      <c r="AG64" s="15">
        <v>203.94</v>
      </c>
      <c r="AH64" s="15"/>
      <c r="AI64" s="15"/>
      <c r="AJ64" s="15">
        <v>694.66</v>
      </c>
      <c r="AK64" s="15">
        <v>0.69465999999999994</v>
      </c>
      <c r="AL64" s="177"/>
      <c r="AM64" s="137" t="s">
        <v>20</v>
      </c>
      <c r="AN64" s="131" t="str">
        <f>AO64</f>
        <v>D</v>
      </c>
      <c r="AO64" s="131" t="s">
        <v>21</v>
      </c>
      <c r="AP64" s="349">
        <v>45656</v>
      </c>
      <c r="AQ64" s="349">
        <f>AR64-4</f>
        <v>45663</v>
      </c>
      <c r="AR64" s="349">
        <f>AS64-2</f>
        <v>45667</v>
      </c>
      <c r="AS64" s="530">
        <v>45669</v>
      </c>
      <c r="AT64" s="25" t="s">
        <v>549</v>
      </c>
      <c r="AU64" s="178"/>
      <c r="AV64" s="137" t="s">
        <v>20</v>
      </c>
      <c r="AW64" s="15" t="s">
        <v>6</v>
      </c>
      <c r="AX64" s="278">
        <f>AY64</f>
        <v>45721</v>
      </c>
      <c r="AY64" s="278">
        <v>45721</v>
      </c>
      <c r="AZ64" s="24" t="s">
        <v>549</v>
      </c>
      <c r="BA64" s="178"/>
      <c r="BB64" s="137" t="s">
        <v>20</v>
      </c>
      <c r="BC64" s="131" t="s">
        <v>543</v>
      </c>
      <c r="BD64" s="131" t="s">
        <v>21</v>
      </c>
      <c r="BE64" s="279">
        <f>BF64-1</f>
        <v>45727</v>
      </c>
      <c r="BF64" s="279">
        <v>45728</v>
      </c>
      <c r="BG64" s="17" t="s">
        <v>548</v>
      </c>
      <c r="BH64" s="187"/>
      <c r="BI64" s="137" t="s">
        <v>20</v>
      </c>
      <c r="BJ64" s="131">
        <f>BJ62+1</f>
        <v>45848</v>
      </c>
      <c r="BK64" s="131">
        <f>BJ64</f>
        <v>45848</v>
      </c>
      <c r="BL64" s="25">
        <v>1252</v>
      </c>
      <c r="BM64" s="185" t="s">
        <v>541</v>
      </c>
      <c r="BN64" s="24"/>
      <c r="BO64" s="24"/>
    </row>
    <row r="65" spans="1:68" ht="14.25" customHeight="1">
      <c r="A65" s="15" t="s">
        <v>0</v>
      </c>
      <c r="B65" s="19"/>
      <c r="C65" s="179"/>
      <c r="D65" s="130"/>
      <c r="E65" s="130"/>
      <c r="F65" s="130"/>
      <c r="G65" s="130"/>
      <c r="H65" s="180"/>
      <c r="I65" s="19"/>
      <c r="J65" s="19"/>
      <c r="K65" s="181"/>
      <c r="L65" s="173"/>
      <c r="M65" s="15"/>
      <c r="N65" s="15"/>
      <c r="O65" s="15"/>
      <c r="P65" s="175"/>
      <c r="Q65" s="173"/>
      <c r="R65" s="15"/>
      <c r="S65" s="175"/>
      <c r="T65" s="176"/>
      <c r="U65" s="176"/>
      <c r="V65" s="16">
        <v>424.43</v>
      </c>
      <c r="W65" s="15" t="s">
        <v>500</v>
      </c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77"/>
      <c r="AM65" s="15"/>
      <c r="AN65" s="24"/>
      <c r="AO65" s="24"/>
      <c r="AP65" s="24"/>
      <c r="AQ65" s="24"/>
      <c r="AR65" s="24"/>
      <c r="AS65" s="25"/>
      <c r="AT65" s="25"/>
      <c r="AU65" s="178"/>
      <c r="AV65" s="24"/>
      <c r="AW65" s="24"/>
      <c r="AX65" s="278"/>
      <c r="AY65" s="278"/>
      <c r="AZ65" s="24"/>
      <c r="BA65" s="178"/>
      <c r="BB65" s="24"/>
      <c r="BC65" s="24"/>
      <c r="BD65" s="24"/>
      <c r="BE65" s="24"/>
      <c r="BF65" s="24"/>
      <c r="BG65" s="24"/>
      <c r="BH65" s="178"/>
      <c r="BI65" s="24"/>
      <c r="BJ65" s="24"/>
      <c r="BK65" s="24"/>
      <c r="BL65" s="24"/>
      <c r="BM65" s="24"/>
      <c r="BN65" s="24"/>
      <c r="BO65" s="24"/>
    </row>
    <row r="66" spans="1:68" ht="14.25" customHeight="1">
      <c r="A66" s="15">
        <f t="shared" si="17"/>
        <v>29</v>
      </c>
      <c r="B66" s="19" t="s">
        <v>84</v>
      </c>
      <c r="C66" s="179" t="s">
        <v>85</v>
      </c>
      <c r="D66" s="130">
        <v>8.2520000000000007</v>
      </c>
      <c r="E66" s="130">
        <f>D66*4</f>
        <v>33.008000000000003</v>
      </c>
      <c r="F66" s="130">
        <f>E66*8</f>
        <v>264.06400000000002</v>
      </c>
      <c r="G66" s="130">
        <v>1</v>
      </c>
      <c r="H66" s="180">
        <v>3</v>
      </c>
      <c r="I66" s="19">
        <v>3</v>
      </c>
      <c r="J66" s="19">
        <v>3</v>
      </c>
      <c r="K66" s="181">
        <v>3</v>
      </c>
      <c r="L66" s="173">
        <v>3.0779999999999998</v>
      </c>
      <c r="M66" s="15">
        <v>3.6589999999999998</v>
      </c>
      <c r="N66" s="15">
        <v>2.7000000000000001E-3</v>
      </c>
      <c r="O66" s="15">
        <v>0.26600000000000001</v>
      </c>
      <c r="P66" s="175">
        <f t="shared" si="2"/>
        <v>7.0057</v>
      </c>
      <c r="Q66" s="173">
        <v>0.42799999999999999</v>
      </c>
      <c r="R66" s="15">
        <v>1.0999999999999999E-2</v>
      </c>
      <c r="S66" s="175">
        <f t="shared" si="3"/>
        <v>0.439</v>
      </c>
      <c r="T66" s="176" t="s">
        <v>31</v>
      </c>
      <c r="U66" s="176" t="s">
        <v>536</v>
      </c>
      <c r="V66" s="15"/>
      <c r="W66" s="15"/>
      <c r="X66" s="15">
        <v>41.44</v>
      </c>
      <c r="Y66" s="15">
        <v>0.8</v>
      </c>
      <c r="Z66" s="15">
        <v>15.93</v>
      </c>
      <c r="AA66" s="15">
        <f t="shared" si="4"/>
        <v>16.73</v>
      </c>
      <c r="AB66" s="15">
        <v>66.42</v>
      </c>
      <c r="AC66" s="15">
        <v>3321</v>
      </c>
      <c r="AD66" s="15">
        <v>73.73</v>
      </c>
      <c r="AE66" s="15">
        <v>301.5</v>
      </c>
      <c r="AF66" s="15"/>
      <c r="AG66" s="15">
        <v>206.46</v>
      </c>
      <c r="AH66" s="15"/>
      <c r="AI66" s="15"/>
      <c r="AJ66" s="15">
        <v>581.69000000000005</v>
      </c>
      <c r="AK66" s="15">
        <v>0.58169000000000004</v>
      </c>
      <c r="AL66" s="177"/>
      <c r="AM66" s="137" t="s">
        <v>20</v>
      </c>
      <c r="AN66" s="131" t="s">
        <v>21</v>
      </c>
      <c r="AO66" s="131" t="s">
        <v>21</v>
      </c>
      <c r="AP66" s="349">
        <f t="shared" ref="AP66:AR66" si="29">AQ66-2</f>
        <v>45784</v>
      </c>
      <c r="AQ66" s="349">
        <f t="shared" si="29"/>
        <v>45786</v>
      </c>
      <c r="AR66" s="349">
        <f t="shared" si="29"/>
        <v>45788</v>
      </c>
      <c r="AS66" s="530">
        <v>45790</v>
      </c>
      <c r="AT66" s="25" t="s">
        <v>549</v>
      </c>
      <c r="AU66" s="183"/>
      <c r="AV66" s="137" t="s">
        <v>20</v>
      </c>
      <c r="AW66" s="15" t="s">
        <v>6</v>
      </c>
      <c r="AX66" s="278">
        <f>AY66</f>
        <v>45797</v>
      </c>
      <c r="AY66" s="278">
        <v>45797</v>
      </c>
      <c r="AZ66" s="24" t="s">
        <v>549</v>
      </c>
      <c r="BA66" s="178"/>
      <c r="BB66" s="137" t="s">
        <v>20</v>
      </c>
      <c r="BC66" s="131" t="s">
        <v>556</v>
      </c>
      <c r="BD66" s="131" t="s">
        <v>21</v>
      </c>
      <c r="BE66" s="279">
        <f>BF66</f>
        <v>45812</v>
      </c>
      <c r="BF66" s="279">
        <v>45812</v>
      </c>
      <c r="BG66" s="15" t="s">
        <v>548</v>
      </c>
      <c r="BH66" s="189"/>
      <c r="BI66" s="137" t="s">
        <v>20</v>
      </c>
      <c r="BJ66" s="131">
        <f>BJ64+1</f>
        <v>45849</v>
      </c>
      <c r="BK66" s="131">
        <f>BJ66</f>
        <v>45849</v>
      </c>
      <c r="BL66" s="25">
        <v>1588</v>
      </c>
      <c r="BM66" s="185" t="s">
        <v>541</v>
      </c>
      <c r="BN66" s="24"/>
      <c r="BO66" s="24"/>
    </row>
    <row r="67" spans="1:68" ht="14.25" customHeight="1">
      <c r="A67" s="15" t="s">
        <v>0</v>
      </c>
      <c r="B67" s="19"/>
      <c r="C67" s="179"/>
      <c r="D67" s="130"/>
      <c r="E67" s="130"/>
      <c r="F67" s="130"/>
      <c r="G67" s="130"/>
      <c r="H67" s="180"/>
      <c r="I67" s="19"/>
      <c r="J67" s="19"/>
      <c r="K67" s="181"/>
      <c r="L67" s="173"/>
      <c r="M67" s="15"/>
      <c r="N67" s="15"/>
      <c r="O67" s="15"/>
      <c r="P67" s="175"/>
      <c r="Q67" s="173"/>
      <c r="R67" s="15"/>
      <c r="S67" s="175"/>
      <c r="T67" s="176"/>
      <c r="U67" s="176"/>
      <c r="V67" s="16">
        <v>326.73099999999999</v>
      </c>
      <c r="W67" s="15" t="s">
        <v>500</v>
      </c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77"/>
      <c r="AM67" s="15"/>
      <c r="AN67" s="24"/>
      <c r="AO67" s="24"/>
      <c r="AP67" s="24"/>
      <c r="AQ67" s="24"/>
      <c r="AR67" s="24"/>
      <c r="AS67" s="25"/>
      <c r="AT67" s="25"/>
      <c r="AU67" s="178"/>
      <c r="AV67" s="24"/>
      <c r="AW67" s="24"/>
      <c r="AX67" s="278"/>
      <c r="AY67" s="278"/>
      <c r="AZ67" s="24"/>
      <c r="BA67" s="178"/>
      <c r="BB67" s="24"/>
      <c r="BC67" s="24"/>
      <c r="BD67" s="24"/>
      <c r="BE67" s="24"/>
      <c r="BF67" s="24"/>
      <c r="BG67" s="24"/>
      <c r="BH67" s="178"/>
      <c r="BI67" s="24"/>
      <c r="BJ67" s="24"/>
      <c r="BK67" s="24"/>
      <c r="BL67" s="24"/>
      <c r="BM67" s="24"/>
      <c r="BN67" s="24"/>
      <c r="BO67" s="24"/>
    </row>
    <row r="68" spans="1:68" ht="14.25" customHeight="1">
      <c r="A68" s="15">
        <f t="shared" si="17"/>
        <v>30</v>
      </c>
      <c r="B68" s="19" t="s">
        <v>86</v>
      </c>
      <c r="C68" s="179" t="s">
        <v>56</v>
      </c>
      <c r="D68" s="130">
        <v>7.6219999999999999</v>
      </c>
      <c r="E68" s="130">
        <f>D68*4</f>
        <v>30.488</v>
      </c>
      <c r="F68" s="130">
        <f>E68*8</f>
        <v>243.904</v>
      </c>
      <c r="G68" s="130"/>
      <c r="H68" s="180"/>
      <c r="I68" s="19"/>
      <c r="J68" s="19"/>
      <c r="K68" s="181"/>
      <c r="L68" s="173">
        <v>2.6789999999999998</v>
      </c>
      <c r="M68" s="15">
        <v>3.133</v>
      </c>
      <c r="N68" s="15">
        <v>2.5000000000000001E-3</v>
      </c>
      <c r="O68" s="15">
        <v>0.23299999999999998</v>
      </c>
      <c r="P68" s="175">
        <f t="shared" si="2"/>
        <v>6.0474999999999994</v>
      </c>
      <c r="Q68" s="173">
        <v>0.24399999999999999</v>
      </c>
      <c r="R68" s="15">
        <v>5.0000000000000001E-3</v>
      </c>
      <c r="S68" s="175">
        <f t="shared" si="3"/>
        <v>0.249</v>
      </c>
      <c r="T68" s="176" t="s">
        <v>31</v>
      </c>
      <c r="U68" s="176" t="s">
        <v>536</v>
      </c>
      <c r="V68" s="15"/>
      <c r="W68" s="15"/>
      <c r="X68" s="15">
        <v>41.44</v>
      </c>
      <c r="Y68" s="15">
        <v>0.8</v>
      </c>
      <c r="Z68" s="15">
        <v>7.8</v>
      </c>
      <c r="AA68" s="15">
        <f t="shared" si="4"/>
        <v>8.6</v>
      </c>
      <c r="AB68" s="15">
        <v>66.42</v>
      </c>
      <c r="AC68" s="15">
        <v>3321</v>
      </c>
      <c r="AD68" s="15">
        <v>73.73</v>
      </c>
      <c r="AE68" s="15">
        <v>301.5</v>
      </c>
      <c r="AF68" s="15"/>
      <c r="AG68" s="15">
        <v>206.46</v>
      </c>
      <c r="AH68" s="15"/>
      <c r="AI68" s="15"/>
      <c r="AJ68" s="15">
        <v>581.69000000000005</v>
      </c>
      <c r="AK68" s="15">
        <v>0.58169000000000004</v>
      </c>
      <c r="AL68" s="177"/>
      <c r="AM68" s="137" t="s">
        <v>20</v>
      </c>
      <c r="AN68" s="131" t="str">
        <f>AO68</f>
        <v>D</v>
      </c>
      <c r="AO68" s="131" t="s">
        <v>21</v>
      </c>
      <c r="AP68" s="349">
        <f>AQ68-3</f>
        <v>45639</v>
      </c>
      <c r="AQ68" s="349">
        <f t="shared" ref="AQ68:AR68" si="30">AR68-2</f>
        <v>45642</v>
      </c>
      <c r="AR68" s="349">
        <f t="shared" si="30"/>
        <v>45644</v>
      </c>
      <c r="AS68" s="530">
        <v>45646</v>
      </c>
      <c r="AT68" s="25" t="s">
        <v>549</v>
      </c>
      <c r="AU68" s="178"/>
      <c r="AV68" s="137" t="s">
        <v>20</v>
      </c>
      <c r="AW68" s="15" t="s">
        <v>6</v>
      </c>
      <c r="AX68" s="278">
        <f>AY68</f>
        <v>45708</v>
      </c>
      <c r="AY68" s="278">
        <v>45708</v>
      </c>
      <c r="AZ68" s="24" t="s">
        <v>549</v>
      </c>
      <c r="BA68" s="178"/>
      <c r="BB68" s="137" t="s">
        <v>20</v>
      </c>
      <c r="BC68" s="131" t="s">
        <v>557</v>
      </c>
      <c r="BD68" s="131" t="s">
        <v>21</v>
      </c>
      <c r="BE68" s="279">
        <f>BF68-3</f>
        <v>45729</v>
      </c>
      <c r="BF68" s="279">
        <v>45732</v>
      </c>
      <c r="BG68" s="17" t="s">
        <v>548</v>
      </c>
      <c r="BH68" s="187"/>
      <c r="BI68" s="137" t="s">
        <v>20</v>
      </c>
      <c r="BJ68" s="131">
        <f>BJ66+1</f>
        <v>45850</v>
      </c>
      <c r="BK68" s="131">
        <f>BJ68</f>
        <v>45850</v>
      </c>
      <c r="BL68" s="25">
        <v>1545</v>
      </c>
      <c r="BM68" s="185" t="s">
        <v>541</v>
      </c>
      <c r="BN68" s="15"/>
      <c r="BO68" s="15"/>
    </row>
    <row r="69" spans="1:68" ht="14.25" customHeight="1">
      <c r="A69" s="15" t="s">
        <v>0</v>
      </c>
      <c r="B69" s="19"/>
      <c r="C69" s="179"/>
      <c r="D69" s="130"/>
      <c r="E69" s="130"/>
      <c r="F69" s="130"/>
      <c r="G69" s="130"/>
      <c r="H69" s="180"/>
      <c r="I69" s="19"/>
      <c r="J69" s="19"/>
      <c r="K69" s="181"/>
      <c r="L69" s="173"/>
      <c r="M69" s="15"/>
      <c r="N69" s="15"/>
      <c r="O69" s="15"/>
      <c r="P69" s="175"/>
      <c r="Q69" s="173"/>
      <c r="R69" s="15"/>
      <c r="S69" s="175"/>
      <c r="T69" s="176"/>
      <c r="U69" s="176"/>
      <c r="V69" s="16">
        <v>291.85700000000003</v>
      </c>
      <c r="W69" s="15" t="s">
        <v>500</v>
      </c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77"/>
      <c r="AM69" s="15"/>
      <c r="AN69" s="131"/>
      <c r="AO69" s="131"/>
      <c r="AP69" s="131"/>
      <c r="AQ69" s="131"/>
      <c r="AR69" s="131"/>
      <c r="AS69" s="134"/>
      <c r="AT69" s="25"/>
      <c r="AU69" s="178"/>
      <c r="AV69" s="24"/>
      <c r="AW69" s="24"/>
      <c r="AX69" s="278"/>
      <c r="AY69" s="278"/>
      <c r="AZ69" s="24"/>
      <c r="BA69" s="178"/>
      <c r="BB69" s="24"/>
      <c r="BC69" s="131"/>
      <c r="BD69" s="131"/>
      <c r="BE69" s="24"/>
      <c r="BF69" s="24"/>
      <c r="BG69" s="24"/>
      <c r="BH69" s="178"/>
      <c r="BI69" s="24"/>
      <c r="BJ69" s="24"/>
      <c r="BK69" s="24"/>
      <c r="BL69" s="24"/>
      <c r="BM69" s="24"/>
      <c r="BN69" s="24"/>
      <c r="BO69" s="24"/>
    </row>
    <row r="70" spans="1:68" ht="14.25" customHeight="1">
      <c r="A70" s="15">
        <f t="shared" si="17"/>
        <v>31</v>
      </c>
      <c r="B70" s="19" t="s">
        <v>87</v>
      </c>
      <c r="C70" s="179" t="s">
        <v>42</v>
      </c>
      <c r="D70" s="130">
        <v>6.3620000000000001</v>
      </c>
      <c r="E70" s="130">
        <f>D70*4</f>
        <v>25.448</v>
      </c>
      <c r="F70" s="130">
        <f>E70*8</f>
        <v>203.584</v>
      </c>
      <c r="G70" s="130"/>
      <c r="H70" s="180"/>
      <c r="I70" s="19"/>
      <c r="J70" s="19"/>
      <c r="K70" s="181"/>
      <c r="L70" s="173">
        <v>2.25</v>
      </c>
      <c r="M70" s="15">
        <v>2.1880000000000002</v>
      </c>
      <c r="N70" s="15">
        <v>2E-3</v>
      </c>
      <c r="O70" s="15">
        <v>0.183</v>
      </c>
      <c r="P70" s="175">
        <f t="shared" si="2"/>
        <v>4.6230000000000002</v>
      </c>
      <c r="Q70" s="173">
        <v>0.24399999999999999</v>
      </c>
      <c r="R70" s="15">
        <v>5.0000000000000001E-3</v>
      </c>
      <c r="S70" s="175">
        <f t="shared" si="3"/>
        <v>0.249</v>
      </c>
      <c r="T70" s="176" t="s">
        <v>31</v>
      </c>
      <c r="U70" s="176" t="s">
        <v>536</v>
      </c>
      <c r="V70" s="15"/>
      <c r="W70" s="15"/>
      <c r="X70" s="15">
        <v>41.44</v>
      </c>
      <c r="Y70" s="15">
        <v>0.8</v>
      </c>
      <c r="Z70" s="15">
        <v>7.8</v>
      </c>
      <c r="AA70" s="15">
        <f t="shared" si="4"/>
        <v>8.6</v>
      </c>
      <c r="AB70" s="15">
        <v>66.42</v>
      </c>
      <c r="AC70" s="15">
        <v>3321</v>
      </c>
      <c r="AD70" s="15">
        <v>73.73</v>
      </c>
      <c r="AE70" s="15">
        <v>301.5</v>
      </c>
      <c r="AF70" s="15"/>
      <c r="AG70" s="15">
        <v>206.46</v>
      </c>
      <c r="AH70" s="15"/>
      <c r="AI70" s="15"/>
      <c r="AJ70" s="15">
        <v>581.69000000000005</v>
      </c>
      <c r="AK70" s="15">
        <v>0.58169000000000004</v>
      </c>
      <c r="AL70" s="177"/>
      <c r="AM70" s="137" t="s">
        <v>20</v>
      </c>
      <c r="AN70" s="131" t="str">
        <f>AO70</f>
        <v>D</v>
      </c>
      <c r="AO70" s="131" t="s">
        <v>21</v>
      </c>
      <c r="AP70" s="349">
        <f>AQ70-3</f>
        <v>45638</v>
      </c>
      <c r="AQ70" s="349">
        <f t="shared" ref="AQ70:AR70" si="31">AR70-2</f>
        <v>45641</v>
      </c>
      <c r="AR70" s="349">
        <f t="shared" si="31"/>
        <v>45643</v>
      </c>
      <c r="AS70" s="530">
        <v>45645</v>
      </c>
      <c r="AT70" s="25" t="s">
        <v>549</v>
      </c>
      <c r="AU70" s="178"/>
      <c r="AV70" s="137" t="s">
        <v>20</v>
      </c>
      <c r="AW70" s="15" t="s">
        <v>6</v>
      </c>
      <c r="AX70" s="278">
        <f>AY70</f>
        <v>45677</v>
      </c>
      <c r="AY70" s="278">
        <v>45677</v>
      </c>
      <c r="AZ70" s="24" t="s">
        <v>549</v>
      </c>
      <c r="BA70" s="178"/>
      <c r="BB70" s="137" t="s">
        <v>20</v>
      </c>
      <c r="BC70" s="131" t="s">
        <v>543</v>
      </c>
      <c r="BD70" s="131" t="s">
        <v>21</v>
      </c>
      <c r="BE70" s="279">
        <f>BF70-2</f>
        <v>45732</v>
      </c>
      <c r="BF70" s="279">
        <v>45734</v>
      </c>
      <c r="BG70" s="17" t="s">
        <v>548</v>
      </c>
      <c r="BH70" s="177"/>
      <c r="BI70" s="137" t="s">
        <v>20</v>
      </c>
      <c r="BJ70" s="131">
        <f>BJ68+1</f>
        <v>45851</v>
      </c>
      <c r="BK70" s="131">
        <f>BJ70</f>
        <v>45851</v>
      </c>
      <c r="BL70" s="25">
        <v>980</v>
      </c>
      <c r="BM70" s="185" t="s">
        <v>541</v>
      </c>
      <c r="BN70" s="24"/>
      <c r="BO70" s="24"/>
    </row>
    <row r="71" spans="1:68" ht="14.25" customHeight="1">
      <c r="A71" s="15" t="s">
        <v>0</v>
      </c>
      <c r="B71" s="19"/>
      <c r="C71" s="179"/>
      <c r="D71" s="130"/>
      <c r="E71" s="130"/>
      <c r="F71" s="130"/>
      <c r="G71" s="130"/>
      <c r="H71" s="180"/>
      <c r="I71" s="19"/>
      <c r="J71" s="19"/>
      <c r="K71" s="181"/>
      <c r="L71" s="173"/>
      <c r="M71" s="15"/>
      <c r="N71" s="15"/>
      <c r="O71" s="15"/>
      <c r="P71" s="175"/>
      <c r="Q71" s="173"/>
      <c r="R71" s="15"/>
      <c r="S71" s="175"/>
      <c r="T71" s="176"/>
      <c r="U71" s="176"/>
      <c r="V71" s="16">
        <v>292.00099999999998</v>
      </c>
      <c r="W71" s="15" t="s">
        <v>500</v>
      </c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77"/>
      <c r="AM71" s="15"/>
      <c r="AN71" s="24"/>
      <c r="AO71" s="24"/>
      <c r="AP71" s="24"/>
      <c r="AQ71" s="24"/>
      <c r="AR71" s="24"/>
      <c r="AS71" s="25"/>
      <c r="AT71" s="25"/>
      <c r="AU71" s="178"/>
      <c r="AV71" s="24"/>
      <c r="AW71" s="24"/>
      <c r="AX71" s="278"/>
      <c r="AY71" s="278"/>
      <c r="AZ71" s="24"/>
      <c r="BA71" s="178"/>
      <c r="BB71" s="24"/>
      <c r="BC71" s="24"/>
      <c r="BD71" s="24"/>
      <c r="BE71" s="24"/>
      <c r="BF71" s="24"/>
      <c r="BG71" s="24"/>
      <c r="BH71" s="178"/>
      <c r="BI71" s="24"/>
      <c r="BJ71" s="24"/>
      <c r="BK71" s="24"/>
      <c r="BL71" s="24"/>
      <c r="BM71" s="24"/>
      <c r="BN71" s="24"/>
      <c r="BO71" s="24"/>
    </row>
    <row r="72" spans="1:68" ht="14.25" customHeight="1">
      <c r="A72" s="15">
        <f t="shared" si="17"/>
        <v>32</v>
      </c>
      <c r="B72" s="19" t="s">
        <v>88</v>
      </c>
      <c r="C72" s="179" t="s">
        <v>89</v>
      </c>
      <c r="D72" s="130">
        <v>8.6300000000000008</v>
      </c>
      <c r="E72" s="130">
        <f>D72*4</f>
        <v>34.520000000000003</v>
      </c>
      <c r="F72" s="130">
        <f>E72*8</f>
        <v>276.16000000000003</v>
      </c>
      <c r="G72" s="130"/>
      <c r="H72" s="180"/>
      <c r="I72" s="19"/>
      <c r="J72" s="19"/>
      <c r="K72" s="181"/>
      <c r="L72" s="173">
        <v>3.867</v>
      </c>
      <c r="M72" s="15">
        <v>3.306</v>
      </c>
      <c r="N72" s="15">
        <v>5.0000000000000001E-3</v>
      </c>
      <c r="O72" s="15">
        <v>0.27600000000000002</v>
      </c>
      <c r="P72" s="175">
        <f t="shared" si="2"/>
        <v>7.4539999999999997</v>
      </c>
      <c r="Q72" s="173">
        <v>0.36299999999999999</v>
      </c>
      <c r="R72" s="15">
        <v>6.0000000000000001E-3</v>
      </c>
      <c r="S72" s="175">
        <f t="shared" si="3"/>
        <v>0.36899999999999999</v>
      </c>
      <c r="T72" s="176" t="s">
        <v>31</v>
      </c>
      <c r="U72" s="176" t="s">
        <v>536</v>
      </c>
      <c r="V72" s="15"/>
      <c r="W72" s="15"/>
      <c r="X72" s="15">
        <v>51.64</v>
      </c>
      <c r="Y72" s="15">
        <v>0.97</v>
      </c>
      <c r="Z72" s="15">
        <v>9.82</v>
      </c>
      <c r="AA72" s="15">
        <f t="shared" si="4"/>
        <v>10.790000000000001</v>
      </c>
      <c r="AB72" s="15">
        <v>83.456000000000003</v>
      </c>
      <c r="AC72" s="15">
        <v>4172.8</v>
      </c>
      <c r="AD72" s="15">
        <v>81.819999999999993</v>
      </c>
      <c r="AE72" s="15">
        <v>408.9</v>
      </c>
      <c r="AF72" s="15"/>
      <c r="AG72" s="15">
        <v>203.94</v>
      </c>
      <c r="AH72" s="15"/>
      <c r="AI72" s="15"/>
      <c r="AJ72" s="15">
        <v>694.66</v>
      </c>
      <c r="AK72" s="15">
        <v>0.69465999999999994</v>
      </c>
      <c r="AL72" s="177"/>
      <c r="AM72" s="137" t="s">
        <v>20</v>
      </c>
      <c r="AN72" s="131" t="str">
        <f>AO72</f>
        <v>D</v>
      </c>
      <c r="AO72" s="131" t="s">
        <v>21</v>
      </c>
      <c r="AP72" s="349">
        <f>AQ72-3</f>
        <v>45644</v>
      </c>
      <c r="AQ72" s="349">
        <f t="shared" ref="AQ72:AR72" si="32">AR72-2</f>
        <v>45647</v>
      </c>
      <c r="AR72" s="349">
        <f t="shared" si="32"/>
        <v>45649</v>
      </c>
      <c r="AS72" s="530">
        <v>45651</v>
      </c>
      <c r="AT72" s="25" t="s">
        <v>549</v>
      </c>
      <c r="AU72" s="178"/>
      <c r="AV72" s="137" t="s">
        <v>20</v>
      </c>
      <c r="AW72" s="15" t="s">
        <v>6</v>
      </c>
      <c r="AX72" s="278">
        <f>AY72</f>
        <v>45677</v>
      </c>
      <c r="AY72" s="278">
        <v>45677</v>
      </c>
      <c r="AZ72" s="24" t="s">
        <v>549</v>
      </c>
      <c r="BA72" s="178"/>
      <c r="BB72" s="137" t="s">
        <v>20</v>
      </c>
      <c r="BC72" s="131" t="s">
        <v>543</v>
      </c>
      <c r="BD72" s="131" t="s">
        <v>21</v>
      </c>
      <c r="BE72" s="279">
        <f>BF72-2</f>
        <v>45739</v>
      </c>
      <c r="BF72" s="279">
        <v>45741</v>
      </c>
      <c r="BG72" s="17" t="s">
        <v>548</v>
      </c>
      <c r="BH72" s="177"/>
      <c r="BI72" s="137" t="s">
        <v>20</v>
      </c>
      <c r="BJ72" s="131">
        <f>BJ70+1</f>
        <v>45852</v>
      </c>
      <c r="BK72" s="131">
        <f>BJ72</f>
        <v>45852</v>
      </c>
      <c r="BL72" s="25">
        <v>1560</v>
      </c>
      <c r="BM72" s="185" t="s">
        <v>541</v>
      </c>
      <c r="BN72" s="17"/>
      <c r="BO72" s="17"/>
    </row>
    <row r="73" spans="1:68" ht="14.25" customHeight="1">
      <c r="A73" s="15" t="s">
        <v>0</v>
      </c>
      <c r="B73" s="19"/>
      <c r="C73" s="179"/>
      <c r="D73" s="130"/>
      <c r="E73" s="130"/>
      <c r="F73" s="130"/>
      <c r="G73" s="130"/>
      <c r="H73" s="180"/>
      <c r="I73" s="19"/>
      <c r="J73" s="19"/>
      <c r="K73" s="181"/>
      <c r="L73" s="173"/>
      <c r="M73" s="15"/>
      <c r="N73" s="15"/>
      <c r="O73" s="15"/>
      <c r="P73" s="175"/>
      <c r="Q73" s="173"/>
      <c r="R73" s="15"/>
      <c r="S73" s="175"/>
      <c r="T73" s="176"/>
      <c r="U73" s="176"/>
      <c r="V73" s="16">
        <v>415</v>
      </c>
      <c r="W73" s="15" t="s">
        <v>500</v>
      </c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77"/>
      <c r="AM73" s="15"/>
      <c r="AN73" s="24"/>
      <c r="AO73" s="24"/>
      <c r="AP73" s="24"/>
      <c r="AQ73" s="24"/>
      <c r="AR73" s="24"/>
      <c r="AS73" s="25"/>
      <c r="AT73" s="25"/>
      <c r="AU73" s="178"/>
      <c r="AV73" s="24"/>
      <c r="AW73" s="24"/>
      <c r="AX73" s="278"/>
      <c r="AY73" s="278"/>
      <c r="AZ73" s="24"/>
      <c r="BA73" s="178"/>
      <c r="BB73" s="24"/>
      <c r="BC73" s="24"/>
      <c r="BD73" s="24"/>
      <c r="BE73" s="24"/>
      <c r="BF73" s="24"/>
      <c r="BG73" s="24"/>
      <c r="BH73" s="178"/>
      <c r="BI73" s="24"/>
      <c r="BJ73" s="24"/>
      <c r="BK73" s="24"/>
      <c r="BL73" s="24"/>
      <c r="BM73" s="24"/>
      <c r="BN73" s="24"/>
      <c r="BO73" s="24"/>
    </row>
    <row r="74" spans="1:68" ht="14.25" customHeight="1">
      <c r="A74" s="15">
        <f t="shared" si="17"/>
        <v>33</v>
      </c>
      <c r="B74" s="19" t="s">
        <v>90</v>
      </c>
      <c r="C74" s="179" t="s">
        <v>76</v>
      </c>
      <c r="D74" s="130">
        <v>7.71</v>
      </c>
      <c r="E74" s="130">
        <f>D74*4</f>
        <v>30.84</v>
      </c>
      <c r="F74" s="130">
        <f>E74*8</f>
        <v>246.72</v>
      </c>
      <c r="G74" s="130"/>
      <c r="H74" s="180"/>
      <c r="I74" s="19"/>
      <c r="J74" s="19"/>
      <c r="K74" s="181"/>
      <c r="L74" s="173">
        <v>3.452</v>
      </c>
      <c r="M74" s="15">
        <v>2.633</v>
      </c>
      <c r="N74" s="15">
        <v>4.0000000000000001E-3</v>
      </c>
      <c r="O74" s="15">
        <v>0.24099999999999999</v>
      </c>
      <c r="P74" s="175">
        <f t="shared" si="2"/>
        <v>6.3299999999999992</v>
      </c>
      <c r="Q74" s="173">
        <v>0.36299999999999999</v>
      </c>
      <c r="R74" s="15">
        <v>6.0000000000000001E-3</v>
      </c>
      <c r="S74" s="175">
        <f t="shared" si="3"/>
        <v>0.36899999999999999</v>
      </c>
      <c r="T74" s="176" t="s">
        <v>31</v>
      </c>
      <c r="U74" s="176" t="s">
        <v>536</v>
      </c>
      <c r="V74" s="15"/>
      <c r="W74" s="15"/>
      <c r="X74" s="15">
        <v>51.64</v>
      </c>
      <c r="Y74" s="15">
        <v>0.97</v>
      </c>
      <c r="Z74" s="15">
        <v>9.82</v>
      </c>
      <c r="AA74" s="15">
        <f t="shared" si="4"/>
        <v>10.790000000000001</v>
      </c>
      <c r="AB74" s="15">
        <v>83.456000000000003</v>
      </c>
      <c r="AC74" s="15">
        <v>4172.8</v>
      </c>
      <c r="AD74" s="15">
        <v>81.819999999999993</v>
      </c>
      <c r="AE74" s="15">
        <v>408.9</v>
      </c>
      <c r="AF74" s="15"/>
      <c r="AG74" s="15">
        <v>203.94</v>
      </c>
      <c r="AH74" s="15"/>
      <c r="AI74" s="15"/>
      <c r="AJ74" s="15">
        <v>694.66</v>
      </c>
      <c r="AK74" s="15">
        <v>0.69465999999999994</v>
      </c>
      <c r="AL74" s="177"/>
      <c r="AM74" s="137" t="s">
        <v>20</v>
      </c>
      <c r="AN74" s="131" t="str">
        <f>AO74</f>
        <v>D</v>
      </c>
      <c r="AO74" s="131" t="s">
        <v>21</v>
      </c>
      <c r="AP74" s="349">
        <v>45677</v>
      </c>
      <c r="AQ74" s="349">
        <f t="shared" ref="AQ74:AR74" si="33">AR74-2</f>
        <v>45696</v>
      </c>
      <c r="AR74" s="349">
        <f t="shared" si="33"/>
        <v>45698</v>
      </c>
      <c r="AS74" s="530">
        <v>45700</v>
      </c>
      <c r="AT74" s="25" t="s">
        <v>538</v>
      </c>
      <c r="AU74" s="178"/>
      <c r="AV74" s="137" t="s">
        <v>20</v>
      </c>
      <c r="AW74" s="15" t="s">
        <v>6</v>
      </c>
      <c r="AX74" s="278">
        <f>AY74</f>
        <v>45708</v>
      </c>
      <c r="AY74" s="278">
        <v>45708</v>
      </c>
      <c r="AZ74" s="24" t="s">
        <v>549</v>
      </c>
      <c r="BA74" s="178"/>
      <c r="BB74" s="137" t="s">
        <v>20</v>
      </c>
      <c r="BC74" s="131" t="s">
        <v>558</v>
      </c>
      <c r="BD74" s="131" t="s">
        <v>21</v>
      </c>
      <c r="BE74" s="279">
        <f>BF74-2</f>
        <v>45737</v>
      </c>
      <c r="BF74" s="279">
        <v>45739</v>
      </c>
      <c r="BG74" s="17" t="s">
        <v>548</v>
      </c>
      <c r="BH74" s="188"/>
      <c r="BI74" s="137" t="s">
        <v>20</v>
      </c>
      <c r="BJ74" s="131">
        <f>BJ72+1</f>
        <v>45853</v>
      </c>
      <c r="BK74" s="131">
        <f>BJ74</f>
        <v>45853</v>
      </c>
      <c r="BL74" s="25">
        <v>1252</v>
      </c>
      <c r="BM74" s="185" t="s">
        <v>541</v>
      </c>
      <c r="BN74" s="24" t="s">
        <v>552</v>
      </c>
      <c r="BO74" s="24"/>
      <c r="BP74" s="140" t="s">
        <v>554</v>
      </c>
    </row>
    <row r="75" spans="1:68" ht="14.25" customHeight="1">
      <c r="A75" s="15" t="s">
        <v>0</v>
      </c>
      <c r="B75" s="19"/>
      <c r="C75" s="179"/>
      <c r="D75" s="130"/>
      <c r="E75" s="130"/>
      <c r="F75" s="130"/>
      <c r="G75" s="130"/>
      <c r="H75" s="180"/>
      <c r="I75" s="19"/>
      <c r="J75" s="19"/>
      <c r="K75" s="181"/>
      <c r="L75" s="173"/>
      <c r="M75" s="15"/>
      <c r="N75" s="15"/>
      <c r="O75" s="15"/>
      <c r="P75" s="175"/>
      <c r="Q75" s="173"/>
      <c r="R75" s="15"/>
      <c r="S75" s="175"/>
      <c r="T75" s="176"/>
      <c r="U75" s="176"/>
      <c r="V75" s="16">
        <v>237</v>
      </c>
      <c r="W75" s="15" t="s">
        <v>500</v>
      </c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77"/>
      <c r="AM75" s="15"/>
      <c r="AN75" s="24"/>
      <c r="AO75" s="24"/>
      <c r="AP75" s="24"/>
      <c r="AQ75" s="24"/>
      <c r="AR75" s="24"/>
      <c r="AS75" s="25"/>
      <c r="AT75" s="25"/>
      <c r="AU75" s="178"/>
      <c r="AV75" s="24"/>
      <c r="AW75" s="24"/>
      <c r="AX75" s="278"/>
      <c r="AY75" s="278"/>
      <c r="AZ75" s="24"/>
      <c r="BA75" s="178"/>
      <c r="BB75" s="24"/>
      <c r="BC75" s="24"/>
      <c r="BD75" s="24"/>
      <c r="BE75" s="24"/>
      <c r="BF75" s="24"/>
      <c r="BG75" s="24"/>
      <c r="BH75" s="178"/>
      <c r="BI75" s="24"/>
      <c r="BJ75" s="24"/>
      <c r="BK75" s="24"/>
      <c r="BL75" s="24"/>
      <c r="BM75" s="24"/>
      <c r="BN75" s="24"/>
      <c r="BO75" s="24"/>
    </row>
    <row r="76" spans="1:68" ht="14.25" customHeight="1">
      <c r="A76" s="15">
        <f t="shared" si="17"/>
        <v>34</v>
      </c>
      <c r="B76" s="19" t="s">
        <v>91</v>
      </c>
      <c r="C76" s="179" t="s">
        <v>76</v>
      </c>
      <c r="D76" s="130">
        <v>7.71</v>
      </c>
      <c r="E76" s="130">
        <f>D76*4</f>
        <v>30.84</v>
      </c>
      <c r="F76" s="130">
        <f>E76*8</f>
        <v>246.72</v>
      </c>
      <c r="G76" s="130"/>
      <c r="H76" s="180"/>
      <c r="I76" s="19"/>
      <c r="J76" s="19"/>
      <c r="K76" s="181"/>
      <c r="L76" s="173">
        <v>3.452</v>
      </c>
      <c r="M76" s="15">
        <v>2.633</v>
      </c>
      <c r="N76" s="15">
        <v>4.0000000000000001E-3</v>
      </c>
      <c r="O76" s="15">
        <v>0.24099999999999999</v>
      </c>
      <c r="P76" s="175">
        <f t="shared" ref="P76:P138" si="34">SUM(L76:O76)</f>
        <v>6.3299999999999992</v>
      </c>
      <c r="Q76" s="173">
        <v>0.36299999999999999</v>
      </c>
      <c r="R76" s="15">
        <v>6.0000000000000001E-3</v>
      </c>
      <c r="S76" s="175">
        <f t="shared" ref="S76:S138" si="35">SUM(Q76:R76)</f>
        <v>0.36899999999999999</v>
      </c>
      <c r="T76" s="176" t="s">
        <v>31</v>
      </c>
      <c r="U76" s="176" t="s">
        <v>536</v>
      </c>
      <c r="V76" s="15"/>
      <c r="W76" s="15"/>
      <c r="X76" s="15">
        <v>51.64</v>
      </c>
      <c r="Y76" s="15">
        <v>0.97</v>
      </c>
      <c r="Z76" s="15">
        <v>9.82</v>
      </c>
      <c r="AA76" s="15">
        <f t="shared" ref="AA76:AA138" si="36">Y76+Z76</f>
        <v>10.790000000000001</v>
      </c>
      <c r="AB76" s="15">
        <v>83.456000000000003</v>
      </c>
      <c r="AC76" s="15">
        <v>4172.8</v>
      </c>
      <c r="AD76" s="15">
        <v>81.819999999999993</v>
      </c>
      <c r="AE76" s="15">
        <v>408.9</v>
      </c>
      <c r="AF76" s="15"/>
      <c r="AG76" s="15">
        <v>203.94</v>
      </c>
      <c r="AH76" s="15"/>
      <c r="AI76" s="15"/>
      <c r="AJ76" s="15">
        <v>694.66</v>
      </c>
      <c r="AK76" s="15">
        <v>0.69465999999999994</v>
      </c>
      <c r="AL76" s="177"/>
      <c r="AM76" s="137" t="s">
        <v>20</v>
      </c>
      <c r="AN76" s="131" t="str">
        <f>AO76</f>
        <v>D</v>
      </c>
      <c r="AO76" s="131" t="s">
        <v>21</v>
      </c>
      <c r="AP76" s="349">
        <f>AQ76-3</f>
        <v>45697</v>
      </c>
      <c r="AQ76" s="349">
        <f>AR76-2</f>
        <v>45700</v>
      </c>
      <c r="AR76" s="349">
        <f>AS76-1</f>
        <v>45702</v>
      </c>
      <c r="AS76" s="530">
        <v>45703</v>
      </c>
      <c r="AT76" s="25" t="s">
        <v>538</v>
      </c>
      <c r="AU76" s="178"/>
      <c r="AV76" s="137" t="s">
        <v>20</v>
      </c>
      <c r="AW76" s="15" t="s">
        <v>6</v>
      </c>
      <c r="AX76" s="278">
        <f>AY76</f>
        <v>45708</v>
      </c>
      <c r="AY76" s="278">
        <v>45708</v>
      </c>
      <c r="AZ76" s="24" t="s">
        <v>549</v>
      </c>
      <c r="BA76" s="178"/>
      <c r="BB76" s="137" t="s">
        <v>20</v>
      </c>
      <c r="BC76" s="131" t="s">
        <v>543</v>
      </c>
      <c r="BD76" s="131" t="s">
        <v>21</v>
      </c>
      <c r="BE76" s="279">
        <f>BF76-1</f>
        <v>45735</v>
      </c>
      <c r="BF76" s="279">
        <v>45736</v>
      </c>
      <c r="BG76" s="17" t="s">
        <v>548</v>
      </c>
      <c r="BH76" s="188"/>
      <c r="BI76" s="137" t="s">
        <v>20</v>
      </c>
      <c r="BJ76" s="131">
        <f>BJ74+1</f>
        <v>45854</v>
      </c>
      <c r="BK76" s="131">
        <f>BJ76</f>
        <v>45854</v>
      </c>
      <c r="BL76" s="25">
        <v>1252</v>
      </c>
      <c r="BM76" s="185" t="s">
        <v>541</v>
      </c>
      <c r="BN76" s="24" t="s">
        <v>552</v>
      </c>
      <c r="BO76" s="24"/>
      <c r="BP76" s="140" t="s">
        <v>554</v>
      </c>
    </row>
    <row r="77" spans="1:68" ht="14.25" customHeight="1">
      <c r="A77" s="15" t="s">
        <v>0</v>
      </c>
      <c r="B77" s="19"/>
      <c r="C77" s="179"/>
      <c r="D77" s="130"/>
      <c r="E77" s="130"/>
      <c r="F77" s="130"/>
      <c r="G77" s="130"/>
      <c r="H77" s="180"/>
      <c r="I77" s="19"/>
      <c r="J77" s="19"/>
      <c r="K77" s="181"/>
      <c r="L77" s="173"/>
      <c r="M77" s="15"/>
      <c r="N77" s="15"/>
      <c r="O77" s="15"/>
      <c r="P77" s="175"/>
      <c r="Q77" s="173"/>
      <c r="R77" s="15"/>
      <c r="S77" s="175"/>
      <c r="T77" s="176"/>
      <c r="U77" s="176"/>
      <c r="V77" s="16">
        <v>188.45400000000001</v>
      </c>
      <c r="W77" s="15" t="s">
        <v>500</v>
      </c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77"/>
      <c r="AM77" s="15"/>
      <c r="AN77" s="24"/>
      <c r="AO77" s="24"/>
      <c r="AP77" s="24"/>
      <c r="AQ77" s="24"/>
      <c r="AR77" s="24"/>
      <c r="AS77" s="25"/>
      <c r="AT77" s="25"/>
      <c r="AU77" s="178"/>
      <c r="AV77" s="24"/>
      <c r="AW77" s="24"/>
      <c r="AX77" s="278"/>
      <c r="AY77" s="278"/>
      <c r="AZ77" s="24"/>
      <c r="BA77" s="178"/>
      <c r="BB77" s="24"/>
      <c r="BC77" s="24"/>
      <c r="BD77" s="24"/>
      <c r="BE77" s="24"/>
      <c r="BF77" s="24"/>
      <c r="BG77" s="24"/>
      <c r="BH77" s="178"/>
      <c r="BI77" s="24"/>
      <c r="BJ77" s="24"/>
      <c r="BK77" s="24"/>
      <c r="BL77" s="24"/>
      <c r="BM77" s="24"/>
      <c r="BN77" s="24"/>
      <c r="BO77" s="24"/>
    </row>
    <row r="78" spans="1:68" ht="14.25" customHeight="1">
      <c r="A78" s="15">
        <f t="shared" si="17"/>
        <v>35</v>
      </c>
      <c r="B78" s="19" t="s">
        <v>93</v>
      </c>
      <c r="C78" s="179" t="s">
        <v>81</v>
      </c>
      <c r="D78" s="130">
        <v>9.5489999999999995</v>
      </c>
      <c r="E78" s="130">
        <f>D78*4</f>
        <v>38.195999999999998</v>
      </c>
      <c r="F78" s="130">
        <f>E78*8</f>
        <v>305.56799999999998</v>
      </c>
      <c r="G78" s="130">
        <v>1</v>
      </c>
      <c r="H78" s="180"/>
      <c r="I78" s="19"/>
      <c r="J78" s="15">
        <v>4</v>
      </c>
      <c r="K78" s="174">
        <v>2</v>
      </c>
      <c r="L78" s="173">
        <v>4.1440000000000001</v>
      </c>
      <c r="M78" s="15">
        <v>3.6950000000000003</v>
      </c>
      <c r="N78" s="15">
        <v>4.7000000000000002E-3</v>
      </c>
      <c r="O78" s="15">
        <v>0.29799999999999999</v>
      </c>
      <c r="P78" s="175">
        <f t="shared" si="34"/>
        <v>8.1417000000000002</v>
      </c>
      <c r="Q78" s="173">
        <v>0.36299999999999999</v>
      </c>
      <c r="R78" s="15">
        <v>6.0000000000000001E-3</v>
      </c>
      <c r="S78" s="175">
        <f t="shared" si="35"/>
        <v>0.36899999999999999</v>
      </c>
      <c r="T78" s="176" t="s">
        <v>299</v>
      </c>
      <c r="U78" s="176" t="s">
        <v>536</v>
      </c>
      <c r="V78" s="15"/>
      <c r="W78" s="15"/>
      <c r="X78" s="15">
        <v>55.22</v>
      </c>
      <c r="Y78" s="15">
        <v>1.028</v>
      </c>
      <c r="Z78" s="15">
        <v>14.568</v>
      </c>
      <c r="AA78" s="15">
        <f t="shared" si="36"/>
        <v>15.596</v>
      </c>
      <c r="AB78" s="15"/>
      <c r="AC78" s="15"/>
      <c r="AD78" s="15">
        <v>126.88</v>
      </c>
      <c r="AE78" s="15">
        <v>414.8</v>
      </c>
      <c r="AF78" s="15"/>
      <c r="AG78" s="15">
        <v>332.12</v>
      </c>
      <c r="AH78" s="15">
        <v>139.71</v>
      </c>
      <c r="AI78" s="15"/>
      <c r="AJ78" s="15">
        <f>SUM(AD78:AI78)</f>
        <v>1013.5100000000001</v>
      </c>
      <c r="AK78" s="15">
        <f>AJ78/1000</f>
        <v>1.0135100000000001</v>
      </c>
      <c r="AL78" s="177"/>
      <c r="AM78" s="137" t="s">
        <v>20</v>
      </c>
      <c r="AN78" s="131" t="s">
        <v>540</v>
      </c>
      <c r="AO78" s="131" t="s">
        <v>21</v>
      </c>
      <c r="AP78" s="349">
        <f t="shared" ref="AP78:AR78" si="37">AQ78-2</f>
        <v>45738</v>
      </c>
      <c r="AQ78" s="349">
        <f t="shared" si="37"/>
        <v>45740</v>
      </c>
      <c r="AR78" s="349">
        <f t="shared" si="37"/>
        <v>45742</v>
      </c>
      <c r="AS78" s="530">
        <v>45744</v>
      </c>
      <c r="AT78" s="25" t="s">
        <v>549</v>
      </c>
      <c r="AU78" s="178"/>
      <c r="AV78" s="137" t="s">
        <v>20</v>
      </c>
      <c r="AW78" s="15" t="s">
        <v>6</v>
      </c>
      <c r="AX78" s="278">
        <f>AY78</f>
        <v>45661</v>
      </c>
      <c r="AY78" s="278">
        <v>45661</v>
      </c>
      <c r="AZ78" s="182" t="s">
        <v>539</v>
      </c>
      <c r="BA78" s="183"/>
      <c r="BB78" s="137" t="s">
        <v>20</v>
      </c>
      <c r="BC78" s="131" t="s">
        <v>559</v>
      </c>
      <c r="BD78" s="131" t="s">
        <v>560</v>
      </c>
      <c r="BE78" s="279">
        <v>45852</v>
      </c>
      <c r="BF78" s="279">
        <v>45854</v>
      </c>
      <c r="BG78" s="17" t="s">
        <v>548</v>
      </c>
      <c r="BH78" s="188"/>
      <c r="BI78" s="137" t="s">
        <v>20</v>
      </c>
      <c r="BJ78" s="131">
        <v>45895</v>
      </c>
      <c r="BK78" s="131">
        <v>45895</v>
      </c>
      <c r="BL78" s="15">
        <v>1812</v>
      </c>
      <c r="BM78" s="24" t="s">
        <v>541</v>
      </c>
      <c r="BN78" s="192" t="s">
        <v>552</v>
      </c>
      <c r="BO78" s="192"/>
      <c r="BP78" s="140" t="s">
        <v>554</v>
      </c>
    </row>
    <row r="79" spans="1:68" ht="14.25" customHeight="1">
      <c r="A79" s="15" t="s">
        <v>0</v>
      </c>
      <c r="B79" s="19"/>
      <c r="C79" s="179"/>
      <c r="D79" s="130"/>
      <c r="E79" s="130"/>
      <c r="F79" s="130"/>
      <c r="G79" s="130"/>
      <c r="H79" s="180"/>
      <c r="I79" s="19"/>
      <c r="J79" s="19"/>
      <c r="K79" s="181"/>
      <c r="L79" s="173"/>
      <c r="M79" s="15"/>
      <c r="N79" s="15"/>
      <c r="O79" s="15"/>
      <c r="P79" s="175"/>
      <c r="Q79" s="173"/>
      <c r="R79" s="15"/>
      <c r="S79" s="175"/>
      <c r="T79" s="176"/>
      <c r="U79" s="176"/>
      <c r="V79" s="16">
        <v>383</v>
      </c>
      <c r="W79" s="15" t="s">
        <v>500</v>
      </c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77"/>
      <c r="AM79" s="15"/>
      <c r="AN79" s="24"/>
      <c r="AO79" s="24"/>
      <c r="AP79" s="24"/>
      <c r="AQ79" s="24"/>
      <c r="AR79" s="24"/>
      <c r="AS79" s="25"/>
      <c r="AT79" s="25"/>
      <c r="AU79" s="178"/>
      <c r="AV79" s="24"/>
      <c r="AW79" s="24"/>
      <c r="AX79" s="278"/>
      <c r="AY79" s="278"/>
      <c r="AZ79" s="24"/>
      <c r="BA79" s="178"/>
      <c r="BB79" s="24"/>
      <c r="BC79" s="24"/>
      <c r="BD79" s="24"/>
      <c r="BE79" s="24"/>
      <c r="BF79" s="24"/>
      <c r="BG79" s="24"/>
      <c r="BH79" s="178"/>
      <c r="BI79" s="24"/>
      <c r="BJ79" s="24"/>
      <c r="BK79" s="24"/>
      <c r="BL79" s="24"/>
      <c r="BM79" s="24"/>
      <c r="BN79" s="24"/>
      <c r="BO79" s="24"/>
    </row>
    <row r="80" spans="1:68" ht="14.25" customHeight="1">
      <c r="A80" s="15">
        <f t="shared" si="17"/>
        <v>36</v>
      </c>
      <c r="B80" s="19" t="s">
        <v>94</v>
      </c>
      <c r="C80" s="179" t="s">
        <v>89</v>
      </c>
      <c r="D80" s="130">
        <v>8.6300000000000008</v>
      </c>
      <c r="E80" s="130">
        <f>D80*4</f>
        <v>34.520000000000003</v>
      </c>
      <c r="F80" s="130">
        <f>E80*8</f>
        <v>276.16000000000003</v>
      </c>
      <c r="G80" s="130"/>
      <c r="H80" s="180"/>
      <c r="I80" s="19"/>
      <c r="J80" s="19"/>
      <c r="K80" s="181"/>
      <c r="L80" s="173">
        <v>3.867</v>
      </c>
      <c r="M80" s="15">
        <v>3.306</v>
      </c>
      <c r="N80" s="15">
        <v>5.0000000000000001E-3</v>
      </c>
      <c r="O80" s="15">
        <v>0.27600000000000002</v>
      </c>
      <c r="P80" s="175">
        <f t="shared" si="34"/>
        <v>7.4539999999999997</v>
      </c>
      <c r="Q80" s="173">
        <v>0.36299999999999999</v>
      </c>
      <c r="R80" s="15">
        <v>6.0000000000000001E-3</v>
      </c>
      <c r="S80" s="175">
        <f t="shared" si="35"/>
        <v>0.36899999999999999</v>
      </c>
      <c r="T80" s="176" t="s">
        <v>31</v>
      </c>
      <c r="U80" s="176" t="s">
        <v>536</v>
      </c>
      <c r="V80" s="15"/>
      <c r="W80" s="15"/>
      <c r="X80" s="15">
        <v>51.64</v>
      </c>
      <c r="Y80" s="15">
        <v>0.97</v>
      </c>
      <c r="Z80" s="15">
        <v>9.82</v>
      </c>
      <c r="AA80" s="15">
        <f t="shared" si="36"/>
        <v>10.790000000000001</v>
      </c>
      <c r="AB80" s="15">
        <v>83.456000000000003</v>
      </c>
      <c r="AC80" s="15">
        <v>4172.8</v>
      </c>
      <c r="AD80" s="15">
        <v>81.819999999999993</v>
      </c>
      <c r="AE80" s="15">
        <v>408.9</v>
      </c>
      <c r="AF80" s="15"/>
      <c r="AG80" s="15">
        <v>203.94</v>
      </c>
      <c r="AH80" s="15"/>
      <c r="AI80" s="15"/>
      <c r="AJ80" s="15">
        <v>694.66</v>
      </c>
      <c r="AK80" s="15">
        <v>0.69465999999999994</v>
      </c>
      <c r="AL80" s="177"/>
      <c r="AM80" s="137" t="s">
        <v>20</v>
      </c>
      <c r="AN80" s="131" t="s">
        <v>540</v>
      </c>
      <c r="AO80" s="131" t="s">
        <v>21</v>
      </c>
      <c r="AP80" s="349">
        <v>46022</v>
      </c>
      <c r="AQ80" s="349">
        <f>AR80-1</f>
        <v>45658</v>
      </c>
      <c r="AR80" s="349">
        <f>AS80-3</f>
        <v>45659</v>
      </c>
      <c r="AS80" s="530">
        <v>45662</v>
      </c>
      <c r="AT80" s="25" t="s">
        <v>549</v>
      </c>
      <c r="AU80" s="178"/>
      <c r="AV80" s="137" t="s">
        <v>20</v>
      </c>
      <c r="AW80" s="15" t="s">
        <v>6</v>
      </c>
      <c r="AX80" s="278">
        <v>45644</v>
      </c>
      <c r="AY80" s="278">
        <v>45644</v>
      </c>
      <c r="AZ80" s="24" t="s">
        <v>561</v>
      </c>
      <c r="BA80" s="178"/>
      <c r="BB80" s="137" t="s">
        <v>20</v>
      </c>
      <c r="BC80" s="131" t="s">
        <v>555</v>
      </c>
      <c r="BD80" s="131" t="s">
        <v>21</v>
      </c>
      <c r="BE80" s="279">
        <f>BF80-1</f>
        <v>45759</v>
      </c>
      <c r="BF80" s="279">
        <v>45760</v>
      </c>
      <c r="BG80" s="17" t="s">
        <v>548</v>
      </c>
      <c r="BH80" s="178"/>
      <c r="BI80" s="137" t="s">
        <v>20</v>
      </c>
      <c r="BJ80" s="131">
        <v>45895</v>
      </c>
      <c r="BK80" s="131">
        <v>45895</v>
      </c>
      <c r="BL80" s="25">
        <v>1560</v>
      </c>
      <c r="BM80" s="24" t="s">
        <v>541</v>
      </c>
      <c r="BN80" s="24"/>
      <c r="BO80" s="24"/>
    </row>
    <row r="81" spans="1:68" ht="14.25" customHeight="1">
      <c r="A81" s="15" t="s">
        <v>0</v>
      </c>
      <c r="B81" s="19"/>
      <c r="C81" s="179"/>
      <c r="D81" s="130"/>
      <c r="E81" s="130"/>
      <c r="F81" s="130"/>
      <c r="G81" s="130"/>
      <c r="H81" s="180"/>
      <c r="I81" s="19"/>
      <c r="J81" s="19"/>
      <c r="K81" s="181"/>
      <c r="L81" s="173"/>
      <c r="M81" s="15"/>
      <c r="N81" s="15"/>
      <c r="O81" s="15"/>
      <c r="P81" s="175"/>
      <c r="Q81" s="173"/>
      <c r="R81" s="15"/>
      <c r="S81" s="175"/>
      <c r="T81" s="176"/>
      <c r="U81" s="176"/>
      <c r="V81" s="16">
        <v>311</v>
      </c>
      <c r="W81" s="15" t="s">
        <v>500</v>
      </c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77"/>
      <c r="AM81" s="15"/>
      <c r="AN81" s="24"/>
      <c r="AO81" s="24"/>
      <c r="AP81" s="24"/>
      <c r="AQ81" s="24"/>
      <c r="AR81" s="24"/>
      <c r="AS81" s="25"/>
      <c r="AT81" s="25"/>
      <c r="AU81" s="178"/>
      <c r="AV81" s="24"/>
      <c r="AW81" s="24"/>
      <c r="AX81" s="278"/>
      <c r="AY81" s="278"/>
      <c r="AZ81" s="24"/>
      <c r="BA81" s="178"/>
      <c r="BB81" s="24"/>
      <c r="BC81" s="24"/>
      <c r="BD81" s="24"/>
      <c r="BE81" s="24"/>
      <c r="BF81" s="24"/>
      <c r="BG81" s="24"/>
      <c r="BH81" s="178"/>
      <c r="BI81" s="24"/>
      <c r="BJ81" s="24"/>
      <c r="BK81" s="24"/>
      <c r="BL81" s="24"/>
      <c r="BM81" s="24"/>
      <c r="BN81" s="24"/>
      <c r="BO81" s="24"/>
    </row>
    <row r="82" spans="1:68" ht="14.25" customHeight="1">
      <c r="A82" s="15">
        <f t="shared" si="17"/>
        <v>37</v>
      </c>
      <c r="B82" s="19" t="s">
        <v>95</v>
      </c>
      <c r="C82" s="179" t="s">
        <v>56</v>
      </c>
      <c r="D82" s="130">
        <v>7.6219999999999999</v>
      </c>
      <c r="E82" s="130">
        <f>D82*4</f>
        <v>30.488</v>
      </c>
      <c r="F82" s="130">
        <f>E82*8</f>
        <v>243.904</v>
      </c>
      <c r="G82" s="130"/>
      <c r="H82" s="180"/>
      <c r="I82" s="19"/>
      <c r="J82" s="19"/>
      <c r="K82" s="181"/>
      <c r="L82" s="173">
        <v>2.6789999999999998</v>
      </c>
      <c r="M82" s="15">
        <v>3.133</v>
      </c>
      <c r="N82" s="15">
        <v>2.5000000000000001E-3</v>
      </c>
      <c r="O82" s="15">
        <v>0.23299999999999998</v>
      </c>
      <c r="P82" s="175">
        <f t="shared" si="34"/>
        <v>6.0474999999999994</v>
      </c>
      <c r="Q82" s="173">
        <v>0.24399999999999999</v>
      </c>
      <c r="R82" s="15">
        <v>5.0000000000000001E-3</v>
      </c>
      <c r="S82" s="175">
        <f t="shared" si="35"/>
        <v>0.249</v>
      </c>
      <c r="T82" s="176" t="s">
        <v>31</v>
      </c>
      <c r="U82" s="176" t="s">
        <v>536</v>
      </c>
      <c r="V82" s="15"/>
      <c r="W82" s="15"/>
      <c r="X82" s="15">
        <v>41.44</v>
      </c>
      <c r="Y82" s="15">
        <v>0.8</v>
      </c>
      <c r="Z82" s="15">
        <v>7.8</v>
      </c>
      <c r="AA82" s="15">
        <f t="shared" si="36"/>
        <v>8.6</v>
      </c>
      <c r="AB82" s="15">
        <v>66.42</v>
      </c>
      <c r="AC82" s="15">
        <v>3321</v>
      </c>
      <c r="AD82" s="15">
        <v>73.73</v>
      </c>
      <c r="AE82" s="15">
        <v>301.5</v>
      </c>
      <c r="AF82" s="15"/>
      <c r="AG82" s="15">
        <v>206.46</v>
      </c>
      <c r="AH82" s="15"/>
      <c r="AI82" s="15"/>
      <c r="AJ82" s="15">
        <v>581.69000000000005</v>
      </c>
      <c r="AK82" s="15">
        <v>0.58169000000000004</v>
      </c>
      <c r="AL82" s="177"/>
      <c r="AM82" s="137" t="s">
        <v>20</v>
      </c>
      <c r="AN82" s="131" t="str">
        <f>AO82</f>
        <v>D</v>
      </c>
      <c r="AO82" s="131" t="s">
        <v>21</v>
      </c>
      <c r="AP82" s="349">
        <f t="shared" ref="AP82:AR82" si="38">AQ82-2</f>
        <v>45626</v>
      </c>
      <c r="AQ82" s="349">
        <f t="shared" si="38"/>
        <v>45628</v>
      </c>
      <c r="AR82" s="349">
        <f t="shared" si="38"/>
        <v>45630</v>
      </c>
      <c r="AS82" s="530">
        <v>45632</v>
      </c>
      <c r="AT82" s="25" t="s">
        <v>549</v>
      </c>
      <c r="AU82" s="178"/>
      <c r="AV82" s="137" t="s">
        <v>20</v>
      </c>
      <c r="AW82" s="15" t="s">
        <v>6</v>
      </c>
      <c r="AX82" s="278">
        <v>45644</v>
      </c>
      <c r="AY82" s="278">
        <v>45644</v>
      </c>
      <c r="AZ82" s="24" t="s">
        <v>561</v>
      </c>
      <c r="BA82" s="178"/>
      <c r="BB82" s="137" t="s">
        <v>20</v>
      </c>
      <c r="BC82" s="131" t="s">
        <v>562</v>
      </c>
      <c r="BD82" s="131" t="s">
        <v>21</v>
      </c>
      <c r="BE82" s="279">
        <f>BF82-2</f>
        <v>45742</v>
      </c>
      <c r="BF82" s="279">
        <v>45744</v>
      </c>
      <c r="BG82" s="17" t="s">
        <v>548</v>
      </c>
      <c r="BH82" s="188"/>
      <c r="BI82" s="137" t="s">
        <v>20</v>
      </c>
      <c r="BJ82" s="131">
        <v>45895</v>
      </c>
      <c r="BK82" s="131">
        <v>45895</v>
      </c>
      <c r="BL82" s="25">
        <v>1545</v>
      </c>
      <c r="BM82" s="24" t="s">
        <v>541</v>
      </c>
      <c r="BN82" s="24"/>
      <c r="BO82" s="24"/>
    </row>
    <row r="83" spans="1:68" ht="14.25" customHeight="1">
      <c r="A83" s="15" t="s">
        <v>0</v>
      </c>
      <c r="B83" s="19"/>
      <c r="C83" s="179"/>
      <c r="D83" s="130"/>
      <c r="E83" s="130"/>
      <c r="F83" s="130"/>
      <c r="G83" s="130"/>
      <c r="H83" s="180"/>
      <c r="I83" s="19"/>
      <c r="J83" s="19"/>
      <c r="K83" s="181"/>
      <c r="L83" s="173"/>
      <c r="M83" s="15"/>
      <c r="N83" s="15"/>
      <c r="O83" s="15"/>
      <c r="P83" s="175"/>
      <c r="Q83" s="173"/>
      <c r="R83" s="15"/>
      <c r="S83" s="175"/>
      <c r="T83" s="176"/>
      <c r="U83" s="176"/>
      <c r="V83" s="16">
        <v>350</v>
      </c>
      <c r="W83" s="15" t="s">
        <v>500</v>
      </c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77"/>
      <c r="AM83" s="15"/>
      <c r="AN83" s="24"/>
      <c r="AO83" s="24"/>
      <c r="AP83" s="24"/>
      <c r="AQ83" s="24"/>
      <c r="AR83" s="24"/>
      <c r="AS83" s="25"/>
      <c r="AT83" s="25"/>
      <c r="AU83" s="178"/>
      <c r="AV83" s="24"/>
      <c r="AW83" s="24"/>
      <c r="AX83" s="278"/>
      <c r="AY83" s="278"/>
      <c r="AZ83" s="24"/>
      <c r="BA83" s="178"/>
      <c r="BB83" s="24"/>
      <c r="BC83" s="24"/>
      <c r="BD83" s="24"/>
      <c r="BE83" s="24"/>
      <c r="BF83" s="24"/>
      <c r="BG83" s="24"/>
      <c r="BH83" s="178"/>
      <c r="BI83" s="24"/>
      <c r="BJ83" s="24"/>
      <c r="BK83" s="24"/>
      <c r="BL83" s="24"/>
      <c r="BM83" s="24"/>
      <c r="BN83" s="24"/>
      <c r="BO83" s="24"/>
    </row>
    <row r="84" spans="1:68" ht="14.25" customHeight="1">
      <c r="A84" s="15">
        <f t="shared" si="17"/>
        <v>38</v>
      </c>
      <c r="B84" s="19" t="s">
        <v>96</v>
      </c>
      <c r="C84" s="179" t="s">
        <v>37</v>
      </c>
      <c r="D84" s="130">
        <v>6.992</v>
      </c>
      <c r="E84" s="130">
        <f>D84*4</f>
        <v>27.968</v>
      </c>
      <c r="F84" s="130">
        <f>E84*8</f>
        <v>223.744</v>
      </c>
      <c r="G84" s="130"/>
      <c r="H84" s="180"/>
      <c r="I84" s="19"/>
      <c r="J84" s="19"/>
      <c r="K84" s="181"/>
      <c r="L84" s="173">
        <v>2.6070000000000002</v>
      </c>
      <c r="M84" s="15">
        <v>2.657</v>
      </c>
      <c r="N84" s="15">
        <v>2E-3</v>
      </c>
      <c r="O84" s="15">
        <v>0.21299999999999999</v>
      </c>
      <c r="P84" s="175">
        <f t="shared" si="34"/>
        <v>5.4790000000000001</v>
      </c>
      <c r="Q84" s="173">
        <v>0.24399999999999999</v>
      </c>
      <c r="R84" s="15">
        <v>5.0000000000000001E-3</v>
      </c>
      <c r="S84" s="175">
        <f t="shared" si="35"/>
        <v>0.249</v>
      </c>
      <c r="T84" s="176" t="s">
        <v>31</v>
      </c>
      <c r="U84" s="176" t="s">
        <v>536</v>
      </c>
      <c r="V84" s="15"/>
      <c r="W84" s="15"/>
      <c r="X84" s="15">
        <v>41.44</v>
      </c>
      <c r="Y84" s="15">
        <v>0.8</v>
      </c>
      <c r="Z84" s="15">
        <v>7.8</v>
      </c>
      <c r="AA84" s="15">
        <f t="shared" si="36"/>
        <v>8.6</v>
      </c>
      <c r="AB84" s="15">
        <v>66.42</v>
      </c>
      <c r="AC84" s="15">
        <v>3321</v>
      </c>
      <c r="AD84" s="15">
        <v>73.73</v>
      </c>
      <c r="AE84" s="15">
        <v>301.5</v>
      </c>
      <c r="AF84" s="15"/>
      <c r="AG84" s="15">
        <v>206.46</v>
      </c>
      <c r="AH84" s="15"/>
      <c r="AI84" s="15"/>
      <c r="AJ84" s="15">
        <v>581.69000000000005</v>
      </c>
      <c r="AK84" s="15">
        <v>0.58169000000000004</v>
      </c>
      <c r="AL84" s="177"/>
      <c r="AM84" s="137" t="s">
        <v>20</v>
      </c>
      <c r="AN84" s="131" t="str">
        <f>AO84</f>
        <v>D</v>
      </c>
      <c r="AO84" s="131" t="s">
        <v>21</v>
      </c>
      <c r="AP84" s="349">
        <f t="shared" ref="AP84:AR84" si="39">AQ84-2</f>
        <v>45627</v>
      </c>
      <c r="AQ84" s="349">
        <f t="shared" si="39"/>
        <v>45629</v>
      </c>
      <c r="AR84" s="349">
        <f t="shared" si="39"/>
        <v>45631</v>
      </c>
      <c r="AS84" s="530">
        <v>45633</v>
      </c>
      <c r="AT84" s="25" t="s">
        <v>549</v>
      </c>
      <c r="AU84" s="178"/>
      <c r="AV84" s="137" t="s">
        <v>20</v>
      </c>
      <c r="AW84" s="15" t="s">
        <v>6</v>
      </c>
      <c r="AX84" s="278">
        <v>45645</v>
      </c>
      <c r="AY84" s="278">
        <v>45645</v>
      </c>
      <c r="AZ84" s="24" t="s">
        <v>561</v>
      </c>
      <c r="BA84" s="178"/>
      <c r="BB84" s="137" t="s">
        <v>20</v>
      </c>
      <c r="BC84" s="131" t="s">
        <v>558</v>
      </c>
      <c r="BD84" s="131" t="s">
        <v>21</v>
      </c>
      <c r="BE84" s="279">
        <f>BF84-2</f>
        <v>45745</v>
      </c>
      <c r="BF84" s="279">
        <v>45747</v>
      </c>
      <c r="BG84" s="17" t="s">
        <v>548</v>
      </c>
      <c r="BH84" s="177"/>
      <c r="BI84" s="137" t="s">
        <v>20</v>
      </c>
      <c r="BJ84" s="131">
        <v>45897</v>
      </c>
      <c r="BK84" s="131">
        <v>45897</v>
      </c>
      <c r="BL84" s="25">
        <v>1330</v>
      </c>
      <c r="BM84" s="24" t="s">
        <v>541</v>
      </c>
      <c r="BN84" s="17"/>
      <c r="BO84" s="17"/>
    </row>
    <row r="85" spans="1:68" ht="14.25" customHeight="1">
      <c r="A85" s="15" t="s">
        <v>0</v>
      </c>
      <c r="B85" s="19"/>
      <c r="C85" s="179"/>
      <c r="D85" s="130"/>
      <c r="E85" s="130"/>
      <c r="F85" s="130"/>
      <c r="G85" s="130"/>
      <c r="H85" s="180"/>
      <c r="I85" s="19"/>
      <c r="J85" s="19"/>
      <c r="K85" s="181"/>
      <c r="L85" s="173"/>
      <c r="M85" s="15"/>
      <c r="N85" s="15"/>
      <c r="O85" s="15"/>
      <c r="P85" s="175"/>
      <c r="Q85" s="173"/>
      <c r="R85" s="15"/>
      <c r="S85" s="175"/>
      <c r="T85" s="176"/>
      <c r="U85" s="176"/>
      <c r="V85" s="16">
        <v>291</v>
      </c>
      <c r="W85" s="15" t="s">
        <v>500</v>
      </c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77"/>
      <c r="AM85" s="15"/>
      <c r="AN85" s="24"/>
      <c r="AO85" s="24"/>
      <c r="AP85" s="24"/>
      <c r="AQ85" s="24"/>
      <c r="AR85" s="24"/>
      <c r="AS85" s="25"/>
      <c r="AT85" s="25"/>
      <c r="AU85" s="178"/>
      <c r="AV85" s="24"/>
      <c r="AW85" s="24"/>
      <c r="AX85" s="278"/>
      <c r="AY85" s="278"/>
      <c r="AZ85" s="24"/>
      <c r="BA85" s="178"/>
      <c r="BB85" s="24"/>
      <c r="BC85" s="24"/>
      <c r="BD85" s="24"/>
      <c r="BE85" s="24"/>
      <c r="BF85" s="24"/>
      <c r="BG85" s="24"/>
      <c r="BH85" s="178"/>
      <c r="BI85" s="24"/>
      <c r="BJ85" s="24"/>
      <c r="BK85" s="24"/>
      <c r="BL85" s="24"/>
      <c r="BM85" s="24"/>
      <c r="BN85" s="24"/>
      <c r="BO85" s="24"/>
    </row>
    <row r="86" spans="1:68" ht="14.25" customHeight="1">
      <c r="A86" s="15">
        <f t="shared" si="17"/>
        <v>39</v>
      </c>
      <c r="B86" s="19" t="s">
        <v>98</v>
      </c>
      <c r="C86" s="179" t="s">
        <v>39</v>
      </c>
      <c r="D86" s="130">
        <v>7.7080000000000002</v>
      </c>
      <c r="E86" s="130">
        <f>D86*4</f>
        <v>30.832000000000001</v>
      </c>
      <c r="F86" s="130">
        <f>E86*8</f>
        <v>246.65600000000001</v>
      </c>
      <c r="G86" s="130"/>
      <c r="H86" s="180"/>
      <c r="I86" s="19"/>
      <c r="J86" s="19"/>
      <c r="K86" s="181"/>
      <c r="L86" s="173">
        <v>4.0570000000000004</v>
      </c>
      <c r="M86" s="15">
        <v>2.48</v>
      </c>
      <c r="N86" s="15">
        <v>6.0000000000000001E-3</v>
      </c>
      <c r="O86" s="15">
        <v>0.36499999999999999</v>
      </c>
      <c r="P86" s="175">
        <f t="shared" si="34"/>
        <v>6.9080000000000013</v>
      </c>
      <c r="Q86" s="173">
        <v>0.436</v>
      </c>
      <c r="R86" s="15">
        <v>0.01</v>
      </c>
      <c r="S86" s="175">
        <f t="shared" si="35"/>
        <v>0.44600000000000001</v>
      </c>
      <c r="T86" s="176" t="s">
        <v>97</v>
      </c>
      <c r="U86" s="176" t="s">
        <v>536</v>
      </c>
      <c r="V86" s="15"/>
      <c r="W86" s="15"/>
      <c r="X86" s="15">
        <v>75.36</v>
      </c>
      <c r="Y86" s="15">
        <v>1.35</v>
      </c>
      <c r="Z86" s="15">
        <v>12.85</v>
      </c>
      <c r="AA86" s="15">
        <f t="shared" si="36"/>
        <v>14.2</v>
      </c>
      <c r="AB86" s="15">
        <v>109.565</v>
      </c>
      <c r="AC86" s="15">
        <v>5478.25</v>
      </c>
      <c r="AD86" s="15">
        <v>81.819999999999993</v>
      </c>
      <c r="AE86" s="15">
        <v>599.6</v>
      </c>
      <c r="AF86" s="15"/>
      <c r="AG86" s="15">
        <v>201.4</v>
      </c>
      <c r="AH86" s="15"/>
      <c r="AI86" s="15"/>
      <c r="AJ86" s="15">
        <v>882.82</v>
      </c>
      <c r="AK86" s="15">
        <v>0.88282000000000005</v>
      </c>
      <c r="AL86" s="177"/>
      <c r="AM86" s="137" t="s">
        <v>20</v>
      </c>
      <c r="AN86" s="131" t="str">
        <f>AO86</f>
        <v>D</v>
      </c>
      <c r="AO86" s="131" t="s">
        <v>21</v>
      </c>
      <c r="AP86" s="349">
        <f>AQ86-2</f>
        <v>45648</v>
      </c>
      <c r="AQ86" s="349">
        <f>AR86-3</f>
        <v>45650</v>
      </c>
      <c r="AR86" s="349">
        <f>AS86-2</f>
        <v>45653</v>
      </c>
      <c r="AS86" s="530">
        <v>45655</v>
      </c>
      <c r="AT86" s="25" t="s">
        <v>549</v>
      </c>
      <c r="AU86" s="178"/>
      <c r="AV86" s="137" t="s">
        <v>20</v>
      </c>
      <c r="AW86" s="15" t="s">
        <v>6</v>
      </c>
      <c r="AX86" s="278">
        <f>AY86</f>
        <v>45695</v>
      </c>
      <c r="AY86" s="278">
        <v>45695</v>
      </c>
      <c r="AZ86" s="182" t="s">
        <v>539</v>
      </c>
      <c r="BA86" s="183"/>
      <c r="BB86" s="137" t="s">
        <v>20</v>
      </c>
      <c r="BC86" s="131" t="s">
        <v>558</v>
      </c>
      <c r="BD86" s="131" t="s">
        <v>21</v>
      </c>
      <c r="BE86" s="279">
        <f>BF86</f>
        <v>45746</v>
      </c>
      <c r="BF86" s="279">
        <v>45746</v>
      </c>
      <c r="BG86" s="17" t="s">
        <v>548</v>
      </c>
      <c r="BH86" s="187"/>
      <c r="BI86" s="137" t="s">
        <v>20</v>
      </c>
      <c r="BJ86" s="131">
        <v>45897</v>
      </c>
      <c r="BK86" s="131">
        <v>45897</v>
      </c>
      <c r="BL86" s="25">
        <v>1001</v>
      </c>
      <c r="BM86" s="24" t="s">
        <v>541</v>
      </c>
      <c r="BN86" s="191" t="s">
        <v>552</v>
      </c>
      <c r="BO86" s="192"/>
    </row>
    <row r="87" spans="1:68" ht="14.25" customHeight="1">
      <c r="A87" s="15" t="s">
        <v>0</v>
      </c>
      <c r="B87" s="19"/>
      <c r="C87" s="179"/>
      <c r="D87" s="130"/>
      <c r="E87" s="130"/>
      <c r="F87" s="130"/>
      <c r="G87" s="130"/>
      <c r="H87" s="180"/>
      <c r="I87" s="19"/>
      <c r="J87" s="19"/>
      <c r="K87" s="181"/>
      <c r="L87" s="173"/>
      <c r="M87" s="15"/>
      <c r="N87" s="15"/>
      <c r="O87" s="15"/>
      <c r="P87" s="175"/>
      <c r="Q87" s="173"/>
      <c r="R87" s="15"/>
      <c r="S87" s="175"/>
      <c r="T87" s="176"/>
      <c r="U87" s="176"/>
      <c r="V87" s="16">
        <v>322</v>
      </c>
      <c r="W87" s="15" t="s">
        <v>500</v>
      </c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77"/>
      <c r="AM87" s="15"/>
      <c r="AN87" s="24"/>
      <c r="AO87" s="24"/>
      <c r="AP87" s="24"/>
      <c r="AQ87" s="24"/>
      <c r="AR87" s="24"/>
      <c r="AS87" s="25"/>
      <c r="AT87" s="25"/>
      <c r="AU87" s="178"/>
      <c r="AV87" s="24"/>
      <c r="AW87" s="24"/>
      <c r="AX87" s="278"/>
      <c r="AY87" s="278"/>
      <c r="AZ87" s="24"/>
      <c r="BA87" s="178"/>
      <c r="BB87" s="24"/>
      <c r="BC87" s="24"/>
      <c r="BD87" s="24"/>
      <c r="BE87" s="24"/>
      <c r="BF87" s="24"/>
      <c r="BG87" s="24"/>
      <c r="BH87" s="178"/>
      <c r="BI87" s="24"/>
      <c r="BJ87" s="24"/>
      <c r="BK87" s="24"/>
      <c r="BL87" s="24"/>
      <c r="BM87" s="24"/>
      <c r="BN87" s="24"/>
      <c r="BO87" s="24"/>
    </row>
    <row r="88" spans="1:68" ht="14.25" customHeight="1">
      <c r="A88" s="15">
        <f t="shared" si="17"/>
        <v>40</v>
      </c>
      <c r="B88" s="19" t="s">
        <v>99</v>
      </c>
      <c r="C88" s="179" t="s">
        <v>76</v>
      </c>
      <c r="D88" s="130">
        <v>7.71</v>
      </c>
      <c r="E88" s="130">
        <f>D88*4</f>
        <v>30.84</v>
      </c>
      <c r="F88" s="130">
        <f>E88*8</f>
        <v>246.72</v>
      </c>
      <c r="G88" s="130"/>
      <c r="H88" s="180"/>
      <c r="I88" s="19"/>
      <c r="J88" s="19"/>
      <c r="K88" s="181"/>
      <c r="L88" s="173">
        <v>3.452</v>
      </c>
      <c r="M88" s="15">
        <v>2.633</v>
      </c>
      <c r="N88" s="15">
        <v>4.0000000000000001E-3</v>
      </c>
      <c r="O88" s="15">
        <v>0.24099999999999999</v>
      </c>
      <c r="P88" s="175">
        <f t="shared" si="34"/>
        <v>6.3299999999999992</v>
      </c>
      <c r="Q88" s="173">
        <v>0.36299999999999999</v>
      </c>
      <c r="R88" s="15">
        <v>6.0000000000000001E-3</v>
      </c>
      <c r="S88" s="175">
        <f t="shared" si="35"/>
        <v>0.36899999999999999</v>
      </c>
      <c r="T88" s="176" t="s">
        <v>31</v>
      </c>
      <c r="U88" s="176" t="s">
        <v>536</v>
      </c>
      <c r="V88" s="15"/>
      <c r="W88" s="15"/>
      <c r="X88" s="15">
        <v>51.64</v>
      </c>
      <c r="Y88" s="15">
        <v>0.97</v>
      </c>
      <c r="Z88" s="15">
        <v>9.82</v>
      </c>
      <c r="AA88" s="15">
        <f t="shared" si="36"/>
        <v>10.790000000000001</v>
      </c>
      <c r="AB88" s="15">
        <v>83.456000000000003</v>
      </c>
      <c r="AC88" s="15">
        <v>4172.8</v>
      </c>
      <c r="AD88" s="15">
        <v>81.819999999999993</v>
      </c>
      <c r="AE88" s="15">
        <v>408.9</v>
      </c>
      <c r="AF88" s="15"/>
      <c r="AG88" s="15">
        <v>203.94</v>
      </c>
      <c r="AH88" s="15"/>
      <c r="AI88" s="15"/>
      <c r="AJ88" s="15">
        <v>694.66</v>
      </c>
      <c r="AK88" s="15">
        <v>0.69465999999999994</v>
      </c>
      <c r="AL88" s="177"/>
      <c r="AM88" s="137" t="s">
        <v>20</v>
      </c>
      <c r="AN88" s="131"/>
      <c r="AO88" s="131"/>
      <c r="AP88" s="349">
        <f t="shared" ref="AP88:AR88" si="40">AQ88-3</f>
        <v>45929</v>
      </c>
      <c r="AQ88" s="349">
        <f t="shared" si="40"/>
        <v>45932</v>
      </c>
      <c r="AR88" s="349">
        <f t="shared" si="40"/>
        <v>45935</v>
      </c>
      <c r="AS88" s="530">
        <v>45938</v>
      </c>
      <c r="AT88" s="15" t="s">
        <v>553</v>
      </c>
      <c r="AU88" s="178"/>
      <c r="AV88" s="137" t="s">
        <v>20</v>
      </c>
      <c r="AW88" s="15" t="s">
        <v>6</v>
      </c>
      <c r="AX88" s="278"/>
      <c r="AY88" s="278"/>
      <c r="AZ88" s="24"/>
      <c r="BA88" s="178"/>
      <c r="BB88" s="137" t="s">
        <v>20</v>
      </c>
      <c r="BC88" s="131"/>
      <c r="BD88" s="131"/>
      <c r="BE88" s="279">
        <f>BF90</f>
        <v>45984</v>
      </c>
      <c r="BF88" s="279">
        <f>BE88+1</f>
        <v>45985</v>
      </c>
      <c r="BG88" s="17"/>
      <c r="BH88" s="188"/>
      <c r="BI88" s="137" t="s">
        <v>20</v>
      </c>
      <c r="BJ88" s="131">
        <v>46031</v>
      </c>
      <c r="BK88" s="131">
        <v>46031</v>
      </c>
      <c r="BL88" s="25">
        <v>1252</v>
      </c>
      <c r="BM88" s="24" t="s">
        <v>709</v>
      </c>
      <c r="BN88" s="191" t="s">
        <v>552</v>
      </c>
      <c r="BO88" s="192"/>
      <c r="BP88" s="140" t="s">
        <v>554</v>
      </c>
    </row>
    <row r="89" spans="1:68" ht="14.25" customHeight="1">
      <c r="A89" s="15" t="s">
        <v>0</v>
      </c>
      <c r="B89" s="19"/>
      <c r="C89" s="179"/>
      <c r="D89" s="130"/>
      <c r="E89" s="130"/>
      <c r="F89" s="130"/>
      <c r="G89" s="130"/>
      <c r="H89" s="180"/>
      <c r="I89" s="19"/>
      <c r="J89" s="19"/>
      <c r="K89" s="181"/>
      <c r="L89" s="173"/>
      <c r="M89" s="15"/>
      <c r="N89" s="15"/>
      <c r="O89" s="15"/>
      <c r="P89" s="175"/>
      <c r="Q89" s="173"/>
      <c r="R89" s="15"/>
      <c r="S89" s="175"/>
      <c r="T89" s="176"/>
      <c r="U89" s="176"/>
      <c r="V89" s="16">
        <v>284</v>
      </c>
      <c r="W89" s="15" t="s">
        <v>500</v>
      </c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77"/>
      <c r="AM89" s="15"/>
      <c r="AN89" s="24"/>
      <c r="AO89" s="24"/>
      <c r="AP89" s="24"/>
      <c r="AQ89" s="24"/>
      <c r="AR89" s="24"/>
      <c r="AS89" s="25"/>
      <c r="AT89" s="25"/>
      <c r="AU89" s="178"/>
      <c r="AV89" s="24"/>
      <c r="AW89" s="24"/>
      <c r="AX89" s="278"/>
      <c r="AY89" s="278"/>
      <c r="AZ89" s="24"/>
      <c r="BA89" s="178"/>
      <c r="BB89" s="24"/>
      <c r="BC89" s="24"/>
      <c r="BD89" s="24"/>
      <c r="BE89" s="24"/>
      <c r="BF89" s="24"/>
      <c r="BG89" s="24"/>
      <c r="BH89" s="178"/>
      <c r="BI89" s="24"/>
      <c r="BJ89" s="24"/>
      <c r="BK89" s="24"/>
      <c r="BL89" s="24"/>
      <c r="BM89" s="24"/>
      <c r="BN89" s="24"/>
      <c r="BO89" s="24"/>
    </row>
    <row r="90" spans="1:68" ht="14.25" customHeight="1">
      <c r="A90" s="15">
        <f t="shared" si="17"/>
        <v>41</v>
      </c>
      <c r="B90" s="19" t="s">
        <v>100</v>
      </c>
      <c r="C90" s="179" t="s">
        <v>76</v>
      </c>
      <c r="D90" s="130">
        <v>7.71</v>
      </c>
      <c r="E90" s="130">
        <f>D90*4</f>
        <v>30.84</v>
      </c>
      <c r="F90" s="130">
        <f>E90*8</f>
        <v>246.72</v>
      </c>
      <c r="G90" s="130"/>
      <c r="H90" s="180"/>
      <c r="I90" s="19"/>
      <c r="J90" s="19"/>
      <c r="K90" s="181"/>
      <c r="L90" s="173">
        <v>3.452</v>
      </c>
      <c r="M90" s="15">
        <v>2.633</v>
      </c>
      <c r="N90" s="15">
        <v>4.0000000000000001E-3</v>
      </c>
      <c r="O90" s="15">
        <v>0.24099999999999999</v>
      </c>
      <c r="P90" s="175">
        <f t="shared" si="34"/>
        <v>6.3299999999999992</v>
      </c>
      <c r="Q90" s="173">
        <v>0.36299999999999999</v>
      </c>
      <c r="R90" s="15">
        <v>6.0000000000000001E-3</v>
      </c>
      <c r="S90" s="175">
        <f t="shared" si="35"/>
        <v>0.36899999999999999</v>
      </c>
      <c r="T90" s="176" t="s">
        <v>31</v>
      </c>
      <c r="U90" s="176" t="s">
        <v>536</v>
      </c>
      <c r="V90" s="15"/>
      <c r="W90" s="15"/>
      <c r="X90" s="15">
        <v>51.64</v>
      </c>
      <c r="Y90" s="15">
        <v>0.97</v>
      </c>
      <c r="Z90" s="15">
        <v>9.82</v>
      </c>
      <c r="AA90" s="15">
        <f t="shared" si="36"/>
        <v>10.790000000000001</v>
      </c>
      <c r="AB90" s="15">
        <v>83.456000000000003</v>
      </c>
      <c r="AC90" s="15">
        <v>4172.8</v>
      </c>
      <c r="AD90" s="15">
        <v>81.819999999999993</v>
      </c>
      <c r="AE90" s="15">
        <v>408.9</v>
      </c>
      <c r="AF90" s="15"/>
      <c r="AG90" s="15">
        <v>203.94</v>
      </c>
      <c r="AH90" s="15"/>
      <c r="AI90" s="15"/>
      <c r="AJ90" s="15">
        <v>694.66</v>
      </c>
      <c r="AK90" s="15">
        <v>0.69465999999999994</v>
      </c>
      <c r="AL90" s="177"/>
      <c r="AM90" s="137" t="s">
        <v>20</v>
      </c>
      <c r="AN90" s="131"/>
      <c r="AO90" s="131"/>
      <c r="AP90" s="349">
        <f>AQ90-3</f>
        <v>45935</v>
      </c>
      <c r="AQ90" s="349">
        <f t="shared" ref="AQ90:AR90" si="41">AR90-2</f>
        <v>45938</v>
      </c>
      <c r="AR90" s="349">
        <f t="shared" si="41"/>
        <v>45940</v>
      </c>
      <c r="AS90" s="530">
        <v>45942</v>
      </c>
      <c r="AT90" s="15" t="s">
        <v>553</v>
      </c>
      <c r="AU90" s="178"/>
      <c r="AV90" s="137" t="s">
        <v>20</v>
      </c>
      <c r="AW90" s="15" t="s">
        <v>6</v>
      </c>
      <c r="AX90" s="278"/>
      <c r="AY90" s="278"/>
      <c r="AZ90" s="24"/>
      <c r="BA90" s="178"/>
      <c r="BB90" s="137" t="s">
        <v>20</v>
      </c>
      <c r="BC90" s="131"/>
      <c r="BD90" s="131"/>
      <c r="BE90" s="279">
        <f>BF92</f>
        <v>45983</v>
      </c>
      <c r="BF90" s="279">
        <f>BE90+1</f>
        <v>45984</v>
      </c>
      <c r="BG90" s="17"/>
      <c r="BH90" s="188"/>
      <c r="BI90" s="137" t="s">
        <v>20</v>
      </c>
      <c r="BJ90" s="131">
        <v>46032</v>
      </c>
      <c r="BK90" s="131">
        <v>46032</v>
      </c>
      <c r="BL90" s="25">
        <v>1252</v>
      </c>
      <c r="BM90" s="24" t="s">
        <v>709</v>
      </c>
      <c r="BN90" s="24"/>
      <c r="BO90" s="24"/>
    </row>
    <row r="91" spans="1:68" ht="14.25" customHeight="1">
      <c r="A91" s="15" t="s">
        <v>0</v>
      </c>
      <c r="B91" s="19"/>
      <c r="C91" s="179"/>
      <c r="D91" s="130"/>
      <c r="E91" s="130"/>
      <c r="F91" s="130"/>
      <c r="G91" s="130"/>
      <c r="H91" s="180"/>
      <c r="I91" s="19"/>
      <c r="J91" s="19"/>
      <c r="K91" s="181"/>
      <c r="L91" s="173"/>
      <c r="M91" s="15"/>
      <c r="N91" s="15"/>
      <c r="O91" s="15"/>
      <c r="P91" s="175"/>
      <c r="Q91" s="173"/>
      <c r="R91" s="15"/>
      <c r="S91" s="175"/>
      <c r="T91" s="176"/>
      <c r="U91" s="176"/>
      <c r="V91" s="16">
        <v>282.74</v>
      </c>
      <c r="W91" s="15" t="s">
        <v>500</v>
      </c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77"/>
      <c r="AM91" s="15"/>
      <c r="AN91" s="24"/>
      <c r="AO91" s="24"/>
      <c r="AP91" s="24"/>
      <c r="AQ91" s="24"/>
      <c r="AR91" s="24"/>
      <c r="AS91" s="25"/>
      <c r="AT91" s="25"/>
      <c r="AU91" s="178"/>
      <c r="AV91" s="24"/>
      <c r="AW91" s="24"/>
      <c r="AX91" s="278"/>
      <c r="AY91" s="278"/>
      <c r="AZ91" s="24"/>
      <c r="BA91" s="178"/>
      <c r="BB91" s="24"/>
      <c r="BC91" s="24"/>
      <c r="BD91" s="24"/>
      <c r="BE91" s="24"/>
      <c r="BF91" s="24"/>
      <c r="BG91" s="24"/>
      <c r="BH91" s="178"/>
      <c r="BI91" s="24"/>
      <c r="BJ91" s="24"/>
      <c r="BK91" s="24"/>
      <c r="BL91" s="24"/>
      <c r="BM91" s="24"/>
      <c r="BN91" s="24"/>
      <c r="BO91" s="24"/>
    </row>
    <row r="92" spans="1:68" ht="14.25" customHeight="1">
      <c r="A92" s="15">
        <f t="shared" ref="A92:A154" si="42">A90+1</f>
        <v>42</v>
      </c>
      <c r="B92" s="19" t="s">
        <v>102</v>
      </c>
      <c r="C92" s="179" t="s">
        <v>89</v>
      </c>
      <c r="D92" s="130">
        <v>8.6300000000000008</v>
      </c>
      <c r="E92" s="130">
        <f>D92*4</f>
        <v>34.520000000000003</v>
      </c>
      <c r="F92" s="130">
        <f>E92*8</f>
        <v>276.16000000000003</v>
      </c>
      <c r="G92" s="130"/>
      <c r="H92" s="180"/>
      <c r="I92" s="19"/>
      <c r="J92" s="19"/>
      <c r="K92" s="181"/>
      <c r="L92" s="173">
        <v>3.867</v>
      </c>
      <c r="M92" s="15">
        <v>3.306</v>
      </c>
      <c r="N92" s="15">
        <v>5.0000000000000001E-3</v>
      </c>
      <c r="O92" s="15">
        <v>0.27600000000000002</v>
      </c>
      <c r="P92" s="175">
        <f t="shared" si="34"/>
        <v>7.4539999999999997</v>
      </c>
      <c r="Q92" s="173">
        <v>0.36299999999999999</v>
      </c>
      <c r="R92" s="15">
        <v>6.0000000000000001E-3</v>
      </c>
      <c r="S92" s="175">
        <f t="shared" si="35"/>
        <v>0.36899999999999999</v>
      </c>
      <c r="T92" s="176" t="s">
        <v>101</v>
      </c>
      <c r="U92" s="176" t="s">
        <v>536</v>
      </c>
      <c r="V92" s="15"/>
      <c r="W92" s="15"/>
      <c r="X92" s="15">
        <v>51.64</v>
      </c>
      <c r="Y92" s="15">
        <v>0.97</v>
      </c>
      <c r="Z92" s="15">
        <v>9.82</v>
      </c>
      <c r="AA92" s="15">
        <f t="shared" si="36"/>
        <v>10.790000000000001</v>
      </c>
      <c r="AB92" s="15">
        <v>83.456000000000003</v>
      </c>
      <c r="AC92" s="15">
        <v>4172.8</v>
      </c>
      <c r="AD92" s="15">
        <v>81.819999999999993</v>
      </c>
      <c r="AE92" s="15">
        <v>408.9</v>
      </c>
      <c r="AF92" s="15"/>
      <c r="AG92" s="15">
        <v>203.94</v>
      </c>
      <c r="AH92" s="15"/>
      <c r="AI92" s="15"/>
      <c r="AJ92" s="15">
        <v>694.66</v>
      </c>
      <c r="AK92" s="15">
        <v>0.69465999999999994</v>
      </c>
      <c r="AL92" s="177"/>
      <c r="AM92" s="137" t="s">
        <v>20</v>
      </c>
      <c r="AN92" s="131"/>
      <c r="AO92" s="131"/>
      <c r="AP92" s="349">
        <f>AQ92-1</f>
        <v>45942</v>
      </c>
      <c r="AQ92" s="349">
        <f t="shared" ref="AQ92:AR92" si="43">AR92-2</f>
        <v>45943</v>
      </c>
      <c r="AR92" s="349">
        <f t="shared" si="43"/>
        <v>45945</v>
      </c>
      <c r="AS92" s="530">
        <v>45947</v>
      </c>
      <c r="AT92" s="15" t="s">
        <v>553</v>
      </c>
      <c r="AU92" s="194"/>
      <c r="AV92" s="137" t="s">
        <v>20</v>
      </c>
      <c r="AW92" s="15" t="s">
        <v>6</v>
      </c>
      <c r="AX92" s="278"/>
      <c r="AY92" s="278"/>
      <c r="AZ92" s="24"/>
      <c r="BA92" s="178"/>
      <c r="BB92" s="137" t="s">
        <v>20</v>
      </c>
      <c r="BC92" s="131"/>
      <c r="BD92" s="131"/>
      <c r="BE92" s="279">
        <v>45982</v>
      </c>
      <c r="BF92" s="279">
        <f>BE92+1</f>
        <v>45983</v>
      </c>
      <c r="BG92" s="133"/>
      <c r="BH92" s="177"/>
      <c r="BI92" s="137" t="s">
        <v>20</v>
      </c>
      <c r="BJ92" s="131">
        <v>46033</v>
      </c>
      <c r="BK92" s="131">
        <v>46033</v>
      </c>
      <c r="BL92" s="25">
        <v>1560</v>
      </c>
      <c r="BM92" s="24" t="s">
        <v>709</v>
      </c>
      <c r="BN92" s="195" t="s">
        <v>552</v>
      </c>
      <c r="BO92" s="192"/>
    </row>
    <row r="93" spans="1:68" ht="14.25" customHeight="1">
      <c r="A93" s="15" t="s">
        <v>0</v>
      </c>
      <c r="B93" s="19"/>
      <c r="C93" s="179"/>
      <c r="D93" s="130"/>
      <c r="E93" s="130"/>
      <c r="F93" s="130"/>
      <c r="G93" s="130"/>
      <c r="H93" s="180"/>
      <c r="I93" s="19"/>
      <c r="J93" s="19"/>
      <c r="K93" s="181"/>
      <c r="L93" s="173"/>
      <c r="M93" s="15"/>
      <c r="N93" s="15"/>
      <c r="O93" s="15"/>
      <c r="P93" s="175"/>
      <c r="Q93" s="173"/>
      <c r="R93" s="15"/>
      <c r="S93" s="175"/>
      <c r="T93" s="176"/>
      <c r="U93" s="176"/>
      <c r="V93" s="16">
        <v>462.06</v>
      </c>
      <c r="W93" s="15" t="s">
        <v>500</v>
      </c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77"/>
      <c r="AM93" s="15"/>
      <c r="AN93" s="24"/>
      <c r="AO93" s="24"/>
      <c r="AP93" s="24"/>
      <c r="AQ93" s="24"/>
      <c r="AR93" s="24"/>
      <c r="AS93" s="25"/>
      <c r="AT93" s="25"/>
      <c r="AU93" s="178"/>
      <c r="AV93" s="24"/>
      <c r="AW93" s="24"/>
      <c r="AX93" s="278"/>
      <c r="AY93" s="278"/>
      <c r="AZ93" s="24"/>
      <c r="BA93" s="178"/>
      <c r="BB93" s="24"/>
      <c r="BC93" s="24"/>
      <c r="BD93" s="24"/>
      <c r="BE93" s="24"/>
      <c r="BF93" s="24"/>
      <c r="BG93" s="24"/>
      <c r="BH93" s="178"/>
      <c r="BI93" s="24"/>
      <c r="BJ93" s="24"/>
      <c r="BK93" s="24"/>
      <c r="BL93" s="24"/>
      <c r="BM93" s="24"/>
      <c r="BN93" s="24"/>
      <c r="BO93" s="24"/>
    </row>
    <row r="94" spans="1:68" ht="14.25" customHeight="1">
      <c r="A94" s="15">
        <f t="shared" si="42"/>
        <v>43</v>
      </c>
      <c r="B94" s="19" t="s">
        <v>104</v>
      </c>
      <c r="C94" s="179" t="s">
        <v>39</v>
      </c>
      <c r="D94" s="130">
        <v>7.7080000000000002</v>
      </c>
      <c r="E94" s="130">
        <f>D94*4</f>
        <v>30.832000000000001</v>
      </c>
      <c r="F94" s="130">
        <f>E94*8</f>
        <v>246.65600000000001</v>
      </c>
      <c r="G94" s="130">
        <v>1</v>
      </c>
      <c r="H94" s="180"/>
      <c r="I94" s="196" t="s">
        <v>563</v>
      </c>
      <c r="J94" s="196" t="s">
        <v>564</v>
      </c>
      <c r="K94" s="181"/>
      <c r="L94" s="173">
        <v>4.0570000000000004</v>
      </c>
      <c r="M94" s="15">
        <v>2.48</v>
      </c>
      <c r="N94" s="15">
        <v>6.0000000000000001E-3</v>
      </c>
      <c r="O94" s="15">
        <v>0.36499999999999999</v>
      </c>
      <c r="P94" s="175">
        <f t="shared" si="34"/>
        <v>6.9080000000000013</v>
      </c>
      <c r="Q94" s="173">
        <v>0.56599999999999995</v>
      </c>
      <c r="R94" s="15">
        <v>0.01</v>
      </c>
      <c r="S94" s="175">
        <f t="shared" si="35"/>
        <v>0.57599999999999996</v>
      </c>
      <c r="T94" s="176" t="s">
        <v>103</v>
      </c>
      <c r="U94" s="176" t="s">
        <v>536</v>
      </c>
      <c r="V94" s="15"/>
      <c r="W94" s="15"/>
      <c r="X94" s="15">
        <v>78.75</v>
      </c>
      <c r="Y94" s="197">
        <v>1.5029999999999999</v>
      </c>
      <c r="Z94" s="15">
        <v>20.966999999999999</v>
      </c>
      <c r="AA94" s="21">
        <f t="shared" si="36"/>
        <v>22.47</v>
      </c>
      <c r="AB94" s="15"/>
      <c r="AC94" s="15"/>
      <c r="AD94" s="15">
        <v>118.51</v>
      </c>
      <c r="AE94" s="15">
        <v>500.21</v>
      </c>
      <c r="AF94" s="15">
        <v>114.33</v>
      </c>
      <c r="AG94" s="15">
        <v>151.02000000000001</v>
      </c>
      <c r="AH94" s="15">
        <v>318.70999999999998</v>
      </c>
      <c r="AI94" s="15"/>
      <c r="AJ94" s="15">
        <f>SUM(AD94:AI94)</f>
        <v>1202.78</v>
      </c>
      <c r="AK94" s="15">
        <f>AJ94/1000</f>
        <v>1.20278</v>
      </c>
      <c r="AL94" s="177"/>
      <c r="AM94" s="137" t="s">
        <v>20</v>
      </c>
      <c r="AN94" s="131"/>
      <c r="AO94" s="131"/>
      <c r="AP94" s="349">
        <f>AQ94-1</f>
        <v>45982</v>
      </c>
      <c r="AQ94" s="349">
        <f t="shared" ref="AQ94:AR94" si="44">AR94-2</f>
        <v>45983</v>
      </c>
      <c r="AR94" s="349">
        <f t="shared" si="44"/>
        <v>45985</v>
      </c>
      <c r="AS94" s="530">
        <v>45987</v>
      </c>
      <c r="AT94" s="15" t="s">
        <v>553</v>
      </c>
      <c r="AU94" s="194"/>
      <c r="AV94" s="137" t="s">
        <v>20</v>
      </c>
      <c r="AW94" s="15" t="s">
        <v>6</v>
      </c>
      <c r="AX94" s="278"/>
      <c r="AY94" s="278"/>
      <c r="AZ94" s="19"/>
      <c r="BA94" s="194"/>
      <c r="BB94" s="137" t="s">
        <v>20</v>
      </c>
      <c r="BC94" s="131"/>
      <c r="BD94" s="131"/>
      <c r="BE94" s="279">
        <v>46009</v>
      </c>
      <c r="BF94" s="279">
        <v>46011</v>
      </c>
      <c r="BG94" s="17"/>
      <c r="BH94" s="188"/>
      <c r="BI94" s="137" t="s">
        <v>20</v>
      </c>
      <c r="BJ94" s="131">
        <v>46034</v>
      </c>
      <c r="BK94" s="131">
        <v>46034</v>
      </c>
      <c r="BL94" s="25">
        <v>1001</v>
      </c>
      <c r="BM94" s="24" t="s">
        <v>709</v>
      </c>
      <c r="BN94" s="24"/>
      <c r="BO94" s="24"/>
    </row>
    <row r="95" spans="1:68" ht="14.25" customHeight="1">
      <c r="A95" s="15" t="s">
        <v>0</v>
      </c>
      <c r="B95" s="19"/>
      <c r="C95" s="179"/>
      <c r="D95" s="130"/>
      <c r="E95" s="130"/>
      <c r="F95" s="130"/>
      <c r="G95" s="130"/>
      <c r="H95" s="180"/>
      <c r="I95" s="19"/>
      <c r="J95" s="19"/>
      <c r="K95" s="181"/>
      <c r="L95" s="173"/>
      <c r="M95" s="15"/>
      <c r="N95" s="15"/>
      <c r="O95" s="15"/>
      <c r="P95" s="175"/>
      <c r="Q95" s="173"/>
      <c r="R95" s="15"/>
      <c r="S95" s="175"/>
      <c r="T95" s="176"/>
      <c r="U95" s="176"/>
      <c r="V95" s="16">
        <v>318.04000000000002</v>
      </c>
      <c r="W95" s="15" t="s">
        <v>500</v>
      </c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77"/>
      <c r="AM95" s="15"/>
      <c r="AN95" s="24"/>
      <c r="AO95" s="24"/>
      <c r="AP95" s="24"/>
      <c r="AQ95" s="24"/>
      <c r="AR95" s="24"/>
      <c r="AS95" s="25"/>
      <c r="AT95" s="25"/>
      <c r="AU95" s="178"/>
      <c r="AV95" s="24"/>
      <c r="AW95" s="24"/>
      <c r="AX95" s="278"/>
      <c r="AY95" s="278"/>
      <c r="AZ95" s="24"/>
      <c r="BA95" s="178"/>
      <c r="BB95" s="24"/>
      <c r="BC95" s="24"/>
      <c r="BD95" s="24"/>
      <c r="BE95" s="24"/>
      <c r="BF95" s="24"/>
      <c r="BG95" s="24"/>
      <c r="BH95" s="178"/>
      <c r="BI95" s="24"/>
      <c r="BJ95" s="24"/>
      <c r="BK95" s="24"/>
      <c r="BL95" s="24"/>
      <c r="BM95" s="24"/>
      <c r="BN95" s="24"/>
      <c r="BO95" s="24"/>
    </row>
    <row r="96" spans="1:68" ht="14.25" customHeight="1">
      <c r="A96" s="15">
        <f t="shared" si="42"/>
        <v>44</v>
      </c>
      <c r="B96" s="19" t="s">
        <v>106</v>
      </c>
      <c r="C96" s="179" t="s">
        <v>70</v>
      </c>
      <c r="D96" s="130">
        <v>10.468</v>
      </c>
      <c r="E96" s="130">
        <f>D96*4</f>
        <v>41.872</v>
      </c>
      <c r="F96" s="130">
        <f>E96*8</f>
        <v>334.976</v>
      </c>
      <c r="G96" s="130"/>
      <c r="H96" s="180"/>
      <c r="I96" s="19"/>
      <c r="J96" s="19"/>
      <c r="K96" s="181"/>
      <c r="L96" s="173">
        <v>4.351</v>
      </c>
      <c r="M96" s="15">
        <v>4.2219999999999995</v>
      </c>
      <c r="N96" s="15">
        <v>5.0000000000000001E-3</v>
      </c>
      <c r="O96" s="15">
        <v>0.32100000000000001</v>
      </c>
      <c r="P96" s="175">
        <f t="shared" si="34"/>
        <v>8.8990000000000009</v>
      </c>
      <c r="Q96" s="173">
        <v>0.36299999999999999</v>
      </c>
      <c r="R96" s="15">
        <v>6.0000000000000001E-3</v>
      </c>
      <c r="S96" s="175">
        <f t="shared" si="35"/>
        <v>0.36899999999999999</v>
      </c>
      <c r="T96" s="176" t="s">
        <v>105</v>
      </c>
      <c r="U96" s="176" t="s">
        <v>536</v>
      </c>
      <c r="V96" s="15"/>
      <c r="W96" s="15"/>
      <c r="X96" s="15">
        <v>51.64</v>
      </c>
      <c r="Y96" s="15">
        <v>0.97</v>
      </c>
      <c r="Z96" s="15">
        <v>9.82</v>
      </c>
      <c r="AA96" s="15">
        <f t="shared" si="36"/>
        <v>10.790000000000001</v>
      </c>
      <c r="AB96" s="15">
        <v>83.456000000000003</v>
      </c>
      <c r="AC96" s="15">
        <v>4172.8</v>
      </c>
      <c r="AD96" s="15">
        <v>81.819999999999993</v>
      </c>
      <c r="AE96" s="15">
        <v>408.9</v>
      </c>
      <c r="AF96" s="15"/>
      <c r="AG96" s="15">
        <v>203.94</v>
      </c>
      <c r="AH96" s="15"/>
      <c r="AI96" s="15"/>
      <c r="AJ96" s="15">
        <v>694.66</v>
      </c>
      <c r="AK96" s="15">
        <v>0.69465999999999994</v>
      </c>
      <c r="AL96" s="177"/>
      <c r="AM96" s="137" t="s">
        <v>20</v>
      </c>
      <c r="AN96" s="131" t="str">
        <f>AO96</f>
        <v>D</v>
      </c>
      <c r="AO96" s="131" t="s">
        <v>21</v>
      </c>
      <c r="AP96" s="349">
        <f>AQ96-2</f>
        <v>45725</v>
      </c>
      <c r="AQ96" s="349">
        <f>AR96-3</f>
        <v>45727</v>
      </c>
      <c r="AR96" s="349">
        <f>AS96-2</f>
        <v>45730</v>
      </c>
      <c r="AS96" s="530">
        <v>45732</v>
      </c>
      <c r="AT96" s="25" t="s">
        <v>538</v>
      </c>
      <c r="AU96" s="178"/>
      <c r="AV96" s="137" t="s">
        <v>20</v>
      </c>
      <c r="AW96" s="15" t="s">
        <v>6</v>
      </c>
      <c r="AX96" s="278">
        <f>AY96-0</f>
        <v>45736</v>
      </c>
      <c r="AY96" s="278">
        <v>45736</v>
      </c>
      <c r="AZ96" s="182" t="s">
        <v>539</v>
      </c>
      <c r="BA96" s="183"/>
      <c r="BB96" s="137" t="s">
        <v>20</v>
      </c>
      <c r="BC96" s="131" t="s">
        <v>543</v>
      </c>
      <c r="BD96" s="131" t="s">
        <v>21</v>
      </c>
      <c r="BE96" s="279">
        <f>BF96-2</f>
        <v>45755</v>
      </c>
      <c r="BF96" s="279">
        <v>45757</v>
      </c>
      <c r="BG96" s="17" t="s">
        <v>548</v>
      </c>
      <c r="BH96" s="188"/>
      <c r="BI96" s="137" t="s">
        <v>20</v>
      </c>
      <c r="BJ96" s="131">
        <v>45878</v>
      </c>
      <c r="BK96" s="131">
        <f>BJ96</f>
        <v>45878</v>
      </c>
      <c r="BL96" s="25">
        <v>2144</v>
      </c>
      <c r="BM96" s="185" t="s">
        <v>541</v>
      </c>
      <c r="BN96" s="24"/>
      <c r="BO96" s="24"/>
    </row>
    <row r="97" spans="1:65" ht="14.25" customHeight="1">
      <c r="A97" s="15" t="s">
        <v>0</v>
      </c>
      <c r="B97" s="19"/>
      <c r="C97" s="179"/>
      <c r="D97" s="130"/>
      <c r="E97" s="130"/>
      <c r="F97" s="130"/>
      <c r="G97" s="130"/>
      <c r="H97" s="180"/>
      <c r="I97" s="19"/>
      <c r="J97" s="19"/>
      <c r="K97" s="181"/>
      <c r="L97" s="173"/>
      <c r="M97" s="15"/>
      <c r="N97" s="15"/>
      <c r="O97" s="15"/>
      <c r="P97" s="175"/>
      <c r="Q97" s="173"/>
      <c r="R97" s="15"/>
      <c r="S97" s="175"/>
      <c r="T97" s="176"/>
      <c r="U97" s="176"/>
      <c r="V97" s="16">
        <v>364</v>
      </c>
      <c r="W97" s="15" t="s">
        <v>500</v>
      </c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77"/>
      <c r="AM97" s="15"/>
      <c r="AN97" s="24"/>
      <c r="AO97" s="24"/>
      <c r="AP97" s="24"/>
      <c r="AQ97" s="24"/>
      <c r="AR97" s="24"/>
      <c r="AS97" s="25"/>
      <c r="AT97" s="25"/>
      <c r="AU97" s="178"/>
      <c r="AV97" s="24"/>
      <c r="AW97" s="24"/>
      <c r="AX97" s="278"/>
      <c r="AY97" s="278"/>
      <c r="AZ97" s="24"/>
      <c r="BA97" s="178"/>
      <c r="BB97" s="24"/>
      <c r="BC97" s="24"/>
      <c r="BD97" s="24"/>
      <c r="BE97" s="24"/>
      <c r="BF97" s="24"/>
      <c r="BG97" s="24"/>
      <c r="BH97" s="178"/>
      <c r="BI97" s="24"/>
      <c r="BJ97" s="24"/>
      <c r="BK97" s="24"/>
      <c r="BL97" s="24"/>
      <c r="BM97" s="24"/>
    </row>
    <row r="98" spans="1:65" ht="14.25" customHeight="1">
      <c r="A98" s="15">
        <f t="shared" si="42"/>
        <v>45</v>
      </c>
      <c r="B98" s="19" t="s">
        <v>107</v>
      </c>
      <c r="C98" s="179" t="s">
        <v>42</v>
      </c>
      <c r="D98" s="130">
        <v>6.3620000000000001</v>
      </c>
      <c r="E98" s="130">
        <f>D98*4</f>
        <v>25.448</v>
      </c>
      <c r="F98" s="130">
        <f>E98*8</f>
        <v>203.584</v>
      </c>
      <c r="G98" s="130"/>
      <c r="H98" s="180"/>
      <c r="I98" s="19"/>
      <c r="J98" s="19"/>
      <c r="K98" s="181"/>
      <c r="L98" s="173">
        <v>2.25</v>
      </c>
      <c r="M98" s="15">
        <v>2.1880000000000002</v>
      </c>
      <c r="N98" s="15">
        <v>2E-3</v>
      </c>
      <c r="O98" s="15">
        <v>0.183</v>
      </c>
      <c r="P98" s="175">
        <f t="shared" si="34"/>
        <v>4.6230000000000002</v>
      </c>
      <c r="Q98" s="173">
        <v>0.24399999999999999</v>
      </c>
      <c r="R98" s="15">
        <v>5.0000000000000001E-3</v>
      </c>
      <c r="S98" s="175">
        <f t="shared" si="35"/>
        <v>0.249</v>
      </c>
      <c r="T98" s="176" t="s">
        <v>31</v>
      </c>
      <c r="U98" s="176" t="s">
        <v>536</v>
      </c>
      <c r="V98" s="15"/>
      <c r="W98" s="15"/>
      <c r="X98" s="15">
        <v>41.440000000000005</v>
      </c>
      <c r="Y98" s="15">
        <v>0.8</v>
      </c>
      <c r="Z98" s="15">
        <v>7.8</v>
      </c>
      <c r="AA98" s="15">
        <f t="shared" si="36"/>
        <v>8.6</v>
      </c>
      <c r="AB98" s="15">
        <v>66.42</v>
      </c>
      <c r="AC98" s="15">
        <v>3321</v>
      </c>
      <c r="AD98" s="186">
        <v>73.73</v>
      </c>
      <c r="AE98" s="186">
        <v>301.5</v>
      </c>
      <c r="AF98" s="186"/>
      <c r="AG98" s="186">
        <v>206.46</v>
      </c>
      <c r="AH98" s="186"/>
      <c r="AI98" s="186"/>
      <c r="AJ98" s="186">
        <v>581.69000000000005</v>
      </c>
      <c r="AK98" s="15">
        <v>0.58169000000000004</v>
      </c>
      <c r="AL98" s="177"/>
      <c r="AM98" s="137" t="s">
        <v>20</v>
      </c>
      <c r="AN98" s="131" t="s">
        <v>21</v>
      </c>
      <c r="AO98" s="131" t="s">
        <v>21</v>
      </c>
      <c r="AP98" s="349">
        <f>AQ98-2</f>
        <v>45720</v>
      </c>
      <c r="AQ98" s="349">
        <f>AR98-1</f>
        <v>45722</v>
      </c>
      <c r="AR98" s="349">
        <f>AS98-2</f>
        <v>45723</v>
      </c>
      <c r="AS98" s="530">
        <v>45725</v>
      </c>
      <c r="AT98" s="25" t="s">
        <v>549</v>
      </c>
      <c r="AU98" s="178"/>
      <c r="AV98" s="137" t="s">
        <v>20</v>
      </c>
      <c r="AW98" s="15" t="s">
        <v>6</v>
      </c>
      <c r="AX98" s="278">
        <f>AY98-0</f>
        <v>45736</v>
      </c>
      <c r="AY98" s="278">
        <v>45736</v>
      </c>
      <c r="AZ98" s="182" t="s">
        <v>539</v>
      </c>
      <c r="BA98" s="183"/>
      <c r="BB98" s="137" t="s">
        <v>20</v>
      </c>
      <c r="BC98" s="131" t="s">
        <v>543</v>
      </c>
      <c r="BD98" s="131" t="s">
        <v>21</v>
      </c>
      <c r="BE98" s="279">
        <f>BF98-1</f>
        <v>45752</v>
      </c>
      <c r="BF98" s="279">
        <v>45753</v>
      </c>
      <c r="BG98" s="17" t="s">
        <v>548</v>
      </c>
      <c r="BH98" s="178"/>
      <c r="BI98" s="137" t="s">
        <v>20</v>
      </c>
      <c r="BJ98" s="131">
        <v>45878</v>
      </c>
      <c r="BK98" s="131">
        <f>BJ98</f>
        <v>45878</v>
      </c>
      <c r="BL98" s="25">
        <v>980</v>
      </c>
      <c r="BM98" s="185" t="s">
        <v>541</v>
      </c>
    </row>
    <row r="99" spans="1:65" ht="14.25" customHeight="1">
      <c r="A99" s="15" t="s">
        <v>0</v>
      </c>
      <c r="B99" s="19"/>
      <c r="C99" s="179"/>
      <c r="D99" s="130"/>
      <c r="E99" s="130"/>
      <c r="F99" s="130"/>
      <c r="G99" s="130"/>
      <c r="H99" s="180"/>
      <c r="I99" s="19"/>
      <c r="J99" s="19"/>
      <c r="K99" s="181"/>
      <c r="L99" s="173"/>
      <c r="M99" s="15"/>
      <c r="N99" s="15"/>
      <c r="O99" s="15"/>
      <c r="P99" s="175"/>
      <c r="Q99" s="173"/>
      <c r="R99" s="15"/>
      <c r="S99" s="175"/>
      <c r="T99" s="176"/>
      <c r="U99" s="176"/>
      <c r="V99" s="16">
        <v>279</v>
      </c>
      <c r="W99" s="15" t="s">
        <v>500</v>
      </c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77"/>
      <c r="AM99" s="15"/>
      <c r="AN99" s="24"/>
      <c r="AO99" s="24"/>
      <c r="AP99" s="24"/>
      <c r="AQ99" s="24"/>
      <c r="AR99" s="24"/>
      <c r="AS99" s="25"/>
      <c r="AT99" s="25"/>
      <c r="AU99" s="178"/>
      <c r="AV99" s="24"/>
      <c r="AW99" s="24"/>
      <c r="AX99" s="278"/>
      <c r="AY99" s="278"/>
      <c r="AZ99" s="24"/>
      <c r="BA99" s="178"/>
      <c r="BB99" s="24"/>
      <c r="BC99" s="24"/>
      <c r="BD99" s="24"/>
      <c r="BE99" s="24"/>
      <c r="BF99" s="24"/>
      <c r="BG99" s="24"/>
      <c r="BH99" s="178"/>
      <c r="BI99" s="24"/>
      <c r="BJ99" s="24"/>
      <c r="BK99" s="24"/>
      <c r="BL99" s="24"/>
      <c r="BM99" s="24"/>
    </row>
    <row r="100" spans="1:65" ht="14.25" customHeight="1">
      <c r="A100" s="15">
        <f t="shared" si="42"/>
        <v>46</v>
      </c>
      <c r="B100" s="19" t="s">
        <v>108</v>
      </c>
      <c r="C100" s="179" t="s">
        <v>42</v>
      </c>
      <c r="D100" s="130">
        <v>6.3620000000000001</v>
      </c>
      <c r="E100" s="130">
        <f>D100*4</f>
        <v>25.448</v>
      </c>
      <c r="F100" s="130">
        <f>E100*8</f>
        <v>203.584</v>
      </c>
      <c r="G100" s="130"/>
      <c r="H100" s="180"/>
      <c r="I100" s="19"/>
      <c r="J100" s="19"/>
      <c r="K100" s="181"/>
      <c r="L100" s="173">
        <v>2.25</v>
      </c>
      <c r="M100" s="15">
        <v>2.1880000000000002</v>
      </c>
      <c r="N100" s="15">
        <v>2E-3</v>
      </c>
      <c r="O100" s="15">
        <v>0.183</v>
      </c>
      <c r="P100" s="175">
        <f t="shared" si="34"/>
        <v>4.6230000000000002</v>
      </c>
      <c r="Q100" s="173">
        <v>0.24399999999999999</v>
      </c>
      <c r="R100" s="15">
        <v>5.0000000000000001E-3</v>
      </c>
      <c r="S100" s="175">
        <f t="shared" si="35"/>
        <v>0.249</v>
      </c>
      <c r="T100" s="176" t="s">
        <v>31</v>
      </c>
      <c r="U100" s="176" t="s">
        <v>536</v>
      </c>
      <c r="V100" s="15"/>
      <c r="W100" s="15"/>
      <c r="X100" s="15">
        <v>41.440000000000005</v>
      </c>
      <c r="Y100" s="15">
        <v>0.8</v>
      </c>
      <c r="Z100" s="15">
        <v>7.8</v>
      </c>
      <c r="AA100" s="15">
        <f t="shared" si="36"/>
        <v>8.6</v>
      </c>
      <c r="AB100" s="15">
        <v>66.42</v>
      </c>
      <c r="AC100" s="15">
        <v>3321</v>
      </c>
      <c r="AD100" s="186">
        <v>73.73</v>
      </c>
      <c r="AE100" s="186">
        <v>301.5</v>
      </c>
      <c r="AF100" s="186"/>
      <c r="AG100" s="186">
        <v>206.46</v>
      </c>
      <c r="AH100" s="186"/>
      <c r="AI100" s="186"/>
      <c r="AJ100" s="186">
        <v>581.69000000000005</v>
      </c>
      <c r="AK100" s="15">
        <v>0.58169000000000004</v>
      </c>
      <c r="AL100" s="177"/>
      <c r="AM100" s="137" t="s">
        <v>20</v>
      </c>
      <c r="AN100" s="131" t="str">
        <f>AO100</f>
        <v>D</v>
      </c>
      <c r="AO100" s="131" t="s">
        <v>21</v>
      </c>
      <c r="AP100" s="349">
        <f t="shared" ref="AP100:AQ100" si="45">AQ100-2</f>
        <v>45725</v>
      </c>
      <c r="AQ100" s="349">
        <f t="shared" si="45"/>
        <v>45727</v>
      </c>
      <c r="AR100" s="349">
        <f>AS100-3</f>
        <v>45729</v>
      </c>
      <c r="AS100" s="530">
        <v>45732</v>
      </c>
      <c r="AT100" s="25" t="s">
        <v>538</v>
      </c>
      <c r="AU100" s="178"/>
      <c r="AV100" s="137" t="s">
        <v>20</v>
      </c>
      <c r="AW100" s="15" t="s">
        <v>6</v>
      </c>
      <c r="AX100" s="278">
        <f>AY100-0</f>
        <v>45736</v>
      </c>
      <c r="AY100" s="278">
        <v>45736</v>
      </c>
      <c r="AZ100" s="182" t="s">
        <v>539</v>
      </c>
      <c r="BA100" s="183"/>
      <c r="BB100" s="137" t="s">
        <v>20</v>
      </c>
      <c r="BC100" s="131" t="s">
        <v>558</v>
      </c>
      <c r="BD100" s="131" t="s">
        <v>21</v>
      </c>
      <c r="BE100" s="279">
        <f>BF100-2</f>
        <v>45752</v>
      </c>
      <c r="BF100" s="279">
        <v>45754</v>
      </c>
      <c r="BG100" s="17" t="s">
        <v>548</v>
      </c>
      <c r="BH100" s="188"/>
      <c r="BI100" s="137" t="s">
        <v>20</v>
      </c>
      <c r="BJ100" s="131">
        <v>45878</v>
      </c>
      <c r="BK100" s="131">
        <f>BJ100</f>
        <v>45878</v>
      </c>
      <c r="BL100" s="25">
        <v>980</v>
      </c>
      <c r="BM100" s="185" t="s">
        <v>541</v>
      </c>
    </row>
    <row r="101" spans="1:65" ht="14.25" customHeight="1">
      <c r="A101" s="15" t="s">
        <v>0</v>
      </c>
      <c r="B101" s="19"/>
      <c r="C101" s="179"/>
      <c r="D101" s="130"/>
      <c r="E101" s="130"/>
      <c r="F101" s="130"/>
      <c r="G101" s="130"/>
      <c r="H101" s="180"/>
      <c r="I101" s="19"/>
      <c r="J101" s="19"/>
      <c r="K101" s="181"/>
      <c r="L101" s="173"/>
      <c r="M101" s="15"/>
      <c r="N101" s="15"/>
      <c r="O101" s="15"/>
      <c r="P101" s="175"/>
      <c r="Q101" s="173"/>
      <c r="R101" s="15"/>
      <c r="S101" s="175"/>
      <c r="T101" s="176"/>
      <c r="U101" s="176"/>
      <c r="V101" s="16">
        <v>252</v>
      </c>
      <c r="W101" s="15" t="s">
        <v>500</v>
      </c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77"/>
      <c r="AM101" s="15"/>
      <c r="AN101" s="24"/>
      <c r="AO101" s="24"/>
      <c r="AP101" s="24"/>
      <c r="AQ101" s="24"/>
      <c r="AR101" s="24"/>
      <c r="AS101" s="25"/>
      <c r="AT101" s="25"/>
      <c r="AU101" s="178"/>
      <c r="AV101" s="24"/>
      <c r="AW101" s="24"/>
      <c r="AX101" s="278"/>
      <c r="AY101" s="278"/>
      <c r="AZ101" s="24"/>
      <c r="BA101" s="178"/>
      <c r="BB101" s="24"/>
      <c r="BC101" s="24"/>
      <c r="BD101" s="24"/>
      <c r="BE101" s="24"/>
      <c r="BF101" s="24"/>
      <c r="BG101" s="24"/>
      <c r="BH101" s="178"/>
      <c r="BI101" s="24"/>
      <c r="BJ101" s="24"/>
      <c r="BK101" s="24"/>
      <c r="BL101" s="24"/>
      <c r="BM101" s="24"/>
    </row>
    <row r="102" spans="1:65" ht="14.25" customHeight="1">
      <c r="A102" s="15">
        <f t="shared" si="42"/>
        <v>47</v>
      </c>
      <c r="B102" s="19" t="s">
        <v>109</v>
      </c>
      <c r="C102" s="179" t="s">
        <v>42</v>
      </c>
      <c r="D102" s="130">
        <v>6.3620000000000001</v>
      </c>
      <c r="E102" s="130">
        <f>D102*4</f>
        <v>25.448</v>
      </c>
      <c r="F102" s="130">
        <f>E102*8</f>
        <v>203.584</v>
      </c>
      <c r="G102" s="130"/>
      <c r="H102" s="180"/>
      <c r="I102" s="19"/>
      <c r="J102" s="19"/>
      <c r="K102" s="181"/>
      <c r="L102" s="173">
        <v>2.25</v>
      </c>
      <c r="M102" s="15">
        <v>2.1880000000000002</v>
      </c>
      <c r="N102" s="15">
        <v>2E-3</v>
      </c>
      <c r="O102" s="15">
        <v>0.183</v>
      </c>
      <c r="P102" s="175">
        <f t="shared" si="34"/>
        <v>4.6230000000000002</v>
      </c>
      <c r="Q102" s="173">
        <v>0.24399999999999999</v>
      </c>
      <c r="R102" s="15">
        <v>5.0000000000000001E-3</v>
      </c>
      <c r="S102" s="175">
        <f t="shared" si="35"/>
        <v>0.249</v>
      </c>
      <c r="T102" s="176" t="s">
        <v>31</v>
      </c>
      <c r="U102" s="176" t="s">
        <v>536</v>
      </c>
      <c r="V102" s="15"/>
      <c r="W102" s="15"/>
      <c r="X102" s="15">
        <v>80.64</v>
      </c>
      <c r="Y102" s="15">
        <v>0.88</v>
      </c>
      <c r="Z102" s="15">
        <v>8.1199999999999992</v>
      </c>
      <c r="AA102" s="15">
        <f t="shared" si="36"/>
        <v>9</v>
      </c>
      <c r="AB102" s="15">
        <v>69.354399999999998</v>
      </c>
      <c r="AC102" s="15">
        <v>3467.72</v>
      </c>
      <c r="AD102" s="15">
        <v>73.73</v>
      </c>
      <c r="AE102" s="15">
        <v>313.64</v>
      </c>
      <c r="AF102" s="15"/>
      <c r="AG102" s="15">
        <v>201.4</v>
      </c>
      <c r="AH102" s="15"/>
      <c r="AI102" s="15"/>
      <c r="AJ102" s="15">
        <v>588.77</v>
      </c>
      <c r="AK102" s="15">
        <v>0.58877000000000002</v>
      </c>
      <c r="AL102" s="177"/>
      <c r="AM102" s="137" t="s">
        <v>20</v>
      </c>
      <c r="AN102" s="131" t="str">
        <f>AO102</f>
        <v>D</v>
      </c>
      <c r="AO102" s="131" t="s">
        <v>21</v>
      </c>
      <c r="AP102" s="349">
        <f t="shared" ref="AP102:AR102" si="46">AQ102-2</f>
        <v>45733</v>
      </c>
      <c r="AQ102" s="349">
        <f t="shared" si="46"/>
        <v>45735</v>
      </c>
      <c r="AR102" s="349">
        <f t="shared" si="46"/>
        <v>45737</v>
      </c>
      <c r="AS102" s="530">
        <v>45739</v>
      </c>
      <c r="AT102" s="25" t="s">
        <v>538</v>
      </c>
      <c r="AU102" s="178"/>
      <c r="AV102" s="137" t="s">
        <v>20</v>
      </c>
      <c r="AW102" s="15" t="s">
        <v>544</v>
      </c>
      <c r="AX102" s="278">
        <f>AX100+7</f>
        <v>45743</v>
      </c>
      <c r="AY102" s="278">
        <f>AX102</f>
        <v>45743</v>
      </c>
      <c r="AZ102" s="182" t="s">
        <v>539</v>
      </c>
      <c r="BA102" s="183"/>
      <c r="BB102" s="137" t="s">
        <v>20</v>
      </c>
      <c r="BC102" s="131"/>
      <c r="BD102" s="131" t="s">
        <v>21</v>
      </c>
      <c r="BE102" s="279">
        <f>BF102-2</f>
        <v>45768</v>
      </c>
      <c r="BF102" s="279">
        <v>45770</v>
      </c>
      <c r="BG102" s="17" t="s">
        <v>548</v>
      </c>
      <c r="BH102" s="177"/>
      <c r="BI102" s="137" t="s">
        <v>20</v>
      </c>
      <c r="BJ102" s="131">
        <v>45878</v>
      </c>
      <c r="BK102" s="131">
        <f>BJ102</f>
        <v>45878</v>
      </c>
      <c r="BL102" s="25">
        <v>980</v>
      </c>
      <c r="BM102" s="185" t="s">
        <v>541</v>
      </c>
    </row>
    <row r="103" spans="1:65" ht="14.25" customHeight="1">
      <c r="A103" s="15" t="s">
        <v>0</v>
      </c>
      <c r="B103" s="19"/>
      <c r="C103" s="179"/>
      <c r="D103" s="130"/>
      <c r="E103" s="130"/>
      <c r="F103" s="130"/>
      <c r="G103" s="130"/>
      <c r="H103" s="180"/>
      <c r="I103" s="19"/>
      <c r="J103" s="19"/>
      <c r="K103" s="181"/>
      <c r="L103" s="173"/>
      <c r="M103" s="15"/>
      <c r="N103" s="15"/>
      <c r="O103" s="15"/>
      <c r="P103" s="175"/>
      <c r="Q103" s="173"/>
      <c r="R103" s="15"/>
      <c r="S103" s="175"/>
      <c r="T103" s="176"/>
      <c r="U103" s="176"/>
      <c r="V103" s="16">
        <v>252.05</v>
      </c>
      <c r="W103" s="15" t="s">
        <v>565</v>
      </c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77"/>
      <c r="AM103" s="15"/>
      <c r="AN103" s="24"/>
      <c r="AO103" s="24"/>
      <c r="AP103" s="24"/>
      <c r="AQ103" s="24"/>
      <c r="AR103" s="24"/>
      <c r="AS103" s="25"/>
      <c r="AT103" s="25"/>
      <c r="AU103" s="178"/>
      <c r="AV103" s="24"/>
      <c r="AW103" s="24"/>
      <c r="AX103" s="278"/>
      <c r="AY103" s="278"/>
      <c r="AZ103" s="24"/>
      <c r="BA103" s="178"/>
      <c r="BB103" s="24"/>
      <c r="BC103" s="24"/>
      <c r="BD103" s="24"/>
      <c r="BE103" s="24"/>
      <c r="BF103" s="24"/>
      <c r="BG103" s="24"/>
      <c r="BH103" s="178"/>
      <c r="BI103" s="24"/>
      <c r="BJ103" s="24"/>
      <c r="BK103" s="24"/>
      <c r="BL103" s="24"/>
      <c r="BM103" s="24"/>
    </row>
    <row r="104" spans="1:65" ht="14.25" customHeight="1">
      <c r="A104" s="15">
        <f t="shared" si="42"/>
        <v>48</v>
      </c>
      <c r="B104" s="19" t="s">
        <v>111</v>
      </c>
      <c r="C104" s="179" t="s">
        <v>34</v>
      </c>
      <c r="D104" s="130">
        <v>9.6539999999999999</v>
      </c>
      <c r="E104" s="130">
        <f>D104*4</f>
        <v>38.616</v>
      </c>
      <c r="F104" s="130">
        <f>E104*8</f>
        <v>308.928</v>
      </c>
      <c r="G104" s="130"/>
      <c r="H104" s="180"/>
      <c r="I104" s="19"/>
      <c r="J104" s="19"/>
      <c r="K104" s="181"/>
      <c r="L104" s="173">
        <v>4.8070000000000004</v>
      </c>
      <c r="M104" s="15">
        <v>4.016</v>
      </c>
      <c r="N104" s="15">
        <v>7.0000000000000001E-3</v>
      </c>
      <c r="O104" s="15">
        <v>0.43099999999999999</v>
      </c>
      <c r="P104" s="175">
        <f t="shared" si="34"/>
        <v>9.2609999999999992</v>
      </c>
      <c r="Q104" s="173">
        <v>0.55700000000000005</v>
      </c>
      <c r="R104" s="15">
        <v>0.01</v>
      </c>
      <c r="S104" s="175">
        <f t="shared" si="35"/>
        <v>0.56700000000000006</v>
      </c>
      <c r="T104" s="176" t="s">
        <v>110</v>
      </c>
      <c r="U104" s="176" t="s">
        <v>536</v>
      </c>
      <c r="V104" s="15"/>
      <c r="W104" s="15"/>
      <c r="X104" s="15">
        <v>207.52</v>
      </c>
      <c r="Y104" s="15">
        <v>2.52</v>
      </c>
      <c r="Z104" s="15">
        <v>21.09</v>
      </c>
      <c r="AA104" s="15">
        <f t="shared" si="36"/>
        <v>23.61</v>
      </c>
      <c r="AB104" s="15"/>
      <c r="AC104" s="15">
        <v>7858.2100000000009</v>
      </c>
      <c r="AD104" s="15">
        <v>89.9</v>
      </c>
      <c r="AE104" s="15"/>
      <c r="AF104" s="15">
        <v>1287.27</v>
      </c>
      <c r="AG104" s="15">
        <v>193.64</v>
      </c>
      <c r="AH104" s="15"/>
      <c r="AI104" s="15"/>
      <c r="AJ104" s="15">
        <f>SUM(AD104:AH104)</f>
        <v>1570.81</v>
      </c>
      <c r="AK104" s="15">
        <f>AJ104/1000</f>
        <v>1.57081</v>
      </c>
      <c r="AL104" s="177"/>
      <c r="AM104" s="137" t="s">
        <v>20</v>
      </c>
      <c r="AN104" s="131" t="s">
        <v>547</v>
      </c>
      <c r="AO104" s="131" t="s">
        <v>21</v>
      </c>
      <c r="AP104" s="349">
        <f>AQ104-2</f>
        <v>45790</v>
      </c>
      <c r="AQ104" s="349">
        <f>AR104-1</f>
        <v>45792</v>
      </c>
      <c r="AR104" s="349">
        <f>AS104-2</f>
        <v>45793</v>
      </c>
      <c r="AS104" s="530">
        <v>45795</v>
      </c>
      <c r="AT104" s="25" t="s">
        <v>538</v>
      </c>
      <c r="AU104" s="178"/>
      <c r="AV104" s="137" t="s">
        <v>20</v>
      </c>
      <c r="AW104" s="15" t="s">
        <v>544</v>
      </c>
      <c r="AX104" s="278">
        <v>45798</v>
      </c>
      <c r="AY104" s="278">
        <v>45798</v>
      </c>
      <c r="AZ104" s="182" t="s">
        <v>539</v>
      </c>
      <c r="BA104" s="183"/>
      <c r="BB104" s="137" t="s">
        <v>20</v>
      </c>
      <c r="BC104" s="131" t="s">
        <v>555</v>
      </c>
      <c r="BD104" s="131" t="s">
        <v>21</v>
      </c>
      <c r="BE104" s="279">
        <f>BF104-2</f>
        <v>45814</v>
      </c>
      <c r="BF104" s="279">
        <v>45816</v>
      </c>
      <c r="BG104" s="17" t="s">
        <v>548</v>
      </c>
      <c r="BH104" s="177"/>
      <c r="BI104" s="137" t="s">
        <v>20</v>
      </c>
      <c r="BJ104" s="131">
        <v>45882</v>
      </c>
      <c r="BK104" s="131">
        <f>BJ104</f>
        <v>45882</v>
      </c>
      <c r="BL104" s="25">
        <v>1202</v>
      </c>
      <c r="BM104" s="185" t="s">
        <v>541</v>
      </c>
    </row>
    <row r="105" spans="1:65" ht="14.25" customHeight="1">
      <c r="A105" s="15" t="s">
        <v>0</v>
      </c>
      <c r="B105" s="19"/>
      <c r="C105" s="179"/>
      <c r="D105" s="130"/>
      <c r="E105" s="130"/>
      <c r="F105" s="130"/>
      <c r="G105" s="130"/>
      <c r="H105" s="180"/>
      <c r="I105" s="19"/>
      <c r="J105" s="19"/>
      <c r="K105" s="181"/>
      <c r="L105" s="173"/>
      <c r="M105" s="15"/>
      <c r="N105" s="15"/>
      <c r="O105" s="15"/>
      <c r="P105" s="175"/>
      <c r="Q105" s="173"/>
      <c r="R105" s="15"/>
      <c r="S105" s="175"/>
      <c r="T105" s="176"/>
      <c r="U105" s="176"/>
      <c r="V105" s="16">
        <v>173.57</v>
      </c>
      <c r="W105" s="15" t="s">
        <v>565</v>
      </c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77"/>
      <c r="AM105" s="15"/>
      <c r="AN105" s="24"/>
      <c r="AO105" s="24"/>
      <c r="AP105" s="24"/>
      <c r="AQ105" s="24"/>
      <c r="AR105" s="24"/>
      <c r="AS105" s="25"/>
      <c r="AT105" s="25"/>
      <c r="AU105" s="178"/>
      <c r="AV105" s="24"/>
      <c r="AW105" s="24"/>
      <c r="AX105" s="278"/>
      <c r="AY105" s="278"/>
      <c r="AZ105" s="24"/>
      <c r="BA105" s="178"/>
      <c r="BB105" s="24"/>
      <c r="BC105" s="24"/>
      <c r="BD105" s="24"/>
      <c r="BE105" s="24"/>
      <c r="BF105" s="24"/>
      <c r="BG105" s="24"/>
      <c r="BH105" s="178"/>
      <c r="BI105" s="24"/>
      <c r="BJ105" s="24"/>
      <c r="BK105" s="24"/>
      <c r="BL105" s="24"/>
      <c r="BM105" s="24"/>
    </row>
    <row r="106" spans="1:65" ht="14.25" customHeight="1">
      <c r="A106" s="15">
        <f t="shared" si="42"/>
        <v>49</v>
      </c>
      <c r="B106" s="19" t="s">
        <v>113</v>
      </c>
      <c r="C106" s="179" t="s">
        <v>34</v>
      </c>
      <c r="D106" s="130">
        <v>9.6539999999999999</v>
      </c>
      <c r="E106" s="130">
        <f>D106*4</f>
        <v>38.616</v>
      </c>
      <c r="F106" s="130">
        <f>E106*8</f>
        <v>308.928</v>
      </c>
      <c r="G106" s="130"/>
      <c r="H106" s="180"/>
      <c r="I106" s="19"/>
      <c r="J106" s="19"/>
      <c r="K106" s="181"/>
      <c r="L106" s="173">
        <v>4.8070000000000004</v>
      </c>
      <c r="M106" s="15">
        <v>4.016</v>
      </c>
      <c r="N106" s="15">
        <v>7.0000000000000001E-3</v>
      </c>
      <c r="O106" s="15">
        <v>0.43099999999999999</v>
      </c>
      <c r="P106" s="175">
        <f t="shared" si="34"/>
        <v>9.2609999999999992</v>
      </c>
      <c r="Q106" s="173">
        <v>0.55700000000000005</v>
      </c>
      <c r="R106" s="15">
        <v>0.01</v>
      </c>
      <c r="S106" s="175">
        <f t="shared" si="35"/>
        <v>0.56700000000000006</v>
      </c>
      <c r="T106" s="176" t="s">
        <v>112</v>
      </c>
      <c r="U106" s="176" t="s">
        <v>536</v>
      </c>
      <c r="V106" s="15"/>
      <c r="W106" s="15"/>
      <c r="X106" s="15">
        <v>268.58</v>
      </c>
      <c r="Y106" s="15">
        <v>3.33</v>
      </c>
      <c r="Z106" s="15">
        <v>26.1</v>
      </c>
      <c r="AA106" s="15">
        <f t="shared" si="36"/>
        <v>29.43</v>
      </c>
      <c r="AB106" s="15">
        <v>225.15120000000002</v>
      </c>
      <c r="AC106" s="15">
        <v>11257.560000000001</v>
      </c>
      <c r="AD106" s="15">
        <v>77.930000000000007</v>
      </c>
      <c r="AE106" s="15"/>
      <c r="AF106" s="15">
        <v>1484.97</v>
      </c>
      <c r="AG106" s="15">
        <v>96.72</v>
      </c>
      <c r="AH106" s="15">
        <v>151.11000000000001</v>
      </c>
      <c r="AI106" s="15"/>
      <c r="AJ106" s="15">
        <v>1810.73</v>
      </c>
      <c r="AK106" s="15">
        <v>1.81073</v>
      </c>
      <c r="AL106" s="177"/>
      <c r="AM106" s="137" t="s">
        <v>20</v>
      </c>
      <c r="AN106" s="131" t="str">
        <f>AO106</f>
        <v>D</v>
      </c>
      <c r="AO106" s="131" t="s">
        <v>21</v>
      </c>
      <c r="AP106" s="349">
        <v>45652</v>
      </c>
      <c r="AQ106" s="349">
        <f>AR106-4</f>
        <v>45655</v>
      </c>
      <c r="AR106" s="349">
        <f>AS106-2</f>
        <v>45659</v>
      </c>
      <c r="AS106" s="530">
        <v>45661</v>
      </c>
      <c r="AT106" s="25" t="s">
        <v>561</v>
      </c>
      <c r="AU106" s="178"/>
      <c r="AV106" s="137" t="s">
        <v>20</v>
      </c>
      <c r="AW106" s="15" t="s">
        <v>544</v>
      </c>
      <c r="AX106" s="278">
        <v>45660</v>
      </c>
      <c r="AY106" s="278">
        <f>AX106</f>
        <v>45660</v>
      </c>
      <c r="AZ106" s="24" t="s">
        <v>561</v>
      </c>
      <c r="BA106" s="178"/>
      <c r="BB106" s="137" t="s">
        <v>20</v>
      </c>
      <c r="BC106" s="131"/>
      <c r="BD106" s="131" t="s">
        <v>25</v>
      </c>
      <c r="BE106" s="279">
        <f>BF106-2</f>
        <v>45775</v>
      </c>
      <c r="BF106" s="279">
        <v>45777</v>
      </c>
      <c r="BG106" s="17" t="s">
        <v>548</v>
      </c>
      <c r="BH106" s="177"/>
      <c r="BI106" s="137" t="s">
        <v>20</v>
      </c>
      <c r="BJ106" s="131">
        <v>45886</v>
      </c>
      <c r="BK106" s="131">
        <f>BJ106</f>
        <v>45886</v>
      </c>
      <c r="BL106" s="25">
        <v>1202</v>
      </c>
      <c r="BM106" s="185" t="s">
        <v>541</v>
      </c>
    </row>
    <row r="107" spans="1:65" ht="14.25" customHeight="1">
      <c r="A107" s="15" t="s">
        <v>0</v>
      </c>
      <c r="B107" s="19"/>
      <c r="C107" s="179"/>
      <c r="D107" s="130"/>
      <c r="E107" s="130"/>
      <c r="F107" s="130"/>
      <c r="G107" s="130"/>
      <c r="H107" s="180"/>
      <c r="I107" s="19"/>
      <c r="J107" s="19"/>
      <c r="K107" s="181"/>
      <c r="L107" s="173"/>
      <c r="M107" s="15"/>
      <c r="N107" s="15"/>
      <c r="O107" s="15"/>
      <c r="P107" s="175"/>
      <c r="Q107" s="173"/>
      <c r="R107" s="15"/>
      <c r="S107" s="175"/>
      <c r="T107" s="176"/>
      <c r="U107" s="176"/>
      <c r="V107" s="16">
        <v>336.5</v>
      </c>
      <c r="W107" s="15" t="s">
        <v>542</v>
      </c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77"/>
      <c r="AM107" s="15"/>
      <c r="AN107" s="24"/>
      <c r="AO107" s="24"/>
      <c r="AP107" s="24"/>
      <c r="AQ107" s="24"/>
      <c r="AR107" s="24"/>
      <c r="AS107" s="25"/>
      <c r="AT107" s="25"/>
      <c r="AU107" s="178"/>
      <c r="AV107" s="24"/>
      <c r="AW107" s="24"/>
      <c r="AX107" s="278"/>
      <c r="AY107" s="278"/>
      <c r="AZ107" s="24"/>
      <c r="BA107" s="178"/>
      <c r="BB107" s="24"/>
      <c r="BC107" s="24"/>
      <c r="BD107" s="24"/>
      <c r="BE107" s="24"/>
      <c r="BF107" s="24"/>
      <c r="BG107" s="24"/>
      <c r="BH107" s="178"/>
      <c r="BI107" s="24"/>
      <c r="BJ107" s="24"/>
      <c r="BK107" s="24"/>
      <c r="BL107" s="24"/>
      <c r="BM107" s="24"/>
    </row>
    <row r="108" spans="1:65" ht="14.25" customHeight="1">
      <c r="A108" s="15">
        <f t="shared" si="42"/>
        <v>50</v>
      </c>
      <c r="B108" s="19" t="s">
        <v>115</v>
      </c>
      <c r="C108" s="179" t="s">
        <v>116</v>
      </c>
      <c r="D108" s="130">
        <v>10.462</v>
      </c>
      <c r="E108" s="130">
        <f>D108*4</f>
        <v>41.847999999999999</v>
      </c>
      <c r="F108" s="130">
        <f>E108*8</f>
        <v>334.78399999999999</v>
      </c>
      <c r="G108" s="130"/>
      <c r="H108" s="180"/>
      <c r="I108" s="19"/>
      <c r="J108" s="19"/>
      <c r="K108" s="181"/>
      <c r="L108" s="173">
        <v>5.2010000000000005</v>
      </c>
      <c r="M108" s="15">
        <v>4.1459999999999999</v>
      </c>
      <c r="N108" s="15">
        <v>6.7000000000000002E-3</v>
      </c>
      <c r="O108" s="15">
        <v>0.503</v>
      </c>
      <c r="P108" s="175">
        <f t="shared" si="34"/>
        <v>9.8567000000000018</v>
      </c>
      <c r="Q108" s="173">
        <v>0.436</v>
      </c>
      <c r="R108" s="15">
        <v>0.01</v>
      </c>
      <c r="S108" s="175">
        <f t="shared" si="35"/>
        <v>0.44600000000000001</v>
      </c>
      <c r="T108" s="176" t="s">
        <v>114</v>
      </c>
      <c r="U108" s="176" t="s">
        <v>536</v>
      </c>
      <c r="V108" s="15"/>
      <c r="W108" s="15"/>
      <c r="X108" s="15">
        <v>229.64</v>
      </c>
      <c r="Y108" s="15">
        <v>2.81</v>
      </c>
      <c r="Z108" s="15">
        <v>21.11</v>
      </c>
      <c r="AA108" s="15">
        <f t="shared" si="36"/>
        <v>23.919999999999998</v>
      </c>
      <c r="AB108" s="15">
        <v>182.62300000000002</v>
      </c>
      <c r="AC108" s="15">
        <v>9131.1500000000015</v>
      </c>
      <c r="AD108" s="15">
        <v>70.930000000000007</v>
      </c>
      <c r="AE108" s="15">
        <v>1040.06</v>
      </c>
      <c r="AF108" s="15"/>
      <c r="AG108" s="15">
        <v>98.08</v>
      </c>
      <c r="AH108" s="15">
        <v>153.24</v>
      </c>
      <c r="AI108" s="15"/>
      <c r="AJ108" s="15">
        <v>1362.31</v>
      </c>
      <c r="AK108" s="15">
        <v>1.3623099999999999</v>
      </c>
      <c r="AL108" s="177"/>
      <c r="AM108" s="137" t="s">
        <v>20</v>
      </c>
      <c r="AN108" s="131" t="str">
        <f>AO108</f>
        <v>D</v>
      </c>
      <c r="AO108" s="131" t="s">
        <v>21</v>
      </c>
      <c r="AP108" s="349">
        <f t="shared" ref="AP108:AQ108" si="47">AQ108-1</f>
        <v>45633</v>
      </c>
      <c r="AQ108" s="349">
        <f t="shared" si="47"/>
        <v>45634</v>
      </c>
      <c r="AR108" s="349">
        <f>AS108-2</f>
        <v>45635</v>
      </c>
      <c r="AS108" s="530">
        <v>45637</v>
      </c>
      <c r="AT108" s="25" t="s">
        <v>561</v>
      </c>
      <c r="AU108" s="178"/>
      <c r="AV108" s="137" t="s">
        <v>20</v>
      </c>
      <c r="AW108" s="15" t="s">
        <v>544</v>
      </c>
      <c r="AX108" s="278">
        <v>45647</v>
      </c>
      <c r="AY108" s="278">
        <v>45647</v>
      </c>
      <c r="AZ108" s="24" t="s">
        <v>561</v>
      </c>
      <c r="BA108" s="178"/>
      <c r="BB108" s="137" t="s">
        <v>20</v>
      </c>
      <c r="BC108" s="131"/>
      <c r="BD108" s="131" t="s">
        <v>21</v>
      </c>
      <c r="BE108" s="279">
        <f>BF108-2</f>
        <v>45767</v>
      </c>
      <c r="BF108" s="279">
        <v>45769</v>
      </c>
      <c r="BG108" s="17" t="s">
        <v>548</v>
      </c>
      <c r="BH108" s="177"/>
      <c r="BI108" s="137" t="s">
        <v>20</v>
      </c>
      <c r="BJ108" s="131"/>
      <c r="BK108" s="131"/>
      <c r="BL108" s="25">
        <v>1657</v>
      </c>
      <c r="BM108" s="24"/>
    </row>
    <row r="109" spans="1:65" ht="14.25" customHeight="1">
      <c r="A109" s="15" t="s">
        <v>0</v>
      </c>
      <c r="B109" s="19"/>
      <c r="C109" s="179"/>
      <c r="D109" s="130"/>
      <c r="E109" s="130"/>
      <c r="F109" s="130"/>
      <c r="G109" s="130"/>
      <c r="H109" s="180"/>
      <c r="I109" s="19"/>
      <c r="J109" s="19"/>
      <c r="K109" s="181"/>
      <c r="L109" s="173"/>
      <c r="M109" s="15"/>
      <c r="N109" s="15"/>
      <c r="O109" s="15"/>
      <c r="P109" s="175"/>
      <c r="Q109" s="173"/>
      <c r="R109" s="15"/>
      <c r="S109" s="175"/>
      <c r="T109" s="176"/>
      <c r="U109" s="176"/>
      <c r="V109" s="16">
        <v>365</v>
      </c>
      <c r="W109" s="15" t="s">
        <v>503</v>
      </c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77"/>
      <c r="AM109" s="15"/>
      <c r="AN109" s="24"/>
      <c r="AO109" s="24"/>
      <c r="AP109" s="24"/>
      <c r="AQ109" s="24"/>
      <c r="AR109" s="24"/>
      <c r="AS109" s="25"/>
      <c r="AT109" s="25"/>
      <c r="AU109" s="178"/>
      <c r="AV109" s="24"/>
      <c r="AW109" s="24"/>
      <c r="AX109" s="278"/>
      <c r="AY109" s="278"/>
      <c r="AZ109" s="24"/>
      <c r="BA109" s="178"/>
      <c r="BB109" s="24"/>
      <c r="BC109" s="24"/>
      <c r="BD109" s="24"/>
      <c r="BE109" s="24"/>
      <c r="BF109" s="24"/>
      <c r="BG109" s="24"/>
      <c r="BH109" s="178"/>
      <c r="BI109" s="24"/>
      <c r="BJ109" s="24"/>
      <c r="BK109" s="24"/>
      <c r="BL109" s="24"/>
      <c r="BM109" s="24"/>
    </row>
    <row r="110" spans="1:65" ht="14.25" customHeight="1">
      <c r="A110" s="15">
        <f t="shared" si="42"/>
        <v>51</v>
      </c>
      <c r="B110" s="19" t="s">
        <v>117</v>
      </c>
      <c r="C110" s="179" t="s">
        <v>42</v>
      </c>
      <c r="D110" s="130">
        <v>6.3620000000000001</v>
      </c>
      <c r="E110" s="130">
        <f>D110*4</f>
        <v>25.448</v>
      </c>
      <c r="F110" s="130">
        <f>E110*8</f>
        <v>203.584</v>
      </c>
      <c r="G110" s="130"/>
      <c r="H110" s="180"/>
      <c r="I110" s="19"/>
      <c r="J110" s="19"/>
      <c r="K110" s="181"/>
      <c r="L110" s="173">
        <v>2.25</v>
      </c>
      <c r="M110" s="15">
        <v>2.1880000000000002</v>
      </c>
      <c r="N110" s="15">
        <v>2E-3</v>
      </c>
      <c r="O110" s="15">
        <v>0.183</v>
      </c>
      <c r="P110" s="175">
        <f t="shared" si="34"/>
        <v>4.6230000000000002</v>
      </c>
      <c r="Q110" s="173">
        <v>0.24399999999999999</v>
      </c>
      <c r="R110" s="15">
        <v>5.0000000000000001E-3</v>
      </c>
      <c r="S110" s="175">
        <f t="shared" si="35"/>
        <v>0.249</v>
      </c>
      <c r="T110" s="176" t="s">
        <v>31</v>
      </c>
      <c r="U110" s="176" t="s">
        <v>536</v>
      </c>
      <c r="V110" s="15"/>
      <c r="W110" s="15"/>
      <c r="X110" s="16">
        <v>147.88</v>
      </c>
      <c r="Y110" s="16">
        <v>1.74</v>
      </c>
      <c r="Z110" s="16">
        <v>12.26</v>
      </c>
      <c r="AA110" s="16">
        <f t="shared" si="36"/>
        <v>14</v>
      </c>
      <c r="AB110" s="23">
        <f>+Y110*4.44+Z110*8.06</f>
        <v>106.5412</v>
      </c>
      <c r="AC110" s="16">
        <f>+AB110*50</f>
        <v>5327.06</v>
      </c>
      <c r="AD110" s="16">
        <v>63.93</v>
      </c>
      <c r="AE110" s="16">
        <v>558.32000000000005</v>
      </c>
      <c r="AF110" s="16"/>
      <c r="AG110" s="16">
        <v>100.6</v>
      </c>
      <c r="AH110" s="16">
        <v>157.18</v>
      </c>
      <c r="AI110" s="16"/>
      <c r="AJ110" s="16">
        <f>SUM(AD110:AI110)</f>
        <v>880.03</v>
      </c>
      <c r="AK110" s="15">
        <f>+AJ110/1000</f>
        <v>0.88002999999999998</v>
      </c>
      <c r="AL110" s="177"/>
      <c r="AM110" s="137" t="s">
        <v>20</v>
      </c>
      <c r="AN110" s="131" t="str">
        <f>AO110</f>
        <v>D</v>
      </c>
      <c r="AO110" s="131" t="s">
        <v>21</v>
      </c>
      <c r="AP110" s="349">
        <v>45631</v>
      </c>
      <c r="AQ110" s="349">
        <v>45643</v>
      </c>
      <c r="AR110" s="349">
        <v>45644</v>
      </c>
      <c r="AS110" s="530">
        <v>45645</v>
      </c>
      <c r="AT110" s="25" t="s">
        <v>561</v>
      </c>
      <c r="AU110" s="178"/>
      <c r="AV110" s="137" t="s">
        <v>20</v>
      </c>
      <c r="AW110" s="15" t="s">
        <v>544</v>
      </c>
      <c r="AX110" s="278">
        <v>45647</v>
      </c>
      <c r="AY110" s="278">
        <v>45647</v>
      </c>
      <c r="AZ110" s="24" t="s">
        <v>561</v>
      </c>
      <c r="BA110" s="178"/>
      <c r="BB110" s="137" t="s">
        <v>20</v>
      </c>
      <c r="BC110" s="131"/>
      <c r="BD110" s="131" t="s">
        <v>21</v>
      </c>
      <c r="BE110" s="279">
        <f>BF110-1</f>
        <v>45749</v>
      </c>
      <c r="BF110" s="279">
        <v>45750</v>
      </c>
      <c r="BG110" s="17" t="s">
        <v>548</v>
      </c>
      <c r="BH110" s="188"/>
      <c r="BI110" s="137" t="s">
        <v>20</v>
      </c>
      <c r="BJ110" s="131">
        <v>45886</v>
      </c>
      <c r="BK110" s="131">
        <f>BJ110</f>
        <v>45886</v>
      </c>
      <c r="BL110" s="25">
        <v>980</v>
      </c>
      <c r="BM110" s="185" t="s">
        <v>541</v>
      </c>
    </row>
    <row r="111" spans="1:65" ht="14.25" customHeight="1">
      <c r="A111" s="15" t="s">
        <v>0</v>
      </c>
      <c r="B111" s="19"/>
      <c r="C111" s="179"/>
      <c r="D111" s="130"/>
      <c r="E111" s="130"/>
      <c r="F111" s="130"/>
      <c r="G111" s="130"/>
      <c r="H111" s="180"/>
      <c r="I111" s="19"/>
      <c r="J111" s="19"/>
      <c r="K111" s="181"/>
      <c r="L111" s="173"/>
      <c r="M111" s="15"/>
      <c r="N111" s="15"/>
      <c r="O111" s="15"/>
      <c r="P111" s="175"/>
      <c r="Q111" s="173"/>
      <c r="R111" s="15"/>
      <c r="S111" s="175"/>
      <c r="T111" s="176"/>
      <c r="U111" s="176"/>
      <c r="V111" s="16">
        <v>280</v>
      </c>
      <c r="W111" s="15" t="s">
        <v>566</v>
      </c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77"/>
      <c r="AM111" s="15"/>
      <c r="AN111" s="24"/>
      <c r="AO111" s="24"/>
      <c r="AP111" s="24"/>
      <c r="AQ111" s="24"/>
      <c r="AR111" s="24"/>
      <c r="AS111" s="25"/>
      <c r="AT111" s="25"/>
      <c r="AU111" s="178"/>
      <c r="AV111" s="24"/>
      <c r="AW111" s="24"/>
      <c r="AX111" s="278"/>
      <c r="AY111" s="278"/>
      <c r="AZ111" s="24"/>
      <c r="BA111" s="178"/>
      <c r="BB111" s="24"/>
      <c r="BC111" s="24"/>
      <c r="BD111" s="24"/>
      <c r="BE111" s="24"/>
      <c r="BF111" s="24"/>
      <c r="BG111" s="24"/>
      <c r="BH111" s="178"/>
      <c r="BI111" s="24"/>
      <c r="BJ111" s="24"/>
      <c r="BK111" s="24"/>
      <c r="BL111" s="24"/>
      <c r="BM111" s="24"/>
    </row>
    <row r="112" spans="1:65" ht="14.25" customHeight="1">
      <c r="A112" s="15">
        <f t="shared" si="42"/>
        <v>52</v>
      </c>
      <c r="B112" s="19" t="s">
        <v>118</v>
      </c>
      <c r="C112" s="179" t="s">
        <v>42</v>
      </c>
      <c r="D112" s="130">
        <v>6.3620000000000001</v>
      </c>
      <c r="E112" s="130">
        <f>D112*4</f>
        <v>25.448</v>
      </c>
      <c r="F112" s="130">
        <f>E112*8</f>
        <v>203.584</v>
      </c>
      <c r="G112" s="130"/>
      <c r="H112" s="180"/>
      <c r="I112" s="19"/>
      <c r="J112" s="19"/>
      <c r="K112" s="181"/>
      <c r="L112" s="173">
        <v>2.25</v>
      </c>
      <c r="M112" s="15">
        <v>2.1880000000000002</v>
      </c>
      <c r="N112" s="15">
        <v>2E-3</v>
      </c>
      <c r="O112" s="15">
        <v>0.183</v>
      </c>
      <c r="P112" s="175">
        <f t="shared" si="34"/>
        <v>4.6230000000000002</v>
      </c>
      <c r="Q112" s="173">
        <v>0.24399999999999999</v>
      </c>
      <c r="R112" s="15">
        <v>5.0000000000000001E-3</v>
      </c>
      <c r="S112" s="175">
        <f t="shared" si="35"/>
        <v>0.249</v>
      </c>
      <c r="T112" s="176" t="s">
        <v>31</v>
      </c>
      <c r="U112" s="176" t="s">
        <v>536</v>
      </c>
      <c r="V112" s="15"/>
      <c r="W112" s="15"/>
      <c r="X112" s="16">
        <v>147.88</v>
      </c>
      <c r="Y112" s="16">
        <v>1.74</v>
      </c>
      <c r="Z112" s="16">
        <v>12.26</v>
      </c>
      <c r="AA112" s="16">
        <f t="shared" si="36"/>
        <v>14</v>
      </c>
      <c r="AB112" s="23">
        <f>+Y112*4.44+Z112*8.06</f>
        <v>106.5412</v>
      </c>
      <c r="AC112" s="16">
        <f>+AB112*50</f>
        <v>5327.06</v>
      </c>
      <c r="AD112" s="16">
        <v>63.93</v>
      </c>
      <c r="AE112" s="16">
        <v>558.32000000000005</v>
      </c>
      <c r="AF112" s="16"/>
      <c r="AG112" s="16">
        <v>100.6</v>
      </c>
      <c r="AH112" s="16">
        <v>157.18</v>
      </c>
      <c r="AI112" s="16"/>
      <c r="AJ112" s="16">
        <f>SUM(AD112:AI112)</f>
        <v>880.03</v>
      </c>
      <c r="AK112" s="15">
        <f>+AJ112/1000</f>
        <v>0.88002999999999998</v>
      </c>
      <c r="AL112" s="177"/>
      <c r="AM112" s="137" t="s">
        <v>20</v>
      </c>
      <c r="AN112" s="131" t="str">
        <f>AO112</f>
        <v>D</v>
      </c>
      <c r="AO112" s="131" t="s">
        <v>21</v>
      </c>
      <c r="AP112" s="349">
        <f>AQ112-5</f>
        <v>45643</v>
      </c>
      <c r="AQ112" s="349">
        <f>AR112-3</f>
        <v>45648</v>
      </c>
      <c r="AR112" s="349">
        <f>AS112-2</f>
        <v>45651</v>
      </c>
      <c r="AS112" s="530">
        <v>45653</v>
      </c>
      <c r="AT112" s="25" t="s">
        <v>561</v>
      </c>
      <c r="AU112" s="178"/>
      <c r="AV112" s="137" t="s">
        <v>20</v>
      </c>
      <c r="AW112" s="15" t="s">
        <v>544</v>
      </c>
      <c r="AX112" s="278">
        <v>45660</v>
      </c>
      <c r="AY112" s="278">
        <f>AX112</f>
        <v>45660</v>
      </c>
      <c r="AZ112" s="24" t="s">
        <v>561</v>
      </c>
      <c r="BA112" s="178"/>
      <c r="BB112" s="137" t="s">
        <v>20</v>
      </c>
      <c r="BC112" s="131"/>
      <c r="BD112" s="131" t="s">
        <v>21</v>
      </c>
      <c r="BE112" s="279">
        <f>BF112-1</f>
        <v>45750</v>
      </c>
      <c r="BF112" s="279">
        <v>45751</v>
      </c>
      <c r="BG112" s="17" t="s">
        <v>548</v>
      </c>
      <c r="BH112" s="177"/>
      <c r="BI112" s="137" t="s">
        <v>20</v>
      </c>
      <c r="BJ112" s="131">
        <v>45887</v>
      </c>
      <c r="BK112" s="131">
        <f>BJ112</f>
        <v>45887</v>
      </c>
      <c r="BL112" s="25">
        <v>980</v>
      </c>
      <c r="BM112" s="185" t="s">
        <v>541</v>
      </c>
    </row>
    <row r="113" spans="1:66" ht="14.25" customHeight="1">
      <c r="A113" s="15" t="s">
        <v>0</v>
      </c>
      <c r="B113" s="19"/>
      <c r="C113" s="179"/>
      <c r="D113" s="130"/>
      <c r="E113" s="130"/>
      <c r="F113" s="130"/>
      <c r="G113" s="130"/>
      <c r="H113" s="180"/>
      <c r="I113" s="19"/>
      <c r="J113" s="19"/>
      <c r="K113" s="181"/>
      <c r="L113" s="173"/>
      <c r="M113" s="15"/>
      <c r="N113" s="15"/>
      <c r="O113" s="15"/>
      <c r="P113" s="175"/>
      <c r="Q113" s="173"/>
      <c r="R113" s="15"/>
      <c r="S113" s="175"/>
      <c r="T113" s="176"/>
      <c r="U113" s="176"/>
      <c r="V113" s="16">
        <v>255.14</v>
      </c>
      <c r="W113" s="15" t="s">
        <v>566</v>
      </c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77"/>
      <c r="AM113" s="15"/>
      <c r="AN113" s="24"/>
      <c r="AO113" s="24"/>
      <c r="AP113" s="24"/>
      <c r="AQ113" s="24"/>
      <c r="AR113" s="24"/>
      <c r="AS113" s="25"/>
      <c r="AT113" s="25"/>
      <c r="AU113" s="178"/>
      <c r="AV113" s="24"/>
      <c r="AW113" s="24"/>
      <c r="AX113" s="278"/>
      <c r="AY113" s="278"/>
      <c r="AZ113" s="24"/>
      <c r="BA113" s="178"/>
      <c r="BB113" s="24"/>
      <c r="BC113" s="24"/>
      <c r="BD113" s="24"/>
      <c r="BE113" s="24"/>
      <c r="BF113" s="24"/>
      <c r="BG113" s="24"/>
      <c r="BH113" s="178"/>
      <c r="BI113" s="24"/>
      <c r="BJ113" s="24"/>
      <c r="BK113" s="24"/>
      <c r="BL113" s="24"/>
      <c r="BM113" s="24"/>
      <c r="BN113" s="24"/>
    </row>
    <row r="114" spans="1:66" ht="14.25" customHeight="1">
      <c r="A114" s="15">
        <f t="shared" si="42"/>
        <v>53</v>
      </c>
      <c r="B114" s="19" t="s">
        <v>120</v>
      </c>
      <c r="C114" s="179" t="s">
        <v>34</v>
      </c>
      <c r="D114" s="130">
        <v>9.6539999999999999</v>
      </c>
      <c r="E114" s="130">
        <f>D114*4</f>
        <v>38.616</v>
      </c>
      <c r="F114" s="130">
        <f>E114*8</f>
        <v>308.928</v>
      </c>
      <c r="G114" s="130"/>
      <c r="H114" s="180"/>
      <c r="I114" s="19"/>
      <c r="J114" s="19"/>
      <c r="K114" s="181"/>
      <c r="L114" s="173">
        <v>4.8070000000000004</v>
      </c>
      <c r="M114" s="15">
        <v>4.016</v>
      </c>
      <c r="N114" s="15">
        <v>7.0000000000000001E-3</v>
      </c>
      <c r="O114" s="15">
        <v>0.43099999999999999</v>
      </c>
      <c r="P114" s="175">
        <f t="shared" si="34"/>
        <v>9.2609999999999992</v>
      </c>
      <c r="Q114" s="173">
        <v>0.55700000000000005</v>
      </c>
      <c r="R114" s="15">
        <v>0.01</v>
      </c>
      <c r="S114" s="175">
        <f t="shared" si="35"/>
        <v>0.56700000000000006</v>
      </c>
      <c r="T114" s="176" t="s">
        <v>119</v>
      </c>
      <c r="U114" s="176" t="s">
        <v>536</v>
      </c>
      <c r="V114" s="15"/>
      <c r="W114" s="15"/>
      <c r="X114" s="15">
        <v>119.36</v>
      </c>
      <c r="Y114" s="15">
        <v>4.05</v>
      </c>
      <c r="Z114" s="15">
        <v>30.54</v>
      </c>
      <c r="AA114" s="15">
        <f t="shared" si="36"/>
        <v>34.589999999999996</v>
      </c>
      <c r="AB114" s="15">
        <v>157.16420000000002</v>
      </c>
      <c r="AC114" s="15">
        <v>7858.2100000000009</v>
      </c>
      <c r="AD114" s="15">
        <v>89.9</v>
      </c>
      <c r="AE114" s="15"/>
      <c r="AF114" s="15">
        <v>1115.3400000000001</v>
      </c>
      <c r="AG114" s="15">
        <v>198.68</v>
      </c>
      <c r="AH114" s="15"/>
      <c r="AI114" s="15"/>
      <c r="AJ114" s="15">
        <v>1403.9200000000003</v>
      </c>
      <c r="AK114" s="15">
        <v>1.4039200000000003</v>
      </c>
      <c r="AL114" s="177"/>
      <c r="AM114" s="137" t="s">
        <v>20</v>
      </c>
      <c r="AN114" s="131" t="s">
        <v>547</v>
      </c>
      <c r="AO114" s="131" t="s">
        <v>21</v>
      </c>
      <c r="AP114" s="349">
        <f>AQ114-3</f>
        <v>45782</v>
      </c>
      <c r="AQ114" s="349">
        <f t="shared" ref="AQ114:AR114" si="48">AR114-2</f>
        <v>45785</v>
      </c>
      <c r="AR114" s="349">
        <f t="shared" si="48"/>
        <v>45787</v>
      </c>
      <c r="AS114" s="530">
        <v>45789</v>
      </c>
      <c r="AT114" s="25" t="s">
        <v>538</v>
      </c>
      <c r="AU114" s="178"/>
      <c r="AV114" s="137" t="s">
        <v>20</v>
      </c>
      <c r="AW114" s="15" t="s">
        <v>6</v>
      </c>
      <c r="AX114" s="278">
        <f>AY114</f>
        <v>45797</v>
      </c>
      <c r="AY114" s="278">
        <v>45797</v>
      </c>
      <c r="AZ114" s="24" t="str">
        <f>AT114</f>
        <v>Ram Singh</v>
      </c>
      <c r="BA114" s="178"/>
      <c r="BB114" s="137" t="s">
        <v>20</v>
      </c>
      <c r="BC114" s="131"/>
      <c r="BD114" s="131" t="s">
        <v>21</v>
      </c>
      <c r="BE114" s="279">
        <f>BF114-2</f>
        <v>45812</v>
      </c>
      <c r="BF114" s="279">
        <v>45814</v>
      </c>
      <c r="BG114" s="17" t="s">
        <v>548</v>
      </c>
      <c r="BH114" s="177"/>
      <c r="BI114" s="137" t="s">
        <v>20</v>
      </c>
      <c r="BJ114" s="131"/>
      <c r="BK114" s="131"/>
      <c r="BL114" s="25">
        <v>1202</v>
      </c>
      <c r="BM114" s="24"/>
      <c r="BN114" s="17"/>
    </row>
    <row r="115" spans="1:66" ht="14.25" customHeight="1">
      <c r="A115" s="15" t="s">
        <v>0</v>
      </c>
      <c r="B115" s="19"/>
      <c r="C115" s="179"/>
      <c r="D115" s="130"/>
      <c r="E115" s="130"/>
      <c r="F115" s="130"/>
      <c r="G115" s="130"/>
      <c r="H115" s="180"/>
      <c r="I115" s="19"/>
      <c r="J115" s="19"/>
      <c r="K115" s="181"/>
      <c r="L115" s="173"/>
      <c r="M115" s="15"/>
      <c r="N115" s="15"/>
      <c r="O115" s="15"/>
      <c r="P115" s="175"/>
      <c r="Q115" s="173"/>
      <c r="R115" s="15"/>
      <c r="S115" s="175"/>
      <c r="T115" s="176"/>
      <c r="U115" s="176"/>
      <c r="V115" s="16">
        <v>318.76</v>
      </c>
      <c r="W115" s="15" t="s">
        <v>503</v>
      </c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77"/>
      <c r="AM115" s="15"/>
      <c r="AN115" s="24"/>
      <c r="AO115" s="24"/>
      <c r="AP115" s="24"/>
      <c r="AQ115" s="24"/>
      <c r="AR115" s="24"/>
      <c r="AS115" s="25"/>
      <c r="AT115" s="25"/>
      <c r="AU115" s="178"/>
      <c r="AV115" s="24"/>
      <c r="AW115" s="24"/>
      <c r="AX115" s="278"/>
      <c r="AY115" s="278"/>
      <c r="AZ115" s="24"/>
      <c r="BA115" s="178"/>
      <c r="BB115" s="24"/>
      <c r="BC115" s="24"/>
      <c r="BD115" s="24"/>
      <c r="BE115" s="24"/>
      <c r="BF115" s="24"/>
      <c r="BG115" s="24"/>
      <c r="BH115" s="178"/>
      <c r="BI115" s="24"/>
      <c r="BJ115" s="24"/>
      <c r="BK115" s="24"/>
      <c r="BL115" s="24"/>
      <c r="BM115" s="24"/>
      <c r="BN115" s="24"/>
    </row>
    <row r="116" spans="1:66" ht="14.1" customHeight="1">
      <c r="A116" s="15">
        <f t="shared" si="42"/>
        <v>54</v>
      </c>
      <c r="B116" s="19" t="s">
        <v>122</v>
      </c>
      <c r="C116" s="179" t="s">
        <v>34</v>
      </c>
      <c r="D116" s="130">
        <v>9.6539999999999999</v>
      </c>
      <c r="E116" s="130">
        <f>D116*4</f>
        <v>38.616</v>
      </c>
      <c r="F116" s="130">
        <f>E116*8</f>
        <v>308.928</v>
      </c>
      <c r="G116" s="130"/>
      <c r="H116" s="180"/>
      <c r="I116" s="19"/>
      <c r="J116" s="19"/>
      <c r="K116" s="181"/>
      <c r="L116" s="173">
        <v>4.8070000000000004</v>
      </c>
      <c r="M116" s="15">
        <v>4.016</v>
      </c>
      <c r="N116" s="15">
        <v>7.0000000000000001E-3</v>
      </c>
      <c r="O116" s="15">
        <v>0.43099999999999999</v>
      </c>
      <c r="P116" s="175">
        <f t="shared" si="34"/>
        <v>9.2609999999999992</v>
      </c>
      <c r="Q116" s="173">
        <v>0.55700000000000005</v>
      </c>
      <c r="R116" s="15">
        <v>0.01</v>
      </c>
      <c r="S116" s="175">
        <f t="shared" si="35"/>
        <v>0.56700000000000006</v>
      </c>
      <c r="T116" s="176" t="s">
        <v>121</v>
      </c>
      <c r="U116" s="176" t="s">
        <v>536</v>
      </c>
      <c r="V116" s="15"/>
      <c r="W116" s="15"/>
      <c r="X116" s="15">
        <v>220.64</v>
      </c>
      <c r="Y116" s="15">
        <v>3.61</v>
      </c>
      <c r="Z116" s="15">
        <v>27.92</v>
      </c>
      <c r="AA116" s="15">
        <f t="shared" si="36"/>
        <v>31.53</v>
      </c>
      <c r="AB116" s="15">
        <v>241.06360000000004</v>
      </c>
      <c r="AC116" s="15">
        <v>12053.180000000002</v>
      </c>
      <c r="AD116" s="15">
        <v>77.930000000000007</v>
      </c>
      <c r="AE116" s="15"/>
      <c r="AF116" s="15">
        <v>1601.75</v>
      </c>
      <c r="AG116" s="15">
        <v>96.72</v>
      </c>
      <c r="AH116" s="15">
        <v>151.11000000000001</v>
      </c>
      <c r="AI116" s="15"/>
      <c r="AJ116" s="15">
        <v>1927.5100000000002</v>
      </c>
      <c r="AK116" s="15">
        <v>1.9275100000000003</v>
      </c>
      <c r="AL116" s="177"/>
      <c r="AM116" s="137" t="s">
        <v>20</v>
      </c>
      <c r="AN116" s="131" t="str">
        <f>AO116</f>
        <v>D</v>
      </c>
      <c r="AO116" s="131" t="s">
        <v>21</v>
      </c>
      <c r="AP116" s="349">
        <v>45636</v>
      </c>
      <c r="AQ116" s="349">
        <f>AR116-2</f>
        <v>45670</v>
      </c>
      <c r="AR116" s="349">
        <f>AS116-1</f>
        <v>45672</v>
      </c>
      <c r="AS116" s="530">
        <v>45673</v>
      </c>
      <c r="AT116" s="25" t="s">
        <v>561</v>
      </c>
      <c r="AU116" s="178"/>
      <c r="AV116" s="137" t="s">
        <v>20</v>
      </c>
      <c r="AW116" s="15" t="s">
        <v>6</v>
      </c>
      <c r="AX116" s="278">
        <v>45660</v>
      </c>
      <c r="AY116" s="278">
        <f>AX116</f>
        <v>45660</v>
      </c>
      <c r="AZ116" s="24" t="s">
        <v>561</v>
      </c>
      <c r="BA116" s="178"/>
      <c r="BB116" s="137" t="s">
        <v>20</v>
      </c>
      <c r="BC116" s="131"/>
      <c r="BD116" s="131" t="s">
        <v>25</v>
      </c>
      <c r="BE116" s="279">
        <f>BF116-2</f>
        <v>45762</v>
      </c>
      <c r="BF116" s="279">
        <v>45764</v>
      </c>
      <c r="BG116" s="17" t="s">
        <v>548</v>
      </c>
      <c r="BH116" s="188"/>
      <c r="BI116" s="137" t="s">
        <v>20</v>
      </c>
      <c r="BJ116" s="131"/>
      <c r="BK116" s="131"/>
      <c r="BL116" s="25">
        <v>1202</v>
      </c>
      <c r="BM116" s="24" t="s">
        <v>709</v>
      </c>
      <c r="BN116" s="24"/>
    </row>
    <row r="117" spans="1:66" ht="14.25" customHeight="1">
      <c r="A117" s="15" t="s">
        <v>0</v>
      </c>
      <c r="B117" s="19"/>
      <c r="C117" s="179"/>
      <c r="D117" s="130"/>
      <c r="E117" s="130"/>
      <c r="F117" s="130"/>
      <c r="G117" s="130"/>
      <c r="H117" s="180"/>
      <c r="I117" s="19"/>
      <c r="J117" s="19"/>
      <c r="K117" s="181"/>
      <c r="L117" s="173"/>
      <c r="M117" s="15"/>
      <c r="N117" s="15"/>
      <c r="O117" s="15"/>
      <c r="P117" s="175"/>
      <c r="Q117" s="173"/>
      <c r="R117" s="15"/>
      <c r="S117" s="175"/>
      <c r="T117" s="176"/>
      <c r="U117" s="176"/>
      <c r="V117" s="16">
        <v>403.71</v>
      </c>
      <c r="W117" s="15" t="s">
        <v>537</v>
      </c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77"/>
      <c r="AM117" s="15"/>
      <c r="AN117" s="24"/>
      <c r="AO117" s="24"/>
      <c r="AP117" s="24"/>
      <c r="AQ117" s="24"/>
      <c r="AR117" s="24"/>
      <c r="AS117" s="25"/>
      <c r="AT117" s="25"/>
      <c r="AU117" s="178"/>
      <c r="AV117" s="24"/>
      <c r="AW117" s="24"/>
      <c r="AX117" s="278"/>
      <c r="AY117" s="278"/>
      <c r="AZ117" s="24"/>
      <c r="BA117" s="178"/>
      <c r="BB117" s="24"/>
      <c r="BC117" s="24"/>
      <c r="BD117" s="24"/>
      <c r="BE117" s="24"/>
      <c r="BF117" s="24"/>
      <c r="BG117" s="24"/>
      <c r="BH117" s="178"/>
      <c r="BI117" s="24"/>
      <c r="BJ117" s="24"/>
      <c r="BK117" s="24"/>
      <c r="BL117" s="24"/>
      <c r="BM117" s="24"/>
      <c r="BN117" s="24"/>
    </row>
    <row r="118" spans="1:66" ht="14.25" customHeight="1">
      <c r="A118" s="15">
        <f t="shared" si="42"/>
        <v>55</v>
      </c>
      <c r="B118" s="19" t="s">
        <v>568</v>
      </c>
      <c r="C118" s="179" t="s">
        <v>37</v>
      </c>
      <c r="D118" s="130">
        <v>6.992</v>
      </c>
      <c r="E118" s="130">
        <f>D118*4</f>
        <v>27.968</v>
      </c>
      <c r="F118" s="130">
        <f>E118*8</f>
        <v>223.744</v>
      </c>
      <c r="G118" s="130"/>
      <c r="H118" s="180"/>
      <c r="I118" s="19"/>
      <c r="J118" s="19"/>
      <c r="K118" s="181"/>
      <c r="L118" s="173">
        <v>2.6070000000000002</v>
      </c>
      <c r="M118" s="15">
        <v>2.657</v>
      </c>
      <c r="N118" s="15">
        <v>2E-3</v>
      </c>
      <c r="O118" s="15">
        <v>0.21299999999999999</v>
      </c>
      <c r="P118" s="175">
        <f t="shared" si="34"/>
        <v>5.4790000000000001</v>
      </c>
      <c r="Q118" s="173">
        <v>0.24399999999999999</v>
      </c>
      <c r="R118" s="15">
        <v>5.0000000000000001E-3</v>
      </c>
      <c r="S118" s="175">
        <f t="shared" si="35"/>
        <v>0.249</v>
      </c>
      <c r="T118" s="176"/>
      <c r="U118" s="176" t="s">
        <v>536</v>
      </c>
      <c r="V118" s="15"/>
      <c r="W118" s="15"/>
      <c r="X118" s="15">
        <v>119.36</v>
      </c>
      <c r="Y118" s="15">
        <v>1.51</v>
      </c>
      <c r="Z118" s="15">
        <v>11.15</v>
      </c>
      <c r="AA118" s="15">
        <f t="shared" si="36"/>
        <v>12.66</v>
      </c>
      <c r="AB118" s="15">
        <v>157.16420000000002</v>
      </c>
      <c r="AC118" s="15">
        <v>7858.2100000000009</v>
      </c>
      <c r="AD118" s="15">
        <v>89.9</v>
      </c>
      <c r="AE118" s="15"/>
      <c r="AF118" s="15">
        <v>1115.3400000000001</v>
      </c>
      <c r="AG118" s="15">
        <v>198.68</v>
      </c>
      <c r="AH118" s="15"/>
      <c r="AI118" s="15"/>
      <c r="AJ118" s="15">
        <v>1403.9200000000003</v>
      </c>
      <c r="AK118" s="15">
        <v>1.4039200000000003</v>
      </c>
      <c r="AL118" s="177"/>
      <c r="AM118" s="137" t="s">
        <v>20</v>
      </c>
      <c r="AN118" s="131"/>
      <c r="AO118" s="131"/>
      <c r="AP118" s="349">
        <f>AQ120</f>
        <v>45979</v>
      </c>
      <c r="AQ118" s="349">
        <v>45984</v>
      </c>
      <c r="AR118" s="349"/>
      <c r="AS118" s="530"/>
      <c r="AT118" s="528" t="s">
        <v>567</v>
      </c>
      <c r="AU118" s="178"/>
      <c r="AV118" s="137" t="s">
        <v>20</v>
      </c>
      <c r="AW118" s="15"/>
      <c r="AX118" s="278"/>
      <c r="AY118" s="278"/>
      <c r="AZ118" s="24"/>
      <c r="BA118" s="178"/>
      <c r="BB118" s="137" t="s">
        <v>20</v>
      </c>
      <c r="BC118" s="131"/>
      <c r="BD118" s="131"/>
      <c r="BE118" s="279">
        <v>45995</v>
      </c>
      <c r="BF118" s="279">
        <v>45998</v>
      </c>
      <c r="BG118" s="17"/>
      <c r="BH118" s="189"/>
      <c r="BI118" s="137" t="s">
        <v>20</v>
      </c>
      <c r="BJ118" s="131"/>
      <c r="BK118" s="131"/>
      <c r="BL118" s="25">
        <v>2008</v>
      </c>
      <c r="BM118" s="24" t="s">
        <v>709</v>
      </c>
      <c r="BN118" s="24"/>
    </row>
    <row r="119" spans="1:66" ht="14.25" customHeight="1">
      <c r="A119" s="15" t="s">
        <v>0</v>
      </c>
      <c r="B119" s="19"/>
      <c r="C119" s="179"/>
      <c r="D119" s="130"/>
      <c r="E119" s="130"/>
      <c r="F119" s="130"/>
      <c r="G119" s="130"/>
      <c r="H119" s="180"/>
      <c r="I119" s="19"/>
      <c r="J119" s="19"/>
      <c r="K119" s="181"/>
      <c r="L119" s="173"/>
      <c r="M119" s="15"/>
      <c r="N119" s="15"/>
      <c r="O119" s="15"/>
      <c r="P119" s="175"/>
      <c r="Q119" s="173"/>
      <c r="R119" s="15"/>
      <c r="S119" s="175"/>
      <c r="T119" s="176"/>
      <c r="U119" s="176"/>
      <c r="V119" s="16"/>
      <c r="W119" s="15" t="s">
        <v>537</v>
      </c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77"/>
      <c r="AM119" s="15"/>
      <c r="AN119" s="24"/>
      <c r="AO119" s="24"/>
      <c r="AP119" s="24"/>
      <c r="AQ119" s="24"/>
      <c r="AR119" s="24"/>
      <c r="AS119" s="25"/>
      <c r="AT119" s="25"/>
      <c r="AU119" s="178"/>
      <c r="AV119" s="24"/>
      <c r="AW119" s="24"/>
      <c r="AX119" s="278"/>
      <c r="AY119" s="278"/>
      <c r="AZ119" s="24"/>
      <c r="BA119" s="178"/>
      <c r="BB119" s="24"/>
      <c r="BC119" s="24"/>
      <c r="BD119" s="24"/>
      <c r="BE119" s="24"/>
      <c r="BF119" s="24"/>
      <c r="BG119" s="24"/>
      <c r="BH119" s="178"/>
      <c r="BI119" s="24"/>
      <c r="BJ119" s="24"/>
      <c r="BK119" s="24"/>
      <c r="BL119" s="24"/>
      <c r="BM119" s="24"/>
      <c r="BN119" s="24"/>
    </row>
    <row r="120" spans="1:66" ht="14.25" customHeight="1">
      <c r="A120" s="15">
        <f t="shared" si="42"/>
        <v>56</v>
      </c>
      <c r="B120" s="19" t="s">
        <v>123</v>
      </c>
      <c r="C120" s="179" t="s">
        <v>54</v>
      </c>
      <c r="D120" s="130">
        <v>13.257999999999999</v>
      </c>
      <c r="E120" s="130">
        <f>D120*4</f>
        <v>53.031999999999996</v>
      </c>
      <c r="F120" s="130">
        <f>E120*8</f>
        <v>424.25599999999997</v>
      </c>
      <c r="G120" s="130"/>
      <c r="H120" s="180"/>
      <c r="I120" s="19"/>
      <c r="J120" s="19"/>
      <c r="K120" s="181"/>
      <c r="L120" s="173">
        <v>6.0590000000000002</v>
      </c>
      <c r="M120" s="15">
        <v>5.8739999999999997</v>
      </c>
      <c r="N120" s="15">
        <v>7.7000000000000002E-3</v>
      </c>
      <c r="O120" s="15">
        <v>0.56299999999999994</v>
      </c>
      <c r="P120" s="175">
        <f t="shared" si="34"/>
        <v>12.5037</v>
      </c>
      <c r="Q120" s="173">
        <v>0.55700000000000005</v>
      </c>
      <c r="R120" s="15">
        <v>0.01</v>
      </c>
      <c r="S120" s="175">
        <f t="shared" si="35"/>
        <v>0.56700000000000006</v>
      </c>
      <c r="T120" s="176" t="s">
        <v>31</v>
      </c>
      <c r="U120" s="176" t="s">
        <v>536</v>
      </c>
      <c r="V120" s="15"/>
      <c r="W120" s="15"/>
      <c r="X120" s="15">
        <v>41.44</v>
      </c>
      <c r="Y120" s="15">
        <v>3.61</v>
      </c>
      <c r="Z120" s="15">
        <v>27.92</v>
      </c>
      <c r="AA120" s="15">
        <f t="shared" si="36"/>
        <v>31.53</v>
      </c>
      <c r="AB120" s="15">
        <v>66.42</v>
      </c>
      <c r="AC120" s="15">
        <v>3321</v>
      </c>
      <c r="AD120" s="15">
        <v>73.73</v>
      </c>
      <c r="AE120" s="15">
        <v>301.5</v>
      </c>
      <c r="AF120" s="15"/>
      <c r="AG120" s="15">
        <v>206.46</v>
      </c>
      <c r="AH120" s="15"/>
      <c r="AI120" s="15"/>
      <c r="AJ120" s="15">
        <v>581.69000000000005</v>
      </c>
      <c r="AK120" s="15">
        <v>0.58169000000000004</v>
      </c>
      <c r="AL120" s="177"/>
      <c r="AM120" s="137" t="s">
        <v>20</v>
      </c>
      <c r="AN120" s="131"/>
      <c r="AO120" s="131"/>
      <c r="AP120" s="349">
        <f t="shared" ref="AP120:AQ120" si="49">AQ120-2</f>
        <v>45977</v>
      </c>
      <c r="AQ120" s="349">
        <f t="shared" si="49"/>
        <v>45979</v>
      </c>
      <c r="AR120" s="349">
        <f>AS120</f>
        <v>45981</v>
      </c>
      <c r="AS120" s="530">
        <v>45981</v>
      </c>
      <c r="AT120" s="528" t="s">
        <v>567</v>
      </c>
      <c r="AU120" s="178"/>
      <c r="AV120" s="137" t="s">
        <v>20</v>
      </c>
      <c r="AW120" s="15"/>
      <c r="AX120" s="278"/>
      <c r="AY120" s="278"/>
      <c r="AZ120" s="24"/>
      <c r="BA120" s="178"/>
      <c r="BB120" s="137" t="s">
        <v>20</v>
      </c>
      <c r="BC120" s="131"/>
      <c r="BD120" s="131"/>
      <c r="BE120" s="279">
        <v>45988</v>
      </c>
      <c r="BF120" s="279">
        <v>45990</v>
      </c>
      <c r="BG120" s="17"/>
      <c r="BH120" s="189"/>
      <c r="BI120" s="137" t="s">
        <v>20</v>
      </c>
      <c r="BJ120" s="131"/>
      <c r="BK120" s="131"/>
      <c r="BL120" s="25">
        <v>1545</v>
      </c>
      <c r="BM120" s="24" t="s">
        <v>709</v>
      </c>
      <c r="BN120" s="24"/>
    </row>
    <row r="121" spans="1:66" ht="14.25" customHeight="1">
      <c r="A121" s="15" t="s">
        <v>0</v>
      </c>
      <c r="B121" s="19"/>
      <c r="C121" s="179"/>
      <c r="D121" s="130"/>
      <c r="E121" s="130"/>
      <c r="F121" s="130"/>
      <c r="G121" s="130"/>
      <c r="H121" s="180"/>
      <c r="I121" s="19"/>
      <c r="J121" s="19"/>
      <c r="K121" s="181"/>
      <c r="L121" s="173"/>
      <c r="M121" s="15"/>
      <c r="N121" s="15"/>
      <c r="O121" s="15"/>
      <c r="P121" s="175"/>
      <c r="Q121" s="173"/>
      <c r="R121" s="15"/>
      <c r="S121" s="175"/>
      <c r="T121" s="176"/>
      <c r="U121" s="176"/>
      <c r="V121" s="16">
        <v>302.58</v>
      </c>
      <c r="W121" s="15" t="s">
        <v>537</v>
      </c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77"/>
      <c r="AM121" s="15"/>
      <c r="AN121" s="24"/>
      <c r="AO121" s="24"/>
      <c r="AP121" s="24"/>
      <c r="AQ121" s="24"/>
      <c r="AR121" s="24"/>
      <c r="AS121" s="25"/>
      <c r="AT121" s="25"/>
      <c r="AU121" s="178"/>
      <c r="AV121" s="24"/>
      <c r="AW121" s="24"/>
      <c r="AX121" s="278"/>
      <c r="AY121" s="278"/>
      <c r="AZ121" s="24"/>
      <c r="BA121" s="178"/>
      <c r="BB121" s="24"/>
      <c r="BC121" s="24"/>
      <c r="BD121" s="24"/>
      <c r="BE121" s="24"/>
      <c r="BF121" s="24"/>
      <c r="BG121" s="24"/>
      <c r="BH121" s="178"/>
      <c r="BI121" s="24"/>
      <c r="BJ121" s="24"/>
      <c r="BK121" s="24"/>
      <c r="BL121" s="24"/>
      <c r="BM121" s="24"/>
      <c r="BN121" s="24"/>
    </row>
    <row r="122" spans="1:66" ht="14.25" customHeight="1">
      <c r="A122" s="15">
        <f t="shared" si="42"/>
        <v>57</v>
      </c>
      <c r="B122" s="19" t="s">
        <v>124</v>
      </c>
      <c r="C122" s="179" t="s">
        <v>56</v>
      </c>
      <c r="D122" s="130">
        <v>7.6219999999999999</v>
      </c>
      <c r="E122" s="130">
        <f>D122*4</f>
        <v>30.488</v>
      </c>
      <c r="F122" s="130">
        <f>E122*8</f>
        <v>243.904</v>
      </c>
      <c r="G122" s="130"/>
      <c r="H122" s="180"/>
      <c r="I122" s="19"/>
      <c r="J122" s="19"/>
      <c r="K122" s="181"/>
      <c r="L122" s="173">
        <v>2.6789999999999998</v>
      </c>
      <c r="M122" s="15">
        <v>3.133</v>
      </c>
      <c r="N122" s="15">
        <v>2.5000000000000001E-3</v>
      </c>
      <c r="O122" s="15">
        <v>0.23299999999999998</v>
      </c>
      <c r="P122" s="175">
        <f t="shared" si="34"/>
        <v>6.0474999999999994</v>
      </c>
      <c r="Q122" s="173">
        <v>0.24399999999999999</v>
      </c>
      <c r="R122" s="15">
        <v>5.0000000000000001E-3</v>
      </c>
      <c r="S122" s="175">
        <f t="shared" si="35"/>
        <v>0.249</v>
      </c>
      <c r="T122" s="176" t="s">
        <v>31</v>
      </c>
      <c r="U122" s="176" t="s">
        <v>536</v>
      </c>
      <c r="V122" s="15"/>
      <c r="W122" s="15"/>
      <c r="X122" s="15">
        <v>41.44</v>
      </c>
      <c r="Y122" s="15">
        <v>1.51</v>
      </c>
      <c r="Z122" s="15">
        <v>11.15</v>
      </c>
      <c r="AA122" s="15">
        <f t="shared" si="36"/>
        <v>12.66</v>
      </c>
      <c r="AB122" s="15">
        <v>66.42</v>
      </c>
      <c r="AC122" s="15">
        <v>3321</v>
      </c>
      <c r="AD122" s="15">
        <v>73.73</v>
      </c>
      <c r="AE122" s="15">
        <v>301.5</v>
      </c>
      <c r="AF122" s="15"/>
      <c r="AG122" s="15">
        <v>206.46</v>
      </c>
      <c r="AH122" s="15"/>
      <c r="AI122" s="15"/>
      <c r="AJ122" s="15">
        <v>581.69000000000005</v>
      </c>
      <c r="AK122" s="15">
        <v>0.58169000000000004</v>
      </c>
      <c r="AL122" s="177"/>
      <c r="AM122" s="137" t="s">
        <v>20</v>
      </c>
      <c r="AN122" s="24"/>
      <c r="AO122" s="24"/>
      <c r="AP122" s="349">
        <v>45986</v>
      </c>
      <c r="AQ122" s="349">
        <v>45992</v>
      </c>
      <c r="AR122" s="349">
        <v>45988</v>
      </c>
      <c r="AS122" s="530">
        <v>45994</v>
      </c>
      <c r="AT122" s="528" t="s">
        <v>567</v>
      </c>
      <c r="AU122" s="178"/>
      <c r="AV122" s="137" t="s">
        <v>20</v>
      </c>
      <c r="AW122" s="24"/>
      <c r="AX122" s="278"/>
      <c r="AY122" s="278"/>
      <c r="AZ122" s="24"/>
      <c r="BA122" s="178"/>
      <c r="BB122" s="137" t="s">
        <v>20</v>
      </c>
      <c r="BC122" s="24"/>
      <c r="BD122" s="24"/>
      <c r="BE122" s="279">
        <f>BF118</f>
        <v>45998</v>
      </c>
      <c r="BF122" s="279">
        <f>BE122+1</f>
        <v>45999</v>
      </c>
      <c r="BG122" s="24"/>
      <c r="BH122" s="178"/>
      <c r="BI122" s="137" t="s">
        <v>20</v>
      </c>
      <c r="BJ122" s="24"/>
      <c r="BK122" s="24"/>
      <c r="BL122" s="25">
        <v>1330</v>
      </c>
      <c r="BM122" s="24" t="s">
        <v>709</v>
      </c>
      <c r="BN122" s="24"/>
    </row>
    <row r="123" spans="1:66" ht="14.25" customHeight="1">
      <c r="A123" s="15" t="s">
        <v>0</v>
      </c>
      <c r="B123" s="19"/>
      <c r="C123" s="179"/>
      <c r="D123" s="130"/>
      <c r="E123" s="130"/>
      <c r="F123" s="130"/>
      <c r="G123" s="130"/>
      <c r="H123" s="180"/>
      <c r="I123" s="19"/>
      <c r="J123" s="19"/>
      <c r="K123" s="181"/>
      <c r="L123" s="173"/>
      <c r="M123" s="15"/>
      <c r="N123" s="15"/>
      <c r="O123" s="15"/>
      <c r="P123" s="175"/>
      <c r="Q123" s="173"/>
      <c r="R123" s="15"/>
      <c r="S123" s="175"/>
      <c r="T123" s="176"/>
      <c r="U123" s="176"/>
      <c r="V123" s="16">
        <v>393.04</v>
      </c>
      <c r="W123" s="15" t="s">
        <v>537</v>
      </c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77"/>
      <c r="AM123" s="15"/>
      <c r="AN123" s="24"/>
      <c r="AO123" s="24"/>
      <c r="AP123" s="24"/>
      <c r="AQ123" s="24"/>
      <c r="AR123" s="24"/>
      <c r="AS123" s="25"/>
      <c r="AT123" s="25"/>
      <c r="AU123" s="178"/>
      <c r="AV123" s="24"/>
      <c r="AW123" s="24"/>
      <c r="AX123" s="278"/>
      <c r="AY123" s="278"/>
      <c r="AZ123" s="24"/>
      <c r="BA123" s="178"/>
      <c r="BB123" s="24"/>
      <c r="BC123" s="24"/>
      <c r="BD123" s="24"/>
      <c r="BE123" s="24"/>
      <c r="BF123" s="24"/>
      <c r="BG123" s="24"/>
      <c r="BH123" s="178"/>
      <c r="BI123" s="24"/>
      <c r="BJ123" s="24"/>
      <c r="BK123" s="24"/>
      <c r="BL123" s="24"/>
      <c r="BM123" s="24"/>
      <c r="BN123" s="24"/>
    </row>
    <row r="124" spans="1:66" ht="14.25" customHeight="1">
      <c r="A124" s="15">
        <f t="shared" si="42"/>
        <v>58</v>
      </c>
      <c r="B124" s="19" t="s">
        <v>125</v>
      </c>
      <c r="C124" s="179" t="s">
        <v>76</v>
      </c>
      <c r="D124" s="130">
        <v>7.71</v>
      </c>
      <c r="E124" s="130">
        <f>D124*4</f>
        <v>30.84</v>
      </c>
      <c r="F124" s="130">
        <f>E124*8</f>
        <v>246.72</v>
      </c>
      <c r="G124" s="130"/>
      <c r="H124" s="180"/>
      <c r="I124" s="19"/>
      <c r="J124" s="19"/>
      <c r="K124" s="181"/>
      <c r="L124" s="173">
        <v>3.452</v>
      </c>
      <c r="M124" s="15">
        <v>2.633</v>
      </c>
      <c r="N124" s="15">
        <v>4.0000000000000001E-3</v>
      </c>
      <c r="O124" s="15">
        <v>0.24099999999999999</v>
      </c>
      <c r="P124" s="175">
        <f t="shared" si="34"/>
        <v>6.3299999999999992</v>
      </c>
      <c r="Q124" s="173">
        <v>0.36299999999999999</v>
      </c>
      <c r="R124" s="15">
        <v>6.0000000000000001E-3</v>
      </c>
      <c r="S124" s="175">
        <f t="shared" si="35"/>
        <v>0.36899999999999999</v>
      </c>
      <c r="T124" s="176" t="s">
        <v>31</v>
      </c>
      <c r="U124" s="176" t="s">
        <v>536</v>
      </c>
      <c r="V124" s="15"/>
      <c r="W124" s="15"/>
      <c r="X124" s="15">
        <v>51.64</v>
      </c>
      <c r="Y124" s="15">
        <v>0.97</v>
      </c>
      <c r="Z124" s="15">
        <v>9.82</v>
      </c>
      <c r="AA124" s="15">
        <f t="shared" si="36"/>
        <v>10.790000000000001</v>
      </c>
      <c r="AB124" s="15">
        <v>83.456000000000003</v>
      </c>
      <c r="AC124" s="15">
        <v>4172.8</v>
      </c>
      <c r="AD124" s="15">
        <v>81.819999999999993</v>
      </c>
      <c r="AE124" s="15">
        <v>408.9</v>
      </c>
      <c r="AF124" s="15"/>
      <c r="AG124" s="15">
        <v>203.94</v>
      </c>
      <c r="AH124" s="15"/>
      <c r="AI124" s="15"/>
      <c r="AJ124" s="15">
        <v>694.66</v>
      </c>
      <c r="AK124" s="15">
        <v>0.69465999999999994</v>
      </c>
      <c r="AL124" s="177"/>
      <c r="AM124" s="137" t="s">
        <v>20</v>
      </c>
      <c r="AN124" s="131"/>
      <c r="AO124" s="131"/>
      <c r="AP124" s="349">
        <f>AQ124-3</f>
        <v>45903</v>
      </c>
      <c r="AQ124" s="349">
        <f t="shared" ref="AQ124:AR124" si="50">AR124-2</f>
        <v>45906</v>
      </c>
      <c r="AR124" s="349">
        <f t="shared" si="50"/>
        <v>45908</v>
      </c>
      <c r="AS124" s="530">
        <v>45910</v>
      </c>
      <c r="AT124" s="25" t="s">
        <v>538</v>
      </c>
      <c r="AU124" s="178"/>
      <c r="AV124" s="137" t="s">
        <v>20</v>
      </c>
      <c r="AW124" s="15" t="s">
        <v>6</v>
      </c>
      <c r="AX124" s="278">
        <f>AS124+2</f>
        <v>45912</v>
      </c>
      <c r="AY124" s="278">
        <f>AX124</f>
        <v>45912</v>
      </c>
      <c r="AZ124" s="24" t="str">
        <f>AT124</f>
        <v>Ram Singh</v>
      </c>
      <c r="BA124" s="178"/>
      <c r="BB124" s="137" t="s">
        <v>20</v>
      </c>
      <c r="BC124" s="131"/>
      <c r="BD124" s="131"/>
      <c r="BE124" s="279">
        <v>45987</v>
      </c>
      <c r="BF124" s="279">
        <v>45988</v>
      </c>
      <c r="BG124" s="25" t="s">
        <v>506</v>
      </c>
      <c r="BH124" s="189"/>
      <c r="BI124" s="137" t="s">
        <v>20</v>
      </c>
      <c r="BJ124" s="131"/>
      <c r="BK124" s="131"/>
      <c r="BL124" s="25">
        <v>1252</v>
      </c>
      <c r="BM124" s="24" t="s">
        <v>709</v>
      </c>
      <c r="BN124" s="24"/>
    </row>
    <row r="125" spans="1:66" ht="14.25" customHeight="1">
      <c r="A125" s="15" t="s">
        <v>0</v>
      </c>
      <c r="B125" s="19"/>
      <c r="C125" s="179"/>
      <c r="D125" s="130"/>
      <c r="E125" s="130"/>
      <c r="F125" s="130"/>
      <c r="G125" s="130"/>
      <c r="H125" s="180"/>
      <c r="I125" s="19"/>
      <c r="J125" s="19"/>
      <c r="K125" s="181"/>
      <c r="L125" s="173"/>
      <c r="M125" s="15"/>
      <c r="N125" s="15"/>
      <c r="O125" s="15"/>
      <c r="P125" s="175"/>
      <c r="Q125" s="173"/>
      <c r="R125" s="15"/>
      <c r="S125" s="175"/>
      <c r="T125" s="176"/>
      <c r="U125" s="176"/>
      <c r="V125" s="16">
        <v>459</v>
      </c>
      <c r="W125" s="15" t="s">
        <v>500</v>
      </c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77"/>
      <c r="AM125" s="15"/>
      <c r="AN125" s="24"/>
      <c r="AO125" s="24"/>
      <c r="AP125" s="24"/>
      <c r="AQ125" s="24"/>
      <c r="AR125" s="24"/>
      <c r="AS125" s="25"/>
      <c r="AT125" s="25"/>
      <c r="AU125" s="178"/>
      <c r="AV125" s="24"/>
      <c r="AW125" s="24"/>
      <c r="AX125" s="278"/>
      <c r="AY125" s="278"/>
      <c r="AZ125" s="24"/>
      <c r="BA125" s="178"/>
      <c r="BB125" s="24"/>
      <c r="BC125" s="24"/>
      <c r="BD125" s="24"/>
      <c r="BE125" s="24"/>
      <c r="BF125" s="24"/>
      <c r="BG125" s="24"/>
      <c r="BH125" s="178"/>
      <c r="BI125" s="24"/>
      <c r="BJ125" s="24"/>
      <c r="BK125" s="24"/>
      <c r="BL125" s="24"/>
      <c r="BM125" s="24"/>
      <c r="BN125" s="24"/>
    </row>
    <row r="126" spans="1:66" ht="14.25" customHeight="1">
      <c r="A126" s="15">
        <f t="shared" si="42"/>
        <v>59</v>
      </c>
      <c r="B126" s="19" t="s">
        <v>126</v>
      </c>
      <c r="C126" s="179" t="s">
        <v>89</v>
      </c>
      <c r="D126" s="130">
        <v>8.6300000000000008</v>
      </c>
      <c r="E126" s="130">
        <f>D126*4</f>
        <v>34.520000000000003</v>
      </c>
      <c r="F126" s="130">
        <f>E126*8</f>
        <v>276.16000000000003</v>
      </c>
      <c r="G126" s="130"/>
      <c r="H126" s="180"/>
      <c r="I126" s="19"/>
      <c r="J126" s="19"/>
      <c r="K126" s="181"/>
      <c r="L126" s="173">
        <v>3.867</v>
      </c>
      <c r="M126" s="15">
        <v>3.306</v>
      </c>
      <c r="N126" s="15">
        <v>5.0000000000000001E-3</v>
      </c>
      <c r="O126" s="15">
        <v>0.27600000000000002</v>
      </c>
      <c r="P126" s="175">
        <f t="shared" si="34"/>
        <v>7.4539999999999997</v>
      </c>
      <c r="Q126" s="173">
        <v>0.36299999999999999</v>
      </c>
      <c r="R126" s="15">
        <v>6.0000000000000001E-3</v>
      </c>
      <c r="S126" s="175">
        <f t="shared" si="35"/>
        <v>0.36899999999999999</v>
      </c>
      <c r="T126" s="176" t="s">
        <v>31</v>
      </c>
      <c r="U126" s="176" t="s">
        <v>536</v>
      </c>
      <c r="V126" s="15"/>
      <c r="W126" s="15"/>
      <c r="X126" s="15">
        <v>51.64</v>
      </c>
      <c r="Y126" s="15">
        <v>0.97</v>
      </c>
      <c r="Z126" s="15">
        <v>9.82</v>
      </c>
      <c r="AA126" s="15">
        <f t="shared" si="36"/>
        <v>10.790000000000001</v>
      </c>
      <c r="AB126" s="15">
        <v>83.456000000000003</v>
      </c>
      <c r="AC126" s="15">
        <v>4172.8</v>
      </c>
      <c r="AD126" s="15">
        <v>81.819999999999993</v>
      </c>
      <c r="AE126" s="15">
        <v>408.9</v>
      </c>
      <c r="AF126" s="15"/>
      <c r="AG126" s="15">
        <v>203.94</v>
      </c>
      <c r="AH126" s="15"/>
      <c r="AI126" s="15"/>
      <c r="AJ126" s="15">
        <v>694.66</v>
      </c>
      <c r="AK126" s="15">
        <v>0.69465999999999994</v>
      </c>
      <c r="AL126" s="177"/>
      <c r="AM126" s="137" t="s">
        <v>20</v>
      </c>
      <c r="AN126" s="131"/>
      <c r="AO126" s="131"/>
      <c r="AP126" s="349">
        <f t="shared" ref="AP126:AR126" si="51">AQ126-2</f>
        <v>45893</v>
      </c>
      <c r="AQ126" s="349">
        <f t="shared" si="51"/>
        <v>45895</v>
      </c>
      <c r="AR126" s="349">
        <f t="shared" si="51"/>
        <v>45897</v>
      </c>
      <c r="AS126" s="530">
        <v>45899</v>
      </c>
      <c r="AT126" s="25" t="s">
        <v>538</v>
      </c>
      <c r="AU126" s="178"/>
      <c r="AV126" s="137" t="s">
        <v>20</v>
      </c>
      <c r="AW126" s="15" t="s">
        <v>6</v>
      </c>
      <c r="AX126" s="278">
        <f>AS126+2</f>
        <v>45901</v>
      </c>
      <c r="AY126" s="278">
        <f>AX126</f>
        <v>45901</v>
      </c>
      <c r="AZ126" s="24" t="str">
        <f>AT126</f>
        <v>Ram Singh</v>
      </c>
      <c r="BA126" s="178"/>
      <c r="BB126" s="137" t="s">
        <v>20</v>
      </c>
      <c r="BC126" s="131"/>
      <c r="BD126" s="131"/>
      <c r="BE126" s="279">
        <f>BF126-2</f>
        <v>45963</v>
      </c>
      <c r="BF126" s="279">
        <v>45965</v>
      </c>
      <c r="BG126" s="25" t="s">
        <v>506</v>
      </c>
      <c r="BH126" s="187"/>
      <c r="BI126" s="137" t="s">
        <v>20</v>
      </c>
      <c r="BJ126" s="131"/>
      <c r="BK126" s="131"/>
      <c r="BL126" s="25">
        <v>1560</v>
      </c>
      <c r="BM126" s="24" t="s">
        <v>709</v>
      </c>
      <c r="BN126" s="195" t="s">
        <v>552</v>
      </c>
    </row>
    <row r="127" spans="1:66" ht="14.25" customHeight="1">
      <c r="A127" s="15" t="s">
        <v>0</v>
      </c>
      <c r="B127" s="19"/>
      <c r="C127" s="179"/>
      <c r="D127" s="130"/>
      <c r="E127" s="130"/>
      <c r="F127" s="130"/>
      <c r="G127" s="130"/>
      <c r="H127" s="180"/>
      <c r="I127" s="19"/>
      <c r="J127" s="19"/>
      <c r="K127" s="181"/>
      <c r="L127" s="173"/>
      <c r="M127" s="15"/>
      <c r="N127" s="15"/>
      <c r="O127" s="15"/>
      <c r="P127" s="175"/>
      <c r="Q127" s="173"/>
      <c r="R127" s="15"/>
      <c r="S127" s="175"/>
      <c r="T127" s="176"/>
      <c r="U127" s="176"/>
      <c r="V127" s="16">
        <v>195</v>
      </c>
      <c r="W127" s="15" t="s">
        <v>500</v>
      </c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77"/>
      <c r="AM127" s="15"/>
      <c r="AN127" s="24"/>
      <c r="AO127" s="24"/>
      <c r="AP127" s="24"/>
      <c r="AQ127" s="24"/>
      <c r="AR127" s="24"/>
      <c r="AS127" s="25"/>
      <c r="AT127" s="25"/>
      <c r="AU127" s="178"/>
      <c r="AV127" s="24"/>
      <c r="AW127" s="24"/>
      <c r="AX127" s="278"/>
      <c r="AY127" s="278"/>
      <c r="AZ127" s="24"/>
      <c r="BA127" s="178"/>
      <c r="BB127" s="24"/>
      <c r="BC127" s="24"/>
      <c r="BD127" s="24"/>
      <c r="BE127" s="24"/>
      <c r="BF127" s="24"/>
      <c r="BG127" s="24"/>
      <c r="BH127" s="178"/>
      <c r="BI127" s="24"/>
      <c r="BJ127" s="24"/>
      <c r="BK127" s="24"/>
      <c r="BL127" s="24"/>
      <c r="BM127" s="24"/>
      <c r="BN127" s="24"/>
    </row>
    <row r="128" spans="1:66" ht="14.25" customHeight="1">
      <c r="A128" s="15">
        <f t="shared" si="42"/>
        <v>60</v>
      </c>
      <c r="B128" s="19" t="s">
        <v>127</v>
      </c>
      <c r="C128" s="179" t="s">
        <v>76</v>
      </c>
      <c r="D128" s="130">
        <v>7.71</v>
      </c>
      <c r="E128" s="130">
        <f>D128*4</f>
        <v>30.84</v>
      </c>
      <c r="F128" s="130">
        <f>E128*8</f>
        <v>246.72</v>
      </c>
      <c r="G128" s="130"/>
      <c r="H128" s="180"/>
      <c r="I128" s="19"/>
      <c r="J128" s="19"/>
      <c r="K128" s="181"/>
      <c r="L128" s="173">
        <v>3.452</v>
      </c>
      <c r="M128" s="15">
        <v>2.633</v>
      </c>
      <c r="N128" s="15">
        <v>4.0000000000000001E-3</v>
      </c>
      <c r="O128" s="15">
        <v>0.24099999999999999</v>
      </c>
      <c r="P128" s="175">
        <f t="shared" si="34"/>
        <v>6.3299999999999992</v>
      </c>
      <c r="Q128" s="173">
        <v>0.36299999999999999</v>
      </c>
      <c r="R128" s="15">
        <v>6.0000000000000001E-3</v>
      </c>
      <c r="S128" s="175">
        <f t="shared" si="35"/>
        <v>0.36899999999999999</v>
      </c>
      <c r="T128" s="176" t="s">
        <v>31</v>
      </c>
      <c r="U128" s="176" t="s">
        <v>536</v>
      </c>
      <c r="V128" s="15"/>
      <c r="W128" s="15"/>
      <c r="X128" s="15">
        <v>102.06</v>
      </c>
      <c r="Y128" s="15">
        <v>0.97</v>
      </c>
      <c r="Z128" s="15">
        <v>9.82</v>
      </c>
      <c r="AA128" s="15">
        <f t="shared" si="36"/>
        <v>10.790000000000001</v>
      </c>
      <c r="AB128" s="15">
        <v>91.428600000000003</v>
      </c>
      <c r="AC128" s="15">
        <v>4571.43</v>
      </c>
      <c r="AD128" s="15">
        <v>81.819999999999993</v>
      </c>
      <c r="AE128" s="15">
        <v>427.95</v>
      </c>
      <c r="AF128" s="15"/>
      <c r="AG128" s="15">
        <v>198.88</v>
      </c>
      <c r="AH128" s="15"/>
      <c r="AI128" s="15"/>
      <c r="AJ128" s="15">
        <v>708.65</v>
      </c>
      <c r="AK128" s="15">
        <v>0.70865</v>
      </c>
      <c r="AL128" s="177"/>
      <c r="AM128" s="137" t="s">
        <v>20</v>
      </c>
      <c r="AN128" s="131"/>
      <c r="AO128" s="131"/>
      <c r="AP128" s="349">
        <f>AQ128-6</f>
        <v>45875</v>
      </c>
      <c r="AQ128" s="349">
        <f>AR128-3</f>
        <v>45881</v>
      </c>
      <c r="AR128" s="349">
        <f>AS128-2</f>
        <v>45884</v>
      </c>
      <c r="AS128" s="530">
        <v>45886</v>
      </c>
      <c r="AT128" s="25" t="s">
        <v>538</v>
      </c>
      <c r="AU128" s="178"/>
      <c r="AV128" s="137" t="s">
        <v>20</v>
      </c>
      <c r="AW128" s="15" t="s">
        <v>6</v>
      </c>
      <c r="AX128" s="278">
        <f>AS128+2</f>
        <v>45888</v>
      </c>
      <c r="AY128" s="278">
        <f>AX128</f>
        <v>45888</v>
      </c>
      <c r="AZ128" s="24" t="str">
        <f>AT128</f>
        <v>Ram Singh</v>
      </c>
      <c r="BA128" s="178"/>
      <c r="BB128" s="137" t="s">
        <v>20</v>
      </c>
      <c r="BC128" s="131"/>
      <c r="BD128" s="131"/>
      <c r="BE128" s="279">
        <f>BF128-2</f>
        <v>45964</v>
      </c>
      <c r="BF128" s="279">
        <v>45966</v>
      </c>
      <c r="BG128" s="25" t="s">
        <v>506</v>
      </c>
      <c r="BH128" s="187"/>
      <c r="BI128" s="137" t="s">
        <v>20</v>
      </c>
      <c r="BJ128" s="131"/>
      <c r="BK128" s="131"/>
      <c r="BL128" s="25">
        <v>1252</v>
      </c>
      <c r="BM128" s="24" t="s">
        <v>709</v>
      </c>
      <c r="BN128" s="24"/>
    </row>
    <row r="129" spans="1:66" ht="14.25" customHeight="1">
      <c r="A129" s="15" t="s">
        <v>0</v>
      </c>
      <c r="B129" s="19"/>
      <c r="C129" s="179"/>
      <c r="D129" s="130"/>
      <c r="E129" s="130"/>
      <c r="F129" s="130"/>
      <c r="G129" s="130"/>
      <c r="H129" s="180"/>
      <c r="I129" s="19"/>
      <c r="J129" s="19"/>
      <c r="K129" s="181"/>
      <c r="L129" s="173"/>
      <c r="M129" s="15"/>
      <c r="N129" s="15"/>
      <c r="O129" s="15"/>
      <c r="P129" s="175"/>
      <c r="Q129" s="173"/>
      <c r="R129" s="15"/>
      <c r="S129" s="175"/>
      <c r="T129" s="176"/>
      <c r="U129" s="176"/>
      <c r="V129" s="16">
        <v>295</v>
      </c>
      <c r="W129" s="15" t="s">
        <v>500</v>
      </c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77"/>
      <c r="AM129" s="15"/>
      <c r="AN129" s="24"/>
      <c r="AO129" s="24"/>
      <c r="AP129" s="24"/>
      <c r="AQ129" s="24"/>
      <c r="AR129" s="24"/>
      <c r="AS129" s="25"/>
      <c r="AT129" s="25"/>
      <c r="AU129" s="178"/>
      <c r="AV129" s="24"/>
      <c r="AW129" s="24"/>
      <c r="AX129" s="278"/>
      <c r="AY129" s="278"/>
      <c r="AZ129" s="24"/>
      <c r="BA129" s="178"/>
      <c r="BB129" s="24"/>
      <c r="BC129" s="24"/>
      <c r="BD129" s="24"/>
      <c r="BE129" s="24"/>
      <c r="BF129" s="24"/>
      <c r="BG129" s="24"/>
      <c r="BH129" s="178"/>
      <c r="BI129" s="24"/>
      <c r="BJ129" s="24"/>
      <c r="BK129" s="24"/>
      <c r="BL129" s="24"/>
      <c r="BM129" s="24"/>
      <c r="BN129" s="24"/>
    </row>
    <row r="130" spans="1:66" ht="14.25" customHeight="1">
      <c r="A130" s="15">
        <f t="shared" si="42"/>
        <v>61</v>
      </c>
      <c r="B130" s="19" t="s">
        <v>128</v>
      </c>
      <c r="C130" s="179" t="s">
        <v>76</v>
      </c>
      <c r="D130" s="130">
        <v>7.71</v>
      </c>
      <c r="E130" s="130">
        <f>D130*4</f>
        <v>30.84</v>
      </c>
      <c r="F130" s="130">
        <f>E130*8</f>
        <v>246.72</v>
      </c>
      <c r="G130" s="130"/>
      <c r="H130" s="180"/>
      <c r="I130" s="19"/>
      <c r="J130" s="19"/>
      <c r="K130" s="181"/>
      <c r="L130" s="173">
        <v>3.452</v>
      </c>
      <c r="M130" s="15">
        <v>2.633</v>
      </c>
      <c r="N130" s="15">
        <v>4.0000000000000001E-3</v>
      </c>
      <c r="O130" s="15">
        <v>0.24099999999999999</v>
      </c>
      <c r="P130" s="175">
        <f t="shared" si="34"/>
        <v>6.3299999999999992</v>
      </c>
      <c r="Q130" s="173">
        <v>0.36299999999999999</v>
      </c>
      <c r="R130" s="15">
        <v>6.0000000000000001E-3</v>
      </c>
      <c r="S130" s="175">
        <f t="shared" si="35"/>
        <v>0.36899999999999999</v>
      </c>
      <c r="T130" s="176" t="s">
        <v>31</v>
      </c>
      <c r="U130" s="176" t="s">
        <v>536</v>
      </c>
      <c r="V130" s="15"/>
      <c r="W130" s="15"/>
      <c r="X130" s="15">
        <v>51.64</v>
      </c>
      <c r="Y130" s="15">
        <v>0.97</v>
      </c>
      <c r="Z130" s="15">
        <v>9.82</v>
      </c>
      <c r="AA130" s="15">
        <f t="shared" si="36"/>
        <v>10.790000000000001</v>
      </c>
      <c r="AB130" s="15">
        <v>83.456000000000003</v>
      </c>
      <c r="AC130" s="15">
        <v>4172.8</v>
      </c>
      <c r="AD130" s="15">
        <v>81.819999999999993</v>
      </c>
      <c r="AE130" s="15">
        <v>408.9</v>
      </c>
      <c r="AF130" s="15"/>
      <c r="AG130" s="15">
        <v>203.94</v>
      </c>
      <c r="AH130" s="15"/>
      <c r="AI130" s="15"/>
      <c r="AJ130" s="15">
        <v>694.66</v>
      </c>
      <c r="AK130" s="15">
        <v>0.69465999999999994</v>
      </c>
      <c r="AL130" s="177"/>
      <c r="AM130" s="137" t="s">
        <v>20</v>
      </c>
      <c r="AN130" s="131"/>
      <c r="AO130" s="131"/>
      <c r="AP130" s="349">
        <f>AQ130-6</f>
        <v>45881</v>
      </c>
      <c r="AQ130" s="349">
        <f>AR130-3</f>
        <v>45887</v>
      </c>
      <c r="AR130" s="349">
        <f>AS130-2</f>
        <v>45890</v>
      </c>
      <c r="AS130" s="530">
        <v>45892</v>
      </c>
      <c r="AT130" s="25" t="s">
        <v>538</v>
      </c>
      <c r="AU130" s="178"/>
      <c r="AV130" s="137" t="s">
        <v>20</v>
      </c>
      <c r="AW130" s="15" t="s">
        <v>6</v>
      </c>
      <c r="AX130" s="278">
        <f>AS130+2</f>
        <v>45894</v>
      </c>
      <c r="AY130" s="278">
        <f>AX130</f>
        <v>45894</v>
      </c>
      <c r="AZ130" s="24" t="str">
        <f>AT130</f>
        <v>Ram Singh</v>
      </c>
      <c r="BA130" s="178"/>
      <c r="BB130" s="137" t="s">
        <v>20</v>
      </c>
      <c r="BC130" s="131"/>
      <c r="BD130" s="131"/>
      <c r="BE130" s="279">
        <f>BF130-2</f>
        <v>45966</v>
      </c>
      <c r="BF130" s="279">
        <v>45968</v>
      </c>
      <c r="BG130" s="25" t="s">
        <v>506</v>
      </c>
      <c r="BH130" s="188"/>
      <c r="BI130" s="137" t="s">
        <v>20</v>
      </c>
      <c r="BJ130" s="131"/>
      <c r="BK130" s="131"/>
      <c r="BL130" s="25">
        <v>1252</v>
      </c>
      <c r="BM130" s="24" t="s">
        <v>709</v>
      </c>
      <c r="BN130" s="24"/>
    </row>
    <row r="131" spans="1:66" ht="14.25" customHeight="1">
      <c r="A131" s="15" t="s">
        <v>0</v>
      </c>
      <c r="B131" s="19"/>
      <c r="C131" s="179"/>
      <c r="D131" s="130"/>
      <c r="E131" s="130"/>
      <c r="F131" s="130"/>
      <c r="G131" s="130"/>
      <c r="H131" s="180"/>
      <c r="I131" s="19"/>
      <c r="J131" s="19"/>
      <c r="K131" s="181"/>
      <c r="L131" s="173"/>
      <c r="M131" s="15"/>
      <c r="N131" s="15"/>
      <c r="O131" s="15"/>
      <c r="P131" s="175"/>
      <c r="Q131" s="173"/>
      <c r="R131" s="15"/>
      <c r="S131" s="175"/>
      <c r="T131" s="176"/>
      <c r="U131" s="176"/>
      <c r="V131" s="16">
        <v>380.25</v>
      </c>
      <c r="W131" s="15" t="s">
        <v>500</v>
      </c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77"/>
      <c r="AM131" s="15"/>
      <c r="AN131" s="24"/>
      <c r="AO131" s="24"/>
      <c r="AP131" s="24"/>
      <c r="AQ131" s="24"/>
      <c r="AR131" s="24"/>
      <c r="AS131" s="25"/>
      <c r="AT131" s="25"/>
      <c r="AU131" s="178"/>
      <c r="AV131" s="24"/>
      <c r="AW131" s="24"/>
      <c r="AX131" s="278"/>
      <c r="AY131" s="278"/>
      <c r="AZ131" s="24"/>
      <c r="BA131" s="178"/>
      <c r="BB131" s="24"/>
      <c r="BC131" s="24"/>
      <c r="BD131" s="24"/>
      <c r="BE131" s="24"/>
      <c r="BF131" s="24"/>
      <c r="BG131" s="24"/>
      <c r="BH131" s="178"/>
      <c r="BI131" s="24"/>
      <c r="BJ131" s="24"/>
      <c r="BK131" s="24"/>
      <c r="BL131" s="24"/>
      <c r="BM131" s="24"/>
      <c r="BN131" s="24"/>
    </row>
    <row r="132" spans="1:66" ht="14.25" customHeight="1">
      <c r="A132" s="15">
        <f t="shared" si="42"/>
        <v>62</v>
      </c>
      <c r="B132" s="19" t="s">
        <v>130</v>
      </c>
      <c r="C132" s="179" t="s">
        <v>39</v>
      </c>
      <c r="D132" s="130">
        <v>7.7080000000000002</v>
      </c>
      <c r="E132" s="130">
        <f>D132*4</f>
        <v>30.832000000000001</v>
      </c>
      <c r="F132" s="130">
        <f>E132*8</f>
        <v>246.65600000000001</v>
      </c>
      <c r="G132" s="130">
        <v>1</v>
      </c>
      <c r="H132" s="180"/>
      <c r="I132" s="19">
        <v>2</v>
      </c>
      <c r="J132" s="19">
        <v>2</v>
      </c>
      <c r="K132" s="181"/>
      <c r="L132" s="173">
        <v>4.0570000000000004</v>
      </c>
      <c r="M132" s="15">
        <v>2.48</v>
      </c>
      <c r="N132" s="15">
        <v>6.0000000000000001E-3</v>
      </c>
      <c r="O132" s="15">
        <v>0.36499999999999999</v>
      </c>
      <c r="P132" s="175">
        <f t="shared" si="34"/>
        <v>6.9080000000000013</v>
      </c>
      <c r="Q132" s="173">
        <v>0.436</v>
      </c>
      <c r="R132" s="15">
        <v>0.01</v>
      </c>
      <c r="S132" s="175">
        <f t="shared" si="35"/>
        <v>0.44600000000000001</v>
      </c>
      <c r="T132" s="176" t="s">
        <v>129</v>
      </c>
      <c r="U132" s="176" t="s">
        <v>569</v>
      </c>
      <c r="V132" s="15"/>
      <c r="W132" s="15"/>
      <c r="X132" s="15">
        <v>80.400000000000006</v>
      </c>
      <c r="Y132" s="15">
        <v>1.43</v>
      </c>
      <c r="Z132" s="15">
        <v>15.88</v>
      </c>
      <c r="AA132" s="15">
        <f t="shared" si="36"/>
        <v>17.310000000000002</v>
      </c>
      <c r="AB132" s="15"/>
      <c r="AC132" s="15"/>
      <c r="AD132" s="15">
        <v>121.84</v>
      </c>
      <c r="AE132" s="15">
        <v>399.08</v>
      </c>
      <c r="AF132" s="15">
        <v>214.82</v>
      </c>
      <c r="AG132" s="15">
        <v>397.78</v>
      </c>
      <c r="AH132" s="15"/>
      <c r="AI132" s="15"/>
      <c r="AJ132" s="15">
        <f>SUM(AD132:AI132)</f>
        <v>1133.52</v>
      </c>
      <c r="AK132" s="15">
        <f>AJ132/1000</f>
        <v>1.1335200000000001</v>
      </c>
      <c r="AL132" s="177"/>
      <c r="AM132" s="137" t="s">
        <v>20</v>
      </c>
      <c r="AN132" s="131"/>
      <c r="AO132" s="131"/>
      <c r="AP132" s="349">
        <f t="shared" ref="AP132:AR132" si="52">AQ132-2</f>
        <v>45915</v>
      </c>
      <c r="AQ132" s="349">
        <f t="shared" si="52"/>
        <v>45917</v>
      </c>
      <c r="AR132" s="349">
        <f t="shared" si="52"/>
        <v>45919</v>
      </c>
      <c r="AS132" s="530">
        <v>45921</v>
      </c>
      <c r="AT132" s="25" t="s">
        <v>538</v>
      </c>
      <c r="AU132" s="178"/>
      <c r="AV132" s="137" t="s">
        <v>20</v>
      </c>
      <c r="AW132" s="15" t="s">
        <v>6</v>
      </c>
      <c r="AX132" s="278"/>
      <c r="AY132" s="278"/>
      <c r="AZ132" s="24"/>
      <c r="BA132" s="178"/>
      <c r="BB132" s="137" t="s">
        <v>20</v>
      </c>
      <c r="BC132" s="131"/>
      <c r="BD132" s="131"/>
      <c r="BE132" s="279">
        <f>BF132-2</f>
        <v>45968</v>
      </c>
      <c r="BF132" s="279">
        <v>45970</v>
      </c>
      <c r="BG132" s="25" t="s">
        <v>506</v>
      </c>
      <c r="BH132" s="188"/>
      <c r="BI132" s="137" t="s">
        <v>20</v>
      </c>
      <c r="BJ132" s="131"/>
      <c r="BK132" s="131"/>
      <c r="BL132" s="25">
        <v>1001</v>
      </c>
      <c r="BM132" s="24" t="s">
        <v>709</v>
      </c>
      <c r="BN132" s="191" t="s">
        <v>552</v>
      </c>
    </row>
    <row r="133" spans="1:66" ht="14.25" customHeight="1">
      <c r="A133" s="15" t="s">
        <v>0</v>
      </c>
      <c r="B133" s="19"/>
      <c r="C133" s="179"/>
      <c r="D133" s="130"/>
      <c r="E133" s="130"/>
      <c r="F133" s="130"/>
      <c r="G133" s="130"/>
      <c r="H133" s="180"/>
      <c r="I133" s="19"/>
      <c r="J133" s="19"/>
      <c r="K133" s="181"/>
      <c r="L133" s="173"/>
      <c r="M133" s="15"/>
      <c r="N133" s="15"/>
      <c r="O133" s="15"/>
      <c r="P133" s="175"/>
      <c r="Q133" s="173"/>
      <c r="R133" s="15"/>
      <c r="S133" s="175"/>
      <c r="T133" s="176"/>
      <c r="U133" s="176"/>
      <c r="V133" s="16">
        <v>428</v>
      </c>
      <c r="W133" s="15" t="s">
        <v>500</v>
      </c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77"/>
      <c r="AM133" s="15"/>
      <c r="AN133" s="24"/>
      <c r="AO133" s="24"/>
      <c r="AP133" s="24"/>
      <c r="AQ133" s="24"/>
      <c r="AR133" s="24"/>
      <c r="AS133" s="25"/>
      <c r="AT133" s="25"/>
      <c r="AU133" s="178"/>
      <c r="AV133" s="24"/>
      <c r="AW133" s="24"/>
      <c r="AX133" s="278"/>
      <c r="AY133" s="278"/>
      <c r="AZ133" s="24"/>
      <c r="BA133" s="178"/>
      <c r="BB133" s="24"/>
      <c r="BC133" s="24"/>
      <c r="BD133" s="24"/>
      <c r="BE133" s="24"/>
      <c r="BF133" s="24"/>
      <c r="BG133" s="24"/>
      <c r="BH133" s="178"/>
      <c r="BI133" s="24"/>
      <c r="BJ133" s="24"/>
      <c r="BK133" s="24"/>
      <c r="BL133" s="24"/>
      <c r="BM133" s="24"/>
      <c r="BN133" s="24"/>
    </row>
    <row r="134" spans="1:66" ht="14.25" customHeight="1">
      <c r="A134" s="15">
        <f t="shared" si="42"/>
        <v>63</v>
      </c>
      <c r="B134" s="19" t="s">
        <v>131</v>
      </c>
      <c r="C134" s="179" t="s">
        <v>89</v>
      </c>
      <c r="D134" s="130">
        <v>8.6300000000000008</v>
      </c>
      <c r="E134" s="130">
        <f>D134*4</f>
        <v>34.520000000000003</v>
      </c>
      <c r="F134" s="130">
        <f>E134*8</f>
        <v>276.16000000000003</v>
      </c>
      <c r="G134" s="130"/>
      <c r="H134" s="180"/>
      <c r="I134" s="19"/>
      <c r="J134" s="19"/>
      <c r="K134" s="181"/>
      <c r="L134" s="173">
        <v>3.867</v>
      </c>
      <c r="M134" s="15">
        <v>3.306</v>
      </c>
      <c r="N134" s="15">
        <v>5.0000000000000001E-3</v>
      </c>
      <c r="O134" s="15">
        <v>0.27600000000000002</v>
      </c>
      <c r="P134" s="175">
        <f t="shared" si="34"/>
        <v>7.4539999999999997</v>
      </c>
      <c r="Q134" s="173">
        <v>0.36299999999999999</v>
      </c>
      <c r="R134" s="15">
        <v>6.0000000000000001E-3</v>
      </c>
      <c r="S134" s="175">
        <f t="shared" si="35"/>
        <v>0.36899999999999999</v>
      </c>
      <c r="T134" s="176" t="s">
        <v>31</v>
      </c>
      <c r="U134" s="176" t="s">
        <v>569</v>
      </c>
      <c r="V134" s="15"/>
      <c r="W134" s="15"/>
      <c r="X134" s="15">
        <v>51.64</v>
      </c>
      <c r="Y134" s="15">
        <v>0.97</v>
      </c>
      <c r="Z134" s="15">
        <v>9.82</v>
      </c>
      <c r="AA134" s="15">
        <f t="shared" si="36"/>
        <v>10.790000000000001</v>
      </c>
      <c r="AB134" s="15">
        <v>83.456000000000003</v>
      </c>
      <c r="AC134" s="15">
        <v>4172.8</v>
      </c>
      <c r="AD134" s="15">
        <v>81.819999999999993</v>
      </c>
      <c r="AE134" s="15">
        <v>408.9</v>
      </c>
      <c r="AF134" s="15"/>
      <c r="AG134" s="15">
        <v>203.94</v>
      </c>
      <c r="AH134" s="15"/>
      <c r="AI134" s="15"/>
      <c r="AJ134" s="15">
        <v>694.66</v>
      </c>
      <c r="AK134" s="15">
        <v>0.69465999999999994</v>
      </c>
      <c r="AL134" s="177"/>
      <c r="AM134" s="137" t="s">
        <v>20</v>
      </c>
      <c r="AN134" s="131" t="s">
        <v>547</v>
      </c>
      <c r="AO134" s="131" t="s">
        <v>21</v>
      </c>
      <c r="AP134" s="349">
        <f>AQ134-2</f>
        <v>45811</v>
      </c>
      <c r="AQ134" s="349">
        <f>AR134-1</f>
        <v>45813</v>
      </c>
      <c r="AR134" s="349">
        <f>AS134-2</f>
        <v>45814</v>
      </c>
      <c r="AS134" s="530">
        <v>45816</v>
      </c>
      <c r="AT134" s="25" t="s">
        <v>549</v>
      </c>
      <c r="AU134" s="178"/>
      <c r="AV134" s="137" t="s">
        <v>20</v>
      </c>
      <c r="AW134" s="15" t="s">
        <v>6</v>
      </c>
      <c r="AX134" s="278">
        <f>AY134</f>
        <v>45820</v>
      </c>
      <c r="AY134" s="278">
        <v>45820</v>
      </c>
      <c r="AZ134" s="24" t="str">
        <f>AT134</f>
        <v>Shree shyam</v>
      </c>
      <c r="BA134" s="178"/>
      <c r="BB134" s="137" t="s">
        <v>20</v>
      </c>
      <c r="BC134" s="131"/>
      <c r="BD134" s="131" t="s">
        <v>570</v>
      </c>
      <c r="BE134" s="279">
        <f>BF134-2</f>
        <v>45831</v>
      </c>
      <c r="BF134" s="279">
        <v>45833</v>
      </c>
      <c r="BG134" s="25" t="s">
        <v>506</v>
      </c>
      <c r="BH134" s="189"/>
      <c r="BI134" s="137" t="s">
        <v>20</v>
      </c>
      <c r="BJ134" s="131"/>
      <c r="BK134" s="131"/>
      <c r="BL134" s="25">
        <v>1560</v>
      </c>
      <c r="BM134" s="24"/>
      <c r="BN134" s="192" t="s">
        <v>552</v>
      </c>
    </row>
    <row r="135" spans="1:66" ht="14.25" customHeight="1">
      <c r="A135" s="15" t="s">
        <v>0</v>
      </c>
      <c r="B135" s="19"/>
      <c r="C135" s="179"/>
      <c r="D135" s="130"/>
      <c r="E135" s="130"/>
      <c r="F135" s="130"/>
      <c r="G135" s="130"/>
      <c r="H135" s="180"/>
      <c r="I135" s="19"/>
      <c r="J135" s="19"/>
      <c r="K135" s="181"/>
      <c r="L135" s="173"/>
      <c r="M135" s="15"/>
      <c r="N135" s="15"/>
      <c r="O135" s="15"/>
      <c r="P135" s="175"/>
      <c r="Q135" s="173"/>
      <c r="R135" s="15"/>
      <c r="S135" s="175"/>
      <c r="T135" s="176"/>
      <c r="U135" s="176"/>
      <c r="V135" s="16">
        <v>419</v>
      </c>
      <c r="W135" s="15" t="s">
        <v>500</v>
      </c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77"/>
      <c r="AM135" s="15"/>
      <c r="AN135" s="24"/>
      <c r="AO135" s="24"/>
      <c r="AP135" s="24"/>
      <c r="AQ135" s="24"/>
      <c r="AR135" s="24"/>
      <c r="AS135" s="25"/>
      <c r="AT135" s="25"/>
      <c r="AU135" s="178"/>
      <c r="AV135" s="24"/>
      <c r="AW135" s="24"/>
      <c r="AX135" s="278"/>
      <c r="AY135" s="278"/>
      <c r="AZ135" s="24"/>
      <c r="BA135" s="178"/>
      <c r="BB135" s="24"/>
      <c r="BC135" s="24"/>
      <c r="BD135" s="24"/>
      <c r="BE135" s="24"/>
      <c r="BF135" s="24"/>
      <c r="BG135" s="24"/>
      <c r="BH135" s="178"/>
      <c r="BI135" s="24"/>
      <c r="BJ135" s="24"/>
      <c r="BK135" s="24"/>
      <c r="BL135" s="24"/>
      <c r="BM135" s="24"/>
      <c r="BN135" s="24"/>
    </row>
    <row r="136" spans="1:66" ht="14.25" customHeight="1">
      <c r="A136" s="15">
        <f t="shared" si="42"/>
        <v>64</v>
      </c>
      <c r="B136" s="19" t="s">
        <v>132</v>
      </c>
      <c r="C136" s="179" t="s">
        <v>70</v>
      </c>
      <c r="D136" s="130">
        <v>10.468</v>
      </c>
      <c r="E136" s="130">
        <f>D136*4</f>
        <v>41.872</v>
      </c>
      <c r="F136" s="130">
        <f>E136*8</f>
        <v>334.976</v>
      </c>
      <c r="G136" s="130"/>
      <c r="H136" s="180"/>
      <c r="I136" s="19"/>
      <c r="J136" s="19"/>
      <c r="K136" s="181"/>
      <c r="L136" s="173">
        <v>4.351</v>
      </c>
      <c r="M136" s="15">
        <v>4.2219999999999995</v>
      </c>
      <c r="N136" s="15">
        <v>5.0000000000000001E-3</v>
      </c>
      <c r="O136" s="15">
        <v>0.32100000000000001</v>
      </c>
      <c r="P136" s="175">
        <f t="shared" si="34"/>
        <v>8.8990000000000009</v>
      </c>
      <c r="Q136" s="173">
        <v>0.36299999999999999</v>
      </c>
      <c r="R136" s="15">
        <v>6.0000000000000001E-3</v>
      </c>
      <c r="S136" s="175">
        <f t="shared" si="35"/>
        <v>0.36899999999999999</v>
      </c>
      <c r="T136" s="176" t="s">
        <v>31</v>
      </c>
      <c r="U136" s="176" t="s">
        <v>569</v>
      </c>
      <c r="V136" s="15"/>
      <c r="W136" s="15"/>
      <c r="X136" s="15">
        <v>51.64</v>
      </c>
      <c r="Y136" s="15">
        <v>0.97</v>
      </c>
      <c r="Z136" s="15">
        <v>9.82</v>
      </c>
      <c r="AA136" s="15">
        <f t="shared" si="36"/>
        <v>10.790000000000001</v>
      </c>
      <c r="AB136" s="15">
        <v>83.456000000000003</v>
      </c>
      <c r="AC136" s="15">
        <v>4172.8</v>
      </c>
      <c r="AD136" s="15">
        <v>81.819999999999993</v>
      </c>
      <c r="AE136" s="15">
        <v>408.9</v>
      </c>
      <c r="AF136" s="15"/>
      <c r="AG136" s="15">
        <v>203.94</v>
      </c>
      <c r="AH136" s="15"/>
      <c r="AI136" s="15"/>
      <c r="AJ136" s="15">
        <v>694.66</v>
      </c>
      <c r="AK136" s="15">
        <v>0.69465999999999994</v>
      </c>
      <c r="AL136" s="177"/>
      <c r="AM136" s="137" t="s">
        <v>20</v>
      </c>
      <c r="AN136" s="131" t="str">
        <f>AO136</f>
        <v>D</v>
      </c>
      <c r="AO136" s="131" t="s">
        <v>21</v>
      </c>
      <c r="AP136" s="349">
        <v>45678</v>
      </c>
      <c r="AQ136" s="349">
        <f>AR136-3</f>
        <v>45679</v>
      </c>
      <c r="AR136" s="349">
        <f>AS136-2</f>
        <v>45682</v>
      </c>
      <c r="AS136" s="530">
        <v>45684</v>
      </c>
      <c r="AT136" s="25" t="s">
        <v>561</v>
      </c>
      <c r="AU136" s="178"/>
      <c r="AV136" s="137" t="s">
        <v>20</v>
      </c>
      <c r="AW136" s="15" t="s">
        <v>6</v>
      </c>
      <c r="AX136" s="278">
        <v>45662</v>
      </c>
      <c r="AY136" s="278">
        <v>45662</v>
      </c>
      <c r="AZ136" s="182" t="s">
        <v>539</v>
      </c>
      <c r="BA136" s="183"/>
      <c r="BB136" s="137" t="s">
        <v>20</v>
      </c>
      <c r="BC136" s="131"/>
      <c r="BD136" s="131" t="s">
        <v>570</v>
      </c>
      <c r="BE136" s="279">
        <f>BF136-2</f>
        <v>45817</v>
      </c>
      <c r="BF136" s="279">
        <v>45819</v>
      </c>
      <c r="BG136" s="17" t="s">
        <v>548</v>
      </c>
      <c r="BH136" s="189"/>
      <c r="BI136" s="137" t="s">
        <v>20</v>
      </c>
      <c r="BJ136" s="131"/>
      <c r="BK136" s="131"/>
      <c r="BL136" s="25">
        <v>2144</v>
      </c>
      <c r="BM136" s="24"/>
      <c r="BN136" s="24"/>
    </row>
    <row r="137" spans="1:66" ht="14.25" customHeight="1">
      <c r="A137" s="15" t="s">
        <v>0</v>
      </c>
      <c r="B137" s="19"/>
      <c r="C137" s="179"/>
      <c r="D137" s="130"/>
      <c r="E137" s="130"/>
      <c r="F137" s="130"/>
      <c r="G137" s="130"/>
      <c r="H137" s="180"/>
      <c r="I137" s="19"/>
      <c r="J137" s="19"/>
      <c r="K137" s="181"/>
      <c r="L137" s="173"/>
      <c r="M137" s="15"/>
      <c r="N137" s="15"/>
      <c r="O137" s="15"/>
      <c r="P137" s="175"/>
      <c r="Q137" s="173"/>
      <c r="R137" s="15"/>
      <c r="S137" s="175"/>
      <c r="T137" s="176"/>
      <c r="U137" s="176"/>
      <c r="V137" s="16">
        <v>345</v>
      </c>
      <c r="W137" s="15" t="s">
        <v>500</v>
      </c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77"/>
      <c r="AM137" s="15"/>
      <c r="AN137" s="24"/>
      <c r="AO137" s="24"/>
      <c r="AP137" s="24"/>
      <c r="AQ137" s="24"/>
      <c r="AR137" s="24"/>
      <c r="AS137" s="25"/>
      <c r="AT137" s="25"/>
      <c r="AU137" s="178"/>
      <c r="AV137" s="24"/>
      <c r="AW137" s="24"/>
      <c r="AX137" s="278"/>
      <c r="AY137" s="278"/>
      <c r="AZ137" s="24"/>
      <c r="BA137" s="178"/>
      <c r="BB137" s="24"/>
      <c r="BC137" s="24"/>
      <c r="BD137" s="24"/>
      <c r="BE137" s="24"/>
      <c r="BF137" s="24"/>
      <c r="BG137" s="24"/>
      <c r="BH137" s="178"/>
      <c r="BI137" s="24"/>
      <c r="BJ137" s="24"/>
      <c r="BK137" s="24"/>
      <c r="BL137" s="24"/>
      <c r="BM137" s="24"/>
      <c r="BN137" s="24"/>
    </row>
    <row r="138" spans="1:66" ht="14.25" customHeight="1">
      <c r="A138" s="15">
        <f t="shared" si="42"/>
        <v>65</v>
      </c>
      <c r="B138" s="19" t="s">
        <v>133</v>
      </c>
      <c r="C138" s="179" t="s">
        <v>37</v>
      </c>
      <c r="D138" s="130">
        <v>6.992</v>
      </c>
      <c r="E138" s="130">
        <f>D138*4</f>
        <v>27.968</v>
      </c>
      <c r="F138" s="130">
        <f>E138*8</f>
        <v>223.744</v>
      </c>
      <c r="G138" s="130"/>
      <c r="H138" s="180"/>
      <c r="I138" s="19"/>
      <c r="J138" s="19"/>
      <c r="K138" s="181"/>
      <c r="L138" s="173">
        <v>2.6070000000000002</v>
      </c>
      <c r="M138" s="15">
        <v>2.657</v>
      </c>
      <c r="N138" s="15">
        <v>2E-3</v>
      </c>
      <c r="O138" s="15">
        <v>0.21299999999999999</v>
      </c>
      <c r="P138" s="175">
        <f t="shared" si="34"/>
        <v>5.4790000000000001</v>
      </c>
      <c r="Q138" s="173">
        <v>0.24399999999999999</v>
      </c>
      <c r="R138" s="15">
        <v>5.0000000000000001E-3</v>
      </c>
      <c r="S138" s="175">
        <f t="shared" si="35"/>
        <v>0.249</v>
      </c>
      <c r="T138" s="176" t="s">
        <v>31</v>
      </c>
      <c r="U138" s="176" t="s">
        <v>569</v>
      </c>
      <c r="V138" s="15"/>
      <c r="W138" s="15"/>
      <c r="X138" s="15">
        <v>41.44</v>
      </c>
      <c r="Y138" s="15">
        <v>0.8</v>
      </c>
      <c r="Z138" s="15">
        <v>7.8</v>
      </c>
      <c r="AA138" s="15">
        <f t="shared" si="36"/>
        <v>8.6</v>
      </c>
      <c r="AB138" s="15">
        <v>66.42</v>
      </c>
      <c r="AC138" s="15">
        <v>3321</v>
      </c>
      <c r="AD138" s="15">
        <v>73.73</v>
      </c>
      <c r="AE138" s="15">
        <v>301.5</v>
      </c>
      <c r="AF138" s="15"/>
      <c r="AG138" s="15">
        <v>206.46</v>
      </c>
      <c r="AH138" s="15"/>
      <c r="AI138" s="15"/>
      <c r="AJ138" s="15">
        <v>581.69000000000005</v>
      </c>
      <c r="AK138" s="15">
        <v>0.58169000000000004</v>
      </c>
      <c r="AL138" s="177"/>
      <c r="AM138" s="137" t="s">
        <v>20</v>
      </c>
      <c r="AN138" s="131" t="s">
        <v>547</v>
      </c>
      <c r="AO138" s="131" t="s">
        <v>21</v>
      </c>
      <c r="AP138" s="349">
        <f>AQ138-1</f>
        <v>45809</v>
      </c>
      <c r="AQ138" s="349">
        <f t="shared" ref="AQ138:AR138" si="53">AR138-2</f>
        <v>45810</v>
      </c>
      <c r="AR138" s="349">
        <f t="shared" si="53"/>
        <v>45812</v>
      </c>
      <c r="AS138" s="530">
        <v>45814</v>
      </c>
      <c r="AT138" s="25" t="s">
        <v>539</v>
      </c>
      <c r="AU138" s="183"/>
      <c r="AV138" s="137" t="s">
        <v>20</v>
      </c>
      <c r="AW138" s="15" t="s">
        <v>6</v>
      </c>
      <c r="AX138" s="278">
        <f>AY138</f>
        <v>45820</v>
      </c>
      <c r="AY138" s="278">
        <v>45820</v>
      </c>
      <c r="AZ138" s="24" t="str">
        <f>AT138</f>
        <v>Ram Singh-1</v>
      </c>
      <c r="BA138" s="178"/>
      <c r="BB138" s="137" t="s">
        <v>20</v>
      </c>
      <c r="BC138" s="131"/>
      <c r="BD138" s="131" t="s">
        <v>571</v>
      </c>
      <c r="BE138" s="279">
        <v>45830</v>
      </c>
      <c r="BF138" s="279">
        <v>45832</v>
      </c>
      <c r="BG138" s="17" t="s">
        <v>548</v>
      </c>
      <c r="BH138" s="177"/>
      <c r="BI138" s="137" t="s">
        <v>20</v>
      </c>
      <c r="BJ138" s="131"/>
      <c r="BK138" s="131"/>
      <c r="BL138" s="25">
        <v>1330</v>
      </c>
      <c r="BM138" s="24"/>
      <c r="BN138" s="15"/>
    </row>
    <row r="139" spans="1:66" ht="14.25" customHeight="1">
      <c r="A139" s="15" t="s">
        <v>0</v>
      </c>
      <c r="B139" s="19"/>
      <c r="C139" s="179"/>
      <c r="D139" s="130"/>
      <c r="E139" s="130"/>
      <c r="F139" s="130"/>
      <c r="G139" s="130"/>
      <c r="H139" s="180"/>
      <c r="I139" s="19"/>
      <c r="J139" s="19"/>
      <c r="K139" s="181"/>
      <c r="L139" s="173"/>
      <c r="M139" s="15"/>
      <c r="N139" s="15"/>
      <c r="O139" s="15"/>
      <c r="P139" s="175"/>
      <c r="Q139" s="173"/>
      <c r="R139" s="15"/>
      <c r="S139" s="175"/>
      <c r="T139" s="176"/>
      <c r="U139" s="176"/>
      <c r="V139" s="16">
        <v>296</v>
      </c>
      <c r="W139" s="15" t="s">
        <v>500</v>
      </c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77"/>
      <c r="AM139" s="15"/>
      <c r="AN139" s="24"/>
      <c r="AO139" s="24"/>
      <c r="AP139" s="24"/>
      <c r="AQ139" s="24"/>
      <c r="AR139" s="24"/>
      <c r="AS139" s="25"/>
      <c r="AT139" s="25"/>
      <c r="AU139" s="178"/>
      <c r="AV139" s="24"/>
      <c r="AW139" s="24"/>
      <c r="AX139" s="278"/>
      <c r="AY139" s="278"/>
      <c r="AZ139" s="24"/>
      <c r="BA139" s="178"/>
      <c r="BB139" s="24"/>
      <c r="BC139" s="24"/>
      <c r="BD139" s="24"/>
      <c r="BE139" s="24"/>
      <c r="BF139" s="24"/>
      <c r="BG139" s="24"/>
      <c r="BH139" s="178"/>
      <c r="BI139" s="24"/>
      <c r="BJ139" s="24"/>
      <c r="BK139" s="24"/>
      <c r="BL139" s="24"/>
      <c r="BM139" s="24"/>
      <c r="BN139" s="24"/>
    </row>
    <row r="140" spans="1:66" ht="14.25" customHeight="1">
      <c r="A140" s="15">
        <f t="shared" si="42"/>
        <v>66</v>
      </c>
      <c r="B140" s="19" t="s">
        <v>134</v>
      </c>
      <c r="C140" s="179" t="s">
        <v>42</v>
      </c>
      <c r="D140" s="130">
        <v>6.3620000000000001</v>
      </c>
      <c r="E140" s="130">
        <f>D140*4</f>
        <v>25.448</v>
      </c>
      <c r="F140" s="130">
        <f>E140*8</f>
        <v>203.584</v>
      </c>
      <c r="G140" s="130"/>
      <c r="H140" s="180"/>
      <c r="I140" s="19"/>
      <c r="J140" s="19"/>
      <c r="K140" s="181"/>
      <c r="L140" s="173">
        <v>2.25</v>
      </c>
      <c r="M140" s="15">
        <v>2.1880000000000002</v>
      </c>
      <c r="N140" s="15">
        <v>2E-3</v>
      </c>
      <c r="O140" s="15">
        <v>0.183</v>
      </c>
      <c r="P140" s="175">
        <f t="shared" ref="P140:P202" si="54">SUM(L140:O140)</f>
        <v>4.6230000000000002</v>
      </c>
      <c r="Q140" s="173">
        <v>0.24399999999999999</v>
      </c>
      <c r="R140" s="15">
        <v>5.0000000000000001E-3</v>
      </c>
      <c r="S140" s="175">
        <f t="shared" ref="S140:S202" si="55">SUM(Q140:R140)</f>
        <v>0.249</v>
      </c>
      <c r="T140" s="176" t="s">
        <v>31</v>
      </c>
      <c r="U140" s="176" t="s">
        <v>569</v>
      </c>
      <c r="V140" s="15"/>
      <c r="W140" s="15"/>
      <c r="X140" s="15">
        <v>41.44</v>
      </c>
      <c r="Y140" s="15">
        <v>0.8</v>
      </c>
      <c r="Z140" s="15">
        <v>7.8</v>
      </c>
      <c r="AA140" s="15">
        <f t="shared" ref="AA140:AA202" si="56">Y140+Z140</f>
        <v>8.6</v>
      </c>
      <c r="AB140" s="15">
        <v>66.42</v>
      </c>
      <c r="AC140" s="15">
        <v>3321</v>
      </c>
      <c r="AD140" s="15">
        <v>73.73</v>
      </c>
      <c r="AE140" s="15">
        <v>301.5</v>
      </c>
      <c r="AF140" s="15"/>
      <c r="AG140" s="15">
        <v>206.46</v>
      </c>
      <c r="AH140" s="15"/>
      <c r="AI140" s="15"/>
      <c r="AJ140" s="15">
        <v>581.69000000000005</v>
      </c>
      <c r="AK140" s="15">
        <v>0.58169000000000004</v>
      </c>
      <c r="AL140" s="177"/>
      <c r="AM140" s="137" t="s">
        <v>20</v>
      </c>
      <c r="AN140" s="131" t="s">
        <v>547</v>
      </c>
      <c r="AO140" s="131" t="s">
        <v>21</v>
      </c>
      <c r="AP140" s="349">
        <f t="shared" ref="AP140:AR140" si="57">AQ140-2</f>
        <v>45767</v>
      </c>
      <c r="AQ140" s="349">
        <f t="shared" si="57"/>
        <v>45769</v>
      </c>
      <c r="AR140" s="349">
        <f t="shared" si="57"/>
        <v>45771</v>
      </c>
      <c r="AS140" s="530">
        <v>45773</v>
      </c>
      <c r="AT140" s="25" t="s">
        <v>539</v>
      </c>
      <c r="AU140" s="183"/>
      <c r="AV140" s="137" t="s">
        <v>20</v>
      </c>
      <c r="AW140" s="15" t="s">
        <v>6</v>
      </c>
      <c r="AX140" s="278">
        <f>AY140</f>
        <v>45661</v>
      </c>
      <c r="AY140" s="278">
        <v>45661</v>
      </c>
      <c r="AZ140" s="182" t="s">
        <v>539</v>
      </c>
      <c r="BA140" s="183"/>
      <c r="BB140" s="137" t="s">
        <v>20</v>
      </c>
      <c r="BC140" s="131"/>
      <c r="BD140" s="131" t="s">
        <v>571</v>
      </c>
      <c r="BE140" s="279">
        <f>BF140-2</f>
        <v>45829</v>
      </c>
      <c r="BF140" s="279">
        <v>45831</v>
      </c>
      <c r="BG140" s="17" t="s">
        <v>548</v>
      </c>
      <c r="BH140" s="177"/>
      <c r="BI140" s="137" t="s">
        <v>20</v>
      </c>
      <c r="BJ140" s="131"/>
      <c r="BK140" s="131"/>
      <c r="BL140" s="25">
        <v>980</v>
      </c>
      <c r="BM140" s="24"/>
      <c r="BN140" s="15"/>
    </row>
    <row r="141" spans="1:66" ht="14.25" customHeight="1">
      <c r="A141" s="15" t="s">
        <v>0</v>
      </c>
      <c r="B141" s="19"/>
      <c r="C141" s="179"/>
      <c r="D141" s="130"/>
      <c r="E141" s="130"/>
      <c r="F141" s="130"/>
      <c r="G141" s="130"/>
      <c r="H141" s="180"/>
      <c r="I141" s="19"/>
      <c r="J141" s="19"/>
      <c r="K141" s="181"/>
      <c r="L141" s="173"/>
      <c r="M141" s="15"/>
      <c r="N141" s="15"/>
      <c r="O141" s="15"/>
      <c r="P141" s="175"/>
      <c r="Q141" s="173"/>
      <c r="R141" s="15"/>
      <c r="S141" s="175"/>
      <c r="T141" s="176"/>
      <c r="U141" s="176"/>
      <c r="V141" s="16">
        <v>259</v>
      </c>
      <c r="W141" s="15" t="s">
        <v>500</v>
      </c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77"/>
      <c r="AM141" s="15"/>
      <c r="AN141" s="24"/>
      <c r="AO141" s="24"/>
      <c r="AP141" s="24"/>
      <c r="AQ141" s="24"/>
      <c r="AR141" s="24"/>
      <c r="AS141" s="25"/>
      <c r="AT141" s="25"/>
      <c r="AU141" s="178"/>
      <c r="AV141" s="24"/>
      <c r="AW141" s="24"/>
      <c r="AX141" s="278"/>
      <c r="AY141" s="278"/>
      <c r="AZ141" s="24"/>
      <c r="BA141" s="178"/>
      <c r="BB141" s="24"/>
      <c r="BC141" s="24"/>
      <c r="BD141" s="24"/>
      <c r="BE141" s="24"/>
      <c r="BF141" s="24"/>
      <c r="BG141" s="24"/>
      <c r="BH141" s="178"/>
      <c r="BI141" s="24"/>
      <c r="BJ141" s="24"/>
      <c r="BK141" s="24"/>
      <c r="BL141" s="24"/>
      <c r="BM141" s="24"/>
      <c r="BN141" s="24"/>
    </row>
    <row r="142" spans="1:66" ht="14.25" customHeight="1">
      <c r="A142" s="15">
        <f t="shared" si="42"/>
        <v>67</v>
      </c>
      <c r="B142" s="19" t="s">
        <v>135</v>
      </c>
      <c r="C142" s="179" t="s">
        <v>70</v>
      </c>
      <c r="D142" s="130">
        <v>10.468</v>
      </c>
      <c r="E142" s="130">
        <f>D142*4</f>
        <v>41.872</v>
      </c>
      <c r="F142" s="130">
        <f>E142*8</f>
        <v>334.976</v>
      </c>
      <c r="G142" s="130"/>
      <c r="H142" s="180"/>
      <c r="I142" s="19"/>
      <c r="J142" s="19"/>
      <c r="K142" s="181"/>
      <c r="L142" s="173">
        <v>4.351</v>
      </c>
      <c r="M142" s="15">
        <v>4.2219999999999995</v>
      </c>
      <c r="N142" s="15">
        <v>5.0000000000000001E-3</v>
      </c>
      <c r="O142" s="15">
        <v>0.32100000000000001</v>
      </c>
      <c r="P142" s="175">
        <f t="shared" si="54"/>
        <v>8.8990000000000009</v>
      </c>
      <c r="Q142" s="173">
        <v>0.36299999999999999</v>
      </c>
      <c r="R142" s="15">
        <v>6.0000000000000001E-3</v>
      </c>
      <c r="S142" s="175">
        <f t="shared" si="55"/>
        <v>0.36899999999999999</v>
      </c>
      <c r="T142" s="176" t="s">
        <v>31</v>
      </c>
      <c r="U142" s="176" t="s">
        <v>569</v>
      </c>
      <c r="V142" s="15"/>
      <c r="W142" s="15"/>
      <c r="X142" s="15">
        <v>51.64</v>
      </c>
      <c r="Y142" s="15">
        <v>0.97</v>
      </c>
      <c r="Z142" s="15">
        <v>9.82</v>
      </c>
      <c r="AA142" s="15">
        <f t="shared" si="56"/>
        <v>10.790000000000001</v>
      </c>
      <c r="AB142" s="15">
        <v>83.456000000000003</v>
      </c>
      <c r="AC142" s="15">
        <v>4172.8</v>
      </c>
      <c r="AD142" s="15">
        <v>81.819999999999993</v>
      </c>
      <c r="AE142" s="15">
        <v>408.9</v>
      </c>
      <c r="AF142" s="15"/>
      <c r="AG142" s="15">
        <v>203.94</v>
      </c>
      <c r="AH142" s="15"/>
      <c r="AI142" s="15"/>
      <c r="AJ142" s="15">
        <v>694.66</v>
      </c>
      <c r="AK142" s="15">
        <v>0.69465999999999994</v>
      </c>
      <c r="AL142" s="177"/>
      <c r="AM142" s="137" t="s">
        <v>20</v>
      </c>
      <c r="AN142" s="131" t="s">
        <v>547</v>
      </c>
      <c r="AO142" s="131" t="s">
        <v>21</v>
      </c>
      <c r="AP142" s="349">
        <f t="shared" ref="AP142:AR142" si="58">AQ142-2</f>
        <v>45766</v>
      </c>
      <c r="AQ142" s="349">
        <f t="shared" si="58"/>
        <v>45768</v>
      </c>
      <c r="AR142" s="349">
        <f t="shared" si="58"/>
        <v>45770</v>
      </c>
      <c r="AS142" s="530">
        <v>45772</v>
      </c>
      <c r="AT142" s="25" t="s">
        <v>539</v>
      </c>
      <c r="AU142" s="183"/>
      <c r="AV142" s="137" t="s">
        <v>20</v>
      </c>
      <c r="AW142" s="15" t="s">
        <v>6</v>
      </c>
      <c r="AX142" s="278">
        <f>AY142</f>
        <v>45661</v>
      </c>
      <c r="AY142" s="278">
        <v>45661</v>
      </c>
      <c r="AZ142" s="182" t="s">
        <v>539</v>
      </c>
      <c r="BA142" s="183"/>
      <c r="BB142" s="137" t="s">
        <v>20</v>
      </c>
      <c r="BC142" s="131"/>
      <c r="BD142" s="131" t="s">
        <v>570</v>
      </c>
      <c r="BE142" s="279">
        <f>BF142-2</f>
        <v>45833</v>
      </c>
      <c r="BF142" s="279">
        <v>45835</v>
      </c>
      <c r="BG142" s="17" t="s">
        <v>548</v>
      </c>
      <c r="BH142" s="187"/>
      <c r="BI142" s="137" t="s">
        <v>20</v>
      </c>
      <c r="BJ142" s="131"/>
      <c r="BK142" s="131"/>
      <c r="BL142" s="25">
        <v>2144</v>
      </c>
      <c r="BM142" s="24"/>
      <c r="BN142" s="24"/>
    </row>
    <row r="143" spans="1:66" ht="14.25" customHeight="1">
      <c r="A143" s="15" t="s">
        <v>0</v>
      </c>
      <c r="B143" s="19"/>
      <c r="C143" s="179"/>
      <c r="D143" s="130"/>
      <c r="E143" s="130"/>
      <c r="F143" s="130"/>
      <c r="G143" s="130"/>
      <c r="H143" s="180"/>
      <c r="I143" s="19"/>
      <c r="J143" s="19"/>
      <c r="K143" s="181"/>
      <c r="L143" s="173"/>
      <c r="M143" s="15"/>
      <c r="N143" s="15"/>
      <c r="O143" s="15"/>
      <c r="P143" s="175"/>
      <c r="Q143" s="173"/>
      <c r="R143" s="15"/>
      <c r="S143" s="175"/>
      <c r="T143" s="176"/>
      <c r="U143" s="176"/>
      <c r="V143" s="16">
        <v>343.87</v>
      </c>
      <c r="W143" s="15" t="s">
        <v>500</v>
      </c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77"/>
      <c r="AM143" s="15"/>
      <c r="AN143" s="24"/>
      <c r="AO143" s="24"/>
      <c r="AP143" s="24"/>
      <c r="AQ143" s="24"/>
      <c r="AR143" s="24"/>
      <c r="AS143" s="25"/>
      <c r="AT143" s="25"/>
      <c r="AU143" s="178"/>
      <c r="AV143" s="24"/>
      <c r="AW143" s="24"/>
      <c r="AX143" s="278"/>
      <c r="AY143" s="278"/>
      <c r="AZ143" s="24"/>
      <c r="BA143" s="178"/>
      <c r="BB143" s="24"/>
      <c r="BC143" s="24"/>
      <c r="BD143" s="24"/>
      <c r="BE143" s="24"/>
      <c r="BF143" s="24"/>
      <c r="BG143" s="24"/>
      <c r="BH143" s="178"/>
      <c r="BI143" s="24"/>
      <c r="BJ143" s="24"/>
      <c r="BK143" s="24"/>
      <c r="BL143" s="24"/>
      <c r="BM143" s="24"/>
      <c r="BN143" s="24"/>
    </row>
    <row r="144" spans="1:66" ht="14.25" customHeight="1">
      <c r="A144" s="15">
        <f t="shared" si="42"/>
        <v>68</v>
      </c>
      <c r="B144" s="19" t="s">
        <v>136</v>
      </c>
      <c r="C144" s="179" t="s">
        <v>70</v>
      </c>
      <c r="D144" s="130">
        <v>10.468</v>
      </c>
      <c r="E144" s="130">
        <f>D144*4</f>
        <v>41.872</v>
      </c>
      <c r="F144" s="130">
        <f>E144*8</f>
        <v>334.976</v>
      </c>
      <c r="G144" s="130"/>
      <c r="H144" s="180"/>
      <c r="I144" s="19"/>
      <c r="J144" s="19"/>
      <c r="K144" s="181"/>
      <c r="L144" s="173">
        <v>4.351</v>
      </c>
      <c r="M144" s="15">
        <v>4.2219999999999995</v>
      </c>
      <c r="N144" s="15">
        <v>5.0000000000000001E-3</v>
      </c>
      <c r="O144" s="15">
        <v>0.32100000000000001</v>
      </c>
      <c r="P144" s="175">
        <f t="shared" si="54"/>
        <v>8.8990000000000009</v>
      </c>
      <c r="Q144" s="173">
        <v>0.36299999999999999</v>
      </c>
      <c r="R144" s="15">
        <v>6.0000000000000001E-3</v>
      </c>
      <c r="S144" s="175">
        <f t="shared" si="55"/>
        <v>0.36899999999999999</v>
      </c>
      <c r="T144" s="176" t="s">
        <v>31</v>
      </c>
      <c r="U144" s="176" t="s">
        <v>569</v>
      </c>
      <c r="V144" s="15"/>
      <c r="W144" s="15"/>
      <c r="X144" s="15">
        <v>51.64</v>
      </c>
      <c r="Y144" s="15">
        <v>0.97</v>
      </c>
      <c r="Z144" s="15">
        <v>9.82</v>
      </c>
      <c r="AA144" s="15">
        <f t="shared" si="56"/>
        <v>10.790000000000001</v>
      </c>
      <c r="AB144" s="15">
        <v>83.456000000000003</v>
      </c>
      <c r="AC144" s="15">
        <v>4172.8</v>
      </c>
      <c r="AD144" s="15">
        <v>81.819999999999993</v>
      </c>
      <c r="AE144" s="15">
        <v>408.9</v>
      </c>
      <c r="AF144" s="15"/>
      <c r="AG144" s="15">
        <v>203.94</v>
      </c>
      <c r="AH144" s="15"/>
      <c r="AI144" s="15"/>
      <c r="AJ144" s="15">
        <v>694.66</v>
      </c>
      <c r="AK144" s="15">
        <v>0.69465999999999994</v>
      </c>
      <c r="AL144" s="177"/>
      <c r="AM144" s="137" t="s">
        <v>20</v>
      </c>
      <c r="AN144" s="131" t="s">
        <v>547</v>
      </c>
      <c r="AO144" s="131" t="s">
        <v>21</v>
      </c>
      <c r="AP144" s="349">
        <f t="shared" ref="AP144:AQ144" si="59">AQ144-2</f>
        <v>45807</v>
      </c>
      <c r="AQ144" s="349">
        <f t="shared" si="59"/>
        <v>45809</v>
      </c>
      <c r="AR144" s="349">
        <f>AS144-1</f>
        <v>45811</v>
      </c>
      <c r="AS144" s="530">
        <v>45812</v>
      </c>
      <c r="AT144" s="25" t="s">
        <v>539</v>
      </c>
      <c r="AU144" s="183"/>
      <c r="AV144" s="137" t="s">
        <v>20</v>
      </c>
      <c r="AW144" s="15" t="s">
        <v>6</v>
      </c>
      <c r="AX144" s="278">
        <v>45814</v>
      </c>
      <c r="AY144" s="278">
        <f>AX144</f>
        <v>45814</v>
      </c>
      <c r="AZ144" s="24" t="str">
        <f>AT144</f>
        <v>Ram Singh-1</v>
      </c>
      <c r="BA144" s="178"/>
      <c r="BB144" s="137" t="s">
        <v>20</v>
      </c>
      <c r="BC144" s="131"/>
      <c r="BD144" s="131" t="s">
        <v>570</v>
      </c>
      <c r="BE144" s="279">
        <f>BF144-2</f>
        <v>45828</v>
      </c>
      <c r="BF144" s="279">
        <v>45830</v>
      </c>
      <c r="BG144" s="25" t="s">
        <v>506</v>
      </c>
      <c r="BH144" s="187"/>
      <c r="BI144" s="137" t="s">
        <v>20</v>
      </c>
      <c r="BJ144" s="131"/>
      <c r="BK144" s="131"/>
      <c r="BL144" s="25">
        <v>2144</v>
      </c>
      <c r="BM144" s="24"/>
      <c r="BN144" s="195" t="s">
        <v>552</v>
      </c>
    </row>
    <row r="145" spans="1:68" ht="14.25" customHeight="1">
      <c r="A145" s="15" t="s">
        <v>0</v>
      </c>
      <c r="B145" s="19"/>
      <c r="C145" s="179"/>
      <c r="D145" s="130"/>
      <c r="E145" s="130"/>
      <c r="F145" s="130"/>
      <c r="G145" s="130"/>
      <c r="H145" s="180"/>
      <c r="I145" s="19"/>
      <c r="J145" s="19"/>
      <c r="K145" s="181"/>
      <c r="L145" s="173"/>
      <c r="M145" s="15"/>
      <c r="N145" s="15"/>
      <c r="O145" s="15"/>
      <c r="P145" s="175"/>
      <c r="Q145" s="173"/>
      <c r="R145" s="15"/>
      <c r="S145" s="175"/>
      <c r="T145" s="176"/>
      <c r="U145" s="176"/>
      <c r="V145" s="16">
        <v>499.13</v>
      </c>
      <c r="W145" s="15" t="s">
        <v>500</v>
      </c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77"/>
      <c r="AM145" s="15"/>
      <c r="AN145" s="24"/>
      <c r="AO145" s="24"/>
      <c r="AP145" s="24"/>
      <c r="AQ145" s="24"/>
      <c r="AR145" s="24"/>
      <c r="AS145" s="25"/>
      <c r="AT145" s="25"/>
      <c r="AU145" s="178"/>
      <c r="AV145" s="24"/>
      <c r="AW145" s="24"/>
      <c r="AX145" s="278"/>
      <c r="AY145" s="278"/>
      <c r="AZ145" s="24"/>
      <c r="BA145" s="178"/>
      <c r="BB145" s="24"/>
      <c r="BC145" s="24"/>
      <c r="BD145" s="24"/>
      <c r="BE145" s="24"/>
      <c r="BF145" s="24"/>
      <c r="BG145" s="24"/>
      <c r="BH145" s="178"/>
      <c r="BI145" s="24"/>
      <c r="BJ145" s="24"/>
      <c r="BK145" s="24"/>
      <c r="BL145" s="24"/>
      <c r="BM145" s="24"/>
      <c r="BN145" s="24"/>
      <c r="BO145" s="24"/>
    </row>
    <row r="146" spans="1:68" ht="14.25" customHeight="1">
      <c r="A146" s="15">
        <f t="shared" si="42"/>
        <v>69</v>
      </c>
      <c r="B146" s="19" t="s">
        <v>137</v>
      </c>
      <c r="C146" s="179" t="s">
        <v>76</v>
      </c>
      <c r="D146" s="130">
        <v>7.71</v>
      </c>
      <c r="E146" s="130">
        <f>D146*4</f>
        <v>30.84</v>
      </c>
      <c r="F146" s="130">
        <f>E146*8</f>
        <v>246.72</v>
      </c>
      <c r="G146" s="130">
        <v>1</v>
      </c>
      <c r="H146" s="180">
        <v>5</v>
      </c>
      <c r="I146" s="19">
        <v>4</v>
      </c>
      <c r="J146" s="19"/>
      <c r="K146" s="181"/>
      <c r="L146" s="173">
        <v>3.452</v>
      </c>
      <c r="M146" s="15">
        <v>2.633</v>
      </c>
      <c r="N146" s="15">
        <v>4.0000000000000001E-3</v>
      </c>
      <c r="O146" s="15">
        <v>0.24099999999999999</v>
      </c>
      <c r="P146" s="175">
        <f t="shared" si="54"/>
        <v>6.3299999999999992</v>
      </c>
      <c r="Q146" s="173">
        <v>0.36299999999999999</v>
      </c>
      <c r="R146" s="15">
        <v>6.0000000000000001E-3</v>
      </c>
      <c r="S146" s="175">
        <f t="shared" si="55"/>
        <v>0.36899999999999999</v>
      </c>
      <c r="T146" s="176" t="s">
        <v>31</v>
      </c>
      <c r="U146" s="176" t="s">
        <v>569</v>
      </c>
      <c r="V146" s="15"/>
      <c r="W146" s="15"/>
      <c r="X146" s="15">
        <v>58.8</v>
      </c>
      <c r="Y146" s="15">
        <v>1.085</v>
      </c>
      <c r="Z146" s="15">
        <v>18.73</v>
      </c>
      <c r="AA146" s="15">
        <f t="shared" si="56"/>
        <v>19.815000000000001</v>
      </c>
      <c r="AB146" s="15"/>
      <c r="AC146" s="15"/>
      <c r="AD146" s="15">
        <v>162.25</v>
      </c>
      <c r="AE146" s="15">
        <v>420.68</v>
      </c>
      <c r="AF146" s="15"/>
      <c r="AG146" s="15">
        <v>255.96</v>
      </c>
      <c r="AH146" s="15">
        <v>440.49</v>
      </c>
      <c r="AI146" s="15"/>
      <c r="AJ146" s="15">
        <f>SUM(AD146:AI146)</f>
        <v>1279.3800000000001</v>
      </c>
      <c r="AK146" s="15">
        <f>AJ146/1000</f>
        <v>1.2793800000000002</v>
      </c>
      <c r="AL146" s="177"/>
      <c r="AM146" s="137" t="s">
        <v>20</v>
      </c>
      <c r="AN146" s="131"/>
      <c r="AO146" s="131"/>
      <c r="AP146" s="349">
        <f t="shared" ref="AP146:AQ146" si="60">AQ146-2</f>
        <v>45972</v>
      </c>
      <c r="AQ146" s="349">
        <f t="shared" si="60"/>
        <v>45974</v>
      </c>
      <c r="AR146" s="349">
        <f>AS146-1</f>
        <v>45976</v>
      </c>
      <c r="AS146" s="530">
        <v>45977</v>
      </c>
      <c r="AT146" s="15" t="s">
        <v>553</v>
      </c>
      <c r="AU146" s="178"/>
      <c r="AV146" s="137" t="s">
        <v>20</v>
      </c>
      <c r="AW146" s="15" t="s">
        <v>6</v>
      </c>
      <c r="AX146" s="278"/>
      <c r="AY146" s="278"/>
      <c r="AZ146" s="24"/>
      <c r="BA146" s="178"/>
      <c r="BB146" s="137" t="s">
        <v>20</v>
      </c>
      <c r="BC146" s="131"/>
      <c r="BD146" s="131"/>
      <c r="BE146" s="279">
        <v>45990</v>
      </c>
      <c r="BF146" s="279">
        <v>45994</v>
      </c>
      <c r="BG146" s="15" t="s">
        <v>581</v>
      </c>
      <c r="BH146" s="177"/>
      <c r="BI146" s="15"/>
      <c r="BJ146" s="131"/>
      <c r="BK146" s="131"/>
      <c r="BL146" s="25">
        <v>1252</v>
      </c>
      <c r="BM146" s="24"/>
      <c r="BN146" s="191" t="s">
        <v>552</v>
      </c>
      <c r="BO146" s="192"/>
      <c r="BP146" s="140" t="s">
        <v>554</v>
      </c>
    </row>
    <row r="147" spans="1:68" ht="14.25" customHeight="1">
      <c r="A147" s="15" t="s">
        <v>0</v>
      </c>
      <c r="B147" s="19"/>
      <c r="C147" s="179"/>
      <c r="D147" s="130"/>
      <c r="E147" s="130"/>
      <c r="F147" s="130"/>
      <c r="G147" s="130"/>
      <c r="H147" s="180"/>
      <c r="I147" s="19"/>
      <c r="J147" s="19"/>
      <c r="K147" s="181"/>
      <c r="L147" s="173"/>
      <c r="M147" s="15"/>
      <c r="N147" s="15"/>
      <c r="O147" s="15"/>
      <c r="P147" s="175"/>
      <c r="Q147" s="173"/>
      <c r="R147" s="15"/>
      <c r="S147" s="175"/>
      <c r="T147" s="176"/>
      <c r="U147" s="176"/>
      <c r="V147" s="16">
        <v>434</v>
      </c>
      <c r="W147" s="15" t="s">
        <v>500</v>
      </c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77"/>
      <c r="AM147" s="15"/>
      <c r="AN147" s="24"/>
      <c r="AO147" s="24"/>
      <c r="AP147" s="24"/>
      <c r="AQ147" s="24"/>
      <c r="AR147" s="24"/>
      <c r="AS147" s="25"/>
      <c r="AT147" s="25"/>
      <c r="AU147" s="178"/>
      <c r="AV147" s="24"/>
      <c r="AW147" s="24"/>
      <c r="AX147" s="278"/>
      <c r="AY147" s="278"/>
      <c r="AZ147" s="24"/>
      <c r="BA147" s="178"/>
      <c r="BB147" s="24"/>
      <c r="BC147" s="24"/>
      <c r="BD147" s="24"/>
      <c r="BE147" s="24"/>
      <c r="BF147" s="24"/>
      <c r="BG147" s="24"/>
      <c r="BH147" s="178"/>
      <c r="BI147" s="24"/>
      <c r="BJ147" s="24"/>
      <c r="BK147" s="24"/>
      <c r="BL147" s="24"/>
      <c r="BM147" s="24"/>
      <c r="BN147" s="24"/>
      <c r="BO147" s="24"/>
    </row>
    <row r="148" spans="1:68" ht="14.25" customHeight="1">
      <c r="A148" s="15">
        <f t="shared" si="42"/>
        <v>70</v>
      </c>
      <c r="B148" s="19" t="s">
        <v>138</v>
      </c>
      <c r="C148" s="179" t="s">
        <v>70</v>
      </c>
      <c r="D148" s="130">
        <v>10.468</v>
      </c>
      <c r="E148" s="130">
        <f>D148*4</f>
        <v>41.872</v>
      </c>
      <c r="F148" s="130">
        <f>E148*8</f>
        <v>334.976</v>
      </c>
      <c r="G148" s="130"/>
      <c r="H148" s="180"/>
      <c r="I148" s="19"/>
      <c r="J148" s="19"/>
      <c r="K148" s="181"/>
      <c r="L148" s="173">
        <v>4.351</v>
      </c>
      <c r="M148" s="15">
        <v>4.2219999999999995</v>
      </c>
      <c r="N148" s="15">
        <v>5.0000000000000001E-3</v>
      </c>
      <c r="O148" s="15">
        <v>0.32100000000000001</v>
      </c>
      <c r="P148" s="175">
        <f t="shared" si="54"/>
        <v>8.8990000000000009</v>
      </c>
      <c r="Q148" s="173">
        <v>0.36299999999999999</v>
      </c>
      <c r="R148" s="15">
        <v>6.0000000000000001E-3</v>
      </c>
      <c r="S148" s="175">
        <f t="shared" si="55"/>
        <v>0.36899999999999999</v>
      </c>
      <c r="T148" s="176" t="s">
        <v>31</v>
      </c>
      <c r="U148" s="176" t="s">
        <v>569</v>
      </c>
      <c r="V148" s="15"/>
      <c r="W148" s="15"/>
      <c r="X148" s="15">
        <v>51.64</v>
      </c>
      <c r="Y148" s="15">
        <v>0.97</v>
      </c>
      <c r="Z148" s="15">
        <v>9.82</v>
      </c>
      <c r="AA148" s="15">
        <f t="shared" si="56"/>
        <v>10.790000000000001</v>
      </c>
      <c r="AB148" s="15">
        <v>83.456000000000003</v>
      </c>
      <c r="AC148" s="15">
        <v>4172.8</v>
      </c>
      <c r="AD148" s="15">
        <v>81.819999999999993</v>
      </c>
      <c r="AE148" s="15">
        <v>408.9</v>
      </c>
      <c r="AF148" s="15"/>
      <c r="AG148" s="15">
        <v>203.94</v>
      </c>
      <c r="AH148" s="15"/>
      <c r="AI148" s="15"/>
      <c r="AJ148" s="15">
        <v>694.66</v>
      </c>
      <c r="AK148" s="15">
        <v>0.69465999999999994</v>
      </c>
      <c r="AL148" s="177"/>
      <c r="AM148" s="137" t="s">
        <v>20</v>
      </c>
      <c r="AN148" s="131" t="s">
        <v>547</v>
      </c>
      <c r="AO148" s="131" t="s">
        <v>21</v>
      </c>
      <c r="AP148" s="349">
        <f>AQ148-1</f>
        <v>45798</v>
      </c>
      <c r="AQ148" s="349">
        <f t="shared" ref="AQ148:AR148" si="61">AR148-2</f>
        <v>45799</v>
      </c>
      <c r="AR148" s="349">
        <f t="shared" si="61"/>
        <v>45801</v>
      </c>
      <c r="AS148" s="530">
        <v>45803</v>
      </c>
      <c r="AT148" s="25" t="s">
        <v>539</v>
      </c>
      <c r="AU148" s="183"/>
      <c r="AV148" s="137" t="s">
        <v>20</v>
      </c>
      <c r="AW148" s="15" t="s">
        <v>6</v>
      </c>
      <c r="AX148" s="278">
        <v>45814</v>
      </c>
      <c r="AY148" s="278">
        <f>AX148</f>
        <v>45814</v>
      </c>
      <c r="AZ148" s="24" t="str">
        <f>AT148</f>
        <v>Ram Singh-1</v>
      </c>
      <c r="BA148" s="178"/>
      <c r="BB148" s="137" t="s">
        <v>20</v>
      </c>
      <c r="BC148" s="131"/>
      <c r="BD148" s="131" t="s">
        <v>570</v>
      </c>
      <c r="BE148" s="279">
        <f>BF148-2</f>
        <v>45828</v>
      </c>
      <c r="BF148" s="279">
        <v>45830</v>
      </c>
      <c r="BG148" s="17" t="s">
        <v>548</v>
      </c>
      <c r="BH148" s="187"/>
      <c r="BI148" s="137" t="s">
        <v>20</v>
      </c>
      <c r="BJ148" s="131">
        <v>46036</v>
      </c>
      <c r="BK148" s="131">
        <v>46036</v>
      </c>
      <c r="BL148" s="25">
        <v>2144</v>
      </c>
      <c r="BM148" s="24" t="s">
        <v>709</v>
      </c>
      <c r="BN148" s="195" t="s">
        <v>552</v>
      </c>
      <c r="BO148" s="192"/>
    </row>
    <row r="149" spans="1:68" ht="14.25" customHeight="1">
      <c r="A149" s="15" t="s">
        <v>0</v>
      </c>
      <c r="B149" s="19"/>
      <c r="C149" s="179"/>
      <c r="D149" s="130"/>
      <c r="E149" s="130"/>
      <c r="F149" s="130"/>
      <c r="G149" s="130"/>
      <c r="H149" s="180"/>
      <c r="I149" s="19"/>
      <c r="J149" s="19"/>
      <c r="K149" s="181"/>
      <c r="L149" s="173"/>
      <c r="M149" s="15"/>
      <c r="N149" s="15"/>
      <c r="O149" s="15"/>
      <c r="P149" s="175"/>
      <c r="Q149" s="173"/>
      <c r="R149" s="15"/>
      <c r="S149" s="175"/>
      <c r="T149" s="176"/>
      <c r="U149" s="176"/>
      <c r="V149" s="16">
        <v>295</v>
      </c>
      <c r="W149" s="15" t="s">
        <v>500</v>
      </c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77"/>
      <c r="AM149" s="15"/>
      <c r="AN149" s="24"/>
      <c r="AO149" s="24"/>
      <c r="AP149" s="24"/>
      <c r="AQ149" s="24"/>
      <c r="AR149" s="24"/>
      <c r="AS149" s="25"/>
      <c r="AT149" s="25"/>
      <c r="AU149" s="178"/>
      <c r="AV149" s="24"/>
      <c r="AW149" s="24"/>
      <c r="AX149" s="278"/>
      <c r="AY149" s="278"/>
      <c r="AZ149" s="24"/>
      <c r="BA149" s="178"/>
      <c r="BB149" s="24"/>
      <c r="BC149" s="24"/>
      <c r="BD149" s="24"/>
      <c r="BE149" s="24"/>
      <c r="BF149" s="24"/>
      <c r="BG149" s="24"/>
      <c r="BH149" s="178"/>
      <c r="BI149" s="24"/>
      <c r="BJ149" s="24"/>
      <c r="BK149" s="24"/>
      <c r="BL149" s="24"/>
      <c r="BM149" s="24"/>
      <c r="BN149" s="24"/>
      <c r="BO149" s="24"/>
    </row>
    <row r="150" spans="1:68" ht="14.25" customHeight="1">
      <c r="A150" s="15">
        <f t="shared" si="42"/>
        <v>71</v>
      </c>
      <c r="B150" s="19" t="s">
        <v>139</v>
      </c>
      <c r="C150" s="179" t="s">
        <v>42</v>
      </c>
      <c r="D150" s="130">
        <v>6.3620000000000001</v>
      </c>
      <c r="E150" s="130">
        <f>D150*4</f>
        <v>25.448</v>
      </c>
      <c r="F150" s="130">
        <f>E150*8</f>
        <v>203.584</v>
      </c>
      <c r="G150" s="130"/>
      <c r="H150" s="180"/>
      <c r="I150" s="19"/>
      <c r="J150" s="19"/>
      <c r="K150" s="181"/>
      <c r="L150" s="173">
        <v>2.25</v>
      </c>
      <c r="M150" s="15">
        <v>2.1880000000000002</v>
      </c>
      <c r="N150" s="15">
        <v>2E-3</v>
      </c>
      <c r="O150" s="15">
        <v>0.183</v>
      </c>
      <c r="P150" s="175">
        <f t="shared" si="54"/>
        <v>4.6230000000000002</v>
      </c>
      <c r="Q150" s="173">
        <v>0.24399999999999999</v>
      </c>
      <c r="R150" s="15">
        <v>5.0000000000000001E-3</v>
      </c>
      <c r="S150" s="175">
        <f t="shared" si="55"/>
        <v>0.249</v>
      </c>
      <c r="T150" s="176" t="s">
        <v>31</v>
      </c>
      <c r="U150" s="176" t="s">
        <v>569</v>
      </c>
      <c r="V150" s="15"/>
      <c r="W150" s="15"/>
      <c r="X150" s="15">
        <v>41.44</v>
      </c>
      <c r="Y150" s="15">
        <v>0.8</v>
      </c>
      <c r="Z150" s="15">
        <v>7.8</v>
      </c>
      <c r="AA150" s="15">
        <f t="shared" si="56"/>
        <v>8.6</v>
      </c>
      <c r="AB150" s="15">
        <v>66.42</v>
      </c>
      <c r="AC150" s="15">
        <v>3321</v>
      </c>
      <c r="AD150" s="15">
        <v>73.73</v>
      </c>
      <c r="AE150" s="15">
        <v>301.5</v>
      </c>
      <c r="AF150" s="15"/>
      <c r="AG150" s="15">
        <v>206.46</v>
      </c>
      <c r="AH150" s="15"/>
      <c r="AI150" s="15"/>
      <c r="AJ150" s="15">
        <v>581.69000000000005</v>
      </c>
      <c r="AK150" s="15">
        <v>0.58169000000000004</v>
      </c>
      <c r="AL150" s="177"/>
      <c r="AM150" s="137" t="s">
        <v>20</v>
      </c>
      <c r="AN150" s="131" t="s">
        <v>547</v>
      </c>
      <c r="AO150" s="131" t="s">
        <v>21</v>
      </c>
      <c r="AP150" s="349">
        <f t="shared" ref="AP150:AR150" si="62">AQ150-2</f>
        <v>45800</v>
      </c>
      <c r="AQ150" s="349">
        <f t="shared" si="62"/>
        <v>45802</v>
      </c>
      <c r="AR150" s="349">
        <f t="shared" si="62"/>
        <v>45804</v>
      </c>
      <c r="AS150" s="530">
        <v>45806</v>
      </c>
      <c r="AT150" s="25" t="s">
        <v>539</v>
      </c>
      <c r="AU150" s="183"/>
      <c r="AV150" s="137" t="s">
        <v>20</v>
      </c>
      <c r="AW150" s="15" t="s">
        <v>6</v>
      </c>
      <c r="AX150" s="278">
        <v>45814</v>
      </c>
      <c r="AY150" s="278">
        <f>AX150</f>
        <v>45814</v>
      </c>
      <c r="AZ150" s="24" t="str">
        <f>AT150</f>
        <v>Ram Singh-1</v>
      </c>
      <c r="BA150" s="178"/>
      <c r="BB150" s="137" t="s">
        <v>20</v>
      </c>
      <c r="BC150" s="131"/>
      <c r="BD150" s="131" t="s">
        <v>570</v>
      </c>
      <c r="BE150" s="279">
        <f>BF150-2</f>
        <v>45825</v>
      </c>
      <c r="BF150" s="279">
        <v>45827</v>
      </c>
      <c r="BG150" s="17" t="s">
        <v>548</v>
      </c>
      <c r="BH150" s="177"/>
      <c r="BI150" s="137" t="s">
        <v>20</v>
      </c>
      <c r="BJ150" s="131"/>
      <c r="BK150" s="131"/>
      <c r="BL150" s="25">
        <v>980</v>
      </c>
      <c r="BM150" s="24"/>
      <c r="BN150" s="15"/>
      <c r="BO150" s="15"/>
    </row>
    <row r="151" spans="1:68" ht="14.25" customHeight="1">
      <c r="A151" s="15" t="s">
        <v>0</v>
      </c>
      <c r="B151" s="19"/>
      <c r="C151" s="179"/>
      <c r="D151" s="130"/>
      <c r="E151" s="130"/>
      <c r="F151" s="130"/>
      <c r="G151" s="130"/>
      <c r="H151" s="180"/>
      <c r="I151" s="19"/>
      <c r="J151" s="19"/>
      <c r="K151" s="181"/>
      <c r="L151" s="173"/>
      <c r="M151" s="15"/>
      <c r="N151" s="15"/>
      <c r="O151" s="15"/>
      <c r="P151" s="175"/>
      <c r="Q151" s="173"/>
      <c r="R151" s="15"/>
      <c r="S151" s="175"/>
      <c r="T151" s="176"/>
      <c r="U151" s="176"/>
      <c r="V151" s="16">
        <v>326</v>
      </c>
      <c r="W151" s="15" t="s">
        <v>500</v>
      </c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77"/>
      <c r="AM151" s="15"/>
      <c r="AN151" s="24"/>
      <c r="AO151" s="24"/>
      <c r="AP151" s="24"/>
      <c r="AQ151" s="24"/>
      <c r="AR151" s="24"/>
      <c r="AS151" s="25"/>
      <c r="AT151" s="25"/>
      <c r="AU151" s="178"/>
      <c r="AV151" s="24"/>
      <c r="AW151" s="24"/>
      <c r="AX151" s="278"/>
      <c r="AY151" s="278"/>
      <c r="AZ151" s="24"/>
      <c r="BA151" s="178"/>
      <c r="BB151" s="24"/>
      <c r="BC151" s="24"/>
      <c r="BD151" s="24"/>
      <c r="BE151" s="24"/>
      <c r="BF151" s="24"/>
      <c r="BG151" s="24"/>
      <c r="BH151" s="178"/>
      <c r="BI151" s="24"/>
      <c r="BJ151" s="24"/>
      <c r="BK151" s="24"/>
      <c r="BL151" s="24"/>
      <c r="BM151" s="24"/>
      <c r="BN151" s="24"/>
      <c r="BO151" s="24"/>
    </row>
    <row r="152" spans="1:68" ht="14.25" customHeight="1">
      <c r="A152" s="15">
        <f t="shared" si="42"/>
        <v>72</v>
      </c>
      <c r="B152" s="19" t="s">
        <v>140</v>
      </c>
      <c r="C152" s="179" t="s">
        <v>56</v>
      </c>
      <c r="D152" s="130">
        <v>7.6219999999999999</v>
      </c>
      <c r="E152" s="130">
        <f>D152*4</f>
        <v>30.488</v>
      </c>
      <c r="F152" s="130">
        <f>E152*8</f>
        <v>243.904</v>
      </c>
      <c r="G152" s="130"/>
      <c r="H152" s="180"/>
      <c r="I152" s="19"/>
      <c r="J152" s="19"/>
      <c r="K152" s="181"/>
      <c r="L152" s="173">
        <v>2.6789999999999998</v>
      </c>
      <c r="M152" s="15">
        <v>3.133</v>
      </c>
      <c r="N152" s="15">
        <v>2.5000000000000001E-3</v>
      </c>
      <c r="O152" s="15">
        <v>0.23299999999999998</v>
      </c>
      <c r="P152" s="175">
        <f t="shared" si="54"/>
        <v>6.0474999999999994</v>
      </c>
      <c r="Q152" s="173">
        <v>0.24399999999999999</v>
      </c>
      <c r="R152" s="15">
        <v>5.0000000000000001E-3</v>
      </c>
      <c r="S152" s="175">
        <f t="shared" si="55"/>
        <v>0.249</v>
      </c>
      <c r="T152" s="176" t="s">
        <v>31</v>
      </c>
      <c r="U152" s="176" t="s">
        <v>569</v>
      </c>
      <c r="V152" s="15"/>
      <c r="W152" s="15"/>
      <c r="X152" s="15">
        <v>41.44</v>
      </c>
      <c r="Y152" s="15">
        <v>0.8</v>
      </c>
      <c r="Z152" s="15">
        <v>7.8</v>
      </c>
      <c r="AA152" s="15">
        <f t="shared" si="56"/>
        <v>8.6</v>
      </c>
      <c r="AB152" s="15">
        <v>66.42</v>
      </c>
      <c r="AC152" s="15">
        <v>3321</v>
      </c>
      <c r="AD152" s="15">
        <v>73.73</v>
      </c>
      <c r="AE152" s="15">
        <v>301.5</v>
      </c>
      <c r="AF152" s="15"/>
      <c r="AG152" s="15">
        <v>206.46</v>
      </c>
      <c r="AH152" s="15"/>
      <c r="AI152" s="15"/>
      <c r="AJ152" s="15">
        <v>581.69000000000005</v>
      </c>
      <c r="AK152" s="15">
        <v>0.58169000000000004</v>
      </c>
      <c r="AL152" s="177"/>
      <c r="AM152" s="137" t="s">
        <v>20</v>
      </c>
      <c r="AN152" s="131" t="s">
        <v>547</v>
      </c>
      <c r="AO152" s="131" t="s">
        <v>21</v>
      </c>
      <c r="AP152" s="349">
        <f>AQ152-1</f>
        <v>45797</v>
      </c>
      <c r="AQ152" s="349">
        <f t="shared" ref="AQ152:AR152" si="63">AR152-2</f>
        <v>45798</v>
      </c>
      <c r="AR152" s="349">
        <f t="shared" si="63"/>
        <v>45800</v>
      </c>
      <c r="AS152" s="530">
        <v>45802</v>
      </c>
      <c r="AT152" s="25" t="s">
        <v>539</v>
      </c>
      <c r="AU152" s="183"/>
      <c r="AV152" s="137" t="s">
        <v>20</v>
      </c>
      <c r="AW152" s="15" t="s">
        <v>6</v>
      </c>
      <c r="AX152" s="278">
        <v>45814</v>
      </c>
      <c r="AY152" s="278">
        <f>AX152</f>
        <v>45814</v>
      </c>
      <c r="AZ152" s="24" t="str">
        <f>AT152</f>
        <v>Ram Singh-1</v>
      </c>
      <c r="BA152" s="178"/>
      <c r="BB152" s="137" t="s">
        <v>20</v>
      </c>
      <c r="BC152" s="131"/>
      <c r="BD152" s="131" t="s">
        <v>570</v>
      </c>
      <c r="BE152" s="279">
        <f>BF152-1</f>
        <v>45821</v>
      </c>
      <c r="BF152" s="279">
        <v>45822</v>
      </c>
      <c r="BG152" s="17" t="s">
        <v>548</v>
      </c>
      <c r="BH152" s="177"/>
      <c r="BI152" s="137" t="s">
        <v>20</v>
      </c>
      <c r="BJ152" s="131"/>
      <c r="BK152" s="131"/>
      <c r="BL152" s="25">
        <v>1545</v>
      </c>
      <c r="BM152" s="24"/>
      <c r="BN152" s="15"/>
      <c r="BO152" s="15"/>
    </row>
    <row r="153" spans="1:68" ht="14.1" customHeight="1">
      <c r="A153" s="15" t="s">
        <v>0</v>
      </c>
      <c r="B153" s="19"/>
      <c r="C153" s="179"/>
      <c r="D153" s="130"/>
      <c r="E153" s="130"/>
      <c r="F153" s="130"/>
      <c r="G153" s="130"/>
      <c r="H153" s="180"/>
      <c r="I153" s="19"/>
      <c r="J153" s="19"/>
      <c r="K153" s="181"/>
      <c r="L153" s="173"/>
      <c r="M153" s="15"/>
      <c r="N153" s="15"/>
      <c r="O153" s="15"/>
      <c r="P153" s="175"/>
      <c r="Q153" s="173"/>
      <c r="R153" s="15"/>
      <c r="S153" s="175"/>
      <c r="T153" s="176"/>
      <c r="U153" s="176"/>
      <c r="V153" s="16">
        <v>298</v>
      </c>
      <c r="W153" s="15" t="s">
        <v>500</v>
      </c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77"/>
      <c r="AM153" s="15"/>
      <c r="AN153" s="24"/>
      <c r="AO153" s="24"/>
      <c r="AP153" s="24"/>
      <c r="AQ153" s="24"/>
      <c r="AR153" s="24"/>
      <c r="AS153" s="25"/>
      <c r="AT153" s="25"/>
      <c r="AU153" s="178"/>
      <c r="AV153" s="24"/>
      <c r="AW153" s="24"/>
      <c r="AX153" s="278"/>
      <c r="AY153" s="278"/>
      <c r="AZ153" s="24"/>
      <c r="BA153" s="178"/>
      <c r="BB153" s="24"/>
      <c r="BC153" s="24"/>
      <c r="BD153" s="24"/>
      <c r="BE153" s="24"/>
      <c r="BF153" s="24"/>
      <c r="BG153" s="24"/>
      <c r="BH153" s="178"/>
      <c r="BI153" s="24"/>
      <c r="BJ153" s="24"/>
      <c r="BK153" s="24"/>
      <c r="BL153" s="24"/>
      <c r="BM153" s="24"/>
      <c r="BN153" s="24"/>
      <c r="BO153" s="24"/>
    </row>
    <row r="154" spans="1:68" ht="14.25" customHeight="1">
      <c r="A154" s="15">
        <f t="shared" si="42"/>
        <v>73</v>
      </c>
      <c r="B154" s="19" t="s">
        <v>141</v>
      </c>
      <c r="C154" s="179" t="s">
        <v>89</v>
      </c>
      <c r="D154" s="130">
        <v>8.6300000000000008</v>
      </c>
      <c r="E154" s="130">
        <f>D154*4</f>
        <v>34.520000000000003</v>
      </c>
      <c r="F154" s="130">
        <f>E154*8</f>
        <v>276.16000000000003</v>
      </c>
      <c r="G154" s="130"/>
      <c r="H154" s="180"/>
      <c r="I154" s="19"/>
      <c r="J154" s="19"/>
      <c r="K154" s="181"/>
      <c r="L154" s="173">
        <v>3.867</v>
      </c>
      <c r="M154" s="15">
        <v>3.306</v>
      </c>
      <c r="N154" s="15">
        <v>5.0000000000000001E-3</v>
      </c>
      <c r="O154" s="15">
        <v>0.27600000000000002</v>
      </c>
      <c r="P154" s="175">
        <f t="shared" si="54"/>
        <v>7.4539999999999997</v>
      </c>
      <c r="Q154" s="173">
        <v>0.36299999999999999</v>
      </c>
      <c r="R154" s="15">
        <v>6.0000000000000001E-3</v>
      </c>
      <c r="S154" s="175">
        <f t="shared" si="55"/>
        <v>0.36899999999999999</v>
      </c>
      <c r="T154" s="176" t="s">
        <v>31</v>
      </c>
      <c r="U154" s="176" t="s">
        <v>569</v>
      </c>
      <c r="V154" s="15"/>
      <c r="W154" s="15"/>
      <c r="X154" s="15">
        <v>51.64</v>
      </c>
      <c r="Y154" s="15">
        <v>0.97</v>
      </c>
      <c r="Z154" s="15">
        <v>9.82</v>
      </c>
      <c r="AA154" s="15">
        <f t="shared" si="56"/>
        <v>10.790000000000001</v>
      </c>
      <c r="AB154" s="15">
        <v>83.456000000000003</v>
      </c>
      <c r="AC154" s="15">
        <v>4172.8</v>
      </c>
      <c r="AD154" s="15">
        <v>81.819999999999993</v>
      </c>
      <c r="AE154" s="15">
        <v>408.9</v>
      </c>
      <c r="AF154" s="15"/>
      <c r="AG154" s="15">
        <v>203.94</v>
      </c>
      <c r="AH154" s="15"/>
      <c r="AI154" s="15"/>
      <c r="AJ154" s="15">
        <v>694.66</v>
      </c>
      <c r="AK154" s="15">
        <v>0.69465999999999994</v>
      </c>
      <c r="AL154" s="177"/>
      <c r="AM154" s="137" t="s">
        <v>20</v>
      </c>
      <c r="AN154" s="131" t="s">
        <v>547</v>
      </c>
      <c r="AO154" s="131" t="s">
        <v>21</v>
      </c>
      <c r="AP154" s="349">
        <f>AQ154-1</f>
        <v>45802</v>
      </c>
      <c r="AQ154" s="349">
        <f t="shared" ref="AQ154:AR154" si="64">AR154-2</f>
        <v>45803</v>
      </c>
      <c r="AR154" s="349">
        <f t="shared" si="64"/>
        <v>45805</v>
      </c>
      <c r="AS154" s="530">
        <v>45807</v>
      </c>
      <c r="AT154" s="25" t="s">
        <v>539</v>
      </c>
      <c r="AU154" s="183"/>
      <c r="AV154" s="137" t="s">
        <v>20</v>
      </c>
      <c r="AW154" s="15" t="s">
        <v>6</v>
      </c>
      <c r="AX154" s="278">
        <v>45814</v>
      </c>
      <c r="AY154" s="278">
        <f>AX154</f>
        <v>45814</v>
      </c>
      <c r="AZ154" s="24" t="str">
        <f>AT154</f>
        <v>Ram Singh-1</v>
      </c>
      <c r="BA154" s="178"/>
      <c r="BB154" s="137" t="s">
        <v>20</v>
      </c>
      <c r="BC154" s="131"/>
      <c r="BD154" s="131" t="s">
        <v>570</v>
      </c>
      <c r="BE154" s="279">
        <f>BF154-2</f>
        <v>45823</v>
      </c>
      <c r="BF154" s="279">
        <v>45825</v>
      </c>
      <c r="BG154" s="17" t="s">
        <v>548</v>
      </c>
      <c r="BH154" s="188"/>
      <c r="BI154" s="137" t="s">
        <v>20</v>
      </c>
      <c r="BJ154" s="17">
        <v>46037</v>
      </c>
      <c r="BK154" s="17">
        <v>46037</v>
      </c>
      <c r="BL154" s="25">
        <v>1560</v>
      </c>
      <c r="BM154" s="24" t="s">
        <v>709</v>
      </c>
      <c r="BN154" s="195" t="s">
        <v>552</v>
      </c>
      <c r="BO154" s="192"/>
    </row>
    <row r="155" spans="1:68" ht="14.25" customHeight="1">
      <c r="A155" s="15" t="s">
        <v>0</v>
      </c>
      <c r="B155" s="19"/>
      <c r="C155" s="179"/>
      <c r="D155" s="130"/>
      <c r="E155" s="130"/>
      <c r="F155" s="130"/>
      <c r="G155" s="130"/>
      <c r="H155" s="180"/>
      <c r="I155" s="19"/>
      <c r="J155" s="19"/>
      <c r="K155" s="181"/>
      <c r="L155" s="173"/>
      <c r="M155" s="15"/>
      <c r="N155" s="15"/>
      <c r="O155" s="15"/>
      <c r="P155" s="175"/>
      <c r="Q155" s="173"/>
      <c r="R155" s="15"/>
      <c r="S155" s="175"/>
      <c r="T155" s="176"/>
      <c r="U155" s="176"/>
      <c r="V155" s="16">
        <v>489</v>
      </c>
      <c r="W155" s="15" t="s">
        <v>500</v>
      </c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77"/>
      <c r="AM155" s="15"/>
      <c r="AN155" s="24"/>
      <c r="AO155" s="24"/>
      <c r="AP155" s="24"/>
      <c r="AQ155" s="24"/>
      <c r="AR155" s="24"/>
      <c r="AS155" s="25"/>
      <c r="AT155" s="25"/>
      <c r="AU155" s="178"/>
      <c r="AV155" s="24"/>
      <c r="AW155" s="24"/>
      <c r="AX155" s="278"/>
      <c r="AY155" s="278"/>
      <c r="AZ155" s="24"/>
      <c r="BA155" s="178"/>
      <c r="BB155" s="24"/>
      <c r="BC155" s="24"/>
      <c r="BD155" s="24"/>
      <c r="BE155" s="24"/>
      <c r="BF155" s="24"/>
      <c r="BG155" s="24"/>
      <c r="BH155" s="178"/>
      <c r="BI155" s="24"/>
      <c r="BJ155" s="24"/>
      <c r="BK155" s="24"/>
      <c r="BL155" s="24"/>
      <c r="BM155" s="24"/>
      <c r="BN155" s="24"/>
      <c r="BO155" s="24"/>
    </row>
    <row r="156" spans="1:68" ht="14.25" customHeight="1">
      <c r="A156" s="15">
        <f t="shared" ref="A156:A218" si="65">A154+1</f>
        <v>74</v>
      </c>
      <c r="B156" s="19" t="s">
        <v>142</v>
      </c>
      <c r="C156" s="179" t="s">
        <v>89</v>
      </c>
      <c r="D156" s="130">
        <v>8.6300000000000008</v>
      </c>
      <c r="E156" s="130">
        <f>D156*4</f>
        <v>34.520000000000003</v>
      </c>
      <c r="F156" s="130">
        <f>E156*8</f>
        <v>276.16000000000003</v>
      </c>
      <c r="G156" s="130"/>
      <c r="H156" s="180"/>
      <c r="I156" s="19"/>
      <c r="J156" s="19"/>
      <c r="K156" s="181"/>
      <c r="L156" s="173">
        <v>3.867</v>
      </c>
      <c r="M156" s="15">
        <v>3.306</v>
      </c>
      <c r="N156" s="15">
        <v>5.0000000000000001E-3</v>
      </c>
      <c r="O156" s="15">
        <v>0.27600000000000002</v>
      </c>
      <c r="P156" s="175">
        <f t="shared" si="54"/>
        <v>7.4539999999999997</v>
      </c>
      <c r="Q156" s="173">
        <v>0.36299999999999999</v>
      </c>
      <c r="R156" s="15">
        <v>6.0000000000000001E-3</v>
      </c>
      <c r="S156" s="175">
        <f t="shared" si="55"/>
        <v>0.36899999999999999</v>
      </c>
      <c r="T156" s="176" t="s">
        <v>31</v>
      </c>
      <c r="U156" s="176" t="s">
        <v>569</v>
      </c>
      <c r="V156" s="15"/>
      <c r="W156" s="15"/>
      <c r="X156" s="15">
        <v>51.64</v>
      </c>
      <c r="Y156" s="15">
        <v>0.97</v>
      </c>
      <c r="Z156" s="15">
        <v>9.82</v>
      </c>
      <c r="AA156" s="15">
        <f t="shared" si="56"/>
        <v>10.790000000000001</v>
      </c>
      <c r="AB156" s="15">
        <v>83.456000000000003</v>
      </c>
      <c r="AC156" s="15">
        <v>4172.8</v>
      </c>
      <c r="AD156" s="15">
        <v>81.819999999999993</v>
      </c>
      <c r="AE156" s="15">
        <v>408.9</v>
      </c>
      <c r="AF156" s="15"/>
      <c r="AG156" s="15">
        <v>203.94</v>
      </c>
      <c r="AH156" s="15"/>
      <c r="AI156" s="15"/>
      <c r="AJ156" s="15">
        <v>694.66</v>
      </c>
      <c r="AK156" s="15">
        <v>0.69465999999999994</v>
      </c>
      <c r="AL156" s="177"/>
      <c r="AM156" s="137" t="s">
        <v>20</v>
      </c>
      <c r="AN156" s="131"/>
      <c r="AO156" s="131"/>
      <c r="AP156" s="349">
        <f t="shared" ref="AP156:AR156" si="66">AQ156-2</f>
        <v>45798</v>
      </c>
      <c r="AQ156" s="349">
        <f t="shared" si="66"/>
        <v>45800</v>
      </c>
      <c r="AR156" s="349">
        <f t="shared" si="66"/>
        <v>45802</v>
      </c>
      <c r="AS156" s="530">
        <v>45804</v>
      </c>
      <c r="AT156" s="25" t="s">
        <v>572</v>
      </c>
      <c r="AU156" s="183"/>
      <c r="AV156" s="137" t="s">
        <v>20</v>
      </c>
      <c r="AW156" s="15" t="s">
        <v>6</v>
      </c>
      <c r="AX156" s="278">
        <v>45814</v>
      </c>
      <c r="AY156" s="278">
        <f>AX156</f>
        <v>45814</v>
      </c>
      <c r="AZ156" s="24" t="str">
        <f>AT156</f>
        <v>Viki Enterprice</v>
      </c>
      <c r="BA156" s="178"/>
      <c r="BB156" s="137" t="s">
        <v>20</v>
      </c>
      <c r="BC156" s="131"/>
      <c r="BD156" s="131" t="s">
        <v>570</v>
      </c>
      <c r="BE156" s="279">
        <f>BF156-2</f>
        <v>45844</v>
      </c>
      <c r="BF156" s="279">
        <v>45846</v>
      </c>
      <c r="BG156" s="17" t="s">
        <v>548</v>
      </c>
      <c r="BH156" s="188"/>
      <c r="BI156" s="137" t="s">
        <v>20</v>
      </c>
      <c r="BJ156" s="17"/>
      <c r="BK156" s="17"/>
      <c r="BL156" s="25">
        <v>1560</v>
      </c>
      <c r="BM156" s="24"/>
      <c r="BN156" s="195" t="s">
        <v>552</v>
      </c>
      <c r="BO156" s="192"/>
      <c r="BP156" s="140" t="s">
        <v>554</v>
      </c>
    </row>
    <row r="157" spans="1:68" ht="14.25" customHeight="1">
      <c r="A157" s="15" t="s">
        <v>0</v>
      </c>
      <c r="B157" s="19"/>
      <c r="C157" s="179"/>
      <c r="D157" s="130"/>
      <c r="E157" s="130"/>
      <c r="F157" s="130"/>
      <c r="G157" s="130"/>
      <c r="H157" s="180"/>
      <c r="I157" s="19"/>
      <c r="J157" s="19"/>
      <c r="K157" s="181"/>
      <c r="L157" s="173"/>
      <c r="M157" s="15"/>
      <c r="N157" s="15"/>
      <c r="O157" s="15"/>
      <c r="P157" s="175"/>
      <c r="Q157" s="173"/>
      <c r="R157" s="15"/>
      <c r="S157" s="175"/>
      <c r="T157" s="176"/>
      <c r="U157" s="176"/>
      <c r="V157" s="16">
        <v>382.48</v>
      </c>
      <c r="W157" s="15" t="s">
        <v>500</v>
      </c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77"/>
      <c r="AM157" s="15"/>
      <c r="AN157" s="24"/>
      <c r="AO157" s="24"/>
      <c r="AP157" s="24"/>
      <c r="AQ157" s="24"/>
      <c r="AR157" s="24"/>
      <c r="AS157" s="25"/>
      <c r="AT157" s="25"/>
      <c r="AU157" s="178"/>
      <c r="AV157" s="24"/>
      <c r="AW157" s="24"/>
      <c r="AX157" s="278"/>
      <c r="AY157" s="278"/>
      <c r="AZ157" s="24"/>
      <c r="BA157" s="178"/>
      <c r="BB157" s="24"/>
      <c r="BC157" s="24"/>
      <c r="BD157" s="24"/>
      <c r="BE157" s="24"/>
      <c r="BF157" s="24"/>
      <c r="BG157" s="24"/>
      <c r="BH157" s="178"/>
      <c r="BI157" s="24"/>
      <c r="BJ157" s="24"/>
      <c r="BK157" s="24"/>
      <c r="BL157" s="24"/>
      <c r="BM157" s="24"/>
      <c r="BN157" s="24"/>
      <c r="BO157" s="24"/>
    </row>
    <row r="158" spans="1:68" ht="14.25" customHeight="1">
      <c r="A158" s="15">
        <f t="shared" si="65"/>
        <v>75</v>
      </c>
      <c r="B158" s="19" t="s">
        <v>144</v>
      </c>
      <c r="C158" s="179" t="s">
        <v>46</v>
      </c>
      <c r="D158" s="130">
        <v>8.6259999999999994</v>
      </c>
      <c r="E158" s="130">
        <f>D158*4</f>
        <v>34.503999999999998</v>
      </c>
      <c r="F158" s="130">
        <f>E158*8</f>
        <v>276.03199999999998</v>
      </c>
      <c r="G158" s="130"/>
      <c r="H158" s="180"/>
      <c r="I158" s="19"/>
      <c r="J158" s="19"/>
      <c r="K158" s="181"/>
      <c r="L158" s="173">
        <v>4.5380000000000003</v>
      </c>
      <c r="M158" s="15">
        <v>3.2290000000000001</v>
      </c>
      <c r="N158" s="15">
        <v>6.4000000000000003E-3</v>
      </c>
      <c r="O158" s="15">
        <v>0.42899999999999999</v>
      </c>
      <c r="P158" s="175">
        <f t="shared" si="54"/>
        <v>8.2024000000000008</v>
      </c>
      <c r="Q158" s="173">
        <v>0.436</v>
      </c>
      <c r="R158" s="15">
        <v>0.01</v>
      </c>
      <c r="S158" s="175">
        <f t="shared" si="55"/>
        <v>0.44600000000000001</v>
      </c>
      <c r="T158" s="176" t="s">
        <v>143</v>
      </c>
      <c r="U158" s="176" t="s">
        <v>569</v>
      </c>
      <c r="V158" s="15"/>
      <c r="W158" s="15"/>
      <c r="X158" s="15">
        <v>75.36</v>
      </c>
      <c r="Y158" s="15">
        <v>1.35</v>
      </c>
      <c r="Z158" s="15">
        <v>12.85</v>
      </c>
      <c r="AA158" s="15">
        <f t="shared" si="56"/>
        <v>14.2</v>
      </c>
      <c r="AB158" s="15">
        <v>109.565</v>
      </c>
      <c r="AC158" s="15">
        <v>5478.25</v>
      </c>
      <c r="AD158" s="15">
        <v>81.819999999999993</v>
      </c>
      <c r="AE158" s="15">
        <v>599.6</v>
      </c>
      <c r="AF158" s="15"/>
      <c r="AG158" s="15">
        <v>201.4</v>
      </c>
      <c r="AH158" s="15"/>
      <c r="AI158" s="15"/>
      <c r="AJ158" s="15">
        <v>882.82</v>
      </c>
      <c r="AK158" s="15">
        <v>0.88282000000000005</v>
      </c>
      <c r="AL158" s="177"/>
      <c r="AM158" s="137" t="s">
        <v>20</v>
      </c>
      <c r="AN158" s="131" t="s">
        <v>547</v>
      </c>
      <c r="AO158" s="131" t="s">
        <v>21</v>
      </c>
      <c r="AP158" s="349">
        <f>AQ158-1</f>
        <v>45790</v>
      </c>
      <c r="AQ158" s="349">
        <f t="shared" ref="AQ158:AR158" si="67">AR158-2</f>
        <v>45791</v>
      </c>
      <c r="AR158" s="349">
        <f t="shared" si="67"/>
        <v>45793</v>
      </c>
      <c r="AS158" s="530">
        <v>45795</v>
      </c>
      <c r="AT158" s="25" t="s">
        <v>572</v>
      </c>
      <c r="AU158" s="183"/>
      <c r="AV158" s="137" t="s">
        <v>20</v>
      </c>
      <c r="AW158" s="15" t="s">
        <v>6</v>
      </c>
      <c r="AX158" s="278">
        <v>45814</v>
      </c>
      <c r="AY158" s="278">
        <f>AX158</f>
        <v>45814</v>
      </c>
      <c r="AZ158" s="24" t="str">
        <f>AT158</f>
        <v>Viki Enterprice</v>
      </c>
      <c r="BA158" s="178"/>
      <c r="BB158" s="137" t="s">
        <v>20</v>
      </c>
      <c r="BC158" s="131"/>
      <c r="BD158" s="131" t="s">
        <v>570</v>
      </c>
      <c r="BE158" s="279">
        <f>BF158-2</f>
        <v>45840</v>
      </c>
      <c r="BF158" s="279">
        <v>45842</v>
      </c>
      <c r="BG158" s="17" t="s">
        <v>548</v>
      </c>
      <c r="BH158" s="177"/>
      <c r="BI158" s="137" t="s">
        <v>20</v>
      </c>
      <c r="BJ158" s="17"/>
      <c r="BK158" s="17"/>
      <c r="BL158" s="25">
        <v>1433</v>
      </c>
      <c r="BM158" s="185" t="s">
        <v>541</v>
      </c>
      <c r="BN158" s="24"/>
      <c r="BO158" s="24"/>
    </row>
    <row r="159" spans="1:68" ht="14.25" customHeight="1">
      <c r="A159" s="15" t="s">
        <v>0</v>
      </c>
      <c r="B159" s="19"/>
      <c r="C159" s="179"/>
      <c r="D159" s="130"/>
      <c r="E159" s="130"/>
      <c r="F159" s="130"/>
      <c r="G159" s="130"/>
      <c r="H159" s="180"/>
      <c r="I159" s="19"/>
      <c r="J159" s="19"/>
      <c r="K159" s="181"/>
      <c r="L159" s="173"/>
      <c r="M159" s="15"/>
      <c r="N159" s="15"/>
      <c r="O159" s="15"/>
      <c r="P159" s="175"/>
      <c r="Q159" s="173"/>
      <c r="R159" s="15"/>
      <c r="S159" s="175"/>
      <c r="T159" s="198"/>
      <c r="U159" s="198"/>
      <c r="V159" s="15">
        <v>372.4</v>
      </c>
      <c r="W159" s="15" t="s">
        <v>500</v>
      </c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77"/>
      <c r="AM159" s="15"/>
      <c r="AN159" s="24"/>
      <c r="AO159" s="24"/>
      <c r="AP159" s="24"/>
      <c r="AQ159" s="24"/>
      <c r="AR159" s="24"/>
      <c r="AS159" s="25"/>
      <c r="AT159" s="25"/>
      <c r="AU159" s="178"/>
      <c r="AV159" s="24"/>
      <c r="AW159" s="24"/>
      <c r="AX159" s="278"/>
      <c r="AY159" s="278"/>
      <c r="AZ159" s="24"/>
      <c r="BA159" s="178"/>
      <c r="BB159" s="24"/>
      <c r="BC159" s="24"/>
      <c r="BD159" s="24"/>
      <c r="BE159" s="24"/>
      <c r="BF159" s="24"/>
      <c r="BG159" s="24"/>
      <c r="BH159" s="178"/>
      <c r="BI159" s="24"/>
      <c r="BJ159" s="24"/>
      <c r="BK159" s="24"/>
      <c r="BL159" s="24"/>
      <c r="BM159" s="24"/>
      <c r="BN159" s="24"/>
      <c r="BO159" s="24"/>
    </row>
    <row r="160" spans="1:68" ht="14.25" customHeight="1">
      <c r="A160" s="15">
        <f t="shared" si="65"/>
        <v>76</v>
      </c>
      <c r="B160" s="19" t="s">
        <v>145</v>
      </c>
      <c r="C160" s="179" t="s">
        <v>42</v>
      </c>
      <c r="D160" s="130">
        <v>6.3620000000000001</v>
      </c>
      <c r="E160" s="130">
        <f>D160*4</f>
        <v>25.448</v>
      </c>
      <c r="F160" s="130">
        <f>E160*8</f>
        <v>203.584</v>
      </c>
      <c r="G160" s="130"/>
      <c r="H160" s="180"/>
      <c r="I160" s="19"/>
      <c r="J160" s="19"/>
      <c r="K160" s="181"/>
      <c r="L160" s="173">
        <v>2.25</v>
      </c>
      <c r="M160" s="15">
        <v>2.1880000000000002</v>
      </c>
      <c r="N160" s="15">
        <v>2E-3</v>
      </c>
      <c r="O160" s="15">
        <v>0.183</v>
      </c>
      <c r="P160" s="175">
        <f t="shared" si="54"/>
        <v>4.6230000000000002</v>
      </c>
      <c r="Q160" s="173">
        <v>0.24399999999999999</v>
      </c>
      <c r="R160" s="15">
        <v>5.0000000000000001E-3</v>
      </c>
      <c r="S160" s="175">
        <f t="shared" si="55"/>
        <v>0.249</v>
      </c>
      <c r="T160" s="198" t="s">
        <v>31</v>
      </c>
      <c r="U160" s="176" t="s">
        <v>569</v>
      </c>
      <c r="V160" s="15"/>
      <c r="W160" s="15"/>
      <c r="X160" s="15">
        <v>41.44</v>
      </c>
      <c r="Y160" s="15">
        <v>0.8</v>
      </c>
      <c r="Z160" s="15">
        <v>7.8</v>
      </c>
      <c r="AA160" s="15">
        <f t="shared" si="56"/>
        <v>8.6</v>
      </c>
      <c r="AB160" s="15">
        <v>66.42</v>
      </c>
      <c r="AC160" s="15">
        <v>3321</v>
      </c>
      <c r="AD160" s="15">
        <v>73.73</v>
      </c>
      <c r="AE160" s="15">
        <v>301.5</v>
      </c>
      <c r="AF160" s="15"/>
      <c r="AG160" s="15">
        <v>206.46</v>
      </c>
      <c r="AH160" s="15"/>
      <c r="AI160" s="15"/>
      <c r="AJ160" s="15">
        <v>581.69000000000005</v>
      </c>
      <c r="AK160" s="15">
        <v>0.58169000000000004</v>
      </c>
      <c r="AL160" s="177"/>
      <c r="AM160" s="137" t="s">
        <v>20</v>
      </c>
      <c r="AN160" s="131" t="s">
        <v>547</v>
      </c>
      <c r="AO160" s="131" t="s">
        <v>21</v>
      </c>
      <c r="AP160" s="349">
        <f t="shared" ref="AP160:AS160" si="68">AP158-1</f>
        <v>45789</v>
      </c>
      <c r="AQ160" s="349">
        <f t="shared" si="68"/>
        <v>45790</v>
      </c>
      <c r="AR160" s="349">
        <f t="shared" si="68"/>
        <v>45792</v>
      </c>
      <c r="AS160" s="530">
        <f t="shared" si="68"/>
        <v>45794</v>
      </c>
      <c r="AT160" s="25" t="s">
        <v>572</v>
      </c>
      <c r="AU160" s="183"/>
      <c r="AV160" s="137" t="s">
        <v>20</v>
      </c>
      <c r="AW160" s="15" t="s">
        <v>6</v>
      </c>
      <c r="AX160" s="278">
        <v>45805</v>
      </c>
      <c r="AY160" s="278">
        <v>45805</v>
      </c>
      <c r="AZ160" s="24" t="str">
        <f>AT160</f>
        <v>Viki Enterprice</v>
      </c>
      <c r="BA160" s="178"/>
      <c r="BB160" s="137" t="s">
        <v>20</v>
      </c>
      <c r="BC160" s="131"/>
      <c r="BD160" s="131" t="s">
        <v>570</v>
      </c>
      <c r="BE160" s="279">
        <f>BF160-2</f>
        <v>45842</v>
      </c>
      <c r="BF160" s="279">
        <v>45844</v>
      </c>
      <c r="BG160" s="17" t="s">
        <v>548</v>
      </c>
      <c r="BH160" s="177"/>
      <c r="BI160" s="137" t="s">
        <v>20</v>
      </c>
      <c r="BJ160" s="17"/>
      <c r="BK160" s="17"/>
      <c r="BL160" s="25">
        <v>980</v>
      </c>
      <c r="BM160" s="185" t="s">
        <v>541</v>
      </c>
      <c r="BN160" s="24"/>
      <c r="BO160" s="24"/>
    </row>
    <row r="161" spans="1:66" ht="14.25" customHeight="1">
      <c r="A161" s="15" t="s">
        <v>0</v>
      </c>
      <c r="B161" s="19"/>
      <c r="C161" s="179"/>
      <c r="D161" s="130"/>
      <c r="E161" s="130"/>
      <c r="F161" s="130"/>
      <c r="G161" s="130"/>
      <c r="H161" s="180"/>
      <c r="I161" s="19"/>
      <c r="J161" s="19"/>
      <c r="K161" s="181"/>
      <c r="L161" s="173"/>
      <c r="M161" s="15"/>
      <c r="N161" s="15"/>
      <c r="O161" s="15"/>
      <c r="P161" s="175"/>
      <c r="Q161" s="173"/>
      <c r="R161" s="15"/>
      <c r="S161" s="175"/>
      <c r="T161" s="198"/>
      <c r="U161" s="198"/>
      <c r="V161" s="15">
        <v>350.02</v>
      </c>
      <c r="W161" s="15" t="s">
        <v>500</v>
      </c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77"/>
      <c r="AM161" s="15"/>
      <c r="AN161" s="24"/>
      <c r="AO161" s="24"/>
      <c r="AP161" s="24"/>
      <c r="AQ161" s="24"/>
      <c r="AR161" s="24"/>
      <c r="AS161" s="25"/>
      <c r="AT161" s="25"/>
      <c r="AU161" s="178"/>
      <c r="AV161" s="24"/>
      <c r="AW161" s="24"/>
      <c r="AX161" s="278"/>
      <c r="AY161" s="278"/>
      <c r="AZ161" s="24"/>
      <c r="BA161" s="178"/>
      <c r="BB161" s="24"/>
      <c r="BC161" s="24"/>
      <c r="BD161" s="24"/>
      <c r="BE161" s="24"/>
      <c r="BF161" s="24"/>
      <c r="BG161" s="24"/>
      <c r="BH161" s="178"/>
      <c r="BI161" s="24"/>
      <c r="BJ161" s="24"/>
      <c r="BK161" s="24"/>
      <c r="BL161" s="24"/>
      <c r="BM161" s="24"/>
      <c r="BN161" s="24"/>
    </row>
    <row r="162" spans="1:66" ht="14.25" customHeight="1">
      <c r="A162" s="15">
        <f t="shared" si="65"/>
        <v>77</v>
      </c>
      <c r="B162" s="19" t="s">
        <v>146</v>
      </c>
      <c r="C162" s="179" t="s">
        <v>37</v>
      </c>
      <c r="D162" s="130">
        <v>6.992</v>
      </c>
      <c r="E162" s="130">
        <f>D162*4</f>
        <v>27.968</v>
      </c>
      <c r="F162" s="130">
        <f>E162*8</f>
        <v>223.744</v>
      </c>
      <c r="G162" s="130"/>
      <c r="H162" s="180"/>
      <c r="I162" s="19"/>
      <c r="J162" s="19"/>
      <c r="K162" s="181"/>
      <c r="L162" s="173">
        <v>2.6070000000000002</v>
      </c>
      <c r="M162" s="15">
        <v>2.657</v>
      </c>
      <c r="N162" s="15">
        <v>2E-3</v>
      </c>
      <c r="O162" s="15">
        <v>0.21299999999999999</v>
      </c>
      <c r="P162" s="175">
        <f t="shared" si="54"/>
        <v>5.4790000000000001</v>
      </c>
      <c r="Q162" s="173">
        <v>0.24399999999999999</v>
      </c>
      <c r="R162" s="15">
        <v>5.0000000000000001E-3</v>
      </c>
      <c r="S162" s="175">
        <f t="shared" si="55"/>
        <v>0.249</v>
      </c>
      <c r="T162" s="198" t="s">
        <v>31</v>
      </c>
      <c r="U162" s="176" t="s">
        <v>569</v>
      </c>
      <c r="V162" s="15"/>
      <c r="W162" s="15"/>
      <c r="X162" s="15">
        <v>41.44</v>
      </c>
      <c r="Y162" s="15">
        <v>0.8</v>
      </c>
      <c r="Z162" s="15">
        <v>7.8</v>
      </c>
      <c r="AA162" s="15">
        <f t="shared" si="56"/>
        <v>8.6</v>
      </c>
      <c r="AB162" s="15">
        <v>66.42</v>
      </c>
      <c r="AC162" s="15">
        <v>3321</v>
      </c>
      <c r="AD162" s="15">
        <v>73.73</v>
      </c>
      <c r="AE162" s="15">
        <v>301.5</v>
      </c>
      <c r="AF162" s="15"/>
      <c r="AG162" s="15">
        <v>206.46</v>
      </c>
      <c r="AH162" s="15"/>
      <c r="AI162" s="15"/>
      <c r="AJ162" s="15">
        <v>581.69000000000005</v>
      </c>
      <c r="AK162" s="15">
        <v>0.58169000000000004</v>
      </c>
      <c r="AL162" s="177"/>
      <c r="AM162" s="137" t="s">
        <v>20</v>
      </c>
      <c r="AN162" s="131" t="s">
        <v>547</v>
      </c>
      <c r="AO162" s="131" t="s">
        <v>21</v>
      </c>
      <c r="AP162" s="349">
        <f t="shared" ref="AP162:AR162" si="69">AQ162-2</f>
        <v>45793</v>
      </c>
      <c r="AQ162" s="349">
        <f t="shared" si="69"/>
        <v>45795</v>
      </c>
      <c r="AR162" s="349">
        <f t="shared" si="69"/>
        <v>45797</v>
      </c>
      <c r="AS162" s="530">
        <v>45799</v>
      </c>
      <c r="AT162" s="25" t="s">
        <v>573</v>
      </c>
      <c r="AU162" s="183"/>
      <c r="AV162" s="137" t="s">
        <v>20</v>
      </c>
      <c r="AW162" s="15" t="s">
        <v>6</v>
      </c>
      <c r="AX162" s="278">
        <v>45814</v>
      </c>
      <c r="AY162" s="278">
        <f>AX162</f>
        <v>45814</v>
      </c>
      <c r="AZ162" s="24" t="str">
        <f>AT162</f>
        <v>Shree Shyam Cont</v>
      </c>
      <c r="BA162" s="178"/>
      <c r="BB162" s="137" t="s">
        <v>20</v>
      </c>
      <c r="BC162" s="131"/>
      <c r="BD162" s="131" t="s">
        <v>570</v>
      </c>
      <c r="BE162" s="279">
        <f>BF162-2</f>
        <v>45839</v>
      </c>
      <c r="BF162" s="279">
        <v>45841</v>
      </c>
      <c r="BG162" s="25" t="s">
        <v>506</v>
      </c>
      <c r="BH162" s="177"/>
      <c r="BI162" s="137" t="s">
        <v>20</v>
      </c>
      <c r="BJ162" s="17"/>
      <c r="BK162" s="17"/>
      <c r="BL162" s="25">
        <v>1330</v>
      </c>
      <c r="BM162" s="185" t="s">
        <v>541</v>
      </c>
      <c r="BN162" s="24"/>
    </row>
    <row r="163" spans="1:66" ht="14.25" customHeight="1">
      <c r="A163" s="15" t="s">
        <v>0</v>
      </c>
      <c r="B163" s="19"/>
      <c r="C163" s="179"/>
      <c r="D163" s="130"/>
      <c r="E163" s="130"/>
      <c r="F163" s="130"/>
      <c r="G163" s="130"/>
      <c r="H163" s="180"/>
      <c r="I163" s="19"/>
      <c r="J163" s="19"/>
      <c r="K163" s="181"/>
      <c r="L163" s="173"/>
      <c r="M163" s="15"/>
      <c r="N163" s="15"/>
      <c r="O163" s="15"/>
      <c r="P163" s="175"/>
      <c r="Q163" s="173"/>
      <c r="R163" s="15"/>
      <c r="S163" s="175"/>
      <c r="T163" s="198"/>
      <c r="U163" s="198"/>
      <c r="V163" s="15">
        <v>303.57</v>
      </c>
      <c r="W163" s="15" t="s">
        <v>500</v>
      </c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77"/>
      <c r="AM163" s="15"/>
      <c r="AN163" s="24"/>
      <c r="AO163" s="24"/>
      <c r="AP163" s="24"/>
      <c r="AQ163" s="24"/>
      <c r="AR163" s="24"/>
      <c r="AS163" s="25"/>
      <c r="AT163" s="25"/>
      <c r="AU163" s="178"/>
      <c r="AV163" s="24"/>
      <c r="AW163" s="24"/>
      <c r="AX163" s="278"/>
      <c r="AY163" s="278"/>
      <c r="AZ163" s="24"/>
      <c r="BA163" s="178"/>
      <c r="BB163" s="15"/>
      <c r="BC163" s="24"/>
      <c r="BD163" s="24"/>
      <c r="BE163" s="24"/>
      <c r="BF163" s="24"/>
      <c r="BG163" s="24"/>
      <c r="BH163" s="178"/>
      <c r="BI163" s="24"/>
      <c r="BJ163" s="24"/>
      <c r="BK163" s="24"/>
      <c r="BL163" s="24"/>
      <c r="BM163" s="24"/>
      <c r="BN163" s="24"/>
    </row>
    <row r="164" spans="1:66" ht="14.25" customHeight="1">
      <c r="A164" s="15">
        <f t="shared" si="65"/>
        <v>78</v>
      </c>
      <c r="B164" s="19" t="s">
        <v>147</v>
      </c>
      <c r="C164" s="179" t="s">
        <v>42</v>
      </c>
      <c r="D164" s="130">
        <v>6.3620000000000001</v>
      </c>
      <c r="E164" s="130">
        <f>D164*4</f>
        <v>25.448</v>
      </c>
      <c r="F164" s="130">
        <f>E164*8</f>
        <v>203.584</v>
      </c>
      <c r="G164" s="130"/>
      <c r="H164" s="180"/>
      <c r="I164" s="19"/>
      <c r="J164" s="19"/>
      <c r="K164" s="181"/>
      <c r="L164" s="173">
        <v>2.25</v>
      </c>
      <c r="M164" s="15">
        <v>2.1880000000000002</v>
      </c>
      <c r="N164" s="15">
        <v>2E-3</v>
      </c>
      <c r="O164" s="15">
        <v>0.183</v>
      </c>
      <c r="P164" s="175">
        <f t="shared" si="54"/>
        <v>4.6230000000000002</v>
      </c>
      <c r="Q164" s="173">
        <v>0.24399999999999999</v>
      </c>
      <c r="R164" s="15">
        <v>5.0000000000000001E-3</v>
      </c>
      <c r="S164" s="175">
        <f t="shared" si="55"/>
        <v>0.249</v>
      </c>
      <c r="T164" s="198" t="s">
        <v>31</v>
      </c>
      <c r="U164" s="176" t="s">
        <v>569</v>
      </c>
      <c r="V164" s="15"/>
      <c r="W164" s="15"/>
      <c r="X164" s="15">
        <v>41.44</v>
      </c>
      <c r="Y164" s="15">
        <v>0.8</v>
      </c>
      <c r="Z164" s="15">
        <v>7.8</v>
      </c>
      <c r="AA164" s="15">
        <f t="shared" si="56"/>
        <v>8.6</v>
      </c>
      <c r="AB164" s="15">
        <v>66.42</v>
      </c>
      <c r="AC164" s="15">
        <v>3321</v>
      </c>
      <c r="AD164" s="15">
        <v>73.73</v>
      </c>
      <c r="AE164" s="15">
        <v>301.5</v>
      </c>
      <c r="AF164" s="15"/>
      <c r="AG164" s="15">
        <v>206.46</v>
      </c>
      <c r="AH164" s="15"/>
      <c r="AI164" s="15"/>
      <c r="AJ164" s="15">
        <v>581.69000000000005</v>
      </c>
      <c r="AK164" s="15">
        <v>0.58169000000000004</v>
      </c>
      <c r="AL164" s="177"/>
      <c r="AM164" s="137" t="s">
        <v>20</v>
      </c>
      <c r="AN164" s="131" t="s">
        <v>547</v>
      </c>
      <c r="AO164" s="131" t="s">
        <v>21</v>
      </c>
      <c r="AP164" s="349">
        <f t="shared" ref="AP164:AR164" si="70">AQ164-2</f>
        <v>45807</v>
      </c>
      <c r="AQ164" s="349">
        <f t="shared" si="70"/>
        <v>45809</v>
      </c>
      <c r="AR164" s="349">
        <f t="shared" si="70"/>
        <v>45811</v>
      </c>
      <c r="AS164" s="530">
        <v>45813</v>
      </c>
      <c r="AT164" s="25" t="s">
        <v>572</v>
      </c>
      <c r="AU164" s="183"/>
      <c r="AV164" s="137" t="s">
        <v>20</v>
      </c>
      <c r="AW164" s="15" t="s">
        <v>6</v>
      </c>
      <c r="AX164" s="278">
        <v>45814</v>
      </c>
      <c r="AY164" s="278">
        <f>AX164</f>
        <v>45814</v>
      </c>
      <c r="AZ164" s="24" t="str">
        <f>AT164</f>
        <v>Viki Enterprice</v>
      </c>
      <c r="BA164" s="178"/>
      <c r="BB164" s="137" t="s">
        <v>20</v>
      </c>
      <c r="BC164" s="131"/>
      <c r="BD164" s="131" t="s">
        <v>570</v>
      </c>
      <c r="BE164" s="279">
        <f>BF164-2</f>
        <v>45841</v>
      </c>
      <c r="BF164" s="279">
        <v>45843</v>
      </c>
      <c r="BG164" s="25" t="s">
        <v>506</v>
      </c>
      <c r="BH164" s="188"/>
      <c r="BI164" s="137" t="s">
        <v>20</v>
      </c>
      <c r="BJ164" s="17"/>
      <c r="BK164" s="17"/>
      <c r="BL164" s="25">
        <v>980</v>
      </c>
      <c r="BM164" s="185" t="s">
        <v>541</v>
      </c>
      <c r="BN164" s="24"/>
    </row>
    <row r="165" spans="1:66" ht="14.25" customHeight="1">
      <c r="A165" s="15" t="s">
        <v>0</v>
      </c>
      <c r="B165" s="19"/>
      <c r="C165" s="179"/>
      <c r="D165" s="130"/>
      <c r="E165" s="130"/>
      <c r="F165" s="130"/>
      <c r="G165" s="130"/>
      <c r="H165" s="180"/>
      <c r="I165" s="19"/>
      <c r="J165" s="19"/>
      <c r="K165" s="181"/>
      <c r="L165" s="173"/>
      <c r="M165" s="15"/>
      <c r="N165" s="15"/>
      <c r="O165" s="15"/>
      <c r="P165" s="175"/>
      <c r="Q165" s="173"/>
      <c r="R165" s="15"/>
      <c r="S165" s="175"/>
      <c r="T165" s="198"/>
      <c r="U165" s="198"/>
      <c r="V165" s="15">
        <v>224.33</v>
      </c>
      <c r="W165" s="15" t="s">
        <v>500</v>
      </c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77"/>
      <c r="AM165" s="15"/>
      <c r="AN165" s="24"/>
      <c r="AO165" s="24"/>
      <c r="AP165" s="24"/>
      <c r="AQ165" s="24"/>
      <c r="AR165" s="24"/>
      <c r="AS165" s="25"/>
      <c r="AT165" s="25"/>
      <c r="AU165" s="178"/>
      <c r="AV165" s="24"/>
      <c r="AW165" s="24"/>
      <c r="AX165" s="278"/>
      <c r="AY165" s="278"/>
      <c r="AZ165" s="24"/>
      <c r="BA165" s="178"/>
      <c r="BB165" s="15"/>
      <c r="BC165" s="24"/>
      <c r="BD165" s="24"/>
      <c r="BE165" s="24"/>
      <c r="BF165" s="24"/>
      <c r="BG165" s="24"/>
      <c r="BH165" s="178"/>
      <c r="BI165" s="24"/>
      <c r="BJ165" s="24"/>
      <c r="BK165" s="24"/>
      <c r="BL165" s="24"/>
      <c r="BM165" s="24"/>
      <c r="BN165" s="24"/>
    </row>
    <row r="166" spans="1:66" ht="14.25" customHeight="1">
      <c r="A166" s="15">
        <f t="shared" si="65"/>
        <v>79</v>
      </c>
      <c r="B166" s="19" t="s">
        <v>148</v>
      </c>
      <c r="C166" s="179" t="s">
        <v>76</v>
      </c>
      <c r="D166" s="130">
        <v>7.71</v>
      </c>
      <c r="E166" s="130">
        <f>D166*4</f>
        <v>30.84</v>
      </c>
      <c r="F166" s="130">
        <f>E166*8</f>
        <v>246.72</v>
      </c>
      <c r="G166" s="130"/>
      <c r="H166" s="180"/>
      <c r="I166" s="19"/>
      <c r="J166" s="19"/>
      <c r="K166" s="181"/>
      <c r="L166" s="173">
        <v>3.452</v>
      </c>
      <c r="M166" s="15">
        <v>2.633</v>
      </c>
      <c r="N166" s="15">
        <v>4.0000000000000001E-3</v>
      </c>
      <c r="O166" s="15">
        <v>0.24099999999999999</v>
      </c>
      <c r="P166" s="175">
        <f t="shared" si="54"/>
        <v>6.3299999999999992</v>
      </c>
      <c r="Q166" s="173">
        <v>0.36299999999999999</v>
      </c>
      <c r="R166" s="15">
        <v>6.0000000000000001E-3</v>
      </c>
      <c r="S166" s="175">
        <f t="shared" si="55"/>
        <v>0.36899999999999999</v>
      </c>
      <c r="T166" s="198" t="s">
        <v>31</v>
      </c>
      <c r="U166" s="176" t="s">
        <v>569</v>
      </c>
      <c r="V166" s="15"/>
      <c r="W166" s="15"/>
      <c r="X166" s="15">
        <v>51.64</v>
      </c>
      <c r="Y166" s="15">
        <v>0.97</v>
      </c>
      <c r="Z166" s="15">
        <v>9.82</v>
      </c>
      <c r="AA166" s="15">
        <f t="shared" si="56"/>
        <v>10.790000000000001</v>
      </c>
      <c r="AB166" s="15">
        <v>83.456000000000003</v>
      </c>
      <c r="AC166" s="15">
        <v>4172.8</v>
      </c>
      <c r="AD166" s="15">
        <v>81.819999999999993</v>
      </c>
      <c r="AE166" s="15">
        <v>408.9</v>
      </c>
      <c r="AF166" s="15"/>
      <c r="AG166" s="15">
        <v>203.94</v>
      </c>
      <c r="AH166" s="15"/>
      <c r="AI166" s="15"/>
      <c r="AJ166" s="15">
        <v>694.66</v>
      </c>
      <c r="AK166" s="15">
        <v>0.69465999999999994</v>
      </c>
      <c r="AL166" s="177"/>
      <c r="AM166" s="137" t="s">
        <v>20</v>
      </c>
      <c r="AN166" s="131" t="s">
        <v>547</v>
      </c>
      <c r="AO166" s="131" t="s">
        <v>21</v>
      </c>
      <c r="AP166" s="349">
        <f t="shared" ref="AP166:AR166" si="71">AQ166-2</f>
        <v>45807</v>
      </c>
      <c r="AQ166" s="349">
        <f t="shared" si="71"/>
        <v>45809</v>
      </c>
      <c r="AR166" s="349">
        <f t="shared" si="71"/>
        <v>45811</v>
      </c>
      <c r="AS166" s="530">
        <v>45813</v>
      </c>
      <c r="AT166" s="25" t="s">
        <v>572</v>
      </c>
      <c r="AU166" s="183"/>
      <c r="AV166" s="137" t="s">
        <v>20</v>
      </c>
      <c r="AW166" s="15" t="s">
        <v>6</v>
      </c>
      <c r="AX166" s="278">
        <v>45814</v>
      </c>
      <c r="AY166" s="278">
        <f>AX166</f>
        <v>45814</v>
      </c>
      <c r="AZ166" s="24" t="str">
        <f>AT166</f>
        <v>Viki Enterprice</v>
      </c>
      <c r="BA166" s="178"/>
      <c r="BB166" s="137" t="s">
        <v>20</v>
      </c>
      <c r="BC166" s="131"/>
      <c r="BD166" s="131" t="s">
        <v>570</v>
      </c>
      <c r="BE166" s="279">
        <f>BF166</f>
        <v>45845</v>
      </c>
      <c r="BF166" s="279">
        <v>45845</v>
      </c>
      <c r="BG166" s="25" t="s">
        <v>506</v>
      </c>
      <c r="BH166" s="189"/>
      <c r="BI166" s="137" t="s">
        <v>20</v>
      </c>
      <c r="BJ166" s="131"/>
      <c r="BK166" s="131"/>
      <c r="BL166" s="25">
        <v>1252</v>
      </c>
      <c r="BM166" s="185" t="s">
        <v>541</v>
      </c>
      <c r="BN166" s="195" t="s">
        <v>552</v>
      </c>
    </row>
    <row r="167" spans="1:66" ht="14.25" customHeight="1">
      <c r="A167" s="15" t="s">
        <v>0</v>
      </c>
      <c r="B167" s="19"/>
      <c r="C167" s="179"/>
      <c r="D167" s="130"/>
      <c r="E167" s="130"/>
      <c r="F167" s="130"/>
      <c r="G167" s="130"/>
      <c r="H167" s="180"/>
      <c r="I167" s="19"/>
      <c r="J167" s="19"/>
      <c r="K167" s="181"/>
      <c r="L167" s="173"/>
      <c r="M167" s="15"/>
      <c r="N167" s="15"/>
      <c r="O167" s="15"/>
      <c r="P167" s="175"/>
      <c r="Q167" s="173"/>
      <c r="R167" s="15"/>
      <c r="S167" s="175"/>
      <c r="T167" s="198"/>
      <c r="U167" s="198"/>
      <c r="V167" s="15">
        <v>246.76</v>
      </c>
      <c r="W167" s="15" t="s">
        <v>500</v>
      </c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77"/>
      <c r="AM167" s="15"/>
      <c r="AN167" s="24"/>
      <c r="AO167" s="24"/>
      <c r="AP167" s="24"/>
      <c r="AQ167" s="24"/>
      <c r="AR167" s="24"/>
      <c r="AS167" s="25"/>
      <c r="AT167" s="25"/>
      <c r="AU167" s="178"/>
      <c r="AV167" s="24"/>
      <c r="AW167" s="24"/>
      <c r="AX167" s="278"/>
      <c r="AY167" s="278"/>
      <c r="AZ167" s="24"/>
      <c r="BA167" s="178"/>
      <c r="BB167" s="15"/>
      <c r="BC167" s="24"/>
      <c r="BD167" s="24"/>
      <c r="BE167" s="24"/>
      <c r="BF167" s="24"/>
      <c r="BG167" s="24"/>
      <c r="BH167" s="178"/>
      <c r="BI167" s="24"/>
      <c r="BJ167" s="24"/>
      <c r="BK167" s="24"/>
      <c r="BL167" s="24"/>
      <c r="BM167" s="24"/>
      <c r="BN167" s="24"/>
    </row>
    <row r="168" spans="1:66" ht="14.25" customHeight="1">
      <c r="A168" s="15">
        <f t="shared" si="65"/>
        <v>80</v>
      </c>
      <c r="B168" s="19" t="s">
        <v>149</v>
      </c>
      <c r="C168" s="179" t="s">
        <v>81</v>
      </c>
      <c r="D168" s="130">
        <v>9.5489999999999995</v>
      </c>
      <c r="E168" s="130">
        <f>D168*4</f>
        <v>38.195999999999998</v>
      </c>
      <c r="F168" s="130">
        <f>E168*8</f>
        <v>305.56799999999998</v>
      </c>
      <c r="G168" s="130"/>
      <c r="H168" s="180"/>
      <c r="I168" s="19"/>
      <c r="J168" s="19"/>
      <c r="K168" s="181"/>
      <c r="L168" s="173">
        <v>4.1440000000000001</v>
      </c>
      <c r="M168" s="15">
        <v>3.6950000000000003</v>
      </c>
      <c r="N168" s="15">
        <v>4.7000000000000002E-3</v>
      </c>
      <c r="O168" s="15">
        <v>0.29799999999999999</v>
      </c>
      <c r="P168" s="175">
        <f t="shared" si="54"/>
        <v>8.1417000000000002</v>
      </c>
      <c r="Q168" s="173">
        <v>0.36299999999999999</v>
      </c>
      <c r="R168" s="15">
        <v>6.0000000000000001E-3</v>
      </c>
      <c r="S168" s="175">
        <f t="shared" si="55"/>
        <v>0.36899999999999999</v>
      </c>
      <c r="T168" s="198" t="s">
        <v>31</v>
      </c>
      <c r="U168" s="176" t="s">
        <v>569</v>
      </c>
      <c r="V168" s="15"/>
      <c r="W168" s="15"/>
      <c r="X168" s="15">
        <v>51.64</v>
      </c>
      <c r="Y168" s="15">
        <v>0.97</v>
      </c>
      <c r="Z168" s="15">
        <v>9.82</v>
      </c>
      <c r="AA168" s="15">
        <f t="shared" si="56"/>
        <v>10.790000000000001</v>
      </c>
      <c r="AB168" s="15">
        <v>83.456000000000003</v>
      </c>
      <c r="AC168" s="15">
        <v>4172.8</v>
      </c>
      <c r="AD168" s="15">
        <v>81.819999999999993</v>
      </c>
      <c r="AE168" s="15">
        <v>408.9</v>
      </c>
      <c r="AF168" s="15"/>
      <c r="AG168" s="15">
        <v>203.94</v>
      </c>
      <c r="AH168" s="15"/>
      <c r="AI168" s="15"/>
      <c r="AJ168" s="15">
        <v>694.66</v>
      </c>
      <c r="AK168" s="15">
        <v>0.69465999999999994</v>
      </c>
      <c r="AL168" s="177"/>
      <c r="AM168" s="137" t="s">
        <v>20</v>
      </c>
      <c r="AN168" s="131" t="s">
        <v>547</v>
      </c>
      <c r="AO168" s="131" t="s">
        <v>21</v>
      </c>
      <c r="AP168" s="349">
        <f t="shared" ref="AP168:AR168" si="72">AQ168-2</f>
        <v>45796</v>
      </c>
      <c r="AQ168" s="349">
        <f t="shared" si="72"/>
        <v>45798</v>
      </c>
      <c r="AR168" s="349">
        <f t="shared" si="72"/>
        <v>45800</v>
      </c>
      <c r="AS168" s="530">
        <v>45802</v>
      </c>
      <c r="AT168" s="25" t="s">
        <v>545</v>
      </c>
      <c r="AU168" s="178"/>
      <c r="AV168" s="137" t="s">
        <v>20</v>
      </c>
      <c r="AW168" s="15" t="s">
        <v>6</v>
      </c>
      <c r="AX168" s="278">
        <v>45805</v>
      </c>
      <c r="AY168" s="278">
        <v>45805</v>
      </c>
      <c r="AZ168" s="24" t="str">
        <f>AT168</f>
        <v>Shree Shyam</v>
      </c>
      <c r="BA168" s="178"/>
      <c r="BB168" s="137" t="s">
        <v>20</v>
      </c>
      <c r="BC168" s="131"/>
      <c r="BD168" s="131" t="s">
        <v>560</v>
      </c>
      <c r="BE168" s="279">
        <f>BF168-2</f>
        <v>45866</v>
      </c>
      <c r="BF168" s="279">
        <v>45868</v>
      </c>
      <c r="BG168" s="25" t="s">
        <v>506</v>
      </c>
      <c r="BH168" s="188"/>
      <c r="BI168" s="137" t="s">
        <v>20</v>
      </c>
      <c r="BJ168" s="131"/>
      <c r="BK168" s="131"/>
      <c r="BL168" s="15">
        <v>1812</v>
      </c>
      <c r="BM168" s="185" t="s">
        <v>541</v>
      </c>
      <c r="BN168" s="24"/>
    </row>
    <row r="169" spans="1:66" ht="14.25" customHeight="1">
      <c r="A169" s="15" t="s">
        <v>0</v>
      </c>
      <c r="B169" s="19"/>
      <c r="C169" s="179"/>
      <c r="D169" s="130"/>
      <c r="E169" s="130"/>
      <c r="F169" s="130"/>
      <c r="G169" s="130"/>
      <c r="H169" s="180"/>
      <c r="I169" s="19"/>
      <c r="J169" s="19"/>
      <c r="K169" s="181"/>
      <c r="L169" s="173"/>
      <c r="M169" s="15"/>
      <c r="N169" s="15"/>
      <c r="O169" s="15"/>
      <c r="P169" s="175"/>
      <c r="Q169" s="173"/>
      <c r="R169" s="15"/>
      <c r="S169" s="175"/>
      <c r="T169" s="198"/>
      <c r="U169" s="198"/>
      <c r="V169" s="15">
        <v>418.18</v>
      </c>
      <c r="W169" s="15" t="s">
        <v>500</v>
      </c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77"/>
      <c r="AM169" s="15"/>
      <c r="AN169" s="24"/>
      <c r="AO169" s="24"/>
      <c r="AP169" s="24"/>
      <c r="AQ169" s="24"/>
      <c r="AR169" s="24"/>
      <c r="AS169" s="25"/>
      <c r="AT169" s="25"/>
      <c r="AU169" s="178"/>
      <c r="AV169" s="15"/>
      <c r="AW169" s="24"/>
      <c r="AX169" s="278"/>
      <c r="AY169" s="278"/>
      <c r="AZ169" s="24"/>
      <c r="BA169" s="178"/>
      <c r="BB169" s="15"/>
      <c r="BC169" s="24"/>
      <c r="BD169" s="24"/>
      <c r="BE169" s="24"/>
      <c r="BF169" s="24"/>
      <c r="BG169" s="24"/>
      <c r="BH169" s="178"/>
      <c r="BI169" s="24"/>
      <c r="BJ169" s="24"/>
      <c r="BK169" s="24"/>
      <c r="BL169" s="24"/>
      <c r="BM169" s="24"/>
      <c r="BN169" s="24"/>
    </row>
    <row r="170" spans="1:66" ht="14.25" customHeight="1">
      <c r="A170" s="15">
        <f t="shared" si="65"/>
        <v>81</v>
      </c>
      <c r="B170" s="19" t="s">
        <v>150</v>
      </c>
      <c r="C170" s="179" t="s">
        <v>85</v>
      </c>
      <c r="D170" s="130">
        <v>8.2520000000000007</v>
      </c>
      <c r="E170" s="130">
        <f>D170*4</f>
        <v>33.008000000000003</v>
      </c>
      <c r="F170" s="130">
        <f>E170*8</f>
        <v>264.06400000000002</v>
      </c>
      <c r="G170" s="130"/>
      <c r="H170" s="180"/>
      <c r="I170" s="19"/>
      <c r="J170" s="19"/>
      <c r="K170" s="181"/>
      <c r="L170" s="173">
        <v>3.0779999999999998</v>
      </c>
      <c r="M170" s="15">
        <v>3.6589999999999998</v>
      </c>
      <c r="N170" s="15">
        <v>2.7000000000000001E-3</v>
      </c>
      <c r="O170" s="15">
        <v>0.26600000000000001</v>
      </c>
      <c r="P170" s="175">
        <f t="shared" si="54"/>
        <v>7.0057</v>
      </c>
      <c r="Q170" s="173">
        <v>0.24399999999999999</v>
      </c>
      <c r="R170" s="15">
        <v>5.0000000000000001E-3</v>
      </c>
      <c r="S170" s="175">
        <f t="shared" si="55"/>
        <v>0.249</v>
      </c>
      <c r="T170" s="198" t="s">
        <v>31</v>
      </c>
      <c r="U170" s="176" t="s">
        <v>569</v>
      </c>
      <c r="V170" s="15"/>
      <c r="W170" s="15"/>
      <c r="X170" s="15">
        <v>41.44</v>
      </c>
      <c r="Y170" s="15">
        <v>0.8</v>
      </c>
      <c r="Z170" s="15">
        <v>7.8</v>
      </c>
      <c r="AA170" s="15">
        <f t="shared" si="56"/>
        <v>8.6</v>
      </c>
      <c r="AB170" s="15">
        <v>66.42</v>
      </c>
      <c r="AC170" s="15">
        <v>3321</v>
      </c>
      <c r="AD170" s="15">
        <v>73.73</v>
      </c>
      <c r="AE170" s="15">
        <v>301.5</v>
      </c>
      <c r="AF170" s="15"/>
      <c r="AG170" s="15">
        <v>206.46</v>
      </c>
      <c r="AH170" s="15"/>
      <c r="AI170" s="15"/>
      <c r="AJ170" s="15">
        <v>581.69000000000005</v>
      </c>
      <c r="AK170" s="15">
        <v>0.58169000000000004</v>
      </c>
      <c r="AL170" s="177"/>
      <c r="AM170" s="137" t="s">
        <v>20</v>
      </c>
      <c r="AN170" s="131" t="s">
        <v>547</v>
      </c>
      <c r="AO170" s="131" t="s">
        <v>21</v>
      </c>
      <c r="AP170" s="349">
        <f t="shared" ref="AP170:AR170" si="73">AQ170-2</f>
        <v>45794</v>
      </c>
      <c r="AQ170" s="349">
        <f t="shared" si="73"/>
        <v>45796</v>
      </c>
      <c r="AR170" s="349">
        <f t="shared" si="73"/>
        <v>45798</v>
      </c>
      <c r="AS170" s="530">
        <v>45800</v>
      </c>
      <c r="AT170" s="25" t="s">
        <v>545</v>
      </c>
      <c r="AU170" s="178"/>
      <c r="AV170" s="137" t="s">
        <v>20</v>
      </c>
      <c r="AW170" s="15" t="s">
        <v>6</v>
      </c>
      <c r="AX170" s="278">
        <f>AY170</f>
        <v>45805</v>
      </c>
      <c r="AY170" s="278">
        <f>AS170+5</f>
        <v>45805</v>
      </c>
      <c r="AZ170" s="24" t="str">
        <f>AT170</f>
        <v>Shree Shyam</v>
      </c>
      <c r="BA170" s="178"/>
      <c r="BB170" s="137" t="s">
        <v>20</v>
      </c>
      <c r="BC170" s="131"/>
      <c r="BD170" s="131" t="s">
        <v>571</v>
      </c>
      <c r="BE170" s="279">
        <f>BF170-2</f>
        <v>45835</v>
      </c>
      <c r="BF170" s="279">
        <v>45837</v>
      </c>
      <c r="BG170" s="17" t="s">
        <v>548</v>
      </c>
      <c r="BH170" s="189"/>
      <c r="BI170" s="137" t="s">
        <v>20</v>
      </c>
      <c r="BJ170" s="131"/>
      <c r="BK170" s="131"/>
      <c r="BL170" s="25">
        <v>1588</v>
      </c>
      <c r="BM170" s="185" t="s">
        <v>541</v>
      </c>
      <c r="BN170" s="24"/>
    </row>
    <row r="171" spans="1:66" ht="14.25" customHeight="1">
      <c r="A171" s="15" t="s">
        <v>0</v>
      </c>
      <c r="B171" s="19"/>
      <c r="C171" s="179"/>
      <c r="D171" s="130"/>
      <c r="E171" s="130"/>
      <c r="F171" s="130"/>
      <c r="G171" s="130"/>
      <c r="H171" s="180"/>
      <c r="I171" s="19"/>
      <c r="J171" s="19"/>
      <c r="K171" s="181"/>
      <c r="L171" s="173"/>
      <c r="M171" s="15"/>
      <c r="N171" s="15"/>
      <c r="O171" s="15"/>
      <c r="P171" s="175"/>
      <c r="Q171" s="173"/>
      <c r="R171" s="15"/>
      <c r="S171" s="175"/>
      <c r="T171" s="198"/>
      <c r="U171" s="198"/>
      <c r="V171" s="15">
        <v>298.66000000000003</v>
      </c>
      <c r="W171" s="15" t="s">
        <v>500</v>
      </c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77"/>
      <c r="AM171" s="15"/>
      <c r="AN171" s="24"/>
      <c r="AO171" s="24"/>
      <c r="AP171" s="24"/>
      <c r="AQ171" s="24"/>
      <c r="AR171" s="24"/>
      <c r="AS171" s="25"/>
      <c r="AT171" s="25"/>
      <c r="AU171" s="178"/>
      <c r="AV171" s="15"/>
      <c r="AW171" s="24"/>
      <c r="AX171" s="278"/>
      <c r="AY171" s="278"/>
      <c r="AZ171" s="24"/>
      <c r="BA171" s="178"/>
      <c r="BB171" s="15"/>
      <c r="BC171" s="24"/>
      <c r="BD171" s="24"/>
      <c r="BE171" s="24"/>
      <c r="BF171" s="24"/>
      <c r="BG171" s="24"/>
      <c r="BH171" s="178"/>
      <c r="BI171" s="24"/>
      <c r="BJ171" s="24"/>
      <c r="BK171" s="24"/>
      <c r="BL171" s="24"/>
      <c r="BM171" s="24"/>
      <c r="BN171" s="24"/>
    </row>
    <row r="172" spans="1:66" ht="14.25" customHeight="1">
      <c r="A172" s="15">
        <f t="shared" si="65"/>
        <v>82</v>
      </c>
      <c r="B172" s="19" t="s">
        <v>151</v>
      </c>
      <c r="C172" s="179" t="s">
        <v>42</v>
      </c>
      <c r="D172" s="130">
        <v>6.3620000000000001</v>
      </c>
      <c r="E172" s="130">
        <f>D172*4</f>
        <v>25.448</v>
      </c>
      <c r="F172" s="130">
        <f>E172*8</f>
        <v>203.584</v>
      </c>
      <c r="G172" s="130"/>
      <c r="H172" s="180"/>
      <c r="I172" s="19"/>
      <c r="J172" s="19"/>
      <c r="K172" s="181"/>
      <c r="L172" s="173">
        <v>2.25</v>
      </c>
      <c r="M172" s="15">
        <v>2.1880000000000002</v>
      </c>
      <c r="N172" s="15">
        <v>2E-3</v>
      </c>
      <c r="O172" s="15">
        <v>0.183</v>
      </c>
      <c r="P172" s="175">
        <f t="shared" si="54"/>
        <v>4.6230000000000002</v>
      </c>
      <c r="Q172" s="173">
        <v>0.24399999999999999</v>
      </c>
      <c r="R172" s="15">
        <v>5.0000000000000001E-3</v>
      </c>
      <c r="S172" s="175">
        <f t="shared" si="55"/>
        <v>0.249</v>
      </c>
      <c r="T172" s="198" t="s">
        <v>31</v>
      </c>
      <c r="U172" s="176" t="s">
        <v>569</v>
      </c>
      <c r="V172" s="15"/>
      <c r="W172" s="15"/>
      <c r="X172" s="15">
        <v>41.44</v>
      </c>
      <c r="Y172" s="15">
        <v>0.8</v>
      </c>
      <c r="Z172" s="15">
        <v>7.8</v>
      </c>
      <c r="AA172" s="15">
        <f t="shared" si="56"/>
        <v>8.6</v>
      </c>
      <c r="AB172" s="15">
        <v>66.42</v>
      </c>
      <c r="AC172" s="15">
        <v>3321</v>
      </c>
      <c r="AD172" s="15">
        <v>73.73</v>
      </c>
      <c r="AE172" s="15">
        <v>301.5</v>
      </c>
      <c r="AF172" s="15"/>
      <c r="AG172" s="15">
        <v>206.46</v>
      </c>
      <c r="AH172" s="15"/>
      <c r="AI172" s="15"/>
      <c r="AJ172" s="15">
        <v>581.69000000000005</v>
      </c>
      <c r="AK172" s="15">
        <v>0.58169000000000004</v>
      </c>
      <c r="AL172" s="177"/>
      <c r="AM172" s="137" t="s">
        <v>20</v>
      </c>
      <c r="AN172" s="131" t="s">
        <v>547</v>
      </c>
      <c r="AO172" s="131" t="s">
        <v>21</v>
      </c>
      <c r="AP172" s="349">
        <f>AQ172-1</f>
        <v>45801</v>
      </c>
      <c r="AQ172" s="349">
        <f t="shared" ref="AQ172:AR172" si="74">AR172-2</f>
        <v>45802</v>
      </c>
      <c r="AR172" s="349">
        <f t="shared" si="74"/>
        <v>45804</v>
      </c>
      <c r="AS172" s="530">
        <v>45806</v>
      </c>
      <c r="AT172" s="25" t="s">
        <v>545</v>
      </c>
      <c r="AU172" s="178"/>
      <c r="AV172" s="137" t="s">
        <v>20</v>
      </c>
      <c r="AW172" s="15" t="s">
        <v>6</v>
      </c>
      <c r="AX172" s="278">
        <v>45811</v>
      </c>
      <c r="AY172" s="278">
        <f>AX172</f>
        <v>45811</v>
      </c>
      <c r="AZ172" s="24" t="str">
        <f>AT172</f>
        <v>Shree Shyam</v>
      </c>
      <c r="BA172" s="178"/>
      <c r="BB172" s="137" t="s">
        <v>20</v>
      </c>
      <c r="BC172" s="131"/>
      <c r="BD172" s="131" t="s">
        <v>571</v>
      </c>
      <c r="BE172" s="279">
        <f>BF172</f>
        <v>45839</v>
      </c>
      <c r="BF172" s="279">
        <v>45839</v>
      </c>
      <c r="BG172" s="17" t="s">
        <v>548</v>
      </c>
      <c r="BH172" s="178"/>
      <c r="BI172" s="137" t="s">
        <v>20</v>
      </c>
      <c r="BJ172" s="24"/>
      <c r="BK172" s="24"/>
      <c r="BL172" s="25">
        <v>980</v>
      </c>
      <c r="BM172" s="185" t="s">
        <v>541</v>
      </c>
      <c r="BN172" s="24"/>
    </row>
    <row r="173" spans="1:66" ht="14.25" customHeight="1">
      <c r="A173" s="15" t="s">
        <v>0</v>
      </c>
      <c r="B173" s="19"/>
      <c r="C173" s="179"/>
      <c r="D173" s="130"/>
      <c r="E173" s="130"/>
      <c r="F173" s="130"/>
      <c r="G173" s="130"/>
      <c r="H173" s="180"/>
      <c r="I173" s="19"/>
      <c r="J173" s="19"/>
      <c r="K173" s="181"/>
      <c r="L173" s="173"/>
      <c r="M173" s="15"/>
      <c r="N173" s="15"/>
      <c r="O173" s="15"/>
      <c r="P173" s="175"/>
      <c r="Q173" s="173"/>
      <c r="R173" s="15"/>
      <c r="S173" s="175"/>
      <c r="T173" s="198"/>
      <c r="U173" s="198"/>
      <c r="V173" s="15">
        <v>358.67</v>
      </c>
      <c r="W173" s="15" t="s">
        <v>500</v>
      </c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77"/>
      <c r="AM173" s="15"/>
      <c r="AN173" s="24"/>
      <c r="AO173" s="24"/>
      <c r="AP173" s="24"/>
      <c r="AQ173" s="24"/>
      <c r="AR173" s="24"/>
      <c r="AS173" s="25"/>
      <c r="AT173" s="25"/>
      <c r="AU173" s="178"/>
      <c r="AV173" s="15"/>
      <c r="AW173" s="24"/>
      <c r="AX173" s="278"/>
      <c r="AY173" s="278"/>
      <c r="AZ173" s="24"/>
      <c r="BA173" s="178"/>
      <c r="BB173" s="15"/>
      <c r="BC173" s="24"/>
      <c r="BD173" s="24"/>
      <c r="BE173" s="24"/>
      <c r="BF173" s="24"/>
      <c r="BG173" s="24"/>
      <c r="BH173" s="178"/>
      <c r="BI173" s="24"/>
      <c r="BJ173" s="24"/>
      <c r="BK173" s="24"/>
      <c r="BL173" s="24"/>
      <c r="BM173" s="24"/>
      <c r="BN173" s="24"/>
    </row>
    <row r="174" spans="1:66" ht="14.25" customHeight="1">
      <c r="A174" s="15">
        <f t="shared" si="65"/>
        <v>83</v>
      </c>
      <c r="B174" s="19" t="s">
        <v>152</v>
      </c>
      <c r="C174" s="179" t="s">
        <v>42</v>
      </c>
      <c r="D174" s="130">
        <v>6.3620000000000001</v>
      </c>
      <c r="E174" s="130">
        <f>D174*4</f>
        <v>25.448</v>
      </c>
      <c r="F174" s="130">
        <f>E174*8</f>
        <v>203.584</v>
      </c>
      <c r="G174" s="130"/>
      <c r="H174" s="180"/>
      <c r="I174" s="19"/>
      <c r="J174" s="19"/>
      <c r="K174" s="181"/>
      <c r="L174" s="173">
        <v>2.25</v>
      </c>
      <c r="M174" s="15">
        <v>2.1880000000000002</v>
      </c>
      <c r="N174" s="15">
        <v>2E-3</v>
      </c>
      <c r="O174" s="15">
        <v>0.183</v>
      </c>
      <c r="P174" s="175">
        <f t="shared" si="54"/>
        <v>4.6230000000000002</v>
      </c>
      <c r="Q174" s="173">
        <v>0.24399999999999999</v>
      </c>
      <c r="R174" s="15">
        <v>5.0000000000000001E-3</v>
      </c>
      <c r="S174" s="175">
        <f t="shared" si="55"/>
        <v>0.249</v>
      </c>
      <c r="T174" s="198" t="s">
        <v>31</v>
      </c>
      <c r="U174" s="176" t="s">
        <v>569</v>
      </c>
      <c r="V174" s="15"/>
      <c r="W174" s="15"/>
      <c r="X174" s="15">
        <v>41.44</v>
      </c>
      <c r="Y174" s="15">
        <v>0.8</v>
      </c>
      <c r="Z174" s="15">
        <v>7.8</v>
      </c>
      <c r="AA174" s="15">
        <f t="shared" si="56"/>
        <v>8.6</v>
      </c>
      <c r="AB174" s="15">
        <v>66.42</v>
      </c>
      <c r="AC174" s="15">
        <v>3321</v>
      </c>
      <c r="AD174" s="15">
        <v>73.73</v>
      </c>
      <c r="AE174" s="15">
        <v>301.5</v>
      </c>
      <c r="AF174" s="15"/>
      <c r="AG174" s="15">
        <v>206.46</v>
      </c>
      <c r="AH174" s="15"/>
      <c r="AI174" s="15"/>
      <c r="AJ174" s="15">
        <v>581.69000000000005</v>
      </c>
      <c r="AK174" s="15">
        <v>0.58169000000000004</v>
      </c>
      <c r="AL174" s="177"/>
      <c r="AM174" s="137" t="s">
        <v>20</v>
      </c>
      <c r="AN174" s="131" t="str">
        <f>AO174</f>
        <v>D</v>
      </c>
      <c r="AO174" s="131" t="s">
        <v>21</v>
      </c>
      <c r="AP174" s="349">
        <v>45527</v>
      </c>
      <c r="AQ174" s="349">
        <v>45536</v>
      </c>
      <c r="AR174" s="349">
        <v>45558</v>
      </c>
      <c r="AS174" s="530">
        <v>45563</v>
      </c>
      <c r="AT174" s="25" t="s">
        <v>574</v>
      </c>
      <c r="AU174" s="178"/>
      <c r="AV174" s="137" t="s">
        <v>20</v>
      </c>
      <c r="AW174" s="15" t="s">
        <v>6</v>
      </c>
      <c r="AX174" s="278">
        <v>45662</v>
      </c>
      <c r="AY174" s="278">
        <v>45662</v>
      </c>
      <c r="AZ174" s="182" t="s">
        <v>539</v>
      </c>
      <c r="BA174" s="183"/>
      <c r="BB174" s="137" t="s">
        <v>20</v>
      </c>
      <c r="BC174" s="131"/>
      <c r="BD174" s="131" t="s">
        <v>21</v>
      </c>
      <c r="BE174" s="279">
        <f>BF174-2</f>
        <v>45729</v>
      </c>
      <c r="BF174" s="279">
        <v>45731</v>
      </c>
      <c r="BG174" s="15" t="s">
        <v>575</v>
      </c>
      <c r="BH174" s="189"/>
      <c r="BI174" s="137" t="s">
        <v>20</v>
      </c>
      <c r="BJ174" s="24"/>
      <c r="BK174" s="24"/>
      <c r="BL174" s="25">
        <v>980</v>
      </c>
      <c r="BM174" s="185" t="s">
        <v>541</v>
      </c>
      <c r="BN174" s="24"/>
    </row>
    <row r="175" spans="1:66" ht="14.25" customHeight="1">
      <c r="A175" s="15" t="s">
        <v>0</v>
      </c>
      <c r="B175" s="19"/>
      <c r="C175" s="179"/>
      <c r="D175" s="130"/>
      <c r="E175" s="130"/>
      <c r="F175" s="130"/>
      <c r="G175" s="130"/>
      <c r="H175" s="180"/>
      <c r="I175" s="19"/>
      <c r="J175" s="19"/>
      <c r="K175" s="181"/>
      <c r="L175" s="173"/>
      <c r="M175" s="15"/>
      <c r="N175" s="15"/>
      <c r="O175" s="15"/>
      <c r="P175" s="175"/>
      <c r="Q175" s="173"/>
      <c r="R175" s="15"/>
      <c r="S175" s="175"/>
      <c r="T175" s="198"/>
      <c r="U175" s="198"/>
      <c r="V175" s="15">
        <v>366.13</v>
      </c>
      <c r="W175" s="15" t="s">
        <v>500</v>
      </c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77"/>
      <c r="AM175" s="15"/>
      <c r="AN175" s="24"/>
      <c r="AO175" s="24"/>
      <c r="AP175" s="24"/>
      <c r="AQ175" s="24"/>
      <c r="AR175" s="24"/>
      <c r="AS175" s="25"/>
      <c r="AT175" s="25"/>
      <c r="AU175" s="178"/>
      <c r="AV175" s="15"/>
      <c r="AW175" s="24"/>
      <c r="AX175" s="278"/>
      <c r="AY175" s="278"/>
      <c r="AZ175" s="24"/>
      <c r="BA175" s="178"/>
      <c r="BB175" s="15"/>
      <c r="BC175" s="24"/>
      <c r="BD175" s="24"/>
      <c r="BE175" s="24"/>
      <c r="BF175" s="24"/>
      <c r="BG175" s="24"/>
      <c r="BH175" s="178"/>
      <c r="BI175" s="24"/>
      <c r="BJ175" s="24"/>
      <c r="BK175" s="24"/>
      <c r="BL175" s="24"/>
      <c r="BM175" s="24"/>
      <c r="BN175" s="24"/>
    </row>
    <row r="176" spans="1:66" ht="14.25" customHeight="1">
      <c r="A176" s="15">
        <f t="shared" si="65"/>
        <v>84</v>
      </c>
      <c r="B176" s="19" t="s">
        <v>153</v>
      </c>
      <c r="C176" s="179" t="s">
        <v>37</v>
      </c>
      <c r="D176" s="130">
        <v>6.992</v>
      </c>
      <c r="E176" s="130">
        <f>D176*4</f>
        <v>27.968</v>
      </c>
      <c r="F176" s="130">
        <f>E176*8</f>
        <v>223.744</v>
      </c>
      <c r="G176" s="130"/>
      <c r="H176" s="180"/>
      <c r="I176" s="19"/>
      <c r="J176" s="19"/>
      <c r="K176" s="181"/>
      <c r="L176" s="173">
        <v>2.6070000000000002</v>
      </c>
      <c r="M176" s="15">
        <v>2.657</v>
      </c>
      <c r="N176" s="15">
        <v>2E-3</v>
      </c>
      <c r="O176" s="15">
        <v>0.21299999999999999</v>
      </c>
      <c r="P176" s="175">
        <f t="shared" si="54"/>
        <v>5.4790000000000001</v>
      </c>
      <c r="Q176" s="173">
        <v>0.24399999999999999</v>
      </c>
      <c r="R176" s="15">
        <v>5.0000000000000001E-3</v>
      </c>
      <c r="S176" s="175">
        <f t="shared" si="55"/>
        <v>0.249</v>
      </c>
      <c r="T176" s="198" t="s">
        <v>31</v>
      </c>
      <c r="U176" s="176" t="s">
        <v>569</v>
      </c>
      <c r="V176" s="15"/>
      <c r="W176" s="15"/>
      <c r="X176" s="15">
        <v>85.44</v>
      </c>
      <c r="Y176" s="15">
        <v>1.51</v>
      </c>
      <c r="Z176" s="15">
        <v>11.15</v>
      </c>
      <c r="AA176" s="15">
        <f t="shared" si="56"/>
        <v>12.66</v>
      </c>
      <c r="AB176" s="15">
        <v>96.573400000000021</v>
      </c>
      <c r="AC176" s="15">
        <v>4828.670000000001</v>
      </c>
      <c r="AD176" s="15">
        <v>63.93</v>
      </c>
      <c r="AE176" s="15">
        <v>524.79</v>
      </c>
      <c r="AF176" s="15"/>
      <c r="AG176" s="15">
        <v>100.6</v>
      </c>
      <c r="AH176" s="15">
        <v>157.18</v>
      </c>
      <c r="AI176" s="15"/>
      <c r="AJ176" s="15">
        <v>846.5</v>
      </c>
      <c r="AK176" s="15">
        <v>0.84650000000000003</v>
      </c>
      <c r="AL176" s="177"/>
      <c r="AM176" s="137" t="s">
        <v>20</v>
      </c>
      <c r="AN176" s="131" t="str">
        <f>AO176</f>
        <v>D</v>
      </c>
      <c r="AO176" s="131" t="s">
        <v>21</v>
      </c>
      <c r="AP176" s="349">
        <v>45547</v>
      </c>
      <c r="AQ176" s="349">
        <v>45550</v>
      </c>
      <c r="AR176" s="349">
        <v>45594</v>
      </c>
      <c r="AS176" s="530">
        <v>45595</v>
      </c>
      <c r="AT176" s="25" t="s">
        <v>574</v>
      </c>
      <c r="AU176" s="178"/>
      <c r="AV176" s="137" t="s">
        <v>20</v>
      </c>
      <c r="AW176" s="15" t="s">
        <v>6</v>
      </c>
      <c r="AX176" s="278">
        <v>45662</v>
      </c>
      <c r="AY176" s="278">
        <v>45662</v>
      </c>
      <c r="AZ176" s="182" t="s">
        <v>539</v>
      </c>
      <c r="BA176" s="182"/>
      <c r="BB176" s="137" t="s">
        <v>20</v>
      </c>
      <c r="BC176" s="131"/>
      <c r="BD176" s="131" t="s">
        <v>21</v>
      </c>
      <c r="BE176" s="279">
        <f>BF176-1</f>
        <v>45796</v>
      </c>
      <c r="BF176" s="279">
        <v>45797</v>
      </c>
      <c r="BG176" s="25" t="s">
        <v>506</v>
      </c>
      <c r="BH176" s="134"/>
      <c r="BI176" s="137" t="s">
        <v>20</v>
      </c>
      <c r="BJ176" s="131"/>
      <c r="BK176" s="131"/>
      <c r="BL176" s="25">
        <v>1330</v>
      </c>
      <c r="BM176" s="185" t="s">
        <v>541</v>
      </c>
      <c r="BN176" s="24"/>
    </row>
    <row r="177" spans="1:65" ht="14.25" customHeight="1">
      <c r="A177" s="15" t="s">
        <v>0</v>
      </c>
      <c r="B177" s="19"/>
      <c r="C177" s="179"/>
      <c r="D177" s="130"/>
      <c r="E177" s="130"/>
      <c r="F177" s="130"/>
      <c r="G177" s="130"/>
      <c r="H177" s="180"/>
      <c r="I177" s="19"/>
      <c r="J177" s="19"/>
      <c r="K177" s="181"/>
      <c r="L177" s="173"/>
      <c r="M177" s="15"/>
      <c r="N177" s="15"/>
      <c r="O177" s="15"/>
      <c r="P177" s="175"/>
      <c r="Q177" s="173"/>
      <c r="R177" s="15"/>
      <c r="S177" s="175"/>
      <c r="T177" s="198"/>
      <c r="U177" s="198"/>
      <c r="V177" s="15">
        <v>255.6</v>
      </c>
      <c r="W177" s="15" t="s">
        <v>537</v>
      </c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77"/>
      <c r="AM177" s="15"/>
      <c r="AN177" s="24"/>
      <c r="AO177" s="24"/>
      <c r="AP177" s="24"/>
      <c r="AQ177" s="24"/>
      <c r="AR177" s="24"/>
      <c r="AS177" s="25"/>
      <c r="AT177" s="25"/>
      <c r="AU177" s="178"/>
      <c r="AV177" s="15"/>
      <c r="AW177" s="24"/>
      <c r="AX177" s="278"/>
      <c r="AY177" s="278"/>
      <c r="AZ177" s="24"/>
      <c r="BA177" s="178"/>
      <c r="BB177" s="15"/>
      <c r="BC177" s="24"/>
      <c r="BD177" s="24"/>
      <c r="BE177" s="24"/>
      <c r="BF177" s="24"/>
      <c r="BG177" s="24"/>
      <c r="BH177" s="178"/>
      <c r="BI177" s="24"/>
      <c r="BJ177" s="24"/>
      <c r="BK177" s="24"/>
      <c r="BL177" s="24"/>
      <c r="BM177" s="24"/>
    </row>
    <row r="178" spans="1:65" ht="14.25" customHeight="1">
      <c r="A178" s="15">
        <f t="shared" si="65"/>
        <v>85</v>
      </c>
      <c r="B178" s="19" t="s">
        <v>155</v>
      </c>
      <c r="C178" s="179" t="s">
        <v>34</v>
      </c>
      <c r="D178" s="130">
        <v>9.6539999999999999</v>
      </c>
      <c r="E178" s="130">
        <f>D178*4</f>
        <v>38.616</v>
      </c>
      <c r="F178" s="130">
        <f>E178*8</f>
        <v>308.928</v>
      </c>
      <c r="G178" s="130"/>
      <c r="H178" s="180"/>
      <c r="I178" s="19"/>
      <c r="J178" s="19"/>
      <c r="K178" s="181"/>
      <c r="L178" s="173">
        <v>4.8070000000000004</v>
      </c>
      <c r="M178" s="15">
        <v>4.016</v>
      </c>
      <c r="N178" s="15">
        <v>7.0000000000000001E-3</v>
      </c>
      <c r="O178" s="15">
        <v>0.43099999999999999</v>
      </c>
      <c r="P178" s="175">
        <f t="shared" si="54"/>
        <v>9.2609999999999992</v>
      </c>
      <c r="Q178" s="173">
        <v>0.55700000000000005</v>
      </c>
      <c r="R178" s="15">
        <v>0.01</v>
      </c>
      <c r="S178" s="175">
        <f t="shared" si="55"/>
        <v>0.56700000000000006</v>
      </c>
      <c r="T178" s="198" t="s">
        <v>154</v>
      </c>
      <c r="U178" s="176" t="s">
        <v>569</v>
      </c>
      <c r="V178" s="15"/>
      <c r="W178" s="15"/>
      <c r="X178" s="15">
        <v>220.64</v>
      </c>
      <c r="Y178" s="15">
        <v>3.61</v>
      </c>
      <c r="Z178" s="15">
        <v>27.92</v>
      </c>
      <c r="AA178" s="15">
        <f t="shared" si="56"/>
        <v>31.53</v>
      </c>
      <c r="AB178" s="15">
        <v>241.06360000000004</v>
      </c>
      <c r="AC178" s="15">
        <v>12053.180000000002</v>
      </c>
      <c r="AD178" s="15">
        <v>77.930000000000007</v>
      </c>
      <c r="AE178" s="15"/>
      <c r="AF178" s="15">
        <v>1601.75</v>
      </c>
      <c r="AG178" s="15">
        <v>96.72</v>
      </c>
      <c r="AH178" s="15">
        <v>151.11000000000001</v>
      </c>
      <c r="AI178" s="15"/>
      <c r="AJ178" s="15">
        <v>1927.5100000000002</v>
      </c>
      <c r="AK178" s="15">
        <v>1.9275100000000003</v>
      </c>
      <c r="AL178" s="177"/>
      <c r="AM178" s="137" t="s">
        <v>20</v>
      </c>
      <c r="AN178" s="131" t="str">
        <f>AO178</f>
        <v>D</v>
      </c>
      <c r="AO178" s="131" t="s">
        <v>21</v>
      </c>
      <c r="AP178" s="349">
        <v>45604</v>
      </c>
      <c r="AQ178" s="349">
        <f>AP178+10</f>
        <v>45614</v>
      </c>
      <c r="AR178" s="349">
        <f>AS178-4</f>
        <v>45618</v>
      </c>
      <c r="AS178" s="530">
        <v>45622</v>
      </c>
      <c r="AT178" s="25" t="s">
        <v>574</v>
      </c>
      <c r="AU178" s="178"/>
      <c r="AV178" s="137" t="s">
        <v>20</v>
      </c>
      <c r="AW178" s="15" t="s">
        <v>6</v>
      </c>
      <c r="AX178" s="278">
        <v>45706</v>
      </c>
      <c r="AY178" s="278">
        <v>45706</v>
      </c>
      <c r="AZ178" s="182" t="s">
        <v>539</v>
      </c>
      <c r="BA178" s="183"/>
      <c r="BB178" s="137" t="s">
        <v>20</v>
      </c>
      <c r="BC178" s="131" t="s">
        <v>540</v>
      </c>
      <c r="BD178" s="131" t="s">
        <v>21</v>
      </c>
      <c r="BE178" s="279">
        <f>BF178-2</f>
        <v>45743</v>
      </c>
      <c r="BF178" s="279">
        <v>45745</v>
      </c>
      <c r="BG178" s="15" t="s">
        <v>575</v>
      </c>
      <c r="BH178" s="187"/>
      <c r="BI178" s="137" t="s">
        <v>20</v>
      </c>
      <c r="BJ178" s="131"/>
      <c r="BK178" s="131"/>
      <c r="BL178" s="25">
        <v>1202</v>
      </c>
      <c r="BM178" s="185" t="s">
        <v>541</v>
      </c>
    </row>
    <row r="179" spans="1:65" ht="14.25" customHeight="1">
      <c r="A179" s="15" t="s">
        <v>0</v>
      </c>
      <c r="B179" s="19"/>
      <c r="C179" s="179"/>
      <c r="D179" s="130"/>
      <c r="E179" s="130"/>
      <c r="F179" s="130"/>
      <c r="G179" s="130"/>
      <c r="H179" s="180"/>
      <c r="I179" s="19"/>
      <c r="J179" s="19"/>
      <c r="K179" s="181"/>
      <c r="L179" s="173"/>
      <c r="M179" s="15"/>
      <c r="N179" s="15"/>
      <c r="O179" s="15"/>
      <c r="P179" s="175"/>
      <c r="Q179" s="173"/>
      <c r="R179" s="15"/>
      <c r="S179" s="175"/>
      <c r="T179" s="198"/>
      <c r="U179" s="198"/>
      <c r="V179" s="15">
        <v>229.72399999999999</v>
      </c>
      <c r="W179" s="15" t="s">
        <v>537</v>
      </c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77"/>
      <c r="AM179" s="15"/>
      <c r="AN179" s="24"/>
      <c r="AO179" s="24"/>
      <c r="AP179" s="24"/>
      <c r="AQ179" s="24"/>
      <c r="AR179" s="24"/>
      <c r="AS179" s="25"/>
      <c r="AT179" s="25"/>
      <c r="AU179" s="178"/>
      <c r="AV179" s="15"/>
      <c r="AW179" s="24"/>
      <c r="AX179" s="278"/>
      <c r="AY179" s="278"/>
      <c r="AZ179" s="24"/>
      <c r="BA179" s="178"/>
      <c r="BB179" s="24"/>
      <c r="BC179" s="24"/>
      <c r="BD179" s="24"/>
      <c r="BE179" s="24"/>
      <c r="BF179" s="24"/>
      <c r="BG179" s="24"/>
      <c r="BH179" s="178"/>
      <c r="BI179" s="24"/>
      <c r="BJ179" s="24"/>
      <c r="BK179" s="24"/>
      <c r="BL179" s="24"/>
      <c r="BM179" s="24"/>
    </row>
    <row r="180" spans="1:65" ht="14.25" customHeight="1">
      <c r="A180" s="15">
        <f t="shared" si="65"/>
        <v>86</v>
      </c>
      <c r="B180" s="19" t="s">
        <v>156</v>
      </c>
      <c r="C180" s="199" t="s">
        <v>37</v>
      </c>
      <c r="D180" s="130">
        <v>6.992</v>
      </c>
      <c r="E180" s="130">
        <f>D180*4</f>
        <v>27.968</v>
      </c>
      <c r="F180" s="130">
        <f>E180*8</f>
        <v>223.744</v>
      </c>
      <c r="G180" s="130"/>
      <c r="H180" s="180"/>
      <c r="I180" s="19"/>
      <c r="J180" s="19"/>
      <c r="K180" s="181"/>
      <c r="L180" s="173">
        <v>2.6070000000000002</v>
      </c>
      <c r="M180" s="15">
        <v>2.657</v>
      </c>
      <c r="N180" s="15">
        <v>2E-3</v>
      </c>
      <c r="O180" s="15">
        <v>0.21299999999999999</v>
      </c>
      <c r="P180" s="175">
        <f t="shared" si="54"/>
        <v>5.4790000000000001</v>
      </c>
      <c r="Q180" s="173">
        <v>0.24399999999999999</v>
      </c>
      <c r="R180" s="15">
        <v>5.0000000000000001E-3</v>
      </c>
      <c r="S180" s="175">
        <f t="shared" si="55"/>
        <v>0.249</v>
      </c>
      <c r="T180" s="198" t="s">
        <v>31</v>
      </c>
      <c r="U180" s="176" t="s">
        <v>569</v>
      </c>
      <c r="V180" s="15"/>
      <c r="W180" s="15"/>
      <c r="X180" s="15">
        <v>41.44</v>
      </c>
      <c r="Y180" s="15">
        <v>0.8</v>
      </c>
      <c r="Z180" s="15">
        <v>7.8</v>
      </c>
      <c r="AA180" s="15">
        <f t="shared" si="56"/>
        <v>8.6</v>
      </c>
      <c r="AB180" s="15">
        <v>66.42</v>
      </c>
      <c r="AC180" s="15">
        <v>3321</v>
      </c>
      <c r="AD180" s="15">
        <v>73.73</v>
      </c>
      <c r="AE180" s="15">
        <v>301.5</v>
      </c>
      <c r="AF180" s="15"/>
      <c r="AG180" s="15">
        <v>206.46</v>
      </c>
      <c r="AH180" s="15"/>
      <c r="AI180" s="15"/>
      <c r="AJ180" s="15">
        <v>581.69000000000005</v>
      </c>
      <c r="AK180" s="15">
        <v>0.58169000000000004</v>
      </c>
      <c r="AL180" s="177"/>
      <c r="AM180" s="137" t="s">
        <v>20</v>
      </c>
      <c r="AN180" s="131" t="s">
        <v>21</v>
      </c>
      <c r="AO180" s="131" t="s">
        <v>21</v>
      </c>
      <c r="AP180" s="349">
        <f t="shared" ref="AP180:AR180" si="75">AQ180-2</f>
        <v>45760</v>
      </c>
      <c r="AQ180" s="349">
        <f t="shared" si="75"/>
        <v>45762</v>
      </c>
      <c r="AR180" s="349">
        <f t="shared" si="75"/>
        <v>45764</v>
      </c>
      <c r="AS180" s="530">
        <v>45766</v>
      </c>
      <c r="AT180" s="25" t="s">
        <v>549</v>
      </c>
      <c r="AU180" s="178"/>
      <c r="AV180" s="137" t="s">
        <v>20</v>
      </c>
      <c r="AW180" s="15" t="s">
        <v>6</v>
      </c>
      <c r="AX180" s="278">
        <f>AY180</f>
        <v>45661</v>
      </c>
      <c r="AY180" s="278">
        <v>45661</v>
      </c>
      <c r="AZ180" s="182" t="s">
        <v>539</v>
      </c>
      <c r="BA180" s="183"/>
      <c r="BB180" s="137" t="s">
        <v>20</v>
      </c>
      <c r="BC180" s="131"/>
      <c r="BD180" s="131" t="s">
        <v>21</v>
      </c>
      <c r="BE180" s="279">
        <f>BF180-1</f>
        <v>45798</v>
      </c>
      <c r="BF180" s="279">
        <v>45799</v>
      </c>
      <c r="BG180" s="25" t="s">
        <v>506</v>
      </c>
      <c r="BH180" s="189"/>
      <c r="BI180" s="137" t="s">
        <v>20</v>
      </c>
      <c r="BJ180" s="131"/>
      <c r="BK180" s="131"/>
      <c r="BL180" s="25">
        <v>1330</v>
      </c>
      <c r="BM180" s="24"/>
    </row>
    <row r="181" spans="1:65" ht="14.25" customHeight="1">
      <c r="A181" s="15" t="s">
        <v>0</v>
      </c>
      <c r="B181" s="19"/>
      <c r="C181" s="179"/>
      <c r="D181" s="130"/>
      <c r="E181" s="130"/>
      <c r="F181" s="130"/>
      <c r="G181" s="130"/>
      <c r="H181" s="180"/>
      <c r="I181" s="19"/>
      <c r="J181" s="19"/>
      <c r="K181" s="181"/>
      <c r="L181" s="173"/>
      <c r="M181" s="15"/>
      <c r="N181" s="15"/>
      <c r="O181" s="15"/>
      <c r="P181" s="175"/>
      <c r="Q181" s="173"/>
      <c r="R181" s="15"/>
      <c r="S181" s="175"/>
      <c r="T181" s="198"/>
      <c r="U181" s="198"/>
      <c r="V181" s="15">
        <v>359.35599999999999</v>
      </c>
      <c r="W181" s="15" t="s">
        <v>500</v>
      </c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77"/>
      <c r="AM181" s="15"/>
      <c r="AN181" s="24"/>
      <c r="AO181" s="24"/>
      <c r="AP181" s="24"/>
      <c r="AQ181" s="24"/>
      <c r="AR181" s="24"/>
      <c r="AS181" s="25"/>
      <c r="AT181" s="25"/>
      <c r="AU181" s="178"/>
      <c r="AV181" s="15"/>
      <c r="AW181" s="24"/>
      <c r="AX181" s="278"/>
      <c r="AY181" s="278"/>
      <c r="AZ181" s="24"/>
      <c r="BA181" s="178"/>
      <c r="BB181" s="24"/>
      <c r="BC181" s="24"/>
      <c r="BD181" s="24"/>
      <c r="BE181" s="24"/>
      <c r="BF181" s="24"/>
      <c r="BG181" s="24"/>
      <c r="BH181" s="178"/>
      <c r="BI181" s="24"/>
      <c r="BJ181" s="24"/>
      <c r="BK181" s="24"/>
      <c r="BL181" s="24"/>
      <c r="BM181" s="24"/>
    </row>
    <row r="182" spans="1:65" ht="14.25" customHeight="1">
      <c r="A182" s="15">
        <f t="shared" si="65"/>
        <v>87</v>
      </c>
      <c r="B182" s="19" t="s">
        <v>157</v>
      </c>
      <c r="C182" s="179" t="s">
        <v>85</v>
      </c>
      <c r="D182" s="130">
        <v>8.2520000000000007</v>
      </c>
      <c r="E182" s="130">
        <f>D182*4</f>
        <v>33.008000000000003</v>
      </c>
      <c r="F182" s="130">
        <f>E182*8</f>
        <v>264.06400000000002</v>
      </c>
      <c r="G182" s="130"/>
      <c r="H182" s="180"/>
      <c r="I182" s="19"/>
      <c r="J182" s="19"/>
      <c r="K182" s="181"/>
      <c r="L182" s="173">
        <v>3.0779999999999998</v>
      </c>
      <c r="M182" s="15">
        <v>3.6589999999999998</v>
      </c>
      <c r="N182" s="15">
        <v>2.7000000000000001E-3</v>
      </c>
      <c r="O182" s="15">
        <v>0.26600000000000001</v>
      </c>
      <c r="P182" s="175">
        <f t="shared" si="54"/>
        <v>7.0057</v>
      </c>
      <c r="Q182" s="173">
        <v>0.24399999999999999</v>
      </c>
      <c r="R182" s="15">
        <v>5.0000000000000001E-3</v>
      </c>
      <c r="S182" s="175">
        <f t="shared" si="55"/>
        <v>0.249</v>
      </c>
      <c r="T182" s="198" t="s">
        <v>31</v>
      </c>
      <c r="U182" s="176" t="s">
        <v>569</v>
      </c>
      <c r="V182" s="15"/>
      <c r="W182" s="15"/>
      <c r="X182" s="15">
        <v>41.44</v>
      </c>
      <c r="Y182" s="15">
        <v>0.8</v>
      </c>
      <c r="Z182" s="15">
        <v>7.8</v>
      </c>
      <c r="AA182" s="15">
        <f t="shared" si="56"/>
        <v>8.6</v>
      </c>
      <c r="AB182" s="15">
        <v>66.42</v>
      </c>
      <c r="AC182" s="15">
        <v>3321</v>
      </c>
      <c r="AD182" s="15">
        <v>73.73</v>
      </c>
      <c r="AE182" s="15">
        <v>301.5</v>
      </c>
      <c r="AF182" s="15"/>
      <c r="AG182" s="15">
        <v>206.46</v>
      </c>
      <c r="AH182" s="15"/>
      <c r="AI182" s="15"/>
      <c r="AJ182" s="15">
        <v>581.69000000000005</v>
      </c>
      <c r="AK182" s="15">
        <v>0.58169000000000004</v>
      </c>
      <c r="AL182" s="177"/>
      <c r="AM182" s="137" t="s">
        <v>20</v>
      </c>
      <c r="AN182" s="131" t="str">
        <f>AO182</f>
        <v>D</v>
      </c>
      <c r="AO182" s="131" t="s">
        <v>21</v>
      </c>
      <c r="AP182" s="349">
        <v>45602</v>
      </c>
      <c r="AQ182" s="349">
        <f t="shared" ref="AQ182:AR182" si="76">AR182-2</f>
        <v>45607</v>
      </c>
      <c r="AR182" s="349">
        <f t="shared" si="76"/>
        <v>45609</v>
      </c>
      <c r="AS182" s="530">
        <v>45611</v>
      </c>
      <c r="AT182" s="25" t="s">
        <v>574</v>
      </c>
      <c r="AU182" s="178"/>
      <c r="AV182" s="137" t="s">
        <v>20</v>
      </c>
      <c r="AW182" s="15" t="s">
        <v>6</v>
      </c>
      <c r="AX182" s="278">
        <v>45706</v>
      </c>
      <c r="AY182" s="278">
        <v>45706</v>
      </c>
      <c r="AZ182" s="182" t="s">
        <v>539</v>
      </c>
      <c r="BA182" s="183"/>
      <c r="BB182" s="137" t="s">
        <v>20</v>
      </c>
      <c r="BC182" s="131"/>
      <c r="BD182" s="131" t="s">
        <v>21</v>
      </c>
      <c r="BE182" s="279">
        <f>BF182-2</f>
        <v>45733</v>
      </c>
      <c r="BF182" s="279">
        <v>45735</v>
      </c>
      <c r="BG182" s="15" t="s">
        <v>575</v>
      </c>
      <c r="BH182" s="189"/>
      <c r="BI182" s="137" t="s">
        <v>20</v>
      </c>
      <c r="BJ182" s="131"/>
      <c r="BK182" s="131"/>
      <c r="BL182" s="25">
        <v>1588</v>
      </c>
      <c r="BM182" s="24"/>
    </row>
    <row r="183" spans="1:65" ht="14.25" customHeight="1">
      <c r="A183" s="15" t="s">
        <v>0</v>
      </c>
      <c r="B183" s="19"/>
      <c r="C183" s="179"/>
      <c r="D183" s="130"/>
      <c r="E183" s="130"/>
      <c r="F183" s="130"/>
      <c r="G183" s="130"/>
      <c r="H183" s="180"/>
      <c r="I183" s="19"/>
      <c r="J183" s="19"/>
      <c r="K183" s="181"/>
      <c r="L183" s="173"/>
      <c r="M183" s="15"/>
      <c r="N183" s="15"/>
      <c r="O183" s="15"/>
      <c r="P183" s="175"/>
      <c r="Q183" s="173"/>
      <c r="R183" s="15"/>
      <c r="S183" s="175"/>
      <c r="T183" s="198"/>
      <c r="U183" s="198"/>
      <c r="V183" s="15">
        <v>365.87400000000002</v>
      </c>
      <c r="W183" s="15" t="s">
        <v>500</v>
      </c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77"/>
      <c r="AM183" s="15"/>
      <c r="AN183" s="24"/>
      <c r="AO183" s="24"/>
      <c r="AP183" s="24"/>
      <c r="AQ183" s="24"/>
      <c r="AR183" s="24"/>
      <c r="AS183" s="25"/>
      <c r="AT183" s="25"/>
      <c r="AU183" s="178"/>
      <c r="AV183" s="15"/>
      <c r="AW183" s="24"/>
      <c r="AX183" s="278"/>
      <c r="AY183" s="278"/>
      <c r="AZ183" s="24"/>
      <c r="BA183" s="178"/>
      <c r="BB183" s="24"/>
      <c r="BC183" s="24"/>
      <c r="BD183" s="24"/>
      <c r="BE183" s="24"/>
      <c r="BF183" s="24"/>
      <c r="BG183" s="24"/>
      <c r="BH183" s="178"/>
      <c r="BI183" s="24"/>
      <c r="BJ183" s="24"/>
      <c r="BK183" s="24"/>
      <c r="BL183" s="24"/>
      <c r="BM183" s="24"/>
    </row>
    <row r="184" spans="1:65" ht="14.25" customHeight="1">
      <c r="A184" s="15">
        <f t="shared" si="65"/>
        <v>88</v>
      </c>
      <c r="B184" s="19" t="s">
        <v>158</v>
      </c>
      <c r="C184" s="179" t="s">
        <v>42</v>
      </c>
      <c r="D184" s="130">
        <v>6.3620000000000001</v>
      </c>
      <c r="E184" s="130">
        <f>D184*4</f>
        <v>25.448</v>
      </c>
      <c r="F184" s="130">
        <f>E184*8</f>
        <v>203.584</v>
      </c>
      <c r="G184" s="130"/>
      <c r="H184" s="180"/>
      <c r="I184" s="19"/>
      <c r="J184" s="19"/>
      <c r="K184" s="181"/>
      <c r="L184" s="173">
        <v>2.25</v>
      </c>
      <c r="M184" s="15">
        <v>2.1880000000000002</v>
      </c>
      <c r="N184" s="15">
        <v>2E-3</v>
      </c>
      <c r="O184" s="15">
        <v>0.183</v>
      </c>
      <c r="P184" s="175">
        <f t="shared" si="54"/>
        <v>4.6230000000000002</v>
      </c>
      <c r="Q184" s="173">
        <v>0.24399999999999999</v>
      </c>
      <c r="R184" s="15">
        <v>5.0000000000000001E-3</v>
      </c>
      <c r="S184" s="175">
        <f t="shared" si="55"/>
        <v>0.249</v>
      </c>
      <c r="T184" s="198" t="s">
        <v>31</v>
      </c>
      <c r="U184" s="176" t="s">
        <v>569</v>
      </c>
      <c r="V184" s="15"/>
      <c r="W184" s="15"/>
      <c r="X184" s="15">
        <v>41.44</v>
      </c>
      <c r="Y184" s="15">
        <v>0.8</v>
      </c>
      <c r="Z184" s="15">
        <v>7.8</v>
      </c>
      <c r="AA184" s="15">
        <f t="shared" si="56"/>
        <v>8.6</v>
      </c>
      <c r="AB184" s="15">
        <v>66.42</v>
      </c>
      <c r="AC184" s="15">
        <v>3321</v>
      </c>
      <c r="AD184" s="15">
        <v>73.73</v>
      </c>
      <c r="AE184" s="15">
        <v>301.5</v>
      </c>
      <c r="AF184" s="15"/>
      <c r="AG184" s="15">
        <v>206.46</v>
      </c>
      <c r="AH184" s="15"/>
      <c r="AI184" s="15"/>
      <c r="AJ184" s="15">
        <v>581.69000000000005</v>
      </c>
      <c r="AK184" s="15">
        <v>0.58169000000000004</v>
      </c>
      <c r="AL184" s="177"/>
      <c r="AM184" s="137" t="s">
        <v>20</v>
      </c>
      <c r="AN184" s="131" t="str">
        <f>AO184</f>
        <v>D</v>
      </c>
      <c r="AO184" s="131" t="s">
        <v>21</v>
      </c>
      <c r="AP184" s="349">
        <v>45528</v>
      </c>
      <c r="AQ184" s="349">
        <v>45531</v>
      </c>
      <c r="AR184" s="349">
        <v>45536</v>
      </c>
      <c r="AS184" s="530">
        <v>45544</v>
      </c>
      <c r="AT184" s="25" t="s">
        <v>574</v>
      </c>
      <c r="AU184" s="178"/>
      <c r="AV184" s="137" t="s">
        <v>20</v>
      </c>
      <c r="AW184" s="15" t="s">
        <v>6</v>
      </c>
      <c r="AX184" s="278">
        <v>45706</v>
      </c>
      <c r="AY184" s="278">
        <v>45706</v>
      </c>
      <c r="AZ184" s="182" t="s">
        <v>539</v>
      </c>
      <c r="BA184" s="183"/>
      <c r="BB184" s="137" t="s">
        <v>20</v>
      </c>
      <c r="BC184" s="131"/>
      <c r="BD184" s="131" t="s">
        <v>21</v>
      </c>
      <c r="BE184" s="279">
        <f>BF184-2</f>
        <v>45727</v>
      </c>
      <c r="BF184" s="279">
        <v>45729</v>
      </c>
      <c r="BG184" s="15" t="s">
        <v>575</v>
      </c>
      <c r="BH184" s="189"/>
      <c r="BI184" s="137" t="s">
        <v>20</v>
      </c>
      <c r="BJ184" s="131"/>
      <c r="BK184" s="131"/>
      <c r="BL184" s="25">
        <v>980</v>
      </c>
      <c r="BM184" s="24"/>
    </row>
    <row r="185" spans="1:65" ht="14.25" customHeight="1">
      <c r="A185" s="15" t="s">
        <v>0</v>
      </c>
      <c r="B185" s="19"/>
      <c r="C185" s="179"/>
      <c r="D185" s="130"/>
      <c r="E185" s="130"/>
      <c r="F185" s="130"/>
      <c r="G185" s="130"/>
      <c r="H185" s="180"/>
      <c r="I185" s="19"/>
      <c r="J185" s="19"/>
      <c r="K185" s="181"/>
      <c r="L185" s="173"/>
      <c r="M185" s="15"/>
      <c r="N185" s="15"/>
      <c r="O185" s="15"/>
      <c r="P185" s="175"/>
      <c r="Q185" s="173"/>
      <c r="R185" s="15"/>
      <c r="S185" s="175"/>
      <c r="T185" s="198"/>
      <c r="U185" s="198"/>
      <c r="V185" s="15">
        <v>345.78399999999999</v>
      </c>
      <c r="W185" s="15" t="s">
        <v>500</v>
      </c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77"/>
      <c r="AM185" s="15"/>
      <c r="AN185" s="24"/>
      <c r="AO185" s="24"/>
      <c r="AP185" s="24"/>
      <c r="AQ185" s="24"/>
      <c r="AR185" s="24"/>
      <c r="AS185" s="25"/>
      <c r="AT185" s="25"/>
      <c r="AU185" s="178"/>
      <c r="AV185" s="15"/>
      <c r="AW185" s="24"/>
      <c r="AX185" s="278"/>
      <c r="AY185" s="278"/>
      <c r="AZ185" s="24"/>
      <c r="BA185" s="178"/>
      <c r="BB185" s="24"/>
      <c r="BC185" s="24"/>
      <c r="BD185" s="24"/>
      <c r="BE185" s="24"/>
      <c r="BF185" s="24"/>
      <c r="BG185" s="24"/>
      <c r="BH185" s="178"/>
      <c r="BI185" s="24"/>
      <c r="BJ185" s="24"/>
      <c r="BK185" s="24"/>
      <c r="BL185" s="24"/>
      <c r="BM185" s="24"/>
    </row>
    <row r="186" spans="1:65" ht="14.25" customHeight="1">
      <c r="A186" s="15">
        <f t="shared" si="65"/>
        <v>89</v>
      </c>
      <c r="B186" s="19" t="s">
        <v>159</v>
      </c>
      <c r="C186" s="179" t="s">
        <v>37</v>
      </c>
      <c r="D186" s="130">
        <v>6.992</v>
      </c>
      <c r="E186" s="130">
        <f>D186*4</f>
        <v>27.968</v>
      </c>
      <c r="F186" s="130">
        <f>E186*8</f>
        <v>223.744</v>
      </c>
      <c r="G186" s="130"/>
      <c r="H186" s="180"/>
      <c r="I186" s="19"/>
      <c r="J186" s="19"/>
      <c r="K186" s="181"/>
      <c r="L186" s="173">
        <v>2.6070000000000002</v>
      </c>
      <c r="M186" s="15">
        <v>2.657</v>
      </c>
      <c r="N186" s="15">
        <v>2E-3</v>
      </c>
      <c r="O186" s="15">
        <v>0.21299999999999999</v>
      </c>
      <c r="P186" s="175">
        <f t="shared" si="54"/>
        <v>5.4790000000000001</v>
      </c>
      <c r="Q186" s="173">
        <v>0.24399999999999999</v>
      </c>
      <c r="R186" s="15">
        <v>5.0000000000000001E-3</v>
      </c>
      <c r="S186" s="175">
        <f t="shared" si="55"/>
        <v>0.249</v>
      </c>
      <c r="T186" s="198" t="s">
        <v>31</v>
      </c>
      <c r="U186" s="176" t="s">
        <v>569</v>
      </c>
      <c r="V186" s="15"/>
      <c r="W186" s="15"/>
      <c r="X186" s="15">
        <v>80.64</v>
      </c>
      <c r="Y186" s="15">
        <v>0.88</v>
      </c>
      <c r="Z186" s="15">
        <v>8.1199999999999992</v>
      </c>
      <c r="AA186" s="15">
        <f t="shared" si="56"/>
        <v>9</v>
      </c>
      <c r="AB186" s="15">
        <v>69.354399999999998</v>
      </c>
      <c r="AC186" s="15">
        <v>3467.72</v>
      </c>
      <c r="AD186" s="15">
        <v>73.73</v>
      </c>
      <c r="AE186" s="15">
        <v>313.64</v>
      </c>
      <c r="AF186" s="15"/>
      <c r="AG186" s="15">
        <v>201.4</v>
      </c>
      <c r="AH186" s="15"/>
      <c r="AI186" s="15"/>
      <c r="AJ186" s="15">
        <v>588.77</v>
      </c>
      <c r="AK186" s="15">
        <v>0.58877000000000002</v>
      </c>
      <c r="AL186" s="177"/>
      <c r="AM186" s="137" t="s">
        <v>20</v>
      </c>
      <c r="AN186" s="131" t="str">
        <f>AO186</f>
        <v>D</v>
      </c>
      <c r="AO186" s="131" t="s">
        <v>21</v>
      </c>
      <c r="AP186" s="349">
        <v>15.1</v>
      </c>
      <c r="AQ186" s="349">
        <v>18.100000000000001</v>
      </c>
      <c r="AR186" s="349">
        <v>45586</v>
      </c>
      <c r="AS186" s="530">
        <v>45587</v>
      </c>
      <c r="AT186" s="25" t="s">
        <v>574</v>
      </c>
      <c r="AU186" s="178"/>
      <c r="AV186" s="137" t="s">
        <v>20</v>
      </c>
      <c r="AW186" s="15" t="s">
        <v>544</v>
      </c>
      <c r="AX186" s="278">
        <v>45660</v>
      </c>
      <c r="AY186" s="278">
        <f>AX186</f>
        <v>45660</v>
      </c>
      <c r="AZ186" s="182" t="s">
        <v>539</v>
      </c>
      <c r="BA186" s="183"/>
      <c r="BB186" s="137" t="s">
        <v>20</v>
      </c>
      <c r="BC186" s="131"/>
      <c r="BD186" s="131" t="s">
        <v>21</v>
      </c>
      <c r="BE186" s="279">
        <f>BF186-2</f>
        <v>45770</v>
      </c>
      <c r="BF186" s="279">
        <v>45772</v>
      </c>
      <c r="BG186" s="25" t="s">
        <v>577</v>
      </c>
      <c r="BH186" s="187"/>
      <c r="BI186" s="137" t="s">
        <v>20</v>
      </c>
      <c r="BJ186" s="131"/>
      <c r="BK186" s="131"/>
      <c r="BL186" s="25">
        <v>1330</v>
      </c>
      <c r="BM186" s="24"/>
    </row>
    <row r="187" spans="1:65" ht="14.25" customHeight="1">
      <c r="A187" s="15" t="s">
        <v>0</v>
      </c>
      <c r="B187" s="19"/>
      <c r="C187" s="179"/>
      <c r="D187" s="130"/>
      <c r="E187" s="130"/>
      <c r="F187" s="130"/>
      <c r="G187" s="130"/>
      <c r="H187" s="180"/>
      <c r="I187" s="19"/>
      <c r="J187" s="19"/>
      <c r="K187" s="181"/>
      <c r="L187" s="173"/>
      <c r="M187" s="15"/>
      <c r="N187" s="15"/>
      <c r="O187" s="15"/>
      <c r="P187" s="175"/>
      <c r="Q187" s="173"/>
      <c r="R187" s="15"/>
      <c r="S187" s="175"/>
      <c r="T187" s="198"/>
      <c r="U187" s="198"/>
      <c r="V187" s="15">
        <v>299.33999999999997</v>
      </c>
      <c r="W187" s="15" t="s">
        <v>576</v>
      </c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77"/>
      <c r="AM187" s="15"/>
      <c r="AN187" s="24"/>
      <c r="AO187" s="24"/>
      <c r="AP187" s="24"/>
      <c r="AQ187" s="24"/>
      <c r="AR187" s="24"/>
      <c r="AS187" s="25"/>
      <c r="AT187" s="25"/>
      <c r="AU187" s="178"/>
      <c r="AV187" s="15"/>
      <c r="AW187" s="24"/>
      <c r="AX187" s="278"/>
      <c r="AY187" s="278"/>
      <c r="AZ187" s="24"/>
      <c r="BA187" s="178"/>
      <c r="BB187" s="24"/>
      <c r="BC187" s="24"/>
      <c r="BD187" s="24"/>
      <c r="BE187" s="24"/>
      <c r="BF187" s="24"/>
      <c r="BG187" s="24"/>
      <c r="BH187" s="178"/>
      <c r="BI187" s="24"/>
      <c r="BJ187" s="24"/>
      <c r="BK187" s="24"/>
      <c r="BL187" s="24"/>
      <c r="BM187" s="24"/>
    </row>
    <row r="188" spans="1:65" ht="14.25" customHeight="1">
      <c r="A188" s="15">
        <f t="shared" si="65"/>
        <v>90</v>
      </c>
      <c r="B188" s="19" t="s">
        <v>161</v>
      </c>
      <c r="C188" s="179" t="s">
        <v>39</v>
      </c>
      <c r="D188" s="130">
        <v>7.7080000000000002</v>
      </c>
      <c r="E188" s="130">
        <f>D188*4</f>
        <v>30.832000000000001</v>
      </c>
      <c r="F188" s="130">
        <f>E188*8</f>
        <v>246.65600000000001</v>
      </c>
      <c r="G188" s="130"/>
      <c r="H188" s="180"/>
      <c r="I188" s="19"/>
      <c r="J188" s="19"/>
      <c r="K188" s="181"/>
      <c r="L188" s="173">
        <v>4.0570000000000004</v>
      </c>
      <c r="M188" s="15">
        <v>2.48</v>
      </c>
      <c r="N188" s="15">
        <v>6.0000000000000001E-3</v>
      </c>
      <c r="O188" s="15">
        <v>0.36499999999999999</v>
      </c>
      <c r="P188" s="175">
        <f t="shared" si="54"/>
        <v>6.9080000000000013</v>
      </c>
      <c r="Q188" s="173">
        <v>0.436</v>
      </c>
      <c r="R188" s="15">
        <v>0.01</v>
      </c>
      <c r="S188" s="175">
        <f t="shared" si="55"/>
        <v>0.44600000000000001</v>
      </c>
      <c r="T188" s="198" t="s">
        <v>300</v>
      </c>
      <c r="U188" s="176" t="s">
        <v>569</v>
      </c>
      <c r="V188" s="15"/>
      <c r="W188" s="15"/>
      <c r="X188" s="15">
        <v>75.36</v>
      </c>
      <c r="Y188" s="15">
        <v>1.35</v>
      </c>
      <c r="Z188" s="15">
        <v>12.85</v>
      </c>
      <c r="AA188" s="15">
        <f t="shared" si="56"/>
        <v>14.2</v>
      </c>
      <c r="AB188" s="15">
        <v>109.565</v>
      </c>
      <c r="AC188" s="15">
        <v>5478.25</v>
      </c>
      <c r="AD188" s="15">
        <v>81.819999999999993</v>
      </c>
      <c r="AE188" s="15">
        <v>599.6</v>
      </c>
      <c r="AF188" s="15"/>
      <c r="AG188" s="15">
        <v>201.4</v>
      </c>
      <c r="AH188" s="15"/>
      <c r="AI188" s="15"/>
      <c r="AJ188" s="15">
        <v>882.82</v>
      </c>
      <c r="AK188" s="15">
        <v>0.88282000000000005</v>
      </c>
      <c r="AL188" s="177"/>
      <c r="AM188" s="137" t="s">
        <v>20</v>
      </c>
      <c r="AN188" s="131" t="str">
        <f>AO188</f>
        <v>D</v>
      </c>
      <c r="AO188" s="131" t="s">
        <v>21</v>
      </c>
      <c r="AP188" s="349">
        <v>45575</v>
      </c>
      <c r="AQ188" s="349">
        <v>45578</v>
      </c>
      <c r="AR188" s="349">
        <v>45583</v>
      </c>
      <c r="AS188" s="530">
        <v>45585</v>
      </c>
      <c r="AT188" s="25" t="s">
        <v>574</v>
      </c>
      <c r="AU188" s="178"/>
      <c r="AV188" s="137" t="s">
        <v>20</v>
      </c>
      <c r="AW188" s="15" t="s">
        <v>6</v>
      </c>
      <c r="AX188" s="278">
        <v>45706</v>
      </c>
      <c r="AY188" s="278">
        <v>45706</v>
      </c>
      <c r="AZ188" s="182" t="s">
        <v>539</v>
      </c>
      <c r="BA188" s="183"/>
      <c r="BB188" s="137" t="s">
        <v>20</v>
      </c>
      <c r="BC188" s="131"/>
      <c r="BD188" s="131" t="s">
        <v>571</v>
      </c>
      <c r="BE188" s="279">
        <f>BF188-2</f>
        <v>45777</v>
      </c>
      <c r="BF188" s="279">
        <v>45779</v>
      </c>
      <c r="BG188" s="25" t="s">
        <v>577</v>
      </c>
      <c r="BH188" s="189"/>
      <c r="BI188" s="137" t="s">
        <v>20</v>
      </c>
      <c r="BJ188" s="131"/>
      <c r="BK188" s="131"/>
      <c r="BL188" s="25">
        <v>1001</v>
      </c>
      <c r="BM188" s="24"/>
    </row>
    <row r="189" spans="1:65" ht="14.25" customHeight="1">
      <c r="A189" s="15" t="s">
        <v>0</v>
      </c>
      <c r="B189" s="19"/>
      <c r="C189" s="179"/>
      <c r="D189" s="130"/>
      <c r="E189" s="130"/>
      <c r="F189" s="130"/>
      <c r="G189" s="130"/>
      <c r="H189" s="180"/>
      <c r="I189" s="19"/>
      <c r="J189" s="19"/>
      <c r="K189" s="181"/>
      <c r="L189" s="173"/>
      <c r="M189" s="15"/>
      <c r="N189" s="15"/>
      <c r="O189" s="15"/>
      <c r="P189" s="175"/>
      <c r="Q189" s="173"/>
      <c r="R189" s="15"/>
      <c r="S189" s="175"/>
      <c r="T189" s="176"/>
      <c r="U189" s="176"/>
      <c r="V189" s="16">
        <v>296</v>
      </c>
      <c r="W189" s="15" t="s">
        <v>500</v>
      </c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77"/>
      <c r="AM189" s="15"/>
      <c r="AN189" s="24"/>
      <c r="AO189" s="24"/>
      <c r="AP189" s="24"/>
      <c r="AQ189" s="24"/>
      <c r="AR189" s="24"/>
      <c r="AS189" s="25"/>
      <c r="AT189" s="25"/>
      <c r="AU189" s="178"/>
      <c r="AV189" s="15"/>
      <c r="AW189" s="24"/>
      <c r="AX189" s="278"/>
      <c r="AY189" s="278"/>
      <c r="AZ189" s="24"/>
      <c r="BA189" s="178"/>
      <c r="BB189" s="24"/>
      <c r="BC189" s="24"/>
      <c r="BD189" s="24"/>
      <c r="BE189" s="24"/>
      <c r="BF189" s="24"/>
      <c r="BG189" s="24"/>
      <c r="BH189" s="178"/>
      <c r="BI189" s="24"/>
      <c r="BJ189" s="24"/>
      <c r="BK189" s="24"/>
      <c r="BL189" s="24"/>
      <c r="BM189" s="24"/>
    </row>
    <row r="190" spans="1:65" ht="14.25" customHeight="1">
      <c r="A190" s="15">
        <f t="shared" si="65"/>
        <v>91</v>
      </c>
      <c r="B190" s="19" t="s">
        <v>162</v>
      </c>
      <c r="C190" s="179" t="s">
        <v>42</v>
      </c>
      <c r="D190" s="130">
        <v>6.3620000000000001</v>
      </c>
      <c r="E190" s="130">
        <f>D190*4</f>
        <v>25.448</v>
      </c>
      <c r="F190" s="130">
        <f>E190*8</f>
        <v>203.584</v>
      </c>
      <c r="G190" s="130"/>
      <c r="H190" s="180"/>
      <c r="I190" s="19"/>
      <c r="J190" s="19"/>
      <c r="K190" s="181"/>
      <c r="L190" s="173">
        <v>2.25</v>
      </c>
      <c r="M190" s="15">
        <v>2.1880000000000002</v>
      </c>
      <c r="N190" s="15">
        <v>2E-3</v>
      </c>
      <c r="O190" s="15">
        <v>0.183</v>
      </c>
      <c r="P190" s="175">
        <f t="shared" si="54"/>
        <v>4.6230000000000002</v>
      </c>
      <c r="Q190" s="173">
        <v>0.24399999999999999</v>
      </c>
      <c r="R190" s="15">
        <v>5.0000000000000001E-3</v>
      </c>
      <c r="S190" s="175">
        <f t="shared" si="55"/>
        <v>0.249</v>
      </c>
      <c r="T190" s="176" t="s">
        <v>31</v>
      </c>
      <c r="U190" s="176" t="s">
        <v>536</v>
      </c>
      <c r="V190" s="15"/>
      <c r="W190" s="15"/>
      <c r="X190" s="15">
        <v>41.44</v>
      </c>
      <c r="Y190" s="15">
        <v>0.8</v>
      </c>
      <c r="Z190" s="15">
        <v>7.8</v>
      </c>
      <c r="AA190" s="15">
        <f t="shared" si="56"/>
        <v>8.6</v>
      </c>
      <c r="AB190" s="15">
        <v>66.42</v>
      </c>
      <c r="AC190" s="15">
        <v>3321</v>
      </c>
      <c r="AD190" s="15">
        <v>73.73</v>
      </c>
      <c r="AE190" s="15">
        <v>301.5</v>
      </c>
      <c r="AF190" s="15"/>
      <c r="AG190" s="15">
        <v>206.46</v>
      </c>
      <c r="AH190" s="15"/>
      <c r="AI190" s="15"/>
      <c r="AJ190" s="15">
        <v>581.69000000000005</v>
      </c>
      <c r="AK190" s="15">
        <v>0.58169000000000004</v>
      </c>
      <c r="AL190" s="177"/>
      <c r="AM190" s="137" t="s">
        <v>20</v>
      </c>
      <c r="AN190" s="131" t="str">
        <f>AO190</f>
        <v>D</v>
      </c>
      <c r="AO190" s="131" t="s">
        <v>21</v>
      </c>
      <c r="AP190" s="349">
        <v>45585</v>
      </c>
      <c r="AQ190" s="349">
        <v>45588</v>
      </c>
      <c r="AR190" s="349">
        <v>45590</v>
      </c>
      <c r="AS190" s="530">
        <v>45592</v>
      </c>
      <c r="AT190" s="25" t="s">
        <v>574</v>
      </c>
      <c r="AU190" s="178"/>
      <c r="AV190" s="137" t="s">
        <v>20</v>
      </c>
      <c r="AW190" s="15" t="s">
        <v>6</v>
      </c>
      <c r="AX190" s="278">
        <f>AY190-2</f>
        <v>45718</v>
      </c>
      <c r="AY190" s="278">
        <v>45720</v>
      </c>
      <c r="AZ190" s="182" t="s">
        <v>539</v>
      </c>
      <c r="BA190" s="183"/>
      <c r="BB190" s="137" t="s">
        <v>20</v>
      </c>
      <c r="BC190" s="131"/>
      <c r="BD190" s="131" t="s">
        <v>21</v>
      </c>
      <c r="BE190" s="279">
        <f>BF190-1</f>
        <v>45729</v>
      </c>
      <c r="BF190" s="279">
        <v>45730</v>
      </c>
      <c r="BG190" s="17" t="s">
        <v>578</v>
      </c>
      <c r="BH190" s="189"/>
      <c r="BI190" s="137" t="s">
        <v>20</v>
      </c>
      <c r="BJ190" s="131"/>
      <c r="BK190" s="131"/>
      <c r="BL190" s="25">
        <v>980</v>
      </c>
      <c r="BM190" s="24"/>
    </row>
    <row r="191" spans="1:65" ht="14.25" customHeight="1">
      <c r="A191" s="15" t="s">
        <v>0</v>
      </c>
      <c r="B191" s="19"/>
      <c r="C191" s="179"/>
      <c r="D191" s="130"/>
      <c r="E191" s="130"/>
      <c r="F191" s="130"/>
      <c r="G191" s="130"/>
      <c r="H191" s="180"/>
      <c r="I191" s="19"/>
      <c r="J191" s="19"/>
      <c r="K191" s="181"/>
      <c r="L191" s="173"/>
      <c r="M191" s="15"/>
      <c r="N191" s="15"/>
      <c r="O191" s="15"/>
      <c r="P191" s="175"/>
      <c r="Q191" s="173"/>
      <c r="R191" s="15"/>
      <c r="S191" s="175"/>
      <c r="T191" s="176"/>
      <c r="U191" s="176"/>
      <c r="V191" s="16">
        <v>229.88900000000001</v>
      </c>
      <c r="W191" s="15" t="s">
        <v>500</v>
      </c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77"/>
      <c r="AM191" s="15"/>
      <c r="AN191" s="24"/>
      <c r="AO191" s="24"/>
      <c r="AP191" s="24"/>
      <c r="AQ191" s="24"/>
      <c r="AR191" s="24"/>
      <c r="AS191" s="25"/>
      <c r="AT191" s="25"/>
      <c r="AU191" s="178"/>
      <c r="AV191" s="15"/>
      <c r="AW191" s="24"/>
      <c r="AX191" s="278"/>
      <c r="AY191" s="278"/>
      <c r="AZ191" s="24"/>
      <c r="BA191" s="178"/>
      <c r="BB191" s="24"/>
      <c r="BC191" s="24"/>
      <c r="BD191" s="24"/>
      <c r="BE191" s="24"/>
      <c r="BF191" s="24"/>
      <c r="BG191" s="24"/>
      <c r="BH191" s="178"/>
      <c r="BI191" s="24"/>
      <c r="BJ191" s="24"/>
      <c r="BK191" s="24"/>
      <c r="BL191" s="24"/>
      <c r="BM191" s="24"/>
    </row>
    <row r="192" spans="1:65" ht="14.25" customHeight="1">
      <c r="A192" s="15">
        <f t="shared" si="65"/>
        <v>92</v>
      </c>
      <c r="B192" s="19" t="s">
        <v>164</v>
      </c>
      <c r="C192" s="179" t="s">
        <v>34</v>
      </c>
      <c r="D192" s="130">
        <v>9.6539999999999999</v>
      </c>
      <c r="E192" s="130">
        <f>D192*4</f>
        <v>38.616</v>
      </c>
      <c r="F192" s="130">
        <f>E192*8</f>
        <v>308.928</v>
      </c>
      <c r="G192" s="130"/>
      <c r="H192" s="180"/>
      <c r="I192" s="19"/>
      <c r="J192" s="19"/>
      <c r="K192" s="181"/>
      <c r="L192" s="173">
        <v>4.8070000000000004</v>
      </c>
      <c r="M192" s="15">
        <v>4.016</v>
      </c>
      <c r="N192" s="15">
        <v>7.0000000000000001E-3</v>
      </c>
      <c r="O192" s="15">
        <v>0.43099999999999999</v>
      </c>
      <c r="P192" s="175">
        <f t="shared" si="54"/>
        <v>9.2609999999999992</v>
      </c>
      <c r="Q192" s="173">
        <v>0.55700000000000005</v>
      </c>
      <c r="R192" s="15">
        <v>0.01</v>
      </c>
      <c r="S192" s="175">
        <f t="shared" si="55"/>
        <v>0.56700000000000006</v>
      </c>
      <c r="T192" s="176" t="s">
        <v>163</v>
      </c>
      <c r="U192" s="176" t="s">
        <v>536</v>
      </c>
      <c r="V192" s="15"/>
      <c r="W192" s="15"/>
      <c r="X192" s="15">
        <v>119.36</v>
      </c>
      <c r="Y192" s="15">
        <v>2.0499999999999998</v>
      </c>
      <c r="Z192" s="15">
        <v>18.37</v>
      </c>
      <c r="AA192" s="15">
        <f t="shared" si="56"/>
        <v>20.420000000000002</v>
      </c>
      <c r="AB192" s="15">
        <v>157.16420000000002</v>
      </c>
      <c r="AC192" s="15">
        <v>7858.2100000000009</v>
      </c>
      <c r="AD192" s="15">
        <v>89.9</v>
      </c>
      <c r="AE192" s="15"/>
      <c r="AF192" s="15">
        <v>1115.3400000000001</v>
      </c>
      <c r="AG192" s="15">
        <v>198.68</v>
      </c>
      <c r="AH192" s="15"/>
      <c r="AI192" s="15"/>
      <c r="AJ192" s="15">
        <v>1403.9200000000003</v>
      </c>
      <c r="AK192" s="15">
        <v>1.4039200000000003</v>
      </c>
      <c r="AL192" s="177"/>
      <c r="AM192" s="137" t="s">
        <v>20</v>
      </c>
      <c r="AN192" s="131" t="str">
        <f>AO192</f>
        <v>D</v>
      </c>
      <c r="AO192" s="131" t="s">
        <v>21</v>
      </c>
      <c r="AP192" s="349">
        <v>45566</v>
      </c>
      <c r="AQ192" s="349">
        <v>45567</v>
      </c>
      <c r="AR192" s="349">
        <v>45575</v>
      </c>
      <c r="AS192" s="530">
        <v>45584</v>
      </c>
      <c r="AT192" s="25" t="s">
        <v>574</v>
      </c>
      <c r="AU192" s="178"/>
      <c r="AV192" s="137" t="s">
        <v>20</v>
      </c>
      <c r="AW192" s="15" t="s">
        <v>6</v>
      </c>
      <c r="AX192" s="278">
        <v>45706</v>
      </c>
      <c r="AY192" s="278">
        <v>45706</v>
      </c>
      <c r="AZ192" s="182" t="s">
        <v>539</v>
      </c>
      <c r="BA192" s="183"/>
      <c r="BB192" s="137" t="s">
        <v>20</v>
      </c>
      <c r="BC192" s="131" t="s">
        <v>540</v>
      </c>
      <c r="BD192" s="131" t="s">
        <v>21</v>
      </c>
      <c r="BE192" s="279">
        <f>BF192-2</f>
        <v>45736</v>
      </c>
      <c r="BF192" s="279">
        <v>45738</v>
      </c>
      <c r="BG192" s="15" t="s">
        <v>575</v>
      </c>
      <c r="BH192" s="187"/>
      <c r="BI192" s="137" t="s">
        <v>20</v>
      </c>
      <c r="BJ192" s="131"/>
      <c r="BK192" s="131"/>
      <c r="BL192" s="25">
        <v>1202</v>
      </c>
      <c r="BM192" s="24"/>
    </row>
    <row r="193" spans="1:68" ht="14.25" customHeight="1">
      <c r="A193" s="15" t="s">
        <v>0</v>
      </c>
      <c r="B193" s="19"/>
      <c r="C193" s="179"/>
      <c r="D193" s="130"/>
      <c r="E193" s="130"/>
      <c r="F193" s="130"/>
      <c r="G193" s="130"/>
      <c r="H193" s="180"/>
      <c r="I193" s="19"/>
      <c r="J193" s="19"/>
      <c r="K193" s="181"/>
      <c r="L193" s="173"/>
      <c r="M193" s="15"/>
      <c r="N193" s="15"/>
      <c r="O193" s="15"/>
      <c r="P193" s="175"/>
      <c r="Q193" s="173"/>
      <c r="R193" s="15"/>
      <c r="S193" s="175"/>
      <c r="T193" s="176"/>
      <c r="U193" s="176"/>
      <c r="V193" s="16">
        <v>356.279</v>
      </c>
      <c r="W193" s="15" t="s">
        <v>579</v>
      </c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77"/>
      <c r="AM193" s="15"/>
      <c r="AN193" s="24"/>
      <c r="AO193" s="24"/>
      <c r="AP193" s="24"/>
      <c r="AQ193" s="24"/>
      <c r="AR193" s="24"/>
      <c r="AS193" s="25"/>
      <c r="AT193" s="25"/>
      <c r="AU193" s="178"/>
      <c r="AV193" s="15"/>
      <c r="AW193" s="24"/>
      <c r="AX193" s="278"/>
      <c r="AY193" s="278"/>
      <c r="AZ193" s="24"/>
      <c r="BA193" s="178"/>
      <c r="BB193" s="24"/>
      <c r="BC193" s="24"/>
      <c r="BD193" s="24"/>
      <c r="BE193" s="24"/>
      <c r="BF193" s="24"/>
      <c r="BG193" s="24"/>
      <c r="BH193" s="178"/>
      <c r="BI193" s="24"/>
      <c r="BJ193" s="24"/>
      <c r="BK193" s="24"/>
      <c r="BL193" s="24"/>
      <c r="BM193" s="24"/>
      <c r="BN193" s="24"/>
      <c r="BO193" s="24"/>
    </row>
    <row r="194" spans="1:68" ht="14.25" customHeight="1">
      <c r="A194" s="15">
        <f t="shared" si="65"/>
        <v>93</v>
      </c>
      <c r="B194" s="19" t="s">
        <v>166</v>
      </c>
      <c r="C194" s="179" t="s">
        <v>46</v>
      </c>
      <c r="D194" s="130">
        <v>8.6259999999999994</v>
      </c>
      <c r="E194" s="130">
        <f>D194*4</f>
        <v>34.503999999999998</v>
      </c>
      <c r="F194" s="130">
        <f>E194*8</f>
        <v>276.03199999999998</v>
      </c>
      <c r="G194" s="130"/>
      <c r="H194" s="180"/>
      <c r="I194" s="19"/>
      <c r="J194" s="19"/>
      <c r="K194" s="181"/>
      <c r="L194" s="173">
        <v>4.5380000000000003</v>
      </c>
      <c r="M194" s="15">
        <v>3.2290000000000001</v>
      </c>
      <c r="N194" s="15">
        <v>6.4000000000000003E-3</v>
      </c>
      <c r="O194" s="15">
        <v>0.42899999999999999</v>
      </c>
      <c r="P194" s="175">
        <f t="shared" si="54"/>
        <v>8.2024000000000008</v>
      </c>
      <c r="Q194" s="173">
        <v>0.436</v>
      </c>
      <c r="R194" s="15">
        <v>0.01</v>
      </c>
      <c r="S194" s="175">
        <f t="shared" si="55"/>
        <v>0.44600000000000001</v>
      </c>
      <c r="T194" s="176" t="s">
        <v>165</v>
      </c>
      <c r="U194" s="176" t="s">
        <v>536</v>
      </c>
      <c r="V194" s="15"/>
      <c r="W194" s="15"/>
      <c r="X194" s="15">
        <v>143.36000000000001</v>
      </c>
      <c r="Y194" s="15">
        <v>1.68</v>
      </c>
      <c r="Z194" s="15">
        <v>14.73</v>
      </c>
      <c r="AA194" s="15">
        <f t="shared" si="56"/>
        <v>16.41</v>
      </c>
      <c r="AB194" s="15"/>
      <c r="AC194" s="15"/>
      <c r="AD194" s="15">
        <v>81.819999999999993</v>
      </c>
      <c r="AE194" s="15">
        <v>659.71</v>
      </c>
      <c r="AF194" s="15"/>
      <c r="AG194" s="15">
        <v>196.36</v>
      </c>
      <c r="AH194" s="15"/>
      <c r="AI194" s="15"/>
      <c r="AJ194" s="15">
        <f>SUM(AD194:AH194)</f>
        <v>937.89</v>
      </c>
      <c r="AK194" s="15">
        <f>AJ194/1000</f>
        <v>0.93789</v>
      </c>
      <c r="AL194" s="177"/>
      <c r="AM194" s="137" t="s">
        <v>20</v>
      </c>
      <c r="AN194" s="131" t="s">
        <v>21</v>
      </c>
      <c r="AO194" s="131" t="s">
        <v>21</v>
      </c>
      <c r="AP194" s="349">
        <f t="shared" ref="AP194:AR194" si="77">AQ194-2</f>
        <v>45749</v>
      </c>
      <c r="AQ194" s="349">
        <f t="shared" si="77"/>
        <v>45751</v>
      </c>
      <c r="AR194" s="349">
        <f t="shared" si="77"/>
        <v>45753</v>
      </c>
      <c r="AS194" s="530">
        <v>45755</v>
      </c>
      <c r="AT194" s="25" t="s">
        <v>549</v>
      </c>
      <c r="AU194" s="178"/>
      <c r="AV194" s="137" t="s">
        <v>20</v>
      </c>
      <c r="AW194" s="15" t="s">
        <v>544</v>
      </c>
      <c r="AX194" s="278">
        <f>AY194</f>
        <v>45661</v>
      </c>
      <c r="AY194" s="278">
        <v>45661</v>
      </c>
      <c r="AZ194" s="182" t="s">
        <v>539</v>
      </c>
      <c r="BA194" s="183"/>
      <c r="BB194" s="137" t="s">
        <v>20</v>
      </c>
      <c r="BC194" s="131" t="s">
        <v>540</v>
      </c>
      <c r="BD194" s="131" t="s">
        <v>21</v>
      </c>
      <c r="BE194" s="279">
        <f>BF194-1</f>
        <v>45800</v>
      </c>
      <c r="BF194" s="279">
        <v>45801</v>
      </c>
      <c r="BG194" s="15" t="s">
        <v>580</v>
      </c>
      <c r="BH194" s="187"/>
      <c r="BI194" s="137" t="s">
        <v>20</v>
      </c>
      <c r="BJ194" s="131"/>
      <c r="BK194" s="131"/>
      <c r="BL194" s="25">
        <v>1433</v>
      </c>
      <c r="BM194" s="24"/>
      <c r="BN194" s="15"/>
      <c r="BO194" s="15"/>
    </row>
    <row r="195" spans="1:68" ht="14.25" customHeight="1">
      <c r="A195" s="15" t="s">
        <v>0</v>
      </c>
      <c r="B195" s="19"/>
      <c r="C195" s="179"/>
      <c r="D195" s="130"/>
      <c r="E195" s="130"/>
      <c r="F195" s="130"/>
      <c r="G195" s="130"/>
      <c r="H195" s="180"/>
      <c r="I195" s="19"/>
      <c r="J195" s="19"/>
      <c r="K195" s="181"/>
      <c r="L195" s="173"/>
      <c r="M195" s="15"/>
      <c r="N195" s="15"/>
      <c r="O195" s="15"/>
      <c r="P195" s="175"/>
      <c r="Q195" s="173"/>
      <c r="R195" s="15"/>
      <c r="S195" s="175"/>
      <c r="T195" s="176"/>
      <c r="U195" s="176"/>
      <c r="V195" s="16">
        <v>314</v>
      </c>
      <c r="W195" s="15" t="s">
        <v>565</v>
      </c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77"/>
      <c r="AM195" s="15"/>
      <c r="AN195" s="24"/>
      <c r="AO195" s="24"/>
      <c r="AP195" s="24"/>
      <c r="AQ195" s="24"/>
      <c r="AR195" s="24"/>
      <c r="AS195" s="25"/>
      <c r="AT195" s="25"/>
      <c r="AU195" s="178"/>
      <c r="AV195" s="15"/>
      <c r="AW195" s="24"/>
      <c r="AX195" s="278"/>
      <c r="AY195" s="278"/>
      <c r="AZ195" s="24"/>
      <c r="BA195" s="178"/>
      <c r="BB195" s="15"/>
      <c r="BC195" s="24"/>
      <c r="BD195" s="24"/>
      <c r="BE195" s="24"/>
      <c r="BF195" s="24"/>
      <c r="BG195" s="24"/>
      <c r="BH195" s="178"/>
      <c r="BI195" s="24"/>
      <c r="BJ195" s="24"/>
      <c r="BK195" s="24"/>
      <c r="BL195" s="24"/>
      <c r="BM195" s="24"/>
      <c r="BN195" s="24"/>
      <c r="BO195" s="24"/>
    </row>
    <row r="196" spans="1:68" ht="14.25" customHeight="1">
      <c r="A196" s="15">
        <f t="shared" si="65"/>
        <v>94</v>
      </c>
      <c r="B196" s="19" t="s">
        <v>167</v>
      </c>
      <c r="C196" s="179" t="s">
        <v>37</v>
      </c>
      <c r="D196" s="130">
        <v>6.992</v>
      </c>
      <c r="E196" s="130">
        <f>D196*4</f>
        <v>27.968</v>
      </c>
      <c r="F196" s="130">
        <f>E196*8</f>
        <v>223.744</v>
      </c>
      <c r="G196" s="130"/>
      <c r="H196" s="180"/>
      <c r="I196" s="19"/>
      <c r="J196" s="19"/>
      <c r="K196" s="181"/>
      <c r="L196" s="173">
        <v>2.6070000000000002</v>
      </c>
      <c r="M196" s="15">
        <v>2.657</v>
      </c>
      <c r="N196" s="15">
        <v>2E-3</v>
      </c>
      <c r="O196" s="15">
        <v>0.21299999999999999</v>
      </c>
      <c r="P196" s="175">
        <f t="shared" si="54"/>
        <v>5.4790000000000001</v>
      </c>
      <c r="Q196" s="173">
        <v>0.24399999999999999</v>
      </c>
      <c r="R196" s="15">
        <v>5.0000000000000001E-3</v>
      </c>
      <c r="S196" s="175">
        <f t="shared" si="55"/>
        <v>0.249</v>
      </c>
      <c r="T196" s="176" t="s">
        <v>31</v>
      </c>
      <c r="U196" s="176" t="s">
        <v>536</v>
      </c>
      <c r="V196" s="15"/>
      <c r="W196" s="15"/>
      <c r="X196" s="15">
        <v>41.44</v>
      </c>
      <c r="Y196" s="15">
        <v>1.51</v>
      </c>
      <c r="Z196" s="15">
        <v>11.15</v>
      </c>
      <c r="AA196" s="15">
        <f t="shared" si="56"/>
        <v>12.66</v>
      </c>
      <c r="AB196" s="15">
        <v>66.42</v>
      </c>
      <c r="AC196" s="15">
        <v>3321</v>
      </c>
      <c r="AD196" s="15">
        <v>73.73</v>
      </c>
      <c r="AE196" s="15">
        <v>301.5</v>
      </c>
      <c r="AF196" s="15"/>
      <c r="AG196" s="15">
        <v>206.46</v>
      </c>
      <c r="AH196" s="15"/>
      <c r="AI196" s="15"/>
      <c r="AJ196" s="15">
        <v>581.69000000000005</v>
      </c>
      <c r="AK196" s="15">
        <v>0.58169000000000004</v>
      </c>
      <c r="AL196" s="177"/>
      <c r="AM196" s="137" t="s">
        <v>20</v>
      </c>
      <c r="AN196" s="131" t="s">
        <v>21</v>
      </c>
      <c r="AO196" s="131" t="s">
        <v>21</v>
      </c>
      <c r="AP196" s="349">
        <f t="shared" ref="AP196:AR196" si="78">AQ196-2</f>
        <v>45963</v>
      </c>
      <c r="AQ196" s="349">
        <f t="shared" si="78"/>
        <v>45965</v>
      </c>
      <c r="AR196" s="349">
        <f t="shared" si="78"/>
        <v>45967</v>
      </c>
      <c r="AS196" s="530">
        <v>45969</v>
      </c>
      <c r="AT196" s="15" t="s">
        <v>538</v>
      </c>
      <c r="AU196" s="178"/>
      <c r="AV196" s="137" t="s">
        <v>20</v>
      </c>
      <c r="AW196" s="15"/>
      <c r="AX196" s="278">
        <f>AY196-2</f>
        <v>45973</v>
      </c>
      <c r="AY196" s="278">
        <v>45975</v>
      </c>
      <c r="AZ196" s="182" t="s">
        <v>506</v>
      </c>
      <c r="BA196" s="183"/>
      <c r="BB196" s="137" t="s">
        <v>20</v>
      </c>
      <c r="BC196" s="131"/>
      <c r="BD196" s="131"/>
      <c r="BE196" s="279">
        <f>BF196-2</f>
        <v>45971</v>
      </c>
      <c r="BF196" s="279">
        <v>45973</v>
      </c>
      <c r="BG196" s="15" t="s">
        <v>581</v>
      </c>
      <c r="BH196" s="187"/>
      <c r="BI196" s="137" t="s">
        <v>20</v>
      </c>
      <c r="BJ196" s="131"/>
      <c r="BK196" s="131"/>
      <c r="BL196" s="25">
        <v>1330</v>
      </c>
      <c r="BM196" s="24" t="s">
        <v>743</v>
      </c>
      <c r="BN196" s="15"/>
      <c r="BO196" s="15"/>
    </row>
    <row r="197" spans="1:68" ht="14.25" customHeight="1">
      <c r="A197" s="15" t="s">
        <v>0</v>
      </c>
      <c r="B197" s="19"/>
      <c r="C197" s="179"/>
      <c r="D197" s="130"/>
      <c r="E197" s="130"/>
      <c r="F197" s="130"/>
      <c r="G197" s="130"/>
      <c r="H197" s="180"/>
      <c r="I197" s="19"/>
      <c r="J197" s="19"/>
      <c r="K197" s="181"/>
      <c r="L197" s="173"/>
      <c r="M197" s="15"/>
      <c r="N197" s="15"/>
      <c r="O197" s="15"/>
      <c r="P197" s="175"/>
      <c r="Q197" s="173"/>
      <c r="R197" s="15"/>
      <c r="S197" s="175"/>
      <c r="T197" s="176"/>
      <c r="U197" s="176"/>
      <c r="V197" s="16">
        <v>353.589</v>
      </c>
      <c r="W197" s="15" t="s">
        <v>537</v>
      </c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77"/>
      <c r="AM197" s="15"/>
      <c r="AN197" s="24"/>
      <c r="AO197" s="24"/>
      <c r="AP197" s="24"/>
      <c r="AQ197" s="24"/>
      <c r="AR197" s="24"/>
      <c r="AS197" s="25"/>
      <c r="AT197" s="25"/>
      <c r="AU197" s="178"/>
      <c r="AV197" s="15"/>
      <c r="AW197" s="24"/>
      <c r="AX197" s="278"/>
      <c r="AY197" s="278"/>
      <c r="AZ197" s="24"/>
      <c r="BA197" s="178"/>
      <c r="BB197" s="24"/>
      <c r="BC197" s="24"/>
      <c r="BD197" s="24"/>
      <c r="BE197" s="24"/>
      <c r="BF197" s="24"/>
      <c r="BG197" s="24"/>
      <c r="BH197" s="178"/>
      <c r="BI197" s="24"/>
      <c r="BJ197" s="24"/>
      <c r="BK197" s="24"/>
      <c r="BL197" s="24"/>
      <c r="BM197" s="24"/>
      <c r="BN197" s="24"/>
      <c r="BO197" s="24"/>
    </row>
    <row r="198" spans="1:68" ht="14.25" customHeight="1">
      <c r="A198" s="15">
        <f t="shared" si="65"/>
        <v>95</v>
      </c>
      <c r="B198" s="19" t="s">
        <v>169</v>
      </c>
      <c r="C198" s="179" t="s">
        <v>65</v>
      </c>
      <c r="D198" s="130">
        <v>9.5440000000000005</v>
      </c>
      <c r="E198" s="130">
        <f>D198*4</f>
        <v>38.176000000000002</v>
      </c>
      <c r="F198" s="130">
        <f>E198*8</f>
        <v>305.40800000000002</v>
      </c>
      <c r="G198" s="130"/>
      <c r="H198" s="180"/>
      <c r="I198" s="19"/>
      <c r="J198" s="19"/>
      <c r="K198" s="181"/>
      <c r="L198" s="173">
        <v>4.9380000000000006</v>
      </c>
      <c r="M198" s="15">
        <v>3.609</v>
      </c>
      <c r="N198" s="15">
        <v>6.3E-3</v>
      </c>
      <c r="O198" s="15">
        <v>0.42399999999999999</v>
      </c>
      <c r="P198" s="175">
        <f t="shared" si="54"/>
        <v>8.9772999999999996</v>
      </c>
      <c r="Q198" s="173">
        <v>0.436</v>
      </c>
      <c r="R198" s="15">
        <v>0.01</v>
      </c>
      <c r="S198" s="175">
        <f t="shared" si="55"/>
        <v>0.44600000000000001</v>
      </c>
      <c r="T198" s="176" t="s">
        <v>168</v>
      </c>
      <c r="U198" s="176" t="s">
        <v>536</v>
      </c>
      <c r="V198" s="15"/>
      <c r="W198" s="15"/>
      <c r="X198" s="15">
        <v>75.36</v>
      </c>
      <c r="Y198" s="15">
        <v>1.35</v>
      </c>
      <c r="Z198" s="15">
        <v>12.85</v>
      </c>
      <c r="AA198" s="15">
        <f t="shared" si="56"/>
        <v>14.2</v>
      </c>
      <c r="AB198" s="15">
        <v>109.565</v>
      </c>
      <c r="AC198" s="15">
        <v>5478.25</v>
      </c>
      <c r="AD198" s="15">
        <v>81.819999999999993</v>
      </c>
      <c r="AE198" s="15">
        <v>599.6</v>
      </c>
      <c r="AF198" s="15"/>
      <c r="AG198" s="15">
        <v>201.4</v>
      </c>
      <c r="AH198" s="15"/>
      <c r="AI198" s="15"/>
      <c r="AJ198" s="15">
        <v>882.82</v>
      </c>
      <c r="AK198" s="15">
        <v>0.88282000000000005</v>
      </c>
      <c r="AL198" s="177"/>
      <c r="AM198" s="137" t="s">
        <v>20</v>
      </c>
      <c r="AN198" s="131" t="str">
        <f>AO198</f>
        <v>D</v>
      </c>
      <c r="AO198" s="131" t="s">
        <v>21</v>
      </c>
      <c r="AP198" s="349">
        <v>45593</v>
      </c>
      <c r="AQ198" s="349">
        <f>AR198-3</f>
        <v>45599</v>
      </c>
      <c r="AR198" s="349">
        <f>AS198-2</f>
        <v>45602</v>
      </c>
      <c r="AS198" s="530">
        <v>45604</v>
      </c>
      <c r="AT198" s="25" t="s">
        <v>574</v>
      </c>
      <c r="AU198" s="178"/>
      <c r="AV198" s="137" t="s">
        <v>20</v>
      </c>
      <c r="AW198" s="15" t="s">
        <v>6</v>
      </c>
      <c r="AX198" s="278">
        <v>45706</v>
      </c>
      <c r="AY198" s="278">
        <v>45706</v>
      </c>
      <c r="AZ198" s="182" t="s">
        <v>539</v>
      </c>
      <c r="BA198" s="183"/>
      <c r="BB198" s="137" t="s">
        <v>20</v>
      </c>
      <c r="BC198" s="131" t="s">
        <v>540</v>
      </c>
      <c r="BD198" s="131" t="s">
        <v>582</v>
      </c>
      <c r="BE198" s="279">
        <f>BF198</f>
        <v>45785</v>
      </c>
      <c r="BF198" s="279">
        <v>45785</v>
      </c>
      <c r="BG198" s="15" t="s">
        <v>580</v>
      </c>
      <c r="BH198" s="187"/>
      <c r="BI198" s="137" t="s">
        <v>20</v>
      </c>
      <c r="BJ198" s="131"/>
      <c r="BK198" s="131"/>
      <c r="BL198" s="25">
        <v>1657</v>
      </c>
      <c r="BM198" s="24" t="s">
        <v>743</v>
      </c>
      <c r="BN198" s="15"/>
      <c r="BO198" s="15"/>
    </row>
    <row r="199" spans="1:68" ht="14.25" customHeight="1">
      <c r="A199" s="15" t="s">
        <v>0</v>
      </c>
      <c r="B199" s="19"/>
      <c r="C199" s="179"/>
      <c r="D199" s="130"/>
      <c r="E199" s="130"/>
      <c r="F199" s="130"/>
      <c r="G199" s="130"/>
      <c r="H199" s="180"/>
      <c r="I199" s="19"/>
      <c r="J199" s="19"/>
      <c r="K199" s="181"/>
      <c r="L199" s="173"/>
      <c r="M199" s="15"/>
      <c r="N199" s="15"/>
      <c r="O199" s="15"/>
      <c r="P199" s="175"/>
      <c r="Q199" s="173"/>
      <c r="R199" s="15"/>
      <c r="S199" s="175"/>
      <c r="T199" s="176"/>
      <c r="U199" s="176"/>
      <c r="V199" s="16">
        <v>362</v>
      </c>
      <c r="W199" s="15" t="s">
        <v>500</v>
      </c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77"/>
      <c r="AM199" s="15"/>
      <c r="AN199" s="24"/>
      <c r="AO199" s="24"/>
      <c r="AP199" s="24"/>
      <c r="AQ199" s="24"/>
      <c r="AR199" s="24"/>
      <c r="AS199" s="25"/>
      <c r="AT199" s="25"/>
      <c r="AU199" s="178"/>
      <c r="AV199" s="15"/>
      <c r="AW199" s="24"/>
      <c r="AX199" s="278"/>
      <c r="AY199" s="278"/>
      <c r="AZ199" s="24"/>
      <c r="BA199" s="178"/>
      <c r="BB199" s="24"/>
      <c r="BC199" s="24"/>
      <c r="BD199" s="24"/>
      <c r="BE199" s="24"/>
      <c r="BF199" s="24"/>
      <c r="BG199" s="24"/>
      <c r="BH199" s="178"/>
      <c r="BI199" s="24"/>
      <c r="BJ199" s="24"/>
      <c r="BK199" s="24"/>
      <c r="BL199" s="24"/>
      <c r="BM199" s="24"/>
      <c r="BN199" s="24"/>
      <c r="BO199" s="24"/>
    </row>
    <row r="200" spans="1:68" ht="14.25" customHeight="1">
      <c r="A200" s="15">
        <f t="shared" si="65"/>
        <v>96</v>
      </c>
      <c r="B200" s="19" t="s">
        <v>170</v>
      </c>
      <c r="C200" s="179" t="s">
        <v>89</v>
      </c>
      <c r="D200" s="130">
        <v>8.6300000000000008</v>
      </c>
      <c r="E200" s="130">
        <f>D200*4</f>
        <v>34.520000000000003</v>
      </c>
      <c r="F200" s="130">
        <f>E200*8</f>
        <v>276.16000000000003</v>
      </c>
      <c r="G200" s="130"/>
      <c r="H200" s="180"/>
      <c r="I200" s="19"/>
      <c r="J200" s="19"/>
      <c r="K200" s="181"/>
      <c r="L200" s="173">
        <v>3.867</v>
      </c>
      <c r="M200" s="15">
        <v>3.306</v>
      </c>
      <c r="N200" s="15">
        <v>5.0000000000000001E-3</v>
      </c>
      <c r="O200" s="15">
        <v>0.27600000000000002</v>
      </c>
      <c r="P200" s="175">
        <f t="shared" si="54"/>
        <v>7.4539999999999997</v>
      </c>
      <c r="Q200" s="173">
        <v>0.36299999999999999</v>
      </c>
      <c r="R200" s="15">
        <v>6.0000000000000001E-3</v>
      </c>
      <c r="S200" s="175">
        <f t="shared" si="55"/>
        <v>0.36899999999999999</v>
      </c>
      <c r="T200" s="176" t="s">
        <v>31</v>
      </c>
      <c r="U200" s="176" t="s">
        <v>536</v>
      </c>
      <c r="V200" s="15"/>
      <c r="W200" s="15"/>
      <c r="X200" s="15">
        <v>51.64</v>
      </c>
      <c r="Y200" s="15">
        <v>0.97</v>
      </c>
      <c r="Z200" s="15">
        <v>9.82</v>
      </c>
      <c r="AA200" s="15">
        <f t="shared" si="56"/>
        <v>10.790000000000001</v>
      </c>
      <c r="AB200" s="15">
        <v>83.456000000000003</v>
      </c>
      <c r="AC200" s="15">
        <v>4172.8</v>
      </c>
      <c r="AD200" s="15">
        <v>81.819999999999993</v>
      </c>
      <c r="AE200" s="15">
        <v>408.9</v>
      </c>
      <c r="AF200" s="15"/>
      <c r="AG200" s="15">
        <v>203.94</v>
      </c>
      <c r="AH200" s="15"/>
      <c r="AI200" s="15"/>
      <c r="AJ200" s="15">
        <v>694.66</v>
      </c>
      <c r="AK200" s="15">
        <v>0.69465999999999994</v>
      </c>
      <c r="AL200" s="177"/>
      <c r="AM200" s="137" t="s">
        <v>20</v>
      </c>
      <c r="AN200" s="131"/>
      <c r="AO200" s="131"/>
      <c r="AP200" s="349">
        <f>AQ200-2</f>
        <v>45900</v>
      </c>
      <c r="AQ200" s="349">
        <f>AR200-3</f>
        <v>45902</v>
      </c>
      <c r="AR200" s="349">
        <f>AS200-2</f>
        <v>45905</v>
      </c>
      <c r="AS200" s="530">
        <v>45907</v>
      </c>
      <c r="AT200" s="25" t="s">
        <v>581</v>
      </c>
      <c r="AU200" s="183"/>
      <c r="AV200" s="137" t="s">
        <v>20</v>
      </c>
      <c r="AW200" s="15" t="s">
        <v>6</v>
      </c>
      <c r="AX200" s="278">
        <f>AS200+2</f>
        <v>45909</v>
      </c>
      <c r="AY200" s="278">
        <f>AX200</f>
        <v>45909</v>
      </c>
      <c r="AZ200" s="182" t="s">
        <v>583</v>
      </c>
      <c r="BA200" s="183"/>
      <c r="BB200" s="137" t="s">
        <v>20</v>
      </c>
      <c r="BC200" s="131"/>
      <c r="BD200" s="131"/>
      <c r="BE200" s="279">
        <f>BF200</f>
        <v>45956</v>
      </c>
      <c r="BF200" s="279">
        <v>45956</v>
      </c>
      <c r="BG200" s="15" t="s">
        <v>580</v>
      </c>
      <c r="BH200" s="187"/>
      <c r="BI200" s="137" t="s">
        <v>20</v>
      </c>
      <c r="BJ200" s="131"/>
      <c r="BK200" s="131"/>
      <c r="BL200" s="25">
        <v>1560</v>
      </c>
      <c r="BM200" s="24"/>
      <c r="BN200" s="195" t="s">
        <v>552</v>
      </c>
      <c r="BO200" s="192"/>
      <c r="BP200" s="140" t="s">
        <v>554</v>
      </c>
    </row>
    <row r="201" spans="1:68" ht="14.25" customHeight="1">
      <c r="A201" s="15" t="s">
        <v>0</v>
      </c>
      <c r="B201" s="19"/>
      <c r="C201" s="179"/>
      <c r="D201" s="130"/>
      <c r="E201" s="130"/>
      <c r="F201" s="130"/>
      <c r="G201" s="130"/>
      <c r="H201" s="180"/>
      <c r="I201" s="19"/>
      <c r="J201" s="19"/>
      <c r="K201" s="181"/>
      <c r="L201" s="173"/>
      <c r="M201" s="15"/>
      <c r="N201" s="15"/>
      <c r="O201" s="15"/>
      <c r="P201" s="175"/>
      <c r="Q201" s="173"/>
      <c r="R201" s="15"/>
      <c r="S201" s="175"/>
      <c r="T201" s="176"/>
      <c r="U201" s="176"/>
      <c r="V201" s="16">
        <v>387</v>
      </c>
      <c r="W201" s="15" t="s">
        <v>500</v>
      </c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77"/>
      <c r="AM201" s="15"/>
      <c r="AN201" s="24"/>
      <c r="AO201" s="24"/>
      <c r="AP201" s="24"/>
      <c r="AQ201" s="24"/>
      <c r="AR201" s="24"/>
      <c r="AS201" s="25"/>
      <c r="AT201" s="25"/>
      <c r="AU201" s="178"/>
      <c r="AV201" s="15"/>
      <c r="AW201" s="24"/>
      <c r="AX201" s="278"/>
      <c r="AY201" s="278"/>
      <c r="AZ201" s="24"/>
      <c r="BA201" s="178"/>
      <c r="BB201" s="24"/>
      <c r="BC201" s="24"/>
      <c r="BD201" s="24"/>
      <c r="BE201" s="24"/>
      <c r="BF201" s="24"/>
      <c r="BG201" s="24"/>
      <c r="BH201" s="178"/>
      <c r="BI201" s="24"/>
      <c r="BJ201" s="24"/>
      <c r="BK201" s="24"/>
      <c r="BL201" s="24"/>
      <c r="BM201" s="24"/>
      <c r="BN201" s="24"/>
      <c r="BO201" s="24"/>
    </row>
    <row r="202" spans="1:68" ht="14.25" customHeight="1">
      <c r="A202" s="15">
        <f t="shared" si="65"/>
        <v>97</v>
      </c>
      <c r="B202" s="19" t="s">
        <v>171</v>
      </c>
      <c r="C202" s="179" t="s">
        <v>56</v>
      </c>
      <c r="D202" s="130">
        <v>7.6219999999999999</v>
      </c>
      <c r="E202" s="130">
        <f>D202*4</f>
        <v>30.488</v>
      </c>
      <c r="F202" s="130">
        <f>E202*8</f>
        <v>243.904</v>
      </c>
      <c r="G202" s="130"/>
      <c r="H202" s="180"/>
      <c r="I202" s="19"/>
      <c r="J202" s="19"/>
      <c r="K202" s="181"/>
      <c r="L202" s="173">
        <v>2.6789999999999998</v>
      </c>
      <c r="M202" s="15">
        <v>3.133</v>
      </c>
      <c r="N202" s="15">
        <v>2.5000000000000001E-3</v>
      </c>
      <c r="O202" s="15">
        <v>0.23299999999999998</v>
      </c>
      <c r="P202" s="175">
        <f t="shared" si="54"/>
        <v>6.0474999999999994</v>
      </c>
      <c r="Q202" s="173">
        <v>0.24399999999999999</v>
      </c>
      <c r="R202" s="15">
        <v>5.0000000000000001E-3</v>
      </c>
      <c r="S202" s="175">
        <f t="shared" si="55"/>
        <v>0.249</v>
      </c>
      <c r="T202" s="176" t="s">
        <v>31</v>
      </c>
      <c r="U202" s="176" t="s">
        <v>536</v>
      </c>
      <c r="V202" s="15"/>
      <c r="W202" s="15"/>
      <c r="X202" s="15">
        <v>41.44</v>
      </c>
      <c r="Y202" s="15">
        <v>0.8</v>
      </c>
      <c r="Z202" s="15">
        <v>7.8</v>
      </c>
      <c r="AA202" s="15">
        <f t="shared" si="56"/>
        <v>8.6</v>
      </c>
      <c r="AB202" s="15">
        <v>66.42</v>
      </c>
      <c r="AC202" s="15">
        <v>3321</v>
      </c>
      <c r="AD202" s="15">
        <v>73.73</v>
      </c>
      <c r="AE202" s="15">
        <v>301.5</v>
      </c>
      <c r="AF202" s="15"/>
      <c r="AG202" s="15">
        <v>206.46</v>
      </c>
      <c r="AH202" s="15"/>
      <c r="AI202" s="15"/>
      <c r="AJ202" s="15">
        <v>581.69000000000005</v>
      </c>
      <c r="AK202" s="15">
        <v>0.58169000000000004</v>
      </c>
      <c r="AL202" s="177"/>
      <c r="AM202" s="137" t="s">
        <v>20</v>
      </c>
      <c r="AN202" s="131"/>
      <c r="AO202" s="131"/>
      <c r="AP202" s="349">
        <f t="shared" ref="AP202:AQ202" si="79">AQ202-3</f>
        <v>45912</v>
      </c>
      <c r="AQ202" s="349">
        <f t="shared" si="79"/>
        <v>45915</v>
      </c>
      <c r="AR202" s="349">
        <f>AS202-2</f>
        <v>45918</v>
      </c>
      <c r="AS202" s="530">
        <v>45920</v>
      </c>
      <c r="AT202" s="25" t="s">
        <v>581</v>
      </c>
      <c r="AU202" s="178"/>
      <c r="AV202" s="137" t="s">
        <v>20</v>
      </c>
      <c r="AW202" s="15"/>
      <c r="AX202" s="278"/>
      <c r="AY202" s="278"/>
      <c r="AZ202" s="24"/>
      <c r="BA202" s="178"/>
      <c r="BB202" s="137" t="s">
        <v>20</v>
      </c>
      <c r="BC202" s="131"/>
      <c r="BD202" s="131"/>
      <c r="BE202" s="279">
        <f>BF202-2</f>
        <v>45951</v>
      </c>
      <c r="BF202" s="279">
        <v>45953</v>
      </c>
      <c r="BG202" s="15" t="s">
        <v>580</v>
      </c>
      <c r="BH202" s="187"/>
      <c r="BI202" s="137" t="s">
        <v>20</v>
      </c>
      <c r="BJ202" s="131"/>
      <c r="BK202" s="131"/>
      <c r="BL202" s="25">
        <v>1545</v>
      </c>
      <c r="BM202" s="24"/>
      <c r="BN202" s="15"/>
      <c r="BO202" s="15"/>
    </row>
    <row r="203" spans="1:68" ht="14.25" customHeight="1">
      <c r="A203" s="15" t="s">
        <v>0</v>
      </c>
      <c r="B203" s="19"/>
      <c r="C203" s="179"/>
      <c r="D203" s="130"/>
      <c r="E203" s="130"/>
      <c r="F203" s="130"/>
      <c r="G203" s="130"/>
      <c r="H203" s="180"/>
      <c r="I203" s="19"/>
      <c r="J203" s="19"/>
      <c r="K203" s="181"/>
      <c r="L203" s="173"/>
      <c r="M203" s="15"/>
      <c r="N203" s="15"/>
      <c r="O203" s="15"/>
      <c r="P203" s="175"/>
      <c r="Q203" s="173"/>
      <c r="R203" s="15"/>
      <c r="S203" s="175"/>
      <c r="T203" s="176"/>
      <c r="U203" s="176"/>
      <c r="V203" s="16">
        <v>365</v>
      </c>
      <c r="W203" s="15" t="s">
        <v>500</v>
      </c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77"/>
      <c r="AM203" s="15"/>
      <c r="AN203" s="24"/>
      <c r="AO203" s="24"/>
      <c r="AP203" s="24"/>
      <c r="AQ203" s="24"/>
      <c r="AR203" s="24"/>
      <c r="AS203" s="25"/>
      <c r="AT203" s="25"/>
      <c r="AU203" s="178"/>
      <c r="AV203" s="15"/>
      <c r="AW203" s="24"/>
      <c r="AX203" s="278"/>
      <c r="AY203" s="278"/>
      <c r="AZ203" s="24"/>
      <c r="BA203" s="178"/>
      <c r="BB203" s="24"/>
      <c r="BC203" s="24"/>
      <c r="BD203" s="24"/>
      <c r="BE203" s="24"/>
      <c r="BF203" s="24"/>
      <c r="BG203" s="24"/>
      <c r="BH203" s="178"/>
      <c r="BI203" s="24"/>
      <c r="BJ203" s="24"/>
      <c r="BK203" s="24"/>
      <c r="BL203" s="24"/>
      <c r="BM203" s="24"/>
      <c r="BN203" s="24"/>
      <c r="BO203" s="24"/>
    </row>
    <row r="204" spans="1:68" ht="14.25" customHeight="1">
      <c r="A204" s="15">
        <f t="shared" si="65"/>
        <v>98</v>
      </c>
      <c r="B204" s="19" t="s">
        <v>172</v>
      </c>
      <c r="C204" s="179" t="s">
        <v>76</v>
      </c>
      <c r="D204" s="130">
        <v>7.71</v>
      </c>
      <c r="E204" s="130">
        <f>D204*4</f>
        <v>30.84</v>
      </c>
      <c r="F204" s="130">
        <f>E204*8</f>
        <v>246.72</v>
      </c>
      <c r="G204" s="130"/>
      <c r="H204" s="180"/>
      <c r="I204" s="19"/>
      <c r="J204" s="19"/>
      <c r="K204" s="181"/>
      <c r="L204" s="173">
        <v>3.452</v>
      </c>
      <c r="M204" s="15">
        <v>2.633</v>
      </c>
      <c r="N204" s="15">
        <v>4.0000000000000001E-3</v>
      </c>
      <c r="O204" s="15">
        <v>0.24099999999999999</v>
      </c>
      <c r="P204" s="184">
        <f t="shared" ref="P204:P266" si="80">SUM(L204:O204)</f>
        <v>6.3299999999999992</v>
      </c>
      <c r="Q204" s="173">
        <v>0.36299999999999999</v>
      </c>
      <c r="R204" s="15">
        <v>6.0000000000000001E-3</v>
      </c>
      <c r="S204" s="175">
        <f t="shared" ref="S204:S266" si="81">SUM(Q204:R204)</f>
        <v>0.36899999999999999</v>
      </c>
      <c r="T204" s="176" t="s">
        <v>31</v>
      </c>
      <c r="U204" s="176" t="s">
        <v>536</v>
      </c>
      <c r="V204" s="15"/>
      <c r="W204" s="15"/>
      <c r="X204" s="15">
        <v>51.64</v>
      </c>
      <c r="Y204" s="15">
        <v>0.97</v>
      </c>
      <c r="Z204" s="15">
        <v>9.82</v>
      </c>
      <c r="AA204" s="15">
        <f t="shared" ref="AA204:AA266" si="82">Y204+Z204</f>
        <v>10.790000000000001</v>
      </c>
      <c r="AB204" s="15">
        <v>83.456000000000003</v>
      </c>
      <c r="AC204" s="15">
        <v>4172.8</v>
      </c>
      <c r="AD204" s="15">
        <v>81.819999999999993</v>
      </c>
      <c r="AE204" s="15">
        <v>408.9</v>
      </c>
      <c r="AF204" s="15"/>
      <c r="AG204" s="15">
        <v>203.94</v>
      </c>
      <c r="AH204" s="15"/>
      <c r="AI204" s="15"/>
      <c r="AJ204" s="15">
        <v>694.66</v>
      </c>
      <c r="AK204" s="15">
        <v>0.69465999999999994</v>
      </c>
      <c r="AL204" s="177"/>
      <c r="AM204" s="137" t="s">
        <v>20</v>
      </c>
      <c r="AN204" s="131"/>
      <c r="AO204" s="131"/>
      <c r="AP204" s="349">
        <f t="shared" ref="AP204:AR204" si="83">AQ204-2</f>
        <v>45906</v>
      </c>
      <c r="AQ204" s="349">
        <f t="shared" si="83"/>
        <v>45908</v>
      </c>
      <c r="AR204" s="349">
        <f t="shared" si="83"/>
        <v>45910</v>
      </c>
      <c r="AS204" s="530">
        <v>45912</v>
      </c>
      <c r="AT204" s="25" t="s">
        <v>581</v>
      </c>
      <c r="AU204" s="183"/>
      <c r="AV204" s="137" t="s">
        <v>20</v>
      </c>
      <c r="AW204" s="15" t="s">
        <v>6</v>
      </c>
      <c r="AX204" s="278">
        <f>AS204+2</f>
        <v>45914</v>
      </c>
      <c r="AY204" s="278">
        <f>AX204</f>
        <v>45914</v>
      </c>
      <c r="AZ204" s="182" t="s">
        <v>583</v>
      </c>
      <c r="BA204" s="183"/>
      <c r="BB204" s="137" t="s">
        <v>20</v>
      </c>
      <c r="BC204" s="131"/>
      <c r="BD204" s="131"/>
      <c r="BE204" s="279">
        <f>BF204-2</f>
        <v>45957</v>
      </c>
      <c r="BF204" s="279">
        <v>45959</v>
      </c>
      <c r="BG204" s="15" t="s">
        <v>580</v>
      </c>
      <c r="BH204" s="188"/>
      <c r="BI204" s="137" t="s">
        <v>20</v>
      </c>
      <c r="BJ204" s="131"/>
      <c r="BK204" s="131"/>
      <c r="BL204" s="25">
        <v>1252</v>
      </c>
      <c r="BM204" s="24"/>
      <c r="BN204" s="15"/>
      <c r="BO204" s="15"/>
    </row>
    <row r="205" spans="1:68" ht="14.25" customHeight="1">
      <c r="A205" s="15" t="s">
        <v>0</v>
      </c>
      <c r="B205" s="19"/>
      <c r="C205" s="179"/>
      <c r="D205" s="130"/>
      <c r="E205" s="130"/>
      <c r="F205" s="130"/>
      <c r="G205" s="130"/>
      <c r="H205" s="180"/>
      <c r="I205" s="19"/>
      <c r="J205" s="19"/>
      <c r="K205" s="181"/>
      <c r="L205" s="173"/>
      <c r="M205" s="15"/>
      <c r="N205" s="15"/>
      <c r="O205" s="15"/>
      <c r="P205" s="175"/>
      <c r="Q205" s="173"/>
      <c r="R205" s="15"/>
      <c r="S205" s="175"/>
      <c r="T205" s="176"/>
      <c r="U205" s="176"/>
      <c r="V205" s="16">
        <v>419</v>
      </c>
      <c r="W205" s="15" t="s">
        <v>500</v>
      </c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77"/>
      <c r="AM205" s="15"/>
      <c r="AN205" s="24"/>
      <c r="AO205" s="24"/>
      <c r="AP205" s="24"/>
      <c r="AQ205" s="24"/>
      <c r="AR205" s="24"/>
      <c r="AS205" s="25"/>
      <c r="AT205" s="25"/>
      <c r="AU205" s="178"/>
      <c r="AV205" s="15"/>
      <c r="AW205" s="24"/>
      <c r="AX205" s="278"/>
      <c r="AY205" s="278"/>
      <c r="AZ205" s="24"/>
      <c r="BA205" s="178"/>
      <c r="BB205" s="24"/>
      <c r="BC205" s="24"/>
      <c r="BD205" s="24"/>
      <c r="BE205" s="24"/>
      <c r="BF205" s="24"/>
      <c r="BG205" s="24"/>
      <c r="BH205" s="178"/>
      <c r="BI205" s="24"/>
      <c r="BJ205" s="24"/>
      <c r="BK205" s="24"/>
      <c r="BL205" s="24"/>
      <c r="BM205" s="24"/>
      <c r="BN205" s="24"/>
      <c r="BO205" s="24"/>
    </row>
    <row r="206" spans="1:68" ht="14.25" customHeight="1">
      <c r="A206" s="15">
        <f t="shared" si="65"/>
        <v>99</v>
      </c>
      <c r="B206" s="19" t="s">
        <v>173</v>
      </c>
      <c r="C206" s="179" t="s">
        <v>56</v>
      </c>
      <c r="D206" s="130">
        <v>7.6219999999999999</v>
      </c>
      <c r="E206" s="130">
        <f>D206*4</f>
        <v>30.488</v>
      </c>
      <c r="F206" s="130">
        <f>E206*8</f>
        <v>243.904</v>
      </c>
      <c r="G206" s="130"/>
      <c r="H206" s="180"/>
      <c r="I206" s="19"/>
      <c r="J206" s="19"/>
      <c r="K206" s="181"/>
      <c r="L206" s="173">
        <v>2.6789999999999998</v>
      </c>
      <c r="M206" s="15">
        <v>3.133</v>
      </c>
      <c r="N206" s="15">
        <v>2.5000000000000001E-3</v>
      </c>
      <c r="O206" s="15">
        <v>0.23299999999999998</v>
      </c>
      <c r="P206" s="175">
        <f t="shared" si="80"/>
        <v>6.0474999999999994</v>
      </c>
      <c r="Q206" s="173">
        <v>0.24399999999999999</v>
      </c>
      <c r="R206" s="15">
        <v>5.0000000000000001E-3</v>
      </c>
      <c r="S206" s="175">
        <f t="shared" si="81"/>
        <v>0.249</v>
      </c>
      <c r="T206" s="176" t="s">
        <v>31</v>
      </c>
      <c r="U206" s="176" t="s">
        <v>536</v>
      </c>
      <c r="V206" s="15"/>
      <c r="W206" s="15"/>
      <c r="X206" s="15">
        <v>41.44</v>
      </c>
      <c r="Y206" s="15">
        <v>1.51</v>
      </c>
      <c r="Z206" s="15">
        <v>11.15</v>
      </c>
      <c r="AA206" s="15">
        <f t="shared" si="82"/>
        <v>12.66</v>
      </c>
      <c r="AB206" s="15">
        <v>66.42</v>
      </c>
      <c r="AC206" s="15">
        <v>3321</v>
      </c>
      <c r="AD206" s="15">
        <v>73.73</v>
      </c>
      <c r="AE206" s="15">
        <v>301.5</v>
      </c>
      <c r="AF206" s="15"/>
      <c r="AG206" s="15">
        <v>206.46</v>
      </c>
      <c r="AH206" s="15"/>
      <c r="AI206" s="15"/>
      <c r="AJ206" s="15">
        <v>581.69000000000005</v>
      </c>
      <c r="AK206" s="15">
        <v>0.58169000000000004</v>
      </c>
      <c r="AL206" s="177"/>
      <c r="AM206" s="137" t="s">
        <v>20</v>
      </c>
      <c r="AN206" s="131"/>
      <c r="AO206" s="131"/>
      <c r="AP206" s="349">
        <f>AQ206-2</f>
        <v>45922</v>
      </c>
      <c r="AQ206" s="349">
        <f t="shared" ref="AQ206:AR206" si="84">AR206-3</f>
        <v>45924</v>
      </c>
      <c r="AR206" s="349">
        <f t="shared" si="84"/>
        <v>45927</v>
      </c>
      <c r="AS206" s="530">
        <v>45930</v>
      </c>
      <c r="AT206" s="15" t="s">
        <v>553</v>
      </c>
      <c r="AU206" s="194"/>
      <c r="AV206" s="137" t="s">
        <v>20</v>
      </c>
      <c r="AW206" s="15" t="s">
        <v>6</v>
      </c>
      <c r="AX206" s="278">
        <f>AS206+2</f>
        <v>45932</v>
      </c>
      <c r="AY206" s="278">
        <f>AX206</f>
        <v>45932</v>
      </c>
      <c r="AZ206" s="182" t="s">
        <v>583</v>
      </c>
      <c r="BA206" s="194"/>
      <c r="BB206" s="137" t="s">
        <v>20</v>
      </c>
      <c r="BC206" s="131"/>
      <c r="BD206" s="131"/>
      <c r="BE206" s="279">
        <f>BF206-2</f>
        <v>45975</v>
      </c>
      <c r="BF206" s="279">
        <v>45977</v>
      </c>
      <c r="BG206" s="15" t="s">
        <v>580</v>
      </c>
      <c r="BH206" s="187"/>
      <c r="BI206" s="137" t="s">
        <v>20</v>
      </c>
      <c r="BJ206" s="131"/>
      <c r="BK206" s="131"/>
      <c r="BL206" s="25">
        <v>1545</v>
      </c>
      <c r="BM206" s="24"/>
      <c r="BN206" s="15"/>
      <c r="BO206" s="15"/>
    </row>
    <row r="207" spans="1:68" ht="14.25" customHeight="1">
      <c r="A207" s="15" t="s">
        <v>0</v>
      </c>
      <c r="B207" s="19"/>
      <c r="C207" s="179"/>
      <c r="D207" s="130"/>
      <c r="E207" s="130"/>
      <c r="F207" s="130"/>
      <c r="G207" s="130"/>
      <c r="H207" s="180"/>
      <c r="I207" s="19"/>
      <c r="J207" s="19"/>
      <c r="K207" s="181"/>
      <c r="L207" s="173"/>
      <c r="M207" s="15"/>
      <c r="N207" s="15"/>
      <c r="O207" s="15"/>
      <c r="P207" s="175"/>
      <c r="Q207" s="173"/>
      <c r="R207" s="15"/>
      <c r="S207" s="175"/>
      <c r="T207" s="176"/>
      <c r="U207" s="176"/>
      <c r="V207" s="16">
        <v>331</v>
      </c>
      <c r="W207" s="15" t="s">
        <v>537</v>
      </c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77"/>
      <c r="AM207" s="15"/>
      <c r="AN207" s="24"/>
      <c r="AO207" s="24"/>
      <c r="AP207" s="24"/>
      <c r="AQ207" s="24"/>
      <c r="AR207" s="24"/>
      <c r="AS207" s="25"/>
      <c r="AT207" s="25"/>
      <c r="AU207" s="178"/>
      <c r="AV207" s="15"/>
      <c r="AW207" s="24"/>
      <c r="AX207" s="278"/>
      <c r="AY207" s="278"/>
      <c r="AZ207" s="24"/>
      <c r="BA207" s="178"/>
      <c r="BB207" s="24"/>
      <c r="BC207" s="24"/>
      <c r="BD207" s="24"/>
      <c r="BE207" s="24"/>
      <c r="BF207" s="24"/>
      <c r="BG207" s="24"/>
      <c r="BH207" s="178"/>
      <c r="BI207" s="24"/>
      <c r="BJ207" s="24"/>
      <c r="BK207" s="24"/>
      <c r="BL207" s="24"/>
      <c r="BM207" s="24"/>
      <c r="BN207" s="24"/>
      <c r="BO207" s="24"/>
    </row>
    <row r="208" spans="1:68" ht="14.25" customHeight="1">
      <c r="A208" s="15">
        <f t="shared" si="65"/>
        <v>100</v>
      </c>
      <c r="B208" s="19" t="s">
        <v>174</v>
      </c>
      <c r="C208" s="179" t="s">
        <v>42</v>
      </c>
      <c r="D208" s="130">
        <v>6.3620000000000001</v>
      </c>
      <c r="E208" s="130">
        <f>D208*4</f>
        <v>25.448</v>
      </c>
      <c r="F208" s="130">
        <f>E208*8</f>
        <v>203.584</v>
      </c>
      <c r="G208" s="130"/>
      <c r="H208" s="180"/>
      <c r="I208" s="19"/>
      <c r="J208" s="19"/>
      <c r="K208" s="181"/>
      <c r="L208" s="173">
        <v>2.25</v>
      </c>
      <c r="M208" s="15">
        <v>2.1880000000000002</v>
      </c>
      <c r="N208" s="15">
        <v>2E-3</v>
      </c>
      <c r="O208" s="15">
        <v>0.183</v>
      </c>
      <c r="P208" s="175">
        <f t="shared" si="80"/>
        <v>4.6230000000000002</v>
      </c>
      <c r="Q208" s="173">
        <v>0.24399999999999999</v>
      </c>
      <c r="R208" s="15">
        <v>5.0000000000000001E-3</v>
      </c>
      <c r="S208" s="175">
        <f t="shared" si="81"/>
        <v>0.249</v>
      </c>
      <c r="T208" s="176" t="s">
        <v>31</v>
      </c>
      <c r="U208" s="176" t="s">
        <v>536</v>
      </c>
      <c r="V208" s="15"/>
      <c r="W208" s="15"/>
      <c r="X208" s="15">
        <v>41.44</v>
      </c>
      <c r="Y208" s="15">
        <v>0.8</v>
      </c>
      <c r="Z208" s="15">
        <v>7.8</v>
      </c>
      <c r="AA208" s="15">
        <f t="shared" si="82"/>
        <v>8.6</v>
      </c>
      <c r="AB208" s="15">
        <v>66.42</v>
      </c>
      <c r="AC208" s="15">
        <v>3321</v>
      </c>
      <c r="AD208" s="15">
        <v>73.73</v>
      </c>
      <c r="AE208" s="15">
        <v>301.5</v>
      </c>
      <c r="AF208" s="15"/>
      <c r="AG208" s="15">
        <v>206.46</v>
      </c>
      <c r="AH208" s="15"/>
      <c r="AI208" s="15"/>
      <c r="AJ208" s="15">
        <v>581.69000000000005</v>
      </c>
      <c r="AK208" s="15">
        <v>0.58169000000000004</v>
      </c>
      <c r="AL208" s="177"/>
      <c r="AM208" s="137" t="s">
        <v>20</v>
      </c>
      <c r="AN208" s="131"/>
      <c r="AO208" s="131"/>
      <c r="AP208" s="349">
        <f>AQ208-7</f>
        <v>45922</v>
      </c>
      <c r="AQ208" s="349">
        <f>AR208-6</f>
        <v>45929</v>
      </c>
      <c r="AR208" s="349">
        <f>AS208-3</f>
        <v>45935</v>
      </c>
      <c r="AS208" s="530">
        <v>45938</v>
      </c>
      <c r="AT208" s="15" t="s">
        <v>538</v>
      </c>
      <c r="AU208" s="194"/>
      <c r="AV208" s="137" t="s">
        <v>20</v>
      </c>
      <c r="AW208" s="15" t="s">
        <v>6</v>
      </c>
      <c r="AX208" s="278">
        <f>AS208+2</f>
        <v>45940</v>
      </c>
      <c r="AY208" s="278">
        <f>AX208</f>
        <v>45940</v>
      </c>
      <c r="AZ208" s="182" t="s">
        <v>583</v>
      </c>
      <c r="BA208" s="183"/>
      <c r="BB208" s="137" t="s">
        <v>20</v>
      </c>
      <c r="BC208" s="131"/>
      <c r="BD208" s="131"/>
      <c r="BE208" s="279">
        <f>BF208-2</f>
        <v>45959</v>
      </c>
      <c r="BF208" s="279">
        <v>45961</v>
      </c>
      <c r="BG208" s="15" t="s">
        <v>580</v>
      </c>
      <c r="BH208" s="188"/>
      <c r="BI208" s="137" t="s">
        <v>20</v>
      </c>
      <c r="BJ208" s="131"/>
      <c r="BK208" s="131"/>
      <c r="BL208" s="25">
        <v>980</v>
      </c>
      <c r="BM208" s="24"/>
      <c r="BN208" s="15"/>
      <c r="BO208" s="15"/>
    </row>
    <row r="209" spans="1:65" ht="14.25" customHeight="1">
      <c r="A209" s="15" t="s">
        <v>0</v>
      </c>
      <c r="B209" s="19"/>
      <c r="C209" s="179"/>
      <c r="D209" s="130"/>
      <c r="E209" s="130"/>
      <c r="F209" s="130"/>
      <c r="G209" s="130"/>
      <c r="H209" s="180"/>
      <c r="I209" s="19"/>
      <c r="J209" s="19"/>
      <c r="K209" s="181"/>
      <c r="L209" s="173"/>
      <c r="M209" s="15"/>
      <c r="N209" s="15"/>
      <c r="O209" s="15"/>
      <c r="P209" s="175"/>
      <c r="Q209" s="173"/>
      <c r="R209" s="15"/>
      <c r="S209" s="175"/>
      <c r="T209" s="176"/>
      <c r="U209" s="176"/>
      <c r="V209" s="16">
        <v>390</v>
      </c>
      <c r="W209" s="15" t="s">
        <v>500</v>
      </c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77"/>
      <c r="AM209" s="15"/>
      <c r="AN209" s="24"/>
      <c r="AO209" s="24"/>
      <c r="AP209" s="24"/>
      <c r="AQ209" s="24"/>
      <c r="AR209" s="24"/>
      <c r="AS209" s="25"/>
      <c r="AT209" s="25"/>
      <c r="AU209" s="178"/>
      <c r="AV209" s="15"/>
      <c r="AW209" s="24"/>
      <c r="AX209" s="278"/>
      <c r="AY209" s="278"/>
      <c r="AZ209" s="24"/>
      <c r="BA209" s="178"/>
      <c r="BB209" s="24"/>
      <c r="BC209" s="24"/>
      <c r="BD209" s="24"/>
      <c r="BE209" s="24"/>
      <c r="BF209" s="24"/>
      <c r="BG209" s="24"/>
      <c r="BH209" s="178"/>
      <c r="BI209" s="24"/>
      <c r="BJ209" s="24"/>
      <c r="BK209" s="24"/>
      <c r="BL209" s="24"/>
      <c r="BM209" s="24"/>
    </row>
    <row r="210" spans="1:65" ht="14.25" customHeight="1">
      <c r="A210" s="15">
        <f t="shared" si="65"/>
        <v>101</v>
      </c>
      <c r="B210" s="19" t="s">
        <v>175</v>
      </c>
      <c r="C210" s="179" t="s">
        <v>37</v>
      </c>
      <c r="D210" s="130">
        <v>6.992</v>
      </c>
      <c r="E210" s="130">
        <f>D210*4</f>
        <v>27.968</v>
      </c>
      <c r="F210" s="130">
        <f>E210*8</f>
        <v>223.744</v>
      </c>
      <c r="G210" s="130"/>
      <c r="H210" s="180"/>
      <c r="I210" s="19"/>
      <c r="J210" s="19"/>
      <c r="K210" s="181"/>
      <c r="L210" s="173">
        <v>2.6070000000000002</v>
      </c>
      <c r="M210" s="15">
        <v>2.657</v>
      </c>
      <c r="N210" s="15">
        <v>2E-3</v>
      </c>
      <c r="O210" s="15">
        <v>0.21299999999999999</v>
      </c>
      <c r="P210" s="175">
        <f t="shared" si="80"/>
        <v>5.4790000000000001</v>
      </c>
      <c r="Q210" s="173">
        <v>0.24399999999999999</v>
      </c>
      <c r="R210" s="15">
        <v>5.0000000000000001E-3</v>
      </c>
      <c r="S210" s="175">
        <f t="shared" si="81"/>
        <v>0.249</v>
      </c>
      <c r="T210" s="176" t="s">
        <v>31</v>
      </c>
      <c r="U210" s="176" t="s">
        <v>536</v>
      </c>
      <c r="V210" s="15"/>
      <c r="W210" s="15"/>
      <c r="X210" s="15">
        <v>41.44</v>
      </c>
      <c r="Y210" s="15">
        <v>1.51</v>
      </c>
      <c r="Z210" s="15">
        <v>11.15</v>
      </c>
      <c r="AA210" s="15">
        <f t="shared" si="82"/>
        <v>12.66</v>
      </c>
      <c r="AB210" s="15">
        <v>66.42</v>
      </c>
      <c r="AC210" s="15">
        <v>3321</v>
      </c>
      <c r="AD210" s="15">
        <v>73.73</v>
      </c>
      <c r="AE210" s="15">
        <v>301.5</v>
      </c>
      <c r="AF210" s="15"/>
      <c r="AG210" s="15">
        <v>206.46</v>
      </c>
      <c r="AH210" s="15"/>
      <c r="AI210" s="15"/>
      <c r="AJ210" s="15">
        <v>581.69000000000005</v>
      </c>
      <c r="AK210" s="15">
        <v>0.58169000000000004</v>
      </c>
      <c r="AL210" s="177"/>
      <c r="AM210" s="137" t="s">
        <v>20</v>
      </c>
      <c r="AN210" s="131"/>
      <c r="AO210" s="131"/>
      <c r="AP210" s="349">
        <f t="shared" ref="AP210:AR210" si="85">AQ210-3</f>
        <v>45957</v>
      </c>
      <c r="AQ210" s="349">
        <f t="shared" si="85"/>
        <v>45960</v>
      </c>
      <c r="AR210" s="349">
        <f t="shared" si="85"/>
        <v>45963</v>
      </c>
      <c r="AS210" s="530">
        <v>45966</v>
      </c>
      <c r="AT210" s="15" t="s">
        <v>553</v>
      </c>
      <c r="AU210" s="194"/>
      <c r="AV210" s="137" t="s">
        <v>20</v>
      </c>
      <c r="AW210" s="15" t="s">
        <v>6</v>
      </c>
      <c r="AX210" s="278">
        <f>AS210+2</f>
        <v>45968</v>
      </c>
      <c r="AY210" s="278">
        <f>AX210</f>
        <v>45968</v>
      </c>
      <c r="AZ210" s="182" t="s">
        <v>583</v>
      </c>
      <c r="BA210" s="194"/>
      <c r="BB210" s="137" t="s">
        <v>20</v>
      </c>
      <c r="BC210" s="131"/>
      <c r="BD210" s="131"/>
      <c r="BE210" s="279">
        <f>BF210-2</f>
        <v>45976</v>
      </c>
      <c r="BF210" s="279">
        <v>45978</v>
      </c>
      <c r="BG210" s="15" t="s">
        <v>580</v>
      </c>
      <c r="BH210" s="187"/>
      <c r="BI210" s="137" t="s">
        <v>20</v>
      </c>
      <c r="BJ210" s="131"/>
      <c r="BK210" s="131"/>
      <c r="BL210" s="25">
        <v>1330</v>
      </c>
      <c r="BM210" s="24"/>
    </row>
    <row r="211" spans="1:65" ht="14.25" customHeight="1">
      <c r="A211" s="15" t="s">
        <v>0</v>
      </c>
      <c r="B211" s="19"/>
      <c r="C211" s="179"/>
      <c r="D211" s="130"/>
      <c r="E211" s="130"/>
      <c r="F211" s="130"/>
      <c r="G211" s="130"/>
      <c r="H211" s="180"/>
      <c r="I211" s="19"/>
      <c r="J211" s="19"/>
      <c r="K211" s="181"/>
      <c r="L211" s="173"/>
      <c r="M211" s="15"/>
      <c r="N211" s="15"/>
      <c r="O211" s="15"/>
      <c r="P211" s="175"/>
      <c r="Q211" s="173"/>
      <c r="R211" s="15"/>
      <c r="S211" s="175"/>
      <c r="T211" s="176"/>
      <c r="U211" s="176"/>
      <c r="V211" s="16">
        <v>349</v>
      </c>
      <c r="W211" s="15" t="s">
        <v>537</v>
      </c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77"/>
      <c r="AM211" s="15"/>
      <c r="AN211" s="24"/>
      <c r="AO211" s="24"/>
      <c r="AP211" s="24"/>
      <c r="AQ211" s="24"/>
      <c r="AR211" s="24"/>
      <c r="AS211" s="25"/>
      <c r="AT211" s="25"/>
      <c r="AU211" s="178"/>
      <c r="AV211" s="15"/>
      <c r="AW211" s="24"/>
      <c r="AX211" s="278"/>
      <c r="AY211" s="278"/>
      <c r="AZ211" s="24"/>
      <c r="BA211" s="178"/>
      <c r="BB211" s="24"/>
      <c r="BC211" s="24"/>
      <c r="BD211" s="24"/>
      <c r="BE211" s="24"/>
      <c r="BF211" s="24"/>
      <c r="BG211" s="24"/>
      <c r="BH211" s="178"/>
      <c r="BI211" s="24"/>
      <c r="BJ211" s="24"/>
      <c r="BK211" s="24"/>
      <c r="BL211" s="24"/>
      <c r="BM211" s="24"/>
    </row>
    <row r="212" spans="1:65" ht="14.25" customHeight="1">
      <c r="A212" s="15">
        <f t="shared" si="65"/>
        <v>102</v>
      </c>
      <c r="B212" s="19" t="s">
        <v>176</v>
      </c>
      <c r="C212" s="179" t="s">
        <v>42</v>
      </c>
      <c r="D212" s="130">
        <v>6.3620000000000001</v>
      </c>
      <c r="E212" s="130">
        <f>D212*4</f>
        <v>25.448</v>
      </c>
      <c r="F212" s="130">
        <f>E212*8</f>
        <v>203.584</v>
      </c>
      <c r="G212" s="130"/>
      <c r="H212" s="180"/>
      <c r="I212" s="19"/>
      <c r="J212" s="19"/>
      <c r="K212" s="181"/>
      <c r="L212" s="173">
        <v>2.25</v>
      </c>
      <c r="M212" s="15">
        <v>2.1880000000000002</v>
      </c>
      <c r="N212" s="15">
        <v>2E-3</v>
      </c>
      <c r="O212" s="15">
        <v>0.183</v>
      </c>
      <c r="P212" s="175">
        <f t="shared" si="80"/>
        <v>4.6230000000000002</v>
      </c>
      <c r="Q212" s="173">
        <v>0.24399999999999999</v>
      </c>
      <c r="R212" s="15">
        <v>5.0000000000000001E-3</v>
      </c>
      <c r="S212" s="175">
        <f t="shared" si="81"/>
        <v>0.249</v>
      </c>
      <c r="T212" s="176" t="s">
        <v>31</v>
      </c>
      <c r="U212" s="176" t="s">
        <v>536</v>
      </c>
      <c r="V212" s="15"/>
      <c r="W212" s="15"/>
      <c r="X212" s="15">
        <v>41.44</v>
      </c>
      <c r="Y212" s="15">
        <v>0.8</v>
      </c>
      <c r="Z212" s="15">
        <v>7.8</v>
      </c>
      <c r="AA212" s="15">
        <f t="shared" si="82"/>
        <v>8.6</v>
      </c>
      <c r="AB212" s="15">
        <v>66.42</v>
      </c>
      <c r="AC212" s="15">
        <v>3321</v>
      </c>
      <c r="AD212" s="15">
        <v>73.73</v>
      </c>
      <c r="AE212" s="15">
        <v>301.5</v>
      </c>
      <c r="AF212" s="15"/>
      <c r="AG212" s="15">
        <v>206.46</v>
      </c>
      <c r="AH212" s="15"/>
      <c r="AI212" s="15"/>
      <c r="AJ212" s="15">
        <v>581.69000000000005</v>
      </c>
      <c r="AK212" s="15">
        <v>0.58169000000000004</v>
      </c>
      <c r="AL212" s="177"/>
      <c r="AM212" s="137" t="s">
        <v>20</v>
      </c>
      <c r="AN212" s="131" t="str">
        <f>AO212</f>
        <v>D</v>
      </c>
      <c r="AO212" s="131" t="s">
        <v>21</v>
      </c>
      <c r="AP212" s="349">
        <f>AQ212-2</f>
        <v>45644</v>
      </c>
      <c r="AQ212" s="349">
        <f>AR212-3</f>
        <v>45646</v>
      </c>
      <c r="AR212" s="349">
        <f>AS212-2</f>
        <v>45649</v>
      </c>
      <c r="AS212" s="530">
        <v>45651</v>
      </c>
      <c r="AT212" s="25" t="s">
        <v>539</v>
      </c>
      <c r="AU212" s="183"/>
      <c r="AV212" s="137" t="s">
        <v>20</v>
      </c>
      <c r="AW212" s="15" t="s">
        <v>6</v>
      </c>
      <c r="AX212" s="278">
        <v>45644</v>
      </c>
      <c r="AY212" s="278">
        <v>45644</v>
      </c>
      <c r="AZ212" s="182" t="s">
        <v>539</v>
      </c>
      <c r="BA212" s="183"/>
      <c r="BB212" s="137" t="s">
        <v>20</v>
      </c>
      <c r="BC212" s="131"/>
      <c r="BD212" s="131" t="s">
        <v>21</v>
      </c>
      <c r="BE212" s="279">
        <f>BF212-2</f>
        <v>45686</v>
      </c>
      <c r="BF212" s="279">
        <v>45688</v>
      </c>
      <c r="BG212" s="15" t="s">
        <v>506</v>
      </c>
      <c r="BH212" s="188"/>
      <c r="BI212" s="137" t="s">
        <v>20</v>
      </c>
      <c r="BJ212" s="131"/>
      <c r="BK212" s="131"/>
      <c r="BL212" s="25">
        <v>980</v>
      </c>
      <c r="BM212" s="24" t="s">
        <v>743</v>
      </c>
    </row>
    <row r="213" spans="1:65" ht="14.25" customHeight="1">
      <c r="A213" s="15" t="s">
        <v>0</v>
      </c>
      <c r="B213" s="19"/>
      <c r="C213" s="179"/>
      <c r="D213" s="130"/>
      <c r="E213" s="130"/>
      <c r="F213" s="130"/>
      <c r="G213" s="130"/>
      <c r="H213" s="180"/>
      <c r="I213" s="19"/>
      <c r="J213" s="19"/>
      <c r="K213" s="181"/>
      <c r="L213" s="173"/>
      <c r="M213" s="15"/>
      <c r="N213" s="15"/>
      <c r="O213" s="15"/>
      <c r="P213" s="175"/>
      <c r="Q213" s="173"/>
      <c r="R213" s="15"/>
      <c r="S213" s="175"/>
      <c r="T213" s="176"/>
      <c r="U213" s="176"/>
      <c r="V213" s="16">
        <v>324</v>
      </c>
      <c r="W213" s="15" t="s">
        <v>500</v>
      </c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77"/>
      <c r="AM213" s="15"/>
      <c r="AN213" s="24"/>
      <c r="AO213" s="24"/>
      <c r="AP213" s="24"/>
      <c r="AQ213" s="24"/>
      <c r="AR213" s="24"/>
      <c r="AS213" s="25"/>
      <c r="AT213" s="25"/>
      <c r="AU213" s="178"/>
      <c r="AV213" s="15"/>
      <c r="AW213" s="24"/>
      <c r="AX213" s="278"/>
      <c r="AY213" s="278"/>
      <c r="AZ213" s="24"/>
      <c r="BA213" s="178"/>
      <c r="BB213" s="24"/>
      <c r="BC213" s="24"/>
      <c r="BD213" s="24"/>
      <c r="BE213" s="24"/>
      <c r="BF213" s="24"/>
      <c r="BG213" s="24"/>
      <c r="BH213" s="178"/>
      <c r="BI213" s="24"/>
      <c r="BJ213" s="24"/>
      <c r="BK213" s="24"/>
      <c r="BL213" s="24"/>
      <c r="BM213" s="24"/>
    </row>
    <row r="214" spans="1:65" ht="14.25" customHeight="1">
      <c r="A214" s="15">
        <f t="shared" si="65"/>
        <v>103</v>
      </c>
      <c r="B214" s="19" t="s">
        <v>177</v>
      </c>
      <c r="C214" s="179" t="s">
        <v>37</v>
      </c>
      <c r="D214" s="130">
        <v>6.992</v>
      </c>
      <c r="E214" s="130">
        <f>D214*4</f>
        <v>27.968</v>
      </c>
      <c r="F214" s="130">
        <f>E214*8</f>
        <v>223.744</v>
      </c>
      <c r="G214" s="130"/>
      <c r="H214" s="180"/>
      <c r="I214" s="19"/>
      <c r="J214" s="19"/>
      <c r="K214" s="181"/>
      <c r="L214" s="173">
        <v>2.6070000000000002</v>
      </c>
      <c r="M214" s="15">
        <v>2.657</v>
      </c>
      <c r="N214" s="15">
        <v>2E-3</v>
      </c>
      <c r="O214" s="15">
        <v>0.21299999999999999</v>
      </c>
      <c r="P214" s="175">
        <f t="shared" si="80"/>
        <v>5.4790000000000001</v>
      </c>
      <c r="Q214" s="173">
        <v>0.24399999999999999</v>
      </c>
      <c r="R214" s="15">
        <v>5.0000000000000001E-3</v>
      </c>
      <c r="S214" s="175">
        <f t="shared" si="81"/>
        <v>0.249</v>
      </c>
      <c r="T214" s="176" t="s">
        <v>31</v>
      </c>
      <c r="U214" s="176" t="s">
        <v>536</v>
      </c>
      <c r="V214" s="15"/>
      <c r="W214" s="15"/>
      <c r="X214" s="15">
        <v>41.44</v>
      </c>
      <c r="Y214" s="15">
        <v>0.8</v>
      </c>
      <c r="Z214" s="15">
        <v>7.8</v>
      </c>
      <c r="AA214" s="15">
        <f t="shared" si="82"/>
        <v>8.6</v>
      </c>
      <c r="AB214" s="15">
        <v>66.42</v>
      </c>
      <c r="AC214" s="15">
        <v>3321</v>
      </c>
      <c r="AD214" s="15">
        <v>73.73</v>
      </c>
      <c r="AE214" s="15">
        <v>301.5</v>
      </c>
      <c r="AF214" s="15"/>
      <c r="AG214" s="15">
        <v>206.46</v>
      </c>
      <c r="AH214" s="15"/>
      <c r="AI214" s="15"/>
      <c r="AJ214" s="15">
        <v>581.69000000000005</v>
      </c>
      <c r="AK214" s="15">
        <v>0.58169000000000004</v>
      </c>
      <c r="AL214" s="177"/>
      <c r="AM214" s="137" t="s">
        <v>20</v>
      </c>
      <c r="AN214" s="131" t="str">
        <f>AO214</f>
        <v>D</v>
      </c>
      <c r="AO214" s="131" t="s">
        <v>21</v>
      </c>
      <c r="AP214" s="349">
        <v>45656</v>
      </c>
      <c r="AQ214" s="349">
        <v>45656</v>
      </c>
      <c r="AR214" s="349">
        <v>45657</v>
      </c>
      <c r="AS214" s="530">
        <v>45657</v>
      </c>
      <c r="AT214" s="25" t="s">
        <v>539</v>
      </c>
      <c r="AU214" s="183"/>
      <c r="AV214" s="137" t="s">
        <v>20</v>
      </c>
      <c r="AW214" s="15" t="s">
        <v>6</v>
      </c>
      <c r="AX214" s="278">
        <v>45644</v>
      </c>
      <c r="AY214" s="278">
        <v>45644</v>
      </c>
      <c r="AZ214" s="182" t="s">
        <v>539</v>
      </c>
      <c r="BA214" s="183"/>
      <c r="BB214" s="137" t="s">
        <v>20</v>
      </c>
      <c r="BC214" s="131"/>
      <c r="BD214" s="131" t="s">
        <v>21</v>
      </c>
      <c r="BE214" s="279">
        <f>BF214-2</f>
        <v>45687</v>
      </c>
      <c r="BF214" s="279">
        <v>45689</v>
      </c>
      <c r="BG214" s="15" t="s">
        <v>506</v>
      </c>
      <c r="BH214" s="187"/>
      <c r="BI214" s="137" t="s">
        <v>20</v>
      </c>
      <c r="BJ214" s="24"/>
      <c r="BK214" s="24"/>
      <c r="BL214" s="25">
        <v>1330</v>
      </c>
      <c r="BM214" s="24" t="s">
        <v>743</v>
      </c>
    </row>
    <row r="215" spans="1:65" ht="14.25" customHeight="1">
      <c r="A215" s="15" t="s">
        <v>0</v>
      </c>
      <c r="B215" s="19"/>
      <c r="C215" s="179"/>
      <c r="D215" s="130"/>
      <c r="E215" s="130"/>
      <c r="F215" s="130"/>
      <c r="G215" s="130"/>
      <c r="H215" s="180"/>
      <c r="I215" s="19"/>
      <c r="J215" s="19"/>
      <c r="K215" s="181"/>
      <c r="L215" s="173"/>
      <c r="M215" s="15"/>
      <c r="N215" s="15"/>
      <c r="O215" s="15"/>
      <c r="P215" s="175"/>
      <c r="Q215" s="173"/>
      <c r="R215" s="15"/>
      <c r="S215" s="175"/>
      <c r="T215" s="176"/>
      <c r="U215" s="176"/>
      <c r="V215" s="16">
        <v>413</v>
      </c>
      <c r="W215" s="15" t="s">
        <v>500</v>
      </c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77"/>
      <c r="AM215" s="15"/>
      <c r="AN215" s="24"/>
      <c r="AO215" s="24"/>
      <c r="AP215" s="24"/>
      <c r="AQ215" s="24"/>
      <c r="AR215" s="24"/>
      <c r="AS215" s="25"/>
      <c r="AT215" s="25"/>
      <c r="AU215" s="178"/>
      <c r="AV215" s="15"/>
      <c r="AW215" s="24"/>
      <c r="AX215" s="278"/>
      <c r="AY215" s="278"/>
      <c r="AZ215" s="24"/>
      <c r="BA215" s="178"/>
      <c r="BB215" s="24"/>
      <c r="BC215" s="24"/>
      <c r="BD215" s="24"/>
      <c r="BE215" s="24"/>
      <c r="BF215" s="24"/>
      <c r="BG215" s="24"/>
      <c r="BH215" s="178"/>
      <c r="BI215" s="24"/>
      <c r="BJ215" s="24"/>
      <c r="BK215" s="24"/>
      <c r="BL215" s="24"/>
      <c r="BM215" s="24"/>
    </row>
    <row r="216" spans="1:65" ht="14.25" customHeight="1">
      <c r="A216" s="15">
        <f t="shared" si="65"/>
        <v>104</v>
      </c>
      <c r="B216" s="19" t="s">
        <v>178</v>
      </c>
      <c r="C216" s="179" t="s">
        <v>42</v>
      </c>
      <c r="D216" s="130">
        <v>6.3620000000000001</v>
      </c>
      <c r="E216" s="130">
        <f>D216*4</f>
        <v>25.448</v>
      </c>
      <c r="F216" s="130">
        <f>E216*8</f>
        <v>203.584</v>
      </c>
      <c r="G216" s="130"/>
      <c r="H216" s="180"/>
      <c r="I216" s="19"/>
      <c r="J216" s="19"/>
      <c r="K216" s="181"/>
      <c r="L216" s="173">
        <v>2.25</v>
      </c>
      <c r="M216" s="15">
        <v>2.1880000000000002</v>
      </c>
      <c r="N216" s="15">
        <v>2E-3</v>
      </c>
      <c r="O216" s="15">
        <v>0.183</v>
      </c>
      <c r="P216" s="175">
        <f t="shared" si="80"/>
        <v>4.6230000000000002</v>
      </c>
      <c r="Q216" s="173">
        <v>0.24399999999999999</v>
      </c>
      <c r="R216" s="15">
        <v>5.0000000000000001E-3</v>
      </c>
      <c r="S216" s="175">
        <f t="shared" si="81"/>
        <v>0.249</v>
      </c>
      <c r="T216" s="176" t="s">
        <v>31</v>
      </c>
      <c r="U216" s="176" t="s">
        <v>536</v>
      </c>
      <c r="V216" s="15"/>
      <c r="W216" s="15"/>
      <c r="X216" s="15">
        <v>41.44</v>
      </c>
      <c r="Y216" s="15">
        <v>0.8</v>
      </c>
      <c r="Z216" s="15">
        <v>7.8</v>
      </c>
      <c r="AA216" s="15">
        <f t="shared" si="82"/>
        <v>8.6</v>
      </c>
      <c r="AB216" s="15">
        <v>66.42</v>
      </c>
      <c r="AC216" s="15">
        <v>3321</v>
      </c>
      <c r="AD216" s="15">
        <v>73.73</v>
      </c>
      <c r="AE216" s="15">
        <v>301.5</v>
      </c>
      <c r="AF216" s="15"/>
      <c r="AG216" s="15">
        <v>206.46</v>
      </c>
      <c r="AH216" s="15"/>
      <c r="AI216" s="15"/>
      <c r="AJ216" s="15">
        <v>581.69000000000005</v>
      </c>
      <c r="AK216" s="15">
        <v>0.58169000000000004</v>
      </c>
      <c r="AL216" s="177"/>
      <c r="AM216" s="137" t="s">
        <v>20</v>
      </c>
      <c r="AN216" s="131" t="str">
        <f>AO216</f>
        <v>D</v>
      </c>
      <c r="AO216" s="131" t="s">
        <v>21</v>
      </c>
      <c r="AP216" s="349">
        <f t="shared" ref="AP216:AQ216" si="86">AQ216-3</f>
        <v>45637</v>
      </c>
      <c r="AQ216" s="349">
        <f t="shared" si="86"/>
        <v>45640</v>
      </c>
      <c r="AR216" s="349">
        <f>AS216-2</f>
        <v>45643</v>
      </c>
      <c r="AS216" s="530">
        <v>45645</v>
      </c>
      <c r="AT216" s="25" t="s">
        <v>539</v>
      </c>
      <c r="AU216" s="183"/>
      <c r="AV216" s="137" t="s">
        <v>20</v>
      </c>
      <c r="AW216" s="15" t="s">
        <v>6</v>
      </c>
      <c r="AX216" s="278">
        <v>45644</v>
      </c>
      <c r="AY216" s="278">
        <v>45644</v>
      </c>
      <c r="AZ216" s="182" t="s">
        <v>539</v>
      </c>
      <c r="BA216" s="183"/>
      <c r="BB216" s="137" t="s">
        <v>20</v>
      </c>
      <c r="BC216" s="131"/>
      <c r="BD216" s="131" t="s">
        <v>21</v>
      </c>
      <c r="BE216" s="279">
        <f>BF216-1</f>
        <v>45689</v>
      </c>
      <c r="BF216" s="279">
        <v>45690</v>
      </c>
      <c r="BG216" s="15" t="s">
        <v>506</v>
      </c>
      <c r="BH216" s="188"/>
      <c r="BI216" s="137" t="s">
        <v>20</v>
      </c>
      <c r="BJ216" s="24"/>
      <c r="BK216" s="24"/>
      <c r="BL216" s="25">
        <v>980</v>
      </c>
      <c r="BM216" s="24" t="s">
        <v>743</v>
      </c>
    </row>
    <row r="217" spans="1:65" ht="14.25" customHeight="1">
      <c r="A217" s="15" t="s">
        <v>0</v>
      </c>
      <c r="B217" s="19"/>
      <c r="C217" s="179"/>
      <c r="D217" s="130"/>
      <c r="E217" s="130"/>
      <c r="F217" s="130"/>
      <c r="G217" s="130"/>
      <c r="H217" s="180"/>
      <c r="I217" s="19"/>
      <c r="J217" s="19"/>
      <c r="K217" s="181"/>
      <c r="L217" s="173"/>
      <c r="M217" s="15"/>
      <c r="N217" s="15"/>
      <c r="O217" s="15"/>
      <c r="P217" s="175"/>
      <c r="Q217" s="173"/>
      <c r="R217" s="15"/>
      <c r="S217" s="175"/>
      <c r="T217" s="176"/>
      <c r="U217" s="176"/>
      <c r="V217" s="16">
        <v>310.18</v>
      </c>
      <c r="W217" s="15" t="s">
        <v>500</v>
      </c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77"/>
      <c r="AM217" s="15"/>
      <c r="AN217" s="24"/>
      <c r="AO217" s="24"/>
      <c r="AP217" s="24"/>
      <c r="AQ217" s="24"/>
      <c r="AR217" s="24"/>
      <c r="AS217" s="25"/>
      <c r="AT217" s="25"/>
      <c r="AU217" s="178"/>
      <c r="AV217" s="15"/>
      <c r="AW217" s="24"/>
      <c r="AX217" s="278"/>
      <c r="AY217" s="278"/>
      <c r="AZ217" s="24"/>
      <c r="BA217" s="178"/>
      <c r="BB217" s="24"/>
      <c r="BC217" s="24"/>
      <c r="BD217" s="24"/>
      <c r="BE217" s="24"/>
      <c r="BF217" s="24"/>
      <c r="BG217" s="24"/>
      <c r="BH217" s="178"/>
      <c r="BI217" s="24"/>
      <c r="BJ217" s="24"/>
      <c r="BK217" s="24"/>
      <c r="BL217" s="24"/>
      <c r="BM217" s="24"/>
    </row>
    <row r="218" spans="1:65" ht="14.25" customHeight="1">
      <c r="A218" s="15">
        <f t="shared" si="65"/>
        <v>105</v>
      </c>
      <c r="B218" s="19" t="s">
        <v>180</v>
      </c>
      <c r="C218" s="179" t="s">
        <v>34</v>
      </c>
      <c r="D218" s="130">
        <v>9.6539999999999999</v>
      </c>
      <c r="E218" s="130">
        <f>D218*4</f>
        <v>38.616</v>
      </c>
      <c r="F218" s="130">
        <f>E218*8</f>
        <v>308.928</v>
      </c>
      <c r="G218" s="130"/>
      <c r="H218" s="180"/>
      <c r="I218" s="19"/>
      <c r="J218" s="19"/>
      <c r="K218" s="181"/>
      <c r="L218" s="173">
        <v>4.8070000000000004</v>
      </c>
      <c r="M218" s="15">
        <v>4.016</v>
      </c>
      <c r="N218" s="15">
        <v>7.0000000000000001E-3</v>
      </c>
      <c r="O218" s="15">
        <v>0.43099999999999999</v>
      </c>
      <c r="P218" s="175">
        <f t="shared" si="80"/>
        <v>9.2609999999999992</v>
      </c>
      <c r="Q218" s="173">
        <v>0.55700000000000005</v>
      </c>
      <c r="R218" s="15">
        <v>0.01</v>
      </c>
      <c r="S218" s="175">
        <f t="shared" si="81"/>
        <v>0.56700000000000006</v>
      </c>
      <c r="T218" s="176" t="s">
        <v>179</v>
      </c>
      <c r="U218" s="176" t="s">
        <v>536</v>
      </c>
      <c r="V218" s="15"/>
      <c r="W218" s="15"/>
      <c r="X218" s="15">
        <v>119.36</v>
      </c>
      <c r="Y218" s="15">
        <v>2.0499999999999998</v>
      </c>
      <c r="Z218" s="15">
        <v>18.37</v>
      </c>
      <c r="AA218" s="15">
        <f t="shared" si="82"/>
        <v>20.420000000000002</v>
      </c>
      <c r="AB218" s="15">
        <v>157.16420000000002</v>
      </c>
      <c r="AC218" s="15">
        <v>7858.2100000000009</v>
      </c>
      <c r="AD218" s="15">
        <v>89.9</v>
      </c>
      <c r="AE218" s="15"/>
      <c r="AF218" s="15">
        <v>1115.3400000000001</v>
      </c>
      <c r="AG218" s="15">
        <v>198.68</v>
      </c>
      <c r="AH218" s="15"/>
      <c r="AI218" s="15"/>
      <c r="AJ218" s="15">
        <v>1403.9200000000003</v>
      </c>
      <c r="AK218" s="15">
        <v>1.4039200000000003</v>
      </c>
      <c r="AL218" s="177"/>
      <c r="AM218" s="137" t="s">
        <v>20</v>
      </c>
      <c r="AN218" s="131" t="str">
        <f>AO218</f>
        <v>D</v>
      </c>
      <c r="AO218" s="131" t="s">
        <v>21</v>
      </c>
      <c r="AP218" s="349">
        <f>AQ218-3</f>
        <v>45634</v>
      </c>
      <c r="AQ218" s="349">
        <f t="shared" ref="AQ218:AR218" si="87">AR218-2</f>
        <v>45637</v>
      </c>
      <c r="AR218" s="349">
        <f t="shared" si="87"/>
        <v>45639</v>
      </c>
      <c r="AS218" s="530">
        <v>45641</v>
      </c>
      <c r="AT218" s="25" t="s">
        <v>539</v>
      </c>
      <c r="AU218" s="183"/>
      <c r="AV218" s="137" t="s">
        <v>20</v>
      </c>
      <c r="AW218" s="15" t="s">
        <v>6</v>
      </c>
      <c r="AX218" s="278">
        <v>45644</v>
      </c>
      <c r="AY218" s="278">
        <v>45644</v>
      </c>
      <c r="AZ218" s="182" t="s">
        <v>539</v>
      </c>
      <c r="BA218" s="183"/>
      <c r="BB218" s="137" t="s">
        <v>20</v>
      </c>
      <c r="BC218" s="131"/>
      <c r="BD218" s="131" t="s">
        <v>21</v>
      </c>
      <c r="BE218" s="279">
        <f>BF218-1</f>
        <v>45692</v>
      </c>
      <c r="BF218" s="279">
        <v>45693</v>
      </c>
      <c r="BG218" s="15" t="s">
        <v>506</v>
      </c>
      <c r="BH218" s="177"/>
      <c r="BI218" s="137" t="s">
        <v>20</v>
      </c>
      <c r="BJ218" s="131">
        <f>BK218</f>
        <v>45752</v>
      </c>
      <c r="BK218" s="131">
        <v>45752</v>
      </c>
      <c r="BL218" s="25">
        <v>1202</v>
      </c>
      <c r="BM218" s="24" t="s">
        <v>541</v>
      </c>
    </row>
    <row r="219" spans="1:65" ht="14.25" customHeight="1">
      <c r="A219" s="15" t="s">
        <v>0</v>
      </c>
      <c r="B219" s="19"/>
      <c r="C219" s="179"/>
      <c r="D219" s="130"/>
      <c r="E219" s="130"/>
      <c r="F219" s="130"/>
      <c r="G219" s="130"/>
      <c r="H219" s="180"/>
      <c r="I219" s="19"/>
      <c r="J219" s="19"/>
      <c r="K219" s="181"/>
      <c r="L219" s="173"/>
      <c r="M219" s="15"/>
      <c r="N219" s="15"/>
      <c r="O219" s="15"/>
      <c r="P219" s="175"/>
      <c r="Q219" s="173"/>
      <c r="R219" s="15"/>
      <c r="S219" s="175"/>
      <c r="T219" s="176"/>
      <c r="U219" s="176"/>
      <c r="V219" s="16">
        <v>379</v>
      </c>
      <c r="W219" s="15" t="s">
        <v>500</v>
      </c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77"/>
      <c r="AM219" s="15"/>
      <c r="AN219" s="24"/>
      <c r="AO219" s="24"/>
      <c r="AP219" s="24"/>
      <c r="AQ219" s="24"/>
      <c r="AR219" s="24"/>
      <c r="AS219" s="25"/>
      <c r="AT219" s="25"/>
      <c r="AU219" s="178"/>
      <c r="AV219" s="15"/>
      <c r="AW219" s="24"/>
      <c r="AX219" s="278"/>
      <c r="AY219" s="278"/>
      <c r="AZ219" s="24"/>
      <c r="BA219" s="178"/>
      <c r="BB219" s="24"/>
      <c r="BC219" s="24"/>
      <c r="BD219" s="24"/>
      <c r="BE219" s="24"/>
      <c r="BF219" s="24"/>
      <c r="BG219" s="24"/>
      <c r="BH219" s="178"/>
      <c r="BI219" s="24"/>
      <c r="BJ219" s="24"/>
      <c r="BK219" s="24"/>
      <c r="BL219" s="24"/>
      <c r="BM219" s="24"/>
    </row>
    <row r="220" spans="1:65" ht="14.25" customHeight="1">
      <c r="A220" s="15">
        <f t="shared" ref="A220:A282" si="88">A218+1</f>
        <v>106</v>
      </c>
      <c r="B220" s="19" t="s">
        <v>181</v>
      </c>
      <c r="C220" s="179" t="s">
        <v>37</v>
      </c>
      <c r="D220" s="130">
        <v>6.992</v>
      </c>
      <c r="E220" s="130">
        <f>D220*4</f>
        <v>27.968</v>
      </c>
      <c r="F220" s="130">
        <f>E220*8</f>
        <v>223.744</v>
      </c>
      <c r="G220" s="130"/>
      <c r="H220" s="180"/>
      <c r="I220" s="19"/>
      <c r="J220" s="19"/>
      <c r="K220" s="181"/>
      <c r="L220" s="173">
        <v>2.6070000000000002</v>
      </c>
      <c r="M220" s="15">
        <v>2.657</v>
      </c>
      <c r="N220" s="15">
        <v>2E-3</v>
      </c>
      <c r="O220" s="15">
        <v>0.21299999999999999</v>
      </c>
      <c r="P220" s="175">
        <f t="shared" si="80"/>
        <v>5.4790000000000001</v>
      </c>
      <c r="Q220" s="173">
        <v>0.24399999999999999</v>
      </c>
      <c r="R220" s="15">
        <v>5.0000000000000001E-3</v>
      </c>
      <c r="S220" s="175">
        <f t="shared" si="81"/>
        <v>0.249</v>
      </c>
      <c r="T220" s="176" t="s">
        <v>31</v>
      </c>
      <c r="U220" s="176" t="s">
        <v>536</v>
      </c>
      <c r="V220" s="15"/>
      <c r="W220" s="15"/>
      <c r="X220" s="15">
        <v>41.44</v>
      </c>
      <c r="Y220" s="15">
        <v>0.8</v>
      </c>
      <c r="Z220" s="15">
        <v>7.8</v>
      </c>
      <c r="AA220" s="15">
        <f t="shared" si="82"/>
        <v>8.6</v>
      </c>
      <c r="AB220" s="15">
        <v>66.42</v>
      </c>
      <c r="AC220" s="15">
        <v>3321</v>
      </c>
      <c r="AD220" s="15">
        <v>73.73</v>
      </c>
      <c r="AE220" s="15">
        <v>301.5</v>
      </c>
      <c r="AF220" s="15"/>
      <c r="AG220" s="15">
        <v>206.46</v>
      </c>
      <c r="AH220" s="15"/>
      <c r="AI220" s="15"/>
      <c r="AJ220" s="15">
        <v>581.69000000000005</v>
      </c>
      <c r="AK220" s="15">
        <v>0.58169000000000004</v>
      </c>
      <c r="AL220" s="177"/>
      <c r="AM220" s="137" t="s">
        <v>20</v>
      </c>
      <c r="AN220" s="131" t="str">
        <f>AO220</f>
        <v>D</v>
      </c>
      <c r="AO220" s="131" t="s">
        <v>21</v>
      </c>
      <c r="AP220" s="349">
        <v>45547</v>
      </c>
      <c r="AQ220" s="349">
        <v>45550</v>
      </c>
      <c r="AR220" s="349">
        <v>45551</v>
      </c>
      <c r="AS220" s="530">
        <v>45557</v>
      </c>
      <c r="AT220" s="25" t="s">
        <v>539</v>
      </c>
      <c r="AU220" s="183"/>
      <c r="AV220" s="137" t="s">
        <v>20</v>
      </c>
      <c r="AW220" s="15" t="s">
        <v>6</v>
      </c>
      <c r="AX220" s="278">
        <v>45644</v>
      </c>
      <c r="AY220" s="278">
        <v>45644</v>
      </c>
      <c r="AZ220" s="182" t="s">
        <v>539</v>
      </c>
      <c r="BA220" s="183"/>
      <c r="BB220" s="137" t="s">
        <v>20</v>
      </c>
      <c r="BC220" s="131"/>
      <c r="BD220" s="131" t="s">
        <v>21</v>
      </c>
      <c r="BE220" s="279">
        <v>45645</v>
      </c>
      <c r="BF220" s="279">
        <v>45649</v>
      </c>
      <c r="BG220" s="24" t="s">
        <v>584</v>
      </c>
      <c r="BH220" s="178"/>
      <c r="BI220" s="137" t="s">
        <v>20</v>
      </c>
      <c r="BJ220" s="131">
        <f>BK220</f>
        <v>45758</v>
      </c>
      <c r="BK220" s="131">
        <v>45758</v>
      </c>
      <c r="BL220" s="25">
        <v>1330</v>
      </c>
      <c r="BM220" s="24" t="s">
        <v>541</v>
      </c>
    </row>
    <row r="221" spans="1:65" ht="14.25" customHeight="1">
      <c r="A221" s="15" t="s">
        <v>0</v>
      </c>
      <c r="B221" s="19"/>
      <c r="C221" s="179"/>
      <c r="D221" s="130"/>
      <c r="E221" s="130"/>
      <c r="F221" s="130"/>
      <c r="G221" s="130"/>
      <c r="H221" s="180"/>
      <c r="I221" s="19"/>
      <c r="J221" s="19"/>
      <c r="K221" s="181"/>
      <c r="L221" s="173"/>
      <c r="M221" s="15"/>
      <c r="N221" s="15"/>
      <c r="O221" s="15"/>
      <c r="P221" s="175"/>
      <c r="Q221" s="173"/>
      <c r="R221" s="15"/>
      <c r="S221" s="175"/>
      <c r="T221" s="176"/>
      <c r="U221" s="176"/>
      <c r="V221" s="16">
        <v>304</v>
      </c>
      <c r="W221" s="15" t="s">
        <v>500</v>
      </c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77"/>
      <c r="AM221" s="15"/>
      <c r="AN221" s="24"/>
      <c r="AO221" s="24"/>
      <c r="AP221" s="24"/>
      <c r="AQ221" s="24"/>
      <c r="AR221" s="24"/>
      <c r="AS221" s="25"/>
      <c r="AT221" s="25"/>
      <c r="AU221" s="178"/>
      <c r="AV221" s="15"/>
      <c r="AW221" s="24"/>
      <c r="AX221" s="278"/>
      <c r="AY221" s="278"/>
      <c r="AZ221" s="24"/>
      <c r="BA221" s="178"/>
      <c r="BB221" s="24"/>
      <c r="BC221" s="24"/>
      <c r="BD221" s="24"/>
      <c r="BE221" s="24"/>
      <c r="BF221" s="24"/>
      <c r="BG221" s="24"/>
      <c r="BH221" s="178"/>
      <c r="BI221" s="24"/>
      <c r="BJ221" s="24"/>
      <c r="BK221" s="24"/>
      <c r="BL221" s="24"/>
      <c r="BM221" s="24"/>
    </row>
    <row r="222" spans="1:65" ht="14.25" customHeight="1">
      <c r="A222" s="15">
        <f t="shared" si="88"/>
        <v>107</v>
      </c>
      <c r="B222" s="19" t="s">
        <v>182</v>
      </c>
      <c r="C222" s="179" t="s">
        <v>42</v>
      </c>
      <c r="D222" s="130">
        <v>6.3620000000000001</v>
      </c>
      <c r="E222" s="130">
        <f>D222*4</f>
        <v>25.448</v>
      </c>
      <c r="F222" s="130">
        <f>E222*8</f>
        <v>203.584</v>
      </c>
      <c r="G222" s="130"/>
      <c r="H222" s="180"/>
      <c r="I222" s="19"/>
      <c r="J222" s="19"/>
      <c r="K222" s="181"/>
      <c r="L222" s="173">
        <v>2.25</v>
      </c>
      <c r="M222" s="15">
        <v>2.1880000000000002</v>
      </c>
      <c r="N222" s="15">
        <v>2E-3</v>
      </c>
      <c r="O222" s="15">
        <v>0.183</v>
      </c>
      <c r="P222" s="175">
        <f t="shared" si="80"/>
        <v>4.6230000000000002</v>
      </c>
      <c r="Q222" s="173">
        <v>0.24399999999999999</v>
      </c>
      <c r="R222" s="15">
        <v>5.0000000000000001E-3</v>
      </c>
      <c r="S222" s="175">
        <f t="shared" si="81"/>
        <v>0.249</v>
      </c>
      <c r="T222" s="176" t="s">
        <v>31</v>
      </c>
      <c r="U222" s="176" t="s">
        <v>536</v>
      </c>
      <c r="V222" s="15"/>
      <c r="W222" s="15"/>
      <c r="X222" s="15">
        <v>41.44</v>
      </c>
      <c r="Y222" s="15">
        <v>0.8</v>
      </c>
      <c r="Z222" s="15">
        <v>7.8</v>
      </c>
      <c r="AA222" s="15">
        <f t="shared" si="82"/>
        <v>8.6</v>
      </c>
      <c r="AB222" s="15">
        <v>66.42</v>
      </c>
      <c r="AC222" s="15">
        <v>3321</v>
      </c>
      <c r="AD222" s="15">
        <v>73.73</v>
      </c>
      <c r="AE222" s="15">
        <v>301.5</v>
      </c>
      <c r="AF222" s="15"/>
      <c r="AG222" s="15">
        <v>206.46</v>
      </c>
      <c r="AH222" s="15"/>
      <c r="AI222" s="15"/>
      <c r="AJ222" s="15">
        <v>581.69000000000005</v>
      </c>
      <c r="AK222" s="15">
        <v>0.58169000000000004</v>
      </c>
      <c r="AL222" s="177"/>
      <c r="AM222" s="137" t="s">
        <v>20</v>
      </c>
      <c r="AN222" s="131" t="str">
        <f>AO222</f>
        <v>D</v>
      </c>
      <c r="AO222" s="131" t="s">
        <v>21</v>
      </c>
      <c r="AP222" s="349">
        <v>45531</v>
      </c>
      <c r="AQ222" s="349">
        <v>45542</v>
      </c>
      <c r="AR222" s="349">
        <v>45542</v>
      </c>
      <c r="AS222" s="530">
        <v>45546</v>
      </c>
      <c r="AT222" s="25" t="s">
        <v>539</v>
      </c>
      <c r="AU222" s="183"/>
      <c r="AV222" s="137" t="s">
        <v>20</v>
      </c>
      <c r="AW222" s="15" t="s">
        <v>6</v>
      </c>
      <c r="AX222" s="278">
        <v>45646</v>
      </c>
      <c r="AY222" s="278">
        <v>45646</v>
      </c>
      <c r="AZ222" s="182" t="s">
        <v>539</v>
      </c>
      <c r="BA222" s="183"/>
      <c r="BB222" s="137" t="s">
        <v>20</v>
      </c>
      <c r="BC222" s="131"/>
      <c r="BD222" s="131" t="s">
        <v>21</v>
      </c>
      <c r="BE222" s="279">
        <v>45650</v>
      </c>
      <c r="BF222" s="279">
        <v>45651</v>
      </c>
      <c r="BG222" s="24" t="s">
        <v>584</v>
      </c>
      <c r="BH222" s="188"/>
      <c r="BI222" s="137" t="s">
        <v>20</v>
      </c>
      <c r="BJ222" s="131">
        <f>BK222</f>
        <v>45759</v>
      </c>
      <c r="BK222" s="131">
        <v>45759</v>
      </c>
      <c r="BL222" s="25">
        <v>980</v>
      </c>
      <c r="BM222" s="24" t="s">
        <v>541</v>
      </c>
    </row>
    <row r="223" spans="1:65" ht="14.25" customHeight="1">
      <c r="A223" s="15" t="s">
        <v>0</v>
      </c>
      <c r="B223" s="19"/>
      <c r="C223" s="179"/>
      <c r="D223" s="130"/>
      <c r="E223" s="130"/>
      <c r="F223" s="130"/>
      <c r="G223" s="130"/>
      <c r="H223" s="180"/>
      <c r="I223" s="19"/>
      <c r="J223" s="19"/>
      <c r="K223" s="181"/>
      <c r="L223" s="173"/>
      <c r="M223" s="15"/>
      <c r="N223" s="15"/>
      <c r="O223" s="15"/>
      <c r="P223" s="175"/>
      <c r="Q223" s="173"/>
      <c r="R223" s="15"/>
      <c r="S223" s="175"/>
      <c r="T223" s="176"/>
      <c r="U223" s="176"/>
      <c r="V223" s="16">
        <v>333</v>
      </c>
      <c r="W223" s="15" t="s">
        <v>500</v>
      </c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77"/>
      <c r="AM223" s="15"/>
      <c r="AN223" s="15"/>
      <c r="AO223" s="15"/>
      <c r="AP223" s="15"/>
      <c r="AQ223" s="24"/>
      <c r="AR223" s="24"/>
      <c r="AS223" s="25"/>
      <c r="AT223" s="25"/>
      <c r="AU223" s="178"/>
      <c r="AV223" s="15"/>
      <c r="AW223" s="24"/>
      <c r="AX223" s="278"/>
      <c r="AY223" s="278"/>
      <c r="AZ223" s="24"/>
      <c r="BA223" s="178"/>
      <c r="BB223" s="24"/>
      <c r="BC223" s="15"/>
      <c r="BD223" s="15"/>
      <c r="BE223" s="24"/>
      <c r="BF223" s="24"/>
      <c r="BG223" s="24"/>
      <c r="BH223" s="178"/>
      <c r="BI223" s="24"/>
      <c r="BJ223" s="24"/>
      <c r="BK223" s="24"/>
      <c r="BL223" s="24"/>
      <c r="BM223" s="24"/>
    </row>
    <row r="224" spans="1:65" ht="14.25" customHeight="1">
      <c r="A224" s="15">
        <f t="shared" si="88"/>
        <v>108</v>
      </c>
      <c r="B224" s="19" t="s">
        <v>183</v>
      </c>
      <c r="C224" s="179" t="s">
        <v>42</v>
      </c>
      <c r="D224" s="130">
        <v>6.3620000000000001</v>
      </c>
      <c r="E224" s="130">
        <f>D224*4</f>
        <v>25.448</v>
      </c>
      <c r="F224" s="130">
        <f>E224*8</f>
        <v>203.584</v>
      </c>
      <c r="G224" s="130"/>
      <c r="H224" s="180"/>
      <c r="I224" s="19"/>
      <c r="J224" s="19"/>
      <c r="K224" s="181"/>
      <c r="L224" s="173">
        <v>2.25</v>
      </c>
      <c r="M224" s="15">
        <v>2.1880000000000002</v>
      </c>
      <c r="N224" s="15">
        <v>2E-3</v>
      </c>
      <c r="O224" s="15">
        <v>0.183</v>
      </c>
      <c r="P224" s="175">
        <f t="shared" si="80"/>
        <v>4.6230000000000002</v>
      </c>
      <c r="Q224" s="173">
        <v>0.24399999999999999</v>
      </c>
      <c r="R224" s="15">
        <v>5.0000000000000001E-3</v>
      </c>
      <c r="S224" s="175">
        <f t="shared" si="81"/>
        <v>0.249</v>
      </c>
      <c r="T224" s="176" t="s">
        <v>31</v>
      </c>
      <c r="U224" s="176" t="s">
        <v>536</v>
      </c>
      <c r="V224" s="15"/>
      <c r="W224" s="15"/>
      <c r="X224" s="15">
        <v>41.44</v>
      </c>
      <c r="Y224" s="15">
        <v>0.8</v>
      </c>
      <c r="Z224" s="15">
        <v>7.8</v>
      </c>
      <c r="AA224" s="15">
        <f t="shared" si="82"/>
        <v>8.6</v>
      </c>
      <c r="AB224" s="15">
        <v>66.42</v>
      </c>
      <c r="AC224" s="15">
        <v>3321</v>
      </c>
      <c r="AD224" s="15">
        <v>73.73</v>
      </c>
      <c r="AE224" s="15">
        <v>301.5</v>
      </c>
      <c r="AF224" s="15"/>
      <c r="AG224" s="15">
        <v>206.46</v>
      </c>
      <c r="AH224" s="15"/>
      <c r="AI224" s="15"/>
      <c r="AJ224" s="15">
        <v>581.69000000000005</v>
      </c>
      <c r="AK224" s="15">
        <v>0.58169000000000004</v>
      </c>
      <c r="AL224" s="177"/>
      <c r="AM224" s="137" t="s">
        <v>20</v>
      </c>
      <c r="AN224" s="131" t="str">
        <f>AO224</f>
        <v>D</v>
      </c>
      <c r="AO224" s="131" t="s">
        <v>21</v>
      </c>
      <c r="AP224" s="349">
        <v>45543</v>
      </c>
      <c r="AQ224" s="349">
        <v>45546</v>
      </c>
      <c r="AR224" s="349">
        <v>45547</v>
      </c>
      <c r="AS224" s="530">
        <v>45550</v>
      </c>
      <c r="AT224" s="25" t="s">
        <v>539</v>
      </c>
      <c r="AU224" s="183"/>
      <c r="AV224" s="137" t="s">
        <v>20</v>
      </c>
      <c r="AW224" s="15" t="s">
        <v>6</v>
      </c>
      <c r="AX224" s="278">
        <v>45650</v>
      </c>
      <c r="AY224" s="278">
        <v>45650</v>
      </c>
      <c r="AZ224" s="182" t="s">
        <v>539</v>
      </c>
      <c r="BA224" s="183"/>
      <c r="BB224" s="137" t="s">
        <v>20</v>
      </c>
      <c r="BC224" s="131"/>
      <c r="BD224" s="131" t="s">
        <v>21</v>
      </c>
      <c r="BE224" s="279">
        <v>45651</v>
      </c>
      <c r="BF224" s="279">
        <v>45652</v>
      </c>
      <c r="BG224" s="24" t="s">
        <v>584</v>
      </c>
      <c r="BH224" s="189"/>
      <c r="BI224" s="137" t="s">
        <v>20</v>
      </c>
      <c r="BJ224" s="131">
        <f>BK224</f>
        <v>45746</v>
      </c>
      <c r="BK224" s="131">
        <v>45746</v>
      </c>
      <c r="BL224" s="25">
        <v>980</v>
      </c>
      <c r="BM224" s="24" t="s">
        <v>541</v>
      </c>
    </row>
    <row r="225" spans="1:65" ht="14.25" customHeight="1">
      <c r="A225" s="15" t="s">
        <v>0</v>
      </c>
      <c r="B225" s="19"/>
      <c r="C225" s="179"/>
      <c r="D225" s="130"/>
      <c r="E225" s="130"/>
      <c r="F225" s="130"/>
      <c r="G225" s="130"/>
      <c r="H225" s="180"/>
      <c r="I225" s="19"/>
      <c r="J225" s="19"/>
      <c r="K225" s="181"/>
      <c r="L225" s="173"/>
      <c r="M225" s="15"/>
      <c r="N225" s="15"/>
      <c r="O225" s="15"/>
      <c r="P225" s="175"/>
      <c r="Q225" s="173"/>
      <c r="R225" s="15"/>
      <c r="S225" s="175"/>
      <c r="T225" s="176"/>
      <c r="U225" s="176"/>
      <c r="V225" s="16">
        <v>363</v>
      </c>
      <c r="W225" s="15" t="s">
        <v>500</v>
      </c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77"/>
      <c r="AM225" s="15"/>
      <c r="AN225" s="24"/>
      <c r="AO225" s="24"/>
      <c r="AP225" s="24"/>
      <c r="AQ225" s="24"/>
      <c r="AR225" s="24"/>
      <c r="AS225" s="25"/>
      <c r="AT225" s="25"/>
      <c r="AU225" s="178"/>
      <c r="AV225" s="15"/>
      <c r="AW225" s="24"/>
      <c r="AX225" s="278"/>
      <c r="AY225" s="278"/>
      <c r="AZ225" s="24"/>
      <c r="BA225" s="178"/>
      <c r="BB225" s="24"/>
      <c r="BC225" s="24"/>
      <c r="BD225" s="24"/>
      <c r="BE225" s="24"/>
      <c r="BF225" s="24"/>
      <c r="BG225" s="24"/>
      <c r="BH225" s="178"/>
      <c r="BI225" s="24"/>
      <c r="BJ225" s="131"/>
      <c r="BK225" s="24"/>
      <c r="BL225" s="24"/>
      <c r="BM225" s="24"/>
    </row>
    <row r="226" spans="1:65" ht="14.25" customHeight="1">
      <c r="A226" s="15">
        <f t="shared" si="88"/>
        <v>109</v>
      </c>
      <c r="B226" s="19" t="s">
        <v>184</v>
      </c>
      <c r="C226" s="179" t="s">
        <v>56</v>
      </c>
      <c r="D226" s="130">
        <v>7.6219999999999999</v>
      </c>
      <c r="E226" s="130">
        <f>D226*4</f>
        <v>30.488</v>
      </c>
      <c r="F226" s="130">
        <f>E226*8</f>
        <v>243.904</v>
      </c>
      <c r="G226" s="130"/>
      <c r="H226" s="180"/>
      <c r="I226" s="19"/>
      <c r="J226" s="19"/>
      <c r="K226" s="181"/>
      <c r="L226" s="173">
        <v>2.6789999999999998</v>
      </c>
      <c r="M226" s="15">
        <v>3.133</v>
      </c>
      <c r="N226" s="15">
        <v>2.5000000000000001E-3</v>
      </c>
      <c r="O226" s="15">
        <v>0.23299999999999998</v>
      </c>
      <c r="P226" s="175">
        <f t="shared" si="80"/>
        <v>6.0474999999999994</v>
      </c>
      <c r="Q226" s="173">
        <v>0.24399999999999999</v>
      </c>
      <c r="R226" s="15">
        <v>5.0000000000000001E-3</v>
      </c>
      <c r="S226" s="175">
        <f t="shared" si="81"/>
        <v>0.249</v>
      </c>
      <c r="T226" s="176" t="s">
        <v>31</v>
      </c>
      <c r="U226" s="176" t="s">
        <v>536</v>
      </c>
      <c r="V226" s="15"/>
      <c r="W226" s="15"/>
      <c r="X226" s="15">
        <v>85.44</v>
      </c>
      <c r="Y226" s="15">
        <v>1.51</v>
      </c>
      <c r="Z226" s="15">
        <v>11.15</v>
      </c>
      <c r="AA226" s="15">
        <f t="shared" si="82"/>
        <v>12.66</v>
      </c>
      <c r="AB226" s="15">
        <v>96.573400000000021</v>
      </c>
      <c r="AC226" s="15">
        <v>4828.670000000001</v>
      </c>
      <c r="AD226" s="15">
        <v>63.93</v>
      </c>
      <c r="AE226" s="15">
        <v>524.79</v>
      </c>
      <c r="AF226" s="15"/>
      <c r="AG226" s="15">
        <v>100.6</v>
      </c>
      <c r="AH226" s="15">
        <v>157.18</v>
      </c>
      <c r="AI226" s="15"/>
      <c r="AJ226" s="15">
        <v>846.5</v>
      </c>
      <c r="AK226" s="15">
        <v>0.84650000000000003</v>
      </c>
      <c r="AL226" s="177"/>
      <c r="AM226" s="137" t="s">
        <v>20</v>
      </c>
      <c r="AN226" s="131" t="str">
        <f>AO226</f>
        <v>D</v>
      </c>
      <c r="AO226" s="131" t="s">
        <v>21</v>
      </c>
      <c r="AP226" s="349">
        <v>45531</v>
      </c>
      <c r="AQ226" s="349">
        <v>45551</v>
      </c>
      <c r="AR226" s="349">
        <v>45584</v>
      </c>
      <c r="AS226" s="530">
        <v>45589</v>
      </c>
      <c r="AT226" s="25" t="s">
        <v>539</v>
      </c>
      <c r="AU226" s="183"/>
      <c r="AV226" s="137" t="s">
        <v>20</v>
      </c>
      <c r="AW226" s="15" t="s">
        <v>6</v>
      </c>
      <c r="AX226" s="278">
        <v>45650</v>
      </c>
      <c r="AY226" s="278">
        <v>45650</v>
      </c>
      <c r="AZ226" s="182" t="s">
        <v>539</v>
      </c>
      <c r="BA226" s="183"/>
      <c r="BB226" s="137" t="s">
        <v>20</v>
      </c>
      <c r="BC226" s="131"/>
      <c r="BD226" s="131" t="s">
        <v>21</v>
      </c>
      <c r="BE226" s="279">
        <f>BF226-2</f>
        <v>45693</v>
      </c>
      <c r="BF226" s="279">
        <v>45695</v>
      </c>
      <c r="BG226" s="15" t="s">
        <v>506</v>
      </c>
      <c r="BH226" s="187"/>
      <c r="BI226" s="137" t="s">
        <v>20</v>
      </c>
      <c r="BJ226" s="131">
        <f>BK226</f>
        <v>45747</v>
      </c>
      <c r="BK226" s="131">
        <v>45747</v>
      </c>
      <c r="BL226" s="25">
        <v>1545</v>
      </c>
      <c r="BM226" s="24" t="s">
        <v>541</v>
      </c>
    </row>
    <row r="227" spans="1:65" ht="14.25" customHeight="1">
      <c r="A227" s="15" t="s">
        <v>0</v>
      </c>
      <c r="B227" s="19"/>
      <c r="C227" s="179"/>
      <c r="D227" s="130"/>
      <c r="E227" s="130"/>
      <c r="F227" s="130"/>
      <c r="G227" s="130"/>
      <c r="H227" s="180"/>
      <c r="I227" s="19"/>
      <c r="J227" s="19"/>
      <c r="K227" s="181"/>
      <c r="L227" s="173"/>
      <c r="M227" s="15"/>
      <c r="N227" s="15"/>
      <c r="O227" s="15"/>
      <c r="P227" s="175"/>
      <c r="Q227" s="173"/>
      <c r="R227" s="15"/>
      <c r="S227" s="175"/>
      <c r="T227" s="176"/>
      <c r="U227" s="176"/>
      <c r="V227" s="16">
        <v>384</v>
      </c>
      <c r="W227" s="15" t="s">
        <v>537</v>
      </c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77"/>
      <c r="AM227" s="15"/>
      <c r="AN227" s="24"/>
      <c r="AO227" s="24"/>
      <c r="AP227" s="24"/>
      <c r="AQ227" s="24"/>
      <c r="AR227" s="24"/>
      <c r="AS227" s="25"/>
      <c r="AT227" s="25"/>
      <c r="AU227" s="178"/>
      <c r="AV227" s="15"/>
      <c r="AW227" s="24"/>
      <c r="AX227" s="278"/>
      <c r="AY227" s="278"/>
      <c r="AZ227" s="24"/>
      <c r="BA227" s="178"/>
      <c r="BB227" s="24"/>
      <c r="BC227" s="24"/>
      <c r="BD227" s="24"/>
      <c r="BE227" s="24"/>
      <c r="BF227" s="24"/>
      <c r="BG227" s="24"/>
      <c r="BH227" s="178"/>
      <c r="BI227" s="137"/>
      <c r="BJ227" s="131"/>
      <c r="BK227" s="131"/>
      <c r="BL227" s="24"/>
      <c r="BM227" s="24"/>
    </row>
    <row r="228" spans="1:65" ht="14.25" customHeight="1">
      <c r="A228" s="15">
        <f t="shared" si="88"/>
        <v>110</v>
      </c>
      <c r="B228" s="19" t="s">
        <v>185</v>
      </c>
      <c r="C228" s="179" t="s">
        <v>37</v>
      </c>
      <c r="D228" s="130">
        <v>6.992</v>
      </c>
      <c r="E228" s="130">
        <f>D228*4</f>
        <v>27.968</v>
      </c>
      <c r="F228" s="130">
        <f>E228*8</f>
        <v>223.744</v>
      </c>
      <c r="G228" s="130"/>
      <c r="H228" s="180"/>
      <c r="I228" s="19"/>
      <c r="J228" s="19"/>
      <c r="K228" s="181"/>
      <c r="L228" s="173">
        <v>2.6070000000000002</v>
      </c>
      <c r="M228" s="15">
        <v>2.657</v>
      </c>
      <c r="N228" s="15">
        <v>2E-3</v>
      </c>
      <c r="O228" s="15">
        <v>0.21299999999999999</v>
      </c>
      <c r="P228" s="175">
        <f t="shared" si="80"/>
        <v>5.4790000000000001</v>
      </c>
      <c r="Q228" s="173">
        <v>0.24399999999999999</v>
      </c>
      <c r="R228" s="15">
        <v>5.0000000000000001E-3</v>
      </c>
      <c r="S228" s="175">
        <f t="shared" si="81"/>
        <v>0.249</v>
      </c>
      <c r="T228" s="176" t="s">
        <v>31</v>
      </c>
      <c r="U228" s="176" t="s">
        <v>536</v>
      </c>
      <c r="V228" s="15"/>
      <c r="W228" s="15"/>
      <c r="X228" s="15">
        <v>85.44</v>
      </c>
      <c r="Y228" s="15">
        <v>1.51</v>
      </c>
      <c r="Z228" s="15">
        <v>11.15</v>
      </c>
      <c r="AA228" s="15">
        <f t="shared" si="82"/>
        <v>12.66</v>
      </c>
      <c r="AB228" s="15">
        <v>96.573400000000021</v>
      </c>
      <c r="AC228" s="15">
        <v>4828.670000000001</v>
      </c>
      <c r="AD228" s="15">
        <v>63.93</v>
      </c>
      <c r="AE228" s="15">
        <v>524.79</v>
      </c>
      <c r="AF228" s="15"/>
      <c r="AG228" s="15">
        <v>100.6</v>
      </c>
      <c r="AH228" s="15">
        <v>157.18</v>
      </c>
      <c r="AI228" s="15"/>
      <c r="AJ228" s="15">
        <v>846.5</v>
      </c>
      <c r="AK228" s="15">
        <v>0.84650000000000003</v>
      </c>
      <c r="AL228" s="177"/>
      <c r="AM228" s="137" t="s">
        <v>20</v>
      </c>
      <c r="AN228" s="131" t="s">
        <v>21</v>
      </c>
      <c r="AO228" s="131" t="s">
        <v>21</v>
      </c>
      <c r="AP228" s="349">
        <v>45628</v>
      </c>
      <c r="AQ228" s="349">
        <f t="shared" ref="AQ228:AR228" si="89">AR228-2</f>
        <v>45631</v>
      </c>
      <c r="AR228" s="349">
        <f t="shared" si="89"/>
        <v>45633</v>
      </c>
      <c r="AS228" s="530">
        <v>45635</v>
      </c>
      <c r="AT228" s="25" t="s">
        <v>585</v>
      </c>
      <c r="AU228" s="178"/>
      <c r="AV228" s="137" t="s">
        <v>20</v>
      </c>
      <c r="AW228" s="15" t="s">
        <v>6</v>
      </c>
      <c r="AX228" s="278">
        <v>45648</v>
      </c>
      <c r="AY228" s="278">
        <v>45648</v>
      </c>
      <c r="AZ228" s="182" t="s">
        <v>539</v>
      </c>
      <c r="BA228" s="183"/>
      <c r="BB228" s="137" t="s">
        <v>20</v>
      </c>
      <c r="BC228" s="131"/>
      <c r="BD228" s="131" t="s">
        <v>21</v>
      </c>
      <c r="BE228" s="279">
        <f>BF228-2</f>
        <v>45695</v>
      </c>
      <c r="BF228" s="279">
        <v>45697</v>
      </c>
      <c r="BG228" s="15" t="s">
        <v>506</v>
      </c>
      <c r="BH228" s="187"/>
      <c r="BI228" s="137" t="s">
        <v>20</v>
      </c>
      <c r="BJ228" s="131">
        <f>BK228</f>
        <v>45747</v>
      </c>
      <c r="BK228" s="131">
        <v>45747</v>
      </c>
      <c r="BL228" s="25">
        <v>1330</v>
      </c>
      <c r="BM228" s="24" t="s">
        <v>541</v>
      </c>
    </row>
    <row r="229" spans="1:65" ht="14.25" customHeight="1">
      <c r="A229" s="15" t="s">
        <v>0</v>
      </c>
      <c r="B229" s="19"/>
      <c r="C229" s="179"/>
      <c r="D229" s="130"/>
      <c r="E229" s="130"/>
      <c r="F229" s="130"/>
      <c r="G229" s="130"/>
      <c r="H229" s="180"/>
      <c r="I229" s="19"/>
      <c r="J229" s="19"/>
      <c r="K229" s="181"/>
      <c r="L229" s="173"/>
      <c r="M229" s="15"/>
      <c r="N229" s="15"/>
      <c r="O229" s="15"/>
      <c r="P229" s="175"/>
      <c r="Q229" s="173"/>
      <c r="R229" s="15"/>
      <c r="S229" s="175"/>
      <c r="T229" s="176"/>
      <c r="U229" s="176"/>
      <c r="V229" s="16">
        <v>361</v>
      </c>
      <c r="W229" s="15" t="s">
        <v>537</v>
      </c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77"/>
      <c r="AM229" s="15"/>
      <c r="AN229" s="24"/>
      <c r="AO229" s="24"/>
      <c r="AP229" s="24"/>
      <c r="AQ229" s="24"/>
      <c r="AR229" s="24"/>
      <c r="AS229" s="25"/>
      <c r="AT229" s="25"/>
      <c r="AU229" s="178"/>
      <c r="AV229" s="15"/>
      <c r="AW229" s="24"/>
      <c r="AX229" s="278"/>
      <c r="AY229" s="278"/>
      <c r="AZ229" s="24"/>
      <c r="BA229" s="178"/>
      <c r="BB229" s="24"/>
      <c r="BC229" s="24"/>
      <c r="BD229" s="24"/>
      <c r="BE229" s="24"/>
      <c r="BF229" s="24"/>
      <c r="BG229" s="24"/>
      <c r="BH229" s="178"/>
      <c r="BI229" s="24"/>
      <c r="BJ229" s="131"/>
      <c r="BK229" s="24"/>
      <c r="BL229" s="24"/>
      <c r="BM229" s="24"/>
    </row>
    <row r="230" spans="1:65" ht="14.25" customHeight="1">
      <c r="A230" s="15">
        <f t="shared" si="88"/>
        <v>111</v>
      </c>
      <c r="B230" s="19" t="s">
        <v>186</v>
      </c>
      <c r="C230" s="179" t="s">
        <v>42</v>
      </c>
      <c r="D230" s="130">
        <v>6.3620000000000001</v>
      </c>
      <c r="E230" s="130">
        <f>D230*4</f>
        <v>25.448</v>
      </c>
      <c r="F230" s="130">
        <f>E230*8</f>
        <v>203.584</v>
      </c>
      <c r="G230" s="130"/>
      <c r="H230" s="180"/>
      <c r="I230" s="19"/>
      <c r="J230" s="19"/>
      <c r="K230" s="181"/>
      <c r="L230" s="173">
        <v>2.25</v>
      </c>
      <c r="M230" s="15">
        <v>2.1880000000000002</v>
      </c>
      <c r="N230" s="15">
        <v>2E-3</v>
      </c>
      <c r="O230" s="15">
        <v>0.183</v>
      </c>
      <c r="P230" s="175">
        <f t="shared" si="80"/>
        <v>4.6230000000000002</v>
      </c>
      <c r="Q230" s="173">
        <v>0.24399999999999999</v>
      </c>
      <c r="R230" s="15">
        <v>5.0000000000000001E-3</v>
      </c>
      <c r="S230" s="175">
        <f t="shared" si="81"/>
        <v>0.249</v>
      </c>
      <c r="T230" s="176" t="s">
        <v>31</v>
      </c>
      <c r="U230" s="176" t="s">
        <v>536</v>
      </c>
      <c r="V230" s="15"/>
      <c r="W230" s="15"/>
      <c r="X230" s="15">
        <v>85.44</v>
      </c>
      <c r="Y230" s="15">
        <v>1.51</v>
      </c>
      <c r="Z230" s="15">
        <v>11.15</v>
      </c>
      <c r="AA230" s="15">
        <f t="shared" si="82"/>
        <v>12.66</v>
      </c>
      <c r="AB230" s="15">
        <v>96.573400000000021</v>
      </c>
      <c r="AC230" s="15">
        <v>4828.670000000001</v>
      </c>
      <c r="AD230" s="15">
        <v>63.93</v>
      </c>
      <c r="AE230" s="15">
        <v>524.79</v>
      </c>
      <c r="AF230" s="15"/>
      <c r="AG230" s="15">
        <v>100.6</v>
      </c>
      <c r="AH230" s="15">
        <v>157.18</v>
      </c>
      <c r="AI230" s="15"/>
      <c r="AJ230" s="15">
        <v>846.5</v>
      </c>
      <c r="AK230" s="15">
        <v>0.84650000000000003</v>
      </c>
      <c r="AL230" s="177"/>
      <c r="AM230" s="137" t="s">
        <v>20</v>
      </c>
      <c r="AN230" s="131" t="str">
        <f>AO230</f>
        <v>D</v>
      </c>
      <c r="AO230" s="131" t="s">
        <v>21</v>
      </c>
      <c r="AP230" s="349">
        <v>45588</v>
      </c>
      <c r="AQ230" s="349">
        <f>AP230+2</f>
        <v>45590</v>
      </c>
      <c r="AR230" s="349">
        <f>AS230-2</f>
        <v>45600</v>
      </c>
      <c r="AS230" s="530">
        <v>45602</v>
      </c>
      <c r="AT230" s="25" t="s">
        <v>585</v>
      </c>
      <c r="AU230" s="183"/>
      <c r="AV230" s="137" t="s">
        <v>20</v>
      </c>
      <c r="AW230" s="15" t="s">
        <v>6</v>
      </c>
      <c r="AX230" s="278">
        <v>45648</v>
      </c>
      <c r="AY230" s="278">
        <v>45648</v>
      </c>
      <c r="AZ230" s="182" t="s">
        <v>539</v>
      </c>
      <c r="BA230" s="183"/>
      <c r="BB230" s="137" t="s">
        <v>20</v>
      </c>
      <c r="BC230" s="131"/>
      <c r="BD230" s="131" t="s">
        <v>21</v>
      </c>
      <c r="BE230" s="279">
        <f>BF230-1</f>
        <v>45699</v>
      </c>
      <c r="BF230" s="279">
        <v>45700</v>
      </c>
      <c r="BG230" s="15" t="s">
        <v>506</v>
      </c>
      <c r="BH230" s="189"/>
      <c r="BI230" s="137" t="s">
        <v>20</v>
      </c>
      <c r="BJ230" s="131">
        <f>BK230</f>
        <v>45749</v>
      </c>
      <c r="BK230" s="131">
        <v>45749</v>
      </c>
      <c r="BL230" s="25">
        <v>980</v>
      </c>
      <c r="BM230" s="24" t="s">
        <v>541</v>
      </c>
    </row>
    <row r="231" spans="1:65" ht="14.25" customHeight="1">
      <c r="A231" s="15" t="s">
        <v>0</v>
      </c>
      <c r="B231" s="19"/>
      <c r="C231" s="179"/>
      <c r="D231" s="130"/>
      <c r="E231" s="130"/>
      <c r="F231" s="130"/>
      <c r="G231" s="130"/>
      <c r="H231" s="180"/>
      <c r="I231" s="19"/>
      <c r="J231" s="19"/>
      <c r="K231" s="181"/>
      <c r="L231" s="173"/>
      <c r="M231" s="15"/>
      <c r="N231" s="15"/>
      <c r="O231" s="15"/>
      <c r="P231" s="175"/>
      <c r="Q231" s="173"/>
      <c r="R231" s="15"/>
      <c r="S231" s="175"/>
      <c r="T231" s="176"/>
      <c r="U231" s="176"/>
      <c r="V231" s="16">
        <v>311</v>
      </c>
      <c r="W231" s="15" t="s">
        <v>537</v>
      </c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77"/>
      <c r="AM231" s="15"/>
      <c r="AN231" s="24"/>
      <c r="AO231" s="24"/>
      <c r="AP231" s="24"/>
      <c r="AQ231" s="24"/>
      <c r="AR231" s="24"/>
      <c r="AS231" s="25"/>
      <c r="AT231" s="25"/>
      <c r="AU231" s="178"/>
      <c r="AV231" s="15"/>
      <c r="AW231" s="24"/>
      <c r="AX231" s="278"/>
      <c r="AY231" s="278"/>
      <c r="AZ231" s="24"/>
      <c r="BA231" s="178"/>
      <c r="BB231" s="24"/>
      <c r="BC231" s="24"/>
      <c r="BD231" s="24"/>
      <c r="BE231" s="24"/>
      <c r="BF231" s="24"/>
      <c r="BG231" s="24"/>
      <c r="BH231" s="178"/>
      <c r="BI231" s="24"/>
      <c r="BJ231" s="131"/>
      <c r="BK231" s="24"/>
      <c r="BL231" s="24"/>
      <c r="BM231" s="24"/>
    </row>
    <row r="232" spans="1:65" ht="17.25" customHeight="1">
      <c r="A232" s="15">
        <f t="shared" si="88"/>
        <v>112</v>
      </c>
      <c r="B232" s="19" t="s">
        <v>187</v>
      </c>
      <c r="C232" s="179" t="s">
        <v>37</v>
      </c>
      <c r="D232" s="130">
        <v>6.992</v>
      </c>
      <c r="E232" s="130">
        <f>D232*4</f>
        <v>27.968</v>
      </c>
      <c r="F232" s="130">
        <f>E232*8</f>
        <v>223.744</v>
      </c>
      <c r="G232" s="130"/>
      <c r="H232" s="180"/>
      <c r="I232" s="19"/>
      <c r="J232" s="19"/>
      <c r="K232" s="181"/>
      <c r="L232" s="173">
        <v>2.6070000000000002</v>
      </c>
      <c r="M232" s="15">
        <v>2.657</v>
      </c>
      <c r="N232" s="15">
        <v>2E-3</v>
      </c>
      <c r="O232" s="15">
        <v>0.21299999999999999</v>
      </c>
      <c r="P232" s="175">
        <f t="shared" si="80"/>
        <v>5.4790000000000001</v>
      </c>
      <c r="Q232" s="173">
        <v>0.24399999999999999</v>
      </c>
      <c r="R232" s="15">
        <v>5.0000000000000001E-3</v>
      </c>
      <c r="S232" s="175">
        <f t="shared" si="81"/>
        <v>0.249</v>
      </c>
      <c r="T232" s="176" t="s">
        <v>31</v>
      </c>
      <c r="U232" s="176" t="s">
        <v>536</v>
      </c>
      <c r="V232" s="15"/>
      <c r="W232" s="15"/>
      <c r="X232" s="16">
        <v>143.36000000000001</v>
      </c>
      <c r="Y232" s="16">
        <v>0.88</v>
      </c>
      <c r="Z232" s="16">
        <v>8.1199999999999992</v>
      </c>
      <c r="AA232" s="16">
        <f t="shared" si="82"/>
        <v>9</v>
      </c>
      <c r="AB232" s="23">
        <f>+Y232*4.44+Z232*8.06</f>
        <v>69.354399999999998</v>
      </c>
      <c r="AC232" s="16">
        <f>+AB232*50</f>
        <v>3467.72</v>
      </c>
      <c r="AD232" s="16">
        <v>63.93</v>
      </c>
      <c r="AE232" s="16">
        <v>535.23</v>
      </c>
      <c r="AF232" s="16"/>
      <c r="AG232" s="16">
        <v>100.6</v>
      </c>
      <c r="AH232" s="16">
        <v>157.18</v>
      </c>
      <c r="AI232" s="16"/>
      <c r="AJ232" s="16">
        <f>SUM(AD232:AI232)</f>
        <v>856.94</v>
      </c>
      <c r="AK232" s="15">
        <f>+AJ232/1000</f>
        <v>0.85694000000000004</v>
      </c>
      <c r="AL232" s="177"/>
      <c r="AM232" s="137" t="s">
        <v>20</v>
      </c>
      <c r="AN232" s="131" t="str">
        <f>AO232</f>
        <v>D</v>
      </c>
      <c r="AO232" s="131" t="s">
        <v>21</v>
      </c>
      <c r="AP232" s="349">
        <v>45594</v>
      </c>
      <c r="AQ232" s="349">
        <v>45596</v>
      </c>
      <c r="AR232" s="349">
        <v>45598</v>
      </c>
      <c r="AS232" s="530">
        <v>45599</v>
      </c>
      <c r="AT232" s="25" t="s">
        <v>539</v>
      </c>
      <c r="AU232" s="183"/>
      <c r="AV232" s="137" t="s">
        <v>20</v>
      </c>
      <c r="AW232" s="15" t="s">
        <v>544</v>
      </c>
      <c r="AX232" s="278">
        <v>45648</v>
      </c>
      <c r="AY232" s="278">
        <v>45648</v>
      </c>
      <c r="AZ232" s="182" t="s">
        <v>539</v>
      </c>
      <c r="BA232" s="183"/>
      <c r="BB232" s="137" t="s">
        <v>20</v>
      </c>
      <c r="BC232" s="131"/>
      <c r="BD232" s="131" t="s">
        <v>21</v>
      </c>
      <c r="BE232" s="279">
        <f>BF232-2</f>
        <v>45697</v>
      </c>
      <c r="BF232" s="279">
        <v>45699</v>
      </c>
      <c r="BG232" s="15" t="s">
        <v>506</v>
      </c>
      <c r="BH232" s="178"/>
      <c r="BI232" s="137" t="s">
        <v>20</v>
      </c>
      <c r="BJ232" s="131">
        <f>BK232</f>
        <v>45749</v>
      </c>
      <c r="BK232" s="131">
        <v>45749</v>
      </c>
      <c r="BL232" s="25">
        <v>1330</v>
      </c>
      <c r="BM232" s="24" t="s">
        <v>541</v>
      </c>
    </row>
    <row r="233" spans="1:65" ht="14.25" customHeight="1">
      <c r="A233" s="15" t="s">
        <v>0</v>
      </c>
      <c r="B233" s="19"/>
      <c r="C233" s="179"/>
      <c r="D233" s="130"/>
      <c r="E233" s="130"/>
      <c r="F233" s="130"/>
      <c r="G233" s="130"/>
      <c r="H233" s="180"/>
      <c r="I233" s="19"/>
      <c r="J233" s="19"/>
      <c r="K233" s="181"/>
      <c r="L233" s="173"/>
      <c r="M233" s="15"/>
      <c r="N233" s="15"/>
      <c r="O233" s="15"/>
      <c r="P233" s="175"/>
      <c r="Q233" s="173"/>
      <c r="R233" s="15"/>
      <c r="S233" s="175"/>
      <c r="T233" s="176"/>
      <c r="U233" s="176"/>
      <c r="V233" s="16">
        <v>381</v>
      </c>
      <c r="W233" s="15" t="s">
        <v>565</v>
      </c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77"/>
      <c r="AM233" s="15"/>
      <c r="AN233" s="24"/>
      <c r="AO233" s="24"/>
      <c r="AP233" s="24"/>
      <c r="AQ233" s="24"/>
      <c r="AR233" s="24"/>
      <c r="AS233" s="25"/>
      <c r="AT233" s="25"/>
      <c r="AU233" s="178"/>
      <c r="AV233" s="15"/>
      <c r="AW233" s="24"/>
      <c r="AX233" s="278"/>
      <c r="AY233" s="278"/>
      <c r="AZ233" s="24"/>
      <c r="BA233" s="178"/>
      <c r="BB233" s="24"/>
      <c r="BC233" s="24"/>
      <c r="BD233" s="24"/>
      <c r="BE233" s="24"/>
      <c r="BF233" s="24"/>
      <c r="BG233" s="24"/>
      <c r="BH233" s="178"/>
      <c r="BI233" s="24"/>
      <c r="BJ233" s="24"/>
      <c r="BK233" s="24"/>
      <c r="BL233" s="24"/>
      <c r="BM233" s="24"/>
    </row>
    <row r="234" spans="1:65" ht="14.25" customHeight="1">
      <c r="A234" s="15">
        <f t="shared" si="88"/>
        <v>113</v>
      </c>
      <c r="B234" s="19" t="s">
        <v>188</v>
      </c>
      <c r="C234" s="179" t="s">
        <v>42</v>
      </c>
      <c r="D234" s="130">
        <v>6.3620000000000001</v>
      </c>
      <c r="E234" s="130">
        <f>D234*4</f>
        <v>25.448</v>
      </c>
      <c r="F234" s="130">
        <f>E234*8</f>
        <v>203.584</v>
      </c>
      <c r="G234" s="130"/>
      <c r="H234" s="180"/>
      <c r="I234" s="19"/>
      <c r="J234" s="19"/>
      <c r="K234" s="181"/>
      <c r="L234" s="173">
        <v>2.25</v>
      </c>
      <c r="M234" s="15">
        <v>2.1880000000000002</v>
      </c>
      <c r="N234" s="15">
        <v>2E-3</v>
      </c>
      <c r="O234" s="15">
        <v>0.183</v>
      </c>
      <c r="P234" s="175">
        <f t="shared" si="80"/>
        <v>4.6230000000000002</v>
      </c>
      <c r="Q234" s="173">
        <v>0.24399999999999999</v>
      </c>
      <c r="R234" s="15">
        <v>5.0000000000000001E-3</v>
      </c>
      <c r="S234" s="175">
        <f t="shared" si="81"/>
        <v>0.249</v>
      </c>
      <c r="T234" s="176" t="s">
        <v>31</v>
      </c>
      <c r="U234" s="176" t="s">
        <v>536</v>
      </c>
      <c r="V234" s="15"/>
      <c r="W234" s="15"/>
      <c r="X234" s="16">
        <v>143.36000000000001</v>
      </c>
      <c r="Y234" s="16">
        <v>1.68</v>
      </c>
      <c r="Z234" s="16">
        <v>11.97</v>
      </c>
      <c r="AA234" s="16">
        <f t="shared" si="82"/>
        <v>13.65</v>
      </c>
      <c r="AB234" s="23">
        <f>+Y234*4.44+Z234*8.06</f>
        <v>103.93740000000001</v>
      </c>
      <c r="AC234" s="16">
        <f>+AB234*50</f>
        <v>5196.8700000000008</v>
      </c>
      <c r="AD234" s="16">
        <v>63.93</v>
      </c>
      <c r="AE234" s="16">
        <v>535.23</v>
      </c>
      <c r="AF234" s="16"/>
      <c r="AG234" s="16">
        <v>100.6</v>
      </c>
      <c r="AH234" s="16">
        <v>157.18</v>
      </c>
      <c r="AI234" s="16"/>
      <c r="AJ234" s="16">
        <f>SUM(AD234:AI234)</f>
        <v>856.94</v>
      </c>
      <c r="AK234" s="15">
        <f>+AJ234/1000</f>
        <v>0.85694000000000004</v>
      </c>
      <c r="AL234" s="177"/>
      <c r="AM234" s="137" t="s">
        <v>20</v>
      </c>
      <c r="AN234" s="131" t="str">
        <f>AO234</f>
        <v>D</v>
      </c>
      <c r="AO234" s="131" t="s">
        <v>21</v>
      </c>
      <c r="AP234" s="349">
        <v>45599</v>
      </c>
      <c r="AQ234" s="349">
        <v>45602</v>
      </c>
      <c r="AR234" s="349">
        <v>45605</v>
      </c>
      <c r="AS234" s="530">
        <v>45605</v>
      </c>
      <c r="AT234" s="25" t="s">
        <v>539</v>
      </c>
      <c r="AU234" s="183"/>
      <c r="AV234" s="137" t="s">
        <v>20</v>
      </c>
      <c r="AW234" s="15" t="s">
        <v>544</v>
      </c>
      <c r="AX234" s="278">
        <v>45648</v>
      </c>
      <c r="AY234" s="278">
        <v>45648</v>
      </c>
      <c r="AZ234" s="182" t="s">
        <v>539</v>
      </c>
      <c r="BA234" s="183"/>
      <c r="BB234" s="137" t="s">
        <v>20</v>
      </c>
      <c r="BC234" s="131"/>
      <c r="BD234" s="131" t="s">
        <v>21</v>
      </c>
      <c r="BE234" s="279">
        <f>BF234-2</f>
        <v>45699</v>
      </c>
      <c r="BF234" s="279">
        <v>45701</v>
      </c>
      <c r="BG234" s="15" t="s">
        <v>506</v>
      </c>
      <c r="BH234" s="178"/>
      <c r="BI234" s="137" t="s">
        <v>20</v>
      </c>
      <c r="BJ234" s="131">
        <f>BK234</f>
        <v>45806</v>
      </c>
      <c r="BK234" s="131">
        <v>45806</v>
      </c>
      <c r="BL234" s="25">
        <v>980</v>
      </c>
      <c r="BM234" s="24" t="s">
        <v>541</v>
      </c>
    </row>
    <row r="235" spans="1:65" ht="14.25" customHeight="1">
      <c r="A235" s="15" t="s">
        <v>0</v>
      </c>
      <c r="B235" s="19"/>
      <c r="C235" s="179"/>
      <c r="D235" s="130"/>
      <c r="E235" s="130"/>
      <c r="F235" s="130"/>
      <c r="G235" s="130"/>
      <c r="H235" s="180"/>
      <c r="I235" s="19"/>
      <c r="J235" s="19"/>
      <c r="K235" s="181"/>
      <c r="L235" s="173"/>
      <c r="M235" s="15"/>
      <c r="N235" s="15"/>
      <c r="O235" s="15"/>
      <c r="P235" s="175"/>
      <c r="Q235" s="173"/>
      <c r="R235" s="15"/>
      <c r="S235" s="175"/>
      <c r="T235" s="176"/>
      <c r="U235" s="176"/>
      <c r="V235" s="16">
        <v>316</v>
      </c>
      <c r="W235" s="15" t="s">
        <v>586</v>
      </c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77"/>
      <c r="AM235" s="15"/>
      <c r="AN235" s="24"/>
      <c r="AO235" s="24"/>
      <c r="AP235" s="24"/>
      <c r="AQ235" s="24"/>
      <c r="AR235" s="24"/>
      <c r="AS235" s="25"/>
      <c r="AT235" s="25"/>
      <c r="AU235" s="178"/>
      <c r="AV235" s="15"/>
      <c r="AW235" s="24"/>
      <c r="AX235" s="278"/>
      <c r="AY235" s="278"/>
      <c r="AZ235" s="24"/>
      <c r="BA235" s="178"/>
      <c r="BB235" s="24"/>
      <c r="BC235" s="24"/>
      <c r="BD235" s="24"/>
      <c r="BE235" s="24"/>
      <c r="BF235" s="24"/>
      <c r="BG235" s="24"/>
      <c r="BH235" s="178"/>
      <c r="BI235" s="24"/>
      <c r="BJ235" s="24"/>
      <c r="BK235" s="24"/>
      <c r="BL235" s="24"/>
      <c r="BM235" s="24"/>
    </row>
    <row r="236" spans="1:65" ht="14.25" customHeight="1">
      <c r="A236" s="15">
        <f t="shared" si="88"/>
        <v>114</v>
      </c>
      <c r="B236" s="19" t="s">
        <v>189</v>
      </c>
      <c r="C236" s="179" t="s">
        <v>42</v>
      </c>
      <c r="D236" s="130">
        <v>6.3620000000000001</v>
      </c>
      <c r="E236" s="130">
        <f>D236*4</f>
        <v>25.448</v>
      </c>
      <c r="F236" s="130">
        <f>E236*8</f>
        <v>203.584</v>
      </c>
      <c r="G236" s="130"/>
      <c r="H236" s="180"/>
      <c r="I236" s="19"/>
      <c r="J236" s="19"/>
      <c r="K236" s="181"/>
      <c r="L236" s="173">
        <v>2.25</v>
      </c>
      <c r="M236" s="15">
        <v>2.1880000000000002</v>
      </c>
      <c r="N236" s="15">
        <v>2E-3</v>
      </c>
      <c r="O236" s="15">
        <v>0.183</v>
      </c>
      <c r="P236" s="175">
        <f t="shared" si="80"/>
        <v>4.6230000000000002</v>
      </c>
      <c r="Q236" s="173">
        <v>0.24399999999999999</v>
      </c>
      <c r="R236" s="15">
        <v>5.0000000000000001E-3</v>
      </c>
      <c r="S236" s="175">
        <f t="shared" si="81"/>
        <v>0.249</v>
      </c>
      <c r="T236" s="176" t="s">
        <v>31</v>
      </c>
      <c r="U236" s="176" t="s">
        <v>536</v>
      </c>
      <c r="V236" s="15"/>
      <c r="W236" s="15"/>
      <c r="X236" s="16">
        <v>143.36000000000001</v>
      </c>
      <c r="Y236" s="16">
        <v>1.68</v>
      </c>
      <c r="Z236" s="16">
        <v>11.97</v>
      </c>
      <c r="AA236" s="16">
        <f t="shared" si="82"/>
        <v>13.65</v>
      </c>
      <c r="AB236" s="23">
        <f>+Y236*4.44+Z236*8.06</f>
        <v>103.93740000000001</v>
      </c>
      <c r="AC236" s="16">
        <f>+AB236*50</f>
        <v>5196.8700000000008</v>
      </c>
      <c r="AD236" s="16">
        <v>63.93</v>
      </c>
      <c r="AE236" s="16">
        <v>535.23</v>
      </c>
      <c r="AF236" s="16"/>
      <c r="AG236" s="16">
        <v>100.6</v>
      </c>
      <c r="AH236" s="16">
        <v>157.18</v>
      </c>
      <c r="AI236" s="16"/>
      <c r="AJ236" s="16">
        <f>SUM(AD236:AI236)</f>
        <v>856.94</v>
      </c>
      <c r="AK236" s="15">
        <f>+AJ236/1000</f>
        <v>0.85694000000000004</v>
      </c>
      <c r="AL236" s="177"/>
      <c r="AM236" s="137" t="s">
        <v>20</v>
      </c>
      <c r="AN236" s="131" t="str">
        <f>AO236</f>
        <v>D</v>
      </c>
      <c r="AO236" s="131" t="s">
        <v>21</v>
      </c>
      <c r="AP236" s="349">
        <v>45603</v>
      </c>
      <c r="AQ236" s="349">
        <f t="shared" ref="AQ236:AR236" si="90">AR236-2</f>
        <v>45604</v>
      </c>
      <c r="AR236" s="349">
        <f t="shared" si="90"/>
        <v>45606</v>
      </c>
      <c r="AS236" s="530">
        <v>45608</v>
      </c>
      <c r="AT236" s="25" t="s">
        <v>585</v>
      </c>
      <c r="AU236" s="178"/>
      <c r="AV236" s="137" t="s">
        <v>20</v>
      </c>
      <c r="AW236" s="15" t="s">
        <v>544</v>
      </c>
      <c r="AX236" s="278">
        <v>45648</v>
      </c>
      <c r="AY236" s="278">
        <v>45648</v>
      </c>
      <c r="AZ236" s="182" t="s">
        <v>539</v>
      </c>
      <c r="BA236" s="183"/>
      <c r="BB236" s="137" t="s">
        <v>20</v>
      </c>
      <c r="BC236" s="131"/>
      <c r="BD236" s="131" t="s">
        <v>21</v>
      </c>
      <c r="BE236" s="279">
        <f>BF236-1</f>
        <v>45704</v>
      </c>
      <c r="BF236" s="279">
        <v>45705</v>
      </c>
      <c r="BG236" s="15" t="s">
        <v>506</v>
      </c>
      <c r="BH236" s="188"/>
      <c r="BI236" s="137" t="s">
        <v>20</v>
      </c>
      <c r="BJ236" s="131">
        <f>BK236</f>
        <v>45760</v>
      </c>
      <c r="BK236" s="131">
        <v>45760</v>
      </c>
      <c r="BL236" s="25">
        <v>980</v>
      </c>
      <c r="BM236" s="24" t="s">
        <v>541</v>
      </c>
    </row>
    <row r="237" spans="1:65" ht="14.25" customHeight="1">
      <c r="A237" s="15" t="s">
        <v>0</v>
      </c>
      <c r="B237" s="19"/>
      <c r="C237" s="179"/>
      <c r="D237" s="130"/>
      <c r="E237" s="130"/>
      <c r="F237" s="130"/>
      <c r="G237" s="130"/>
      <c r="H237" s="180"/>
      <c r="I237" s="19"/>
      <c r="J237" s="19"/>
      <c r="K237" s="181"/>
      <c r="L237" s="173"/>
      <c r="M237" s="15"/>
      <c r="N237" s="15"/>
      <c r="O237" s="15"/>
      <c r="P237" s="175"/>
      <c r="Q237" s="173"/>
      <c r="R237" s="15"/>
      <c r="S237" s="175"/>
      <c r="T237" s="176"/>
      <c r="U237" s="176"/>
      <c r="V237" s="16">
        <v>290.45</v>
      </c>
      <c r="W237" s="15" t="s">
        <v>586</v>
      </c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77"/>
      <c r="AM237" s="15"/>
      <c r="AN237" s="24"/>
      <c r="AO237" s="24"/>
      <c r="AP237" s="24"/>
      <c r="AQ237" s="24"/>
      <c r="AR237" s="24"/>
      <c r="AS237" s="25"/>
      <c r="AT237" s="25"/>
      <c r="AU237" s="178"/>
      <c r="AV237" s="15"/>
      <c r="AW237" s="24"/>
      <c r="AX237" s="278"/>
      <c r="AY237" s="278"/>
      <c r="AZ237" s="24"/>
      <c r="BA237" s="178"/>
      <c r="BB237" s="24"/>
      <c r="BC237" s="24"/>
      <c r="BD237" s="24"/>
      <c r="BE237" s="24"/>
      <c r="BF237" s="24"/>
      <c r="BG237" s="24"/>
      <c r="BH237" s="178"/>
      <c r="BI237" s="24"/>
      <c r="BJ237" s="24"/>
      <c r="BK237" s="24"/>
      <c r="BL237" s="24"/>
      <c r="BM237" s="24"/>
    </row>
    <row r="238" spans="1:65" ht="14.25" customHeight="1">
      <c r="A238" s="15">
        <f t="shared" si="88"/>
        <v>115</v>
      </c>
      <c r="B238" s="19" t="s">
        <v>191</v>
      </c>
      <c r="C238" s="179" t="s">
        <v>39</v>
      </c>
      <c r="D238" s="130">
        <v>7.7080000000000002</v>
      </c>
      <c r="E238" s="130">
        <f>D238*4</f>
        <v>30.832000000000001</v>
      </c>
      <c r="F238" s="130">
        <f>E238*8</f>
        <v>246.65600000000001</v>
      </c>
      <c r="G238" s="130"/>
      <c r="H238" s="180"/>
      <c r="I238" s="19"/>
      <c r="J238" s="19"/>
      <c r="K238" s="181"/>
      <c r="L238" s="173">
        <v>4.0570000000000004</v>
      </c>
      <c r="M238" s="15">
        <v>2.48</v>
      </c>
      <c r="N238" s="15">
        <v>6.0000000000000001E-3</v>
      </c>
      <c r="O238" s="15">
        <v>0.36499999999999999</v>
      </c>
      <c r="P238" s="175">
        <f t="shared" si="80"/>
        <v>6.9080000000000013</v>
      </c>
      <c r="Q238" s="173">
        <v>0.436</v>
      </c>
      <c r="R238" s="15">
        <v>0.01</v>
      </c>
      <c r="S238" s="175">
        <f t="shared" si="81"/>
        <v>0.44600000000000001</v>
      </c>
      <c r="T238" s="176" t="s">
        <v>190</v>
      </c>
      <c r="U238" s="176" t="s">
        <v>536</v>
      </c>
      <c r="V238" s="15"/>
      <c r="W238" s="15"/>
      <c r="X238" s="15">
        <v>75.36</v>
      </c>
      <c r="Y238" s="15">
        <v>1.35</v>
      </c>
      <c r="Z238" s="15">
        <v>12.85</v>
      </c>
      <c r="AA238" s="15">
        <f t="shared" si="82"/>
        <v>14.2</v>
      </c>
      <c r="AB238" s="15">
        <v>109.565</v>
      </c>
      <c r="AC238" s="15">
        <v>5478.25</v>
      </c>
      <c r="AD238" s="15">
        <v>81.819999999999993</v>
      </c>
      <c r="AE238" s="15">
        <v>599.6</v>
      </c>
      <c r="AF238" s="15"/>
      <c r="AG238" s="15">
        <v>201.4</v>
      </c>
      <c r="AH238" s="15"/>
      <c r="AI238" s="15"/>
      <c r="AJ238" s="15">
        <v>882.82</v>
      </c>
      <c r="AK238" s="15">
        <v>0.88282000000000005</v>
      </c>
      <c r="AL238" s="177"/>
      <c r="AM238" s="137" t="s">
        <v>20</v>
      </c>
      <c r="AN238" s="131" t="str">
        <f>AO238</f>
        <v>D</v>
      </c>
      <c r="AO238" s="131" t="s">
        <v>21</v>
      </c>
      <c r="AP238" s="349">
        <v>45570</v>
      </c>
      <c r="AQ238" s="349">
        <v>45571</v>
      </c>
      <c r="AR238" s="349">
        <v>45572</v>
      </c>
      <c r="AS238" s="530">
        <v>45575</v>
      </c>
      <c r="AT238" s="25" t="s">
        <v>539</v>
      </c>
      <c r="AU238" s="178"/>
      <c r="AV238" s="137" t="s">
        <v>20</v>
      </c>
      <c r="AW238" s="15" t="s">
        <v>6</v>
      </c>
      <c r="AX238" s="278">
        <v>45648</v>
      </c>
      <c r="AY238" s="278">
        <v>45648</v>
      </c>
      <c r="AZ238" s="182" t="s">
        <v>539</v>
      </c>
      <c r="BA238" s="183"/>
      <c r="BB238" s="137" t="s">
        <v>20</v>
      </c>
      <c r="BC238" s="131"/>
      <c r="BD238" s="131" t="s">
        <v>21</v>
      </c>
      <c r="BE238" s="279">
        <f>BF238-1</f>
        <v>45702</v>
      </c>
      <c r="BF238" s="279">
        <v>45703</v>
      </c>
      <c r="BG238" s="15" t="s">
        <v>506</v>
      </c>
      <c r="BH238" s="177"/>
      <c r="BI238" s="137" t="s">
        <v>20</v>
      </c>
      <c r="BJ238" s="131">
        <v>45740</v>
      </c>
      <c r="BK238" s="131">
        <f>BJ238</f>
        <v>45740</v>
      </c>
      <c r="BL238" s="25">
        <v>1001</v>
      </c>
      <c r="BM238" s="185" t="s">
        <v>541</v>
      </c>
    </row>
    <row r="239" spans="1:65" ht="14.25" customHeight="1">
      <c r="A239" s="15" t="s">
        <v>0</v>
      </c>
      <c r="B239" s="19"/>
      <c r="C239" s="179"/>
      <c r="D239" s="130"/>
      <c r="E239" s="130"/>
      <c r="F239" s="130"/>
      <c r="G239" s="130"/>
      <c r="H239" s="180"/>
      <c r="I239" s="19"/>
      <c r="J239" s="19"/>
      <c r="K239" s="181"/>
      <c r="L239" s="173"/>
      <c r="M239" s="15"/>
      <c r="N239" s="15"/>
      <c r="O239" s="15"/>
      <c r="P239" s="175"/>
      <c r="Q239" s="173"/>
      <c r="R239" s="15"/>
      <c r="S239" s="175"/>
      <c r="T239" s="176"/>
      <c r="U239" s="176"/>
      <c r="V239" s="16">
        <v>306</v>
      </c>
      <c r="W239" s="15" t="s">
        <v>579</v>
      </c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77"/>
      <c r="AM239" s="15"/>
      <c r="AN239" s="24"/>
      <c r="AO239" s="24"/>
      <c r="AP239" s="24"/>
      <c r="AQ239" s="24"/>
      <c r="AR239" s="24"/>
      <c r="AS239" s="25"/>
      <c r="AT239" s="25"/>
      <c r="AU239" s="178"/>
      <c r="AV239" s="15"/>
      <c r="AW239" s="24"/>
      <c r="AX239" s="278"/>
      <c r="AY239" s="278"/>
      <c r="AZ239" s="24"/>
      <c r="BA239" s="178"/>
      <c r="BB239" s="24"/>
      <c r="BC239" s="24"/>
      <c r="BD239" s="24"/>
      <c r="BE239" s="24"/>
      <c r="BF239" s="24"/>
      <c r="BG239" s="24"/>
      <c r="BH239" s="178"/>
      <c r="BI239" s="24"/>
      <c r="BJ239" s="24"/>
      <c r="BK239" s="24"/>
      <c r="BL239" s="24"/>
      <c r="BM239" s="24"/>
    </row>
    <row r="240" spans="1:65" ht="14.25" customHeight="1">
      <c r="A240" s="15">
        <f t="shared" si="88"/>
        <v>116</v>
      </c>
      <c r="B240" s="19" t="s">
        <v>192</v>
      </c>
      <c r="C240" s="179" t="s">
        <v>37</v>
      </c>
      <c r="D240" s="130">
        <v>6.992</v>
      </c>
      <c r="E240" s="130">
        <f>D240*4</f>
        <v>27.968</v>
      </c>
      <c r="F240" s="130">
        <f>E240*8</f>
        <v>223.744</v>
      </c>
      <c r="G240" s="130"/>
      <c r="H240" s="180"/>
      <c r="I240" s="19"/>
      <c r="J240" s="19"/>
      <c r="K240" s="181"/>
      <c r="L240" s="173">
        <v>2.6070000000000002</v>
      </c>
      <c r="M240" s="15">
        <v>2.657</v>
      </c>
      <c r="N240" s="15">
        <v>2E-3</v>
      </c>
      <c r="O240" s="15">
        <v>0.21299999999999999</v>
      </c>
      <c r="P240" s="175">
        <f t="shared" si="80"/>
        <v>5.4790000000000001</v>
      </c>
      <c r="Q240" s="173">
        <v>0.24399999999999999</v>
      </c>
      <c r="R240" s="15">
        <v>5.0000000000000001E-3</v>
      </c>
      <c r="S240" s="175">
        <f t="shared" si="81"/>
        <v>0.249</v>
      </c>
      <c r="T240" s="176" t="s">
        <v>31</v>
      </c>
      <c r="U240" s="176" t="s">
        <v>536</v>
      </c>
      <c r="V240" s="15"/>
      <c r="W240" s="15"/>
      <c r="X240" s="15">
        <v>85.44</v>
      </c>
      <c r="Y240" s="15">
        <v>1.51</v>
      </c>
      <c r="Z240" s="15">
        <v>11.15</v>
      </c>
      <c r="AA240" s="15">
        <f t="shared" si="82"/>
        <v>12.66</v>
      </c>
      <c r="AB240" s="15">
        <v>96.573400000000021</v>
      </c>
      <c r="AC240" s="15">
        <v>4828.670000000001</v>
      </c>
      <c r="AD240" s="15">
        <v>63.93</v>
      </c>
      <c r="AE240" s="15">
        <v>524.79</v>
      </c>
      <c r="AF240" s="15"/>
      <c r="AG240" s="15">
        <v>100.6</v>
      </c>
      <c r="AH240" s="15">
        <v>157.18</v>
      </c>
      <c r="AI240" s="15"/>
      <c r="AJ240" s="15">
        <v>846.5</v>
      </c>
      <c r="AK240" s="15">
        <v>0.84650000000000003</v>
      </c>
      <c r="AL240" s="177"/>
      <c r="AM240" s="137" t="s">
        <v>20</v>
      </c>
      <c r="AN240" s="131" t="str">
        <f>AO240</f>
        <v>D</v>
      </c>
      <c r="AO240" s="131" t="s">
        <v>21</v>
      </c>
      <c r="AP240" s="349">
        <v>45557</v>
      </c>
      <c r="AQ240" s="349">
        <v>45558</v>
      </c>
      <c r="AR240" s="349">
        <v>45561</v>
      </c>
      <c r="AS240" s="530">
        <v>45566</v>
      </c>
      <c r="AT240" s="25" t="s">
        <v>539</v>
      </c>
      <c r="AU240" s="178"/>
      <c r="AV240" s="137" t="s">
        <v>20</v>
      </c>
      <c r="AW240" s="15" t="s">
        <v>6</v>
      </c>
      <c r="AX240" s="278">
        <v>45648</v>
      </c>
      <c r="AY240" s="278">
        <v>45648</v>
      </c>
      <c r="AZ240" s="182" t="s">
        <v>539</v>
      </c>
      <c r="BA240" s="183"/>
      <c r="BB240" s="137" t="s">
        <v>20</v>
      </c>
      <c r="BC240" s="131"/>
      <c r="BD240" s="131" t="s">
        <v>21</v>
      </c>
      <c r="BE240" s="279">
        <f>BF240-2</f>
        <v>45702</v>
      </c>
      <c r="BF240" s="279">
        <v>45704</v>
      </c>
      <c r="BG240" s="15" t="s">
        <v>506</v>
      </c>
      <c r="BH240" s="177"/>
      <c r="BI240" s="137" t="s">
        <v>20</v>
      </c>
      <c r="BJ240" s="131">
        <v>45741</v>
      </c>
      <c r="BK240" s="131">
        <f>BJ240</f>
        <v>45741</v>
      </c>
      <c r="BL240" s="25">
        <v>1330</v>
      </c>
      <c r="BM240" s="24" t="s">
        <v>541</v>
      </c>
    </row>
    <row r="241" spans="1:65" ht="14.25" customHeight="1">
      <c r="A241" s="15" t="s">
        <v>0</v>
      </c>
      <c r="B241" s="19"/>
      <c r="C241" s="179"/>
      <c r="D241" s="130"/>
      <c r="E241" s="130"/>
      <c r="F241" s="130"/>
      <c r="G241" s="130"/>
      <c r="H241" s="180"/>
      <c r="I241" s="19"/>
      <c r="J241" s="19"/>
      <c r="K241" s="181"/>
      <c r="L241" s="173"/>
      <c r="M241" s="15"/>
      <c r="N241" s="15"/>
      <c r="O241" s="15"/>
      <c r="P241" s="175"/>
      <c r="Q241" s="173"/>
      <c r="R241" s="15"/>
      <c r="S241" s="175"/>
      <c r="T241" s="176"/>
      <c r="U241" s="176"/>
      <c r="V241" s="16">
        <v>336</v>
      </c>
      <c r="W241" s="15" t="s">
        <v>537</v>
      </c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77"/>
      <c r="AM241" s="15"/>
      <c r="AN241" s="24"/>
      <c r="AO241" s="24"/>
      <c r="AP241" s="24"/>
      <c r="AQ241" s="24"/>
      <c r="AR241" s="24"/>
      <c r="AS241" s="25"/>
      <c r="AT241" s="25"/>
      <c r="AU241" s="178"/>
      <c r="AV241" s="15"/>
      <c r="AW241" s="24"/>
      <c r="AX241" s="278"/>
      <c r="AY241" s="278"/>
      <c r="AZ241" s="24"/>
      <c r="BA241" s="178"/>
      <c r="BB241" s="24"/>
      <c r="BC241" s="24"/>
      <c r="BD241" s="24"/>
      <c r="BE241" s="24"/>
      <c r="BF241" s="24"/>
      <c r="BG241" s="24"/>
      <c r="BH241" s="178"/>
      <c r="BI241" s="24"/>
      <c r="BJ241" s="24"/>
      <c r="BK241" s="24"/>
      <c r="BL241" s="24"/>
      <c r="BM241" s="24"/>
    </row>
    <row r="242" spans="1:65" ht="14.25" customHeight="1">
      <c r="A242" s="15">
        <f t="shared" si="88"/>
        <v>117</v>
      </c>
      <c r="B242" s="19" t="s">
        <v>193</v>
      </c>
      <c r="C242" s="179" t="s">
        <v>37</v>
      </c>
      <c r="D242" s="130">
        <v>6.992</v>
      </c>
      <c r="E242" s="130">
        <f>D242*4</f>
        <v>27.968</v>
      </c>
      <c r="F242" s="130">
        <f>E242*8</f>
        <v>223.744</v>
      </c>
      <c r="G242" s="130"/>
      <c r="H242" s="180"/>
      <c r="I242" s="19"/>
      <c r="J242" s="19"/>
      <c r="K242" s="181"/>
      <c r="L242" s="173">
        <v>2.6070000000000002</v>
      </c>
      <c r="M242" s="15">
        <v>2.657</v>
      </c>
      <c r="N242" s="15">
        <v>2E-3</v>
      </c>
      <c r="O242" s="15">
        <v>0.21299999999999999</v>
      </c>
      <c r="P242" s="175">
        <f t="shared" si="80"/>
        <v>5.4790000000000001</v>
      </c>
      <c r="Q242" s="173">
        <v>0.24399999999999999</v>
      </c>
      <c r="R242" s="15">
        <v>5.0000000000000001E-3</v>
      </c>
      <c r="S242" s="175">
        <f t="shared" si="81"/>
        <v>0.249</v>
      </c>
      <c r="T242" s="176" t="s">
        <v>31</v>
      </c>
      <c r="U242" s="176" t="s">
        <v>536</v>
      </c>
      <c r="V242" s="15"/>
      <c r="W242" s="15"/>
      <c r="X242" s="16">
        <v>143.36000000000001</v>
      </c>
      <c r="Y242" s="16">
        <v>1.68</v>
      </c>
      <c r="Z242" s="16">
        <v>11.97</v>
      </c>
      <c r="AA242" s="16">
        <f t="shared" si="82"/>
        <v>13.65</v>
      </c>
      <c r="AB242" s="23">
        <f>+Y242*4.44+Z242*8.06</f>
        <v>103.93740000000001</v>
      </c>
      <c r="AC242" s="16">
        <f>+AB242*50</f>
        <v>5196.8700000000008</v>
      </c>
      <c r="AD242" s="16">
        <v>63.93</v>
      </c>
      <c r="AE242" s="16">
        <v>535.23</v>
      </c>
      <c r="AF242" s="16"/>
      <c r="AG242" s="16">
        <v>100.6</v>
      </c>
      <c r="AH242" s="16">
        <v>157.18</v>
      </c>
      <c r="AI242" s="16"/>
      <c r="AJ242" s="16">
        <f>SUM(AD242:AI242)</f>
        <v>856.94</v>
      </c>
      <c r="AK242" s="15">
        <f>+AJ242/1000</f>
        <v>0.85694000000000004</v>
      </c>
      <c r="AL242" s="177"/>
      <c r="AM242" s="137" t="s">
        <v>20</v>
      </c>
      <c r="AN242" s="131" t="str">
        <f>AO242</f>
        <v>D</v>
      </c>
      <c r="AO242" s="131" t="s">
        <v>21</v>
      </c>
      <c r="AP242" s="349">
        <v>45557</v>
      </c>
      <c r="AQ242" s="349">
        <v>45575</v>
      </c>
      <c r="AR242" s="349">
        <v>45576</v>
      </c>
      <c r="AS242" s="530">
        <v>45592</v>
      </c>
      <c r="AT242" s="25" t="s">
        <v>585</v>
      </c>
      <c r="AU242" s="178"/>
      <c r="AV242" s="137" t="s">
        <v>20</v>
      </c>
      <c r="AW242" s="15" t="s">
        <v>544</v>
      </c>
      <c r="AX242" s="278">
        <v>45648</v>
      </c>
      <c r="AY242" s="278">
        <v>45648</v>
      </c>
      <c r="AZ242" s="182" t="s">
        <v>539</v>
      </c>
      <c r="BA242" s="183"/>
      <c r="BB242" s="137" t="s">
        <v>20</v>
      </c>
      <c r="BC242" s="131"/>
      <c r="BD242" s="131" t="s">
        <v>21</v>
      </c>
      <c r="BE242" s="279">
        <f>BF242-2</f>
        <v>45710</v>
      </c>
      <c r="BF242" s="279">
        <v>45712</v>
      </c>
      <c r="BG242" s="15" t="s">
        <v>506</v>
      </c>
      <c r="BH242" s="177"/>
      <c r="BI242" s="137" t="s">
        <v>20</v>
      </c>
      <c r="BJ242" s="131">
        <v>45741</v>
      </c>
      <c r="BK242" s="131">
        <f>BJ242</f>
        <v>45741</v>
      </c>
      <c r="BL242" s="25">
        <v>1330</v>
      </c>
      <c r="BM242" s="24" t="s">
        <v>541</v>
      </c>
    </row>
    <row r="243" spans="1:65" ht="14.25" customHeight="1">
      <c r="A243" s="15" t="s">
        <v>0</v>
      </c>
      <c r="B243" s="19"/>
      <c r="C243" s="179"/>
      <c r="D243" s="130"/>
      <c r="E243" s="130"/>
      <c r="F243" s="130"/>
      <c r="G243" s="130"/>
      <c r="H243" s="180"/>
      <c r="I243" s="19"/>
      <c r="J243" s="19"/>
      <c r="K243" s="181"/>
      <c r="L243" s="173"/>
      <c r="M243" s="15"/>
      <c r="N243" s="15"/>
      <c r="O243" s="15"/>
      <c r="P243" s="175"/>
      <c r="Q243" s="173"/>
      <c r="R243" s="15"/>
      <c r="S243" s="175"/>
      <c r="T243" s="176"/>
      <c r="U243" s="176"/>
      <c r="V243" s="16">
        <v>337</v>
      </c>
      <c r="W243" s="15" t="s">
        <v>586</v>
      </c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77"/>
      <c r="AM243" s="15"/>
      <c r="AN243" s="24"/>
      <c r="AO243" s="24"/>
      <c r="AP243" s="24"/>
      <c r="AQ243" s="24"/>
      <c r="AR243" s="24"/>
      <c r="AS243" s="25"/>
      <c r="AT243" s="25"/>
      <c r="AU243" s="178"/>
      <c r="AV243" s="15"/>
      <c r="AW243" s="24"/>
      <c r="AX243" s="278"/>
      <c r="AY243" s="278"/>
      <c r="AZ243" s="24"/>
      <c r="BA243" s="178"/>
      <c r="BB243" s="24"/>
      <c r="BC243" s="24"/>
      <c r="BD243" s="24"/>
      <c r="BE243" s="17"/>
      <c r="BF243" s="24"/>
      <c r="BG243" s="24"/>
      <c r="BH243" s="178"/>
      <c r="BI243" s="24"/>
      <c r="BJ243" s="24"/>
      <c r="BK243" s="24"/>
      <c r="BL243" s="24"/>
      <c r="BM243" s="24"/>
    </row>
    <row r="244" spans="1:65" ht="14.25" customHeight="1">
      <c r="A244" s="15">
        <f t="shared" si="88"/>
        <v>118</v>
      </c>
      <c r="B244" s="19" t="s">
        <v>194</v>
      </c>
      <c r="C244" s="179" t="s">
        <v>37</v>
      </c>
      <c r="D244" s="130">
        <v>6.992</v>
      </c>
      <c r="E244" s="130">
        <f>D244*4</f>
        <v>27.968</v>
      </c>
      <c r="F244" s="130">
        <f>E244*8</f>
        <v>223.744</v>
      </c>
      <c r="G244" s="130"/>
      <c r="H244" s="180"/>
      <c r="I244" s="19"/>
      <c r="J244" s="19"/>
      <c r="K244" s="181"/>
      <c r="L244" s="173">
        <v>2.6070000000000002</v>
      </c>
      <c r="M244" s="15">
        <v>2.657</v>
      </c>
      <c r="N244" s="15">
        <v>2E-3</v>
      </c>
      <c r="O244" s="15">
        <v>0.21299999999999999</v>
      </c>
      <c r="P244" s="175">
        <f t="shared" si="80"/>
        <v>5.4790000000000001</v>
      </c>
      <c r="Q244" s="173">
        <v>0.24399999999999999</v>
      </c>
      <c r="R244" s="15">
        <v>5.0000000000000001E-3</v>
      </c>
      <c r="S244" s="175">
        <f t="shared" si="81"/>
        <v>0.249</v>
      </c>
      <c r="T244" s="176" t="s">
        <v>31</v>
      </c>
      <c r="U244" s="176" t="s">
        <v>536</v>
      </c>
      <c r="V244" s="15"/>
      <c r="W244" s="15"/>
      <c r="X244" s="15">
        <v>85.44</v>
      </c>
      <c r="Y244" s="15">
        <v>1.51</v>
      </c>
      <c r="Z244" s="15">
        <v>11.15</v>
      </c>
      <c r="AA244" s="15">
        <f t="shared" si="82"/>
        <v>12.66</v>
      </c>
      <c r="AB244" s="15">
        <v>96.573400000000021</v>
      </c>
      <c r="AC244" s="15">
        <v>4828.670000000001</v>
      </c>
      <c r="AD244" s="15">
        <v>63.93</v>
      </c>
      <c r="AE244" s="15">
        <v>524.79</v>
      </c>
      <c r="AF244" s="15"/>
      <c r="AG244" s="15">
        <v>100.6</v>
      </c>
      <c r="AH244" s="15">
        <v>157.18</v>
      </c>
      <c r="AI244" s="15"/>
      <c r="AJ244" s="15">
        <v>846.5</v>
      </c>
      <c r="AK244" s="15">
        <v>0.84650000000000003</v>
      </c>
      <c r="AL244" s="177"/>
      <c r="AM244" s="137" t="s">
        <v>20</v>
      </c>
      <c r="AN244" s="131" t="str">
        <f>AO244</f>
        <v>D</v>
      </c>
      <c r="AO244" s="131" t="s">
        <v>21</v>
      </c>
      <c r="AP244" s="349">
        <v>45572</v>
      </c>
      <c r="AQ244" s="349">
        <v>45574</v>
      </c>
      <c r="AR244" s="349">
        <v>45577</v>
      </c>
      <c r="AS244" s="530">
        <v>45581</v>
      </c>
      <c r="AT244" s="25" t="s">
        <v>539</v>
      </c>
      <c r="AU244" s="178"/>
      <c r="AV244" s="137" t="s">
        <v>20</v>
      </c>
      <c r="AW244" s="15" t="s">
        <v>6</v>
      </c>
      <c r="AX244" s="278">
        <v>45708</v>
      </c>
      <c r="AY244" s="278">
        <v>45708</v>
      </c>
      <c r="AZ244" s="24" t="s">
        <v>539</v>
      </c>
      <c r="BA244" s="178"/>
      <c r="BB244" s="137" t="s">
        <v>20</v>
      </c>
      <c r="BC244" s="131"/>
      <c r="BD244" s="131" t="s">
        <v>21</v>
      </c>
      <c r="BE244" s="279">
        <f>BF244-1</f>
        <v>45706</v>
      </c>
      <c r="BF244" s="279">
        <v>45707</v>
      </c>
      <c r="BG244" s="15" t="s">
        <v>506</v>
      </c>
      <c r="BH244" s="177"/>
      <c r="BI244" s="137" t="s">
        <v>20</v>
      </c>
      <c r="BJ244" s="131">
        <v>45741</v>
      </c>
      <c r="BK244" s="131">
        <f>BJ244</f>
        <v>45741</v>
      </c>
      <c r="BL244" s="25">
        <v>1330</v>
      </c>
      <c r="BM244" s="24" t="s">
        <v>587</v>
      </c>
    </row>
    <row r="245" spans="1:65" ht="14.25" customHeight="1">
      <c r="A245" s="15" t="s">
        <v>0</v>
      </c>
      <c r="B245" s="19"/>
      <c r="C245" s="179"/>
      <c r="D245" s="130"/>
      <c r="E245" s="130"/>
      <c r="F245" s="130"/>
      <c r="G245" s="130"/>
      <c r="H245" s="180"/>
      <c r="I245" s="19"/>
      <c r="J245" s="19"/>
      <c r="K245" s="181"/>
      <c r="L245" s="173"/>
      <c r="M245" s="15"/>
      <c r="N245" s="15"/>
      <c r="O245" s="15"/>
      <c r="P245" s="175"/>
      <c r="Q245" s="173"/>
      <c r="R245" s="15"/>
      <c r="S245" s="175"/>
      <c r="T245" s="176"/>
      <c r="U245" s="176"/>
      <c r="V245" s="16">
        <v>328.65</v>
      </c>
      <c r="W245" s="15" t="s">
        <v>537</v>
      </c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77"/>
      <c r="AM245" s="15"/>
      <c r="AN245" s="24"/>
      <c r="AO245" s="24"/>
      <c r="AP245" s="24"/>
      <c r="AQ245" s="24"/>
      <c r="AR245" s="24"/>
      <c r="AS245" s="25"/>
      <c r="AT245" s="25"/>
      <c r="AU245" s="178"/>
      <c r="AV245" s="15"/>
      <c r="AW245" s="24"/>
      <c r="AX245" s="278"/>
      <c r="AY245" s="278"/>
      <c r="AZ245" s="24"/>
      <c r="BA245" s="178"/>
      <c r="BB245" s="24"/>
      <c r="BC245" s="24"/>
      <c r="BD245" s="24"/>
      <c r="BE245" s="24"/>
      <c r="BF245" s="24"/>
      <c r="BG245" s="24"/>
      <c r="BH245" s="178"/>
      <c r="BI245" s="24"/>
      <c r="BJ245" s="24"/>
      <c r="BK245" s="24"/>
      <c r="BL245" s="24"/>
      <c r="BM245" s="24"/>
    </row>
    <row r="246" spans="1:65" ht="14.25" customHeight="1">
      <c r="A246" s="15">
        <f t="shared" si="88"/>
        <v>119</v>
      </c>
      <c r="B246" s="19" t="s">
        <v>196</v>
      </c>
      <c r="C246" s="179" t="s">
        <v>46</v>
      </c>
      <c r="D246" s="130">
        <v>8.6259999999999994</v>
      </c>
      <c r="E246" s="130">
        <f>D246*4</f>
        <v>34.503999999999998</v>
      </c>
      <c r="F246" s="130">
        <f>E246*8</f>
        <v>276.03199999999998</v>
      </c>
      <c r="G246" s="130"/>
      <c r="H246" s="180"/>
      <c r="I246" s="19"/>
      <c r="J246" s="19"/>
      <c r="K246" s="181"/>
      <c r="L246" s="173">
        <v>4.5380000000000003</v>
      </c>
      <c r="M246" s="15">
        <v>3.2290000000000001</v>
      </c>
      <c r="N246" s="15">
        <v>6.4000000000000003E-3</v>
      </c>
      <c r="O246" s="15">
        <v>0.42899999999999999</v>
      </c>
      <c r="P246" s="175">
        <f t="shared" si="80"/>
        <v>8.2024000000000008</v>
      </c>
      <c r="Q246" s="173">
        <v>0.436</v>
      </c>
      <c r="R246" s="15">
        <v>0.01</v>
      </c>
      <c r="S246" s="175">
        <f t="shared" si="81"/>
        <v>0.44600000000000001</v>
      </c>
      <c r="T246" s="176" t="s">
        <v>195</v>
      </c>
      <c r="U246" s="176" t="s">
        <v>536</v>
      </c>
      <c r="V246" s="15"/>
      <c r="W246" s="15"/>
      <c r="X246" s="15">
        <v>148.80000000000001</v>
      </c>
      <c r="Y246" s="15">
        <v>2.5099999999999998</v>
      </c>
      <c r="Z246" s="15">
        <v>19.47</v>
      </c>
      <c r="AA246" s="15">
        <f t="shared" si="82"/>
        <v>21.979999999999997</v>
      </c>
      <c r="AB246" s="15">
        <v>168.07259999999999</v>
      </c>
      <c r="AC246" s="15">
        <v>8403.6299999999992</v>
      </c>
      <c r="AD246" s="15">
        <v>70.930000000000007</v>
      </c>
      <c r="AE246" s="15">
        <v>914.33</v>
      </c>
      <c r="AF246" s="15"/>
      <c r="AG246" s="15">
        <v>98.08</v>
      </c>
      <c r="AH246" s="15">
        <v>153.24</v>
      </c>
      <c r="AI246" s="15"/>
      <c r="AJ246" s="15">
        <v>1236.58</v>
      </c>
      <c r="AK246" s="15">
        <v>1.23658</v>
      </c>
      <c r="AL246" s="177"/>
      <c r="AM246" s="137" t="s">
        <v>20</v>
      </c>
      <c r="AN246" s="131" t="str">
        <f>AO246</f>
        <v>D</v>
      </c>
      <c r="AO246" s="131" t="s">
        <v>21</v>
      </c>
      <c r="AP246" s="349">
        <v>45584</v>
      </c>
      <c r="AQ246" s="349">
        <v>45592</v>
      </c>
      <c r="AR246" s="349">
        <v>45594</v>
      </c>
      <c r="AS246" s="530">
        <v>45596</v>
      </c>
      <c r="AT246" s="15" t="s">
        <v>561</v>
      </c>
      <c r="AU246" s="194"/>
      <c r="AV246" s="137" t="s">
        <v>20</v>
      </c>
      <c r="AW246" s="15" t="s">
        <v>6</v>
      </c>
      <c r="AX246" s="278">
        <f>AY246</f>
        <v>45693</v>
      </c>
      <c r="AY246" s="278">
        <v>45693</v>
      </c>
      <c r="AZ246" s="182" t="s">
        <v>539</v>
      </c>
      <c r="BA246" s="183"/>
      <c r="BB246" s="137" t="s">
        <v>20</v>
      </c>
      <c r="BC246" s="131"/>
      <c r="BD246" s="131" t="s">
        <v>21</v>
      </c>
      <c r="BE246" s="279">
        <f>BF246-2</f>
        <v>45695</v>
      </c>
      <c r="BF246" s="279">
        <v>45697</v>
      </c>
      <c r="BG246" s="17" t="s">
        <v>588</v>
      </c>
      <c r="BH246" s="188"/>
      <c r="BI246" s="137" t="s">
        <v>20</v>
      </c>
      <c r="BJ246" s="131">
        <v>45776</v>
      </c>
      <c r="BK246" s="131">
        <v>45776</v>
      </c>
      <c r="BL246" s="25">
        <v>1433</v>
      </c>
      <c r="BM246" s="185" t="s">
        <v>587</v>
      </c>
    </row>
    <row r="247" spans="1:65" ht="14.25" customHeight="1">
      <c r="A247" s="15" t="s">
        <v>0</v>
      </c>
      <c r="B247" s="19"/>
      <c r="C247" s="179"/>
      <c r="D247" s="130"/>
      <c r="E247" s="130"/>
      <c r="F247" s="130"/>
      <c r="G247" s="130"/>
      <c r="H247" s="180"/>
      <c r="I247" s="19"/>
      <c r="J247" s="19"/>
      <c r="K247" s="181"/>
      <c r="L247" s="173"/>
      <c r="M247" s="15"/>
      <c r="N247" s="15"/>
      <c r="O247" s="15"/>
      <c r="P247" s="175"/>
      <c r="Q247" s="173"/>
      <c r="R247" s="15"/>
      <c r="S247" s="175"/>
      <c r="T247" s="176"/>
      <c r="U247" s="176"/>
      <c r="V247" s="16">
        <v>362</v>
      </c>
      <c r="W247" s="15" t="s">
        <v>537</v>
      </c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77"/>
      <c r="AM247" s="15"/>
      <c r="AN247" s="24"/>
      <c r="AO247" s="24"/>
      <c r="AP247" s="24"/>
      <c r="AQ247" s="24"/>
      <c r="AR247" s="24"/>
      <c r="AS247" s="25"/>
      <c r="AT247" s="25"/>
      <c r="AU247" s="178"/>
      <c r="AV247" s="15"/>
      <c r="AW247" s="24"/>
      <c r="AX247" s="278"/>
      <c r="AY247" s="278"/>
      <c r="AZ247" s="24"/>
      <c r="BA247" s="178"/>
      <c r="BB247" s="24"/>
      <c r="BC247" s="24"/>
      <c r="BD247" s="24"/>
      <c r="BE247" s="24"/>
      <c r="BF247" s="24"/>
      <c r="BG247" s="24"/>
      <c r="BH247" s="178"/>
      <c r="BI247" s="24"/>
      <c r="BJ247" s="24"/>
      <c r="BK247" s="24"/>
      <c r="BL247" s="24"/>
      <c r="BM247" s="24"/>
    </row>
    <row r="248" spans="1:65" ht="14.25" customHeight="1">
      <c r="A248" s="15">
        <f t="shared" si="88"/>
        <v>120</v>
      </c>
      <c r="B248" s="19" t="s">
        <v>197</v>
      </c>
      <c r="C248" s="179" t="s">
        <v>56</v>
      </c>
      <c r="D248" s="130">
        <v>7.6219999999999999</v>
      </c>
      <c r="E248" s="130">
        <f>D248*4</f>
        <v>30.488</v>
      </c>
      <c r="F248" s="130">
        <f>E248*8</f>
        <v>243.904</v>
      </c>
      <c r="G248" s="130"/>
      <c r="H248" s="180"/>
      <c r="I248" s="19"/>
      <c r="J248" s="19"/>
      <c r="K248" s="181"/>
      <c r="L248" s="173">
        <v>2.6789999999999998</v>
      </c>
      <c r="M248" s="15">
        <v>3.133</v>
      </c>
      <c r="N248" s="15">
        <v>2.5000000000000001E-3</v>
      </c>
      <c r="O248" s="15">
        <v>0.23299999999999998</v>
      </c>
      <c r="P248" s="175">
        <f t="shared" si="80"/>
        <v>6.0474999999999994</v>
      </c>
      <c r="Q248" s="173">
        <v>0.24399999999999999</v>
      </c>
      <c r="R248" s="15">
        <v>5.0000000000000001E-3</v>
      </c>
      <c r="S248" s="175">
        <f t="shared" si="81"/>
        <v>0.249</v>
      </c>
      <c r="T248" s="176" t="s">
        <v>31</v>
      </c>
      <c r="U248" s="176" t="s">
        <v>536</v>
      </c>
      <c r="V248" s="15"/>
      <c r="W248" s="15"/>
      <c r="X248" s="15">
        <v>41.44</v>
      </c>
      <c r="Y248" s="15">
        <v>0.8</v>
      </c>
      <c r="Z248" s="15">
        <v>7.8</v>
      </c>
      <c r="AA248" s="15">
        <f t="shared" si="82"/>
        <v>8.6</v>
      </c>
      <c r="AB248" s="15">
        <v>66.42</v>
      </c>
      <c r="AC248" s="15">
        <v>3321</v>
      </c>
      <c r="AD248" s="15">
        <v>73.73</v>
      </c>
      <c r="AE248" s="15">
        <v>301.5</v>
      </c>
      <c r="AF248" s="15"/>
      <c r="AG248" s="15">
        <v>206.46</v>
      </c>
      <c r="AH248" s="15"/>
      <c r="AI248" s="15"/>
      <c r="AJ248" s="15">
        <v>581.69000000000005</v>
      </c>
      <c r="AK248" s="15">
        <v>0.58169000000000004</v>
      </c>
      <c r="AL248" s="177"/>
      <c r="AM248" s="137" t="s">
        <v>20</v>
      </c>
      <c r="AN248" s="131" t="str">
        <f>AO248</f>
        <v>D</v>
      </c>
      <c r="AO248" s="131" t="s">
        <v>21</v>
      </c>
      <c r="AP248" s="349">
        <v>45576</v>
      </c>
      <c r="AQ248" s="349">
        <v>45584</v>
      </c>
      <c r="AR248" s="349">
        <v>45588</v>
      </c>
      <c r="AS248" s="530">
        <v>45589</v>
      </c>
      <c r="AT248" s="15" t="s">
        <v>561</v>
      </c>
      <c r="AU248" s="194"/>
      <c r="AV248" s="137" t="s">
        <v>20</v>
      </c>
      <c r="AW248" s="15" t="s">
        <v>6</v>
      </c>
      <c r="AX248" s="278">
        <f>AY248</f>
        <v>45693</v>
      </c>
      <c r="AY248" s="278">
        <v>45693</v>
      </c>
      <c r="AZ248" s="182" t="s">
        <v>539</v>
      </c>
      <c r="BA248" s="183"/>
      <c r="BB248" s="137" t="s">
        <v>20</v>
      </c>
      <c r="BC248" s="131"/>
      <c r="BD248" s="131" t="s">
        <v>21</v>
      </c>
      <c r="BE248" s="279">
        <f>BF248-2</f>
        <v>45706</v>
      </c>
      <c r="BF248" s="279">
        <v>45708</v>
      </c>
      <c r="BG248" s="15" t="s">
        <v>506</v>
      </c>
      <c r="BH248" s="189"/>
      <c r="BI248" s="137" t="s">
        <v>20</v>
      </c>
      <c r="BJ248" s="131">
        <v>45776</v>
      </c>
      <c r="BK248" s="131">
        <v>45776</v>
      </c>
      <c r="BL248" s="25">
        <v>1545</v>
      </c>
      <c r="BM248" s="24" t="s">
        <v>587</v>
      </c>
    </row>
    <row r="249" spans="1:65" ht="14.25" customHeight="1">
      <c r="A249" s="15" t="s">
        <v>0</v>
      </c>
      <c r="B249" s="19"/>
      <c r="C249" s="179"/>
      <c r="D249" s="130"/>
      <c r="E249" s="130"/>
      <c r="F249" s="130"/>
      <c r="G249" s="130"/>
      <c r="H249" s="180"/>
      <c r="I249" s="19"/>
      <c r="J249" s="19"/>
      <c r="K249" s="181"/>
      <c r="L249" s="173"/>
      <c r="M249" s="15"/>
      <c r="N249" s="15"/>
      <c r="O249" s="15"/>
      <c r="P249" s="175"/>
      <c r="Q249" s="173"/>
      <c r="R249" s="15"/>
      <c r="S249" s="175"/>
      <c r="T249" s="176"/>
      <c r="U249" s="176"/>
      <c r="V249" s="16">
        <v>364</v>
      </c>
      <c r="W249" s="15" t="s">
        <v>500</v>
      </c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77"/>
      <c r="AM249" s="15"/>
      <c r="AN249" s="24"/>
      <c r="AO249" s="24"/>
      <c r="AP249" s="24"/>
      <c r="AQ249" s="24"/>
      <c r="AR249" s="24"/>
      <c r="AS249" s="25"/>
      <c r="AT249" s="25"/>
      <c r="AU249" s="178"/>
      <c r="AV249" s="15"/>
      <c r="AW249" s="24"/>
      <c r="AX249" s="278"/>
      <c r="AY249" s="278"/>
      <c r="AZ249" s="24"/>
      <c r="BA249" s="178"/>
      <c r="BB249" s="24"/>
      <c r="BC249" s="24"/>
      <c r="BD249" s="24"/>
      <c r="BE249" s="24"/>
      <c r="BF249" s="24"/>
      <c r="BG249" s="24"/>
      <c r="BH249" s="178"/>
      <c r="BI249" s="24"/>
      <c r="BJ249" s="24"/>
      <c r="BK249" s="24"/>
      <c r="BL249" s="24"/>
      <c r="BM249" s="24"/>
    </row>
    <row r="250" spans="1:65" ht="14.25" customHeight="1">
      <c r="A250" s="15">
        <f t="shared" si="88"/>
        <v>121</v>
      </c>
      <c r="B250" s="19" t="s">
        <v>198</v>
      </c>
      <c r="C250" s="179" t="s">
        <v>37</v>
      </c>
      <c r="D250" s="130">
        <v>6.992</v>
      </c>
      <c r="E250" s="130">
        <f>D250*4</f>
        <v>27.968</v>
      </c>
      <c r="F250" s="130">
        <f>E250*8</f>
        <v>223.744</v>
      </c>
      <c r="G250" s="130"/>
      <c r="H250" s="180"/>
      <c r="I250" s="19"/>
      <c r="J250" s="19"/>
      <c r="K250" s="181"/>
      <c r="L250" s="173">
        <v>2.6070000000000002</v>
      </c>
      <c r="M250" s="15">
        <v>2.657</v>
      </c>
      <c r="N250" s="15">
        <v>2E-3</v>
      </c>
      <c r="O250" s="15">
        <v>0.21299999999999999</v>
      </c>
      <c r="P250" s="175">
        <f t="shared" si="80"/>
        <v>5.4790000000000001</v>
      </c>
      <c r="Q250" s="173">
        <v>0.24399999999999999</v>
      </c>
      <c r="R250" s="15">
        <v>5.0000000000000001E-3</v>
      </c>
      <c r="S250" s="175">
        <f t="shared" si="81"/>
        <v>0.249</v>
      </c>
      <c r="T250" s="176" t="s">
        <v>31</v>
      </c>
      <c r="U250" s="176" t="s">
        <v>536</v>
      </c>
      <c r="V250" s="15"/>
      <c r="W250" s="15"/>
      <c r="X250" s="15">
        <v>41.44</v>
      </c>
      <c r="Y250" s="15">
        <v>0.8</v>
      </c>
      <c r="Z250" s="15">
        <v>7.8</v>
      </c>
      <c r="AA250" s="15">
        <f t="shared" si="82"/>
        <v>8.6</v>
      </c>
      <c r="AB250" s="15">
        <v>66.42</v>
      </c>
      <c r="AC250" s="15">
        <v>3321</v>
      </c>
      <c r="AD250" s="15">
        <v>73.73</v>
      </c>
      <c r="AE250" s="15">
        <v>301.5</v>
      </c>
      <c r="AF250" s="15"/>
      <c r="AG250" s="15">
        <v>206.46</v>
      </c>
      <c r="AH250" s="15"/>
      <c r="AI250" s="15"/>
      <c r="AJ250" s="15">
        <v>581.69000000000005</v>
      </c>
      <c r="AK250" s="15">
        <v>0.58169000000000004</v>
      </c>
      <c r="AL250" s="177"/>
      <c r="AM250" s="137" t="s">
        <v>20</v>
      </c>
      <c r="AN250" s="131" t="str">
        <f>AO250</f>
        <v>D</v>
      </c>
      <c r="AO250" s="131" t="s">
        <v>21</v>
      </c>
      <c r="AP250" s="349">
        <v>45572</v>
      </c>
      <c r="AQ250" s="349">
        <v>45573</v>
      </c>
      <c r="AR250" s="349">
        <v>45575</v>
      </c>
      <c r="AS250" s="530">
        <v>45576</v>
      </c>
      <c r="AT250" s="15" t="s">
        <v>561</v>
      </c>
      <c r="AU250" s="194"/>
      <c r="AV250" s="137" t="s">
        <v>20</v>
      </c>
      <c r="AW250" s="15" t="s">
        <v>6</v>
      </c>
      <c r="AX250" s="278">
        <v>45657</v>
      </c>
      <c r="AY250" s="278">
        <v>45657</v>
      </c>
      <c r="AZ250" s="182" t="s">
        <v>539</v>
      </c>
      <c r="BA250" s="183"/>
      <c r="BB250" s="137" t="s">
        <v>20</v>
      </c>
      <c r="BC250" s="131"/>
      <c r="BD250" s="131" t="s">
        <v>21</v>
      </c>
      <c r="BE250" s="279">
        <f>BF250-2</f>
        <v>45689</v>
      </c>
      <c r="BF250" s="279">
        <v>45691</v>
      </c>
      <c r="BG250" s="17" t="s">
        <v>588</v>
      </c>
      <c r="BH250" s="187"/>
      <c r="BI250" s="137" t="s">
        <v>20</v>
      </c>
      <c r="BJ250" s="17">
        <v>45777</v>
      </c>
      <c r="BK250" s="17">
        <v>45777</v>
      </c>
      <c r="BL250" s="25">
        <v>1330</v>
      </c>
      <c r="BM250" s="24" t="s">
        <v>587</v>
      </c>
    </row>
    <row r="251" spans="1:65" ht="14.25" customHeight="1">
      <c r="A251" s="15" t="s">
        <v>0</v>
      </c>
      <c r="B251" s="19"/>
      <c r="C251" s="179"/>
      <c r="D251" s="130"/>
      <c r="E251" s="130"/>
      <c r="F251" s="130"/>
      <c r="G251" s="130"/>
      <c r="H251" s="180"/>
      <c r="I251" s="19"/>
      <c r="J251" s="19"/>
      <c r="K251" s="181"/>
      <c r="L251" s="173"/>
      <c r="M251" s="15"/>
      <c r="N251" s="15"/>
      <c r="O251" s="15"/>
      <c r="P251" s="175"/>
      <c r="Q251" s="173"/>
      <c r="R251" s="15"/>
      <c r="S251" s="175"/>
      <c r="T251" s="176"/>
      <c r="U251" s="176"/>
      <c r="V251" s="16">
        <v>388</v>
      </c>
      <c r="W251" s="15" t="s">
        <v>500</v>
      </c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77"/>
      <c r="AM251" s="15"/>
      <c r="AN251" s="24"/>
      <c r="AO251" s="24"/>
      <c r="AP251" s="24"/>
      <c r="AQ251" s="24"/>
      <c r="AR251" s="24"/>
      <c r="AS251" s="25"/>
      <c r="AT251" s="25"/>
      <c r="AU251" s="178"/>
      <c r="AV251" s="15"/>
      <c r="AW251" s="24"/>
      <c r="AX251" s="278"/>
      <c r="AY251" s="278"/>
      <c r="AZ251" s="24"/>
      <c r="BA251" s="178"/>
      <c r="BB251" s="24"/>
      <c r="BC251" s="24"/>
      <c r="BD251" s="24"/>
      <c r="BE251" s="24"/>
      <c r="BF251" s="24"/>
      <c r="BG251" s="24"/>
      <c r="BH251" s="178"/>
      <c r="BI251" s="24"/>
      <c r="BJ251" s="24"/>
      <c r="BK251" s="24"/>
      <c r="BL251" s="24"/>
      <c r="BM251" s="24"/>
    </row>
    <row r="252" spans="1:65" ht="14.25" customHeight="1">
      <c r="A252" s="15">
        <f t="shared" si="88"/>
        <v>122</v>
      </c>
      <c r="B252" s="19" t="s">
        <v>199</v>
      </c>
      <c r="C252" s="179" t="s">
        <v>56</v>
      </c>
      <c r="D252" s="130">
        <v>7.6219999999999999</v>
      </c>
      <c r="E252" s="130">
        <f>D252*4</f>
        <v>30.488</v>
      </c>
      <c r="F252" s="130">
        <f>E252*8</f>
        <v>243.904</v>
      </c>
      <c r="G252" s="130"/>
      <c r="H252" s="180"/>
      <c r="I252" s="19"/>
      <c r="J252" s="19"/>
      <c r="K252" s="181"/>
      <c r="L252" s="173">
        <v>2.6789999999999998</v>
      </c>
      <c r="M252" s="15">
        <v>3.133</v>
      </c>
      <c r="N252" s="15">
        <v>2.5000000000000001E-3</v>
      </c>
      <c r="O252" s="15">
        <v>0.23299999999999998</v>
      </c>
      <c r="P252" s="175">
        <f t="shared" si="80"/>
        <v>6.0474999999999994</v>
      </c>
      <c r="Q252" s="173">
        <v>0.24399999999999999</v>
      </c>
      <c r="R252" s="15">
        <v>5.0000000000000001E-3</v>
      </c>
      <c r="S252" s="175">
        <f t="shared" si="81"/>
        <v>0.249</v>
      </c>
      <c r="T252" s="176" t="s">
        <v>31</v>
      </c>
      <c r="U252" s="176" t="s">
        <v>536</v>
      </c>
      <c r="V252" s="15"/>
      <c r="W252" s="15"/>
      <c r="X252" s="16">
        <v>143.36000000000001</v>
      </c>
      <c r="Y252" s="16">
        <v>1.68</v>
      </c>
      <c r="Z252" s="16">
        <v>11.97</v>
      </c>
      <c r="AA252" s="16">
        <f t="shared" si="82"/>
        <v>13.65</v>
      </c>
      <c r="AB252" s="23">
        <f>+Y252*4.44+Z252*8.06</f>
        <v>103.93740000000001</v>
      </c>
      <c r="AC252" s="16">
        <f>+AB252*50</f>
        <v>5196.8700000000008</v>
      </c>
      <c r="AD252" s="16">
        <v>63.93</v>
      </c>
      <c r="AE252" s="16">
        <v>535.23</v>
      </c>
      <c r="AF252" s="16"/>
      <c r="AG252" s="16">
        <v>100.6</v>
      </c>
      <c r="AH252" s="16">
        <v>157.18</v>
      </c>
      <c r="AI252" s="16"/>
      <c r="AJ252" s="16">
        <f>SUM(AD252:AI252)</f>
        <v>856.94</v>
      </c>
      <c r="AK252" s="15">
        <f>+AJ252/1000</f>
        <v>0.85694000000000004</v>
      </c>
      <c r="AL252" s="177"/>
      <c r="AM252" s="137" t="s">
        <v>20</v>
      </c>
      <c r="AN252" s="131" t="str">
        <f>AO252</f>
        <v>D</v>
      </c>
      <c r="AO252" s="131" t="s">
        <v>21</v>
      </c>
      <c r="AP252" s="349">
        <v>45595</v>
      </c>
      <c r="AQ252" s="349">
        <v>45566</v>
      </c>
      <c r="AR252" s="349">
        <v>45567</v>
      </c>
      <c r="AS252" s="530">
        <v>45571</v>
      </c>
      <c r="AT252" s="15" t="s">
        <v>561</v>
      </c>
      <c r="AU252" s="194"/>
      <c r="AV252" s="137" t="s">
        <v>20</v>
      </c>
      <c r="AW252" s="15" t="s">
        <v>544</v>
      </c>
      <c r="AX252" s="278">
        <v>45657</v>
      </c>
      <c r="AY252" s="278">
        <v>45657</v>
      </c>
      <c r="AZ252" s="182" t="s">
        <v>539</v>
      </c>
      <c r="BA252" s="183"/>
      <c r="BB252" s="137" t="s">
        <v>20</v>
      </c>
      <c r="BC252" s="131"/>
      <c r="BD252" s="131" t="s">
        <v>21</v>
      </c>
      <c r="BE252" s="279">
        <f>BF252-2</f>
        <v>45686</v>
      </c>
      <c r="BF252" s="279">
        <v>45688</v>
      </c>
      <c r="BG252" s="17" t="s">
        <v>588</v>
      </c>
      <c r="BH252" s="187"/>
      <c r="BI252" s="137" t="s">
        <v>20</v>
      </c>
      <c r="BJ252" s="17">
        <v>45777</v>
      </c>
      <c r="BK252" s="17">
        <v>45777</v>
      </c>
      <c r="BL252" s="25">
        <v>1545</v>
      </c>
      <c r="BM252" s="24" t="s">
        <v>587</v>
      </c>
    </row>
    <row r="253" spans="1:65" ht="14.25" customHeight="1">
      <c r="A253" s="15" t="s">
        <v>0</v>
      </c>
      <c r="B253" s="19"/>
      <c r="C253" s="179"/>
      <c r="D253" s="130"/>
      <c r="E253" s="130"/>
      <c r="F253" s="130"/>
      <c r="G253" s="130"/>
      <c r="H253" s="180"/>
      <c r="I253" s="19"/>
      <c r="J253" s="19"/>
      <c r="K253" s="181"/>
      <c r="L253" s="173"/>
      <c r="M253" s="15"/>
      <c r="N253" s="15"/>
      <c r="O253" s="15"/>
      <c r="P253" s="175"/>
      <c r="Q253" s="173"/>
      <c r="R253" s="15"/>
      <c r="S253" s="175"/>
      <c r="T253" s="176"/>
      <c r="U253" s="176"/>
      <c r="V253" s="16">
        <v>321.97000000000003</v>
      </c>
      <c r="W253" s="15" t="s">
        <v>586</v>
      </c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77"/>
      <c r="AM253" s="15"/>
      <c r="AN253" s="24"/>
      <c r="AO253" s="24"/>
      <c r="AP253" s="24"/>
      <c r="AQ253" s="24"/>
      <c r="AR253" s="24"/>
      <c r="AS253" s="25"/>
      <c r="AT253" s="25"/>
      <c r="AU253" s="178"/>
      <c r="AV253" s="15"/>
      <c r="AW253" s="24"/>
      <c r="AX253" s="278"/>
      <c r="AY253" s="278"/>
      <c r="AZ253" s="24"/>
      <c r="BA253" s="178"/>
      <c r="BB253" s="24"/>
      <c r="BC253" s="24"/>
      <c r="BD253" s="24"/>
      <c r="BE253" s="24"/>
      <c r="BF253" s="24"/>
      <c r="BG253" s="24"/>
      <c r="BH253" s="178"/>
      <c r="BI253" s="24"/>
      <c r="BJ253" s="24"/>
      <c r="BK253" s="24"/>
      <c r="BL253" s="24"/>
      <c r="BM253" s="24"/>
    </row>
    <row r="254" spans="1:65" ht="14.25" customHeight="1">
      <c r="A254" s="15">
        <f t="shared" si="88"/>
        <v>123</v>
      </c>
      <c r="B254" s="19" t="s">
        <v>201</v>
      </c>
      <c r="C254" s="179" t="s">
        <v>39</v>
      </c>
      <c r="D254" s="130">
        <v>7.7080000000000002</v>
      </c>
      <c r="E254" s="130">
        <f>D254*4</f>
        <v>30.832000000000001</v>
      </c>
      <c r="F254" s="130">
        <f>E254*8</f>
        <v>246.65600000000001</v>
      </c>
      <c r="G254" s="130"/>
      <c r="H254" s="180"/>
      <c r="I254" s="19"/>
      <c r="J254" s="19"/>
      <c r="K254" s="181"/>
      <c r="L254" s="173">
        <v>4.0570000000000004</v>
      </c>
      <c r="M254" s="15">
        <v>2.48</v>
      </c>
      <c r="N254" s="15">
        <v>6.0000000000000001E-3</v>
      </c>
      <c r="O254" s="15">
        <v>0.36499999999999999</v>
      </c>
      <c r="P254" s="175">
        <f t="shared" si="80"/>
        <v>6.9080000000000013</v>
      </c>
      <c r="Q254" s="173">
        <v>0.436</v>
      </c>
      <c r="R254" s="15">
        <v>0.01</v>
      </c>
      <c r="S254" s="175">
        <f t="shared" si="81"/>
        <v>0.44600000000000001</v>
      </c>
      <c r="T254" s="176" t="s">
        <v>200</v>
      </c>
      <c r="U254" s="176" t="s">
        <v>536</v>
      </c>
      <c r="V254" s="15"/>
      <c r="W254" s="15"/>
      <c r="X254" s="15">
        <v>75.36</v>
      </c>
      <c r="Y254" s="15">
        <v>1.35</v>
      </c>
      <c r="Z254" s="15">
        <v>12.85</v>
      </c>
      <c r="AA254" s="15">
        <f t="shared" si="82"/>
        <v>14.2</v>
      </c>
      <c r="AB254" s="15">
        <v>109.565</v>
      </c>
      <c r="AC254" s="15">
        <v>5478.25</v>
      </c>
      <c r="AD254" s="15">
        <v>81.819999999999993</v>
      </c>
      <c r="AE254" s="15">
        <v>599.6</v>
      </c>
      <c r="AF254" s="15"/>
      <c r="AG254" s="15">
        <v>201.4</v>
      </c>
      <c r="AH254" s="15"/>
      <c r="AI254" s="15"/>
      <c r="AJ254" s="15">
        <v>882.82</v>
      </c>
      <c r="AK254" s="15">
        <v>0.88282000000000005</v>
      </c>
      <c r="AL254" s="177"/>
      <c r="AM254" s="137" t="s">
        <v>20</v>
      </c>
      <c r="AN254" s="131" t="str">
        <f>AO254</f>
        <v>D</v>
      </c>
      <c r="AO254" s="131" t="s">
        <v>21</v>
      </c>
      <c r="AP254" s="349">
        <v>45577</v>
      </c>
      <c r="AQ254" s="349">
        <v>45579</v>
      </c>
      <c r="AR254" s="349">
        <v>45583</v>
      </c>
      <c r="AS254" s="530">
        <v>45586</v>
      </c>
      <c r="AT254" s="15" t="s">
        <v>561</v>
      </c>
      <c r="AU254" s="194"/>
      <c r="AV254" s="137" t="s">
        <v>20</v>
      </c>
      <c r="AW254" s="15" t="s">
        <v>6</v>
      </c>
      <c r="AX254" s="278">
        <v>45657</v>
      </c>
      <c r="AY254" s="278">
        <v>45657</v>
      </c>
      <c r="AZ254" s="182" t="s">
        <v>539</v>
      </c>
      <c r="BA254" s="183"/>
      <c r="BB254" s="137" t="s">
        <v>20</v>
      </c>
      <c r="BC254" s="131"/>
      <c r="BD254" s="131" t="s">
        <v>21</v>
      </c>
      <c r="BE254" s="279">
        <f>BF254-2</f>
        <v>45709</v>
      </c>
      <c r="BF254" s="279">
        <v>45711</v>
      </c>
      <c r="BG254" s="17" t="s">
        <v>506</v>
      </c>
      <c r="BH254" s="188"/>
      <c r="BI254" s="137" t="s">
        <v>20</v>
      </c>
      <c r="BJ254" s="131">
        <v>45742</v>
      </c>
      <c r="BK254" s="131">
        <v>45742</v>
      </c>
      <c r="BL254" s="25">
        <v>1001</v>
      </c>
      <c r="BM254" s="185" t="s">
        <v>587</v>
      </c>
    </row>
    <row r="255" spans="1:65" ht="14.25" customHeight="1">
      <c r="A255" s="15" t="s">
        <v>0</v>
      </c>
      <c r="B255" s="19"/>
      <c r="C255" s="179"/>
      <c r="D255" s="130"/>
      <c r="E255" s="130"/>
      <c r="F255" s="130"/>
      <c r="G255" s="130"/>
      <c r="H255" s="180"/>
      <c r="I255" s="19"/>
      <c r="J255" s="19"/>
      <c r="K255" s="181"/>
      <c r="L255" s="173"/>
      <c r="M255" s="15"/>
      <c r="N255" s="15"/>
      <c r="O255" s="15"/>
      <c r="P255" s="175"/>
      <c r="Q255" s="173"/>
      <c r="R255" s="15"/>
      <c r="S255" s="175"/>
      <c r="T255" s="198"/>
      <c r="U255" s="198"/>
      <c r="V255" s="200">
        <v>365.48399999999998</v>
      </c>
      <c r="W255" s="15" t="s">
        <v>500</v>
      </c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77"/>
      <c r="AM255" s="15"/>
      <c r="AN255" s="24"/>
      <c r="AO255" s="24"/>
      <c r="AP255" s="24"/>
      <c r="AQ255" s="24"/>
      <c r="AR255" s="24"/>
      <c r="AS255" s="25"/>
      <c r="AT255" s="25"/>
      <c r="AU255" s="178"/>
      <c r="AV255" s="15"/>
      <c r="AW255" s="24"/>
      <c r="AX255" s="278"/>
      <c r="AY255" s="278"/>
      <c r="AZ255" s="24"/>
      <c r="BA255" s="178"/>
      <c r="BB255" s="24"/>
      <c r="BC255" s="24"/>
      <c r="BD255" s="24"/>
      <c r="BE255" s="24"/>
      <c r="BF255" s="24"/>
      <c r="BG255" s="24"/>
      <c r="BH255" s="178"/>
      <c r="BI255" s="24"/>
      <c r="BJ255" s="24"/>
      <c r="BK255" s="24"/>
      <c r="BL255" s="24"/>
      <c r="BM255" s="24"/>
    </row>
    <row r="256" spans="1:65" ht="14.25" customHeight="1">
      <c r="A256" s="15">
        <f t="shared" si="88"/>
        <v>124</v>
      </c>
      <c r="B256" s="19" t="s">
        <v>202</v>
      </c>
      <c r="C256" s="179" t="s">
        <v>42</v>
      </c>
      <c r="D256" s="130">
        <v>6.3620000000000001</v>
      </c>
      <c r="E256" s="130">
        <f>D256*4</f>
        <v>25.448</v>
      </c>
      <c r="F256" s="130">
        <f>E256*8</f>
        <v>203.584</v>
      </c>
      <c r="G256" s="130"/>
      <c r="H256" s="180"/>
      <c r="I256" s="19"/>
      <c r="J256" s="19"/>
      <c r="K256" s="181"/>
      <c r="L256" s="173">
        <v>2.25</v>
      </c>
      <c r="M256" s="15">
        <v>2.1880000000000002</v>
      </c>
      <c r="N256" s="15">
        <v>2E-3</v>
      </c>
      <c r="O256" s="15">
        <v>0.183</v>
      </c>
      <c r="P256" s="175">
        <f t="shared" si="80"/>
        <v>4.6230000000000002</v>
      </c>
      <c r="Q256" s="173">
        <v>0.24399999999999999</v>
      </c>
      <c r="R256" s="15">
        <v>5.0000000000000001E-3</v>
      </c>
      <c r="S256" s="175">
        <f t="shared" si="81"/>
        <v>0.249</v>
      </c>
      <c r="T256" s="198"/>
      <c r="U256" s="176" t="s">
        <v>536</v>
      </c>
      <c r="V256" s="25"/>
      <c r="W256" s="15"/>
      <c r="X256" s="16">
        <v>143.36000000000001</v>
      </c>
      <c r="Y256" s="16">
        <v>1.68</v>
      </c>
      <c r="Z256" s="16">
        <v>11.97</v>
      </c>
      <c r="AA256" s="16">
        <f t="shared" si="82"/>
        <v>13.65</v>
      </c>
      <c r="AB256" s="23">
        <f>+Y256*4.44+Z256*8.06</f>
        <v>103.93740000000001</v>
      </c>
      <c r="AC256" s="16">
        <f>+AB256*50</f>
        <v>5196.8700000000008</v>
      </c>
      <c r="AD256" s="16">
        <v>63.93</v>
      </c>
      <c r="AE256" s="16">
        <v>535.23</v>
      </c>
      <c r="AF256" s="16"/>
      <c r="AG256" s="16">
        <v>100.6</v>
      </c>
      <c r="AH256" s="16">
        <v>157.18</v>
      </c>
      <c r="AI256" s="16"/>
      <c r="AJ256" s="16">
        <f>SUM(AD256:AI256)</f>
        <v>856.94</v>
      </c>
      <c r="AK256" s="15">
        <f>+AJ256/1000</f>
        <v>0.85694000000000004</v>
      </c>
      <c r="AL256" s="177"/>
      <c r="AM256" s="137" t="s">
        <v>20</v>
      </c>
      <c r="AN256" s="131" t="str">
        <f>AO256</f>
        <v>D</v>
      </c>
      <c r="AO256" s="131" t="s">
        <v>21</v>
      </c>
      <c r="AP256" s="349">
        <v>45605</v>
      </c>
      <c r="AQ256" s="349">
        <f>AR256-4</f>
        <v>45618</v>
      </c>
      <c r="AR256" s="349">
        <f>AS256-3</f>
        <v>45622</v>
      </c>
      <c r="AS256" s="530">
        <v>45625</v>
      </c>
      <c r="AT256" s="25" t="s">
        <v>589</v>
      </c>
      <c r="AU256" s="183"/>
      <c r="AV256" s="137" t="s">
        <v>20</v>
      </c>
      <c r="AW256" s="15" t="s">
        <v>544</v>
      </c>
      <c r="AX256" s="278">
        <v>45657</v>
      </c>
      <c r="AY256" s="278">
        <v>45657</v>
      </c>
      <c r="AZ256" s="182" t="s">
        <v>539</v>
      </c>
      <c r="BA256" s="183"/>
      <c r="BB256" s="137" t="s">
        <v>20</v>
      </c>
      <c r="BC256" s="131"/>
      <c r="BD256" s="131" t="s">
        <v>21</v>
      </c>
      <c r="BE256" s="279">
        <v>45656</v>
      </c>
      <c r="BF256" s="279">
        <v>45657</v>
      </c>
      <c r="BG256" s="17" t="s">
        <v>506</v>
      </c>
      <c r="BH256" s="188"/>
      <c r="BI256" s="137" t="s">
        <v>20</v>
      </c>
      <c r="BJ256" s="131">
        <v>45742</v>
      </c>
      <c r="BK256" s="131">
        <v>45742</v>
      </c>
      <c r="BL256" s="25">
        <v>980</v>
      </c>
      <c r="BM256" s="24" t="s">
        <v>587</v>
      </c>
    </row>
    <row r="257" spans="1:65" ht="14.25" customHeight="1">
      <c r="A257" s="15" t="s">
        <v>0</v>
      </c>
      <c r="B257" s="19"/>
      <c r="C257" s="179"/>
      <c r="D257" s="130"/>
      <c r="E257" s="130"/>
      <c r="F257" s="130"/>
      <c r="G257" s="130"/>
      <c r="H257" s="180"/>
      <c r="I257" s="19"/>
      <c r="J257" s="19"/>
      <c r="K257" s="181"/>
      <c r="L257" s="173"/>
      <c r="M257" s="15"/>
      <c r="N257" s="15"/>
      <c r="O257" s="15"/>
      <c r="P257" s="175"/>
      <c r="Q257" s="173"/>
      <c r="R257" s="15"/>
      <c r="S257" s="175"/>
      <c r="T257" s="198"/>
      <c r="U257" s="198"/>
      <c r="V257" s="25">
        <v>373.96600000000001</v>
      </c>
      <c r="W257" s="15" t="s">
        <v>586</v>
      </c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77"/>
      <c r="AM257" s="15"/>
      <c r="AN257" s="24"/>
      <c r="AO257" s="24"/>
      <c r="AP257" s="24"/>
      <c r="AQ257" s="24"/>
      <c r="AR257" s="24"/>
      <c r="AS257" s="25"/>
      <c r="AT257" s="25"/>
      <c r="AU257" s="178"/>
      <c r="AV257" s="15"/>
      <c r="AW257" s="24"/>
      <c r="AX257" s="278"/>
      <c r="AY257" s="278"/>
      <c r="AZ257" s="24"/>
      <c r="BA257" s="178"/>
      <c r="BB257" s="24"/>
      <c r="BC257" s="24"/>
      <c r="BD257" s="24"/>
      <c r="BE257" s="24"/>
      <c r="BF257" s="24"/>
      <c r="BG257" s="24"/>
      <c r="BH257" s="178"/>
      <c r="BI257" s="24"/>
      <c r="BJ257" s="24"/>
      <c r="BK257" s="24"/>
      <c r="BL257" s="24"/>
      <c r="BM257" s="24"/>
    </row>
    <row r="258" spans="1:65" ht="14.25" customHeight="1">
      <c r="A258" s="15">
        <f t="shared" si="88"/>
        <v>125</v>
      </c>
      <c r="B258" s="19" t="s">
        <v>203</v>
      </c>
      <c r="C258" s="179" t="s">
        <v>37</v>
      </c>
      <c r="D258" s="130">
        <v>6.992</v>
      </c>
      <c r="E258" s="130">
        <f>D258*4</f>
        <v>27.968</v>
      </c>
      <c r="F258" s="130">
        <f>E258*8</f>
        <v>223.744</v>
      </c>
      <c r="G258" s="130"/>
      <c r="H258" s="180"/>
      <c r="I258" s="19"/>
      <c r="J258" s="19"/>
      <c r="K258" s="181"/>
      <c r="L258" s="173">
        <v>2.6070000000000002</v>
      </c>
      <c r="M258" s="15">
        <v>2.657</v>
      </c>
      <c r="N258" s="15">
        <v>2E-3</v>
      </c>
      <c r="O258" s="15">
        <v>0.21299999999999999</v>
      </c>
      <c r="P258" s="175">
        <f t="shared" si="80"/>
        <v>5.4790000000000001</v>
      </c>
      <c r="Q258" s="173">
        <v>0.24399999999999999</v>
      </c>
      <c r="R258" s="15">
        <v>5.0000000000000001E-3</v>
      </c>
      <c r="S258" s="175">
        <f t="shared" si="81"/>
        <v>0.249</v>
      </c>
      <c r="T258" s="198"/>
      <c r="U258" s="176" t="s">
        <v>536</v>
      </c>
      <c r="V258" s="25"/>
      <c r="W258" s="15"/>
      <c r="X258" s="15">
        <v>145.16</v>
      </c>
      <c r="Y258" s="15">
        <v>2.4500000000000002</v>
      </c>
      <c r="Z258" s="15">
        <v>15.71</v>
      </c>
      <c r="AA258" s="15">
        <f t="shared" si="82"/>
        <v>18.16</v>
      </c>
      <c r="AB258" s="15">
        <v>137.50060000000002</v>
      </c>
      <c r="AC258" s="15">
        <v>6875.0300000000007</v>
      </c>
      <c r="AD258" s="15">
        <v>63.93</v>
      </c>
      <c r="AE258" s="15">
        <v>822.63</v>
      </c>
      <c r="AF258" s="15"/>
      <c r="AG258" s="15">
        <v>100.6</v>
      </c>
      <c r="AH258" s="15">
        <v>157.18</v>
      </c>
      <c r="AI258" s="15"/>
      <c r="AJ258" s="15">
        <v>1144.3399999999999</v>
      </c>
      <c r="AK258" s="15">
        <v>1.1443399999999999</v>
      </c>
      <c r="AL258" s="177"/>
      <c r="AM258" s="137" t="s">
        <v>20</v>
      </c>
      <c r="AN258" s="131" t="str">
        <f>AO258</f>
        <v>D</v>
      </c>
      <c r="AO258" s="131" t="s">
        <v>21</v>
      </c>
      <c r="AP258" s="349">
        <v>45605</v>
      </c>
      <c r="AQ258" s="349">
        <f t="shared" ref="AQ258:AR258" si="91">AR258-3</f>
        <v>45628</v>
      </c>
      <c r="AR258" s="349">
        <f t="shared" si="91"/>
        <v>45631</v>
      </c>
      <c r="AS258" s="530">
        <v>45634</v>
      </c>
      <c r="AT258" s="25" t="s">
        <v>589</v>
      </c>
      <c r="AU258" s="183"/>
      <c r="AV258" s="137" t="s">
        <v>20</v>
      </c>
      <c r="AW258" s="15" t="s">
        <v>6</v>
      </c>
      <c r="AX258" s="278">
        <v>45635</v>
      </c>
      <c r="AY258" s="278">
        <v>45635</v>
      </c>
      <c r="AZ258" s="19" t="s">
        <v>590</v>
      </c>
      <c r="BA258" s="194"/>
      <c r="BB258" s="137" t="s">
        <v>20</v>
      </c>
      <c r="BC258" s="131"/>
      <c r="BD258" s="131" t="s">
        <v>21</v>
      </c>
      <c r="BE258" s="279">
        <v>45653</v>
      </c>
      <c r="BF258" s="279">
        <v>45655</v>
      </c>
      <c r="BG258" s="17" t="s">
        <v>506</v>
      </c>
      <c r="BH258" s="188"/>
      <c r="BI258" s="137" t="s">
        <v>20</v>
      </c>
      <c r="BJ258" s="131">
        <f>BK258</f>
        <v>45743</v>
      </c>
      <c r="BK258" s="131">
        <v>45743</v>
      </c>
      <c r="BL258" s="25">
        <v>1330</v>
      </c>
      <c r="BM258" s="24" t="s">
        <v>587</v>
      </c>
    </row>
    <row r="259" spans="1:65" ht="14.25" customHeight="1">
      <c r="A259" s="15" t="s">
        <v>0</v>
      </c>
      <c r="B259" s="19"/>
      <c r="C259" s="179"/>
      <c r="D259" s="130"/>
      <c r="E259" s="130"/>
      <c r="F259" s="130"/>
      <c r="G259" s="130"/>
      <c r="H259" s="180"/>
      <c r="I259" s="19"/>
      <c r="J259" s="19"/>
      <c r="K259" s="181"/>
      <c r="L259" s="173"/>
      <c r="M259" s="15"/>
      <c r="N259" s="15"/>
      <c r="O259" s="15"/>
      <c r="P259" s="175"/>
      <c r="Q259" s="173"/>
      <c r="R259" s="15"/>
      <c r="S259" s="175"/>
      <c r="T259" s="198"/>
      <c r="U259" s="198"/>
      <c r="V259" s="25">
        <v>356.05399999999997</v>
      </c>
      <c r="W259" s="15" t="s">
        <v>502</v>
      </c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77"/>
      <c r="AM259" s="15"/>
      <c r="AN259" s="24"/>
      <c r="AO259" s="24"/>
      <c r="AP259" s="24"/>
      <c r="AQ259" s="24"/>
      <c r="AR259" s="24"/>
      <c r="AS259" s="25"/>
      <c r="AT259" s="25"/>
      <c r="AU259" s="178"/>
      <c r="AV259" s="15"/>
      <c r="AW259" s="24"/>
      <c r="AX259" s="278"/>
      <c r="AY259" s="278"/>
      <c r="AZ259" s="24"/>
      <c r="BA259" s="178"/>
      <c r="BB259" s="24"/>
      <c r="BC259" s="24"/>
      <c r="BD259" s="24"/>
      <c r="BE259" s="24"/>
      <c r="BF259" s="24"/>
      <c r="BG259" s="24"/>
      <c r="BH259" s="178"/>
      <c r="BI259" s="24"/>
      <c r="BJ259" s="24"/>
      <c r="BK259" s="24"/>
      <c r="BL259" s="24"/>
      <c r="BM259" s="19"/>
    </row>
    <row r="260" spans="1:65" ht="14.25" customHeight="1">
      <c r="A260" s="15">
        <f t="shared" si="88"/>
        <v>126</v>
      </c>
      <c r="B260" s="19" t="s">
        <v>204</v>
      </c>
      <c r="C260" s="179" t="s">
        <v>42</v>
      </c>
      <c r="D260" s="130">
        <v>6.3620000000000001</v>
      </c>
      <c r="E260" s="130">
        <f>D260*4</f>
        <v>25.448</v>
      </c>
      <c r="F260" s="130">
        <f>E260*8</f>
        <v>203.584</v>
      </c>
      <c r="G260" s="130"/>
      <c r="H260" s="180"/>
      <c r="I260" s="19"/>
      <c r="J260" s="19"/>
      <c r="K260" s="181"/>
      <c r="L260" s="173">
        <v>2.25</v>
      </c>
      <c r="M260" s="15">
        <v>2.1880000000000002</v>
      </c>
      <c r="N260" s="15">
        <v>2E-3</v>
      </c>
      <c r="O260" s="15">
        <v>0.183</v>
      </c>
      <c r="P260" s="175">
        <f t="shared" si="80"/>
        <v>4.6230000000000002</v>
      </c>
      <c r="Q260" s="173">
        <v>0.24399999999999999</v>
      </c>
      <c r="R260" s="15">
        <v>5.0000000000000001E-3</v>
      </c>
      <c r="S260" s="175">
        <f t="shared" si="81"/>
        <v>0.249</v>
      </c>
      <c r="T260" s="198"/>
      <c r="U260" s="176" t="s">
        <v>536</v>
      </c>
      <c r="V260" s="25"/>
      <c r="W260" s="15"/>
      <c r="X260" s="15">
        <v>80.64</v>
      </c>
      <c r="Y260" s="15">
        <v>0.88</v>
      </c>
      <c r="Z260" s="15">
        <v>8.1199999999999992</v>
      </c>
      <c r="AA260" s="15">
        <f t="shared" si="82"/>
        <v>9</v>
      </c>
      <c r="AB260" s="15">
        <v>69.354399999999998</v>
      </c>
      <c r="AC260" s="15">
        <v>3467.72</v>
      </c>
      <c r="AD260" s="15">
        <v>73.73</v>
      </c>
      <c r="AE260" s="15">
        <v>313.64</v>
      </c>
      <c r="AF260" s="15"/>
      <c r="AG260" s="15">
        <v>201.4</v>
      </c>
      <c r="AH260" s="15"/>
      <c r="AI260" s="15"/>
      <c r="AJ260" s="15">
        <v>588.77</v>
      </c>
      <c r="AK260" s="15">
        <v>0.58877000000000002</v>
      </c>
      <c r="AL260" s="177"/>
      <c r="AM260" s="137" t="s">
        <v>20</v>
      </c>
      <c r="AN260" s="131" t="str">
        <f>AO260</f>
        <v>D</v>
      </c>
      <c r="AO260" s="131" t="s">
        <v>21</v>
      </c>
      <c r="AP260" s="349">
        <v>45518</v>
      </c>
      <c r="AQ260" s="349">
        <v>45521</v>
      </c>
      <c r="AR260" s="349">
        <v>45522</v>
      </c>
      <c r="AS260" s="530">
        <v>45523</v>
      </c>
      <c r="AT260" s="25" t="s">
        <v>539</v>
      </c>
      <c r="AU260" s="183"/>
      <c r="AV260" s="137" t="s">
        <v>20</v>
      </c>
      <c r="AW260" s="15" t="s">
        <v>544</v>
      </c>
      <c r="AX260" s="278">
        <f>AY260</f>
        <v>45661</v>
      </c>
      <c r="AY260" s="278">
        <v>45661</v>
      </c>
      <c r="AZ260" s="182" t="s">
        <v>539</v>
      </c>
      <c r="BA260" s="183"/>
      <c r="BB260" s="137" t="s">
        <v>20</v>
      </c>
      <c r="BC260" s="131"/>
      <c r="BD260" s="131" t="s">
        <v>21</v>
      </c>
      <c r="BE260" s="279">
        <f>BF260-1</f>
        <v>45662</v>
      </c>
      <c r="BF260" s="279">
        <v>45663</v>
      </c>
      <c r="BG260" s="17" t="s">
        <v>506</v>
      </c>
      <c r="BH260" s="188"/>
      <c r="BI260" s="137" t="s">
        <v>20</v>
      </c>
      <c r="BJ260" s="131">
        <f>BJ258</f>
        <v>45743</v>
      </c>
      <c r="BK260" s="131">
        <f>BJ260</f>
        <v>45743</v>
      </c>
      <c r="BL260" s="25">
        <v>980</v>
      </c>
      <c r="BM260" s="24" t="s">
        <v>587</v>
      </c>
    </row>
    <row r="261" spans="1:65" ht="14.25" customHeight="1">
      <c r="A261" s="15" t="s">
        <v>0</v>
      </c>
      <c r="B261" s="19"/>
      <c r="C261" s="179"/>
      <c r="D261" s="130"/>
      <c r="E261" s="130"/>
      <c r="F261" s="130"/>
      <c r="G261" s="130"/>
      <c r="H261" s="180"/>
      <c r="I261" s="19"/>
      <c r="J261" s="19"/>
      <c r="K261" s="181"/>
      <c r="L261" s="173"/>
      <c r="M261" s="15"/>
      <c r="N261" s="15"/>
      <c r="O261" s="15"/>
      <c r="P261" s="175"/>
      <c r="Q261" s="173"/>
      <c r="R261" s="15"/>
      <c r="S261" s="175"/>
      <c r="T261" s="198"/>
      <c r="U261" s="198"/>
      <c r="V261" s="25">
        <v>349.66300000000001</v>
      </c>
      <c r="W261" s="15" t="s">
        <v>565</v>
      </c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77"/>
      <c r="AM261" s="15"/>
      <c r="AN261" s="24"/>
      <c r="AO261" s="24"/>
      <c r="AP261" s="24"/>
      <c r="AQ261" s="24"/>
      <c r="AR261" s="24"/>
      <c r="AS261" s="25"/>
      <c r="AT261" s="25"/>
      <c r="AU261" s="178"/>
      <c r="AV261" s="15"/>
      <c r="AW261" s="24"/>
      <c r="AX261" s="278"/>
      <c r="AY261" s="278"/>
      <c r="AZ261" s="24"/>
      <c r="BA261" s="178"/>
      <c r="BB261" s="24"/>
      <c r="BC261" s="24"/>
      <c r="BD261" s="24"/>
      <c r="BE261" s="24"/>
      <c r="BF261" s="24"/>
      <c r="BG261" s="24"/>
      <c r="BH261" s="178"/>
      <c r="BI261" s="24"/>
      <c r="BJ261" s="24"/>
      <c r="BK261" s="24"/>
      <c r="BL261" s="24"/>
      <c r="BM261" s="24"/>
    </row>
    <row r="262" spans="1:65" ht="14.25" customHeight="1">
      <c r="A262" s="15">
        <f t="shared" si="88"/>
        <v>127</v>
      </c>
      <c r="B262" s="19" t="s">
        <v>205</v>
      </c>
      <c r="C262" s="179" t="s">
        <v>42</v>
      </c>
      <c r="D262" s="130">
        <v>6.3620000000000001</v>
      </c>
      <c r="E262" s="130">
        <f>D262*4</f>
        <v>25.448</v>
      </c>
      <c r="F262" s="130">
        <f>E262*8</f>
        <v>203.584</v>
      </c>
      <c r="G262" s="130"/>
      <c r="H262" s="180"/>
      <c r="I262" s="19"/>
      <c r="J262" s="19"/>
      <c r="K262" s="181"/>
      <c r="L262" s="173">
        <v>2.25</v>
      </c>
      <c r="M262" s="15">
        <v>2.1880000000000002</v>
      </c>
      <c r="N262" s="15">
        <v>2E-3</v>
      </c>
      <c r="O262" s="15">
        <v>0.183</v>
      </c>
      <c r="P262" s="175">
        <f t="shared" si="80"/>
        <v>4.6230000000000002</v>
      </c>
      <c r="Q262" s="173">
        <v>0.24399999999999999</v>
      </c>
      <c r="R262" s="15">
        <v>5.0000000000000001E-3</v>
      </c>
      <c r="S262" s="175">
        <f t="shared" si="81"/>
        <v>0.249</v>
      </c>
      <c r="T262" s="198"/>
      <c r="U262" s="176" t="s">
        <v>536</v>
      </c>
      <c r="V262" s="25"/>
      <c r="W262" s="15"/>
      <c r="X262" s="15">
        <v>41.44</v>
      </c>
      <c r="Y262" s="15">
        <v>0.8</v>
      </c>
      <c r="Z262" s="15">
        <v>7.8</v>
      </c>
      <c r="AA262" s="15">
        <f t="shared" si="82"/>
        <v>8.6</v>
      </c>
      <c r="AB262" s="15">
        <v>66.42</v>
      </c>
      <c r="AC262" s="15">
        <v>3321</v>
      </c>
      <c r="AD262" s="15">
        <v>73.73</v>
      </c>
      <c r="AE262" s="15">
        <v>301.5</v>
      </c>
      <c r="AF262" s="15"/>
      <c r="AG262" s="15">
        <v>206.46</v>
      </c>
      <c r="AH262" s="15"/>
      <c r="AI262" s="15"/>
      <c r="AJ262" s="15">
        <v>581.69000000000005</v>
      </c>
      <c r="AK262" s="15">
        <v>0.58169000000000004</v>
      </c>
      <c r="AL262" s="177"/>
      <c r="AM262" s="137" t="s">
        <v>20</v>
      </c>
      <c r="AN262" s="131" t="str">
        <f>AO262</f>
        <v>D</v>
      </c>
      <c r="AO262" s="131" t="s">
        <v>21</v>
      </c>
      <c r="AP262" s="349">
        <v>45594</v>
      </c>
      <c r="AQ262" s="349">
        <v>45598</v>
      </c>
      <c r="AR262" s="349">
        <v>45599</v>
      </c>
      <c r="AS262" s="530">
        <v>45600</v>
      </c>
      <c r="AT262" s="15" t="s">
        <v>561</v>
      </c>
      <c r="AU262" s="194"/>
      <c r="AV262" s="137" t="s">
        <v>20</v>
      </c>
      <c r="AW262" s="15" t="s">
        <v>6</v>
      </c>
      <c r="AX262" s="278">
        <f>AY262</f>
        <v>45658</v>
      </c>
      <c r="AY262" s="278">
        <f>BE262-1</f>
        <v>45658</v>
      </c>
      <c r="AZ262" s="182" t="s">
        <v>539</v>
      </c>
      <c r="BA262" s="183"/>
      <c r="BB262" s="137" t="s">
        <v>20</v>
      </c>
      <c r="BC262" s="131"/>
      <c r="BD262" s="131" t="s">
        <v>21</v>
      </c>
      <c r="BE262" s="279">
        <v>45659</v>
      </c>
      <c r="BF262" s="279">
        <v>45660</v>
      </c>
      <c r="BG262" s="17" t="s">
        <v>506</v>
      </c>
      <c r="BH262" s="187"/>
      <c r="BI262" s="137" t="s">
        <v>20</v>
      </c>
      <c r="BJ262" s="131">
        <f>BK262</f>
        <v>45744</v>
      </c>
      <c r="BK262" s="131">
        <v>45744</v>
      </c>
      <c r="BL262" s="25">
        <v>980</v>
      </c>
      <c r="BM262" s="24" t="s">
        <v>587</v>
      </c>
    </row>
    <row r="263" spans="1:65" ht="14.25" customHeight="1">
      <c r="A263" s="15" t="s">
        <v>0</v>
      </c>
      <c r="B263" s="19"/>
      <c r="C263" s="179"/>
      <c r="D263" s="130"/>
      <c r="E263" s="130"/>
      <c r="F263" s="130"/>
      <c r="G263" s="130"/>
      <c r="H263" s="180"/>
      <c r="I263" s="19"/>
      <c r="J263" s="19"/>
      <c r="K263" s="181"/>
      <c r="L263" s="173"/>
      <c r="M263" s="15"/>
      <c r="N263" s="15"/>
      <c r="O263" s="15"/>
      <c r="P263" s="175"/>
      <c r="Q263" s="173"/>
      <c r="R263" s="15"/>
      <c r="S263" s="175"/>
      <c r="T263" s="198"/>
      <c r="U263" s="198"/>
      <c r="V263" s="25">
        <v>353.11500000000001</v>
      </c>
      <c r="W263" s="15" t="s">
        <v>500</v>
      </c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77"/>
      <c r="AM263" s="15"/>
      <c r="AN263" s="24"/>
      <c r="AO263" s="24"/>
      <c r="AP263" s="24"/>
      <c r="AQ263" s="24"/>
      <c r="AR263" s="24"/>
      <c r="AS263" s="25"/>
      <c r="AT263" s="25"/>
      <c r="AU263" s="178"/>
      <c r="AV263" s="15"/>
      <c r="AW263" s="24"/>
      <c r="AX263" s="278"/>
      <c r="AY263" s="278"/>
      <c r="AZ263" s="24"/>
      <c r="BA263" s="178"/>
      <c r="BB263" s="24"/>
      <c r="BC263" s="24"/>
      <c r="BD263" s="24"/>
      <c r="BE263" s="24"/>
      <c r="BF263" s="24"/>
      <c r="BG263" s="24"/>
      <c r="BH263" s="178"/>
      <c r="BI263" s="24"/>
      <c r="BJ263" s="24"/>
      <c r="BK263" s="24"/>
      <c r="BL263" s="24"/>
      <c r="BM263" s="24"/>
    </row>
    <row r="264" spans="1:65" ht="14.25" customHeight="1">
      <c r="A264" s="15">
        <f t="shared" si="88"/>
        <v>128</v>
      </c>
      <c r="B264" s="19" t="s">
        <v>206</v>
      </c>
      <c r="C264" s="179" t="s">
        <v>37</v>
      </c>
      <c r="D264" s="130">
        <v>6.992</v>
      </c>
      <c r="E264" s="130">
        <f>D264*4</f>
        <v>27.968</v>
      </c>
      <c r="F264" s="130">
        <f>E264*8</f>
        <v>223.744</v>
      </c>
      <c r="G264" s="130"/>
      <c r="H264" s="180"/>
      <c r="I264" s="19"/>
      <c r="J264" s="19"/>
      <c r="K264" s="181"/>
      <c r="L264" s="173">
        <v>2.6070000000000002</v>
      </c>
      <c r="M264" s="15">
        <v>2.657</v>
      </c>
      <c r="N264" s="15">
        <v>2E-3</v>
      </c>
      <c r="O264" s="15">
        <v>0.21299999999999999</v>
      </c>
      <c r="P264" s="175">
        <f t="shared" si="80"/>
        <v>5.4790000000000001</v>
      </c>
      <c r="Q264" s="173">
        <v>0.24399999999999999</v>
      </c>
      <c r="R264" s="15">
        <v>5.0000000000000001E-3</v>
      </c>
      <c r="S264" s="175">
        <f t="shared" si="81"/>
        <v>0.249</v>
      </c>
      <c r="T264" s="198"/>
      <c r="U264" s="176" t="s">
        <v>536</v>
      </c>
      <c r="V264" s="25"/>
      <c r="W264" s="15"/>
      <c r="X264" s="15">
        <v>41.44</v>
      </c>
      <c r="Y264" s="15">
        <v>0.8</v>
      </c>
      <c r="Z264" s="15">
        <v>7.8</v>
      </c>
      <c r="AA264" s="15">
        <f t="shared" si="82"/>
        <v>8.6</v>
      </c>
      <c r="AB264" s="15">
        <v>66.42</v>
      </c>
      <c r="AC264" s="15">
        <v>3321</v>
      </c>
      <c r="AD264" s="15">
        <v>73.73</v>
      </c>
      <c r="AE264" s="15">
        <v>301.5</v>
      </c>
      <c r="AF264" s="15"/>
      <c r="AG264" s="15">
        <v>206.46</v>
      </c>
      <c r="AH264" s="15"/>
      <c r="AI264" s="15"/>
      <c r="AJ264" s="15">
        <v>581.69000000000005</v>
      </c>
      <c r="AK264" s="15">
        <v>0.58169000000000004</v>
      </c>
      <c r="AL264" s="177"/>
      <c r="AM264" s="137" t="s">
        <v>20</v>
      </c>
      <c r="AN264" s="131" t="str">
        <f>AO264</f>
        <v>D</v>
      </c>
      <c r="AO264" s="131" t="s">
        <v>21</v>
      </c>
      <c r="AP264" s="349">
        <v>45526</v>
      </c>
      <c r="AQ264" s="349">
        <v>45579</v>
      </c>
      <c r="AR264" s="349">
        <v>45580</v>
      </c>
      <c r="AS264" s="530">
        <v>45583</v>
      </c>
      <c r="AT264" s="25" t="s">
        <v>591</v>
      </c>
      <c r="AU264" s="183"/>
      <c r="AV264" s="137" t="s">
        <v>20</v>
      </c>
      <c r="AW264" s="15" t="s">
        <v>6</v>
      </c>
      <c r="AX264" s="278">
        <f>AY264</f>
        <v>45659</v>
      </c>
      <c r="AY264" s="278">
        <f>BE264-1</f>
        <v>45659</v>
      </c>
      <c r="AZ264" s="182" t="s">
        <v>539</v>
      </c>
      <c r="BA264" s="183"/>
      <c r="BB264" s="137" t="s">
        <v>20</v>
      </c>
      <c r="BC264" s="131"/>
      <c r="BD264" s="131" t="s">
        <v>21</v>
      </c>
      <c r="BE264" s="279">
        <f>BF264-2</f>
        <v>45660</v>
      </c>
      <c r="BF264" s="279">
        <v>45662</v>
      </c>
      <c r="BG264" s="17" t="s">
        <v>506</v>
      </c>
      <c r="BH264" s="188"/>
      <c r="BI264" s="137" t="s">
        <v>20</v>
      </c>
      <c r="BJ264" s="131">
        <f>BK264</f>
        <v>45750</v>
      </c>
      <c r="BK264" s="131">
        <v>45750</v>
      </c>
      <c r="BL264" s="25">
        <v>1330</v>
      </c>
      <c r="BM264" s="24" t="s">
        <v>587</v>
      </c>
    </row>
    <row r="265" spans="1:65" ht="14.25" customHeight="1">
      <c r="A265" s="15" t="s">
        <v>0</v>
      </c>
      <c r="B265" s="19"/>
      <c r="C265" s="179"/>
      <c r="D265" s="130"/>
      <c r="E265" s="130"/>
      <c r="F265" s="130"/>
      <c r="G265" s="130"/>
      <c r="H265" s="180"/>
      <c r="I265" s="19"/>
      <c r="J265" s="19"/>
      <c r="K265" s="181"/>
      <c r="L265" s="173"/>
      <c r="M265" s="15"/>
      <c r="N265" s="15"/>
      <c r="O265" s="15"/>
      <c r="P265" s="175"/>
      <c r="Q265" s="173"/>
      <c r="R265" s="15"/>
      <c r="S265" s="175"/>
      <c r="T265" s="198"/>
      <c r="U265" s="198"/>
      <c r="V265" s="25">
        <v>374.20100000000002</v>
      </c>
      <c r="W265" s="15" t="s">
        <v>500</v>
      </c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77"/>
      <c r="AM265" s="15"/>
      <c r="AN265" s="24"/>
      <c r="AO265" s="24"/>
      <c r="AP265" s="24"/>
      <c r="AQ265" s="24"/>
      <c r="AR265" s="24"/>
      <c r="AS265" s="25"/>
      <c r="AT265" s="25"/>
      <c r="AU265" s="178"/>
      <c r="AV265" s="15"/>
      <c r="AW265" s="24"/>
      <c r="AX265" s="278"/>
      <c r="AY265" s="278"/>
      <c r="AZ265" s="24"/>
      <c r="BA265" s="178"/>
      <c r="BB265" s="24"/>
      <c r="BC265" s="24"/>
      <c r="BD265" s="24"/>
      <c r="BE265" s="24"/>
      <c r="BF265" s="24"/>
      <c r="BG265" s="24"/>
      <c r="BH265" s="178"/>
      <c r="BI265" s="24"/>
      <c r="BJ265" s="24"/>
      <c r="BK265" s="24"/>
      <c r="BL265" s="24"/>
      <c r="BM265" s="24"/>
    </row>
    <row r="266" spans="1:65" ht="14.25" customHeight="1">
      <c r="A266" s="15">
        <f t="shared" si="88"/>
        <v>129</v>
      </c>
      <c r="B266" s="19" t="s">
        <v>207</v>
      </c>
      <c r="C266" s="179" t="s">
        <v>37</v>
      </c>
      <c r="D266" s="130">
        <v>6.992</v>
      </c>
      <c r="E266" s="130">
        <f>D266*4</f>
        <v>27.968</v>
      </c>
      <c r="F266" s="130">
        <f>E266*8</f>
        <v>223.744</v>
      </c>
      <c r="G266" s="130"/>
      <c r="H266" s="180"/>
      <c r="I266" s="19"/>
      <c r="J266" s="19"/>
      <c r="K266" s="181"/>
      <c r="L266" s="173">
        <v>2.6070000000000002</v>
      </c>
      <c r="M266" s="15">
        <v>2.657</v>
      </c>
      <c r="N266" s="15">
        <v>2E-3</v>
      </c>
      <c r="O266" s="15">
        <v>0.21299999999999999</v>
      </c>
      <c r="P266" s="175">
        <f t="shared" si="80"/>
        <v>5.4790000000000001</v>
      </c>
      <c r="Q266" s="173">
        <v>0.24399999999999999</v>
      </c>
      <c r="R266" s="15">
        <v>5.0000000000000001E-3</v>
      </c>
      <c r="S266" s="175">
        <f t="shared" si="81"/>
        <v>0.249</v>
      </c>
      <c r="T266" s="198"/>
      <c r="U266" s="176" t="s">
        <v>536</v>
      </c>
      <c r="V266" s="25"/>
      <c r="W266" s="15"/>
      <c r="X266" s="15">
        <v>85.44</v>
      </c>
      <c r="Y266" s="15">
        <v>1.51</v>
      </c>
      <c r="Z266" s="15">
        <v>11.15</v>
      </c>
      <c r="AA266" s="15">
        <f t="shared" si="82"/>
        <v>12.66</v>
      </c>
      <c r="AB266" s="15">
        <v>96.573400000000021</v>
      </c>
      <c r="AC266" s="15">
        <v>4828.670000000001</v>
      </c>
      <c r="AD266" s="15">
        <v>63.93</v>
      </c>
      <c r="AE266" s="15">
        <v>524.79</v>
      </c>
      <c r="AF266" s="15"/>
      <c r="AG266" s="15">
        <v>100.6</v>
      </c>
      <c r="AH266" s="15">
        <v>157.18</v>
      </c>
      <c r="AI266" s="15"/>
      <c r="AJ266" s="15">
        <v>846.5</v>
      </c>
      <c r="AK266" s="15">
        <v>0.84650000000000003</v>
      </c>
      <c r="AL266" s="177"/>
      <c r="AM266" s="137" t="s">
        <v>20</v>
      </c>
      <c r="AN266" s="131" t="str">
        <f>AO266</f>
        <v>D</v>
      </c>
      <c r="AO266" s="131" t="s">
        <v>21</v>
      </c>
      <c r="AP266" s="349">
        <v>45603</v>
      </c>
      <c r="AQ266" s="349">
        <f t="shared" ref="AQ266:AR266" si="92">AR266-2</f>
        <v>45606</v>
      </c>
      <c r="AR266" s="349">
        <f t="shared" si="92"/>
        <v>45608</v>
      </c>
      <c r="AS266" s="530">
        <v>45610</v>
      </c>
      <c r="AT266" s="15" t="s">
        <v>561</v>
      </c>
      <c r="AU266" s="194"/>
      <c r="AV266" s="137" t="s">
        <v>20</v>
      </c>
      <c r="AW266" s="15" t="s">
        <v>6</v>
      </c>
      <c r="AX266" s="278">
        <f>AY266</f>
        <v>45663</v>
      </c>
      <c r="AY266" s="278">
        <v>45663</v>
      </c>
      <c r="AZ266" s="182" t="s">
        <v>539</v>
      </c>
      <c r="BA266" s="183"/>
      <c r="BB266" s="137" t="s">
        <v>20</v>
      </c>
      <c r="BC266" s="131"/>
      <c r="BD266" s="131" t="s">
        <v>21</v>
      </c>
      <c r="BE266" s="279">
        <f>BF266-1</f>
        <v>45664</v>
      </c>
      <c r="BF266" s="279">
        <v>45665</v>
      </c>
      <c r="BG266" s="17" t="s">
        <v>506</v>
      </c>
      <c r="BH266" s="187"/>
      <c r="BI266" s="137" t="s">
        <v>20</v>
      </c>
      <c r="BJ266" s="131">
        <f>BK266</f>
        <v>45751</v>
      </c>
      <c r="BK266" s="131">
        <v>45751</v>
      </c>
      <c r="BL266" s="25">
        <v>1330</v>
      </c>
      <c r="BM266" s="24" t="s">
        <v>587</v>
      </c>
    </row>
    <row r="267" spans="1:65" ht="14.25" customHeight="1">
      <c r="A267" s="15" t="s">
        <v>0</v>
      </c>
      <c r="B267" s="19"/>
      <c r="C267" s="179"/>
      <c r="D267" s="130"/>
      <c r="E267" s="130"/>
      <c r="F267" s="130"/>
      <c r="G267" s="130"/>
      <c r="H267" s="180"/>
      <c r="I267" s="19"/>
      <c r="J267" s="19"/>
      <c r="K267" s="181"/>
      <c r="L267" s="173"/>
      <c r="M267" s="15"/>
      <c r="N267" s="15"/>
      <c r="O267" s="15"/>
      <c r="P267" s="175"/>
      <c r="Q267" s="173"/>
      <c r="R267" s="15"/>
      <c r="S267" s="175"/>
      <c r="T267" s="198"/>
      <c r="U267" s="198"/>
      <c r="V267" s="25">
        <v>341.32100000000003</v>
      </c>
      <c r="W267" s="15" t="s">
        <v>537</v>
      </c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77"/>
      <c r="AM267" s="15"/>
      <c r="AN267" s="24"/>
      <c r="AO267" s="24"/>
      <c r="AP267" s="24"/>
      <c r="AQ267" s="24"/>
      <c r="AR267" s="24"/>
      <c r="AS267" s="25"/>
      <c r="AT267" s="25"/>
      <c r="AU267" s="178"/>
      <c r="AV267" s="15"/>
      <c r="AW267" s="24"/>
      <c r="AX267" s="278"/>
      <c r="AY267" s="278"/>
      <c r="AZ267" s="24"/>
      <c r="BA267" s="178"/>
      <c r="BB267" s="24"/>
      <c r="BC267" s="24"/>
      <c r="BD267" s="24"/>
      <c r="BE267" s="24"/>
      <c r="BF267" s="24"/>
      <c r="BG267" s="24"/>
      <c r="BH267" s="178"/>
      <c r="BI267" s="24"/>
      <c r="BJ267" s="24"/>
      <c r="BK267" s="24"/>
      <c r="BL267" s="24"/>
      <c r="BM267" s="24"/>
    </row>
    <row r="268" spans="1:65" ht="14.25" customHeight="1">
      <c r="A268" s="15">
        <f t="shared" si="88"/>
        <v>130</v>
      </c>
      <c r="B268" s="19" t="s">
        <v>208</v>
      </c>
      <c r="C268" s="179" t="s">
        <v>56</v>
      </c>
      <c r="D268" s="130">
        <v>7.6219999999999999</v>
      </c>
      <c r="E268" s="130">
        <f>D268*4</f>
        <v>30.488</v>
      </c>
      <c r="F268" s="130">
        <f>E268*8</f>
        <v>243.904</v>
      </c>
      <c r="G268" s="130"/>
      <c r="H268" s="180"/>
      <c r="I268" s="19"/>
      <c r="J268" s="19"/>
      <c r="K268" s="181"/>
      <c r="L268" s="173">
        <v>2.6789999999999998</v>
      </c>
      <c r="M268" s="15">
        <v>3.133</v>
      </c>
      <c r="N268" s="15">
        <v>2.5000000000000001E-3</v>
      </c>
      <c r="O268" s="15">
        <v>0.23299999999999998</v>
      </c>
      <c r="P268" s="175">
        <f t="shared" ref="P268:P330" si="93">SUM(L268:O268)</f>
        <v>6.0474999999999994</v>
      </c>
      <c r="Q268" s="173">
        <v>0.24399999999999999</v>
      </c>
      <c r="R268" s="15">
        <v>5.0000000000000001E-3</v>
      </c>
      <c r="S268" s="175">
        <f t="shared" ref="S268:S328" si="94">SUM(Q268:R268)</f>
        <v>0.249</v>
      </c>
      <c r="T268" s="198"/>
      <c r="U268" s="176" t="s">
        <v>536</v>
      </c>
      <c r="V268" s="25"/>
      <c r="W268" s="15"/>
      <c r="X268" s="15">
        <v>85.44</v>
      </c>
      <c r="Y268" s="15">
        <v>1.51</v>
      </c>
      <c r="Z268" s="15">
        <v>11.15</v>
      </c>
      <c r="AA268" s="15">
        <f t="shared" ref="AA268:AA328" si="95">Y268+Z268</f>
        <v>12.66</v>
      </c>
      <c r="AB268" s="15">
        <v>96.573400000000021</v>
      </c>
      <c r="AC268" s="15">
        <v>4828.670000000001</v>
      </c>
      <c r="AD268" s="15">
        <v>63.93</v>
      </c>
      <c r="AE268" s="15">
        <v>524.79</v>
      </c>
      <c r="AF268" s="15"/>
      <c r="AG268" s="15">
        <v>100.6</v>
      </c>
      <c r="AH268" s="15">
        <v>157.18</v>
      </c>
      <c r="AI268" s="15"/>
      <c r="AJ268" s="15">
        <v>846.5</v>
      </c>
      <c r="AK268" s="15">
        <v>0.84650000000000003</v>
      </c>
      <c r="AL268" s="177"/>
      <c r="AM268" s="137" t="s">
        <v>20</v>
      </c>
      <c r="AN268" s="131" t="str">
        <f>AO268</f>
        <v>D</v>
      </c>
      <c r="AO268" s="131" t="s">
        <v>21</v>
      </c>
      <c r="AP268" s="349">
        <f t="shared" ref="AP268:AQ268" si="96">AQ268-1</f>
        <v>45612</v>
      </c>
      <c r="AQ268" s="349">
        <f t="shared" si="96"/>
        <v>45613</v>
      </c>
      <c r="AR268" s="349">
        <f>AS268-2</f>
        <v>45614</v>
      </c>
      <c r="AS268" s="530">
        <v>45616</v>
      </c>
      <c r="AT268" s="15" t="s">
        <v>561</v>
      </c>
      <c r="AU268" s="194"/>
      <c r="AV268" s="137" t="s">
        <v>20</v>
      </c>
      <c r="AW268" s="15" t="s">
        <v>6</v>
      </c>
      <c r="AX268" s="278">
        <v>45623</v>
      </c>
      <c r="AY268" s="278">
        <v>45623</v>
      </c>
      <c r="AZ268" s="19" t="s">
        <v>561</v>
      </c>
      <c r="BA268" s="194"/>
      <c r="BB268" s="137" t="s">
        <v>20</v>
      </c>
      <c r="BC268" s="131"/>
      <c r="BD268" s="131" t="s">
        <v>21</v>
      </c>
      <c r="BE268" s="279">
        <f>BF268-2</f>
        <v>45671</v>
      </c>
      <c r="BF268" s="279">
        <v>45673</v>
      </c>
      <c r="BG268" s="17" t="s">
        <v>506</v>
      </c>
      <c r="BH268" s="189"/>
      <c r="BI268" s="137" t="s">
        <v>20</v>
      </c>
      <c r="BJ268" s="131">
        <f>BK268</f>
        <v>45763</v>
      </c>
      <c r="BK268" s="131">
        <v>45763</v>
      </c>
      <c r="BL268" s="25">
        <v>1545</v>
      </c>
      <c r="BM268" s="24" t="s">
        <v>587</v>
      </c>
    </row>
    <row r="269" spans="1:65" ht="14.25" customHeight="1">
      <c r="A269" s="15" t="s">
        <v>0</v>
      </c>
      <c r="B269" s="19"/>
      <c r="C269" s="179"/>
      <c r="D269" s="130"/>
      <c r="E269" s="130"/>
      <c r="F269" s="130"/>
      <c r="G269" s="130"/>
      <c r="H269" s="180"/>
      <c r="I269" s="19"/>
      <c r="J269" s="19"/>
      <c r="K269" s="181"/>
      <c r="L269" s="173"/>
      <c r="M269" s="15"/>
      <c r="N269" s="15"/>
      <c r="O269" s="15"/>
      <c r="P269" s="175"/>
      <c r="Q269" s="173"/>
      <c r="R269" s="15"/>
      <c r="S269" s="175"/>
      <c r="T269" s="198"/>
      <c r="U269" s="198"/>
      <c r="V269" s="25">
        <v>347.95800000000003</v>
      </c>
      <c r="W269" s="15" t="s">
        <v>537</v>
      </c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77"/>
      <c r="AM269" s="15"/>
      <c r="AN269" s="24"/>
      <c r="AO269" s="24"/>
      <c r="AP269" s="24"/>
      <c r="AQ269" s="24"/>
      <c r="AR269" s="24"/>
      <c r="AS269" s="25"/>
      <c r="AT269" s="25"/>
      <c r="AU269" s="178"/>
      <c r="AV269" s="15"/>
      <c r="AW269" s="24"/>
      <c r="AX269" s="278"/>
      <c r="AY269" s="278"/>
      <c r="AZ269" s="24"/>
      <c r="BA269" s="178"/>
      <c r="BB269" s="24"/>
      <c r="BC269" s="24"/>
      <c r="BD269" s="24"/>
      <c r="BE269" s="24"/>
      <c r="BF269" s="24"/>
      <c r="BG269" s="24"/>
      <c r="BH269" s="178"/>
      <c r="BI269" s="24"/>
      <c r="BJ269" s="24"/>
      <c r="BK269" s="24"/>
      <c r="BL269" s="24"/>
      <c r="BM269" s="24"/>
    </row>
    <row r="270" spans="1:65" ht="14.25" customHeight="1">
      <c r="A270" s="15">
        <f t="shared" si="88"/>
        <v>131</v>
      </c>
      <c r="B270" s="19" t="s">
        <v>209</v>
      </c>
      <c r="C270" s="179" t="s">
        <v>37</v>
      </c>
      <c r="D270" s="130">
        <v>6.992</v>
      </c>
      <c r="E270" s="130">
        <f>D270*4</f>
        <v>27.968</v>
      </c>
      <c r="F270" s="130">
        <f>E270*8</f>
        <v>223.744</v>
      </c>
      <c r="G270" s="130"/>
      <c r="H270" s="180"/>
      <c r="I270" s="19"/>
      <c r="J270" s="19"/>
      <c r="K270" s="181"/>
      <c r="L270" s="173">
        <v>2.6070000000000002</v>
      </c>
      <c r="M270" s="15">
        <v>2.657</v>
      </c>
      <c r="N270" s="15">
        <v>2E-3</v>
      </c>
      <c r="O270" s="15">
        <v>0.21299999999999999</v>
      </c>
      <c r="P270" s="175">
        <f t="shared" si="93"/>
        <v>5.4790000000000001</v>
      </c>
      <c r="Q270" s="173">
        <v>0.24399999999999999</v>
      </c>
      <c r="R270" s="15">
        <v>5.0000000000000001E-3</v>
      </c>
      <c r="S270" s="175">
        <f t="shared" si="94"/>
        <v>0.249</v>
      </c>
      <c r="T270" s="198"/>
      <c r="U270" s="176" t="s">
        <v>536</v>
      </c>
      <c r="V270" s="25"/>
      <c r="W270" s="15"/>
      <c r="X270" s="15">
        <v>41.44</v>
      </c>
      <c r="Y270" s="15">
        <v>0.8</v>
      </c>
      <c r="Z270" s="15">
        <v>7.8</v>
      </c>
      <c r="AA270" s="15">
        <f t="shared" si="95"/>
        <v>8.6</v>
      </c>
      <c r="AB270" s="15">
        <v>66.42</v>
      </c>
      <c r="AC270" s="15">
        <v>3321</v>
      </c>
      <c r="AD270" s="15">
        <v>73.73</v>
      </c>
      <c r="AE270" s="15">
        <v>301.5</v>
      </c>
      <c r="AF270" s="15"/>
      <c r="AG270" s="15">
        <v>206.46</v>
      </c>
      <c r="AH270" s="15"/>
      <c r="AI270" s="15"/>
      <c r="AJ270" s="15">
        <v>581.69000000000005</v>
      </c>
      <c r="AK270" s="15">
        <v>0.58169000000000004</v>
      </c>
      <c r="AL270" s="177"/>
      <c r="AM270" s="137" t="s">
        <v>20</v>
      </c>
      <c r="AN270" s="131" t="str">
        <f>AO270</f>
        <v>D</v>
      </c>
      <c r="AO270" s="131" t="s">
        <v>21</v>
      </c>
      <c r="AP270" s="349">
        <f t="shared" ref="AP270:AR270" si="97">AQ270-2</f>
        <v>45620</v>
      </c>
      <c r="AQ270" s="349">
        <f t="shared" si="97"/>
        <v>45622</v>
      </c>
      <c r="AR270" s="349">
        <f t="shared" si="97"/>
        <v>45624</v>
      </c>
      <c r="AS270" s="530">
        <v>45626</v>
      </c>
      <c r="AT270" s="15" t="s">
        <v>561</v>
      </c>
      <c r="AU270" s="194"/>
      <c r="AV270" s="137" t="s">
        <v>20</v>
      </c>
      <c r="AW270" s="15" t="s">
        <v>6</v>
      </c>
      <c r="AX270" s="278">
        <v>45628</v>
      </c>
      <c r="AY270" s="278">
        <v>45628</v>
      </c>
      <c r="AZ270" s="19" t="s">
        <v>561</v>
      </c>
      <c r="BA270" s="194"/>
      <c r="BB270" s="137" t="s">
        <v>20</v>
      </c>
      <c r="BC270" s="131"/>
      <c r="BD270" s="131" t="s">
        <v>21</v>
      </c>
      <c r="BE270" s="279">
        <v>45666</v>
      </c>
      <c r="BF270" s="279">
        <v>45667</v>
      </c>
      <c r="BG270" s="17" t="s">
        <v>506</v>
      </c>
      <c r="BH270" s="187"/>
      <c r="BI270" s="137" t="s">
        <v>20</v>
      </c>
      <c r="BJ270" s="131">
        <v>45773</v>
      </c>
      <c r="BK270" s="131">
        <v>45773</v>
      </c>
      <c r="BL270" s="25">
        <v>1330</v>
      </c>
      <c r="BM270" s="24" t="s">
        <v>587</v>
      </c>
    </row>
    <row r="271" spans="1:65" ht="14.25" customHeight="1">
      <c r="A271" s="15" t="s">
        <v>0</v>
      </c>
      <c r="B271" s="19"/>
      <c r="C271" s="179"/>
      <c r="D271" s="130"/>
      <c r="E271" s="130"/>
      <c r="F271" s="130"/>
      <c r="G271" s="130"/>
      <c r="H271" s="180"/>
      <c r="I271" s="19"/>
      <c r="J271" s="19"/>
      <c r="K271" s="181"/>
      <c r="L271" s="173"/>
      <c r="M271" s="15"/>
      <c r="N271" s="15"/>
      <c r="O271" s="15"/>
      <c r="P271" s="175"/>
      <c r="Q271" s="173"/>
      <c r="R271" s="15"/>
      <c r="S271" s="175"/>
      <c r="T271" s="198"/>
      <c r="U271" s="198"/>
      <c r="V271" s="25">
        <v>384.02</v>
      </c>
      <c r="W271" s="15" t="s">
        <v>500</v>
      </c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77"/>
      <c r="AM271" s="15"/>
      <c r="AN271" s="24"/>
      <c r="AO271" s="24"/>
      <c r="AP271" s="24"/>
      <c r="AQ271" s="24"/>
      <c r="AR271" s="24"/>
      <c r="AS271" s="25"/>
      <c r="AT271" s="25"/>
      <c r="AU271" s="178"/>
      <c r="AV271" s="15"/>
      <c r="AW271" s="24"/>
      <c r="AX271" s="278"/>
      <c r="AY271" s="278"/>
      <c r="AZ271" s="24"/>
      <c r="BA271" s="178"/>
      <c r="BB271" s="24"/>
      <c r="BC271" s="24"/>
      <c r="BD271" s="24"/>
      <c r="BE271" s="24"/>
      <c r="BF271" s="24"/>
      <c r="BG271" s="24"/>
      <c r="BH271" s="178"/>
      <c r="BI271" s="24"/>
      <c r="BJ271" s="24"/>
      <c r="BK271" s="24"/>
      <c r="BL271" s="24"/>
      <c r="BM271" s="24"/>
    </row>
    <row r="272" spans="1:65" ht="14.25" customHeight="1">
      <c r="A272" s="15">
        <f t="shared" si="88"/>
        <v>132</v>
      </c>
      <c r="B272" s="19" t="s">
        <v>210</v>
      </c>
      <c r="C272" s="179" t="s">
        <v>37</v>
      </c>
      <c r="D272" s="130">
        <v>6.992</v>
      </c>
      <c r="E272" s="130">
        <f>D272*4</f>
        <v>27.968</v>
      </c>
      <c r="F272" s="130">
        <f>E272*8</f>
        <v>223.744</v>
      </c>
      <c r="G272" s="130"/>
      <c r="H272" s="180"/>
      <c r="I272" s="19"/>
      <c r="J272" s="19"/>
      <c r="K272" s="181"/>
      <c r="L272" s="173">
        <v>2.6070000000000002</v>
      </c>
      <c r="M272" s="15">
        <v>2.657</v>
      </c>
      <c r="N272" s="15">
        <v>2E-3</v>
      </c>
      <c r="O272" s="15">
        <v>0.21299999999999999</v>
      </c>
      <c r="P272" s="175">
        <f t="shared" si="93"/>
        <v>5.4790000000000001</v>
      </c>
      <c r="Q272" s="173">
        <v>0.24399999999999999</v>
      </c>
      <c r="R272" s="15">
        <v>5.0000000000000001E-3</v>
      </c>
      <c r="S272" s="175">
        <f t="shared" si="94"/>
        <v>0.249</v>
      </c>
      <c r="T272" s="198"/>
      <c r="U272" s="176" t="s">
        <v>536</v>
      </c>
      <c r="V272" s="25"/>
      <c r="W272" s="15"/>
      <c r="X272" s="15">
        <v>41.44</v>
      </c>
      <c r="Y272" s="15">
        <v>0.8</v>
      </c>
      <c r="Z272" s="15">
        <v>7.8</v>
      </c>
      <c r="AA272" s="15">
        <f t="shared" si="95"/>
        <v>8.6</v>
      </c>
      <c r="AB272" s="15">
        <v>66.42</v>
      </c>
      <c r="AC272" s="15">
        <v>3321</v>
      </c>
      <c r="AD272" s="15">
        <v>73.73</v>
      </c>
      <c r="AE272" s="15">
        <v>301.5</v>
      </c>
      <c r="AF272" s="15"/>
      <c r="AG272" s="15">
        <v>206.46</v>
      </c>
      <c r="AH272" s="15"/>
      <c r="AI272" s="15"/>
      <c r="AJ272" s="15">
        <v>581.69000000000005</v>
      </c>
      <c r="AK272" s="15">
        <v>0.58169000000000004</v>
      </c>
      <c r="AL272" s="177"/>
      <c r="AM272" s="137" t="s">
        <v>20</v>
      </c>
      <c r="AN272" s="131" t="str">
        <f>AO272</f>
        <v>D</v>
      </c>
      <c r="AO272" s="131" t="s">
        <v>21</v>
      </c>
      <c r="AP272" s="349">
        <v>45604</v>
      </c>
      <c r="AQ272" s="349">
        <f>AP272+11</f>
        <v>45615</v>
      </c>
      <c r="AR272" s="349">
        <f>AS272-4</f>
        <v>45618</v>
      </c>
      <c r="AS272" s="530">
        <v>45622</v>
      </c>
      <c r="AT272" s="15" t="s">
        <v>561</v>
      </c>
      <c r="AU272" s="194"/>
      <c r="AV272" s="137" t="s">
        <v>20</v>
      </c>
      <c r="AW272" s="15" t="s">
        <v>6</v>
      </c>
      <c r="AX272" s="278">
        <v>45627</v>
      </c>
      <c r="AY272" s="278">
        <v>45627</v>
      </c>
      <c r="AZ272" s="19" t="s">
        <v>561</v>
      </c>
      <c r="BA272" s="194"/>
      <c r="BB272" s="137" t="s">
        <v>20</v>
      </c>
      <c r="BC272" s="131"/>
      <c r="BD272" s="131" t="s">
        <v>21</v>
      </c>
      <c r="BE272" s="279">
        <v>45668</v>
      </c>
      <c r="BF272" s="279">
        <v>45669</v>
      </c>
      <c r="BG272" s="17" t="s">
        <v>506</v>
      </c>
      <c r="BH272" s="188"/>
      <c r="BI272" s="137" t="s">
        <v>20</v>
      </c>
      <c r="BJ272" s="131">
        <f>BK272-2</f>
        <v>45771</v>
      </c>
      <c r="BK272" s="131">
        <v>45773</v>
      </c>
      <c r="BL272" s="25">
        <v>1330</v>
      </c>
      <c r="BM272" s="24" t="s">
        <v>587</v>
      </c>
    </row>
    <row r="273" spans="1:65" ht="14.25" customHeight="1">
      <c r="A273" s="15" t="s">
        <v>0</v>
      </c>
      <c r="B273" s="19"/>
      <c r="C273" s="179"/>
      <c r="D273" s="130"/>
      <c r="E273" s="130"/>
      <c r="F273" s="130"/>
      <c r="G273" s="130"/>
      <c r="H273" s="180"/>
      <c r="I273" s="19"/>
      <c r="J273" s="19"/>
      <c r="K273" s="181"/>
      <c r="L273" s="173"/>
      <c r="M273" s="15"/>
      <c r="N273" s="15"/>
      <c r="O273" s="15"/>
      <c r="P273" s="175"/>
      <c r="Q273" s="173"/>
      <c r="R273" s="15"/>
      <c r="S273" s="175"/>
      <c r="T273" s="198"/>
      <c r="U273" s="198"/>
      <c r="V273" s="25">
        <v>269.69400000000002</v>
      </c>
      <c r="W273" s="15" t="s">
        <v>500</v>
      </c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77"/>
      <c r="AM273" s="15"/>
      <c r="AN273" s="24"/>
      <c r="AO273" s="24"/>
      <c r="AP273" s="24"/>
      <c r="AQ273" s="24"/>
      <c r="AR273" s="24"/>
      <c r="AS273" s="25"/>
      <c r="AT273" s="25"/>
      <c r="AU273" s="178"/>
      <c r="AV273" s="15"/>
      <c r="AW273" s="24"/>
      <c r="AX273" s="278"/>
      <c r="AY273" s="278"/>
      <c r="AZ273" s="24"/>
      <c r="BA273" s="178"/>
      <c r="BB273" s="24"/>
      <c r="BC273" s="24"/>
      <c r="BD273" s="24"/>
      <c r="BE273" s="24"/>
      <c r="BF273" s="24"/>
      <c r="BG273" s="24"/>
      <c r="BH273" s="178"/>
      <c r="BI273" s="24"/>
      <c r="BJ273" s="24"/>
      <c r="BK273" s="24"/>
      <c r="BL273" s="24"/>
      <c r="BM273" s="24"/>
    </row>
    <row r="274" spans="1:65" ht="14.25" customHeight="1">
      <c r="A274" s="15">
        <f t="shared" si="88"/>
        <v>133</v>
      </c>
      <c r="B274" s="19" t="s">
        <v>211</v>
      </c>
      <c r="C274" s="179" t="s">
        <v>37</v>
      </c>
      <c r="D274" s="130">
        <v>6.992</v>
      </c>
      <c r="E274" s="130">
        <f>D274*4</f>
        <v>27.968</v>
      </c>
      <c r="F274" s="130">
        <f>E274*8</f>
        <v>223.744</v>
      </c>
      <c r="G274" s="130"/>
      <c r="H274" s="180"/>
      <c r="I274" s="19"/>
      <c r="J274" s="19"/>
      <c r="K274" s="181"/>
      <c r="L274" s="173">
        <v>2.6070000000000002</v>
      </c>
      <c r="M274" s="15">
        <v>2.657</v>
      </c>
      <c r="N274" s="15">
        <v>2E-3</v>
      </c>
      <c r="O274" s="15">
        <v>0.21299999999999999</v>
      </c>
      <c r="P274" s="175">
        <f t="shared" si="93"/>
        <v>5.4790000000000001</v>
      </c>
      <c r="Q274" s="173">
        <v>0.24399999999999999</v>
      </c>
      <c r="R274" s="15">
        <v>5.0000000000000001E-3</v>
      </c>
      <c r="S274" s="175">
        <f t="shared" si="94"/>
        <v>0.249</v>
      </c>
      <c r="T274" s="198"/>
      <c r="U274" s="176" t="s">
        <v>536</v>
      </c>
      <c r="V274" s="25"/>
      <c r="W274" s="15"/>
      <c r="X274" s="15">
        <v>41.44</v>
      </c>
      <c r="Y274" s="15">
        <v>0.8</v>
      </c>
      <c r="Z274" s="15">
        <v>7.8</v>
      </c>
      <c r="AA274" s="15">
        <f t="shared" si="95"/>
        <v>8.6</v>
      </c>
      <c r="AB274" s="15">
        <v>66.42</v>
      </c>
      <c r="AC274" s="15">
        <v>3321</v>
      </c>
      <c r="AD274" s="15">
        <v>73.73</v>
      </c>
      <c r="AE274" s="15">
        <v>301.5</v>
      </c>
      <c r="AF274" s="15"/>
      <c r="AG274" s="15">
        <v>206.46</v>
      </c>
      <c r="AH274" s="15"/>
      <c r="AI274" s="15"/>
      <c r="AJ274" s="15">
        <v>581.69000000000005</v>
      </c>
      <c r="AK274" s="15">
        <v>0.58169000000000004</v>
      </c>
      <c r="AL274" s="177"/>
      <c r="AM274" s="137" t="s">
        <v>20</v>
      </c>
      <c r="AN274" s="131" t="str">
        <f>AO274</f>
        <v>D</v>
      </c>
      <c r="AO274" s="131" t="s">
        <v>21</v>
      </c>
      <c r="AP274" s="349">
        <v>45589</v>
      </c>
      <c r="AQ274" s="349">
        <f>AR274-5</f>
        <v>45617</v>
      </c>
      <c r="AR274" s="349">
        <f>AS274-4</f>
        <v>45622</v>
      </c>
      <c r="AS274" s="530">
        <v>45626</v>
      </c>
      <c r="AT274" s="25" t="s">
        <v>591</v>
      </c>
      <c r="AU274" s="183"/>
      <c r="AV274" s="137" t="s">
        <v>20</v>
      </c>
      <c r="AW274" s="15" t="s">
        <v>6</v>
      </c>
      <c r="AX274" s="278">
        <f>AY274</f>
        <v>45667</v>
      </c>
      <c r="AY274" s="278">
        <v>45667</v>
      </c>
      <c r="AZ274" s="182" t="s">
        <v>539</v>
      </c>
      <c r="BA274" s="183"/>
      <c r="BB274" s="137" t="s">
        <v>20</v>
      </c>
      <c r="BC274" s="131"/>
      <c r="BD274" s="131" t="s">
        <v>21</v>
      </c>
      <c r="BE274" s="279">
        <v>45669</v>
      </c>
      <c r="BF274" s="279">
        <v>45670</v>
      </c>
      <c r="BG274" s="17" t="s">
        <v>506</v>
      </c>
      <c r="BH274" s="188"/>
      <c r="BI274" s="137" t="s">
        <v>20</v>
      </c>
      <c r="BJ274" s="131">
        <f>BK274-2</f>
        <v>45771</v>
      </c>
      <c r="BK274" s="131">
        <v>45773</v>
      </c>
      <c r="BL274" s="25">
        <v>1330</v>
      </c>
      <c r="BM274" s="24" t="s">
        <v>587</v>
      </c>
    </row>
    <row r="275" spans="1:65" ht="14.25" customHeight="1">
      <c r="A275" s="15" t="s">
        <v>0</v>
      </c>
      <c r="B275" s="19"/>
      <c r="C275" s="179"/>
      <c r="D275" s="130"/>
      <c r="E275" s="130"/>
      <c r="F275" s="130"/>
      <c r="G275" s="130"/>
      <c r="H275" s="180"/>
      <c r="I275" s="19"/>
      <c r="J275" s="19"/>
      <c r="K275" s="181"/>
      <c r="L275" s="173"/>
      <c r="M275" s="15"/>
      <c r="N275" s="15"/>
      <c r="O275" s="15"/>
      <c r="P275" s="175"/>
      <c r="Q275" s="173"/>
      <c r="R275" s="15"/>
      <c r="S275" s="175"/>
      <c r="T275" s="198"/>
      <c r="U275" s="198"/>
      <c r="V275" s="25">
        <v>394.041</v>
      </c>
      <c r="W275" s="15" t="s">
        <v>500</v>
      </c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77"/>
      <c r="AM275" s="15"/>
      <c r="AN275" s="24"/>
      <c r="AO275" s="24"/>
      <c r="AP275" s="24"/>
      <c r="AQ275" s="24"/>
      <c r="AR275" s="24"/>
      <c r="AS275" s="25"/>
      <c r="AT275" s="25"/>
      <c r="AU275" s="178"/>
      <c r="AV275" s="15"/>
      <c r="AW275" s="24"/>
      <c r="AX275" s="278"/>
      <c r="AY275" s="278"/>
      <c r="AZ275" s="24"/>
      <c r="BA275" s="178"/>
      <c r="BB275" s="24"/>
      <c r="BC275" s="24"/>
      <c r="BD275" s="24"/>
      <c r="BE275" s="24"/>
      <c r="BF275" s="24"/>
      <c r="BG275" s="24"/>
      <c r="BH275" s="178"/>
      <c r="BI275" s="24"/>
      <c r="BJ275" s="24"/>
      <c r="BK275" s="24"/>
      <c r="BL275" s="24"/>
      <c r="BM275" s="24"/>
    </row>
    <row r="276" spans="1:65" ht="14.25" customHeight="1">
      <c r="A276" s="15">
        <f t="shared" si="88"/>
        <v>134</v>
      </c>
      <c r="B276" s="19" t="s">
        <v>212</v>
      </c>
      <c r="C276" s="179" t="s">
        <v>37</v>
      </c>
      <c r="D276" s="130">
        <v>6.992</v>
      </c>
      <c r="E276" s="130">
        <f>D276*4</f>
        <v>27.968</v>
      </c>
      <c r="F276" s="130">
        <f>E276*8</f>
        <v>223.744</v>
      </c>
      <c r="G276" s="130"/>
      <c r="H276" s="180"/>
      <c r="I276" s="19"/>
      <c r="J276" s="19"/>
      <c r="K276" s="181"/>
      <c r="L276" s="173">
        <v>2.6070000000000002</v>
      </c>
      <c r="M276" s="15">
        <v>2.657</v>
      </c>
      <c r="N276" s="15">
        <v>2E-3</v>
      </c>
      <c r="O276" s="15">
        <v>0.21299999999999999</v>
      </c>
      <c r="P276" s="175">
        <f t="shared" si="93"/>
        <v>5.4790000000000001</v>
      </c>
      <c r="Q276" s="173">
        <v>0.24399999999999999</v>
      </c>
      <c r="R276" s="15">
        <v>5.0000000000000001E-3</v>
      </c>
      <c r="S276" s="175">
        <f t="shared" si="94"/>
        <v>0.249</v>
      </c>
      <c r="T276" s="198"/>
      <c r="U276" s="176" t="s">
        <v>536</v>
      </c>
      <c r="V276" s="25"/>
      <c r="W276" s="15"/>
      <c r="X276" s="16">
        <v>143.36000000000001</v>
      </c>
      <c r="Y276" s="16">
        <v>1.68</v>
      </c>
      <c r="Z276" s="16">
        <v>11.97</v>
      </c>
      <c r="AA276" s="16">
        <f t="shared" si="95"/>
        <v>13.65</v>
      </c>
      <c r="AB276" s="23">
        <f>+Y276*4.44+Z276*8.06</f>
        <v>103.93740000000001</v>
      </c>
      <c r="AC276" s="16">
        <f>+AB276*50</f>
        <v>5196.8700000000008</v>
      </c>
      <c r="AD276" s="16">
        <v>63.93</v>
      </c>
      <c r="AE276" s="16">
        <v>535.23</v>
      </c>
      <c r="AF276" s="16"/>
      <c r="AG276" s="16">
        <v>100.6</v>
      </c>
      <c r="AH276" s="16">
        <v>157.18</v>
      </c>
      <c r="AI276" s="16"/>
      <c r="AJ276" s="16">
        <f>SUM(AD276:AI276)</f>
        <v>856.94</v>
      </c>
      <c r="AK276" s="15">
        <f>+AJ276/1000</f>
        <v>0.85694000000000004</v>
      </c>
      <c r="AL276" s="177"/>
      <c r="AM276" s="137" t="s">
        <v>20</v>
      </c>
      <c r="AN276" s="131" t="str">
        <f>AO276</f>
        <v>D</v>
      </c>
      <c r="AO276" s="131" t="s">
        <v>21</v>
      </c>
      <c r="AP276" s="349">
        <v>45584</v>
      </c>
      <c r="AQ276" s="349">
        <v>45587</v>
      </c>
      <c r="AR276" s="349">
        <v>45585</v>
      </c>
      <c r="AS276" s="530">
        <v>45589</v>
      </c>
      <c r="AT276" s="25" t="s">
        <v>591</v>
      </c>
      <c r="AU276" s="183"/>
      <c r="AV276" s="137" t="s">
        <v>20</v>
      </c>
      <c r="AW276" s="15" t="s">
        <v>544</v>
      </c>
      <c r="AX276" s="278">
        <f>AY276</f>
        <v>45667</v>
      </c>
      <c r="AY276" s="278">
        <v>45667</v>
      </c>
      <c r="AZ276" s="182" t="s">
        <v>591</v>
      </c>
      <c r="BA276" s="183"/>
      <c r="BB276" s="137" t="s">
        <v>20</v>
      </c>
      <c r="BC276" s="131"/>
      <c r="BD276" s="131" t="s">
        <v>21</v>
      </c>
      <c r="BE276" s="279">
        <f>BF276-1</f>
        <v>45685</v>
      </c>
      <c r="BF276" s="279">
        <v>45686</v>
      </c>
      <c r="BG276" s="17" t="s">
        <v>506</v>
      </c>
      <c r="BH276" s="188"/>
      <c r="BI276" s="137" t="s">
        <v>20</v>
      </c>
      <c r="BJ276" s="131">
        <f>BK276-2</f>
        <v>45771</v>
      </c>
      <c r="BK276" s="131">
        <v>45773</v>
      </c>
      <c r="BL276" s="25">
        <v>1330</v>
      </c>
      <c r="BM276" s="24" t="s">
        <v>587</v>
      </c>
    </row>
    <row r="277" spans="1:65" ht="14.25" customHeight="1">
      <c r="A277" s="15" t="s">
        <v>0</v>
      </c>
      <c r="B277" s="19"/>
      <c r="C277" s="179"/>
      <c r="D277" s="130"/>
      <c r="E277" s="130"/>
      <c r="F277" s="130"/>
      <c r="G277" s="130"/>
      <c r="H277" s="180"/>
      <c r="I277" s="19"/>
      <c r="J277" s="19"/>
      <c r="K277" s="181"/>
      <c r="L277" s="173"/>
      <c r="M277" s="15"/>
      <c r="N277" s="15"/>
      <c r="O277" s="15"/>
      <c r="P277" s="175"/>
      <c r="Q277" s="173"/>
      <c r="R277" s="15"/>
      <c r="S277" s="175"/>
      <c r="T277" s="198"/>
      <c r="U277" s="198"/>
      <c r="V277" s="25">
        <v>300.61399999999998</v>
      </c>
      <c r="W277" s="15" t="s">
        <v>586</v>
      </c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77"/>
      <c r="AM277" s="15"/>
      <c r="AN277" s="24"/>
      <c r="AO277" s="24"/>
      <c r="AP277" s="24"/>
      <c r="AQ277" s="24"/>
      <c r="AR277" s="24"/>
      <c r="AS277" s="25"/>
      <c r="AT277" s="25"/>
      <c r="AU277" s="178"/>
      <c r="AV277" s="15"/>
      <c r="AW277" s="24"/>
      <c r="AX277" s="278"/>
      <c r="AY277" s="278"/>
      <c r="AZ277" s="24"/>
      <c r="BA277" s="178"/>
      <c r="BB277" s="24"/>
      <c r="BC277" s="24"/>
      <c r="BD277" s="24"/>
      <c r="BE277" s="24"/>
      <c r="BF277" s="24"/>
      <c r="BG277" s="24"/>
      <c r="BH277" s="178"/>
      <c r="BI277" s="24"/>
      <c r="BJ277" s="24"/>
      <c r="BK277" s="24"/>
      <c r="BL277" s="24"/>
      <c r="BM277" s="24"/>
    </row>
    <row r="278" spans="1:65" ht="14.25" customHeight="1">
      <c r="A278" s="15">
        <f t="shared" si="88"/>
        <v>135</v>
      </c>
      <c r="B278" s="19" t="s">
        <v>214</v>
      </c>
      <c r="C278" s="179" t="s">
        <v>89</v>
      </c>
      <c r="D278" s="130">
        <v>8.6300000000000008</v>
      </c>
      <c r="E278" s="130">
        <f>D278*4</f>
        <v>34.520000000000003</v>
      </c>
      <c r="F278" s="130">
        <f>E278*8</f>
        <v>276.16000000000003</v>
      </c>
      <c r="G278" s="130"/>
      <c r="H278" s="180"/>
      <c r="I278" s="19"/>
      <c r="J278" s="19"/>
      <c r="K278" s="181"/>
      <c r="L278" s="173">
        <v>3.867</v>
      </c>
      <c r="M278" s="15">
        <v>3.306</v>
      </c>
      <c r="N278" s="15">
        <v>5.0000000000000001E-3</v>
      </c>
      <c r="O278" s="15">
        <v>0.27600000000000002</v>
      </c>
      <c r="P278" s="175">
        <f t="shared" si="93"/>
        <v>7.4539999999999997</v>
      </c>
      <c r="Q278" s="173">
        <v>0.36299999999999999</v>
      </c>
      <c r="R278" s="15">
        <v>6.0000000000000001E-3</v>
      </c>
      <c r="S278" s="175">
        <f t="shared" si="94"/>
        <v>0.36899999999999999</v>
      </c>
      <c r="T278" s="198" t="s">
        <v>213</v>
      </c>
      <c r="U278" s="176" t="s">
        <v>536</v>
      </c>
      <c r="V278" s="25"/>
      <c r="W278" s="15"/>
      <c r="X278" s="15">
        <v>102.06</v>
      </c>
      <c r="Y278" s="15">
        <v>1.1499999999999999</v>
      </c>
      <c r="Z278" s="15">
        <v>10.71</v>
      </c>
      <c r="AA278" s="15">
        <f t="shared" si="95"/>
        <v>11.860000000000001</v>
      </c>
      <c r="AB278" s="15">
        <v>91.428600000000003</v>
      </c>
      <c r="AC278" s="15">
        <v>4571.43</v>
      </c>
      <c r="AD278" s="15">
        <v>81.819999999999993</v>
      </c>
      <c r="AE278" s="15">
        <v>427.95</v>
      </c>
      <c r="AF278" s="15"/>
      <c r="AG278" s="15">
        <v>198.88</v>
      </c>
      <c r="AH278" s="15"/>
      <c r="AI278" s="15"/>
      <c r="AJ278" s="15">
        <v>708.65</v>
      </c>
      <c r="AK278" s="15">
        <v>0.70865</v>
      </c>
      <c r="AL278" s="177"/>
      <c r="AM278" s="137" t="s">
        <v>20</v>
      </c>
      <c r="AN278" s="131" t="str">
        <f>AO278</f>
        <v>D</v>
      </c>
      <c r="AO278" s="131" t="s">
        <v>21</v>
      </c>
      <c r="AP278" s="349">
        <v>45574</v>
      </c>
      <c r="AQ278" s="349">
        <v>45581</v>
      </c>
      <c r="AR278" s="349">
        <v>45582</v>
      </c>
      <c r="AS278" s="530">
        <v>45585</v>
      </c>
      <c r="AT278" s="25" t="s">
        <v>591</v>
      </c>
      <c r="AU278" s="183"/>
      <c r="AV278" s="137" t="s">
        <v>20</v>
      </c>
      <c r="AW278" s="15" t="s">
        <v>544</v>
      </c>
      <c r="AX278" s="278">
        <f>AY278</f>
        <v>45659</v>
      </c>
      <c r="AY278" s="278">
        <v>45659</v>
      </c>
      <c r="AZ278" s="182" t="s">
        <v>539</v>
      </c>
      <c r="BA278" s="183"/>
      <c r="BB278" s="137" t="s">
        <v>20</v>
      </c>
      <c r="BC278" s="131"/>
      <c r="BD278" s="131" t="s">
        <v>21</v>
      </c>
      <c r="BE278" s="279">
        <f>BF278-1</f>
        <v>45673</v>
      </c>
      <c r="BF278" s="279">
        <v>45674</v>
      </c>
      <c r="BG278" s="17" t="s">
        <v>506</v>
      </c>
      <c r="BH278" s="187"/>
      <c r="BI278" s="137" t="s">
        <v>20</v>
      </c>
      <c r="BJ278" s="131">
        <f>BK278-2</f>
        <v>45772</v>
      </c>
      <c r="BK278" s="131">
        <v>45774</v>
      </c>
      <c r="BL278" s="25">
        <v>1560</v>
      </c>
      <c r="BM278" s="24" t="s">
        <v>587</v>
      </c>
    </row>
    <row r="279" spans="1:65" ht="14.25" customHeight="1">
      <c r="A279" s="15" t="s">
        <v>0</v>
      </c>
      <c r="B279" s="19"/>
      <c r="C279" s="179"/>
      <c r="D279" s="130"/>
      <c r="E279" s="130"/>
      <c r="F279" s="130"/>
      <c r="G279" s="130"/>
      <c r="H279" s="180"/>
      <c r="I279" s="19"/>
      <c r="J279" s="19"/>
      <c r="K279" s="181"/>
      <c r="L279" s="173"/>
      <c r="M279" s="15"/>
      <c r="N279" s="15"/>
      <c r="O279" s="15"/>
      <c r="P279" s="175"/>
      <c r="Q279" s="173"/>
      <c r="R279" s="15"/>
      <c r="S279" s="175"/>
      <c r="T279" s="198"/>
      <c r="U279" s="198"/>
      <c r="V279" s="16">
        <v>315.42</v>
      </c>
      <c r="W279" s="15" t="s">
        <v>565</v>
      </c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77"/>
      <c r="AM279" s="15"/>
      <c r="AN279" s="24"/>
      <c r="AO279" s="24"/>
      <c r="AP279" s="24"/>
      <c r="AQ279" s="24"/>
      <c r="AR279" s="24"/>
      <c r="AS279" s="25"/>
      <c r="AT279" s="25"/>
      <c r="AU279" s="178"/>
      <c r="AV279" s="15"/>
      <c r="AW279" s="24"/>
      <c r="AX279" s="278"/>
      <c r="AY279" s="278"/>
      <c r="AZ279" s="24"/>
      <c r="BA279" s="178"/>
      <c r="BB279" s="24"/>
      <c r="BC279" s="24"/>
      <c r="BD279" s="24"/>
      <c r="BE279" s="24"/>
      <c r="BF279" s="24"/>
      <c r="BG279" s="24"/>
      <c r="BH279" s="178"/>
      <c r="BI279" s="24"/>
      <c r="BJ279" s="24"/>
      <c r="BK279" s="24"/>
      <c r="BL279" s="24"/>
      <c r="BM279" s="24"/>
    </row>
    <row r="280" spans="1:65" ht="14.25" customHeight="1">
      <c r="A280" s="15">
        <f t="shared" si="88"/>
        <v>136</v>
      </c>
      <c r="B280" s="19" t="s">
        <v>215</v>
      </c>
      <c r="C280" s="179" t="s">
        <v>42</v>
      </c>
      <c r="D280" s="130">
        <v>6.3620000000000001</v>
      </c>
      <c r="E280" s="130">
        <f>D280*4</f>
        <v>25.448</v>
      </c>
      <c r="F280" s="130">
        <f>E280*8</f>
        <v>203.584</v>
      </c>
      <c r="G280" s="130"/>
      <c r="H280" s="180"/>
      <c r="I280" s="19"/>
      <c r="J280" s="19"/>
      <c r="K280" s="181"/>
      <c r="L280" s="173">
        <v>2.25</v>
      </c>
      <c r="M280" s="15">
        <v>2.1880000000000002</v>
      </c>
      <c r="N280" s="15">
        <v>2E-3</v>
      </c>
      <c r="O280" s="15">
        <v>0.183</v>
      </c>
      <c r="P280" s="175">
        <f t="shared" si="93"/>
        <v>4.6230000000000002</v>
      </c>
      <c r="Q280" s="173">
        <v>0.24399999999999999</v>
      </c>
      <c r="R280" s="15">
        <v>5.0000000000000001E-3</v>
      </c>
      <c r="S280" s="175">
        <f t="shared" si="94"/>
        <v>0.249</v>
      </c>
      <c r="T280" s="198"/>
      <c r="U280" s="176" t="s">
        <v>536</v>
      </c>
      <c r="V280" s="15"/>
      <c r="W280" s="15"/>
      <c r="X280" s="16">
        <v>143.36000000000001</v>
      </c>
      <c r="Y280" s="16">
        <v>1.68</v>
      </c>
      <c r="Z280" s="16">
        <v>11.97</v>
      </c>
      <c r="AA280" s="16">
        <f t="shared" si="95"/>
        <v>13.65</v>
      </c>
      <c r="AB280" s="23">
        <f>+Y280*4.44+Z280*8.06</f>
        <v>103.93740000000001</v>
      </c>
      <c r="AC280" s="16">
        <f>+AB280*50</f>
        <v>5196.8700000000008</v>
      </c>
      <c r="AD280" s="16">
        <v>63.93</v>
      </c>
      <c r="AE280" s="16">
        <v>535.23</v>
      </c>
      <c r="AF280" s="16"/>
      <c r="AG280" s="16">
        <v>100.6</v>
      </c>
      <c r="AH280" s="16">
        <v>157.18</v>
      </c>
      <c r="AI280" s="16"/>
      <c r="AJ280" s="16">
        <f>SUM(AD280:AI280)</f>
        <v>856.94</v>
      </c>
      <c r="AK280" s="15">
        <f>+AJ280/1000</f>
        <v>0.85694000000000004</v>
      </c>
      <c r="AL280" s="177"/>
      <c r="AM280" s="137" t="s">
        <v>20</v>
      </c>
      <c r="AN280" s="131" t="str">
        <f>AO280</f>
        <v>D</v>
      </c>
      <c r="AO280" s="131" t="s">
        <v>21</v>
      </c>
      <c r="AP280" s="349">
        <v>45514</v>
      </c>
      <c r="AQ280" s="349">
        <v>45520</v>
      </c>
      <c r="AR280" s="349">
        <f>AS280-4</f>
        <v>45618</v>
      </c>
      <c r="AS280" s="530">
        <v>45622</v>
      </c>
      <c r="AT280" s="25" t="s">
        <v>539</v>
      </c>
      <c r="AU280" s="183"/>
      <c r="AV280" s="137" t="s">
        <v>20</v>
      </c>
      <c r="AW280" s="15" t="s">
        <v>544</v>
      </c>
      <c r="AX280" s="278">
        <f>AY280</f>
        <v>45660</v>
      </c>
      <c r="AY280" s="278">
        <v>45660</v>
      </c>
      <c r="AZ280" s="182" t="s">
        <v>539</v>
      </c>
      <c r="BA280" s="183"/>
      <c r="BB280" s="137" t="s">
        <v>20</v>
      </c>
      <c r="BC280" s="131"/>
      <c r="BD280" s="131" t="s">
        <v>21</v>
      </c>
      <c r="BE280" s="279">
        <f>BF280-1</f>
        <v>45675</v>
      </c>
      <c r="BF280" s="279">
        <v>45676</v>
      </c>
      <c r="BG280" s="17" t="s">
        <v>506</v>
      </c>
      <c r="BH280" s="188"/>
      <c r="BI280" s="137" t="s">
        <v>20</v>
      </c>
      <c r="BJ280" s="131">
        <f>BK280-2</f>
        <v>45772</v>
      </c>
      <c r="BK280" s="131">
        <v>45774</v>
      </c>
      <c r="BL280" s="25">
        <v>980</v>
      </c>
      <c r="BM280" s="24" t="s">
        <v>587</v>
      </c>
    </row>
    <row r="281" spans="1:65" ht="14.25" customHeight="1">
      <c r="A281" s="15" t="s">
        <v>0</v>
      </c>
      <c r="B281" s="19"/>
      <c r="C281" s="179"/>
      <c r="D281" s="130"/>
      <c r="E281" s="130"/>
      <c r="F281" s="130"/>
      <c r="G281" s="130"/>
      <c r="H281" s="180"/>
      <c r="I281" s="19"/>
      <c r="J281" s="19"/>
      <c r="K281" s="181"/>
      <c r="L281" s="173"/>
      <c r="M281" s="15"/>
      <c r="N281" s="15"/>
      <c r="O281" s="15"/>
      <c r="P281" s="175"/>
      <c r="Q281" s="173"/>
      <c r="R281" s="15"/>
      <c r="S281" s="175"/>
      <c r="T281" s="198"/>
      <c r="U281" s="198"/>
      <c r="V281" s="16">
        <v>329.64</v>
      </c>
      <c r="W281" s="15" t="s">
        <v>586</v>
      </c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77"/>
      <c r="AM281" s="15"/>
      <c r="AN281" s="24"/>
      <c r="AO281" s="24"/>
      <c r="AP281" s="24"/>
      <c r="AQ281" s="24"/>
      <c r="AR281" s="24"/>
      <c r="AS281" s="25"/>
      <c r="AT281" s="25"/>
      <c r="AU281" s="178"/>
      <c r="AV281" s="15"/>
      <c r="AW281" s="24"/>
      <c r="AX281" s="278"/>
      <c r="AY281" s="278"/>
      <c r="AZ281" s="24"/>
      <c r="BA281" s="178"/>
      <c r="BB281" s="24"/>
      <c r="BC281" s="24"/>
      <c r="BD281" s="24"/>
      <c r="BE281" s="24"/>
      <c r="BF281" s="24"/>
      <c r="BG281" s="24"/>
      <c r="BH281" s="178"/>
      <c r="BI281" s="24"/>
      <c r="BJ281" s="24"/>
      <c r="BK281" s="24"/>
      <c r="BL281" s="24"/>
      <c r="BM281" s="24"/>
    </row>
    <row r="282" spans="1:65" ht="14.25" customHeight="1">
      <c r="A282" s="15">
        <f t="shared" si="88"/>
        <v>137</v>
      </c>
      <c r="B282" s="19" t="s">
        <v>216</v>
      </c>
      <c r="C282" s="179" t="s">
        <v>37</v>
      </c>
      <c r="D282" s="130">
        <v>6.992</v>
      </c>
      <c r="E282" s="130">
        <f>D282*4</f>
        <v>27.968</v>
      </c>
      <c r="F282" s="130">
        <f>E282*8</f>
        <v>223.744</v>
      </c>
      <c r="G282" s="130"/>
      <c r="H282" s="180"/>
      <c r="I282" s="19"/>
      <c r="J282" s="19"/>
      <c r="K282" s="181"/>
      <c r="L282" s="173">
        <v>2.6070000000000002</v>
      </c>
      <c r="M282" s="15">
        <v>2.657</v>
      </c>
      <c r="N282" s="15">
        <v>2E-3</v>
      </c>
      <c r="O282" s="15">
        <v>0.21299999999999999</v>
      </c>
      <c r="P282" s="175">
        <f t="shared" si="93"/>
        <v>5.4790000000000001</v>
      </c>
      <c r="Q282" s="173">
        <v>0.24399999999999999</v>
      </c>
      <c r="R282" s="15">
        <v>5.0000000000000001E-3</v>
      </c>
      <c r="S282" s="175">
        <f t="shared" si="94"/>
        <v>0.249</v>
      </c>
      <c r="T282" s="198"/>
      <c r="U282" s="176" t="s">
        <v>536</v>
      </c>
      <c r="V282" s="15"/>
      <c r="W282" s="15"/>
      <c r="X282" s="16">
        <v>143.36000000000001</v>
      </c>
      <c r="Y282" s="16">
        <v>1.68</v>
      </c>
      <c r="Z282" s="16">
        <v>11.97</v>
      </c>
      <c r="AA282" s="16">
        <f t="shared" si="95"/>
        <v>13.65</v>
      </c>
      <c r="AB282" s="23">
        <f>+Y282*4.44+Z282*8.06</f>
        <v>103.93740000000001</v>
      </c>
      <c r="AC282" s="16">
        <f>+AB282*50</f>
        <v>5196.8700000000008</v>
      </c>
      <c r="AD282" s="16">
        <v>63.93</v>
      </c>
      <c r="AE282" s="16">
        <v>535.23</v>
      </c>
      <c r="AF282" s="16"/>
      <c r="AG282" s="16">
        <v>100.6</v>
      </c>
      <c r="AH282" s="16">
        <v>157.18</v>
      </c>
      <c r="AI282" s="16"/>
      <c r="AJ282" s="16">
        <f>SUM(AD282:AI282)</f>
        <v>856.94</v>
      </c>
      <c r="AK282" s="15">
        <f>+AJ282/1000</f>
        <v>0.85694000000000004</v>
      </c>
      <c r="AL282" s="177"/>
      <c r="AM282" s="137" t="s">
        <v>20</v>
      </c>
      <c r="AN282" s="131" t="str">
        <f>AO282</f>
        <v>D</v>
      </c>
      <c r="AO282" s="131" t="s">
        <v>21</v>
      </c>
      <c r="AP282" s="349">
        <v>45521</v>
      </c>
      <c r="AQ282" s="349">
        <v>45527</v>
      </c>
      <c r="AR282" s="349">
        <v>45528</v>
      </c>
      <c r="AS282" s="530">
        <v>45569</v>
      </c>
      <c r="AT282" s="25" t="s">
        <v>539</v>
      </c>
      <c r="AU282" s="183"/>
      <c r="AV282" s="137" t="s">
        <v>20</v>
      </c>
      <c r="AW282" s="15" t="s">
        <v>544</v>
      </c>
      <c r="AX282" s="278">
        <f>AY282</f>
        <v>45676</v>
      </c>
      <c r="AY282" s="278">
        <v>45676</v>
      </c>
      <c r="AZ282" s="182" t="s">
        <v>539</v>
      </c>
      <c r="BA282" s="183"/>
      <c r="BB282" s="137" t="s">
        <v>20</v>
      </c>
      <c r="BC282" s="131"/>
      <c r="BD282" s="131" t="s">
        <v>21</v>
      </c>
      <c r="BE282" s="279">
        <f>BF282-1</f>
        <v>45677</v>
      </c>
      <c r="BF282" s="279">
        <v>45678</v>
      </c>
      <c r="BG282" s="17" t="s">
        <v>506</v>
      </c>
      <c r="BH282" s="188"/>
      <c r="BI282" s="137" t="s">
        <v>20</v>
      </c>
      <c r="BJ282" s="131">
        <f>BK282-2</f>
        <v>45772</v>
      </c>
      <c r="BK282" s="131">
        <v>45774</v>
      </c>
      <c r="BL282" s="25">
        <v>1330</v>
      </c>
      <c r="BM282" s="24" t="s">
        <v>587</v>
      </c>
    </row>
    <row r="283" spans="1:65" ht="14.25" customHeight="1">
      <c r="A283" s="15" t="s">
        <v>0</v>
      </c>
      <c r="B283" s="19"/>
      <c r="C283" s="179"/>
      <c r="D283" s="130"/>
      <c r="E283" s="130"/>
      <c r="F283" s="130"/>
      <c r="G283" s="130"/>
      <c r="H283" s="180"/>
      <c r="I283" s="19"/>
      <c r="J283" s="19"/>
      <c r="K283" s="181"/>
      <c r="L283" s="173"/>
      <c r="M283" s="15"/>
      <c r="N283" s="15"/>
      <c r="O283" s="15"/>
      <c r="P283" s="175"/>
      <c r="Q283" s="173"/>
      <c r="R283" s="15"/>
      <c r="S283" s="175"/>
      <c r="T283" s="198"/>
      <c r="U283" s="198"/>
      <c r="V283" s="16">
        <v>382.97</v>
      </c>
      <c r="W283" s="15" t="s">
        <v>586</v>
      </c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77"/>
      <c r="AM283" s="15"/>
      <c r="AN283" s="24"/>
      <c r="AO283" s="24"/>
      <c r="AP283" s="24"/>
      <c r="AQ283" s="24"/>
      <c r="AR283" s="24"/>
      <c r="AS283" s="25"/>
      <c r="AT283" s="25"/>
      <c r="AU283" s="178"/>
      <c r="AV283" s="15"/>
      <c r="AW283" s="24"/>
      <c r="AX283" s="278"/>
      <c r="AY283" s="278"/>
      <c r="AZ283" s="24"/>
      <c r="BA283" s="178"/>
      <c r="BB283" s="24"/>
      <c r="BC283" s="24"/>
      <c r="BD283" s="24"/>
      <c r="BE283" s="24"/>
      <c r="BF283" s="24"/>
      <c r="BG283" s="24"/>
      <c r="BH283" s="178"/>
      <c r="BI283" s="24"/>
      <c r="BJ283" s="24"/>
      <c r="BK283" s="24"/>
      <c r="BL283" s="24"/>
      <c r="BM283" s="24"/>
    </row>
    <row r="284" spans="1:65" ht="14.25" customHeight="1">
      <c r="A284" s="15">
        <f t="shared" ref="A284:A346" si="98">A282+1</f>
        <v>138</v>
      </c>
      <c r="B284" s="19" t="s">
        <v>217</v>
      </c>
      <c r="C284" s="179" t="s">
        <v>37</v>
      </c>
      <c r="D284" s="130">
        <v>6.992</v>
      </c>
      <c r="E284" s="130">
        <f>D284*4</f>
        <v>27.968</v>
      </c>
      <c r="F284" s="130">
        <f>E284*8</f>
        <v>223.744</v>
      </c>
      <c r="G284" s="130"/>
      <c r="H284" s="180"/>
      <c r="I284" s="19"/>
      <c r="J284" s="19"/>
      <c r="K284" s="181"/>
      <c r="L284" s="173">
        <v>2.6070000000000002</v>
      </c>
      <c r="M284" s="15">
        <v>2.657</v>
      </c>
      <c r="N284" s="15">
        <v>2E-3</v>
      </c>
      <c r="O284" s="15">
        <v>0.21299999999999999</v>
      </c>
      <c r="P284" s="175">
        <f t="shared" si="93"/>
        <v>5.4790000000000001</v>
      </c>
      <c r="Q284" s="173">
        <v>0.24399999999999999</v>
      </c>
      <c r="R284" s="15">
        <v>5.0000000000000001E-3</v>
      </c>
      <c r="S284" s="175">
        <f t="shared" si="94"/>
        <v>0.249</v>
      </c>
      <c r="T284" s="198"/>
      <c r="U284" s="176" t="s">
        <v>536</v>
      </c>
      <c r="V284" s="15"/>
      <c r="W284" s="15"/>
      <c r="X284" s="16">
        <v>143.36000000000001</v>
      </c>
      <c r="Y284" s="16">
        <v>1.68</v>
      </c>
      <c r="Z284" s="16">
        <v>11.97</v>
      </c>
      <c r="AA284" s="16">
        <f t="shared" si="95"/>
        <v>13.65</v>
      </c>
      <c r="AB284" s="23">
        <f>+Y284*4.44+Z284*8.06</f>
        <v>103.93740000000001</v>
      </c>
      <c r="AC284" s="16">
        <f>+AB284*50</f>
        <v>5196.8700000000008</v>
      </c>
      <c r="AD284" s="16">
        <v>63.93</v>
      </c>
      <c r="AE284" s="16">
        <v>535.23</v>
      </c>
      <c r="AF284" s="16"/>
      <c r="AG284" s="16">
        <v>100.6</v>
      </c>
      <c r="AH284" s="16">
        <v>157.18</v>
      </c>
      <c r="AI284" s="16"/>
      <c r="AJ284" s="16">
        <f>SUM(AD284:AI284)</f>
        <v>856.94</v>
      </c>
      <c r="AK284" s="15">
        <f>+AJ284/1000</f>
        <v>0.85694000000000004</v>
      </c>
      <c r="AL284" s="177"/>
      <c r="AM284" s="137" t="s">
        <v>20</v>
      </c>
      <c r="AN284" s="24" t="s">
        <v>21</v>
      </c>
      <c r="AO284" s="131" t="s">
        <v>21</v>
      </c>
      <c r="AP284" s="349">
        <f t="shared" ref="AP284:AR284" si="99">AQ284-2</f>
        <v>45608</v>
      </c>
      <c r="AQ284" s="349">
        <f t="shared" si="99"/>
        <v>45610</v>
      </c>
      <c r="AR284" s="349">
        <f t="shared" si="99"/>
        <v>45612</v>
      </c>
      <c r="AS284" s="530">
        <v>45614</v>
      </c>
      <c r="AT284" s="25" t="s">
        <v>539</v>
      </c>
      <c r="AU284" s="183"/>
      <c r="AV284" s="137" t="s">
        <v>20</v>
      </c>
      <c r="AW284" s="15" t="s">
        <v>544</v>
      </c>
      <c r="AX284" s="278">
        <f>AY284</f>
        <v>45661</v>
      </c>
      <c r="AY284" s="278">
        <v>45661</v>
      </c>
      <c r="AZ284" s="182" t="s">
        <v>539</v>
      </c>
      <c r="BA284" s="183"/>
      <c r="BB284" s="137" t="s">
        <v>20</v>
      </c>
      <c r="BC284" s="131"/>
      <c r="BD284" s="131" t="s">
        <v>21</v>
      </c>
      <c r="BE284" s="279">
        <f>BF284-1</f>
        <v>45679</v>
      </c>
      <c r="BF284" s="279">
        <v>45680</v>
      </c>
      <c r="BG284" s="17" t="s">
        <v>506</v>
      </c>
      <c r="BH284" s="187"/>
      <c r="BI284" s="137" t="s">
        <v>20</v>
      </c>
      <c r="BJ284" s="131">
        <f>BK284-2</f>
        <v>45772</v>
      </c>
      <c r="BK284" s="131">
        <v>45774</v>
      </c>
      <c r="BL284" s="25">
        <v>1330</v>
      </c>
      <c r="BM284" s="24" t="s">
        <v>587</v>
      </c>
    </row>
    <row r="285" spans="1:65" ht="14.25" customHeight="1">
      <c r="A285" s="15" t="s">
        <v>0</v>
      </c>
      <c r="B285" s="19"/>
      <c r="C285" s="179"/>
      <c r="D285" s="130"/>
      <c r="E285" s="130"/>
      <c r="F285" s="130"/>
      <c r="G285" s="130"/>
      <c r="H285" s="180"/>
      <c r="I285" s="19"/>
      <c r="J285" s="19"/>
      <c r="K285" s="181"/>
      <c r="L285" s="173"/>
      <c r="M285" s="15"/>
      <c r="N285" s="15"/>
      <c r="O285" s="15"/>
      <c r="P285" s="175"/>
      <c r="Q285" s="173"/>
      <c r="R285" s="15"/>
      <c r="S285" s="175"/>
      <c r="T285" s="198"/>
      <c r="U285" s="198"/>
      <c r="V285" s="16">
        <v>323.74</v>
      </c>
      <c r="W285" s="15" t="s">
        <v>586</v>
      </c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77"/>
      <c r="AM285" s="15"/>
      <c r="AN285" s="24"/>
      <c r="AO285" s="24"/>
      <c r="AP285" s="24"/>
      <c r="AQ285" s="24"/>
      <c r="AR285" s="24"/>
      <c r="AS285" s="25"/>
      <c r="AT285" s="25"/>
      <c r="AU285" s="178"/>
      <c r="AV285" s="15"/>
      <c r="AW285" s="24"/>
      <c r="AX285" s="278"/>
      <c r="AY285" s="278"/>
      <c r="AZ285" s="24"/>
      <c r="BA285" s="178"/>
      <c r="BB285" s="24"/>
      <c r="BC285" s="24"/>
      <c r="BD285" s="24"/>
      <c r="BE285" s="24"/>
      <c r="BF285" s="24"/>
      <c r="BG285" s="24"/>
      <c r="BH285" s="178"/>
      <c r="BI285" s="24"/>
      <c r="BJ285" s="24"/>
      <c r="BK285" s="24"/>
      <c r="BL285" s="24"/>
      <c r="BM285" s="24"/>
    </row>
    <row r="286" spans="1:65" ht="14.25" customHeight="1">
      <c r="A286" s="15">
        <f t="shared" si="98"/>
        <v>139</v>
      </c>
      <c r="B286" s="19" t="s">
        <v>218</v>
      </c>
      <c r="C286" s="179" t="s">
        <v>42</v>
      </c>
      <c r="D286" s="130">
        <v>6.3620000000000001</v>
      </c>
      <c r="E286" s="130">
        <f>D286*4</f>
        <v>25.448</v>
      </c>
      <c r="F286" s="130">
        <f>E286*8</f>
        <v>203.584</v>
      </c>
      <c r="G286" s="130"/>
      <c r="H286" s="180"/>
      <c r="I286" s="19"/>
      <c r="J286" s="19"/>
      <c r="K286" s="181"/>
      <c r="L286" s="173">
        <v>2.25</v>
      </c>
      <c r="M286" s="15">
        <v>2.1880000000000002</v>
      </c>
      <c r="N286" s="15">
        <v>2E-3</v>
      </c>
      <c r="O286" s="15">
        <v>0.183</v>
      </c>
      <c r="P286" s="175">
        <f t="shared" si="93"/>
        <v>4.6230000000000002</v>
      </c>
      <c r="Q286" s="173">
        <v>0.24399999999999999</v>
      </c>
      <c r="R286" s="15">
        <v>5.0000000000000001E-3</v>
      </c>
      <c r="S286" s="175">
        <f t="shared" si="94"/>
        <v>0.249</v>
      </c>
      <c r="T286" s="198"/>
      <c r="U286" s="176" t="s">
        <v>536</v>
      </c>
      <c r="V286" s="15"/>
      <c r="W286" s="15"/>
      <c r="X286" s="16">
        <v>143.36000000000001</v>
      </c>
      <c r="Y286" s="16">
        <v>1.68</v>
      </c>
      <c r="Z286" s="16">
        <v>11.97</v>
      </c>
      <c r="AA286" s="16">
        <f t="shared" si="95"/>
        <v>13.65</v>
      </c>
      <c r="AB286" s="23">
        <f>+Y286*4.44+Z286*8.06</f>
        <v>103.93740000000001</v>
      </c>
      <c r="AC286" s="16">
        <f>+AB286*50</f>
        <v>5196.8700000000008</v>
      </c>
      <c r="AD286" s="16">
        <v>63.93</v>
      </c>
      <c r="AE286" s="16">
        <v>535.23</v>
      </c>
      <c r="AF286" s="16"/>
      <c r="AG286" s="16">
        <v>100.6</v>
      </c>
      <c r="AH286" s="16">
        <v>157.18</v>
      </c>
      <c r="AI286" s="16"/>
      <c r="AJ286" s="16">
        <f>SUM(AD286:AI286)</f>
        <v>856.94</v>
      </c>
      <c r="AK286" s="15">
        <f>+AJ286/1000</f>
        <v>0.85694000000000004</v>
      </c>
      <c r="AL286" s="177"/>
      <c r="AM286" s="137" t="s">
        <v>20</v>
      </c>
      <c r="AN286" s="131" t="str">
        <f>AO286</f>
        <v>D</v>
      </c>
      <c r="AO286" s="131" t="s">
        <v>21</v>
      </c>
      <c r="AP286" s="349">
        <f t="shared" ref="AP286:AQ286" si="100">AQ286-2</f>
        <v>45613</v>
      </c>
      <c r="AQ286" s="349">
        <f t="shared" si="100"/>
        <v>45615</v>
      </c>
      <c r="AR286" s="349">
        <f>AS286-3</f>
        <v>45617</v>
      </c>
      <c r="AS286" s="530">
        <v>45620</v>
      </c>
      <c r="AT286" s="25" t="s">
        <v>539</v>
      </c>
      <c r="AU286" s="183"/>
      <c r="AV286" s="137" t="s">
        <v>20</v>
      </c>
      <c r="AW286" s="15" t="s">
        <v>544</v>
      </c>
      <c r="AX286" s="278">
        <v>45667</v>
      </c>
      <c r="AY286" s="278">
        <v>45667</v>
      </c>
      <c r="AZ286" s="182" t="s">
        <v>539</v>
      </c>
      <c r="BA286" s="183"/>
      <c r="BB286" s="137" t="s">
        <v>20</v>
      </c>
      <c r="BC286" s="131"/>
      <c r="BD286" s="131" t="s">
        <v>21</v>
      </c>
      <c r="BE286" s="279">
        <f>BF286-1</f>
        <v>45681</v>
      </c>
      <c r="BF286" s="279">
        <v>45682</v>
      </c>
      <c r="BG286" s="17" t="s">
        <v>506</v>
      </c>
      <c r="BH286" s="187"/>
      <c r="BI286" s="137" t="s">
        <v>20</v>
      </c>
      <c r="BJ286" s="131">
        <f>BK286-2</f>
        <v>45772</v>
      </c>
      <c r="BK286" s="131">
        <v>45774</v>
      </c>
      <c r="BL286" s="25">
        <v>980</v>
      </c>
      <c r="BM286" s="24" t="s">
        <v>587</v>
      </c>
    </row>
    <row r="287" spans="1:65" ht="14.25" customHeight="1">
      <c r="A287" s="15" t="s">
        <v>0</v>
      </c>
      <c r="B287" s="19"/>
      <c r="C287" s="179"/>
      <c r="D287" s="130"/>
      <c r="E287" s="130"/>
      <c r="F287" s="130"/>
      <c r="G287" s="130"/>
      <c r="H287" s="180"/>
      <c r="I287" s="19"/>
      <c r="J287" s="19"/>
      <c r="K287" s="181"/>
      <c r="L287" s="173"/>
      <c r="M287" s="15"/>
      <c r="N287" s="15"/>
      <c r="O287" s="15"/>
      <c r="P287" s="175"/>
      <c r="Q287" s="173"/>
      <c r="R287" s="15"/>
      <c r="S287" s="175"/>
      <c r="T287" s="198"/>
      <c r="U287" s="198"/>
      <c r="V287" s="16">
        <v>328.78</v>
      </c>
      <c r="W287" s="15" t="s">
        <v>586</v>
      </c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77"/>
      <c r="AM287" s="15"/>
      <c r="AN287" s="24"/>
      <c r="AO287" s="24"/>
      <c r="AP287" s="24"/>
      <c r="AQ287" s="24"/>
      <c r="AR287" s="24"/>
      <c r="AS287" s="25"/>
      <c r="AT287" s="25"/>
      <c r="AU287" s="178"/>
      <c r="AV287" s="15"/>
      <c r="AW287" s="24"/>
      <c r="AX287" s="278"/>
      <c r="AY287" s="278"/>
      <c r="AZ287" s="24"/>
      <c r="BA287" s="178"/>
      <c r="BB287" s="24"/>
      <c r="BC287" s="24"/>
      <c r="BD287" s="24"/>
      <c r="BE287" s="24"/>
      <c r="BF287" s="24"/>
      <c r="BG287" s="24"/>
      <c r="BH287" s="178"/>
      <c r="BI287" s="24"/>
      <c r="BJ287" s="24"/>
      <c r="BK287" s="24"/>
      <c r="BL287" s="24"/>
      <c r="BM287" s="24"/>
    </row>
    <row r="288" spans="1:65" ht="14.25" customHeight="1">
      <c r="A288" s="15">
        <f t="shared" si="98"/>
        <v>140</v>
      </c>
      <c r="B288" s="19" t="s">
        <v>219</v>
      </c>
      <c r="C288" s="179" t="s">
        <v>42</v>
      </c>
      <c r="D288" s="130">
        <v>6.3620000000000001</v>
      </c>
      <c r="E288" s="130">
        <f>D288*4</f>
        <v>25.448</v>
      </c>
      <c r="F288" s="130">
        <f>E288*8</f>
        <v>203.584</v>
      </c>
      <c r="G288" s="130"/>
      <c r="H288" s="180"/>
      <c r="I288" s="19"/>
      <c r="J288" s="19"/>
      <c r="K288" s="181"/>
      <c r="L288" s="173">
        <v>2.25</v>
      </c>
      <c r="M288" s="15">
        <v>2.1880000000000002</v>
      </c>
      <c r="N288" s="15">
        <v>2E-3</v>
      </c>
      <c r="O288" s="15">
        <v>0.183</v>
      </c>
      <c r="P288" s="175">
        <f t="shared" si="93"/>
        <v>4.6230000000000002</v>
      </c>
      <c r="Q288" s="173">
        <v>0.24399999999999999</v>
      </c>
      <c r="R288" s="15">
        <v>5.0000000000000001E-3</v>
      </c>
      <c r="S288" s="175">
        <f t="shared" si="94"/>
        <v>0.249</v>
      </c>
      <c r="T288" s="198"/>
      <c r="U288" s="176" t="s">
        <v>536</v>
      </c>
      <c r="V288" s="15"/>
      <c r="W288" s="15"/>
      <c r="X288" s="16">
        <v>143.36000000000001</v>
      </c>
      <c r="Y288" s="16">
        <v>1.68</v>
      </c>
      <c r="Z288" s="16">
        <v>11.97</v>
      </c>
      <c r="AA288" s="16">
        <f t="shared" si="95"/>
        <v>13.65</v>
      </c>
      <c r="AB288" s="23">
        <f>+Y288*4.44+Z288*8.06</f>
        <v>103.93740000000001</v>
      </c>
      <c r="AC288" s="16">
        <f>+AB288*50</f>
        <v>5196.8700000000008</v>
      </c>
      <c r="AD288" s="16">
        <v>63.93</v>
      </c>
      <c r="AE288" s="16">
        <v>535.23</v>
      </c>
      <c r="AF288" s="16"/>
      <c r="AG288" s="16">
        <v>100.6</v>
      </c>
      <c r="AH288" s="16">
        <v>157.18</v>
      </c>
      <c r="AI288" s="16"/>
      <c r="AJ288" s="16">
        <f>SUM(AD288:AI288)</f>
        <v>856.94</v>
      </c>
      <c r="AK288" s="15">
        <f>+AJ288/1000</f>
        <v>0.85694000000000004</v>
      </c>
      <c r="AL288" s="177"/>
      <c r="AM288" s="137" t="s">
        <v>20</v>
      </c>
      <c r="AN288" s="131" t="str">
        <f>AO288</f>
        <v>D</v>
      </c>
      <c r="AO288" s="131" t="s">
        <v>21</v>
      </c>
      <c r="AP288" s="349">
        <v>45589</v>
      </c>
      <c r="AQ288" s="349">
        <f>AR288-5</f>
        <v>45609</v>
      </c>
      <c r="AR288" s="349">
        <f>AS288-3</f>
        <v>45614</v>
      </c>
      <c r="AS288" s="530">
        <v>45617</v>
      </c>
      <c r="AT288" s="25" t="s">
        <v>585</v>
      </c>
      <c r="AU288" s="183"/>
      <c r="AV288" s="137" t="s">
        <v>20</v>
      </c>
      <c r="AW288" s="15" t="s">
        <v>544</v>
      </c>
      <c r="AX288" s="278">
        <f>AY288</f>
        <v>45662</v>
      </c>
      <c r="AY288" s="278">
        <v>45662</v>
      </c>
      <c r="AZ288" s="182" t="s">
        <v>539</v>
      </c>
      <c r="BA288" s="183"/>
      <c r="BB288" s="137" t="s">
        <v>20</v>
      </c>
      <c r="BC288" s="131"/>
      <c r="BD288" s="131" t="s">
        <v>21</v>
      </c>
      <c r="BE288" s="279">
        <f>BF288-1</f>
        <v>45786</v>
      </c>
      <c r="BF288" s="279">
        <v>45787</v>
      </c>
      <c r="BG288" s="17" t="s">
        <v>506</v>
      </c>
      <c r="BH288" s="188"/>
      <c r="BI288" s="137" t="s">
        <v>20</v>
      </c>
      <c r="BJ288" s="131">
        <f>BK288-2</f>
        <v>45772</v>
      </c>
      <c r="BK288" s="131">
        <v>45774</v>
      </c>
      <c r="BL288" s="25">
        <v>980</v>
      </c>
      <c r="BM288" s="24" t="s">
        <v>587</v>
      </c>
    </row>
    <row r="289" spans="1:65" ht="14.25" customHeight="1">
      <c r="A289" s="15" t="s">
        <v>0</v>
      </c>
      <c r="B289" s="19"/>
      <c r="C289" s="179"/>
      <c r="D289" s="130"/>
      <c r="E289" s="130"/>
      <c r="F289" s="130"/>
      <c r="G289" s="130"/>
      <c r="H289" s="180"/>
      <c r="I289" s="19"/>
      <c r="J289" s="19"/>
      <c r="K289" s="181"/>
      <c r="L289" s="173"/>
      <c r="M289" s="15"/>
      <c r="N289" s="15"/>
      <c r="O289" s="15"/>
      <c r="P289" s="175"/>
      <c r="Q289" s="173"/>
      <c r="R289" s="15"/>
      <c r="S289" s="175"/>
      <c r="T289" s="198"/>
      <c r="U289" s="198"/>
      <c r="V289" s="16">
        <v>266</v>
      </c>
      <c r="W289" s="15" t="s">
        <v>586</v>
      </c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77"/>
      <c r="AM289" s="15"/>
      <c r="AN289" s="24"/>
      <c r="AO289" s="24"/>
      <c r="AP289" s="24"/>
      <c r="AQ289" s="24"/>
      <c r="AR289" s="24"/>
      <c r="AS289" s="25"/>
      <c r="AT289" s="25"/>
      <c r="AU289" s="178"/>
      <c r="AV289" s="15"/>
      <c r="AW289" s="24"/>
      <c r="AX289" s="278"/>
      <c r="AY289" s="278"/>
      <c r="AZ289" s="24"/>
      <c r="BA289" s="178"/>
      <c r="BB289" s="24"/>
      <c r="BC289" s="24"/>
      <c r="BD289" s="24"/>
      <c r="BE289" s="24"/>
      <c r="BF289" s="24"/>
      <c r="BG289" s="24"/>
      <c r="BH289" s="178"/>
      <c r="BI289" s="24"/>
      <c r="BJ289" s="24"/>
      <c r="BK289" s="24"/>
      <c r="BL289" s="24"/>
      <c r="BM289" s="24"/>
    </row>
    <row r="290" spans="1:65" ht="14.25" customHeight="1">
      <c r="A290" s="15">
        <f t="shared" si="98"/>
        <v>141</v>
      </c>
      <c r="B290" s="19" t="s">
        <v>221</v>
      </c>
      <c r="C290" s="179" t="s">
        <v>76</v>
      </c>
      <c r="D290" s="130">
        <v>7.71</v>
      </c>
      <c r="E290" s="130">
        <f>D290*4</f>
        <v>30.84</v>
      </c>
      <c r="F290" s="130">
        <f>E290*8</f>
        <v>246.72</v>
      </c>
      <c r="G290" s="130"/>
      <c r="H290" s="180"/>
      <c r="I290" s="19"/>
      <c r="J290" s="19"/>
      <c r="K290" s="181"/>
      <c r="L290" s="173">
        <v>3.452</v>
      </c>
      <c r="M290" s="15">
        <v>2.633</v>
      </c>
      <c r="N290" s="15">
        <v>4.0000000000000001E-3</v>
      </c>
      <c r="O290" s="15">
        <v>0.24099999999999999</v>
      </c>
      <c r="P290" s="175">
        <f t="shared" si="93"/>
        <v>6.3299999999999992</v>
      </c>
      <c r="Q290" s="173">
        <v>0.36299999999999999</v>
      </c>
      <c r="R290" s="15">
        <v>6.0000000000000001E-3</v>
      </c>
      <c r="S290" s="175">
        <f t="shared" si="94"/>
        <v>0.36899999999999999</v>
      </c>
      <c r="T290" s="198" t="s">
        <v>220</v>
      </c>
      <c r="U290" s="176" t="s">
        <v>536</v>
      </c>
      <c r="V290" s="15"/>
      <c r="W290" s="15"/>
      <c r="X290" s="15">
        <v>143.36000000000001</v>
      </c>
      <c r="Y290" s="15">
        <v>1.68</v>
      </c>
      <c r="Z290" s="15">
        <v>13.27</v>
      </c>
      <c r="AA290" s="15">
        <f t="shared" si="95"/>
        <v>14.95</v>
      </c>
      <c r="AB290" s="15">
        <v>114.41540000000001</v>
      </c>
      <c r="AC290" s="15">
        <v>5720.77</v>
      </c>
      <c r="AD290" s="15">
        <v>70.930000000000007</v>
      </c>
      <c r="AE290" s="15">
        <v>596.29</v>
      </c>
      <c r="AF290" s="15"/>
      <c r="AG290" s="15">
        <v>99.34</v>
      </c>
      <c r="AH290" s="15">
        <v>155.21</v>
      </c>
      <c r="AI290" s="15"/>
      <c r="AJ290" s="15">
        <v>921.7700000000001</v>
      </c>
      <c r="AK290" s="15">
        <v>0.92177000000000009</v>
      </c>
      <c r="AL290" s="177"/>
      <c r="AM290" s="137" t="s">
        <v>20</v>
      </c>
      <c r="AN290" s="131" t="str">
        <f>AO290</f>
        <v>D</v>
      </c>
      <c r="AO290" s="131" t="s">
        <v>21</v>
      </c>
      <c r="AP290" s="349">
        <v>45602</v>
      </c>
      <c r="AQ290" s="349">
        <f t="shared" ref="AQ290:AR290" si="101">AR290-2</f>
        <v>45604</v>
      </c>
      <c r="AR290" s="349">
        <f t="shared" si="101"/>
        <v>45606</v>
      </c>
      <c r="AS290" s="530">
        <v>45608</v>
      </c>
      <c r="AT290" s="25" t="s">
        <v>589</v>
      </c>
      <c r="AU290" s="183"/>
      <c r="AV290" s="137" t="s">
        <v>20</v>
      </c>
      <c r="AW290" s="15" t="s">
        <v>544</v>
      </c>
      <c r="AX290" s="278">
        <f>AY290</f>
        <v>45659</v>
      </c>
      <c r="AY290" s="278">
        <v>45659</v>
      </c>
      <c r="AZ290" s="182" t="s">
        <v>539</v>
      </c>
      <c r="BA290" s="183"/>
      <c r="BB290" s="137" t="s">
        <v>20</v>
      </c>
      <c r="BC290" s="131"/>
      <c r="BD290" s="131" t="s">
        <v>21</v>
      </c>
      <c r="BE290" s="279">
        <f>BF290-2</f>
        <v>45714</v>
      </c>
      <c r="BF290" s="279">
        <v>45716</v>
      </c>
      <c r="BG290" s="17" t="s">
        <v>578</v>
      </c>
      <c r="BH290" s="188"/>
      <c r="BI290" s="137" t="s">
        <v>20</v>
      </c>
      <c r="BJ290" s="131">
        <v>45780</v>
      </c>
      <c r="BK290" s="131">
        <v>45780</v>
      </c>
      <c r="BL290" s="25">
        <v>1252</v>
      </c>
      <c r="BM290" s="24" t="s">
        <v>587</v>
      </c>
    </row>
    <row r="291" spans="1:65" ht="14.25" customHeight="1">
      <c r="A291" s="15" t="s">
        <v>0</v>
      </c>
      <c r="B291" s="19"/>
      <c r="C291" s="179"/>
      <c r="D291" s="130"/>
      <c r="E291" s="130"/>
      <c r="F291" s="130"/>
      <c r="G291" s="130"/>
      <c r="H291" s="180"/>
      <c r="I291" s="19"/>
      <c r="J291" s="19"/>
      <c r="K291" s="181"/>
      <c r="L291" s="173"/>
      <c r="M291" s="15"/>
      <c r="N291" s="15"/>
      <c r="O291" s="15"/>
      <c r="P291" s="175"/>
      <c r="Q291" s="173"/>
      <c r="R291" s="15"/>
      <c r="S291" s="175"/>
      <c r="T291" s="198"/>
      <c r="U291" s="198"/>
      <c r="V291" s="16">
        <v>321.89</v>
      </c>
      <c r="W291" s="15" t="s">
        <v>542</v>
      </c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77"/>
      <c r="AM291" s="15"/>
      <c r="AN291" s="24"/>
      <c r="AO291" s="24"/>
      <c r="AP291" s="24"/>
      <c r="AQ291" s="24"/>
      <c r="AR291" s="24"/>
      <c r="AS291" s="25"/>
      <c r="AT291" s="25"/>
      <c r="AU291" s="178"/>
      <c r="AV291" s="15"/>
      <c r="AW291" s="24"/>
      <c r="AX291" s="278"/>
      <c r="AY291" s="278"/>
      <c r="AZ291" s="24"/>
      <c r="BA291" s="178"/>
      <c r="BB291" s="24"/>
      <c r="BC291" s="24"/>
      <c r="BD291" s="24"/>
      <c r="BE291" s="24"/>
      <c r="BF291" s="24"/>
      <c r="BG291" s="24"/>
      <c r="BH291" s="178"/>
      <c r="BI291" s="24"/>
      <c r="BJ291" s="24"/>
      <c r="BK291" s="24"/>
      <c r="BL291" s="24"/>
      <c r="BM291" s="24"/>
    </row>
    <row r="292" spans="1:65" ht="14.25" customHeight="1">
      <c r="A292" s="15">
        <f t="shared" si="98"/>
        <v>142</v>
      </c>
      <c r="B292" s="19" t="s">
        <v>222</v>
      </c>
      <c r="C292" s="179" t="s">
        <v>42</v>
      </c>
      <c r="D292" s="130">
        <v>6.3620000000000001</v>
      </c>
      <c r="E292" s="130">
        <f>D292*4</f>
        <v>25.448</v>
      </c>
      <c r="F292" s="130">
        <f>E292*8</f>
        <v>203.584</v>
      </c>
      <c r="G292" s="130"/>
      <c r="H292" s="180"/>
      <c r="I292" s="19"/>
      <c r="J292" s="19"/>
      <c r="K292" s="181"/>
      <c r="L292" s="173">
        <v>2.25</v>
      </c>
      <c r="M292" s="15">
        <v>2.1880000000000002</v>
      </c>
      <c r="N292" s="15">
        <v>2E-3</v>
      </c>
      <c r="O292" s="15">
        <v>0.183</v>
      </c>
      <c r="P292" s="175">
        <f t="shared" si="93"/>
        <v>4.6230000000000002</v>
      </c>
      <c r="Q292" s="173">
        <v>0.24399999999999999</v>
      </c>
      <c r="R292" s="15">
        <v>5.0000000000000001E-3</v>
      </c>
      <c r="S292" s="175">
        <f t="shared" si="94"/>
        <v>0.249</v>
      </c>
      <c r="T292" s="198"/>
      <c r="U292" s="176" t="s">
        <v>536</v>
      </c>
      <c r="V292" s="15"/>
      <c r="W292" s="15"/>
      <c r="X292" s="15">
        <v>121.84</v>
      </c>
      <c r="Y292" s="15">
        <v>1.4</v>
      </c>
      <c r="Z292" s="15">
        <v>10.63</v>
      </c>
      <c r="AA292" s="15">
        <f t="shared" si="95"/>
        <v>12.030000000000001</v>
      </c>
      <c r="AB292" s="15">
        <v>91.893799999999999</v>
      </c>
      <c r="AC292" s="15">
        <v>4594.6899999999996</v>
      </c>
      <c r="AD292" s="15">
        <v>63.93</v>
      </c>
      <c r="AE292" s="15">
        <v>481.99</v>
      </c>
      <c r="AF292" s="15"/>
      <c r="AG292" s="15">
        <v>100.6</v>
      </c>
      <c r="AH292" s="15">
        <v>157.18</v>
      </c>
      <c r="AI292" s="15"/>
      <c r="AJ292" s="15">
        <v>803.7</v>
      </c>
      <c r="AK292" s="15">
        <v>0.80370000000000008</v>
      </c>
      <c r="AL292" s="177"/>
      <c r="AM292" s="137" t="s">
        <v>20</v>
      </c>
      <c r="AN292" s="131" t="str">
        <f>AO292</f>
        <v>D</v>
      </c>
      <c r="AO292" s="131" t="s">
        <v>21</v>
      </c>
      <c r="AP292" s="349">
        <v>45598</v>
      </c>
      <c r="AQ292" s="349">
        <f t="shared" ref="AQ292:AR292" si="102">AR292-2</f>
        <v>45600</v>
      </c>
      <c r="AR292" s="349">
        <f t="shared" si="102"/>
        <v>45602</v>
      </c>
      <c r="AS292" s="530">
        <v>45604</v>
      </c>
      <c r="AT292" s="25" t="s">
        <v>589</v>
      </c>
      <c r="AU292" s="183"/>
      <c r="AV292" s="137" t="s">
        <v>20</v>
      </c>
      <c r="AW292" s="15" t="s">
        <v>544</v>
      </c>
      <c r="AX292" s="278">
        <f>AY292</f>
        <v>45659</v>
      </c>
      <c r="AY292" s="278">
        <v>45659</v>
      </c>
      <c r="AZ292" s="182" t="s">
        <v>539</v>
      </c>
      <c r="BA292" s="183"/>
      <c r="BB292" s="137" t="s">
        <v>20</v>
      </c>
      <c r="BC292" s="131"/>
      <c r="BD292" s="131" t="s">
        <v>21</v>
      </c>
      <c r="BE292" s="279">
        <f>BF292-2</f>
        <v>45709</v>
      </c>
      <c r="BF292" s="279">
        <v>45711</v>
      </c>
      <c r="BG292" s="17" t="s">
        <v>578</v>
      </c>
      <c r="BH292" s="188"/>
      <c r="BI292" s="137" t="s">
        <v>20</v>
      </c>
      <c r="BJ292" s="131">
        <v>45780</v>
      </c>
      <c r="BK292" s="131">
        <v>45780</v>
      </c>
      <c r="BL292" s="25">
        <v>980</v>
      </c>
      <c r="BM292" s="24" t="s">
        <v>587</v>
      </c>
    </row>
    <row r="293" spans="1:65" ht="14.25" customHeight="1">
      <c r="A293" s="15" t="s">
        <v>0</v>
      </c>
      <c r="B293" s="19"/>
      <c r="C293" s="179"/>
      <c r="D293" s="130"/>
      <c r="E293" s="130"/>
      <c r="F293" s="130"/>
      <c r="G293" s="130"/>
      <c r="H293" s="180"/>
      <c r="I293" s="19"/>
      <c r="J293" s="19"/>
      <c r="K293" s="181"/>
      <c r="L293" s="173"/>
      <c r="M293" s="15"/>
      <c r="N293" s="15"/>
      <c r="O293" s="15"/>
      <c r="P293" s="175"/>
      <c r="Q293" s="173"/>
      <c r="R293" s="15"/>
      <c r="S293" s="175"/>
      <c r="T293" s="198"/>
      <c r="U293" s="198"/>
      <c r="V293" s="16">
        <v>352.14</v>
      </c>
      <c r="W293" s="15" t="s">
        <v>592</v>
      </c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77"/>
      <c r="AM293" s="15"/>
      <c r="AN293" s="24"/>
      <c r="AO293" s="24"/>
      <c r="AP293" s="24"/>
      <c r="AQ293" s="24"/>
      <c r="AR293" s="24"/>
      <c r="AS293" s="25"/>
      <c r="AT293" s="25"/>
      <c r="AU293" s="178"/>
      <c r="AV293" s="15"/>
      <c r="AW293" s="24"/>
      <c r="AX293" s="278"/>
      <c r="AY293" s="278"/>
      <c r="AZ293" s="24"/>
      <c r="BA293" s="178"/>
      <c r="BB293" s="24"/>
      <c r="BC293" s="24"/>
      <c r="BD293" s="24"/>
      <c r="BE293" s="24"/>
      <c r="BF293" s="24"/>
      <c r="BG293" s="24"/>
      <c r="BH293" s="178"/>
      <c r="BI293" s="24"/>
      <c r="BJ293" s="24"/>
      <c r="BK293" s="24"/>
      <c r="BL293" s="24"/>
      <c r="BM293" s="24"/>
    </row>
    <row r="294" spans="1:65" ht="14.25" customHeight="1">
      <c r="A294" s="15">
        <f t="shared" si="98"/>
        <v>143</v>
      </c>
      <c r="B294" s="19" t="s">
        <v>223</v>
      </c>
      <c r="C294" s="179" t="s">
        <v>37</v>
      </c>
      <c r="D294" s="130">
        <v>6.992</v>
      </c>
      <c r="E294" s="130">
        <f>D294*4</f>
        <v>27.968</v>
      </c>
      <c r="F294" s="130">
        <f>E294*8</f>
        <v>223.744</v>
      </c>
      <c r="G294" s="130"/>
      <c r="H294" s="180"/>
      <c r="I294" s="19"/>
      <c r="J294" s="19"/>
      <c r="K294" s="181"/>
      <c r="L294" s="173">
        <v>2.6070000000000002</v>
      </c>
      <c r="M294" s="15">
        <v>2.657</v>
      </c>
      <c r="N294" s="15">
        <v>2E-3</v>
      </c>
      <c r="O294" s="15">
        <v>0.21299999999999999</v>
      </c>
      <c r="P294" s="175">
        <f t="shared" si="93"/>
        <v>5.4790000000000001</v>
      </c>
      <c r="Q294" s="173">
        <v>0.24399999999999999</v>
      </c>
      <c r="R294" s="15">
        <v>5.0000000000000001E-3</v>
      </c>
      <c r="S294" s="175">
        <f t="shared" si="94"/>
        <v>0.249</v>
      </c>
      <c r="T294" s="198"/>
      <c r="U294" s="176" t="s">
        <v>536</v>
      </c>
      <c r="V294" s="15"/>
      <c r="W294" s="15"/>
      <c r="X294" s="16">
        <v>147.88</v>
      </c>
      <c r="Y294" s="16">
        <v>1.74</v>
      </c>
      <c r="Z294" s="16">
        <v>12.26</v>
      </c>
      <c r="AA294" s="16">
        <f t="shared" si="95"/>
        <v>14</v>
      </c>
      <c r="AB294" s="23">
        <f>+Y294*4.44+Z294*8.06</f>
        <v>106.5412</v>
      </c>
      <c r="AC294" s="16">
        <f>+AB294*50</f>
        <v>5327.06</v>
      </c>
      <c r="AD294" s="16">
        <v>63.93</v>
      </c>
      <c r="AE294" s="16">
        <v>558.32000000000005</v>
      </c>
      <c r="AF294" s="16"/>
      <c r="AG294" s="16">
        <v>100.6</v>
      </c>
      <c r="AH294" s="16">
        <v>157.18</v>
      </c>
      <c r="AI294" s="16"/>
      <c r="AJ294" s="16">
        <f>SUM(AD294:AI294)</f>
        <v>880.03</v>
      </c>
      <c r="AK294" s="15">
        <f>+AJ294/1000</f>
        <v>0.88002999999999998</v>
      </c>
      <c r="AL294" s="177"/>
      <c r="AM294" s="137" t="s">
        <v>20</v>
      </c>
      <c r="AN294" s="131" t="str">
        <f>AO294</f>
        <v>D</v>
      </c>
      <c r="AO294" s="131" t="s">
        <v>21</v>
      </c>
      <c r="AP294" s="349">
        <v>45596</v>
      </c>
      <c r="AQ294" s="349">
        <v>45597</v>
      </c>
      <c r="AR294" s="349">
        <v>45599</v>
      </c>
      <c r="AS294" s="530">
        <v>45601</v>
      </c>
      <c r="AT294" s="25" t="s">
        <v>589</v>
      </c>
      <c r="AU294" s="183"/>
      <c r="AV294" s="137" t="s">
        <v>20</v>
      </c>
      <c r="AW294" s="15" t="s">
        <v>544</v>
      </c>
      <c r="AX294" s="278">
        <f>AY294</f>
        <v>45659</v>
      </c>
      <c r="AY294" s="278">
        <v>45659</v>
      </c>
      <c r="AZ294" s="182" t="s">
        <v>539</v>
      </c>
      <c r="BA294" s="183"/>
      <c r="BB294" s="137" t="s">
        <v>20</v>
      </c>
      <c r="BC294" s="131"/>
      <c r="BD294" s="131" t="s">
        <v>21</v>
      </c>
      <c r="BE294" s="279">
        <f>BF294-2</f>
        <v>45711</v>
      </c>
      <c r="BF294" s="279">
        <v>45713</v>
      </c>
      <c r="BG294" s="17" t="s">
        <v>578</v>
      </c>
      <c r="BH294" s="188"/>
      <c r="BI294" s="137" t="s">
        <v>20</v>
      </c>
      <c r="BJ294" s="131">
        <v>45780</v>
      </c>
      <c r="BK294" s="131">
        <v>45780</v>
      </c>
      <c r="BL294" s="25">
        <v>1330</v>
      </c>
      <c r="BM294" s="24" t="s">
        <v>587</v>
      </c>
    </row>
    <row r="295" spans="1:65" ht="14.25" customHeight="1">
      <c r="A295" s="15" t="s">
        <v>0</v>
      </c>
      <c r="B295" s="19"/>
      <c r="C295" s="179"/>
      <c r="D295" s="130"/>
      <c r="E295" s="130"/>
      <c r="F295" s="130"/>
      <c r="G295" s="130"/>
      <c r="H295" s="180"/>
      <c r="I295" s="19"/>
      <c r="J295" s="19"/>
      <c r="K295" s="181"/>
      <c r="L295" s="173"/>
      <c r="M295" s="15"/>
      <c r="N295" s="15"/>
      <c r="O295" s="15"/>
      <c r="P295" s="175"/>
      <c r="Q295" s="173"/>
      <c r="R295" s="15"/>
      <c r="S295" s="175"/>
      <c r="T295" s="198"/>
      <c r="U295" s="198"/>
      <c r="V295" s="16">
        <v>347.32</v>
      </c>
      <c r="W295" s="15" t="s">
        <v>566</v>
      </c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77"/>
      <c r="AM295" s="15"/>
      <c r="AN295" s="24"/>
      <c r="AO295" s="24"/>
      <c r="AP295" s="24"/>
      <c r="AQ295" s="24"/>
      <c r="AR295" s="24"/>
      <c r="AS295" s="134"/>
      <c r="AT295" s="25"/>
      <c r="AU295" s="178"/>
      <c r="AV295" s="15"/>
      <c r="AW295" s="24"/>
      <c r="AX295" s="278"/>
      <c r="AY295" s="278"/>
      <c r="AZ295" s="24"/>
      <c r="BA295" s="178"/>
      <c r="BB295" s="24"/>
      <c r="BC295" s="24"/>
      <c r="BD295" s="24"/>
      <c r="BE295" s="24"/>
      <c r="BF295" s="24"/>
      <c r="BG295" s="24"/>
      <c r="BH295" s="178"/>
      <c r="BI295" s="24"/>
      <c r="BJ295" s="24"/>
      <c r="BK295" s="24"/>
      <c r="BL295" s="24"/>
      <c r="BM295" s="24"/>
    </row>
    <row r="296" spans="1:65" ht="14.25" customHeight="1">
      <c r="A296" s="15">
        <f t="shared" si="98"/>
        <v>144</v>
      </c>
      <c r="B296" s="19" t="s">
        <v>224</v>
      </c>
      <c r="C296" s="179" t="s">
        <v>42</v>
      </c>
      <c r="D296" s="130">
        <v>6.3620000000000001</v>
      </c>
      <c r="E296" s="130">
        <f>D296*4</f>
        <v>25.448</v>
      </c>
      <c r="F296" s="130">
        <f>E296*8</f>
        <v>203.584</v>
      </c>
      <c r="G296" s="130"/>
      <c r="H296" s="180"/>
      <c r="I296" s="19"/>
      <c r="J296" s="19"/>
      <c r="K296" s="181"/>
      <c r="L296" s="173">
        <v>2.25</v>
      </c>
      <c r="M296" s="15">
        <v>2.1880000000000002</v>
      </c>
      <c r="N296" s="15">
        <v>2E-3</v>
      </c>
      <c r="O296" s="15">
        <v>0.183</v>
      </c>
      <c r="P296" s="175">
        <f t="shared" si="93"/>
        <v>4.6230000000000002</v>
      </c>
      <c r="Q296" s="173">
        <v>0.24399999999999999</v>
      </c>
      <c r="R296" s="15">
        <v>5.0000000000000001E-3</v>
      </c>
      <c r="S296" s="175">
        <f t="shared" si="94"/>
        <v>0.249</v>
      </c>
      <c r="T296" s="198"/>
      <c r="U296" s="176" t="s">
        <v>536</v>
      </c>
      <c r="V296" s="15"/>
      <c r="W296" s="15"/>
      <c r="X296" s="16">
        <v>147.88</v>
      </c>
      <c r="Y296" s="16">
        <v>1.74</v>
      </c>
      <c r="Z296" s="16">
        <v>12.26</v>
      </c>
      <c r="AA296" s="16">
        <f t="shared" si="95"/>
        <v>14</v>
      </c>
      <c r="AB296" s="23">
        <f>+Y296*4.44+Z296*8.06</f>
        <v>106.5412</v>
      </c>
      <c r="AC296" s="16">
        <f>+AB296*50</f>
        <v>5327.06</v>
      </c>
      <c r="AD296" s="16">
        <v>63.93</v>
      </c>
      <c r="AE296" s="16">
        <v>558.32000000000005</v>
      </c>
      <c r="AF296" s="16"/>
      <c r="AG296" s="16">
        <v>100.6</v>
      </c>
      <c r="AH296" s="16">
        <v>157.18</v>
      </c>
      <c r="AI296" s="16"/>
      <c r="AJ296" s="16">
        <f>SUM(AD296:AI296)</f>
        <v>880.03</v>
      </c>
      <c r="AK296" s="15">
        <f>+AJ296/1000</f>
        <v>0.88002999999999998</v>
      </c>
      <c r="AL296" s="177"/>
      <c r="AM296" s="137" t="s">
        <v>20</v>
      </c>
      <c r="AN296" s="131" t="str">
        <f>AO296</f>
        <v>D</v>
      </c>
      <c r="AO296" s="131" t="s">
        <v>21</v>
      </c>
      <c r="AP296" s="349">
        <v>45587</v>
      </c>
      <c r="AQ296" s="349">
        <v>45588</v>
      </c>
      <c r="AR296" s="349">
        <v>45589</v>
      </c>
      <c r="AS296" s="530">
        <v>45591</v>
      </c>
      <c r="AT296" s="25" t="s">
        <v>589</v>
      </c>
      <c r="AU296" s="183"/>
      <c r="AV296" s="137" t="s">
        <v>20</v>
      </c>
      <c r="AW296" s="15" t="s">
        <v>544</v>
      </c>
      <c r="AX296" s="278">
        <f>AY296</f>
        <v>45659</v>
      </c>
      <c r="AY296" s="278">
        <v>45659</v>
      </c>
      <c r="AZ296" s="182" t="s">
        <v>539</v>
      </c>
      <c r="BA296" s="183"/>
      <c r="BB296" s="137" t="s">
        <v>20</v>
      </c>
      <c r="BC296" s="131"/>
      <c r="BD296" s="131" t="s">
        <v>21</v>
      </c>
      <c r="BE296" s="279">
        <f>BF296-2</f>
        <v>45716</v>
      </c>
      <c r="BF296" s="279">
        <v>45718</v>
      </c>
      <c r="BG296" s="17" t="s">
        <v>578</v>
      </c>
      <c r="BH296" s="188"/>
      <c r="BI296" s="137" t="s">
        <v>20</v>
      </c>
      <c r="BJ296" s="131">
        <v>45780</v>
      </c>
      <c r="BK296" s="131">
        <v>45780</v>
      </c>
      <c r="BL296" s="25">
        <v>980</v>
      </c>
      <c r="BM296" s="24" t="s">
        <v>587</v>
      </c>
    </row>
    <row r="297" spans="1:65" ht="14.25" customHeight="1">
      <c r="A297" s="15" t="s">
        <v>0</v>
      </c>
      <c r="B297" s="19"/>
      <c r="C297" s="179"/>
      <c r="D297" s="130"/>
      <c r="E297" s="130"/>
      <c r="F297" s="130"/>
      <c r="G297" s="130"/>
      <c r="H297" s="180"/>
      <c r="I297" s="19"/>
      <c r="J297" s="19"/>
      <c r="K297" s="181"/>
      <c r="L297" s="173"/>
      <c r="M297" s="15"/>
      <c r="N297" s="15"/>
      <c r="O297" s="15"/>
      <c r="P297" s="175"/>
      <c r="Q297" s="173"/>
      <c r="R297" s="15"/>
      <c r="S297" s="175"/>
      <c r="T297" s="198"/>
      <c r="U297" s="198"/>
      <c r="V297" s="16">
        <v>339.42</v>
      </c>
      <c r="W297" s="15" t="s">
        <v>566</v>
      </c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77"/>
      <c r="AM297" s="15"/>
      <c r="AN297" s="24"/>
      <c r="AO297" s="24"/>
      <c r="AP297" s="24"/>
      <c r="AQ297" s="24"/>
      <c r="AR297" s="24"/>
      <c r="AS297" s="25"/>
      <c r="AT297" s="25"/>
      <c r="AU297" s="178"/>
      <c r="AV297" s="15"/>
      <c r="AW297" s="24"/>
      <c r="AX297" s="278"/>
      <c r="AY297" s="278"/>
      <c r="AZ297" s="24"/>
      <c r="BA297" s="178"/>
      <c r="BB297" s="24"/>
      <c r="BC297" s="24"/>
      <c r="BD297" s="24"/>
      <c r="BE297" s="24"/>
      <c r="BF297" s="24"/>
      <c r="BG297" s="24"/>
      <c r="BH297" s="178"/>
      <c r="BI297" s="24"/>
      <c r="BJ297" s="24"/>
      <c r="BK297" s="24"/>
      <c r="BL297" s="24"/>
      <c r="BM297" s="24"/>
    </row>
    <row r="298" spans="1:65" ht="14.25" customHeight="1">
      <c r="A298" s="15">
        <f t="shared" si="98"/>
        <v>145</v>
      </c>
      <c r="B298" s="19" t="s">
        <v>225</v>
      </c>
      <c r="C298" s="179" t="s">
        <v>42</v>
      </c>
      <c r="D298" s="130">
        <v>6.3620000000000001</v>
      </c>
      <c r="E298" s="130">
        <f>D298*4</f>
        <v>25.448</v>
      </c>
      <c r="F298" s="130">
        <f>E298*8</f>
        <v>203.584</v>
      </c>
      <c r="G298" s="130"/>
      <c r="H298" s="180"/>
      <c r="I298" s="19"/>
      <c r="J298" s="19"/>
      <c r="K298" s="181"/>
      <c r="L298" s="173">
        <v>2.25</v>
      </c>
      <c r="M298" s="15">
        <v>2.1880000000000002</v>
      </c>
      <c r="N298" s="15">
        <v>2E-3</v>
      </c>
      <c r="O298" s="15">
        <v>0.183</v>
      </c>
      <c r="P298" s="175">
        <f t="shared" si="93"/>
        <v>4.6230000000000002</v>
      </c>
      <c r="Q298" s="173">
        <v>0.24399999999999999</v>
      </c>
      <c r="R298" s="15">
        <v>5.0000000000000001E-3</v>
      </c>
      <c r="S298" s="175">
        <f t="shared" si="94"/>
        <v>0.249</v>
      </c>
      <c r="T298" s="198"/>
      <c r="U298" s="176" t="s">
        <v>536</v>
      </c>
      <c r="V298" s="15"/>
      <c r="W298" s="15"/>
      <c r="X298" s="16">
        <v>147.88</v>
      </c>
      <c r="Y298" s="16">
        <v>1.74</v>
      </c>
      <c r="Z298" s="16">
        <v>12.26</v>
      </c>
      <c r="AA298" s="16">
        <f t="shared" si="95"/>
        <v>14</v>
      </c>
      <c r="AB298" s="23">
        <f>+Y298*4.44+Z298*8.06</f>
        <v>106.5412</v>
      </c>
      <c r="AC298" s="16">
        <f>+AB298*50</f>
        <v>5327.06</v>
      </c>
      <c r="AD298" s="16">
        <v>63.93</v>
      </c>
      <c r="AE298" s="16">
        <v>558.32000000000005</v>
      </c>
      <c r="AF298" s="16"/>
      <c r="AG298" s="16">
        <v>100.6</v>
      </c>
      <c r="AH298" s="16">
        <v>157.18</v>
      </c>
      <c r="AI298" s="16"/>
      <c r="AJ298" s="16">
        <f>SUM(AD298:AI298)</f>
        <v>880.03</v>
      </c>
      <c r="AK298" s="15">
        <f>+AJ298/1000</f>
        <v>0.88002999999999998</v>
      </c>
      <c r="AL298" s="177"/>
      <c r="AM298" s="137" t="s">
        <v>20</v>
      </c>
      <c r="AN298" s="131" t="str">
        <f>AO298</f>
        <v>D</v>
      </c>
      <c r="AO298" s="131" t="s">
        <v>21</v>
      </c>
      <c r="AP298" s="349">
        <v>45591</v>
      </c>
      <c r="AQ298" s="349">
        <v>45592</v>
      </c>
      <c r="AR298" s="349">
        <v>45594</v>
      </c>
      <c r="AS298" s="530">
        <v>45595</v>
      </c>
      <c r="AT298" s="25" t="s">
        <v>589</v>
      </c>
      <c r="AU298" s="183"/>
      <c r="AV298" s="137" t="s">
        <v>20</v>
      </c>
      <c r="AW298" s="15" t="s">
        <v>544</v>
      </c>
      <c r="AX298" s="278">
        <f>AY298</f>
        <v>45659</v>
      </c>
      <c r="AY298" s="278">
        <v>45659</v>
      </c>
      <c r="AZ298" s="182" t="s">
        <v>539</v>
      </c>
      <c r="BA298" s="183"/>
      <c r="BB298" s="137" t="s">
        <v>20</v>
      </c>
      <c r="BC298" s="131"/>
      <c r="BD298" s="131" t="s">
        <v>21</v>
      </c>
      <c r="BE298" s="279">
        <f>BF298-2</f>
        <v>45718</v>
      </c>
      <c r="BF298" s="279">
        <v>45720</v>
      </c>
      <c r="BG298" s="17" t="s">
        <v>578</v>
      </c>
      <c r="BH298" s="188"/>
      <c r="BI298" s="137" t="s">
        <v>20</v>
      </c>
      <c r="BJ298" s="131">
        <v>45780</v>
      </c>
      <c r="BK298" s="131">
        <v>45780</v>
      </c>
      <c r="BL298" s="25">
        <v>980</v>
      </c>
      <c r="BM298" s="24" t="s">
        <v>587</v>
      </c>
    </row>
    <row r="299" spans="1:65" ht="14.25" customHeight="1">
      <c r="A299" s="15" t="s">
        <v>0</v>
      </c>
      <c r="B299" s="19"/>
      <c r="C299" s="179"/>
      <c r="D299" s="130"/>
      <c r="E299" s="130"/>
      <c r="F299" s="130"/>
      <c r="G299" s="130"/>
      <c r="H299" s="180"/>
      <c r="I299" s="19"/>
      <c r="J299" s="19"/>
      <c r="K299" s="181"/>
      <c r="L299" s="173"/>
      <c r="M299" s="15"/>
      <c r="N299" s="15"/>
      <c r="O299" s="15"/>
      <c r="P299" s="175"/>
      <c r="Q299" s="173"/>
      <c r="R299" s="15"/>
      <c r="S299" s="175"/>
      <c r="T299" s="198"/>
      <c r="U299" s="198"/>
      <c r="V299" s="16">
        <v>330.88</v>
      </c>
      <c r="W299" s="15" t="s">
        <v>566</v>
      </c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77"/>
      <c r="AM299" s="15"/>
      <c r="AN299" s="24"/>
      <c r="AO299" s="24"/>
      <c r="AP299" s="24"/>
      <c r="AQ299" s="24"/>
      <c r="AR299" s="24"/>
      <c r="AS299" s="25"/>
      <c r="AT299" s="25"/>
      <c r="AU299" s="178"/>
      <c r="AV299" s="15"/>
      <c r="AW299" s="24"/>
      <c r="AX299" s="278"/>
      <c r="AY299" s="278"/>
      <c r="AZ299" s="24"/>
      <c r="BA299" s="178"/>
      <c r="BB299" s="24"/>
      <c r="BC299" s="24"/>
      <c r="BD299" s="24"/>
      <c r="BE299" s="24"/>
      <c r="BF299" s="24"/>
      <c r="BG299" s="24"/>
      <c r="BH299" s="178"/>
      <c r="BI299" s="24"/>
      <c r="BJ299" s="24"/>
      <c r="BK299" s="24"/>
      <c r="BL299" s="24"/>
      <c r="BM299" s="24"/>
    </row>
    <row r="300" spans="1:65" ht="14.25" customHeight="1">
      <c r="A300" s="15">
        <f t="shared" si="98"/>
        <v>146</v>
      </c>
      <c r="B300" s="19" t="s">
        <v>226</v>
      </c>
      <c r="C300" s="179" t="s">
        <v>42</v>
      </c>
      <c r="D300" s="130">
        <v>6.3620000000000001</v>
      </c>
      <c r="E300" s="130">
        <f>D300*4</f>
        <v>25.448</v>
      </c>
      <c r="F300" s="130">
        <f>E300*8</f>
        <v>203.584</v>
      </c>
      <c r="G300" s="130"/>
      <c r="H300" s="180"/>
      <c r="I300" s="19"/>
      <c r="J300" s="19"/>
      <c r="K300" s="181"/>
      <c r="L300" s="173">
        <v>2.25</v>
      </c>
      <c r="M300" s="15">
        <v>2.1880000000000002</v>
      </c>
      <c r="N300" s="15">
        <v>2E-3</v>
      </c>
      <c r="O300" s="15">
        <v>0.183</v>
      </c>
      <c r="P300" s="175">
        <f t="shared" si="93"/>
        <v>4.6230000000000002</v>
      </c>
      <c r="Q300" s="173">
        <v>0.24399999999999999</v>
      </c>
      <c r="R300" s="15">
        <v>5.0000000000000001E-3</v>
      </c>
      <c r="S300" s="175">
        <f t="shared" si="94"/>
        <v>0.249</v>
      </c>
      <c r="T300" s="198"/>
      <c r="U300" s="176" t="s">
        <v>536</v>
      </c>
      <c r="V300" s="15"/>
      <c r="W300" s="15"/>
      <c r="X300" s="15">
        <v>80.64</v>
      </c>
      <c r="Y300" s="15">
        <v>0.88</v>
      </c>
      <c r="Z300" s="15">
        <v>8.1199999999999992</v>
      </c>
      <c r="AA300" s="15">
        <f t="shared" si="95"/>
        <v>9</v>
      </c>
      <c r="AB300" s="15">
        <v>69.354399999999998</v>
      </c>
      <c r="AC300" s="15">
        <v>3467.72</v>
      </c>
      <c r="AD300" s="15">
        <v>73.73</v>
      </c>
      <c r="AE300" s="15">
        <v>313.64</v>
      </c>
      <c r="AF300" s="15"/>
      <c r="AG300" s="15">
        <v>201.4</v>
      </c>
      <c r="AH300" s="15"/>
      <c r="AI300" s="15"/>
      <c r="AJ300" s="15">
        <v>588.77</v>
      </c>
      <c r="AK300" s="15">
        <v>0.58877000000000002</v>
      </c>
      <c r="AL300" s="177"/>
      <c r="AM300" s="137" t="s">
        <v>20</v>
      </c>
      <c r="AN300" s="131" t="str">
        <f>AO300</f>
        <v>D</v>
      </c>
      <c r="AO300" s="131" t="s">
        <v>21</v>
      </c>
      <c r="AP300" s="349">
        <v>45513</v>
      </c>
      <c r="AQ300" s="349">
        <v>45514</v>
      </c>
      <c r="AR300" s="349">
        <v>45516</v>
      </c>
      <c r="AS300" s="530">
        <v>45520</v>
      </c>
      <c r="AT300" s="25" t="s">
        <v>585</v>
      </c>
      <c r="AU300" s="183"/>
      <c r="AV300" s="137" t="s">
        <v>20</v>
      </c>
      <c r="AW300" s="15" t="s">
        <v>544</v>
      </c>
      <c r="AX300" s="278">
        <f>AY300</f>
        <v>45659</v>
      </c>
      <c r="AY300" s="278">
        <v>45659</v>
      </c>
      <c r="AZ300" s="182" t="s">
        <v>539</v>
      </c>
      <c r="BA300" s="183"/>
      <c r="BB300" s="137" t="s">
        <v>20</v>
      </c>
      <c r="BC300" s="131"/>
      <c r="BD300" s="131" t="s">
        <v>21</v>
      </c>
      <c r="BE300" s="279">
        <f>BF300-2</f>
        <v>45705</v>
      </c>
      <c r="BF300" s="279">
        <v>45707</v>
      </c>
      <c r="BG300" s="17" t="s">
        <v>578</v>
      </c>
      <c r="BH300" s="188"/>
      <c r="BI300" s="137" t="s">
        <v>20</v>
      </c>
      <c r="BJ300" s="131">
        <v>45780</v>
      </c>
      <c r="BK300" s="131">
        <v>45780</v>
      </c>
      <c r="BL300" s="25">
        <v>980</v>
      </c>
      <c r="BM300" s="24" t="s">
        <v>587</v>
      </c>
    </row>
    <row r="301" spans="1:65" ht="14.25" customHeight="1">
      <c r="A301" s="15" t="s">
        <v>0</v>
      </c>
      <c r="B301" s="19"/>
      <c r="C301" s="179"/>
      <c r="D301" s="130"/>
      <c r="E301" s="130"/>
      <c r="F301" s="130"/>
      <c r="G301" s="130"/>
      <c r="H301" s="180"/>
      <c r="I301" s="19"/>
      <c r="J301" s="19"/>
      <c r="K301" s="181"/>
      <c r="L301" s="173"/>
      <c r="M301" s="15"/>
      <c r="N301" s="15"/>
      <c r="O301" s="15"/>
      <c r="P301" s="175"/>
      <c r="Q301" s="173"/>
      <c r="R301" s="15"/>
      <c r="S301" s="175"/>
      <c r="T301" s="198"/>
      <c r="U301" s="198"/>
      <c r="V301" s="16">
        <v>279.99</v>
      </c>
      <c r="W301" s="15" t="s">
        <v>565</v>
      </c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77"/>
      <c r="AM301" s="15"/>
      <c r="AN301" s="24"/>
      <c r="AO301" s="24"/>
      <c r="AP301" s="24"/>
      <c r="AQ301" s="24"/>
      <c r="AR301" s="24"/>
      <c r="AS301" s="25"/>
      <c r="AT301" s="25"/>
      <c r="AU301" s="178"/>
      <c r="AV301" s="15"/>
      <c r="AW301" s="24"/>
      <c r="AX301" s="278"/>
      <c r="AY301" s="278"/>
      <c r="AZ301" s="24"/>
      <c r="BA301" s="178"/>
      <c r="BB301" s="24"/>
      <c r="BC301" s="24"/>
      <c r="BD301" s="24"/>
      <c r="BE301" s="24"/>
      <c r="BF301" s="24"/>
      <c r="BG301" s="24"/>
      <c r="BH301" s="178"/>
      <c r="BI301" s="24"/>
      <c r="BJ301" s="24"/>
      <c r="BK301" s="24"/>
      <c r="BL301" s="24"/>
      <c r="BM301" s="24"/>
    </row>
    <row r="302" spans="1:65" ht="14.25" customHeight="1">
      <c r="A302" s="15">
        <f t="shared" si="98"/>
        <v>147</v>
      </c>
      <c r="B302" s="19" t="s">
        <v>227</v>
      </c>
      <c r="C302" s="179" t="s">
        <v>37</v>
      </c>
      <c r="D302" s="130">
        <v>6.992</v>
      </c>
      <c r="E302" s="130">
        <f>D302*4</f>
        <v>27.968</v>
      </c>
      <c r="F302" s="130">
        <f>E302*8</f>
        <v>223.744</v>
      </c>
      <c r="G302" s="130"/>
      <c r="H302" s="180"/>
      <c r="I302" s="19"/>
      <c r="J302" s="19"/>
      <c r="K302" s="181"/>
      <c r="L302" s="173">
        <v>2.6070000000000002</v>
      </c>
      <c r="M302" s="15">
        <v>2.657</v>
      </c>
      <c r="N302" s="15">
        <v>2E-3</v>
      </c>
      <c r="O302" s="15">
        <v>0.21299999999999999</v>
      </c>
      <c r="P302" s="175">
        <f t="shared" si="93"/>
        <v>5.4790000000000001</v>
      </c>
      <c r="Q302" s="173">
        <v>0.24399999999999999</v>
      </c>
      <c r="R302" s="15">
        <v>5.0000000000000001E-3</v>
      </c>
      <c r="S302" s="175">
        <f t="shared" si="94"/>
        <v>0.249</v>
      </c>
      <c r="T302" s="198"/>
      <c r="U302" s="176" t="s">
        <v>536</v>
      </c>
      <c r="V302" s="15"/>
      <c r="W302" s="15"/>
      <c r="X302" s="15">
        <v>121.84</v>
      </c>
      <c r="Y302" s="15">
        <v>1.4</v>
      </c>
      <c r="Z302" s="15">
        <v>10.63</v>
      </c>
      <c r="AA302" s="15">
        <f t="shared" si="95"/>
        <v>12.030000000000001</v>
      </c>
      <c r="AB302" s="15">
        <v>91.893799999999999</v>
      </c>
      <c r="AC302" s="15">
        <v>4594.6899999999996</v>
      </c>
      <c r="AD302" s="15">
        <v>63.93</v>
      </c>
      <c r="AE302" s="15">
        <v>481.99</v>
      </c>
      <c r="AF302" s="15"/>
      <c r="AG302" s="15">
        <v>100.6</v>
      </c>
      <c r="AH302" s="15">
        <v>157.18</v>
      </c>
      <c r="AI302" s="15"/>
      <c r="AJ302" s="15">
        <v>803.7</v>
      </c>
      <c r="AK302" s="15">
        <v>0.80370000000000008</v>
      </c>
      <c r="AL302" s="177"/>
      <c r="AM302" s="137" t="s">
        <v>20</v>
      </c>
      <c r="AN302" s="131" t="str">
        <f>AO302</f>
        <v>D</v>
      </c>
      <c r="AO302" s="131" t="s">
        <v>21</v>
      </c>
      <c r="AP302" s="349">
        <v>45557</v>
      </c>
      <c r="AQ302" s="349">
        <v>45582</v>
      </c>
      <c r="AR302" s="349">
        <v>45583</v>
      </c>
      <c r="AS302" s="530">
        <v>45587</v>
      </c>
      <c r="AT302" s="25" t="s">
        <v>589</v>
      </c>
      <c r="AU302" s="183"/>
      <c r="AV302" s="137" t="s">
        <v>20</v>
      </c>
      <c r="AW302" s="15" t="s">
        <v>544</v>
      </c>
      <c r="AX302" s="278">
        <f>AY302</f>
        <v>45661</v>
      </c>
      <c r="AY302" s="278">
        <v>45661</v>
      </c>
      <c r="AZ302" s="182" t="s">
        <v>539</v>
      </c>
      <c r="BA302" s="183"/>
      <c r="BB302" s="137" t="s">
        <v>20</v>
      </c>
      <c r="BC302" s="131"/>
      <c r="BD302" s="131" t="s">
        <v>21</v>
      </c>
      <c r="BE302" s="279">
        <f>BF302-1</f>
        <v>45721</v>
      </c>
      <c r="BF302" s="279">
        <v>45722</v>
      </c>
      <c r="BG302" s="17" t="s">
        <v>578</v>
      </c>
      <c r="BH302" s="188"/>
      <c r="BI302" s="137" t="s">
        <v>20</v>
      </c>
      <c r="BJ302" s="131">
        <v>45781</v>
      </c>
      <c r="BK302" s="131">
        <v>45781</v>
      </c>
      <c r="BL302" s="25">
        <v>1330</v>
      </c>
      <c r="BM302" s="24" t="s">
        <v>587</v>
      </c>
    </row>
    <row r="303" spans="1:65" ht="14.25" customHeight="1">
      <c r="A303" s="15" t="s">
        <v>0</v>
      </c>
      <c r="B303" s="19"/>
      <c r="C303" s="179"/>
      <c r="D303" s="130"/>
      <c r="E303" s="130"/>
      <c r="F303" s="130"/>
      <c r="G303" s="130"/>
      <c r="H303" s="180"/>
      <c r="I303" s="19"/>
      <c r="J303" s="19"/>
      <c r="K303" s="181"/>
      <c r="L303" s="173"/>
      <c r="M303" s="15"/>
      <c r="N303" s="15"/>
      <c r="O303" s="15"/>
      <c r="P303" s="175"/>
      <c r="Q303" s="173"/>
      <c r="R303" s="15"/>
      <c r="S303" s="175"/>
      <c r="T303" s="198"/>
      <c r="U303" s="198"/>
      <c r="V303" s="16">
        <v>369.48</v>
      </c>
      <c r="W303" s="15" t="s">
        <v>542</v>
      </c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77"/>
      <c r="AM303" s="15"/>
      <c r="AN303" s="24"/>
      <c r="AO303" s="24"/>
      <c r="AP303" s="24"/>
      <c r="AQ303" s="24"/>
      <c r="AR303" s="24"/>
      <c r="AS303" s="25"/>
      <c r="AT303" s="25"/>
      <c r="AU303" s="178"/>
      <c r="AV303" s="15"/>
      <c r="AW303" s="24"/>
      <c r="AX303" s="278"/>
      <c r="AY303" s="278"/>
      <c r="AZ303" s="24"/>
      <c r="BA303" s="178"/>
      <c r="BB303" s="24"/>
      <c r="BC303" s="24"/>
      <c r="BD303" s="24"/>
      <c r="BE303" s="24"/>
      <c r="BF303" s="24"/>
      <c r="BG303" s="24"/>
      <c r="BH303" s="178"/>
      <c r="BI303" s="24"/>
      <c r="BJ303" s="24"/>
      <c r="BK303" s="24"/>
      <c r="BL303" s="24"/>
      <c r="BM303" s="24"/>
    </row>
    <row r="304" spans="1:65" ht="14.25" customHeight="1">
      <c r="A304" s="15">
        <f t="shared" si="98"/>
        <v>148</v>
      </c>
      <c r="B304" s="19" t="s">
        <v>228</v>
      </c>
      <c r="C304" s="179" t="s">
        <v>37</v>
      </c>
      <c r="D304" s="130">
        <v>6.992</v>
      </c>
      <c r="E304" s="130">
        <f>D304*4</f>
        <v>27.968</v>
      </c>
      <c r="F304" s="130">
        <f>E304*8</f>
        <v>223.744</v>
      </c>
      <c r="G304" s="130"/>
      <c r="H304" s="180"/>
      <c r="I304" s="19"/>
      <c r="J304" s="19"/>
      <c r="K304" s="181"/>
      <c r="L304" s="173">
        <v>2.6070000000000002</v>
      </c>
      <c r="M304" s="15">
        <v>2.657</v>
      </c>
      <c r="N304" s="15">
        <v>2E-3</v>
      </c>
      <c r="O304" s="15">
        <v>0.21299999999999999</v>
      </c>
      <c r="P304" s="175">
        <f t="shared" si="93"/>
        <v>5.4790000000000001</v>
      </c>
      <c r="Q304" s="173">
        <v>0.24399999999999999</v>
      </c>
      <c r="R304" s="15">
        <v>5.0000000000000001E-3</v>
      </c>
      <c r="S304" s="175">
        <f t="shared" si="94"/>
        <v>0.249</v>
      </c>
      <c r="T304" s="198"/>
      <c r="U304" s="176" t="s">
        <v>536</v>
      </c>
      <c r="V304" s="15"/>
      <c r="W304" s="15"/>
      <c r="X304" s="15">
        <v>80.64</v>
      </c>
      <c r="Y304" s="15">
        <v>0.88</v>
      </c>
      <c r="Z304" s="15">
        <v>8.1199999999999992</v>
      </c>
      <c r="AA304" s="15">
        <f t="shared" si="95"/>
        <v>9</v>
      </c>
      <c r="AB304" s="15">
        <v>69.354399999999998</v>
      </c>
      <c r="AC304" s="15">
        <v>3467.72</v>
      </c>
      <c r="AD304" s="15">
        <v>73.73</v>
      </c>
      <c r="AE304" s="15">
        <v>313.64</v>
      </c>
      <c r="AF304" s="15"/>
      <c r="AG304" s="15">
        <v>201.4</v>
      </c>
      <c r="AH304" s="15"/>
      <c r="AI304" s="15"/>
      <c r="AJ304" s="15">
        <v>588.77</v>
      </c>
      <c r="AK304" s="15">
        <v>0.58877000000000002</v>
      </c>
      <c r="AL304" s="177"/>
      <c r="AM304" s="137" t="s">
        <v>20</v>
      </c>
      <c r="AN304" s="131" t="str">
        <f>AO304</f>
        <v>D</v>
      </c>
      <c r="AO304" s="131" t="s">
        <v>21</v>
      </c>
      <c r="AP304" s="349">
        <v>45505</v>
      </c>
      <c r="AQ304" s="349">
        <v>45510</v>
      </c>
      <c r="AR304" s="349">
        <v>45512</v>
      </c>
      <c r="AS304" s="530">
        <v>45516</v>
      </c>
      <c r="AT304" s="25" t="s">
        <v>539</v>
      </c>
      <c r="AU304" s="183"/>
      <c r="AV304" s="137" t="s">
        <v>20</v>
      </c>
      <c r="AW304" s="15" t="s">
        <v>544</v>
      </c>
      <c r="AX304" s="278">
        <f>AY304</f>
        <v>45661</v>
      </c>
      <c r="AY304" s="278">
        <v>45661</v>
      </c>
      <c r="AZ304" s="182" t="s">
        <v>539</v>
      </c>
      <c r="BA304" s="183"/>
      <c r="BB304" s="137" t="s">
        <v>20</v>
      </c>
      <c r="BC304" s="131"/>
      <c r="BD304" s="131" t="s">
        <v>21</v>
      </c>
      <c r="BE304" s="279">
        <f>BF304-2</f>
        <v>45707</v>
      </c>
      <c r="BF304" s="279">
        <v>45709</v>
      </c>
      <c r="BG304" s="17" t="s">
        <v>578</v>
      </c>
      <c r="BH304" s="187"/>
      <c r="BI304" s="137" t="s">
        <v>20</v>
      </c>
      <c r="BJ304" s="131">
        <v>45781</v>
      </c>
      <c r="BK304" s="131">
        <v>45781</v>
      </c>
      <c r="BL304" s="25">
        <v>1330</v>
      </c>
      <c r="BM304" s="24" t="s">
        <v>587</v>
      </c>
    </row>
    <row r="305" spans="1:65" ht="14.25" customHeight="1">
      <c r="A305" s="15" t="s">
        <v>0</v>
      </c>
      <c r="B305" s="19"/>
      <c r="C305" s="179"/>
      <c r="D305" s="130"/>
      <c r="E305" s="130"/>
      <c r="F305" s="130"/>
      <c r="G305" s="130"/>
      <c r="H305" s="180"/>
      <c r="I305" s="19"/>
      <c r="J305" s="19"/>
      <c r="K305" s="181"/>
      <c r="L305" s="173"/>
      <c r="M305" s="15"/>
      <c r="N305" s="15"/>
      <c r="O305" s="15"/>
      <c r="P305" s="175"/>
      <c r="Q305" s="173"/>
      <c r="R305" s="15"/>
      <c r="S305" s="175"/>
      <c r="T305" s="198"/>
      <c r="U305" s="198"/>
      <c r="V305" s="16">
        <v>369.65</v>
      </c>
      <c r="W305" s="15" t="s">
        <v>565</v>
      </c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77"/>
      <c r="AM305" s="15"/>
      <c r="AN305" s="24"/>
      <c r="AO305" s="24"/>
      <c r="AP305" s="24"/>
      <c r="AQ305" s="24"/>
      <c r="AR305" s="24"/>
      <c r="AS305" s="25"/>
      <c r="AT305" s="25"/>
      <c r="AU305" s="178"/>
      <c r="AV305" s="15"/>
      <c r="AW305" s="24"/>
      <c r="AX305" s="278"/>
      <c r="AY305" s="278"/>
      <c r="AZ305" s="24"/>
      <c r="BA305" s="178"/>
      <c r="BB305" s="24"/>
      <c r="BC305" s="24"/>
      <c r="BD305" s="24"/>
      <c r="BE305" s="24"/>
      <c r="BF305" s="24"/>
      <c r="BG305" s="24"/>
      <c r="BH305" s="178"/>
      <c r="BI305" s="24"/>
      <c r="BJ305" s="24"/>
      <c r="BK305" s="24"/>
      <c r="BL305" s="24"/>
      <c r="BM305" s="24"/>
    </row>
    <row r="306" spans="1:65" ht="14.25" customHeight="1">
      <c r="A306" s="15">
        <f t="shared" si="98"/>
        <v>149</v>
      </c>
      <c r="B306" s="19" t="s">
        <v>229</v>
      </c>
      <c r="C306" s="179" t="s">
        <v>37</v>
      </c>
      <c r="D306" s="130">
        <v>6.992</v>
      </c>
      <c r="E306" s="130">
        <f>D306*4</f>
        <v>27.968</v>
      </c>
      <c r="F306" s="130">
        <f>E306*8</f>
        <v>223.744</v>
      </c>
      <c r="G306" s="130"/>
      <c r="H306" s="180"/>
      <c r="I306" s="19"/>
      <c r="J306" s="19"/>
      <c r="K306" s="181"/>
      <c r="L306" s="173">
        <v>2.6070000000000002</v>
      </c>
      <c r="M306" s="15">
        <v>2.657</v>
      </c>
      <c r="N306" s="15">
        <v>2E-3</v>
      </c>
      <c r="O306" s="15">
        <v>0.21299999999999999</v>
      </c>
      <c r="P306" s="175">
        <f t="shared" si="93"/>
        <v>5.4790000000000001</v>
      </c>
      <c r="Q306" s="173">
        <v>0.24399999999999999</v>
      </c>
      <c r="R306" s="15">
        <v>5.0000000000000001E-3</v>
      </c>
      <c r="S306" s="175">
        <f t="shared" si="94"/>
        <v>0.249</v>
      </c>
      <c r="T306" s="198"/>
      <c r="U306" s="176" t="s">
        <v>536</v>
      </c>
      <c r="V306" s="15"/>
      <c r="W306" s="15"/>
      <c r="X306" s="186">
        <v>143.35999999999999</v>
      </c>
      <c r="Y306" s="186">
        <v>0.88</v>
      </c>
      <c r="Z306" s="186">
        <v>8.1199999999999992</v>
      </c>
      <c r="AA306" s="186">
        <f t="shared" si="95"/>
        <v>9</v>
      </c>
      <c r="AB306" s="23">
        <f>+Y306*4.44+Z306*8.06</f>
        <v>69.354399999999998</v>
      </c>
      <c r="AC306" s="16">
        <f>+AB306*50</f>
        <v>3467.72</v>
      </c>
      <c r="AD306" s="16">
        <v>63.93</v>
      </c>
      <c r="AE306" s="16">
        <v>535.23</v>
      </c>
      <c r="AF306" s="186"/>
      <c r="AG306" s="15">
        <v>100.6</v>
      </c>
      <c r="AH306" s="15">
        <v>157.18</v>
      </c>
      <c r="AI306" s="186"/>
      <c r="AJ306" s="15">
        <v>856.94</v>
      </c>
      <c r="AK306" s="15">
        <v>0.85694000000000004</v>
      </c>
      <c r="AL306" s="177"/>
      <c r="AM306" s="137" t="s">
        <v>20</v>
      </c>
      <c r="AN306" s="131" t="str">
        <f>AO306</f>
        <v>D</v>
      </c>
      <c r="AO306" s="131" t="s">
        <v>21</v>
      </c>
      <c r="AP306" s="349">
        <f t="shared" ref="AP306:AR306" si="103">AQ306-2</f>
        <v>45707</v>
      </c>
      <c r="AQ306" s="349">
        <f t="shared" si="103"/>
        <v>45709</v>
      </c>
      <c r="AR306" s="349">
        <f t="shared" si="103"/>
        <v>45711</v>
      </c>
      <c r="AS306" s="530">
        <v>45713</v>
      </c>
      <c r="AT306" s="25" t="s">
        <v>589</v>
      </c>
      <c r="AU306" s="183"/>
      <c r="AV306" s="137" t="s">
        <v>20</v>
      </c>
      <c r="AW306" s="15" t="s">
        <v>544</v>
      </c>
      <c r="AX306" s="278">
        <f>AS306+10</f>
        <v>45723</v>
      </c>
      <c r="AY306" s="278">
        <f>AX306</f>
        <v>45723</v>
      </c>
      <c r="AZ306" s="19" t="s">
        <v>590</v>
      </c>
      <c r="BA306" s="194"/>
      <c r="BB306" s="137" t="s">
        <v>20</v>
      </c>
      <c r="BC306" s="131"/>
      <c r="BD306" s="131"/>
      <c r="BE306" s="279">
        <f>BF306-2</f>
        <v>45971</v>
      </c>
      <c r="BF306" s="279">
        <v>45973</v>
      </c>
      <c r="BG306" s="17" t="s">
        <v>506</v>
      </c>
      <c r="BH306" s="193"/>
      <c r="BI306" s="137" t="s">
        <v>20</v>
      </c>
      <c r="BJ306" s="131"/>
      <c r="BK306" s="131"/>
      <c r="BL306" s="25"/>
      <c r="BM306" s="24" t="s">
        <v>709</v>
      </c>
    </row>
    <row r="307" spans="1:65" ht="14.25" customHeight="1">
      <c r="A307" s="430" t="s">
        <v>0</v>
      </c>
      <c r="B307" s="427"/>
      <c r="C307" s="433"/>
      <c r="D307" s="434"/>
      <c r="E307" s="434"/>
      <c r="F307" s="434"/>
      <c r="G307" s="434"/>
      <c r="H307" s="426"/>
      <c r="I307" s="427"/>
      <c r="J307" s="427"/>
      <c r="K307" s="428"/>
      <c r="L307" s="429"/>
      <c r="M307" s="430"/>
      <c r="N307" s="430"/>
      <c r="O307" s="430"/>
      <c r="P307" s="431"/>
      <c r="Q307" s="429"/>
      <c r="R307" s="430"/>
      <c r="S307" s="431"/>
      <c r="T307" s="435"/>
      <c r="U307" s="435"/>
      <c r="V307" s="436">
        <v>284</v>
      </c>
      <c r="W307" s="430" t="s">
        <v>565</v>
      </c>
      <c r="X307" s="430"/>
      <c r="Y307" s="430"/>
      <c r="Z307" s="430"/>
      <c r="AA307" s="430"/>
      <c r="AB307" s="430"/>
      <c r="AC307" s="430"/>
      <c r="AD307" s="430"/>
      <c r="AE307" s="430"/>
      <c r="AF307" s="430"/>
      <c r="AG307" s="430"/>
      <c r="AH307" s="430"/>
      <c r="AI307" s="430"/>
      <c r="AJ307" s="430"/>
      <c r="AK307" s="430"/>
      <c r="AL307" s="437"/>
      <c r="AM307" s="430"/>
      <c r="AN307" s="438"/>
      <c r="AO307" s="438"/>
      <c r="AP307" s="438"/>
      <c r="AQ307" s="438"/>
      <c r="AR307" s="438"/>
      <c r="AS307" s="529"/>
      <c r="AT307" s="529"/>
      <c r="AU307" s="439"/>
      <c r="AV307" s="430"/>
      <c r="AW307" s="438"/>
      <c r="AX307" s="440"/>
      <c r="AY307" s="440"/>
      <c r="AZ307" s="438"/>
      <c r="BA307" s="439"/>
      <c r="BB307" s="438"/>
      <c r="BC307" s="438"/>
      <c r="BD307" s="438"/>
      <c r="BE307" s="438"/>
      <c r="BF307" s="438"/>
      <c r="BG307" s="438"/>
      <c r="BH307" s="439"/>
      <c r="BI307" s="438"/>
      <c r="BJ307" s="438"/>
      <c r="BK307" s="438"/>
      <c r="BL307" s="438"/>
      <c r="BM307" s="438"/>
    </row>
    <row r="308" spans="1:65" ht="15" customHeight="1">
      <c r="A308" s="451">
        <f>A306+1</f>
        <v>150</v>
      </c>
      <c r="B308" s="453" t="s">
        <v>231</v>
      </c>
      <c r="C308" s="453" t="s">
        <v>76</v>
      </c>
      <c r="D308" s="453">
        <v>7.71</v>
      </c>
      <c r="E308" s="453">
        <f>D308*4</f>
        <v>30.84</v>
      </c>
      <c r="F308" s="453">
        <f>E308*8</f>
        <v>246.72</v>
      </c>
      <c r="G308" s="453"/>
      <c r="H308" s="453"/>
      <c r="I308" s="453"/>
      <c r="J308" s="453"/>
      <c r="K308" s="453"/>
      <c r="L308" s="453">
        <v>3.452</v>
      </c>
      <c r="M308" s="453">
        <v>2.633</v>
      </c>
      <c r="N308" s="453">
        <v>4.0000000000000001E-3</v>
      </c>
      <c r="O308" s="453">
        <v>0.24099999999999999</v>
      </c>
      <c r="P308" s="453">
        <f t="shared" si="93"/>
        <v>6.3299999999999992</v>
      </c>
      <c r="Q308" s="453">
        <v>0.36299999999999999</v>
      </c>
      <c r="R308" s="453">
        <v>6.0000000000000001E-3</v>
      </c>
      <c r="S308" s="453">
        <f t="shared" si="94"/>
        <v>0.36899999999999999</v>
      </c>
      <c r="T308" s="453" t="s">
        <v>230</v>
      </c>
      <c r="U308" s="453" t="s">
        <v>536</v>
      </c>
      <c r="V308" s="453"/>
      <c r="W308" s="453"/>
      <c r="X308" s="453"/>
      <c r="Y308" s="453">
        <v>1.68</v>
      </c>
      <c r="Z308" s="453">
        <v>13.27</v>
      </c>
      <c r="AA308" s="453">
        <f t="shared" si="95"/>
        <v>14.95</v>
      </c>
      <c r="AB308" s="453"/>
      <c r="AC308" s="453"/>
      <c r="AD308" s="453"/>
      <c r="AE308" s="453"/>
      <c r="AF308" s="453"/>
      <c r="AG308" s="453"/>
      <c r="AH308" s="453"/>
      <c r="AI308" s="453"/>
      <c r="AJ308" s="453"/>
      <c r="AK308" s="453"/>
      <c r="AL308" s="453"/>
      <c r="AM308" s="137" t="s">
        <v>20</v>
      </c>
      <c r="AN308" s="131" t="str">
        <f>AO308</f>
        <v>D</v>
      </c>
      <c r="AO308" s="131" t="s">
        <v>21</v>
      </c>
      <c r="AP308" s="349">
        <v>45588</v>
      </c>
      <c r="AQ308" s="349">
        <v>45592</v>
      </c>
      <c r="AR308" s="349">
        <v>45602</v>
      </c>
      <c r="AS308" s="530">
        <v>45605</v>
      </c>
      <c r="AT308" s="25" t="s">
        <v>593</v>
      </c>
      <c r="AU308" s="178"/>
      <c r="AV308" s="137" t="s">
        <v>20</v>
      </c>
      <c r="AW308" s="15" t="s">
        <v>544</v>
      </c>
      <c r="AX308" s="278">
        <f>AY308</f>
        <v>45661</v>
      </c>
      <c r="AY308" s="278">
        <v>45661</v>
      </c>
      <c r="AZ308" s="24" t="s">
        <v>593</v>
      </c>
      <c r="BA308" s="178"/>
      <c r="BB308" s="137" t="s">
        <v>20</v>
      </c>
      <c r="BC308" s="131"/>
      <c r="BD308" s="131" t="s">
        <v>21</v>
      </c>
      <c r="BE308" s="279">
        <f>BF308-2</f>
        <v>45722</v>
      </c>
      <c r="BF308" s="279">
        <v>45724</v>
      </c>
      <c r="BG308" s="17" t="s">
        <v>578</v>
      </c>
      <c r="BH308" s="188"/>
      <c r="BI308" s="137" t="s">
        <v>20</v>
      </c>
      <c r="BJ308" s="134">
        <v>45784</v>
      </c>
      <c r="BK308" s="134">
        <v>45784</v>
      </c>
      <c r="BL308" s="25">
        <v>1252</v>
      </c>
      <c r="BM308" s="24" t="s">
        <v>587</v>
      </c>
    </row>
    <row r="309" spans="1:65" ht="14.25" customHeight="1">
      <c r="A309" s="441" t="s">
        <v>0</v>
      </c>
      <c r="B309" s="442"/>
      <c r="C309" s="443"/>
      <c r="D309" s="444"/>
      <c r="E309" s="444"/>
      <c r="F309" s="444"/>
      <c r="G309" s="444"/>
      <c r="H309" s="445"/>
      <c r="I309" s="442"/>
      <c r="J309" s="442"/>
      <c r="K309" s="446"/>
      <c r="L309" s="432"/>
      <c r="M309" s="441"/>
      <c r="N309" s="441"/>
      <c r="O309" s="441"/>
      <c r="P309" s="447"/>
      <c r="Q309" s="432"/>
      <c r="R309" s="441"/>
      <c r="S309" s="447"/>
      <c r="T309" s="448"/>
      <c r="U309" s="448"/>
      <c r="V309" s="449">
        <v>345.88</v>
      </c>
      <c r="W309" s="441" t="s">
        <v>542</v>
      </c>
      <c r="X309" s="441"/>
      <c r="Y309" s="441"/>
      <c r="Z309" s="441"/>
      <c r="AA309" s="441"/>
      <c r="AB309" s="441"/>
      <c r="AC309" s="441"/>
      <c r="AD309" s="441"/>
      <c r="AE309" s="441"/>
      <c r="AF309" s="441"/>
      <c r="AG309" s="441"/>
      <c r="AH309" s="441"/>
      <c r="AI309" s="441"/>
      <c r="AJ309" s="441"/>
      <c r="AK309" s="441"/>
      <c r="AL309" s="450"/>
      <c r="AM309" s="15"/>
      <c r="AN309" s="24"/>
      <c r="AO309" s="24"/>
      <c r="AP309" s="24"/>
      <c r="AQ309" s="24"/>
      <c r="AR309" s="24"/>
      <c r="AS309" s="25"/>
      <c r="AT309" s="25"/>
      <c r="AU309" s="178"/>
      <c r="AV309" s="15"/>
      <c r="AW309" s="24"/>
      <c r="AX309" s="278"/>
      <c r="AY309" s="278"/>
      <c r="AZ309" s="24"/>
      <c r="BA309" s="178"/>
      <c r="BB309" s="24"/>
      <c r="BC309" s="24"/>
      <c r="BD309" s="24"/>
      <c r="BE309" s="24"/>
      <c r="BF309" s="24"/>
      <c r="BG309" s="24"/>
      <c r="BH309" s="178"/>
      <c r="BI309" s="24"/>
      <c r="BJ309" s="24"/>
      <c r="BK309" s="24"/>
      <c r="BL309" s="24"/>
      <c r="BM309" s="24"/>
    </row>
    <row r="310" spans="1:65" ht="14.25" customHeight="1">
      <c r="A310" s="15">
        <f t="shared" si="98"/>
        <v>151</v>
      </c>
      <c r="B310" s="19" t="s">
        <v>232</v>
      </c>
      <c r="C310" s="179" t="s">
        <v>37</v>
      </c>
      <c r="D310" s="130">
        <v>6.992</v>
      </c>
      <c r="E310" s="130">
        <f>D310*4</f>
        <v>27.968</v>
      </c>
      <c r="F310" s="130">
        <f>E310*8</f>
        <v>223.744</v>
      </c>
      <c r="G310" s="130"/>
      <c r="H310" s="180"/>
      <c r="I310" s="19"/>
      <c r="J310" s="19"/>
      <c r="K310" s="181"/>
      <c r="L310" s="173">
        <v>2.6070000000000002</v>
      </c>
      <c r="M310" s="15">
        <v>2.657</v>
      </c>
      <c r="N310" s="15">
        <v>2E-3</v>
      </c>
      <c r="O310" s="15">
        <v>0.21299999999999999</v>
      </c>
      <c r="P310" s="175">
        <f t="shared" si="93"/>
        <v>5.4790000000000001</v>
      </c>
      <c r="Q310" s="173">
        <v>0.24399999999999999</v>
      </c>
      <c r="R310" s="15">
        <v>5.0000000000000001E-3</v>
      </c>
      <c r="S310" s="175">
        <f t="shared" si="94"/>
        <v>0.249</v>
      </c>
      <c r="T310" s="198"/>
      <c r="U310" s="176" t="s">
        <v>536</v>
      </c>
      <c r="V310" s="15"/>
      <c r="W310" s="15"/>
      <c r="X310" s="15">
        <v>143.36000000000001</v>
      </c>
      <c r="Y310" s="15">
        <v>0.88</v>
      </c>
      <c r="Z310" s="15">
        <v>8.1199999999999992</v>
      </c>
      <c r="AA310" s="15">
        <f t="shared" si="95"/>
        <v>9</v>
      </c>
      <c r="AB310" s="15">
        <v>114.41540000000001</v>
      </c>
      <c r="AC310" s="15">
        <v>5720.77</v>
      </c>
      <c r="AD310" s="15">
        <v>70.930000000000007</v>
      </c>
      <c r="AE310" s="15">
        <v>596.29</v>
      </c>
      <c r="AF310" s="15"/>
      <c r="AG310" s="15">
        <v>99.34</v>
      </c>
      <c r="AH310" s="15">
        <v>155.21</v>
      </c>
      <c r="AI310" s="15"/>
      <c r="AJ310" s="15">
        <v>921.7700000000001</v>
      </c>
      <c r="AK310" s="15">
        <v>0.92177000000000009</v>
      </c>
      <c r="AL310" s="177"/>
      <c r="AM310" s="137" t="s">
        <v>20</v>
      </c>
      <c r="AN310" s="131" t="s">
        <v>21</v>
      </c>
      <c r="AO310" s="131" t="s">
        <v>21</v>
      </c>
      <c r="AP310" s="349">
        <f t="shared" ref="AP310" si="104">AQ310-2</f>
        <v>45756</v>
      </c>
      <c r="AQ310" s="349">
        <f t="shared" ref="AQ310" si="105">AR310-2</f>
        <v>45758</v>
      </c>
      <c r="AR310" s="349">
        <f t="shared" ref="AR310" si="106">AS310-2</f>
        <v>45760</v>
      </c>
      <c r="AS310" s="530">
        <v>45762</v>
      </c>
      <c r="AT310" s="15" t="s">
        <v>561</v>
      </c>
      <c r="AU310" s="194"/>
      <c r="AV310" s="137" t="s">
        <v>20</v>
      </c>
      <c r="AW310" s="15" t="s">
        <v>544</v>
      </c>
      <c r="AX310" s="278">
        <f>AY310</f>
        <v>45787</v>
      </c>
      <c r="AY310" s="278">
        <v>45787</v>
      </c>
      <c r="AZ310" s="19" t="s">
        <v>561</v>
      </c>
      <c r="BA310" s="194"/>
      <c r="BB310" s="137" t="s">
        <v>20</v>
      </c>
      <c r="BC310" s="131"/>
      <c r="BD310" s="131" t="s">
        <v>21</v>
      </c>
      <c r="BE310" s="279">
        <f>BF310</f>
        <v>45794</v>
      </c>
      <c r="BF310" s="279">
        <v>45794</v>
      </c>
      <c r="BG310" s="15" t="s">
        <v>594</v>
      </c>
      <c r="BH310" s="189"/>
      <c r="BI310" s="137" t="s">
        <v>20</v>
      </c>
      <c r="BJ310" s="131">
        <v>45812</v>
      </c>
      <c r="BK310" s="131">
        <f>BJ310</f>
        <v>45812</v>
      </c>
      <c r="BL310" s="25">
        <v>1330</v>
      </c>
      <c r="BM310" s="185" t="s">
        <v>587</v>
      </c>
    </row>
    <row r="311" spans="1:65" ht="14.25" customHeight="1">
      <c r="A311" s="15" t="s">
        <v>0</v>
      </c>
      <c r="B311" s="19"/>
      <c r="C311" s="179"/>
      <c r="D311" s="130"/>
      <c r="E311" s="130"/>
      <c r="F311" s="130"/>
      <c r="G311" s="130"/>
      <c r="H311" s="180"/>
      <c r="I311" s="19"/>
      <c r="J311" s="19"/>
      <c r="K311" s="181"/>
      <c r="L311" s="173"/>
      <c r="M311" s="15"/>
      <c r="N311" s="15"/>
      <c r="O311" s="15"/>
      <c r="P311" s="175"/>
      <c r="Q311" s="173"/>
      <c r="R311" s="15"/>
      <c r="S311" s="175"/>
      <c r="T311" s="198"/>
      <c r="U311" s="198"/>
      <c r="V311" s="16">
        <v>310.87</v>
      </c>
      <c r="W311" s="15" t="s">
        <v>565</v>
      </c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77"/>
      <c r="AM311" s="15"/>
      <c r="AN311" s="24"/>
      <c r="AO311" s="24"/>
      <c r="AP311" s="24"/>
      <c r="AQ311" s="24"/>
      <c r="AR311" s="24"/>
      <c r="AS311" s="25"/>
      <c r="AT311" s="25"/>
      <c r="AU311" s="178"/>
      <c r="AV311" s="15"/>
      <c r="AW311" s="24"/>
      <c r="AX311" s="278"/>
      <c r="AY311" s="278"/>
      <c r="AZ311" s="24"/>
      <c r="BA311" s="178"/>
      <c r="BB311" s="24"/>
      <c r="BC311" s="24"/>
      <c r="BD311" s="24"/>
      <c r="BE311" s="24"/>
      <c r="BF311" s="24"/>
      <c r="BG311" s="24"/>
      <c r="BH311" s="178"/>
      <c r="BI311" s="24"/>
      <c r="BJ311" s="24"/>
      <c r="BK311" s="24"/>
      <c r="BL311" s="24"/>
      <c r="BM311" s="24"/>
    </row>
    <row r="312" spans="1:65" ht="14.25" customHeight="1">
      <c r="A312" s="15">
        <f t="shared" si="98"/>
        <v>152</v>
      </c>
      <c r="B312" s="19" t="s">
        <v>233</v>
      </c>
      <c r="C312" s="179" t="s">
        <v>37</v>
      </c>
      <c r="D312" s="130">
        <v>6.992</v>
      </c>
      <c r="E312" s="130">
        <f>D312*4</f>
        <v>27.968</v>
      </c>
      <c r="F312" s="130">
        <f>E312*8</f>
        <v>223.744</v>
      </c>
      <c r="G312" s="130"/>
      <c r="H312" s="180"/>
      <c r="I312" s="19"/>
      <c r="J312" s="19"/>
      <c r="K312" s="181"/>
      <c r="L312" s="173">
        <v>2.6070000000000002</v>
      </c>
      <c r="M312" s="15">
        <v>2.657</v>
      </c>
      <c r="N312" s="15">
        <v>2E-3</v>
      </c>
      <c r="O312" s="15">
        <v>0.21299999999999999</v>
      </c>
      <c r="P312" s="175">
        <f t="shared" si="93"/>
        <v>5.4790000000000001</v>
      </c>
      <c r="Q312" s="173">
        <v>0.24399999999999999</v>
      </c>
      <c r="R312" s="15">
        <v>5.0000000000000001E-3</v>
      </c>
      <c r="S312" s="175">
        <f t="shared" si="94"/>
        <v>0.249</v>
      </c>
      <c r="T312" s="198"/>
      <c r="U312" s="176" t="s">
        <v>536</v>
      </c>
      <c r="V312" s="15"/>
      <c r="W312" s="15"/>
      <c r="X312" s="15">
        <v>80.64</v>
      </c>
      <c r="Y312" s="15">
        <v>0.88</v>
      </c>
      <c r="Z312" s="15">
        <v>8.1199999999999992</v>
      </c>
      <c r="AA312" s="15">
        <f t="shared" si="95"/>
        <v>9</v>
      </c>
      <c r="AB312" s="15">
        <v>69.354399999999998</v>
      </c>
      <c r="AC312" s="15">
        <v>3467.72</v>
      </c>
      <c r="AD312" s="15">
        <v>73.73</v>
      </c>
      <c r="AE312" s="15">
        <v>313.64</v>
      </c>
      <c r="AF312" s="15"/>
      <c r="AG312" s="15">
        <v>201.4</v>
      </c>
      <c r="AH312" s="15"/>
      <c r="AI312" s="15"/>
      <c r="AJ312" s="15">
        <v>588.77</v>
      </c>
      <c r="AK312" s="15">
        <v>0.58877000000000002</v>
      </c>
      <c r="AL312" s="177"/>
      <c r="AM312" s="137" t="s">
        <v>20</v>
      </c>
      <c r="AN312" s="131" t="s">
        <v>21</v>
      </c>
      <c r="AO312" s="131" t="s">
        <v>21</v>
      </c>
      <c r="AP312" s="349">
        <f t="shared" ref="AP312" si="107">AQ312-2</f>
        <v>45762</v>
      </c>
      <c r="AQ312" s="349">
        <f t="shared" ref="AQ312" si="108">AR312-2</f>
        <v>45764</v>
      </c>
      <c r="AR312" s="349">
        <f t="shared" ref="AR312" si="109">AS312-2</f>
        <v>45766</v>
      </c>
      <c r="AS312" s="530">
        <v>45768</v>
      </c>
      <c r="AT312" s="15" t="s">
        <v>561</v>
      </c>
      <c r="AU312" s="194"/>
      <c r="AV312" s="137" t="s">
        <v>20</v>
      </c>
      <c r="AW312" s="15" t="s">
        <v>544</v>
      </c>
      <c r="AX312" s="278">
        <f>AY312-1</f>
        <v>45778</v>
      </c>
      <c r="AY312" s="278">
        <v>45779</v>
      </c>
      <c r="AZ312" s="19" t="s">
        <v>561</v>
      </c>
      <c r="BA312" s="194"/>
      <c r="BB312" s="137" t="s">
        <v>20</v>
      </c>
      <c r="BC312" s="131"/>
      <c r="BD312" s="131" t="s">
        <v>21</v>
      </c>
      <c r="BE312" s="279">
        <f>BF312-1</f>
        <v>45791</v>
      </c>
      <c r="BF312" s="279">
        <v>45792</v>
      </c>
      <c r="BG312" s="15" t="s">
        <v>594</v>
      </c>
      <c r="BH312" s="187"/>
      <c r="BI312" s="137" t="s">
        <v>20</v>
      </c>
      <c r="BJ312" s="131">
        <f>BK312</f>
        <v>45807</v>
      </c>
      <c r="BK312" s="131">
        <v>45807</v>
      </c>
      <c r="BL312" s="25">
        <v>1330</v>
      </c>
      <c r="BM312" s="24" t="s">
        <v>587</v>
      </c>
    </row>
    <row r="313" spans="1:65" ht="14.25" customHeight="1">
      <c r="A313" s="15" t="s">
        <v>0</v>
      </c>
      <c r="B313" s="19"/>
      <c r="C313" s="179"/>
      <c r="D313" s="130"/>
      <c r="E313" s="130"/>
      <c r="F313" s="130"/>
      <c r="G313" s="130"/>
      <c r="H313" s="180"/>
      <c r="I313" s="19"/>
      <c r="J313" s="19"/>
      <c r="K313" s="181"/>
      <c r="L313" s="173"/>
      <c r="M313" s="15"/>
      <c r="N313" s="15"/>
      <c r="O313" s="15"/>
      <c r="P313" s="175"/>
      <c r="Q313" s="173"/>
      <c r="R313" s="15"/>
      <c r="S313" s="175"/>
      <c r="T313" s="198"/>
      <c r="U313" s="198"/>
      <c r="V313" s="16">
        <v>380.03</v>
      </c>
      <c r="W313" s="15" t="s">
        <v>565</v>
      </c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77"/>
      <c r="AM313" s="15"/>
      <c r="AN313" s="24"/>
      <c r="AO313" s="24"/>
      <c r="AP313" s="24"/>
      <c r="AQ313" s="24"/>
      <c r="AR313" s="24"/>
      <c r="AS313" s="25"/>
      <c r="AT313" s="25"/>
      <c r="AU313" s="178"/>
      <c r="AV313" s="15"/>
      <c r="AW313" s="24"/>
      <c r="AX313" s="278"/>
      <c r="AY313" s="278"/>
      <c r="AZ313" s="24"/>
      <c r="BA313" s="178"/>
      <c r="BB313" s="24"/>
      <c r="BC313" s="24"/>
      <c r="BD313" s="24"/>
      <c r="BE313" s="24"/>
      <c r="BF313" s="24"/>
      <c r="BG313" s="24"/>
      <c r="BH313" s="178"/>
      <c r="BI313" s="24"/>
      <c r="BJ313" s="24"/>
      <c r="BK313" s="24"/>
      <c r="BL313" s="24"/>
      <c r="BM313" s="24"/>
    </row>
    <row r="314" spans="1:65" ht="14.25" customHeight="1">
      <c r="A314" s="15">
        <f t="shared" si="98"/>
        <v>153</v>
      </c>
      <c r="B314" s="19" t="s">
        <v>234</v>
      </c>
      <c r="C314" s="179" t="s">
        <v>37</v>
      </c>
      <c r="D314" s="130">
        <v>6.992</v>
      </c>
      <c r="E314" s="130">
        <f>D314*4</f>
        <v>27.968</v>
      </c>
      <c r="F314" s="130">
        <f>E314*8</f>
        <v>223.744</v>
      </c>
      <c r="G314" s="130"/>
      <c r="H314" s="180"/>
      <c r="I314" s="19"/>
      <c r="J314" s="19"/>
      <c r="K314" s="181"/>
      <c r="L314" s="173">
        <v>2.6070000000000002</v>
      </c>
      <c r="M314" s="15">
        <v>2.657</v>
      </c>
      <c r="N314" s="15">
        <v>2E-3</v>
      </c>
      <c r="O314" s="15">
        <v>0.21299999999999999</v>
      </c>
      <c r="P314" s="175">
        <f t="shared" si="93"/>
        <v>5.4790000000000001</v>
      </c>
      <c r="Q314" s="173">
        <v>0.24399999999999999</v>
      </c>
      <c r="R314" s="15">
        <v>5.0000000000000001E-3</v>
      </c>
      <c r="S314" s="175">
        <f t="shared" si="94"/>
        <v>0.249</v>
      </c>
      <c r="T314" s="198"/>
      <c r="U314" s="176" t="s">
        <v>536</v>
      </c>
      <c r="V314" s="15"/>
      <c r="W314" s="15"/>
      <c r="X314" s="15">
        <v>80.64</v>
      </c>
      <c r="Y314" s="15">
        <v>1.51</v>
      </c>
      <c r="Z314" s="15">
        <v>11.15</v>
      </c>
      <c r="AA314" s="15">
        <f t="shared" si="95"/>
        <v>12.66</v>
      </c>
      <c r="AB314" s="15">
        <v>69.354399999999998</v>
      </c>
      <c r="AC314" s="15">
        <v>3467.72</v>
      </c>
      <c r="AD314" s="15">
        <v>73.73</v>
      </c>
      <c r="AE314" s="15">
        <v>313.64</v>
      </c>
      <c r="AF314" s="15"/>
      <c r="AG314" s="15">
        <v>201.4</v>
      </c>
      <c r="AH314" s="15"/>
      <c r="AI314" s="15"/>
      <c r="AJ314" s="15">
        <v>588.77</v>
      </c>
      <c r="AK314" s="15">
        <v>0.58877000000000002</v>
      </c>
      <c r="AL314" s="177"/>
      <c r="AM314" s="137" t="s">
        <v>20</v>
      </c>
      <c r="AN314" s="131" t="str">
        <f>AO314</f>
        <v>D</v>
      </c>
      <c r="AO314" s="131" t="s">
        <v>21</v>
      </c>
      <c r="AP314" s="349">
        <v>45588</v>
      </c>
      <c r="AQ314" s="349">
        <v>45590</v>
      </c>
      <c r="AR314" s="349">
        <v>45591</v>
      </c>
      <c r="AS314" s="530">
        <v>45591</v>
      </c>
      <c r="AT314" s="25" t="s">
        <v>593</v>
      </c>
      <c r="AU314" s="178"/>
      <c r="AV314" s="137" t="s">
        <v>20</v>
      </c>
      <c r="AW314" s="15" t="s">
        <v>6</v>
      </c>
      <c r="AX314" s="278">
        <f>AY314-1</f>
        <v>45684</v>
      </c>
      <c r="AY314" s="278">
        <v>45685</v>
      </c>
      <c r="AZ314" s="182" t="s">
        <v>539</v>
      </c>
      <c r="BA314" s="183"/>
      <c r="BB314" s="137" t="s">
        <v>20</v>
      </c>
      <c r="BC314" s="131"/>
      <c r="BD314" s="131" t="s">
        <v>21</v>
      </c>
      <c r="BE314" s="279">
        <f>BF314-1</f>
        <v>45706</v>
      </c>
      <c r="BF314" s="279">
        <v>45707</v>
      </c>
      <c r="BG314" s="17" t="s">
        <v>548</v>
      </c>
      <c r="BH314" s="187"/>
      <c r="BI314" s="137" t="s">
        <v>20</v>
      </c>
      <c r="BJ314" s="131">
        <f>BK314</f>
        <v>45807</v>
      </c>
      <c r="BK314" s="131">
        <v>45807</v>
      </c>
      <c r="BL314" s="25">
        <v>1330</v>
      </c>
      <c r="BM314" s="24" t="s">
        <v>587</v>
      </c>
    </row>
    <row r="315" spans="1:65" ht="14.25" customHeight="1">
      <c r="A315" s="15" t="s">
        <v>0</v>
      </c>
      <c r="B315" s="19"/>
      <c r="C315" s="179"/>
      <c r="D315" s="130"/>
      <c r="E315" s="130"/>
      <c r="F315" s="130"/>
      <c r="G315" s="130"/>
      <c r="H315" s="180"/>
      <c r="I315" s="19"/>
      <c r="J315" s="19"/>
      <c r="K315" s="181"/>
      <c r="L315" s="173"/>
      <c r="M315" s="15"/>
      <c r="N315" s="15"/>
      <c r="O315" s="15"/>
      <c r="P315" s="175"/>
      <c r="Q315" s="173"/>
      <c r="R315" s="15"/>
      <c r="S315" s="175"/>
      <c r="T315" s="198"/>
      <c r="U315" s="198"/>
      <c r="V315" s="16">
        <v>358.18</v>
      </c>
      <c r="W315" s="15" t="s">
        <v>537</v>
      </c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77"/>
      <c r="AM315" s="15"/>
      <c r="AN315" s="24"/>
      <c r="AO315" s="24"/>
      <c r="AP315" s="24"/>
      <c r="AQ315" s="24"/>
      <c r="AR315" s="24"/>
      <c r="AS315" s="25"/>
      <c r="AT315" s="25"/>
      <c r="AU315" s="178"/>
      <c r="AV315" s="15"/>
      <c r="AW315" s="24"/>
      <c r="AX315" s="278"/>
      <c r="AY315" s="278"/>
      <c r="AZ315" s="24"/>
      <c r="BA315" s="178"/>
      <c r="BB315" s="24"/>
      <c r="BC315" s="24"/>
      <c r="BD315" s="24"/>
      <c r="BE315" s="24"/>
      <c r="BF315" s="24"/>
      <c r="BG315" s="24"/>
      <c r="BH315" s="178"/>
      <c r="BI315" s="24"/>
      <c r="BJ315" s="24"/>
      <c r="BK315" s="24"/>
      <c r="BL315" s="24"/>
      <c r="BM315" s="24"/>
    </row>
    <row r="316" spans="1:65" ht="14.25" customHeight="1">
      <c r="A316" s="15">
        <f t="shared" si="98"/>
        <v>154</v>
      </c>
      <c r="B316" s="19" t="s">
        <v>235</v>
      </c>
      <c r="C316" s="179" t="s">
        <v>42</v>
      </c>
      <c r="D316" s="130">
        <v>6.3620000000000001</v>
      </c>
      <c r="E316" s="130">
        <f>D316*4</f>
        <v>25.448</v>
      </c>
      <c r="F316" s="130">
        <f>E316*8</f>
        <v>203.584</v>
      </c>
      <c r="G316" s="130"/>
      <c r="H316" s="180"/>
      <c r="I316" s="19"/>
      <c r="J316" s="19"/>
      <c r="K316" s="181"/>
      <c r="L316" s="173">
        <v>2.25</v>
      </c>
      <c r="M316" s="15">
        <v>2.1880000000000002</v>
      </c>
      <c r="N316" s="15">
        <v>2E-3</v>
      </c>
      <c r="O316" s="15">
        <v>0.183</v>
      </c>
      <c r="P316" s="175">
        <f t="shared" si="93"/>
        <v>4.6230000000000002</v>
      </c>
      <c r="Q316" s="173">
        <v>0.24399999999999999</v>
      </c>
      <c r="R316" s="15">
        <v>5.0000000000000001E-3</v>
      </c>
      <c r="S316" s="175">
        <f t="shared" si="94"/>
        <v>0.249</v>
      </c>
      <c r="T316" s="198"/>
      <c r="U316" s="176" t="s">
        <v>536</v>
      </c>
      <c r="V316" s="15"/>
      <c r="W316" s="15"/>
      <c r="X316" s="15">
        <v>85.44</v>
      </c>
      <c r="Y316" s="15">
        <v>0.88</v>
      </c>
      <c r="Z316" s="15">
        <v>8.1199999999999992</v>
      </c>
      <c r="AA316" s="15">
        <f t="shared" si="95"/>
        <v>9</v>
      </c>
      <c r="AB316" s="15">
        <v>96.573400000000021</v>
      </c>
      <c r="AC316" s="15">
        <v>4828.670000000001</v>
      </c>
      <c r="AD316" s="15">
        <v>63.93</v>
      </c>
      <c r="AE316" s="15">
        <v>524.79</v>
      </c>
      <c r="AF316" s="15"/>
      <c r="AG316" s="15">
        <v>100.6</v>
      </c>
      <c r="AH316" s="15">
        <v>157.18</v>
      </c>
      <c r="AI316" s="15"/>
      <c r="AJ316" s="15">
        <v>846.5</v>
      </c>
      <c r="AK316" s="15">
        <v>0.84650000000000003</v>
      </c>
      <c r="AL316" s="177"/>
      <c r="AM316" s="137" t="s">
        <v>20</v>
      </c>
      <c r="AN316" s="131" t="str">
        <f>AO316</f>
        <v>D</v>
      </c>
      <c r="AO316" s="131" t="s">
        <v>21</v>
      </c>
      <c r="AP316" s="349">
        <f t="shared" ref="AP316" si="110">AQ316-2</f>
        <v>45607</v>
      </c>
      <c r="AQ316" s="349">
        <f t="shared" ref="AQ316" si="111">AR316-2</f>
        <v>45609</v>
      </c>
      <c r="AR316" s="349">
        <f t="shared" ref="AR316" si="112">AS316-2</f>
        <v>45611</v>
      </c>
      <c r="AS316" s="530">
        <v>45613</v>
      </c>
      <c r="AT316" s="25" t="s">
        <v>589</v>
      </c>
      <c r="AU316" s="183"/>
      <c r="AV316" s="137" t="s">
        <v>20</v>
      </c>
      <c r="AW316" s="15" t="s">
        <v>544</v>
      </c>
      <c r="AX316" s="278">
        <f>AY316-1</f>
        <v>45684</v>
      </c>
      <c r="AY316" s="278">
        <v>45685</v>
      </c>
      <c r="AZ316" s="182" t="s">
        <v>539</v>
      </c>
      <c r="BA316" s="183"/>
      <c r="BB316" s="137" t="s">
        <v>20</v>
      </c>
      <c r="BC316" s="131"/>
      <c r="BD316" s="131" t="s">
        <v>21</v>
      </c>
      <c r="BE316" s="279">
        <f>BF316-2</f>
        <v>45695</v>
      </c>
      <c r="BF316" s="279">
        <v>45697</v>
      </c>
      <c r="BG316" s="17" t="s">
        <v>548</v>
      </c>
      <c r="BH316" s="188"/>
      <c r="BI316" s="137" t="s">
        <v>20</v>
      </c>
      <c r="BJ316" s="131">
        <f>BK316</f>
        <v>45807</v>
      </c>
      <c r="BK316" s="131">
        <v>45807</v>
      </c>
      <c r="BL316" s="25">
        <v>980</v>
      </c>
      <c r="BM316" s="24" t="s">
        <v>587</v>
      </c>
    </row>
    <row r="317" spans="1:65" ht="14.25" customHeight="1">
      <c r="A317" s="15" t="s">
        <v>0</v>
      </c>
      <c r="B317" s="19"/>
      <c r="C317" s="179"/>
      <c r="D317" s="130"/>
      <c r="E317" s="130"/>
      <c r="F317" s="130"/>
      <c r="G317" s="130"/>
      <c r="H317" s="180"/>
      <c r="I317" s="19"/>
      <c r="J317" s="19"/>
      <c r="K317" s="181"/>
      <c r="L317" s="173"/>
      <c r="M317" s="15"/>
      <c r="N317" s="15"/>
      <c r="O317" s="15"/>
      <c r="P317" s="175"/>
      <c r="Q317" s="173"/>
      <c r="R317" s="15"/>
      <c r="S317" s="175"/>
      <c r="T317" s="198"/>
      <c r="U317" s="198"/>
      <c r="V317" s="16">
        <v>311.05</v>
      </c>
      <c r="W317" s="15" t="s">
        <v>565</v>
      </c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77"/>
      <c r="AM317" s="15"/>
      <c r="AN317" s="24"/>
      <c r="AO317" s="24"/>
      <c r="AP317" s="24"/>
      <c r="AQ317" s="24"/>
      <c r="AR317" s="24"/>
      <c r="AS317" s="25"/>
      <c r="AT317" s="25"/>
      <c r="AU317" s="178"/>
      <c r="AV317" s="15"/>
      <c r="AW317" s="24"/>
      <c r="AX317" s="278"/>
      <c r="AY317" s="278"/>
      <c r="AZ317" s="24"/>
      <c r="BA317" s="178"/>
      <c r="BB317" s="24"/>
      <c r="BC317" s="24"/>
      <c r="BD317" s="24"/>
      <c r="BE317" s="24"/>
      <c r="BF317" s="24"/>
      <c r="BG317" s="24"/>
      <c r="BH317" s="178"/>
      <c r="BI317" s="24"/>
      <c r="BJ317" s="24"/>
      <c r="BK317" s="24"/>
      <c r="BL317" s="24"/>
      <c r="BM317" s="24"/>
    </row>
    <row r="318" spans="1:65" ht="14.25" customHeight="1">
      <c r="A318" s="15">
        <f t="shared" si="98"/>
        <v>155</v>
      </c>
      <c r="B318" s="19" t="s">
        <v>236</v>
      </c>
      <c r="C318" s="179" t="s">
        <v>37</v>
      </c>
      <c r="D318" s="130">
        <v>6.992</v>
      </c>
      <c r="E318" s="130">
        <f>D318*4</f>
        <v>27.968</v>
      </c>
      <c r="F318" s="130">
        <f>E318*8</f>
        <v>223.744</v>
      </c>
      <c r="G318" s="130"/>
      <c r="H318" s="180"/>
      <c r="I318" s="19"/>
      <c r="J318" s="19"/>
      <c r="K318" s="181"/>
      <c r="L318" s="173">
        <v>2.6070000000000002</v>
      </c>
      <c r="M318" s="15">
        <v>2.657</v>
      </c>
      <c r="N318" s="15">
        <v>2E-3</v>
      </c>
      <c r="O318" s="15">
        <v>0.21299999999999999</v>
      </c>
      <c r="P318" s="175">
        <f t="shared" si="93"/>
        <v>5.4790000000000001</v>
      </c>
      <c r="Q318" s="173">
        <v>0.24399999999999999</v>
      </c>
      <c r="R318" s="15">
        <v>5.0000000000000001E-3</v>
      </c>
      <c r="S318" s="175">
        <f t="shared" si="94"/>
        <v>0.249</v>
      </c>
      <c r="T318" s="198"/>
      <c r="U318" s="176" t="s">
        <v>536</v>
      </c>
      <c r="V318" s="15"/>
      <c r="W318" s="15"/>
      <c r="X318" s="15">
        <v>80.64</v>
      </c>
      <c r="Y318" s="15">
        <v>0.88</v>
      </c>
      <c r="Z318" s="15">
        <v>8.1199999999999992</v>
      </c>
      <c r="AA318" s="15">
        <f t="shared" si="95"/>
        <v>9</v>
      </c>
      <c r="AB318" s="15">
        <v>69.354399999999998</v>
      </c>
      <c r="AC318" s="15">
        <v>3467.72</v>
      </c>
      <c r="AD318" s="15">
        <v>73.73</v>
      </c>
      <c r="AE318" s="15">
        <v>313.64</v>
      </c>
      <c r="AF318" s="15"/>
      <c r="AG318" s="15">
        <v>201.4</v>
      </c>
      <c r="AH318" s="15"/>
      <c r="AI318" s="15"/>
      <c r="AJ318" s="15">
        <v>588.77</v>
      </c>
      <c r="AK318" s="15">
        <v>0.58877000000000002</v>
      </c>
      <c r="AL318" s="177"/>
      <c r="AM318" s="137" t="s">
        <v>20</v>
      </c>
      <c r="AN318" s="131" t="str">
        <f>AO318</f>
        <v>D</v>
      </c>
      <c r="AO318" s="131" t="s">
        <v>21</v>
      </c>
      <c r="AP318" s="349">
        <v>45608</v>
      </c>
      <c r="AQ318" s="349">
        <f t="shared" ref="AQ318" si="113">AR318-1</f>
        <v>45609</v>
      </c>
      <c r="AR318" s="349">
        <f t="shared" ref="AR318" si="114">AS318-1</f>
        <v>45610</v>
      </c>
      <c r="AS318" s="530">
        <v>45611</v>
      </c>
      <c r="AT318" s="25" t="s">
        <v>589</v>
      </c>
      <c r="AU318" s="183"/>
      <c r="AV318" s="137" t="s">
        <v>20</v>
      </c>
      <c r="AW318" s="15" t="s">
        <v>544</v>
      </c>
      <c r="AX318" s="278">
        <f>AY318</f>
        <v>45691</v>
      </c>
      <c r="AY318" s="278">
        <v>45691</v>
      </c>
      <c r="AZ318" s="182" t="s">
        <v>539</v>
      </c>
      <c r="BA318" s="183"/>
      <c r="BB318" s="137" t="s">
        <v>20</v>
      </c>
      <c r="BC318" s="131"/>
      <c r="BD318" s="131" t="s">
        <v>21</v>
      </c>
      <c r="BE318" s="279">
        <f>BF318-1</f>
        <v>45698</v>
      </c>
      <c r="BF318" s="279">
        <v>45699</v>
      </c>
      <c r="BG318" s="17" t="s">
        <v>548</v>
      </c>
      <c r="BH318" s="177"/>
      <c r="BI318" s="137" t="s">
        <v>20</v>
      </c>
      <c r="BJ318" s="17">
        <v>45822</v>
      </c>
      <c r="BK318" s="17">
        <v>45822</v>
      </c>
      <c r="BL318" s="25">
        <v>1330</v>
      </c>
      <c r="BM318" s="185" t="s">
        <v>587</v>
      </c>
    </row>
    <row r="319" spans="1:65" ht="14.25" customHeight="1">
      <c r="A319" s="15" t="s">
        <v>0</v>
      </c>
      <c r="B319" s="19"/>
      <c r="C319" s="179"/>
      <c r="D319" s="130"/>
      <c r="E319" s="130"/>
      <c r="F319" s="130"/>
      <c r="G319" s="130"/>
      <c r="H319" s="180"/>
      <c r="I319" s="19"/>
      <c r="J319" s="19"/>
      <c r="K319" s="181"/>
      <c r="L319" s="173"/>
      <c r="M319" s="15"/>
      <c r="N319" s="15"/>
      <c r="O319" s="15"/>
      <c r="P319" s="175"/>
      <c r="Q319" s="173"/>
      <c r="R319" s="15"/>
      <c r="S319" s="175"/>
      <c r="T319" s="198"/>
      <c r="U319" s="198"/>
      <c r="V319" s="16">
        <v>375.15</v>
      </c>
      <c r="W319" s="15" t="s">
        <v>565</v>
      </c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77"/>
      <c r="AM319" s="15"/>
      <c r="AN319" s="24"/>
      <c r="AO319" s="24"/>
      <c r="AP319" s="24"/>
      <c r="AQ319" s="24"/>
      <c r="AR319" s="24"/>
      <c r="AS319" s="25"/>
      <c r="AT319" s="25"/>
      <c r="AU319" s="178"/>
      <c r="AV319" s="15"/>
      <c r="AW319" s="24"/>
      <c r="AX319" s="278"/>
      <c r="AY319" s="278"/>
      <c r="AZ319" s="24"/>
      <c r="BA319" s="178"/>
      <c r="BB319" s="24"/>
      <c r="BC319" s="24"/>
      <c r="BD319" s="24"/>
      <c r="BE319" s="24"/>
      <c r="BF319" s="24"/>
      <c r="BG319" s="24"/>
      <c r="BH319" s="178"/>
      <c r="BI319" s="24"/>
      <c r="BJ319" s="24"/>
      <c r="BK319" s="24"/>
      <c r="BL319" s="24"/>
      <c r="BM319" s="24"/>
    </row>
    <row r="320" spans="1:65" ht="14.25" customHeight="1">
      <c r="A320" s="15">
        <f t="shared" si="98"/>
        <v>156</v>
      </c>
      <c r="B320" s="19" t="s">
        <v>237</v>
      </c>
      <c r="C320" s="179" t="s">
        <v>37</v>
      </c>
      <c r="D320" s="130">
        <v>6.992</v>
      </c>
      <c r="E320" s="130">
        <f>D320*4</f>
        <v>27.968</v>
      </c>
      <c r="F320" s="130">
        <f>E320*8</f>
        <v>223.744</v>
      </c>
      <c r="G320" s="130"/>
      <c r="H320" s="180"/>
      <c r="I320" s="19"/>
      <c r="J320" s="19"/>
      <c r="K320" s="181"/>
      <c r="L320" s="173">
        <v>2.6070000000000002</v>
      </c>
      <c r="M320" s="15">
        <v>2.657</v>
      </c>
      <c r="N320" s="15">
        <v>2E-3</v>
      </c>
      <c r="O320" s="15">
        <v>0.21299999999999999</v>
      </c>
      <c r="P320" s="175">
        <f t="shared" si="93"/>
        <v>5.4790000000000001</v>
      </c>
      <c r="Q320" s="173">
        <v>0.24399999999999999</v>
      </c>
      <c r="R320" s="15">
        <v>5.0000000000000001E-3</v>
      </c>
      <c r="S320" s="175">
        <f t="shared" si="94"/>
        <v>0.249</v>
      </c>
      <c r="T320" s="198"/>
      <c r="U320" s="176" t="s">
        <v>536</v>
      </c>
      <c r="V320" s="15"/>
      <c r="W320" s="15"/>
      <c r="X320" s="15">
        <v>80.64</v>
      </c>
      <c r="Y320" s="15">
        <v>0.8</v>
      </c>
      <c r="Z320" s="15">
        <v>7.8</v>
      </c>
      <c r="AA320" s="15">
        <f t="shared" si="95"/>
        <v>8.6</v>
      </c>
      <c r="AB320" s="15">
        <v>69.354399999999998</v>
      </c>
      <c r="AC320" s="15">
        <v>3467.72</v>
      </c>
      <c r="AD320" s="15">
        <v>73.73</v>
      </c>
      <c r="AE320" s="15">
        <v>313.64</v>
      </c>
      <c r="AF320" s="15"/>
      <c r="AG320" s="15">
        <v>201.4</v>
      </c>
      <c r="AH320" s="15"/>
      <c r="AI320" s="15"/>
      <c r="AJ320" s="15">
        <v>588.77</v>
      </c>
      <c r="AK320" s="15">
        <v>0.58877000000000002</v>
      </c>
      <c r="AL320" s="177"/>
      <c r="AM320" s="137" t="s">
        <v>20</v>
      </c>
      <c r="AN320" s="131" t="str">
        <f>AO320</f>
        <v>D</v>
      </c>
      <c r="AO320" s="131" t="s">
        <v>21</v>
      </c>
      <c r="AP320" s="349">
        <v>45534</v>
      </c>
      <c r="AQ320" s="349">
        <v>45536</v>
      </c>
      <c r="AR320" s="349">
        <v>45536</v>
      </c>
      <c r="AS320" s="530">
        <v>45554</v>
      </c>
      <c r="AT320" s="25" t="s">
        <v>593</v>
      </c>
      <c r="AU320" s="178"/>
      <c r="AV320" s="137" t="s">
        <v>20</v>
      </c>
      <c r="AW320" s="15" t="s">
        <v>6</v>
      </c>
      <c r="AX320" s="278">
        <f>AY320</f>
        <v>45691</v>
      </c>
      <c r="AY320" s="278">
        <v>45691</v>
      </c>
      <c r="AZ320" s="182" t="s">
        <v>539</v>
      </c>
      <c r="BA320" s="183"/>
      <c r="BB320" s="137" t="s">
        <v>20</v>
      </c>
      <c r="BC320" s="131"/>
      <c r="BD320" s="131" t="s">
        <v>21</v>
      </c>
      <c r="BE320" s="279">
        <f>BF320-1</f>
        <v>45701</v>
      </c>
      <c r="BF320" s="279">
        <v>45702</v>
      </c>
      <c r="BG320" s="17" t="s">
        <v>548</v>
      </c>
      <c r="BH320" s="187"/>
      <c r="BI320" s="137" t="s">
        <v>20</v>
      </c>
      <c r="BJ320" s="134">
        <v>45784</v>
      </c>
      <c r="BK320" s="134">
        <v>45784</v>
      </c>
      <c r="BL320" s="25">
        <v>1330</v>
      </c>
      <c r="BM320" s="24" t="s">
        <v>587</v>
      </c>
    </row>
    <row r="321" spans="1:65" ht="14.25" customHeight="1">
      <c r="A321" s="15" t="s">
        <v>0</v>
      </c>
      <c r="B321" s="19"/>
      <c r="C321" s="179"/>
      <c r="D321" s="130"/>
      <c r="E321" s="130"/>
      <c r="F321" s="130"/>
      <c r="G321" s="130"/>
      <c r="H321" s="180"/>
      <c r="I321" s="19"/>
      <c r="J321" s="19"/>
      <c r="K321" s="181"/>
      <c r="L321" s="173"/>
      <c r="M321" s="15"/>
      <c r="N321" s="15"/>
      <c r="O321" s="15"/>
      <c r="P321" s="175"/>
      <c r="Q321" s="173"/>
      <c r="R321" s="15"/>
      <c r="S321" s="175"/>
      <c r="T321" s="198"/>
      <c r="U321" s="198"/>
      <c r="V321" s="16">
        <v>369.13</v>
      </c>
      <c r="W321" s="15" t="s">
        <v>500</v>
      </c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77"/>
      <c r="AM321" s="15"/>
      <c r="AN321" s="24"/>
      <c r="AO321" s="24"/>
      <c r="AP321" s="24"/>
      <c r="AQ321" s="24"/>
      <c r="AR321" s="24"/>
      <c r="AS321" s="25"/>
      <c r="AT321" s="25"/>
      <c r="AU321" s="178"/>
      <c r="AV321" s="15"/>
      <c r="AW321" s="24"/>
      <c r="AX321" s="278"/>
      <c r="AY321" s="278"/>
      <c r="AZ321" s="24"/>
      <c r="BA321" s="178"/>
      <c r="BB321" s="24"/>
      <c r="BC321" s="24"/>
      <c r="BD321" s="24"/>
      <c r="BE321" s="24"/>
      <c r="BF321" s="24"/>
      <c r="BG321" s="24"/>
      <c r="BH321" s="178"/>
      <c r="BI321" s="24"/>
      <c r="BJ321" s="24"/>
      <c r="BK321" s="24"/>
      <c r="BL321" s="24"/>
      <c r="BM321" s="24"/>
    </row>
    <row r="322" spans="1:65" ht="14.25" customHeight="1">
      <c r="A322" s="15">
        <f t="shared" si="98"/>
        <v>157</v>
      </c>
      <c r="B322" s="19" t="s">
        <v>238</v>
      </c>
      <c r="C322" s="179" t="s">
        <v>37</v>
      </c>
      <c r="D322" s="130">
        <v>6.992</v>
      </c>
      <c r="E322" s="130">
        <f>D322*4</f>
        <v>27.968</v>
      </c>
      <c r="F322" s="130">
        <f>E322*8</f>
        <v>223.744</v>
      </c>
      <c r="G322" s="130"/>
      <c r="H322" s="180"/>
      <c r="I322" s="19"/>
      <c r="J322" s="19"/>
      <c r="K322" s="181"/>
      <c r="L322" s="173">
        <v>2.6070000000000002</v>
      </c>
      <c r="M322" s="15">
        <v>2.657</v>
      </c>
      <c r="N322" s="15">
        <v>2E-3</v>
      </c>
      <c r="O322" s="15">
        <v>0.21299999999999999</v>
      </c>
      <c r="P322" s="175">
        <f t="shared" si="93"/>
        <v>5.4790000000000001</v>
      </c>
      <c r="Q322" s="173">
        <v>0.24399999999999999</v>
      </c>
      <c r="R322" s="15">
        <v>5.0000000000000001E-3</v>
      </c>
      <c r="S322" s="175">
        <f t="shared" si="94"/>
        <v>0.249</v>
      </c>
      <c r="T322" s="198"/>
      <c r="U322" s="176" t="s">
        <v>536</v>
      </c>
      <c r="V322" s="15"/>
      <c r="W322" s="15"/>
      <c r="X322" s="15">
        <v>41.44</v>
      </c>
      <c r="Y322" s="15">
        <v>0.8</v>
      </c>
      <c r="Z322" s="15">
        <v>7.8</v>
      </c>
      <c r="AA322" s="15">
        <f t="shared" si="95"/>
        <v>8.6</v>
      </c>
      <c r="AB322" s="15">
        <v>66.42</v>
      </c>
      <c r="AC322" s="15">
        <v>3321</v>
      </c>
      <c r="AD322" s="15">
        <v>73.73</v>
      </c>
      <c r="AE322" s="15">
        <v>301.5</v>
      </c>
      <c r="AF322" s="15"/>
      <c r="AG322" s="15">
        <v>206.46</v>
      </c>
      <c r="AH322" s="15"/>
      <c r="AI322" s="15"/>
      <c r="AJ322" s="15">
        <v>581.69000000000005</v>
      </c>
      <c r="AK322" s="15">
        <v>0.58169000000000004</v>
      </c>
      <c r="AL322" s="177"/>
      <c r="AM322" s="137" t="s">
        <v>20</v>
      </c>
      <c r="AN322" s="131" t="str">
        <f>AO322</f>
        <v>D</v>
      </c>
      <c r="AO322" s="131" t="s">
        <v>21</v>
      </c>
      <c r="AP322" s="349">
        <v>45538</v>
      </c>
      <c r="AQ322" s="349">
        <v>45548</v>
      </c>
      <c r="AR322" s="349">
        <v>45556</v>
      </c>
      <c r="AS322" s="530">
        <v>45558</v>
      </c>
      <c r="AT322" s="25" t="s">
        <v>593</v>
      </c>
      <c r="AU322" s="178"/>
      <c r="AV322" s="137" t="s">
        <v>20</v>
      </c>
      <c r="AW322" s="15" t="s">
        <v>6</v>
      </c>
      <c r="AX322" s="278">
        <f>AY322</f>
        <v>45691</v>
      </c>
      <c r="AY322" s="278">
        <v>45691</v>
      </c>
      <c r="AZ322" s="182" t="s">
        <v>539</v>
      </c>
      <c r="BA322" s="183"/>
      <c r="BB322" s="137" t="s">
        <v>20</v>
      </c>
      <c r="BC322" s="131"/>
      <c r="BD322" s="131" t="s">
        <v>21</v>
      </c>
      <c r="BE322" s="279">
        <f>BF322-2</f>
        <v>45702</v>
      </c>
      <c r="BF322" s="279">
        <v>45704</v>
      </c>
      <c r="BG322" s="17" t="s">
        <v>548</v>
      </c>
      <c r="BH322" s="188"/>
      <c r="BI322" s="137" t="s">
        <v>20</v>
      </c>
      <c r="BJ322" s="134">
        <v>45784</v>
      </c>
      <c r="BK322" s="134">
        <v>45784</v>
      </c>
      <c r="BL322" s="25">
        <v>1330</v>
      </c>
      <c r="BM322" s="24" t="s">
        <v>587</v>
      </c>
    </row>
    <row r="323" spans="1:65" ht="14.25" customHeight="1">
      <c r="A323" s="15" t="s">
        <v>0</v>
      </c>
      <c r="B323" s="19"/>
      <c r="C323" s="179"/>
      <c r="D323" s="130"/>
      <c r="E323" s="130"/>
      <c r="F323" s="130"/>
      <c r="G323" s="130"/>
      <c r="H323" s="180"/>
      <c r="I323" s="19"/>
      <c r="J323" s="19"/>
      <c r="K323" s="181"/>
      <c r="L323" s="173"/>
      <c r="M323" s="15"/>
      <c r="N323" s="15"/>
      <c r="O323" s="15"/>
      <c r="P323" s="175"/>
      <c r="Q323" s="173"/>
      <c r="R323" s="15"/>
      <c r="S323" s="175"/>
      <c r="T323" s="198"/>
      <c r="U323" s="198"/>
      <c r="V323" s="16">
        <v>370.97</v>
      </c>
      <c r="W323" s="15" t="s">
        <v>500</v>
      </c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77"/>
      <c r="AM323" s="15"/>
      <c r="AN323" s="24"/>
      <c r="AO323" s="24"/>
      <c r="AP323" s="24"/>
      <c r="AQ323" s="24"/>
      <c r="AR323" s="24"/>
      <c r="AS323" s="25"/>
      <c r="AT323" s="25"/>
      <c r="AU323" s="178"/>
      <c r="AV323" s="15"/>
      <c r="AW323" s="24"/>
      <c r="AX323" s="278"/>
      <c r="AY323" s="278"/>
      <c r="AZ323" s="24"/>
      <c r="BA323" s="178"/>
      <c r="BB323" s="24"/>
      <c r="BC323" s="24"/>
      <c r="BD323" s="24"/>
      <c r="BE323" s="24"/>
      <c r="BF323" s="24"/>
      <c r="BG323" s="24"/>
      <c r="BH323" s="178"/>
      <c r="BI323" s="24"/>
      <c r="BJ323" s="24"/>
      <c r="BK323" s="24"/>
      <c r="BL323" s="24"/>
      <c r="BM323" s="24"/>
    </row>
    <row r="324" spans="1:65" ht="14.25" customHeight="1">
      <c r="A324" s="15">
        <f t="shared" si="98"/>
        <v>158</v>
      </c>
      <c r="B324" s="19" t="s">
        <v>239</v>
      </c>
      <c r="C324" s="179" t="s">
        <v>37</v>
      </c>
      <c r="D324" s="130">
        <v>6.992</v>
      </c>
      <c r="E324" s="130">
        <f>D324*4</f>
        <v>27.968</v>
      </c>
      <c r="F324" s="130">
        <f>E324*8</f>
        <v>223.744</v>
      </c>
      <c r="G324" s="130"/>
      <c r="H324" s="180"/>
      <c r="I324" s="19"/>
      <c r="J324" s="19"/>
      <c r="K324" s="181"/>
      <c r="L324" s="173">
        <v>2.6070000000000002</v>
      </c>
      <c r="M324" s="15">
        <v>2.657</v>
      </c>
      <c r="N324" s="15">
        <v>2E-3</v>
      </c>
      <c r="O324" s="15">
        <v>0.21299999999999999</v>
      </c>
      <c r="P324" s="175">
        <f t="shared" si="93"/>
        <v>5.4790000000000001</v>
      </c>
      <c r="Q324" s="173">
        <v>0.24399999999999999</v>
      </c>
      <c r="R324" s="15">
        <v>5.0000000000000001E-3</v>
      </c>
      <c r="S324" s="175">
        <f t="shared" si="94"/>
        <v>0.249</v>
      </c>
      <c r="T324" s="198"/>
      <c r="U324" s="176" t="s">
        <v>536</v>
      </c>
      <c r="V324" s="15"/>
      <c r="W324" s="15"/>
      <c r="X324" s="15">
        <v>41.44</v>
      </c>
      <c r="Y324" s="15">
        <v>0.88</v>
      </c>
      <c r="Z324" s="15">
        <v>8.1199999999999992</v>
      </c>
      <c r="AA324" s="15">
        <f t="shared" si="95"/>
        <v>9</v>
      </c>
      <c r="AB324" s="15">
        <v>66.42</v>
      </c>
      <c r="AC324" s="15">
        <v>3321</v>
      </c>
      <c r="AD324" s="15">
        <v>73.73</v>
      </c>
      <c r="AE324" s="15">
        <v>301.5</v>
      </c>
      <c r="AF324" s="15"/>
      <c r="AG324" s="15">
        <v>206.46</v>
      </c>
      <c r="AH324" s="15"/>
      <c r="AI324" s="15"/>
      <c r="AJ324" s="15">
        <v>581.69000000000005</v>
      </c>
      <c r="AK324" s="15">
        <v>0.58169000000000004</v>
      </c>
      <c r="AL324" s="177"/>
      <c r="AM324" s="137" t="s">
        <v>20</v>
      </c>
      <c r="AN324" s="131" t="str">
        <f>AO324</f>
        <v>D</v>
      </c>
      <c r="AO324" s="131" t="s">
        <v>21</v>
      </c>
      <c r="AP324" s="349">
        <f>AQ324-3</f>
        <v>45608</v>
      </c>
      <c r="AQ324" s="349">
        <f t="shared" ref="AQ324" si="115">AR324-2</f>
        <v>45611</v>
      </c>
      <c r="AR324" s="349">
        <f t="shared" ref="AR324" si="116">AS324-2</f>
        <v>45613</v>
      </c>
      <c r="AS324" s="530">
        <v>45615</v>
      </c>
      <c r="AT324" s="25" t="s">
        <v>589</v>
      </c>
      <c r="AU324" s="183"/>
      <c r="AV324" s="137" t="s">
        <v>20</v>
      </c>
      <c r="AW324" s="15" t="s">
        <v>544</v>
      </c>
      <c r="AX324" s="278">
        <f>AY324</f>
        <v>45691</v>
      </c>
      <c r="AY324" s="278">
        <v>45691</v>
      </c>
      <c r="AZ324" s="182" t="s">
        <v>539</v>
      </c>
      <c r="BA324" s="183"/>
      <c r="BB324" s="137" t="s">
        <v>20</v>
      </c>
      <c r="BC324" s="131"/>
      <c r="BD324" s="131" t="s">
        <v>21</v>
      </c>
      <c r="BE324" s="279">
        <f>BF324-2</f>
        <v>45707</v>
      </c>
      <c r="BF324" s="279">
        <v>45709</v>
      </c>
      <c r="BG324" s="17" t="s">
        <v>548</v>
      </c>
      <c r="BH324" s="187"/>
      <c r="BI324" s="137" t="s">
        <v>20</v>
      </c>
      <c r="BJ324" s="131">
        <v>45803</v>
      </c>
      <c r="BK324" s="131">
        <v>45803</v>
      </c>
      <c r="BL324" s="25">
        <v>1330</v>
      </c>
      <c r="BM324" s="24" t="s">
        <v>587</v>
      </c>
    </row>
    <row r="325" spans="1:65" ht="14.25" customHeight="1">
      <c r="A325" s="15" t="s">
        <v>0</v>
      </c>
      <c r="B325" s="19"/>
      <c r="C325" s="179"/>
      <c r="D325" s="130"/>
      <c r="E325" s="130"/>
      <c r="F325" s="130"/>
      <c r="G325" s="130"/>
      <c r="H325" s="180"/>
      <c r="I325" s="19"/>
      <c r="J325" s="19"/>
      <c r="K325" s="181"/>
      <c r="L325" s="173"/>
      <c r="M325" s="15"/>
      <c r="N325" s="15"/>
      <c r="O325" s="15"/>
      <c r="P325" s="175"/>
      <c r="Q325" s="173"/>
      <c r="R325" s="15"/>
      <c r="S325" s="175"/>
      <c r="T325" s="198"/>
      <c r="U325" s="198"/>
      <c r="V325" s="16">
        <v>356.46</v>
      </c>
      <c r="W325" s="15" t="s">
        <v>565</v>
      </c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77"/>
      <c r="AM325" s="15"/>
      <c r="AN325" s="24"/>
      <c r="AO325" s="24"/>
      <c r="AP325" s="24"/>
      <c r="AQ325" s="24"/>
      <c r="AR325" s="24"/>
      <c r="AS325" s="25"/>
      <c r="AT325" s="25"/>
      <c r="AU325" s="178"/>
      <c r="AV325" s="15"/>
      <c r="AW325" s="24"/>
      <c r="AX325" s="278"/>
      <c r="AY325" s="278"/>
      <c r="AZ325" s="24"/>
      <c r="BA325" s="178"/>
      <c r="BB325" s="24"/>
      <c r="BC325" s="24"/>
      <c r="BD325" s="24"/>
      <c r="BE325" s="24"/>
      <c r="BF325" s="24"/>
      <c r="BG325" s="24"/>
      <c r="BH325" s="178"/>
      <c r="BI325" s="24"/>
      <c r="BJ325" s="24"/>
      <c r="BK325" s="24"/>
      <c r="BL325" s="24"/>
      <c r="BM325" s="24"/>
    </row>
    <row r="326" spans="1:65" ht="14.25" customHeight="1">
      <c r="A326" s="15">
        <f t="shared" si="98"/>
        <v>159</v>
      </c>
      <c r="B326" s="19" t="s">
        <v>240</v>
      </c>
      <c r="C326" s="179" t="s">
        <v>42</v>
      </c>
      <c r="D326" s="130">
        <v>6.3620000000000001</v>
      </c>
      <c r="E326" s="130">
        <f>D326*4</f>
        <v>25.448</v>
      </c>
      <c r="F326" s="130">
        <f>E326*8</f>
        <v>203.584</v>
      </c>
      <c r="G326" s="130"/>
      <c r="H326" s="180"/>
      <c r="I326" s="19"/>
      <c r="J326" s="19"/>
      <c r="K326" s="181"/>
      <c r="L326" s="173">
        <v>2.25</v>
      </c>
      <c r="M326" s="15">
        <v>2.1880000000000002</v>
      </c>
      <c r="N326" s="15">
        <v>2E-3</v>
      </c>
      <c r="O326" s="15">
        <v>0.183</v>
      </c>
      <c r="P326" s="175">
        <f t="shared" si="93"/>
        <v>4.6230000000000002</v>
      </c>
      <c r="Q326" s="173">
        <v>0.24399999999999999</v>
      </c>
      <c r="R326" s="15">
        <v>5.0000000000000001E-3</v>
      </c>
      <c r="S326" s="175">
        <f t="shared" si="94"/>
        <v>0.249</v>
      </c>
      <c r="T326" s="198"/>
      <c r="U326" s="176" t="s">
        <v>536</v>
      </c>
      <c r="V326" s="15"/>
      <c r="W326" s="15"/>
      <c r="X326" s="15">
        <v>80.64</v>
      </c>
      <c r="Y326" s="15">
        <v>1.68</v>
      </c>
      <c r="Z326" s="15">
        <v>11.97</v>
      </c>
      <c r="AA326" s="15">
        <f t="shared" si="95"/>
        <v>13.65</v>
      </c>
      <c r="AB326" s="15">
        <v>69.354399999999998</v>
      </c>
      <c r="AC326" s="15">
        <v>3467.72</v>
      </c>
      <c r="AD326" s="15">
        <v>73.73</v>
      </c>
      <c r="AE326" s="15">
        <v>313.64</v>
      </c>
      <c r="AF326" s="15"/>
      <c r="AG326" s="15">
        <v>201.4</v>
      </c>
      <c r="AH326" s="15"/>
      <c r="AI326" s="15"/>
      <c r="AJ326" s="15">
        <v>588.77</v>
      </c>
      <c r="AK326" s="15">
        <v>0.58877000000000002</v>
      </c>
      <c r="AL326" s="177"/>
      <c r="AM326" s="137" t="s">
        <v>20</v>
      </c>
      <c r="AN326" s="131" t="str">
        <f>AO326</f>
        <v>D</v>
      </c>
      <c r="AO326" s="131" t="s">
        <v>21</v>
      </c>
      <c r="AP326" s="349">
        <v>45603</v>
      </c>
      <c r="AQ326" s="349">
        <f>AP326+19</f>
        <v>45622</v>
      </c>
      <c r="AR326" s="349">
        <f>AS326-3</f>
        <v>45627</v>
      </c>
      <c r="AS326" s="530">
        <v>45630</v>
      </c>
      <c r="AT326" s="25" t="s">
        <v>593</v>
      </c>
      <c r="AU326" s="178"/>
      <c r="AV326" s="137" t="s">
        <v>20</v>
      </c>
      <c r="AW326" s="15" t="s">
        <v>544</v>
      </c>
      <c r="AX326" s="278">
        <f>AY326</f>
        <v>45691</v>
      </c>
      <c r="AY326" s="278">
        <v>45691</v>
      </c>
      <c r="AZ326" s="182" t="s">
        <v>539</v>
      </c>
      <c r="BA326" s="183"/>
      <c r="BB326" s="137" t="s">
        <v>20</v>
      </c>
      <c r="BC326" s="131"/>
      <c r="BD326" s="131" t="s">
        <v>21</v>
      </c>
      <c r="BE326" s="279">
        <f>BF326-2</f>
        <v>45709</v>
      </c>
      <c r="BF326" s="279">
        <v>45711</v>
      </c>
      <c r="BG326" s="17" t="s">
        <v>548</v>
      </c>
      <c r="BH326" s="187"/>
      <c r="BI326" s="137" t="s">
        <v>20</v>
      </c>
      <c r="BJ326" s="131">
        <v>45803</v>
      </c>
      <c r="BK326" s="131">
        <v>45803</v>
      </c>
      <c r="BL326" s="25">
        <v>980</v>
      </c>
      <c r="BM326" s="24" t="s">
        <v>587</v>
      </c>
    </row>
    <row r="327" spans="1:65" ht="14.25" customHeight="1">
      <c r="A327" s="15" t="s">
        <v>0</v>
      </c>
      <c r="B327" s="19"/>
      <c r="C327" s="179"/>
      <c r="D327" s="130"/>
      <c r="E327" s="130"/>
      <c r="F327" s="130"/>
      <c r="G327" s="130"/>
      <c r="H327" s="180"/>
      <c r="I327" s="19"/>
      <c r="J327" s="19"/>
      <c r="K327" s="181"/>
      <c r="L327" s="173"/>
      <c r="M327" s="15"/>
      <c r="N327" s="15"/>
      <c r="O327" s="15"/>
      <c r="P327" s="175"/>
      <c r="Q327" s="173"/>
      <c r="R327" s="15"/>
      <c r="S327" s="175"/>
      <c r="T327" s="198"/>
      <c r="U327" s="198"/>
      <c r="V327" s="16">
        <v>363.33</v>
      </c>
      <c r="W327" s="15" t="s">
        <v>586</v>
      </c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77"/>
      <c r="AM327" s="15"/>
      <c r="AN327" s="24"/>
      <c r="AO327" s="24"/>
      <c r="AP327" s="24"/>
      <c r="AQ327" s="24"/>
      <c r="AR327" s="24"/>
      <c r="AS327" s="25"/>
      <c r="AT327" s="25"/>
      <c r="AU327" s="177"/>
      <c r="AV327" s="15"/>
      <c r="AW327" s="24"/>
      <c r="AX327" s="278"/>
      <c r="AY327" s="278"/>
      <c r="AZ327" s="24"/>
      <c r="BA327" s="178"/>
      <c r="BB327" s="24"/>
      <c r="BC327" s="24"/>
      <c r="BD327" s="24"/>
      <c r="BE327" s="24"/>
      <c r="BF327" s="24"/>
      <c r="BG327" s="24"/>
      <c r="BH327" s="178"/>
      <c r="BI327" s="24"/>
      <c r="BJ327" s="24"/>
      <c r="BK327" s="24"/>
      <c r="BL327" s="24"/>
      <c r="BM327" s="24"/>
    </row>
    <row r="328" spans="1:65" ht="14.25" customHeight="1">
      <c r="A328" s="15">
        <f t="shared" si="98"/>
        <v>160</v>
      </c>
      <c r="B328" s="19" t="s">
        <v>241</v>
      </c>
      <c r="C328" s="179" t="s">
        <v>37</v>
      </c>
      <c r="D328" s="130">
        <v>6.992</v>
      </c>
      <c r="E328" s="130">
        <f>D328*4</f>
        <v>27.968</v>
      </c>
      <c r="F328" s="130">
        <f>E328*8</f>
        <v>223.744</v>
      </c>
      <c r="G328" s="130"/>
      <c r="H328" s="180"/>
      <c r="I328" s="19"/>
      <c r="J328" s="19"/>
      <c r="K328" s="181"/>
      <c r="L328" s="173">
        <v>2.6070000000000002</v>
      </c>
      <c r="M328" s="15">
        <v>2.657</v>
      </c>
      <c r="N328" s="15">
        <v>2E-3</v>
      </c>
      <c r="O328" s="15">
        <v>0.21299999999999999</v>
      </c>
      <c r="P328" s="175">
        <f t="shared" si="93"/>
        <v>5.4790000000000001</v>
      </c>
      <c r="Q328" s="173">
        <v>0.24399999999999999</v>
      </c>
      <c r="R328" s="15">
        <v>5.0000000000000001E-3</v>
      </c>
      <c r="S328" s="175">
        <f t="shared" si="94"/>
        <v>0.249</v>
      </c>
      <c r="T328" s="198"/>
      <c r="U328" s="176" t="s">
        <v>536</v>
      </c>
      <c r="V328" s="15"/>
      <c r="W328" s="15"/>
      <c r="X328" s="16">
        <v>143.36000000000001</v>
      </c>
      <c r="Y328" s="16">
        <v>1.68</v>
      </c>
      <c r="Z328" s="16">
        <v>11.97</v>
      </c>
      <c r="AA328" s="16">
        <f t="shared" si="95"/>
        <v>13.65</v>
      </c>
      <c r="AB328" s="23">
        <f>+Y328*4.44+Z328*8.06</f>
        <v>103.93740000000001</v>
      </c>
      <c r="AC328" s="16">
        <f>+AB328*50</f>
        <v>5196.8700000000008</v>
      </c>
      <c r="AD328" s="16">
        <v>63.93</v>
      </c>
      <c r="AE328" s="16">
        <v>535.23</v>
      </c>
      <c r="AF328" s="16"/>
      <c r="AG328" s="16">
        <v>100.6</v>
      </c>
      <c r="AH328" s="16">
        <v>157.18</v>
      </c>
      <c r="AI328" s="16"/>
      <c r="AJ328" s="16">
        <f>SUM(AD328:AI328)</f>
        <v>856.94</v>
      </c>
      <c r="AK328" s="15">
        <f>+AJ328/1000</f>
        <v>0.85694000000000004</v>
      </c>
      <c r="AL328" s="177"/>
      <c r="AM328" s="137" t="s">
        <v>20</v>
      </c>
      <c r="AN328" s="131" t="str">
        <f>AO328</f>
        <v>D</v>
      </c>
      <c r="AO328" s="131" t="s">
        <v>21</v>
      </c>
      <c r="AP328" s="349">
        <v>45532</v>
      </c>
      <c r="AQ328" s="349">
        <f t="shared" ref="AQ328" si="117">AR328-4</f>
        <v>45607</v>
      </c>
      <c r="AR328" s="349">
        <f t="shared" ref="AR328" si="118">AS328-4</f>
        <v>45611</v>
      </c>
      <c r="AS328" s="530">
        <v>45615</v>
      </c>
      <c r="AT328" s="25" t="s">
        <v>593</v>
      </c>
      <c r="AU328" s="177"/>
      <c r="AV328" s="137" t="s">
        <v>20</v>
      </c>
      <c r="AW328" s="15" t="s">
        <v>544</v>
      </c>
      <c r="AX328" s="278">
        <f>AY328</f>
        <v>45691</v>
      </c>
      <c r="AY328" s="278">
        <v>45691</v>
      </c>
      <c r="AZ328" s="182" t="s">
        <v>539</v>
      </c>
      <c r="BA328" s="183"/>
      <c r="BB328" s="137" t="s">
        <v>20</v>
      </c>
      <c r="BC328" s="131"/>
      <c r="BD328" s="131" t="s">
        <v>21</v>
      </c>
      <c r="BE328" s="279">
        <f>BF328-2</f>
        <v>45711</v>
      </c>
      <c r="BF328" s="279">
        <v>45713</v>
      </c>
      <c r="BG328" s="17" t="s">
        <v>548</v>
      </c>
      <c r="BH328" s="187"/>
      <c r="BI328" s="137" t="s">
        <v>20</v>
      </c>
      <c r="BJ328" s="131">
        <v>45804</v>
      </c>
      <c r="BK328" s="131">
        <v>45804</v>
      </c>
      <c r="BL328" s="25">
        <v>1330</v>
      </c>
      <c r="BM328" s="24" t="s">
        <v>587</v>
      </c>
    </row>
    <row r="329" spans="1:65" ht="14.25" customHeight="1">
      <c r="A329" s="15" t="s">
        <v>0</v>
      </c>
      <c r="B329" s="19"/>
      <c r="C329" s="179"/>
      <c r="D329" s="130"/>
      <c r="E329" s="130"/>
      <c r="F329" s="130"/>
      <c r="G329" s="130"/>
      <c r="H329" s="180"/>
      <c r="I329" s="19"/>
      <c r="J329" s="19"/>
      <c r="K329" s="181"/>
      <c r="L329" s="173"/>
      <c r="M329" s="15"/>
      <c r="N329" s="15"/>
      <c r="O329" s="15"/>
      <c r="P329" s="175"/>
      <c r="Q329" s="173"/>
      <c r="R329" s="15"/>
      <c r="S329" s="175"/>
      <c r="T329" s="198"/>
      <c r="U329" s="198"/>
      <c r="V329" s="16">
        <v>370.25</v>
      </c>
      <c r="W329" s="15" t="s">
        <v>586</v>
      </c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77"/>
      <c r="AM329" s="15"/>
      <c r="AN329" s="24"/>
      <c r="AO329" s="24"/>
      <c r="AP329" s="24"/>
      <c r="AQ329" s="24"/>
      <c r="AR329" s="24"/>
      <c r="AS329" s="25"/>
      <c r="AT329" s="25"/>
      <c r="AU329" s="177"/>
      <c r="AV329" s="15"/>
      <c r="AW329" s="24"/>
      <c r="AX329" s="278"/>
      <c r="AY329" s="278"/>
      <c r="AZ329" s="24"/>
      <c r="BA329" s="177"/>
      <c r="BB329" s="24"/>
      <c r="BC329" s="24"/>
      <c r="BD329" s="24"/>
      <c r="BE329" s="24"/>
      <c r="BF329" s="24"/>
      <c r="BG329" s="24"/>
      <c r="BH329" s="178"/>
      <c r="BI329" s="24"/>
      <c r="BJ329" s="24"/>
      <c r="BK329" s="24"/>
      <c r="BL329" s="24"/>
      <c r="BM329" s="24"/>
    </row>
    <row r="330" spans="1:65" ht="14.25" customHeight="1">
      <c r="A330" s="15">
        <f t="shared" si="98"/>
        <v>161</v>
      </c>
      <c r="B330" s="19" t="s">
        <v>242</v>
      </c>
      <c r="C330" s="179" t="s">
        <v>42</v>
      </c>
      <c r="D330" s="130">
        <v>6.3620000000000001</v>
      </c>
      <c r="E330" s="130">
        <f>D330*4</f>
        <v>25.448</v>
      </c>
      <c r="F330" s="130">
        <f>E330*8</f>
        <v>203.584</v>
      </c>
      <c r="G330" s="130"/>
      <c r="H330" s="180"/>
      <c r="I330" s="19"/>
      <c r="J330" s="19"/>
      <c r="K330" s="181"/>
      <c r="L330" s="173">
        <v>2.25</v>
      </c>
      <c r="M330" s="15">
        <v>2.1880000000000002</v>
      </c>
      <c r="N330" s="15">
        <v>2E-3</v>
      </c>
      <c r="O330" s="15">
        <v>0.183</v>
      </c>
      <c r="P330" s="175">
        <f t="shared" si="93"/>
        <v>4.6230000000000002</v>
      </c>
      <c r="Q330" s="173">
        <v>0.24399999999999999</v>
      </c>
      <c r="R330" s="15">
        <v>5.0000000000000001E-3</v>
      </c>
      <c r="S330" s="175">
        <f t="shared" ref="S330:S392" si="119">SUM(Q330:R330)</f>
        <v>0.249</v>
      </c>
      <c r="T330" s="198"/>
      <c r="U330" s="176" t="s">
        <v>536</v>
      </c>
      <c r="V330" s="15"/>
      <c r="W330" s="15"/>
      <c r="X330" s="16">
        <v>143.36000000000001</v>
      </c>
      <c r="Y330" s="16">
        <v>0.88</v>
      </c>
      <c r="Z330" s="16">
        <v>8.1199999999999992</v>
      </c>
      <c r="AA330" s="16">
        <f t="shared" ref="AA330:AA392" si="120">Y330+Z330</f>
        <v>9</v>
      </c>
      <c r="AB330" s="23">
        <f>+Y330*4.44+Z330*8.06</f>
        <v>69.354399999999998</v>
      </c>
      <c r="AC330" s="16">
        <f>+AB330*50</f>
        <v>3467.72</v>
      </c>
      <c r="AD330" s="16">
        <v>63.93</v>
      </c>
      <c r="AE330" s="16">
        <v>535.23</v>
      </c>
      <c r="AF330" s="16"/>
      <c r="AG330" s="16">
        <v>100.6</v>
      </c>
      <c r="AH330" s="16">
        <v>157.18</v>
      </c>
      <c r="AI330" s="16"/>
      <c r="AJ330" s="16">
        <f>SUM(AD330:AI330)</f>
        <v>856.94</v>
      </c>
      <c r="AK330" s="15">
        <f>+AJ330/1000</f>
        <v>0.85694000000000004</v>
      </c>
      <c r="AL330" s="177"/>
      <c r="AM330" s="137" t="s">
        <v>20</v>
      </c>
      <c r="AN330" s="131" t="str">
        <f>AO330</f>
        <v>D</v>
      </c>
      <c r="AO330" s="131" t="s">
        <v>21</v>
      </c>
      <c r="AP330" s="349">
        <v>45695</v>
      </c>
      <c r="AQ330" s="349">
        <f t="shared" ref="AQ330" si="121">AR330-3</f>
        <v>45701</v>
      </c>
      <c r="AR330" s="349">
        <f t="shared" ref="AR330" si="122">AS330-3</f>
        <v>45704</v>
      </c>
      <c r="AS330" s="530">
        <v>45707</v>
      </c>
      <c r="AT330" s="25" t="s">
        <v>589</v>
      </c>
      <c r="AU330" s="177"/>
      <c r="AV330" s="137" t="s">
        <v>20</v>
      </c>
      <c r="AW330" s="15" t="s">
        <v>544</v>
      </c>
      <c r="AX330" s="278">
        <f>AY330</f>
        <v>45719</v>
      </c>
      <c r="AY330" s="278">
        <v>45719</v>
      </c>
      <c r="AZ330" s="182" t="s">
        <v>589</v>
      </c>
      <c r="BA330" s="177"/>
      <c r="BB330" s="137" t="s">
        <v>20</v>
      </c>
      <c r="BC330" s="131"/>
      <c r="BD330" s="131" t="s">
        <v>21</v>
      </c>
      <c r="BE330" s="279">
        <f>BF330-2</f>
        <v>45787</v>
      </c>
      <c r="BF330" s="279">
        <v>45789</v>
      </c>
      <c r="BG330" s="17" t="s">
        <v>594</v>
      </c>
      <c r="BH330" s="134"/>
      <c r="BI330" s="137" t="s">
        <v>20</v>
      </c>
      <c r="BJ330" s="131">
        <v>45804</v>
      </c>
      <c r="BK330" s="131">
        <v>45804</v>
      </c>
      <c r="BL330" s="25">
        <v>980</v>
      </c>
      <c r="BM330" s="24" t="s">
        <v>587</v>
      </c>
    </row>
    <row r="331" spans="1:65" ht="14.25" customHeight="1">
      <c r="A331" s="15" t="s">
        <v>0</v>
      </c>
      <c r="B331" s="19"/>
      <c r="C331" s="179"/>
      <c r="D331" s="130"/>
      <c r="E331" s="130"/>
      <c r="F331" s="130"/>
      <c r="G331" s="130"/>
      <c r="H331" s="180"/>
      <c r="I331" s="19"/>
      <c r="J331" s="19"/>
      <c r="K331" s="181"/>
      <c r="L331" s="173"/>
      <c r="M331" s="15"/>
      <c r="N331" s="15"/>
      <c r="O331" s="15"/>
      <c r="P331" s="175"/>
      <c r="Q331" s="173"/>
      <c r="R331" s="15"/>
      <c r="S331" s="175"/>
      <c r="T331" s="198"/>
      <c r="U331" s="198"/>
      <c r="V331" s="16">
        <v>330.02</v>
      </c>
      <c r="W331" s="15" t="s">
        <v>565</v>
      </c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77"/>
      <c r="AM331" s="15"/>
      <c r="AN331" s="24"/>
      <c r="AO331" s="24"/>
      <c r="AP331" s="24"/>
      <c r="AQ331" s="24"/>
      <c r="AR331" s="24"/>
      <c r="AS331" s="25"/>
      <c r="AT331" s="25"/>
      <c r="AU331" s="177"/>
      <c r="AV331" s="15"/>
      <c r="AW331" s="24"/>
      <c r="AX331" s="278"/>
      <c r="AY331" s="278"/>
      <c r="AZ331" s="24"/>
      <c r="BA331" s="177"/>
      <c r="BB331" s="15"/>
      <c r="BC331" s="24"/>
      <c r="BD331" s="24"/>
      <c r="BE331" s="24"/>
      <c r="BF331" s="24"/>
      <c r="BG331" s="24"/>
      <c r="BH331" s="24"/>
      <c r="BI331" s="24"/>
      <c r="BJ331" s="24"/>
      <c r="BK331" s="24"/>
      <c r="BL331" s="24"/>
      <c r="BM331" s="24"/>
    </row>
    <row r="332" spans="1:65" ht="14.25" customHeight="1">
      <c r="A332" s="15">
        <f t="shared" si="98"/>
        <v>162</v>
      </c>
      <c r="B332" s="19" t="s">
        <v>243</v>
      </c>
      <c r="C332" s="179" t="s">
        <v>37</v>
      </c>
      <c r="D332" s="130">
        <v>6.992</v>
      </c>
      <c r="E332" s="130">
        <f>D332*4</f>
        <v>27.968</v>
      </c>
      <c r="F332" s="130">
        <f>E332*8</f>
        <v>223.744</v>
      </c>
      <c r="G332" s="130"/>
      <c r="H332" s="180"/>
      <c r="I332" s="19"/>
      <c r="J332" s="19"/>
      <c r="K332" s="181"/>
      <c r="L332" s="173">
        <v>2.6070000000000002</v>
      </c>
      <c r="M332" s="15">
        <v>2.657</v>
      </c>
      <c r="N332" s="15">
        <v>2E-3</v>
      </c>
      <c r="O332" s="15">
        <v>0.21299999999999999</v>
      </c>
      <c r="P332" s="175">
        <f t="shared" ref="P332:P394" si="123">SUM(L332:O332)</f>
        <v>5.4790000000000001</v>
      </c>
      <c r="Q332" s="173">
        <v>0.24399999999999999</v>
      </c>
      <c r="R332" s="15">
        <v>5.0000000000000001E-3</v>
      </c>
      <c r="S332" s="175">
        <f t="shared" si="119"/>
        <v>0.249</v>
      </c>
      <c r="T332" s="198"/>
      <c r="U332" s="176" t="s">
        <v>536</v>
      </c>
      <c r="V332" s="15"/>
      <c r="W332" s="15"/>
      <c r="X332" s="15">
        <v>80.64</v>
      </c>
      <c r="Y332" s="15">
        <v>1.51</v>
      </c>
      <c r="Z332" s="15">
        <v>11.15</v>
      </c>
      <c r="AA332" s="15">
        <f t="shared" si="120"/>
        <v>12.66</v>
      </c>
      <c r="AB332" s="15">
        <v>69.354399999999998</v>
      </c>
      <c r="AC332" s="15">
        <v>3467.72</v>
      </c>
      <c r="AD332" s="15">
        <v>73.73</v>
      </c>
      <c r="AE332" s="15">
        <v>313.64</v>
      </c>
      <c r="AF332" s="15"/>
      <c r="AG332" s="15">
        <v>201.4</v>
      </c>
      <c r="AH332" s="15"/>
      <c r="AI332" s="15"/>
      <c r="AJ332" s="15">
        <v>588.77</v>
      </c>
      <c r="AK332" s="15">
        <v>0.58877000000000002</v>
      </c>
      <c r="AL332" s="177"/>
      <c r="AM332" s="137" t="s">
        <v>20</v>
      </c>
      <c r="AN332" s="131" t="str">
        <f>AO332</f>
        <v>D</v>
      </c>
      <c r="AO332" s="131" t="s">
        <v>21</v>
      </c>
      <c r="AP332" s="349">
        <v>45557</v>
      </c>
      <c r="AQ332" s="349">
        <v>45578</v>
      </c>
      <c r="AR332" s="349">
        <v>45582</v>
      </c>
      <c r="AS332" s="530">
        <v>45586</v>
      </c>
      <c r="AT332" s="25" t="s">
        <v>593</v>
      </c>
      <c r="AU332" s="177"/>
      <c r="AV332" s="137" t="s">
        <v>20</v>
      </c>
      <c r="AW332" s="15" t="s">
        <v>6</v>
      </c>
      <c r="AX332" s="278">
        <v>45662</v>
      </c>
      <c r="AY332" s="278">
        <v>45662</v>
      </c>
      <c r="AZ332" s="182" t="s">
        <v>589</v>
      </c>
      <c r="BA332" s="177"/>
      <c r="BB332" s="137" t="s">
        <v>20</v>
      </c>
      <c r="BC332" s="131"/>
      <c r="BD332" s="131" t="s">
        <v>21</v>
      </c>
      <c r="BE332" s="279">
        <f>BF332-2</f>
        <v>45719</v>
      </c>
      <c r="BF332" s="279">
        <v>45721</v>
      </c>
      <c r="BG332" s="17" t="s">
        <v>506</v>
      </c>
      <c r="BH332" s="134"/>
      <c r="BI332" s="137" t="s">
        <v>20</v>
      </c>
      <c r="BJ332" s="131">
        <f>BK332</f>
        <v>45807</v>
      </c>
      <c r="BK332" s="131">
        <v>45807</v>
      </c>
      <c r="BL332" s="25">
        <v>1330</v>
      </c>
      <c r="BM332" s="24" t="s">
        <v>587</v>
      </c>
    </row>
    <row r="333" spans="1:65" ht="14.25" customHeight="1">
      <c r="A333" s="15" t="s">
        <v>0</v>
      </c>
      <c r="B333" s="19"/>
      <c r="C333" s="179"/>
      <c r="D333" s="130"/>
      <c r="E333" s="130"/>
      <c r="F333" s="130"/>
      <c r="G333" s="130"/>
      <c r="H333" s="180"/>
      <c r="I333" s="19"/>
      <c r="J333" s="19"/>
      <c r="K333" s="181"/>
      <c r="L333" s="173"/>
      <c r="M333" s="15"/>
      <c r="N333" s="15"/>
      <c r="O333" s="15"/>
      <c r="P333" s="175"/>
      <c r="Q333" s="173"/>
      <c r="R333" s="15"/>
      <c r="S333" s="175"/>
      <c r="T333" s="198"/>
      <c r="U333" s="198"/>
      <c r="V333" s="16">
        <v>390.08</v>
      </c>
      <c r="W333" s="15" t="s">
        <v>537</v>
      </c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77"/>
      <c r="AM333" s="15"/>
      <c r="AN333" s="24"/>
      <c r="AO333" s="24"/>
      <c r="AP333" s="24"/>
      <c r="AQ333" s="24"/>
      <c r="AR333" s="24"/>
      <c r="AS333" s="25"/>
      <c r="AT333" s="25"/>
      <c r="AU333" s="177"/>
      <c r="AV333" s="15"/>
      <c r="AW333" s="24"/>
      <c r="AX333" s="278"/>
      <c r="AY333" s="278"/>
      <c r="AZ333" s="24"/>
      <c r="BA333" s="177"/>
      <c r="BB333" s="15"/>
      <c r="BC333" s="24"/>
      <c r="BD333" s="24"/>
      <c r="BE333" s="24"/>
      <c r="BF333" s="24"/>
      <c r="BG333" s="24"/>
      <c r="BH333" s="24"/>
      <c r="BI333" s="24"/>
      <c r="BJ333" s="24"/>
      <c r="BK333" s="24"/>
      <c r="BL333" s="24"/>
      <c r="BM333" s="24"/>
    </row>
    <row r="334" spans="1:65" ht="14.25" customHeight="1">
      <c r="A334" s="15">
        <f t="shared" si="98"/>
        <v>163</v>
      </c>
      <c r="B334" s="19" t="s">
        <v>244</v>
      </c>
      <c r="C334" s="179" t="s">
        <v>37</v>
      </c>
      <c r="D334" s="130">
        <v>6.992</v>
      </c>
      <c r="E334" s="130">
        <f>D334*4</f>
        <v>27.968</v>
      </c>
      <c r="F334" s="130">
        <f>E334*8</f>
        <v>223.744</v>
      </c>
      <c r="G334" s="130"/>
      <c r="H334" s="180"/>
      <c r="I334" s="19"/>
      <c r="J334" s="19"/>
      <c r="K334" s="181"/>
      <c r="L334" s="173">
        <v>2.6070000000000002</v>
      </c>
      <c r="M334" s="15">
        <v>2.657</v>
      </c>
      <c r="N334" s="15">
        <v>2E-3</v>
      </c>
      <c r="O334" s="15">
        <v>0.21299999999999999</v>
      </c>
      <c r="P334" s="175">
        <f t="shared" si="123"/>
        <v>5.4790000000000001</v>
      </c>
      <c r="Q334" s="173">
        <v>0.24399999999999999</v>
      </c>
      <c r="R334" s="15">
        <v>5.0000000000000001E-3</v>
      </c>
      <c r="S334" s="175">
        <f t="shared" si="119"/>
        <v>0.249</v>
      </c>
      <c r="T334" s="198"/>
      <c r="U334" s="176" t="s">
        <v>536</v>
      </c>
      <c r="V334" s="15"/>
      <c r="W334" s="15"/>
      <c r="X334" s="15">
        <v>85.44</v>
      </c>
      <c r="Y334" s="15">
        <v>0.8</v>
      </c>
      <c r="Z334" s="15">
        <v>7.8</v>
      </c>
      <c r="AA334" s="15">
        <f t="shared" si="120"/>
        <v>8.6</v>
      </c>
      <c r="AB334" s="15">
        <v>96.573400000000021</v>
      </c>
      <c r="AC334" s="15">
        <v>4828.670000000001</v>
      </c>
      <c r="AD334" s="15">
        <v>63.93</v>
      </c>
      <c r="AE334" s="15">
        <v>524.79</v>
      </c>
      <c r="AF334" s="15"/>
      <c r="AG334" s="15">
        <v>100.6</v>
      </c>
      <c r="AH334" s="15">
        <v>157.18</v>
      </c>
      <c r="AI334" s="15"/>
      <c r="AJ334" s="15">
        <v>846.5</v>
      </c>
      <c r="AK334" s="15">
        <v>0.84650000000000003</v>
      </c>
      <c r="AL334" s="177"/>
      <c r="AM334" s="137" t="s">
        <v>20</v>
      </c>
      <c r="AN334" s="131" t="s">
        <v>21</v>
      </c>
      <c r="AO334" s="131" t="s">
        <v>21</v>
      </c>
      <c r="AP334" s="349">
        <f t="shared" ref="AP334" si="124">AQ334-2</f>
        <v>45768</v>
      </c>
      <c r="AQ334" s="349">
        <f t="shared" ref="AQ334" si="125">AR334-2</f>
        <v>45770</v>
      </c>
      <c r="AR334" s="349">
        <f t="shared" ref="AR334" si="126">AS334-2</f>
        <v>45772</v>
      </c>
      <c r="AS334" s="530">
        <v>45774</v>
      </c>
      <c r="AT334" s="15" t="s">
        <v>561</v>
      </c>
      <c r="AU334" s="177"/>
      <c r="AV334" s="137" t="s">
        <v>20</v>
      </c>
      <c r="AW334" s="15" t="s">
        <v>6</v>
      </c>
      <c r="AX334" s="278">
        <f>AY334-0</f>
        <v>45782</v>
      </c>
      <c r="AY334" s="278">
        <v>45782</v>
      </c>
      <c r="AZ334" s="19" t="s">
        <v>561</v>
      </c>
      <c r="BA334" s="177"/>
      <c r="BB334" s="137" t="s">
        <v>20</v>
      </c>
      <c r="BC334" s="131"/>
      <c r="BD334" s="131" t="s">
        <v>21</v>
      </c>
      <c r="BE334" s="279">
        <f>BF334-2</f>
        <v>45794</v>
      </c>
      <c r="BF334" s="279">
        <v>45796</v>
      </c>
      <c r="BG334" s="17" t="s">
        <v>594</v>
      </c>
      <c r="BH334" s="15"/>
      <c r="BI334" s="137" t="s">
        <v>20</v>
      </c>
      <c r="BJ334" s="131">
        <f>BK334</f>
        <v>45807</v>
      </c>
      <c r="BK334" s="131">
        <f>BK332</f>
        <v>45807</v>
      </c>
      <c r="BL334" s="25">
        <v>1330</v>
      </c>
      <c r="BM334" s="24" t="s">
        <v>587</v>
      </c>
    </row>
    <row r="335" spans="1:65" ht="14.25" customHeight="1">
      <c r="A335" s="15" t="s">
        <v>0</v>
      </c>
      <c r="B335" s="19"/>
      <c r="C335" s="179"/>
      <c r="D335" s="130"/>
      <c r="E335" s="130"/>
      <c r="F335" s="130"/>
      <c r="G335" s="130"/>
      <c r="H335" s="180"/>
      <c r="I335" s="19"/>
      <c r="J335" s="19"/>
      <c r="K335" s="181"/>
      <c r="L335" s="173"/>
      <c r="M335" s="15"/>
      <c r="N335" s="15"/>
      <c r="O335" s="15"/>
      <c r="P335" s="175"/>
      <c r="Q335" s="173"/>
      <c r="R335" s="15"/>
      <c r="S335" s="175"/>
      <c r="T335" s="198"/>
      <c r="U335" s="198"/>
      <c r="V335" s="16">
        <v>343.38</v>
      </c>
      <c r="W335" s="15" t="s">
        <v>500</v>
      </c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77"/>
      <c r="AM335" s="15"/>
      <c r="AN335" s="24"/>
      <c r="AO335" s="24"/>
      <c r="AP335" s="24"/>
      <c r="AQ335" s="24"/>
      <c r="AR335" s="24"/>
      <c r="AS335" s="25"/>
      <c r="AT335" s="25"/>
      <c r="AU335" s="177"/>
      <c r="AV335" s="15"/>
      <c r="AW335" s="24"/>
      <c r="AX335" s="278"/>
      <c r="AY335" s="278"/>
      <c r="AZ335" s="24"/>
      <c r="BA335" s="177"/>
      <c r="BB335" s="15"/>
      <c r="BC335" s="24"/>
      <c r="BD335" s="24"/>
      <c r="BE335" s="24"/>
      <c r="BF335" s="24"/>
      <c r="BG335" s="24"/>
      <c r="BH335" s="24"/>
      <c r="BI335" s="24"/>
      <c r="BJ335" s="24"/>
      <c r="BK335" s="24"/>
      <c r="BL335" s="24"/>
      <c r="BM335" s="24"/>
    </row>
    <row r="336" spans="1:65" ht="14.25" customHeight="1">
      <c r="A336" s="15">
        <f t="shared" si="98"/>
        <v>164</v>
      </c>
      <c r="B336" s="19" t="s">
        <v>246</v>
      </c>
      <c r="C336" s="179" t="s">
        <v>46</v>
      </c>
      <c r="D336" s="130">
        <v>8.6259999999999994</v>
      </c>
      <c r="E336" s="130">
        <f>D336*4</f>
        <v>34.503999999999998</v>
      </c>
      <c r="F336" s="130">
        <f>E336*8</f>
        <v>276.03199999999998</v>
      </c>
      <c r="G336" s="130"/>
      <c r="H336" s="180"/>
      <c r="I336" s="19"/>
      <c r="J336" s="19"/>
      <c r="K336" s="181"/>
      <c r="L336" s="173">
        <v>4.5380000000000003</v>
      </c>
      <c r="M336" s="15">
        <v>3.2290000000000001</v>
      </c>
      <c r="N336" s="15">
        <v>6.4000000000000003E-3</v>
      </c>
      <c r="O336" s="15">
        <v>0.42899999999999999</v>
      </c>
      <c r="P336" s="175">
        <f t="shared" si="123"/>
        <v>8.2024000000000008</v>
      </c>
      <c r="Q336" s="173">
        <v>0.436</v>
      </c>
      <c r="R336" s="15">
        <v>0.01</v>
      </c>
      <c r="S336" s="175">
        <f t="shared" si="119"/>
        <v>0.44600000000000001</v>
      </c>
      <c r="T336" s="198" t="s">
        <v>245</v>
      </c>
      <c r="U336" s="176" t="s">
        <v>536</v>
      </c>
      <c r="V336" s="15"/>
      <c r="W336" s="15"/>
      <c r="X336" s="15">
        <v>41.44</v>
      </c>
      <c r="Y336" s="15">
        <v>2.5099999999999998</v>
      </c>
      <c r="Z336" s="15">
        <v>19.47</v>
      </c>
      <c r="AA336" s="15">
        <f t="shared" si="120"/>
        <v>21.979999999999997</v>
      </c>
      <c r="AB336" s="15">
        <v>66.42</v>
      </c>
      <c r="AC336" s="15">
        <v>3321</v>
      </c>
      <c r="AD336" s="15">
        <v>73.73</v>
      </c>
      <c r="AE336" s="15">
        <v>301.5</v>
      </c>
      <c r="AF336" s="15"/>
      <c r="AG336" s="15">
        <v>206.46</v>
      </c>
      <c r="AH336" s="15"/>
      <c r="AI336" s="15"/>
      <c r="AJ336" s="15">
        <v>581.69000000000005</v>
      </c>
      <c r="AK336" s="15">
        <v>0.58169000000000004</v>
      </c>
      <c r="AL336" s="177"/>
      <c r="AM336" s="137" t="s">
        <v>20</v>
      </c>
      <c r="AN336" s="131" t="s">
        <v>547</v>
      </c>
      <c r="AO336" s="131" t="s">
        <v>21</v>
      </c>
      <c r="AP336" s="349">
        <f>AQ336-2</f>
        <v>45632</v>
      </c>
      <c r="AQ336" s="349">
        <f>AR336-1</f>
        <v>45634</v>
      </c>
      <c r="AR336" s="349">
        <f>AS336-2</f>
        <v>45635</v>
      </c>
      <c r="AS336" s="530">
        <v>45637</v>
      </c>
      <c r="AT336" s="25" t="s">
        <v>593</v>
      </c>
      <c r="AU336" s="177"/>
      <c r="AV336" s="137" t="s">
        <v>20</v>
      </c>
      <c r="AW336" s="15" t="s">
        <v>6</v>
      </c>
      <c r="AX336" s="278">
        <v>45660</v>
      </c>
      <c r="AY336" s="278">
        <f>AX336</f>
        <v>45660</v>
      </c>
      <c r="AZ336" s="24" t="s">
        <v>593</v>
      </c>
      <c r="BA336" s="177"/>
      <c r="BB336" s="137" t="s">
        <v>20</v>
      </c>
      <c r="BC336" s="131"/>
      <c r="BD336" s="131" t="s">
        <v>21</v>
      </c>
      <c r="BE336" s="279">
        <f>BF336-2</f>
        <v>45714</v>
      </c>
      <c r="BF336" s="279">
        <v>45716</v>
      </c>
      <c r="BG336" s="17" t="s">
        <v>506</v>
      </c>
      <c r="BH336" s="15"/>
      <c r="BI336" s="137" t="s">
        <v>20</v>
      </c>
      <c r="BJ336" s="131">
        <v>45808</v>
      </c>
      <c r="BK336" s="131">
        <v>45808</v>
      </c>
      <c r="BL336" s="25">
        <v>1433</v>
      </c>
      <c r="BM336" s="24" t="s">
        <v>587</v>
      </c>
    </row>
    <row r="337" spans="1:65" ht="14.25" customHeight="1">
      <c r="A337" s="15" t="s">
        <v>0</v>
      </c>
      <c r="B337" s="19"/>
      <c r="C337" s="179"/>
      <c r="D337" s="130"/>
      <c r="E337" s="130"/>
      <c r="F337" s="130"/>
      <c r="G337" s="130"/>
      <c r="H337" s="180"/>
      <c r="I337" s="19"/>
      <c r="J337" s="19"/>
      <c r="K337" s="181"/>
      <c r="L337" s="173"/>
      <c r="M337" s="15"/>
      <c r="N337" s="15"/>
      <c r="O337" s="15"/>
      <c r="P337" s="175"/>
      <c r="Q337" s="173"/>
      <c r="R337" s="15"/>
      <c r="S337" s="175"/>
      <c r="T337" s="198"/>
      <c r="U337" s="198"/>
      <c r="V337" s="16">
        <v>326.52999999999997</v>
      </c>
      <c r="W337" s="15" t="s">
        <v>537</v>
      </c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77"/>
      <c r="AM337" s="15"/>
      <c r="AN337" s="24"/>
      <c r="AO337" s="24"/>
      <c r="AP337" s="24"/>
      <c r="AQ337" s="24"/>
      <c r="AR337" s="24"/>
      <c r="AS337" s="25"/>
      <c r="AT337" s="25"/>
      <c r="AU337" s="178"/>
      <c r="AV337" s="15"/>
      <c r="AW337" s="24"/>
      <c r="AX337" s="278"/>
      <c r="AY337" s="278"/>
      <c r="AZ337" s="24"/>
      <c r="BA337" s="177"/>
      <c r="BB337" s="15"/>
      <c r="BC337" s="24"/>
      <c r="BD337" s="24"/>
      <c r="BE337" s="25"/>
      <c r="BF337" s="25"/>
      <c r="BG337" s="25"/>
      <c r="BH337" s="193"/>
      <c r="BI337" s="24"/>
      <c r="BJ337" s="24"/>
      <c r="BK337" s="24"/>
      <c r="BL337" s="24"/>
      <c r="BM337" s="24"/>
    </row>
    <row r="338" spans="1:65" ht="14.25" customHeight="1">
      <c r="A338" s="15">
        <f t="shared" si="98"/>
        <v>165</v>
      </c>
      <c r="B338" s="19" t="s">
        <v>247</v>
      </c>
      <c r="C338" s="179" t="s">
        <v>37</v>
      </c>
      <c r="D338" s="130">
        <v>6.992</v>
      </c>
      <c r="E338" s="130">
        <f>D338*4</f>
        <v>27.968</v>
      </c>
      <c r="F338" s="130">
        <f>E338*8</f>
        <v>223.744</v>
      </c>
      <c r="G338" s="130"/>
      <c r="H338" s="180"/>
      <c r="I338" s="19"/>
      <c r="J338" s="19"/>
      <c r="K338" s="181"/>
      <c r="L338" s="173">
        <v>2.6070000000000002</v>
      </c>
      <c r="M338" s="15">
        <v>2.657</v>
      </c>
      <c r="N338" s="15">
        <v>2E-3</v>
      </c>
      <c r="O338" s="15">
        <v>0.21299999999999999</v>
      </c>
      <c r="P338" s="175">
        <f t="shared" si="123"/>
        <v>5.4790000000000001</v>
      </c>
      <c r="Q338" s="173">
        <v>0.24399999999999999</v>
      </c>
      <c r="R338" s="15">
        <v>5.0000000000000001E-3</v>
      </c>
      <c r="S338" s="175">
        <f t="shared" si="119"/>
        <v>0.249</v>
      </c>
      <c r="T338" s="198" t="s">
        <v>31</v>
      </c>
      <c r="U338" s="176" t="s">
        <v>536</v>
      </c>
      <c r="V338" s="15"/>
      <c r="W338" s="15"/>
      <c r="X338" s="15">
        <v>148.80000000000001</v>
      </c>
      <c r="Y338" s="15">
        <v>1.51</v>
      </c>
      <c r="Z338" s="15">
        <v>11.15</v>
      </c>
      <c r="AA338" s="15">
        <f t="shared" si="120"/>
        <v>12.66</v>
      </c>
      <c r="AB338" s="15">
        <v>168.07259999999999</v>
      </c>
      <c r="AC338" s="15">
        <v>8403.6299999999992</v>
      </c>
      <c r="AD338" s="15">
        <v>70.930000000000007</v>
      </c>
      <c r="AE338" s="15">
        <v>914.33</v>
      </c>
      <c r="AF338" s="15"/>
      <c r="AG338" s="15">
        <v>98.08</v>
      </c>
      <c r="AH338" s="15">
        <v>153.24</v>
      </c>
      <c r="AI338" s="15"/>
      <c r="AJ338" s="15">
        <v>1236.58</v>
      </c>
      <c r="AK338" s="15">
        <v>1.23658</v>
      </c>
      <c r="AL338" s="15"/>
      <c r="AM338" s="137" t="s">
        <v>20</v>
      </c>
      <c r="AN338" s="131" t="str">
        <f>AO338</f>
        <v>D</v>
      </c>
      <c r="AO338" s="131" t="s">
        <v>21</v>
      </c>
      <c r="AP338" s="349">
        <f t="shared" ref="AP338" si="127">AQ338-2</f>
        <v>45639</v>
      </c>
      <c r="AQ338" s="349">
        <f t="shared" ref="AQ338" si="128">AR338-2</f>
        <v>45641</v>
      </c>
      <c r="AR338" s="349">
        <f t="shared" ref="AR338" si="129">AS338-2</f>
        <v>45643</v>
      </c>
      <c r="AS338" s="530">
        <v>45645</v>
      </c>
      <c r="AT338" s="25" t="s">
        <v>593</v>
      </c>
      <c r="AU338" s="178"/>
      <c r="AV338" s="137" t="s">
        <v>20</v>
      </c>
      <c r="AW338" s="15" t="s">
        <v>6</v>
      </c>
      <c r="AX338" s="278">
        <v>45660</v>
      </c>
      <c r="AY338" s="278">
        <f>AX338</f>
        <v>45660</v>
      </c>
      <c r="AZ338" s="24" t="s">
        <v>593</v>
      </c>
      <c r="BA338" s="177"/>
      <c r="BB338" s="137" t="s">
        <v>20</v>
      </c>
      <c r="BC338" s="131"/>
      <c r="BD338" s="131" t="s">
        <v>21</v>
      </c>
      <c r="BE338" s="279">
        <f>BF338-2</f>
        <v>45715</v>
      </c>
      <c r="BF338" s="279">
        <v>45717</v>
      </c>
      <c r="BG338" s="17" t="s">
        <v>506</v>
      </c>
      <c r="BH338" s="189"/>
      <c r="BI338" s="137" t="s">
        <v>20</v>
      </c>
      <c r="BJ338" s="131">
        <v>45808</v>
      </c>
      <c r="BK338" s="131">
        <v>45808</v>
      </c>
      <c r="BL338" s="25">
        <v>1330</v>
      </c>
      <c r="BM338" s="24" t="s">
        <v>587</v>
      </c>
    </row>
    <row r="339" spans="1:65" ht="14.25" customHeight="1">
      <c r="A339" s="15" t="s">
        <v>0</v>
      </c>
      <c r="B339" s="19"/>
      <c r="C339" s="179"/>
      <c r="D339" s="130"/>
      <c r="E339" s="130"/>
      <c r="F339" s="130"/>
      <c r="G339" s="130"/>
      <c r="H339" s="180"/>
      <c r="I339" s="19"/>
      <c r="J339" s="19"/>
      <c r="K339" s="181"/>
      <c r="L339" s="173"/>
      <c r="M339" s="15"/>
      <c r="N339" s="15"/>
      <c r="O339" s="15"/>
      <c r="P339" s="175"/>
      <c r="Q339" s="173"/>
      <c r="R339" s="15"/>
      <c r="S339" s="175"/>
      <c r="T339" s="198"/>
      <c r="U339" s="198"/>
      <c r="V339" s="15">
        <v>302.5</v>
      </c>
      <c r="W339" s="15" t="s">
        <v>537</v>
      </c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77"/>
      <c r="AM339" s="15"/>
      <c r="AN339" s="24"/>
      <c r="AO339" s="24"/>
      <c r="AP339" s="24"/>
      <c r="AQ339" s="24"/>
      <c r="AR339" s="24"/>
      <c r="AS339" s="25"/>
      <c r="AT339" s="25"/>
      <c r="AU339" s="178"/>
      <c r="AV339" s="15"/>
      <c r="AW339" s="24"/>
      <c r="AX339" s="278"/>
      <c r="AY339" s="278"/>
      <c r="AZ339" s="24"/>
      <c r="BA339" s="178"/>
      <c r="BB339" s="15"/>
      <c r="BC339" s="24"/>
      <c r="BD339" s="24"/>
      <c r="BE339" s="25"/>
      <c r="BF339" s="25"/>
      <c r="BG339" s="25"/>
      <c r="BH339" s="193"/>
      <c r="BI339" s="24"/>
      <c r="BJ339" s="24"/>
      <c r="BK339" s="24"/>
      <c r="BL339" s="24"/>
      <c r="BM339" s="24"/>
    </row>
    <row r="340" spans="1:65" ht="14.25" customHeight="1">
      <c r="A340" s="15">
        <f t="shared" si="98"/>
        <v>166</v>
      </c>
      <c r="B340" s="19" t="s">
        <v>248</v>
      </c>
      <c r="C340" s="179" t="s">
        <v>37</v>
      </c>
      <c r="D340" s="130">
        <v>6.992</v>
      </c>
      <c r="E340" s="130">
        <f>D340*4</f>
        <v>27.968</v>
      </c>
      <c r="F340" s="130">
        <f>E340*8</f>
        <v>223.744</v>
      </c>
      <c r="G340" s="130"/>
      <c r="H340" s="180"/>
      <c r="I340" s="19"/>
      <c r="J340" s="19"/>
      <c r="K340" s="181"/>
      <c r="L340" s="173">
        <v>2.6070000000000002</v>
      </c>
      <c r="M340" s="15">
        <v>2.657</v>
      </c>
      <c r="N340" s="15">
        <v>2E-3</v>
      </c>
      <c r="O340" s="15">
        <v>0.21299999999999999</v>
      </c>
      <c r="P340" s="175">
        <f t="shared" si="123"/>
        <v>5.4790000000000001</v>
      </c>
      <c r="Q340" s="173">
        <v>0.24399999999999999</v>
      </c>
      <c r="R340" s="15">
        <v>5.0000000000000001E-3</v>
      </c>
      <c r="S340" s="175">
        <f t="shared" si="119"/>
        <v>0.249</v>
      </c>
      <c r="T340" s="198" t="s">
        <v>31</v>
      </c>
      <c r="U340" s="176" t="s">
        <v>536</v>
      </c>
      <c r="V340" s="15"/>
      <c r="W340" s="15"/>
      <c r="X340" s="15">
        <v>85.44</v>
      </c>
      <c r="Y340" s="15">
        <v>1.51</v>
      </c>
      <c r="Z340" s="15">
        <v>11.15</v>
      </c>
      <c r="AA340" s="15">
        <f t="shared" si="120"/>
        <v>12.66</v>
      </c>
      <c r="AB340" s="15">
        <v>96.573400000000021</v>
      </c>
      <c r="AC340" s="15">
        <v>4828.670000000001</v>
      </c>
      <c r="AD340" s="15">
        <v>63.93</v>
      </c>
      <c r="AE340" s="15">
        <v>524.79</v>
      </c>
      <c r="AF340" s="15"/>
      <c r="AG340" s="15">
        <v>100.6</v>
      </c>
      <c r="AH340" s="15">
        <v>157.18</v>
      </c>
      <c r="AI340" s="15"/>
      <c r="AJ340" s="15">
        <v>846.5</v>
      </c>
      <c r="AK340" s="15">
        <v>0.84650000000000003</v>
      </c>
      <c r="AL340" s="177"/>
      <c r="AM340" s="137" t="s">
        <v>20</v>
      </c>
      <c r="AN340" s="131" t="str">
        <f>AO340</f>
        <v>D</v>
      </c>
      <c r="AO340" s="131" t="s">
        <v>21</v>
      </c>
      <c r="AP340" s="349">
        <v>45526</v>
      </c>
      <c r="AQ340" s="349">
        <v>45560</v>
      </c>
      <c r="AR340" s="349">
        <v>45570</v>
      </c>
      <c r="AS340" s="530">
        <v>45574</v>
      </c>
      <c r="AT340" s="25" t="s">
        <v>593</v>
      </c>
      <c r="AU340" s="178"/>
      <c r="AV340" s="137" t="s">
        <v>20</v>
      </c>
      <c r="AW340" s="15" t="s">
        <v>6</v>
      </c>
      <c r="AX340" s="278">
        <v>45662</v>
      </c>
      <c r="AY340" s="278">
        <v>45662</v>
      </c>
      <c r="AZ340" s="182" t="s">
        <v>589</v>
      </c>
      <c r="BA340" s="183"/>
      <c r="BB340" s="137" t="s">
        <v>20</v>
      </c>
      <c r="BC340" s="131"/>
      <c r="BD340" s="131" t="s">
        <v>21</v>
      </c>
      <c r="BE340" s="279">
        <f>BF340-1</f>
        <v>45713</v>
      </c>
      <c r="BF340" s="279">
        <v>45714</v>
      </c>
      <c r="BG340" s="17" t="s">
        <v>506</v>
      </c>
      <c r="BH340" s="177"/>
      <c r="BI340" s="137" t="s">
        <v>20</v>
      </c>
      <c r="BJ340" s="131">
        <v>45808</v>
      </c>
      <c r="BK340" s="131">
        <v>45808</v>
      </c>
      <c r="BL340" s="25">
        <v>1330</v>
      </c>
      <c r="BM340" s="24" t="s">
        <v>587</v>
      </c>
    </row>
    <row r="341" spans="1:65" ht="14.25" customHeight="1">
      <c r="A341" s="15" t="s">
        <v>0</v>
      </c>
      <c r="B341" s="19"/>
      <c r="C341" s="179"/>
      <c r="D341" s="130"/>
      <c r="E341" s="130"/>
      <c r="F341" s="130"/>
      <c r="G341" s="130"/>
      <c r="H341" s="180"/>
      <c r="I341" s="19"/>
      <c r="J341" s="19"/>
      <c r="K341" s="181"/>
      <c r="L341" s="173"/>
      <c r="M341" s="15"/>
      <c r="N341" s="15"/>
      <c r="O341" s="15"/>
      <c r="P341" s="175"/>
      <c r="Q341" s="173"/>
      <c r="R341" s="15"/>
      <c r="S341" s="175"/>
      <c r="T341" s="198"/>
      <c r="U341" s="198"/>
      <c r="V341" s="15">
        <v>318.2</v>
      </c>
      <c r="W341" s="15" t="s">
        <v>537</v>
      </c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77"/>
      <c r="AM341" s="15"/>
      <c r="AN341" s="24"/>
      <c r="AO341" s="24"/>
      <c r="AP341" s="24"/>
      <c r="AQ341" s="24"/>
      <c r="AR341" s="24"/>
      <c r="AS341" s="25"/>
      <c r="AT341" s="25"/>
      <c r="AU341" s="178"/>
      <c r="AV341" s="15"/>
      <c r="AW341" s="24"/>
      <c r="AX341" s="278"/>
      <c r="AY341" s="278"/>
      <c r="AZ341" s="24"/>
      <c r="BA341" s="178"/>
      <c r="BB341" s="15"/>
      <c r="BC341" s="24"/>
      <c r="BD341" s="24"/>
      <c r="BE341" s="24"/>
      <c r="BF341" s="24"/>
      <c r="BG341" s="24"/>
      <c r="BH341" s="178"/>
      <c r="BI341" s="24"/>
      <c r="BJ341" s="24"/>
      <c r="BK341" s="24"/>
      <c r="BL341" s="24"/>
      <c r="BM341" s="24"/>
    </row>
    <row r="342" spans="1:65" ht="14.25" customHeight="1">
      <c r="A342" s="15">
        <f t="shared" si="98"/>
        <v>167</v>
      </c>
      <c r="B342" s="19" t="s">
        <v>250</v>
      </c>
      <c r="C342" s="179" t="s">
        <v>39</v>
      </c>
      <c r="D342" s="130">
        <v>7.7080000000000002</v>
      </c>
      <c r="E342" s="130">
        <f>D342*4</f>
        <v>30.832000000000001</v>
      </c>
      <c r="F342" s="130">
        <f>E342*8</f>
        <v>246.65600000000001</v>
      </c>
      <c r="G342" s="130"/>
      <c r="H342" s="180"/>
      <c r="I342" s="19"/>
      <c r="J342" s="19"/>
      <c r="K342" s="181"/>
      <c r="L342" s="173">
        <v>4.0570000000000004</v>
      </c>
      <c r="M342" s="15">
        <v>2.48</v>
      </c>
      <c r="N342" s="15">
        <v>6.0000000000000001E-3</v>
      </c>
      <c r="O342" s="15">
        <v>0.36499999999999999</v>
      </c>
      <c r="P342" s="175">
        <f t="shared" si="123"/>
        <v>6.9080000000000013</v>
      </c>
      <c r="Q342" s="173">
        <v>0.436</v>
      </c>
      <c r="R342" s="15">
        <v>0.01</v>
      </c>
      <c r="S342" s="175">
        <f t="shared" si="119"/>
        <v>0.44600000000000001</v>
      </c>
      <c r="T342" s="198" t="s">
        <v>249</v>
      </c>
      <c r="U342" s="176" t="s">
        <v>536</v>
      </c>
      <c r="V342" s="15"/>
      <c r="W342" s="15"/>
      <c r="X342" s="15">
        <v>85.44</v>
      </c>
      <c r="Y342" s="15">
        <v>1.35</v>
      </c>
      <c r="Z342" s="15">
        <v>12.85</v>
      </c>
      <c r="AA342" s="15">
        <f t="shared" si="120"/>
        <v>14.2</v>
      </c>
      <c r="AB342" s="15">
        <v>96.573400000000021</v>
      </c>
      <c r="AC342" s="15">
        <v>4828.670000000001</v>
      </c>
      <c r="AD342" s="15">
        <v>63.93</v>
      </c>
      <c r="AE342" s="15">
        <v>524.79</v>
      </c>
      <c r="AF342" s="15"/>
      <c r="AG342" s="15">
        <v>100.6</v>
      </c>
      <c r="AH342" s="15">
        <v>157.18</v>
      </c>
      <c r="AI342" s="15"/>
      <c r="AJ342" s="15">
        <v>846.5</v>
      </c>
      <c r="AK342" s="15">
        <v>0.84650000000000003</v>
      </c>
      <c r="AL342" s="177"/>
      <c r="AM342" s="137" t="s">
        <v>20</v>
      </c>
      <c r="AN342" s="131" t="str">
        <f>AO342</f>
        <v>D</v>
      </c>
      <c r="AO342" s="131" t="s">
        <v>21</v>
      </c>
      <c r="AP342" s="349">
        <v>45688</v>
      </c>
      <c r="AQ342" s="349">
        <f>AR342-1</f>
        <v>45691</v>
      </c>
      <c r="AR342" s="349">
        <f>AS342-2</f>
        <v>45692</v>
      </c>
      <c r="AS342" s="530">
        <v>45694</v>
      </c>
      <c r="AT342" s="25" t="s">
        <v>589</v>
      </c>
      <c r="AU342" s="183"/>
      <c r="AV342" s="137" t="s">
        <v>20</v>
      </c>
      <c r="AW342" s="15" t="s">
        <v>6</v>
      </c>
      <c r="AX342" s="278">
        <f>AS342+10</f>
        <v>45704</v>
      </c>
      <c r="AY342" s="278">
        <f>AX342</f>
        <v>45704</v>
      </c>
      <c r="AZ342" s="19" t="s">
        <v>590</v>
      </c>
      <c r="BA342" s="194"/>
      <c r="BB342" s="137" t="s">
        <v>20</v>
      </c>
      <c r="BC342" s="131"/>
      <c r="BD342" s="131" t="s">
        <v>571</v>
      </c>
      <c r="BE342" s="279">
        <f>BF342-2</f>
        <v>45886</v>
      </c>
      <c r="BF342" s="279">
        <v>45888</v>
      </c>
      <c r="BG342" s="15" t="s">
        <v>595</v>
      </c>
      <c r="BH342" s="177"/>
      <c r="BI342" s="137" t="s">
        <v>20</v>
      </c>
      <c r="BJ342" s="131"/>
      <c r="BK342" s="131"/>
      <c r="BL342" s="25">
        <v>1001</v>
      </c>
      <c r="BM342" s="24"/>
    </row>
    <row r="343" spans="1:65" ht="14.25" customHeight="1">
      <c r="A343" s="15" t="s">
        <v>0</v>
      </c>
      <c r="B343" s="19"/>
      <c r="C343" s="179"/>
      <c r="D343" s="130"/>
      <c r="E343" s="130"/>
      <c r="F343" s="130"/>
      <c r="G343" s="130"/>
      <c r="H343" s="180"/>
      <c r="I343" s="19"/>
      <c r="J343" s="19"/>
      <c r="K343" s="181"/>
      <c r="L343" s="173"/>
      <c r="M343" s="15"/>
      <c r="N343" s="15"/>
      <c r="O343" s="15"/>
      <c r="P343" s="175"/>
      <c r="Q343" s="173"/>
      <c r="R343" s="15"/>
      <c r="S343" s="175"/>
      <c r="T343" s="198"/>
      <c r="U343" s="198"/>
      <c r="V343" s="15">
        <v>315.48</v>
      </c>
      <c r="W343" s="15" t="s">
        <v>500</v>
      </c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77"/>
      <c r="AM343" s="15"/>
      <c r="AN343" s="24"/>
      <c r="AO343" s="24"/>
      <c r="AP343" s="24"/>
      <c r="AQ343" s="24"/>
      <c r="AR343" s="24"/>
      <c r="AS343" s="25"/>
      <c r="AT343" s="25"/>
      <c r="AU343" s="178"/>
      <c r="AV343" s="15"/>
      <c r="AW343" s="24"/>
      <c r="AX343" s="278"/>
      <c r="AY343" s="278"/>
      <c r="AZ343" s="24"/>
      <c r="BA343" s="178"/>
      <c r="BB343" s="15"/>
      <c r="BC343" s="24"/>
      <c r="BD343" s="24"/>
      <c r="BE343" s="24"/>
      <c r="BF343" s="24"/>
      <c r="BG343" s="24"/>
      <c r="BH343" s="178"/>
      <c r="BI343" s="24"/>
      <c r="BJ343" s="24"/>
      <c r="BK343" s="24"/>
      <c r="BL343" s="24"/>
      <c r="BM343" s="24"/>
    </row>
    <row r="344" spans="1:65" ht="14.25" customHeight="1">
      <c r="A344" s="15">
        <f t="shared" si="98"/>
        <v>168</v>
      </c>
      <c r="B344" s="19" t="s">
        <v>251</v>
      </c>
      <c r="C344" s="179" t="s">
        <v>42</v>
      </c>
      <c r="D344" s="130">
        <v>6.3620000000000001</v>
      </c>
      <c r="E344" s="130">
        <f>D344*4</f>
        <v>25.448</v>
      </c>
      <c r="F344" s="130">
        <f>E344*8</f>
        <v>203.584</v>
      </c>
      <c r="G344" s="130"/>
      <c r="H344" s="180"/>
      <c r="I344" s="19"/>
      <c r="J344" s="19"/>
      <c r="K344" s="181"/>
      <c r="L344" s="173">
        <v>2.25</v>
      </c>
      <c r="M344" s="15">
        <v>2.1880000000000002</v>
      </c>
      <c r="N344" s="15">
        <v>2E-3</v>
      </c>
      <c r="O344" s="15">
        <v>0.183</v>
      </c>
      <c r="P344" s="175">
        <f t="shared" si="123"/>
        <v>4.6230000000000002</v>
      </c>
      <c r="Q344" s="173">
        <v>0.24399999999999999</v>
      </c>
      <c r="R344" s="15">
        <v>5.0000000000000001E-3</v>
      </c>
      <c r="S344" s="175">
        <f t="shared" si="119"/>
        <v>0.249</v>
      </c>
      <c r="T344" s="198" t="s">
        <v>31</v>
      </c>
      <c r="U344" s="176" t="s">
        <v>536</v>
      </c>
      <c r="V344" s="15"/>
      <c r="W344" s="15"/>
      <c r="X344" s="15">
        <v>75.36</v>
      </c>
      <c r="Y344" s="15">
        <v>0.8</v>
      </c>
      <c r="Z344" s="15">
        <v>7.8</v>
      </c>
      <c r="AA344" s="15">
        <f t="shared" si="120"/>
        <v>8.6</v>
      </c>
      <c r="AB344" s="15">
        <v>109.565</v>
      </c>
      <c r="AC344" s="15">
        <v>5478.25</v>
      </c>
      <c r="AD344" s="15">
        <v>81.819999999999993</v>
      </c>
      <c r="AE344" s="15">
        <v>599.6</v>
      </c>
      <c r="AF344" s="15"/>
      <c r="AG344" s="15">
        <v>201.4</v>
      </c>
      <c r="AH344" s="15"/>
      <c r="AI344" s="15"/>
      <c r="AJ344" s="15">
        <v>882.82</v>
      </c>
      <c r="AK344" s="15">
        <v>0.88282000000000005</v>
      </c>
      <c r="AL344" s="177"/>
      <c r="AM344" s="137" t="s">
        <v>20</v>
      </c>
      <c r="AN344" s="131" t="str">
        <f>AO344</f>
        <v>D</v>
      </c>
      <c r="AO344" s="131" t="s">
        <v>21</v>
      </c>
      <c r="AP344" s="349">
        <v>45692</v>
      </c>
      <c r="AQ344" s="349">
        <f>AR344-1</f>
        <v>45695</v>
      </c>
      <c r="AR344" s="349">
        <f>AS344-2</f>
        <v>45696</v>
      </c>
      <c r="AS344" s="530">
        <v>45698</v>
      </c>
      <c r="AT344" s="25" t="s">
        <v>589</v>
      </c>
      <c r="AU344" s="183"/>
      <c r="AV344" s="137" t="s">
        <v>20</v>
      </c>
      <c r="AW344" s="15" t="s">
        <v>6</v>
      </c>
      <c r="AX344" s="278">
        <v>45662</v>
      </c>
      <c r="AY344" s="278">
        <v>45662</v>
      </c>
      <c r="AZ344" s="19" t="s">
        <v>590</v>
      </c>
      <c r="BA344" s="194"/>
      <c r="BB344" s="137" t="s">
        <v>20</v>
      </c>
      <c r="BC344" s="131"/>
      <c r="BD344" s="131" t="s">
        <v>21</v>
      </c>
      <c r="BE344" s="279">
        <f>BF344-1</f>
        <v>45721</v>
      </c>
      <c r="BF344" s="279">
        <v>45722</v>
      </c>
      <c r="BG344" s="17" t="s">
        <v>506</v>
      </c>
      <c r="BH344" s="177"/>
      <c r="BI344" s="137" t="s">
        <v>20</v>
      </c>
      <c r="BJ344" s="131">
        <v>45809</v>
      </c>
      <c r="BK344" s="131">
        <v>45809</v>
      </c>
      <c r="BL344" s="25">
        <v>980</v>
      </c>
      <c r="BM344" s="24" t="s">
        <v>587</v>
      </c>
    </row>
    <row r="345" spans="1:65" ht="14.25" customHeight="1">
      <c r="A345" s="15" t="s">
        <v>0</v>
      </c>
      <c r="B345" s="19"/>
      <c r="C345" s="179"/>
      <c r="D345" s="130"/>
      <c r="E345" s="130"/>
      <c r="F345" s="130"/>
      <c r="G345" s="130"/>
      <c r="H345" s="180"/>
      <c r="I345" s="19"/>
      <c r="J345" s="19"/>
      <c r="K345" s="181"/>
      <c r="L345" s="173"/>
      <c r="M345" s="15"/>
      <c r="N345" s="15"/>
      <c r="O345" s="15"/>
      <c r="P345" s="175"/>
      <c r="Q345" s="173"/>
      <c r="R345" s="15"/>
      <c r="S345" s="175"/>
      <c r="T345" s="198"/>
      <c r="U345" s="198"/>
      <c r="V345" s="15">
        <v>249.29</v>
      </c>
      <c r="W345" s="15" t="s">
        <v>500</v>
      </c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77"/>
      <c r="AM345" s="15"/>
      <c r="AN345" s="24"/>
      <c r="AO345" s="24"/>
      <c r="AP345" s="24"/>
      <c r="AQ345" s="24"/>
      <c r="AR345" s="24"/>
      <c r="AS345" s="25"/>
      <c r="AT345" s="25"/>
      <c r="AU345" s="178"/>
      <c r="AV345" s="15"/>
      <c r="AW345" s="24"/>
      <c r="AX345" s="278"/>
      <c r="AY345" s="278"/>
      <c r="AZ345" s="24"/>
      <c r="BA345" s="178"/>
      <c r="BB345" s="15"/>
      <c r="BC345" s="24"/>
      <c r="BD345" s="24"/>
      <c r="BE345" s="24"/>
      <c r="BF345" s="24"/>
      <c r="BG345" s="24"/>
      <c r="BH345" s="178"/>
      <c r="BI345" s="24"/>
      <c r="BJ345" s="24"/>
      <c r="BK345" s="24"/>
      <c r="BL345" s="24"/>
      <c r="BM345" s="24"/>
    </row>
    <row r="346" spans="1:65" ht="14.25" customHeight="1">
      <c r="A346" s="15">
        <f t="shared" si="98"/>
        <v>169</v>
      </c>
      <c r="B346" s="19" t="s">
        <v>252</v>
      </c>
      <c r="C346" s="179" t="s">
        <v>42</v>
      </c>
      <c r="D346" s="130">
        <v>6.3620000000000001</v>
      </c>
      <c r="E346" s="130">
        <f>D346*4</f>
        <v>25.448</v>
      </c>
      <c r="F346" s="130">
        <f>E346*8</f>
        <v>203.584</v>
      </c>
      <c r="G346" s="130"/>
      <c r="H346" s="180"/>
      <c r="I346" s="19"/>
      <c r="J346" s="19"/>
      <c r="K346" s="181"/>
      <c r="L346" s="173">
        <v>2.25</v>
      </c>
      <c r="M346" s="15">
        <v>2.1880000000000002</v>
      </c>
      <c r="N346" s="15">
        <v>2E-3</v>
      </c>
      <c r="O346" s="15">
        <v>0.183</v>
      </c>
      <c r="P346" s="175">
        <f t="shared" si="123"/>
        <v>4.6230000000000002</v>
      </c>
      <c r="Q346" s="173">
        <v>0.24399999999999999</v>
      </c>
      <c r="R346" s="15">
        <v>5.0000000000000001E-3</v>
      </c>
      <c r="S346" s="175">
        <f t="shared" si="119"/>
        <v>0.249</v>
      </c>
      <c r="T346" s="198" t="s">
        <v>31</v>
      </c>
      <c r="U346" s="176" t="s">
        <v>536</v>
      </c>
      <c r="V346" s="15"/>
      <c r="W346" s="15"/>
      <c r="X346" s="15">
        <v>41.44</v>
      </c>
      <c r="Y346" s="15">
        <v>0.8</v>
      </c>
      <c r="Z346" s="15">
        <v>7.8</v>
      </c>
      <c r="AA346" s="15">
        <f t="shared" si="120"/>
        <v>8.6</v>
      </c>
      <c r="AB346" s="15">
        <v>66.42</v>
      </c>
      <c r="AC346" s="15">
        <v>3321</v>
      </c>
      <c r="AD346" s="15">
        <v>73.73</v>
      </c>
      <c r="AE346" s="15">
        <v>301.5</v>
      </c>
      <c r="AF346" s="186"/>
      <c r="AG346" s="186">
        <v>206.46</v>
      </c>
      <c r="AH346" s="186"/>
      <c r="AI346" s="186"/>
      <c r="AJ346" s="186">
        <v>581.69000000000005</v>
      </c>
      <c r="AK346" s="15">
        <v>0.58169000000000004</v>
      </c>
      <c r="AL346" s="177"/>
      <c r="AM346" s="137" t="s">
        <v>20</v>
      </c>
      <c r="AN346" s="131" t="str">
        <f>AO346</f>
        <v>D</v>
      </c>
      <c r="AO346" s="131" t="s">
        <v>21</v>
      </c>
      <c r="AP346" s="349">
        <f>AQ346-3</f>
        <v>45642</v>
      </c>
      <c r="AQ346" s="349">
        <f t="shared" ref="AQ346" si="130">AR346-2</f>
        <v>45645</v>
      </c>
      <c r="AR346" s="349">
        <f t="shared" ref="AR346" si="131">AS346-2</f>
        <v>45647</v>
      </c>
      <c r="AS346" s="530">
        <v>45649</v>
      </c>
      <c r="AT346" s="25" t="s">
        <v>593</v>
      </c>
      <c r="AU346" s="178"/>
      <c r="AV346" s="137" t="s">
        <v>20</v>
      </c>
      <c r="AW346" s="15" t="s">
        <v>6</v>
      </c>
      <c r="AX346" s="278">
        <v>45713</v>
      </c>
      <c r="AY346" s="278">
        <v>45713</v>
      </c>
      <c r="AZ346" s="24" t="s">
        <v>593</v>
      </c>
      <c r="BA346" s="178"/>
      <c r="BB346" s="137" t="s">
        <v>20</v>
      </c>
      <c r="BC346" s="131"/>
      <c r="BD346" s="131" t="s">
        <v>21</v>
      </c>
      <c r="BE346" s="279">
        <f>BF346-1</f>
        <v>45717</v>
      </c>
      <c r="BF346" s="279">
        <v>45718</v>
      </c>
      <c r="BG346" s="17" t="s">
        <v>506</v>
      </c>
      <c r="BH346" s="177"/>
      <c r="BI346" s="137" t="s">
        <v>20</v>
      </c>
      <c r="BJ346" s="131">
        <v>45809</v>
      </c>
      <c r="BK346" s="131">
        <v>45809</v>
      </c>
      <c r="BL346" s="25">
        <v>980</v>
      </c>
      <c r="BM346" s="24" t="s">
        <v>587</v>
      </c>
    </row>
    <row r="347" spans="1:65" ht="14.25" customHeight="1">
      <c r="A347" s="15" t="s">
        <v>0</v>
      </c>
      <c r="B347" s="19"/>
      <c r="C347" s="179"/>
      <c r="D347" s="130"/>
      <c r="E347" s="130"/>
      <c r="F347" s="130"/>
      <c r="G347" s="130"/>
      <c r="H347" s="180"/>
      <c r="I347" s="19"/>
      <c r="J347" s="19"/>
      <c r="K347" s="181"/>
      <c r="L347" s="173"/>
      <c r="M347" s="15"/>
      <c r="N347" s="15"/>
      <c r="O347" s="15"/>
      <c r="P347" s="175"/>
      <c r="Q347" s="173"/>
      <c r="R347" s="15"/>
      <c r="S347" s="175"/>
      <c r="T347" s="198"/>
      <c r="U347" s="198"/>
      <c r="V347" s="15">
        <v>288.05</v>
      </c>
      <c r="W347" s="15" t="s">
        <v>500</v>
      </c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77"/>
      <c r="AM347" s="15"/>
      <c r="AN347" s="24"/>
      <c r="AO347" s="24"/>
      <c r="AP347" s="24"/>
      <c r="AQ347" s="24"/>
      <c r="AR347" s="24"/>
      <c r="AS347" s="25"/>
      <c r="AT347" s="25"/>
      <c r="AU347" s="178"/>
      <c r="AV347" s="15"/>
      <c r="AW347" s="24"/>
      <c r="AX347" s="278"/>
      <c r="AY347" s="278"/>
      <c r="AZ347" s="24"/>
      <c r="BA347" s="178"/>
      <c r="BB347" s="15"/>
      <c r="BC347" s="24"/>
      <c r="BD347" s="24"/>
      <c r="BE347" s="24"/>
      <c r="BF347" s="24"/>
      <c r="BG347" s="24"/>
      <c r="BH347" s="178"/>
      <c r="BI347" s="24"/>
      <c r="BJ347" s="24"/>
      <c r="BK347" s="24"/>
      <c r="BL347" s="24"/>
      <c r="BM347" s="24"/>
    </row>
    <row r="348" spans="1:65" ht="14.25" customHeight="1">
      <c r="A348" s="15">
        <f t="shared" ref="A348:A410" si="132">A346+1</f>
        <v>170</v>
      </c>
      <c r="B348" s="19" t="s">
        <v>253</v>
      </c>
      <c r="C348" s="179" t="s">
        <v>42</v>
      </c>
      <c r="D348" s="130">
        <v>6.3620000000000001</v>
      </c>
      <c r="E348" s="130">
        <f>D348*4</f>
        <v>25.448</v>
      </c>
      <c r="F348" s="130">
        <f>E348*8</f>
        <v>203.584</v>
      </c>
      <c r="G348" s="130"/>
      <c r="H348" s="180"/>
      <c r="I348" s="19"/>
      <c r="J348" s="19"/>
      <c r="K348" s="181"/>
      <c r="L348" s="173">
        <v>2.25</v>
      </c>
      <c r="M348" s="15">
        <v>2.1880000000000002</v>
      </c>
      <c r="N348" s="15">
        <v>2E-3</v>
      </c>
      <c r="O348" s="15">
        <v>0.183</v>
      </c>
      <c r="P348" s="175">
        <f t="shared" si="123"/>
        <v>4.6230000000000002</v>
      </c>
      <c r="Q348" s="173">
        <v>0.24399999999999999</v>
      </c>
      <c r="R348" s="15">
        <v>5.0000000000000001E-3</v>
      </c>
      <c r="S348" s="175">
        <f t="shared" si="119"/>
        <v>0.249</v>
      </c>
      <c r="T348" s="198" t="s">
        <v>31</v>
      </c>
      <c r="U348" s="176" t="s">
        <v>536</v>
      </c>
      <c r="V348" s="15"/>
      <c r="W348" s="15"/>
      <c r="X348" s="15">
        <v>41.44</v>
      </c>
      <c r="Y348" s="15">
        <v>0.8</v>
      </c>
      <c r="Z348" s="15">
        <v>7.8</v>
      </c>
      <c r="AA348" s="15">
        <f t="shared" si="120"/>
        <v>8.6</v>
      </c>
      <c r="AB348" s="15">
        <v>66.42</v>
      </c>
      <c r="AC348" s="15">
        <v>3321</v>
      </c>
      <c r="AD348" s="15">
        <v>73.73</v>
      </c>
      <c r="AE348" s="15">
        <v>301.5</v>
      </c>
      <c r="AF348" s="15"/>
      <c r="AG348" s="15">
        <v>206.46</v>
      </c>
      <c r="AH348" s="15"/>
      <c r="AI348" s="15"/>
      <c r="AJ348" s="15">
        <v>581.69000000000005</v>
      </c>
      <c r="AK348" s="15">
        <v>0.58169000000000004</v>
      </c>
      <c r="AL348" s="177"/>
      <c r="AM348" s="137" t="s">
        <v>20</v>
      </c>
      <c r="AN348" s="131" t="str">
        <f>AO348</f>
        <v>D</v>
      </c>
      <c r="AO348" s="131" t="s">
        <v>21</v>
      </c>
      <c r="AP348" s="349">
        <f t="shared" ref="AP348" si="133">AQ348-2</f>
        <v>45711</v>
      </c>
      <c r="AQ348" s="349">
        <f t="shared" ref="AQ348" si="134">AR348-2</f>
        <v>45713</v>
      </c>
      <c r="AR348" s="349">
        <f>AS348-1</f>
        <v>45715</v>
      </c>
      <c r="AS348" s="530">
        <v>45716</v>
      </c>
      <c r="AT348" s="25" t="s">
        <v>589</v>
      </c>
      <c r="AU348" s="183"/>
      <c r="AV348" s="137" t="s">
        <v>20</v>
      </c>
      <c r="AW348" s="15" t="s">
        <v>6</v>
      </c>
      <c r="AX348" s="278">
        <f>AY348</f>
        <v>45718</v>
      </c>
      <c r="AY348" s="278">
        <v>45718</v>
      </c>
      <c r="AZ348" s="100" t="str">
        <f>AT348</f>
        <v xml:space="preserve">Shree Bayo </v>
      </c>
      <c r="BA348" s="201"/>
      <c r="BB348" s="137" t="s">
        <v>20</v>
      </c>
      <c r="BC348" s="131"/>
      <c r="BD348" s="131" t="s">
        <v>21</v>
      </c>
      <c r="BE348" s="279">
        <f>BF348-2</f>
        <v>45803</v>
      </c>
      <c r="BF348" s="279">
        <v>45805</v>
      </c>
      <c r="BG348" s="17" t="s">
        <v>506</v>
      </c>
      <c r="BH348" s="188"/>
      <c r="BI348" s="137" t="s">
        <v>20</v>
      </c>
      <c r="BJ348" s="131">
        <v>45809</v>
      </c>
      <c r="BK348" s="131">
        <v>45809</v>
      </c>
      <c r="BL348" s="25">
        <v>980</v>
      </c>
      <c r="BM348" s="24" t="s">
        <v>587</v>
      </c>
    </row>
    <row r="349" spans="1:65" ht="14.25" customHeight="1">
      <c r="A349" s="15" t="s">
        <v>0</v>
      </c>
      <c r="B349" s="19"/>
      <c r="C349" s="179"/>
      <c r="D349" s="130"/>
      <c r="E349" s="130"/>
      <c r="F349" s="130"/>
      <c r="G349" s="130"/>
      <c r="H349" s="180"/>
      <c r="I349" s="19"/>
      <c r="J349" s="19"/>
      <c r="K349" s="181"/>
      <c r="L349" s="173"/>
      <c r="M349" s="15"/>
      <c r="N349" s="15"/>
      <c r="O349" s="15"/>
      <c r="P349" s="175"/>
      <c r="Q349" s="173"/>
      <c r="R349" s="15"/>
      <c r="S349" s="175"/>
      <c r="T349" s="198"/>
      <c r="U349" s="198"/>
      <c r="V349" s="15">
        <v>369.86</v>
      </c>
      <c r="W349" s="15" t="s">
        <v>500</v>
      </c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77"/>
      <c r="AM349" s="15"/>
      <c r="AN349" s="24"/>
      <c r="AO349" s="24"/>
      <c r="AP349" s="24"/>
      <c r="AQ349" s="24"/>
      <c r="AR349" s="24"/>
      <c r="AS349" s="25"/>
      <c r="AT349" s="25"/>
      <c r="AU349" s="178"/>
      <c r="AV349" s="15"/>
      <c r="AW349" s="24"/>
      <c r="AX349" s="278"/>
      <c r="AY349" s="278"/>
      <c r="AZ349" s="24"/>
      <c r="BA349" s="178"/>
      <c r="BB349" s="15"/>
      <c r="BC349" s="24"/>
      <c r="BD349" s="24"/>
      <c r="BE349" s="24"/>
      <c r="BF349" s="24"/>
      <c r="BG349" s="24"/>
      <c r="BH349" s="178"/>
      <c r="BI349" s="24"/>
      <c r="BJ349" s="24"/>
      <c r="BK349" s="24"/>
      <c r="BL349" s="24"/>
      <c r="BM349" s="24"/>
    </row>
    <row r="350" spans="1:65" ht="14.25" customHeight="1">
      <c r="A350" s="15">
        <f t="shared" si="132"/>
        <v>171</v>
      </c>
      <c r="B350" s="19" t="s">
        <v>254</v>
      </c>
      <c r="C350" s="179" t="s">
        <v>37</v>
      </c>
      <c r="D350" s="130">
        <v>6.992</v>
      </c>
      <c r="E350" s="130">
        <f>D350*4</f>
        <v>27.968</v>
      </c>
      <c r="F350" s="130">
        <f>E350*8</f>
        <v>223.744</v>
      </c>
      <c r="G350" s="130"/>
      <c r="H350" s="180"/>
      <c r="I350" s="19"/>
      <c r="J350" s="19"/>
      <c r="K350" s="181"/>
      <c r="L350" s="173">
        <v>2.6070000000000002</v>
      </c>
      <c r="M350" s="15">
        <v>2.657</v>
      </c>
      <c r="N350" s="15">
        <v>2E-3</v>
      </c>
      <c r="O350" s="15">
        <v>0.21299999999999999</v>
      </c>
      <c r="P350" s="175">
        <f t="shared" si="123"/>
        <v>5.4790000000000001</v>
      </c>
      <c r="Q350" s="173">
        <v>0.24399999999999999</v>
      </c>
      <c r="R350" s="15">
        <v>5.0000000000000001E-3</v>
      </c>
      <c r="S350" s="175">
        <f t="shared" si="119"/>
        <v>0.249</v>
      </c>
      <c r="T350" s="198" t="s">
        <v>31</v>
      </c>
      <c r="U350" s="176" t="s">
        <v>569</v>
      </c>
      <c r="V350" s="15"/>
      <c r="W350" s="15"/>
      <c r="X350" s="15">
        <v>41.44</v>
      </c>
      <c r="Y350" s="15">
        <v>1.51</v>
      </c>
      <c r="Z350" s="15">
        <v>11.15</v>
      </c>
      <c r="AA350" s="15">
        <f t="shared" si="120"/>
        <v>12.66</v>
      </c>
      <c r="AB350" s="15">
        <v>66.42</v>
      </c>
      <c r="AC350" s="15">
        <v>3321</v>
      </c>
      <c r="AD350" s="15">
        <v>73.73</v>
      </c>
      <c r="AE350" s="15">
        <v>301.5</v>
      </c>
      <c r="AF350" s="186"/>
      <c r="AG350" s="186">
        <v>206.46</v>
      </c>
      <c r="AH350" s="186"/>
      <c r="AI350" s="186"/>
      <c r="AJ350" s="186">
        <v>581.69000000000005</v>
      </c>
      <c r="AK350" s="15">
        <v>0.58169000000000004</v>
      </c>
      <c r="AL350" s="177"/>
      <c r="AM350" s="137" t="s">
        <v>20</v>
      </c>
      <c r="AN350" s="131" t="str">
        <f>AO350</f>
        <v>D</v>
      </c>
      <c r="AO350" s="131" t="s">
        <v>21</v>
      </c>
      <c r="AP350" s="349">
        <v>45637</v>
      </c>
      <c r="AQ350" s="349">
        <v>45638</v>
      </c>
      <c r="AR350" s="349">
        <f>AS350-2</f>
        <v>45639</v>
      </c>
      <c r="AS350" s="530">
        <v>45641</v>
      </c>
      <c r="AT350" s="25" t="s">
        <v>589</v>
      </c>
      <c r="AU350" s="183"/>
      <c r="AV350" s="137" t="s">
        <v>20</v>
      </c>
      <c r="AW350" s="15" t="s">
        <v>6</v>
      </c>
      <c r="AX350" s="278">
        <v>45646</v>
      </c>
      <c r="AY350" s="278">
        <v>45646</v>
      </c>
      <c r="AZ350" s="19" t="s">
        <v>590</v>
      </c>
      <c r="BA350" s="194"/>
      <c r="BB350" s="137" t="s">
        <v>20</v>
      </c>
      <c r="BC350" s="131"/>
      <c r="BD350" s="131" t="s">
        <v>21</v>
      </c>
      <c r="BE350" s="279">
        <f>BF350-1</f>
        <v>45718</v>
      </c>
      <c r="BF350" s="279">
        <v>45719</v>
      </c>
      <c r="BG350" s="17" t="s">
        <v>506</v>
      </c>
      <c r="BH350" s="177"/>
      <c r="BI350" s="137" t="s">
        <v>20</v>
      </c>
      <c r="BJ350" s="131">
        <v>45810</v>
      </c>
      <c r="BK350" s="131">
        <v>45810</v>
      </c>
      <c r="BL350" s="25">
        <v>1330</v>
      </c>
      <c r="BM350" s="24" t="s">
        <v>587</v>
      </c>
    </row>
    <row r="351" spans="1:65" ht="14.25" customHeight="1">
      <c r="A351" s="15" t="s">
        <v>0</v>
      </c>
      <c r="B351" s="19"/>
      <c r="C351" s="179"/>
      <c r="D351" s="130"/>
      <c r="E351" s="130"/>
      <c r="F351" s="130"/>
      <c r="G351" s="130"/>
      <c r="H351" s="180"/>
      <c r="I351" s="19"/>
      <c r="J351" s="19"/>
      <c r="K351" s="181"/>
      <c r="L351" s="173"/>
      <c r="M351" s="15"/>
      <c r="N351" s="15"/>
      <c r="O351" s="15"/>
      <c r="P351" s="175"/>
      <c r="Q351" s="173"/>
      <c r="R351" s="15"/>
      <c r="S351" s="175"/>
      <c r="T351" s="198"/>
      <c r="U351" s="198"/>
      <c r="V351" s="15">
        <v>320.20999999999998</v>
      </c>
      <c r="W351" s="15" t="s">
        <v>537</v>
      </c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77"/>
      <c r="AM351" s="15"/>
      <c r="AN351" s="24"/>
      <c r="AO351" s="24"/>
      <c r="AP351" s="24"/>
      <c r="AQ351" s="24"/>
      <c r="AR351" s="24"/>
      <c r="AS351" s="25"/>
      <c r="AT351" s="25"/>
      <c r="AU351" s="178"/>
      <c r="AV351" s="15"/>
      <c r="AW351" s="24"/>
      <c r="AX351" s="278"/>
      <c r="AY351" s="278"/>
      <c r="AZ351" s="24"/>
      <c r="BA351" s="178"/>
      <c r="BB351" s="15"/>
      <c r="BC351" s="24"/>
      <c r="BD351" s="24"/>
      <c r="BE351" s="24"/>
      <c r="BF351" s="24"/>
      <c r="BG351" s="24"/>
      <c r="BH351" s="178"/>
      <c r="BI351" s="24"/>
      <c r="BJ351" s="24"/>
      <c r="BK351" s="24"/>
      <c r="BL351" s="24"/>
      <c r="BM351" s="24"/>
    </row>
    <row r="352" spans="1:65" ht="14.25" customHeight="1">
      <c r="A352" s="15">
        <f t="shared" si="132"/>
        <v>172</v>
      </c>
      <c r="B352" s="19" t="s">
        <v>255</v>
      </c>
      <c r="C352" s="179" t="s">
        <v>42</v>
      </c>
      <c r="D352" s="130">
        <v>6.3620000000000001</v>
      </c>
      <c r="E352" s="130">
        <f>D352*4</f>
        <v>25.448</v>
      </c>
      <c r="F352" s="130">
        <f>E352*8</f>
        <v>203.584</v>
      </c>
      <c r="G352" s="130"/>
      <c r="H352" s="180"/>
      <c r="I352" s="19"/>
      <c r="J352" s="19"/>
      <c r="K352" s="181"/>
      <c r="L352" s="173">
        <v>2.25</v>
      </c>
      <c r="M352" s="15">
        <v>2.1880000000000002</v>
      </c>
      <c r="N352" s="15">
        <v>2E-3</v>
      </c>
      <c r="O352" s="15">
        <v>0.183</v>
      </c>
      <c r="P352" s="175">
        <f t="shared" si="123"/>
        <v>4.6230000000000002</v>
      </c>
      <c r="Q352" s="173">
        <v>0.24399999999999999</v>
      </c>
      <c r="R352" s="15">
        <v>5.0000000000000001E-3</v>
      </c>
      <c r="S352" s="175">
        <f t="shared" si="119"/>
        <v>0.249</v>
      </c>
      <c r="T352" s="198" t="s">
        <v>31</v>
      </c>
      <c r="U352" s="198" t="s">
        <v>569</v>
      </c>
      <c r="V352" s="15"/>
      <c r="W352" s="15"/>
      <c r="X352" s="15">
        <v>85.44</v>
      </c>
      <c r="Y352" s="15">
        <v>0.8</v>
      </c>
      <c r="Z352" s="15">
        <v>7.8</v>
      </c>
      <c r="AA352" s="15">
        <f t="shared" si="120"/>
        <v>8.6</v>
      </c>
      <c r="AB352" s="15">
        <v>96.573400000000021</v>
      </c>
      <c r="AC352" s="15">
        <v>4828.670000000001</v>
      </c>
      <c r="AD352" s="15">
        <v>63.93</v>
      </c>
      <c r="AE352" s="15">
        <v>524.79</v>
      </c>
      <c r="AF352" s="15"/>
      <c r="AG352" s="15">
        <v>100.6</v>
      </c>
      <c r="AH352" s="15">
        <v>157.18</v>
      </c>
      <c r="AI352" s="15"/>
      <c r="AJ352" s="15">
        <v>846.5</v>
      </c>
      <c r="AK352" s="15">
        <v>0.84650000000000003</v>
      </c>
      <c r="AL352" s="177"/>
      <c r="AM352" s="137" t="s">
        <v>20</v>
      </c>
      <c r="AN352" s="131" t="s">
        <v>21</v>
      </c>
      <c r="AO352" s="131" t="s">
        <v>21</v>
      </c>
      <c r="AP352" s="349">
        <f t="shared" ref="AP352" si="135">AQ352-2</f>
        <v>45771</v>
      </c>
      <c r="AQ352" s="349">
        <f t="shared" ref="AQ352" si="136">AR352-2</f>
        <v>45773</v>
      </c>
      <c r="AR352" s="349">
        <f t="shared" ref="AR352" si="137">AS352-2</f>
        <v>45775</v>
      </c>
      <c r="AS352" s="530">
        <v>45777</v>
      </c>
      <c r="AT352" s="25" t="s">
        <v>538</v>
      </c>
      <c r="AU352" s="183"/>
      <c r="AV352" s="137" t="s">
        <v>20</v>
      </c>
      <c r="AW352" s="15" t="s">
        <v>6</v>
      </c>
      <c r="AX352" s="278">
        <f>AY352</f>
        <v>45783</v>
      </c>
      <c r="AY352" s="278">
        <f>AS352+6</f>
        <v>45783</v>
      </c>
      <c r="AZ352" s="182" t="str">
        <f>AT352</f>
        <v>Ram Singh</v>
      </c>
      <c r="BA352" s="183"/>
      <c r="BB352" s="137" t="s">
        <v>20</v>
      </c>
      <c r="BC352" s="131" t="s">
        <v>540</v>
      </c>
      <c r="BD352" s="131" t="s">
        <v>21</v>
      </c>
      <c r="BE352" s="279">
        <f>BF352-2</f>
        <v>45806</v>
      </c>
      <c r="BF352" s="279">
        <v>45808</v>
      </c>
      <c r="BG352" s="17" t="s">
        <v>506</v>
      </c>
      <c r="BH352" s="187"/>
      <c r="BI352" s="137" t="s">
        <v>20</v>
      </c>
      <c r="BJ352" s="131">
        <v>45885</v>
      </c>
      <c r="BK352" s="131">
        <f>BJ352</f>
        <v>45885</v>
      </c>
      <c r="BL352" s="25">
        <v>980</v>
      </c>
      <c r="BM352" s="185" t="s">
        <v>587</v>
      </c>
    </row>
    <row r="353" spans="1:66" ht="14.25" customHeight="1">
      <c r="A353" s="15" t="s">
        <v>0</v>
      </c>
      <c r="B353" s="19"/>
      <c r="C353" s="179"/>
      <c r="D353" s="130"/>
      <c r="E353" s="130"/>
      <c r="F353" s="130"/>
      <c r="G353" s="130"/>
      <c r="H353" s="180"/>
      <c r="I353" s="19"/>
      <c r="J353" s="19"/>
      <c r="K353" s="181"/>
      <c r="L353" s="173"/>
      <c r="M353" s="15"/>
      <c r="N353" s="15"/>
      <c r="O353" s="15"/>
      <c r="P353" s="175"/>
      <c r="Q353" s="173"/>
      <c r="R353" s="15"/>
      <c r="S353" s="175"/>
      <c r="T353" s="198"/>
      <c r="U353" s="198"/>
      <c r="V353" s="15">
        <v>383.86</v>
      </c>
      <c r="W353" s="15" t="s">
        <v>500</v>
      </c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77"/>
      <c r="AM353" s="15"/>
      <c r="AN353" s="24"/>
      <c r="AO353" s="24"/>
      <c r="AP353" s="24"/>
      <c r="AQ353" s="24"/>
      <c r="AR353" s="24"/>
      <c r="AS353" s="25"/>
      <c r="AT353" s="25"/>
      <c r="AU353" s="178"/>
      <c r="AV353" s="15"/>
      <c r="AW353" s="24"/>
      <c r="AX353" s="278"/>
      <c r="AY353" s="278"/>
      <c r="AZ353" s="24"/>
      <c r="BA353" s="178"/>
      <c r="BB353" s="15"/>
      <c r="BC353" s="24"/>
      <c r="BD353" s="24"/>
      <c r="BE353" s="24"/>
      <c r="BF353" s="24"/>
      <c r="BG353" s="24"/>
      <c r="BH353" s="178"/>
      <c r="BI353" s="24"/>
      <c r="BJ353" s="24"/>
      <c r="BK353" s="24"/>
      <c r="BL353" s="24"/>
      <c r="BM353" s="24"/>
    </row>
    <row r="354" spans="1:66" ht="14.25" customHeight="1">
      <c r="A354" s="15">
        <f t="shared" si="132"/>
        <v>173</v>
      </c>
      <c r="B354" s="19" t="s">
        <v>257</v>
      </c>
      <c r="C354" s="179" t="s">
        <v>54</v>
      </c>
      <c r="D354" s="130">
        <v>13.257999999999999</v>
      </c>
      <c r="E354" s="130">
        <f>D354*4</f>
        <v>53.031999999999996</v>
      </c>
      <c r="F354" s="130">
        <f>E354*8</f>
        <v>424.25599999999997</v>
      </c>
      <c r="G354" s="130"/>
      <c r="H354" s="180"/>
      <c r="I354" s="19"/>
      <c r="J354" s="19"/>
      <c r="K354" s="181"/>
      <c r="L354" s="173">
        <v>6.0590000000000002</v>
      </c>
      <c r="M354" s="15">
        <v>5.8739999999999997</v>
      </c>
      <c r="N354" s="15">
        <v>7.7000000000000002E-3</v>
      </c>
      <c r="O354" s="15">
        <v>0.56299999999999994</v>
      </c>
      <c r="P354" s="175">
        <f t="shared" si="123"/>
        <v>12.5037</v>
      </c>
      <c r="Q354" s="173">
        <v>1.1160000000000001</v>
      </c>
      <c r="R354" s="15">
        <v>3.2000000000000001E-2</v>
      </c>
      <c r="S354" s="175">
        <f t="shared" si="119"/>
        <v>1.1480000000000001</v>
      </c>
      <c r="T354" s="198" t="s">
        <v>596</v>
      </c>
      <c r="U354" s="198" t="s">
        <v>569</v>
      </c>
      <c r="V354" s="15"/>
      <c r="W354" s="15"/>
      <c r="X354" s="15">
        <v>41.44</v>
      </c>
      <c r="Y354" s="15">
        <v>3.53</v>
      </c>
      <c r="Z354" s="15">
        <v>38.97</v>
      </c>
      <c r="AA354" s="15">
        <f t="shared" si="120"/>
        <v>42.5</v>
      </c>
      <c r="AB354" s="15">
        <v>66.42</v>
      </c>
      <c r="AC354" s="15">
        <v>3321</v>
      </c>
      <c r="AD354" s="15">
        <v>73.73</v>
      </c>
      <c r="AE354" s="15">
        <v>301.5</v>
      </c>
      <c r="AF354" s="15"/>
      <c r="AG354" s="15">
        <v>206.46</v>
      </c>
      <c r="AH354" s="15"/>
      <c r="AI354" s="15"/>
      <c r="AJ354" s="15">
        <v>581.69000000000005</v>
      </c>
      <c r="AK354" s="15">
        <v>0.58169000000000004</v>
      </c>
      <c r="AL354" s="177"/>
      <c r="AM354" s="137" t="s">
        <v>20</v>
      </c>
      <c r="AN354" s="131" t="s">
        <v>540</v>
      </c>
      <c r="AO354" s="131" t="s">
        <v>21</v>
      </c>
      <c r="AP354" s="349">
        <f t="shared" ref="AP354" si="138">AQ354-2</f>
        <v>45770</v>
      </c>
      <c r="AQ354" s="349">
        <f t="shared" ref="AQ354" si="139">AR354-2</f>
        <v>45772</v>
      </c>
      <c r="AR354" s="349">
        <f t="shared" ref="AR354" si="140">AS354-2</f>
        <v>45774</v>
      </c>
      <c r="AS354" s="530">
        <v>45776</v>
      </c>
      <c r="AT354" s="25" t="s">
        <v>538</v>
      </c>
      <c r="AU354" s="183"/>
      <c r="AV354" s="137" t="s">
        <v>20</v>
      </c>
      <c r="AW354" s="15" t="s">
        <v>6</v>
      </c>
      <c r="AX354" s="278">
        <v>45778</v>
      </c>
      <c r="AY354" s="278">
        <v>45778</v>
      </c>
      <c r="AZ354" s="182" t="s">
        <v>589</v>
      </c>
      <c r="BA354" s="183"/>
      <c r="BB354" s="137" t="s">
        <v>20</v>
      </c>
      <c r="BC354" s="131" t="s">
        <v>540</v>
      </c>
      <c r="BD354" s="131" t="s">
        <v>21</v>
      </c>
      <c r="BE354" s="279">
        <f>BF354-2</f>
        <v>45817</v>
      </c>
      <c r="BF354" s="279">
        <v>45819</v>
      </c>
      <c r="BG354" s="17" t="s">
        <v>506</v>
      </c>
      <c r="BH354" s="177"/>
      <c r="BI354" s="137" t="s">
        <v>20</v>
      </c>
      <c r="BJ354" s="131">
        <v>45885</v>
      </c>
      <c r="BK354" s="131">
        <f>BJ354</f>
        <v>45885</v>
      </c>
      <c r="BL354" s="25">
        <v>2008</v>
      </c>
      <c r="BM354" s="24" t="s">
        <v>587</v>
      </c>
    </row>
    <row r="355" spans="1:66" ht="14.25" customHeight="1">
      <c r="A355" s="15" t="s">
        <v>0</v>
      </c>
      <c r="B355" s="19"/>
      <c r="C355" s="179"/>
      <c r="D355" s="130"/>
      <c r="E355" s="130"/>
      <c r="F355" s="130"/>
      <c r="G355" s="130"/>
      <c r="H355" s="180"/>
      <c r="I355" s="19"/>
      <c r="J355" s="19"/>
      <c r="K355" s="181"/>
      <c r="L355" s="173"/>
      <c r="M355" s="15"/>
      <c r="N355" s="15"/>
      <c r="O355" s="15"/>
      <c r="P355" s="175"/>
      <c r="Q355" s="173"/>
      <c r="R355" s="15"/>
      <c r="S355" s="175"/>
      <c r="T355" s="198"/>
      <c r="U355" s="198"/>
      <c r="V355" s="15">
        <v>190.524</v>
      </c>
      <c r="W355" s="15" t="s">
        <v>537</v>
      </c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77"/>
      <c r="AM355" s="15"/>
      <c r="AN355" s="24"/>
      <c r="AO355" s="24"/>
      <c r="AP355" s="24"/>
      <c r="AQ355" s="24"/>
      <c r="AR355" s="24"/>
      <c r="AS355" s="25"/>
      <c r="AT355" s="25"/>
      <c r="AU355" s="178"/>
      <c r="AV355" s="15"/>
      <c r="AW355" s="24"/>
      <c r="AX355" s="278"/>
      <c r="AY355" s="278"/>
      <c r="AZ355" s="24"/>
      <c r="BA355" s="178"/>
      <c r="BB355" s="15"/>
      <c r="BC355" s="24"/>
      <c r="BD355" s="24"/>
      <c r="BE355" s="24"/>
      <c r="BF355" s="24"/>
      <c r="BG355" s="24"/>
      <c r="BH355" s="178"/>
      <c r="BI355" s="24"/>
      <c r="BJ355" s="24"/>
      <c r="BK355" s="24"/>
      <c r="BL355" s="24"/>
      <c r="BM355" s="24"/>
      <c r="BN355" s="24"/>
    </row>
    <row r="356" spans="1:66" ht="16.5" customHeight="1">
      <c r="A356" s="15">
        <f t="shared" si="132"/>
        <v>174</v>
      </c>
      <c r="B356" s="19" t="s">
        <v>259</v>
      </c>
      <c r="C356" s="179" t="s">
        <v>260</v>
      </c>
      <c r="D356" s="130">
        <v>16.654</v>
      </c>
      <c r="E356" s="130">
        <f>D356*4</f>
        <v>66.616</v>
      </c>
      <c r="F356" s="130">
        <f>E356*8</f>
        <v>532.928</v>
      </c>
      <c r="G356" s="130">
        <v>1</v>
      </c>
      <c r="H356" s="180">
        <v>3</v>
      </c>
      <c r="I356" s="19">
        <v>3</v>
      </c>
      <c r="J356" s="19">
        <v>3</v>
      </c>
      <c r="K356" s="181">
        <v>3</v>
      </c>
      <c r="L356" s="173">
        <v>8.8970000000000002</v>
      </c>
      <c r="M356" s="15">
        <v>8.8010000000000002</v>
      </c>
      <c r="N356" s="15">
        <v>9.2999999999999992E-3</v>
      </c>
      <c r="O356" s="15">
        <v>0.752</v>
      </c>
      <c r="P356" s="174">
        <f t="shared" si="123"/>
        <v>18.459299999999999</v>
      </c>
      <c r="Q356" s="173">
        <v>1.1160000000000001</v>
      </c>
      <c r="R356" s="15">
        <v>3.2000000000000001E-2</v>
      </c>
      <c r="S356" s="175">
        <f t="shared" si="119"/>
        <v>1.1480000000000001</v>
      </c>
      <c r="T356" s="202" t="s">
        <v>597</v>
      </c>
      <c r="U356" s="198" t="s">
        <v>569</v>
      </c>
      <c r="V356" s="29"/>
      <c r="W356" s="15"/>
      <c r="X356" s="15">
        <v>215.12</v>
      </c>
      <c r="Y356" s="15">
        <v>2.31</v>
      </c>
      <c r="Z356" s="15">
        <v>27.89</v>
      </c>
      <c r="AA356" s="15">
        <f t="shared" si="120"/>
        <v>30.2</v>
      </c>
      <c r="AB356" s="23">
        <f t="shared" ref="AB356:AB407" si="141">+Y356*4.44+Z356*8.06</f>
        <v>235.04980000000003</v>
      </c>
      <c r="AC356" s="15"/>
      <c r="AD356" s="15">
        <v>237.43</v>
      </c>
      <c r="AE356" s="15"/>
      <c r="AF356" s="15">
        <v>1520.85</v>
      </c>
      <c r="AG356" s="15">
        <v>690.12</v>
      </c>
      <c r="AH356" s="15">
        <v>0</v>
      </c>
      <c r="AI356" s="15"/>
      <c r="AJ356" s="15">
        <f>SUM(AD356:AH356)</f>
        <v>2448.4</v>
      </c>
      <c r="AK356" s="15">
        <f>AJ356/1000</f>
        <v>2.4483999999999999</v>
      </c>
      <c r="AL356" s="177"/>
      <c r="AM356" s="137" t="s">
        <v>20</v>
      </c>
      <c r="AN356" s="131" t="s">
        <v>540</v>
      </c>
      <c r="AO356" s="131" t="s">
        <v>21</v>
      </c>
      <c r="AP356" s="349">
        <f t="shared" ref="AP356" si="142">AQ356-2</f>
        <v>45758</v>
      </c>
      <c r="AQ356" s="349">
        <f t="shared" ref="AQ356" si="143">AR356-2</f>
        <v>45760</v>
      </c>
      <c r="AR356" s="349">
        <f t="shared" ref="AR356" si="144">AS356-2</f>
        <v>45762</v>
      </c>
      <c r="AS356" s="530">
        <v>45764</v>
      </c>
      <c r="AT356" s="25" t="s">
        <v>589</v>
      </c>
      <c r="AU356" s="183"/>
      <c r="AV356" s="137" t="s">
        <v>20</v>
      </c>
      <c r="AW356" s="15" t="s">
        <v>6</v>
      </c>
      <c r="AX356" s="278">
        <f>AY356</f>
        <v>45767</v>
      </c>
      <c r="AY356" s="278">
        <v>45767</v>
      </c>
      <c r="AZ356" s="19" t="s">
        <v>539</v>
      </c>
      <c r="BA356" s="194"/>
      <c r="BB356" s="137" t="s">
        <v>20</v>
      </c>
      <c r="BC356" s="131"/>
      <c r="BD356" s="131" t="s">
        <v>571</v>
      </c>
      <c r="BE356" s="279">
        <f>BF356-2</f>
        <v>45862</v>
      </c>
      <c r="BF356" s="279">
        <v>45864</v>
      </c>
      <c r="BG356" s="17" t="s">
        <v>506</v>
      </c>
      <c r="BH356" s="177"/>
      <c r="BI356" s="137" t="s">
        <v>20</v>
      </c>
      <c r="BJ356" s="131"/>
      <c r="BK356" s="131"/>
      <c r="BL356" s="134"/>
      <c r="BM356" s="24"/>
      <c r="BN356" s="131"/>
    </row>
    <row r="357" spans="1:66" ht="14.25" customHeight="1">
      <c r="A357" s="15" t="s">
        <v>0</v>
      </c>
      <c r="B357" s="19"/>
      <c r="C357" s="179"/>
      <c r="D357" s="130"/>
      <c r="E357" s="130"/>
      <c r="F357" s="130"/>
      <c r="G357" s="130"/>
      <c r="H357" s="180"/>
      <c r="I357" s="19"/>
      <c r="J357" s="19"/>
      <c r="K357" s="181"/>
      <c r="L357" s="173"/>
      <c r="M357" s="15"/>
      <c r="N357" s="15"/>
      <c r="O357" s="15"/>
      <c r="P357" s="175"/>
      <c r="Q357" s="173"/>
      <c r="R357" s="15"/>
      <c r="S357" s="175"/>
      <c r="T357" s="203"/>
      <c r="U357" s="203"/>
      <c r="V357" s="24">
        <v>173.541</v>
      </c>
      <c r="W357" s="15" t="s">
        <v>500</v>
      </c>
      <c r="X357" s="15"/>
      <c r="Y357" s="15"/>
      <c r="Z357" s="15"/>
      <c r="AA357" s="15"/>
      <c r="AB357" s="23">
        <f t="shared" si="141"/>
        <v>0</v>
      </c>
      <c r="AC357" s="15"/>
      <c r="AD357" s="15"/>
      <c r="AE357" s="15"/>
      <c r="AF357" s="15"/>
      <c r="AG357" s="15"/>
      <c r="AH357" s="15"/>
      <c r="AI357" s="15"/>
      <c r="AJ357" s="15"/>
      <c r="AK357" s="15"/>
      <c r="AL357" s="177"/>
      <c r="AM357" s="15"/>
      <c r="AN357" s="24"/>
      <c r="AO357" s="24"/>
      <c r="AP357" s="24"/>
      <c r="AQ357" s="24"/>
      <c r="AR357" s="24"/>
      <c r="AS357" s="25"/>
      <c r="AT357" s="25"/>
      <c r="AU357" s="178"/>
      <c r="AV357" s="15"/>
      <c r="AW357" s="24"/>
      <c r="AX357" s="278"/>
      <c r="AY357" s="278"/>
      <c r="AZ357" s="24"/>
      <c r="BA357" s="178"/>
      <c r="BB357" s="15"/>
      <c r="BC357" s="24"/>
      <c r="BD357" s="24"/>
      <c r="BE357" s="24"/>
      <c r="BF357" s="24"/>
      <c r="BG357" s="24"/>
      <c r="BH357" s="178"/>
      <c r="BI357" s="24"/>
      <c r="BJ357" s="24"/>
      <c r="BK357" s="24"/>
      <c r="BL357" s="24"/>
      <c r="BM357" s="24"/>
      <c r="BN357" s="24"/>
    </row>
    <row r="358" spans="1:66" ht="14.25" customHeight="1">
      <c r="A358" s="15">
        <f t="shared" si="132"/>
        <v>175</v>
      </c>
      <c r="B358" s="19" t="s">
        <v>262</v>
      </c>
      <c r="C358" s="179" t="s">
        <v>260</v>
      </c>
      <c r="D358" s="130">
        <v>16.654</v>
      </c>
      <c r="E358" s="130">
        <f>D358*4</f>
        <v>66.616</v>
      </c>
      <c r="F358" s="130">
        <f>E358*8</f>
        <v>532.928</v>
      </c>
      <c r="G358" s="130">
        <v>1</v>
      </c>
      <c r="H358" s="180">
        <v>3</v>
      </c>
      <c r="I358" s="19">
        <v>3</v>
      </c>
      <c r="J358" s="19">
        <v>3</v>
      </c>
      <c r="K358" s="181">
        <v>3</v>
      </c>
      <c r="L358" s="173">
        <v>8.8970000000000002</v>
      </c>
      <c r="M358" s="15">
        <v>8.8010000000000002</v>
      </c>
      <c r="N358" s="15">
        <v>9.2999999999999992E-3</v>
      </c>
      <c r="O358" s="15">
        <v>0.752</v>
      </c>
      <c r="P358" s="175">
        <f t="shared" si="123"/>
        <v>18.459299999999999</v>
      </c>
      <c r="Q358" s="173">
        <v>1.1160000000000001</v>
      </c>
      <c r="R358" s="15">
        <v>3.2000000000000001E-2</v>
      </c>
      <c r="S358" s="175">
        <f t="shared" si="119"/>
        <v>1.1480000000000001</v>
      </c>
      <c r="T358" s="176" t="s">
        <v>31</v>
      </c>
      <c r="U358" s="198" t="s">
        <v>569</v>
      </c>
      <c r="V358" s="15"/>
      <c r="W358" s="15"/>
      <c r="X358" s="15">
        <v>136.28</v>
      </c>
      <c r="Y358" s="15">
        <v>3.53</v>
      </c>
      <c r="Z358" s="15">
        <v>38.97</v>
      </c>
      <c r="AA358" s="15">
        <f t="shared" si="120"/>
        <v>42.5</v>
      </c>
      <c r="AB358" s="23">
        <f t="shared" si="141"/>
        <v>329.77140000000003</v>
      </c>
      <c r="AC358" s="15"/>
      <c r="AD358" s="15">
        <v>171.11</v>
      </c>
      <c r="AE358" s="15"/>
      <c r="AF358" s="15">
        <v>1373.57</v>
      </c>
      <c r="AG358" s="15"/>
      <c r="AH358" s="15">
        <v>831.91</v>
      </c>
      <c r="AI358" s="15"/>
      <c r="AJ358" s="15">
        <f>SUM(AD358:AI358)</f>
        <v>2376.5899999999997</v>
      </c>
      <c r="AK358" s="15">
        <f>AJ358/1000</f>
        <v>2.3765899999999998</v>
      </c>
      <c r="AL358" s="177"/>
      <c r="AM358" s="137" t="s">
        <v>20</v>
      </c>
      <c r="AN358" s="131" t="s">
        <v>547</v>
      </c>
      <c r="AO358" s="131" t="s">
        <v>21</v>
      </c>
      <c r="AP358" s="349">
        <f>AQ358-2</f>
        <v>45725</v>
      </c>
      <c r="AQ358" s="349">
        <f>AR358-3</f>
        <v>45727</v>
      </c>
      <c r="AR358" s="349">
        <f>AS358-2</f>
        <v>45730</v>
      </c>
      <c r="AS358" s="530">
        <v>45732</v>
      </c>
      <c r="AT358" s="25" t="s">
        <v>589</v>
      </c>
      <c r="AU358" s="183"/>
      <c r="AV358" s="137" t="s">
        <v>20</v>
      </c>
      <c r="AW358" s="15" t="s">
        <v>6</v>
      </c>
      <c r="AX358" s="278">
        <f>AY358</f>
        <v>45754</v>
      </c>
      <c r="AY358" s="278">
        <v>45754</v>
      </c>
      <c r="AZ358" s="19" t="s">
        <v>539</v>
      </c>
      <c r="BA358" s="194"/>
      <c r="BB358" s="137" t="s">
        <v>20</v>
      </c>
      <c r="BC358" s="131" t="s">
        <v>540</v>
      </c>
      <c r="BD358" s="131" t="s">
        <v>598</v>
      </c>
      <c r="BE358" s="279">
        <f>BF358-2</f>
        <v>45812</v>
      </c>
      <c r="BF358" s="279">
        <v>45814</v>
      </c>
      <c r="BG358" s="17" t="s">
        <v>506</v>
      </c>
      <c r="BH358" s="177"/>
      <c r="BI358" s="137" t="s">
        <v>20</v>
      </c>
      <c r="BJ358" s="131"/>
      <c r="BK358" s="131"/>
      <c r="BL358" s="134"/>
      <c r="BM358" s="24"/>
      <c r="BN358" s="15"/>
    </row>
    <row r="359" spans="1:66" ht="14.25" customHeight="1">
      <c r="A359" s="15" t="s">
        <v>0</v>
      </c>
      <c r="B359" s="19"/>
      <c r="C359" s="179"/>
      <c r="D359" s="130"/>
      <c r="E359" s="130"/>
      <c r="F359" s="130"/>
      <c r="G359" s="130"/>
      <c r="H359" s="180"/>
      <c r="I359" s="19"/>
      <c r="J359" s="19"/>
      <c r="K359" s="181"/>
      <c r="L359" s="173"/>
      <c r="M359" s="15"/>
      <c r="N359" s="15"/>
      <c r="O359" s="15"/>
      <c r="P359" s="175"/>
      <c r="Q359" s="173"/>
      <c r="R359" s="15"/>
      <c r="S359" s="175"/>
      <c r="T359" s="176"/>
      <c r="U359" s="176"/>
      <c r="V359" s="16">
        <v>142.38399999999999</v>
      </c>
      <c r="W359" s="15" t="s">
        <v>537</v>
      </c>
      <c r="X359" s="15"/>
      <c r="Y359" s="15"/>
      <c r="Z359" s="15"/>
      <c r="AA359" s="15"/>
      <c r="AB359" s="23">
        <f t="shared" si="141"/>
        <v>0</v>
      </c>
      <c r="AC359" s="15"/>
      <c r="AD359" s="15"/>
      <c r="AE359" s="15"/>
      <c r="AF359" s="15"/>
      <c r="AG359" s="15"/>
      <c r="AH359" s="15"/>
      <c r="AI359" s="15"/>
      <c r="AJ359" s="15"/>
      <c r="AK359" s="15"/>
      <c r="AL359" s="177"/>
      <c r="AM359" s="15"/>
      <c r="AN359" s="24"/>
      <c r="AO359" s="24"/>
      <c r="AP359" s="24"/>
      <c r="AQ359" s="24"/>
      <c r="AR359" s="24"/>
      <c r="AS359" s="25"/>
      <c r="AT359" s="25"/>
      <c r="AU359" s="178"/>
      <c r="AV359" s="15"/>
      <c r="AW359" s="24"/>
      <c r="AX359" s="278"/>
      <c r="AY359" s="278"/>
      <c r="AZ359" s="24"/>
      <c r="BA359" s="178"/>
      <c r="BB359" s="15"/>
      <c r="BC359" s="24"/>
      <c r="BD359" s="24"/>
      <c r="BE359" s="24"/>
      <c r="BF359" s="24"/>
      <c r="BG359" s="24"/>
      <c r="BH359" s="178"/>
      <c r="BI359" s="24"/>
      <c r="BJ359" s="24"/>
      <c r="BK359" s="24"/>
      <c r="BL359" s="24"/>
      <c r="BM359" s="24"/>
      <c r="BN359" s="24"/>
    </row>
    <row r="360" spans="1:66" ht="14.25" customHeight="1">
      <c r="A360" s="15">
        <f t="shared" si="132"/>
        <v>176</v>
      </c>
      <c r="B360" s="19" t="s">
        <v>264</v>
      </c>
      <c r="C360" s="179" t="s">
        <v>260</v>
      </c>
      <c r="D360" s="130">
        <v>16.654</v>
      </c>
      <c r="E360" s="130">
        <f>D360*4</f>
        <v>66.616</v>
      </c>
      <c r="F360" s="130">
        <f>E360*8</f>
        <v>532.928</v>
      </c>
      <c r="G360" s="130">
        <v>1</v>
      </c>
      <c r="H360" s="180">
        <v>3</v>
      </c>
      <c r="I360" s="19">
        <v>3</v>
      </c>
      <c r="J360" s="19">
        <v>3</v>
      </c>
      <c r="K360" s="181">
        <v>3</v>
      </c>
      <c r="L360" s="173">
        <v>8.8970000000000002</v>
      </c>
      <c r="M360" s="15">
        <v>8.8010000000000002</v>
      </c>
      <c r="N360" s="15">
        <v>9.2999999999999992E-3</v>
      </c>
      <c r="O360" s="15">
        <v>0.752</v>
      </c>
      <c r="P360" s="175">
        <f t="shared" si="123"/>
        <v>18.459299999999999</v>
      </c>
      <c r="Q360" s="173">
        <v>1.1160000000000001</v>
      </c>
      <c r="R360" s="15">
        <v>3.2000000000000001E-2</v>
      </c>
      <c r="S360" s="175">
        <f t="shared" si="119"/>
        <v>1.1480000000000001</v>
      </c>
      <c r="T360" s="176" t="s">
        <v>31</v>
      </c>
      <c r="U360" s="198" t="s">
        <v>569</v>
      </c>
      <c r="V360" s="15"/>
      <c r="W360" s="15"/>
      <c r="X360" s="15">
        <v>231.88</v>
      </c>
      <c r="Y360" s="15">
        <v>2.31</v>
      </c>
      <c r="Z360" s="15">
        <v>27.89</v>
      </c>
      <c r="AA360" s="15">
        <f t="shared" si="120"/>
        <v>30.2</v>
      </c>
      <c r="AB360" s="23">
        <f t="shared" si="141"/>
        <v>235.04980000000003</v>
      </c>
      <c r="AC360" s="15"/>
      <c r="AD360" s="15">
        <v>171.11</v>
      </c>
      <c r="AE360" s="15"/>
      <c r="AF360" s="15">
        <v>1849.49</v>
      </c>
      <c r="AG360" s="15"/>
      <c r="AH360" s="15">
        <v>831.91</v>
      </c>
      <c r="AI360" s="15"/>
      <c r="AJ360" s="15">
        <f>SUM(AD360:AI360)</f>
        <v>2852.5099999999998</v>
      </c>
      <c r="AK360" s="15">
        <f>AJ360/1000</f>
        <v>2.8525099999999997</v>
      </c>
      <c r="AL360" s="177"/>
      <c r="AM360" s="137" t="s">
        <v>20</v>
      </c>
      <c r="AN360" s="131" t="s">
        <v>540</v>
      </c>
      <c r="AO360" s="131" t="s">
        <v>21</v>
      </c>
      <c r="AP360" s="349">
        <f>AQ360-2</f>
        <v>45743</v>
      </c>
      <c r="AQ360" s="349">
        <f>AR360-3</f>
        <v>45745</v>
      </c>
      <c r="AR360" s="349">
        <f>AS360-2</f>
        <v>45748</v>
      </c>
      <c r="AS360" s="530">
        <v>45750</v>
      </c>
      <c r="AT360" s="25" t="s">
        <v>589</v>
      </c>
      <c r="AU360" s="183"/>
      <c r="AV360" s="137" t="s">
        <v>20</v>
      </c>
      <c r="AW360" s="15" t="s">
        <v>6</v>
      </c>
      <c r="AX360" s="278">
        <f>AY360</f>
        <v>45754</v>
      </c>
      <c r="AY360" s="278">
        <v>45754</v>
      </c>
      <c r="AZ360" s="19" t="s">
        <v>539</v>
      </c>
      <c r="BA360" s="194"/>
      <c r="BB360" s="137" t="s">
        <v>20</v>
      </c>
      <c r="BC360" s="131"/>
      <c r="BD360" s="131" t="s">
        <v>571</v>
      </c>
      <c r="BE360" s="279">
        <f>BF360-2</f>
        <v>45862</v>
      </c>
      <c r="BF360" s="279">
        <v>45864</v>
      </c>
      <c r="BG360" s="17" t="s">
        <v>548</v>
      </c>
      <c r="BH360" s="177"/>
      <c r="BI360" s="137" t="s">
        <v>20</v>
      </c>
      <c r="BJ360" s="131"/>
      <c r="BK360" s="131"/>
      <c r="BL360" s="134"/>
      <c r="BM360" s="24"/>
      <c r="BN360" s="131"/>
    </row>
    <row r="361" spans="1:66" ht="14.25" customHeight="1">
      <c r="A361" s="15" t="s">
        <v>0</v>
      </c>
      <c r="B361" s="19"/>
      <c r="C361" s="179"/>
      <c r="D361" s="130"/>
      <c r="E361" s="130"/>
      <c r="F361" s="130"/>
      <c r="G361" s="130"/>
      <c r="H361" s="180"/>
      <c r="I361" s="19"/>
      <c r="J361" s="19"/>
      <c r="K361" s="181"/>
      <c r="L361" s="173"/>
      <c r="M361" s="15"/>
      <c r="N361" s="15"/>
      <c r="O361" s="15"/>
      <c r="P361" s="175"/>
      <c r="Q361" s="173"/>
      <c r="R361" s="15"/>
      <c r="S361" s="175"/>
      <c r="T361" s="176"/>
      <c r="U361" s="176"/>
      <c r="V361" s="16">
        <v>77.015000000000001</v>
      </c>
      <c r="W361" s="15" t="s">
        <v>500</v>
      </c>
      <c r="X361" s="15"/>
      <c r="Y361" s="15"/>
      <c r="Z361" s="15"/>
      <c r="AA361" s="15"/>
      <c r="AB361" s="23">
        <f t="shared" si="141"/>
        <v>0</v>
      </c>
      <c r="AC361" s="15"/>
      <c r="AD361" s="15"/>
      <c r="AE361" s="15"/>
      <c r="AF361" s="15"/>
      <c r="AG361" s="15"/>
      <c r="AH361" s="15"/>
      <c r="AI361" s="15"/>
      <c r="AJ361" s="15"/>
      <c r="AK361" s="15"/>
      <c r="AL361" s="177"/>
      <c r="AM361" s="15"/>
      <c r="AN361" s="24"/>
      <c r="AO361" s="24"/>
      <c r="AP361" s="24"/>
      <c r="AQ361" s="24"/>
      <c r="AR361" s="24"/>
      <c r="AS361" s="25"/>
      <c r="AT361" s="25"/>
      <c r="AU361" s="178"/>
      <c r="AV361" s="15"/>
      <c r="AW361" s="24"/>
      <c r="AX361" s="278"/>
      <c r="AY361" s="278"/>
      <c r="AZ361" s="24"/>
      <c r="BA361" s="178"/>
      <c r="BB361" s="15"/>
      <c r="BC361" s="24"/>
      <c r="BD361" s="24"/>
      <c r="BE361" s="24"/>
      <c r="BF361" s="24"/>
      <c r="BG361" s="24"/>
      <c r="BH361" s="178"/>
      <c r="BI361" s="24"/>
      <c r="BJ361" s="24"/>
      <c r="BK361" s="24"/>
      <c r="BL361" s="24"/>
      <c r="BM361" s="24"/>
      <c r="BN361" s="24"/>
    </row>
    <row r="362" spans="1:66" ht="14.25" customHeight="1">
      <c r="A362" s="15">
        <f t="shared" si="132"/>
        <v>177</v>
      </c>
      <c r="B362" s="19" t="s">
        <v>266</v>
      </c>
      <c r="C362" s="179" t="s">
        <v>34</v>
      </c>
      <c r="D362" s="130">
        <v>9.6539999999999999</v>
      </c>
      <c r="E362" s="130">
        <f>D362*4</f>
        <v>38.616</v>
      </c>
      <c r="F362" s="130">
        <f>E362*8</f>
        <v>308.928</v>
      </c>
      <c r="G362" s="130">
        <v>1</v>
      </c>
      <c r="H362" s="180">
        <v>3</v>
      </c>
      <c r="I362" s="19">
        <v>3</v>
      </c>
      <c r="J362" s="19">
        <v>3</v>
      </c>
      <c r="K362" s="181">
        <v>3</v>
      </c>
      <c r="L362" s="173">
        <v>4.8070000000000004</v>
      </c>
      <c r="M362" s="15">
        <v>4.016</v>
      </c>
      <c r="N362" s="15">
        <v>7.0000000000000001E-3</v>
      </c>
      <c r="O362" s="15">
        <v>0.43099999999999999</v>
      </c>
      <c r="P362" s="175">
        <f t="shared" si="123"/>
        <v>9.2609999999999992</v>
      </c>
      <c r="Q362" s="173">
        <v>0.55700000000000005</v>
      </c>
      <c r="R362" s="15">
        <v>0.01</v>
      </c>
      <c r="S362" s="175">
        <f t="shared" si="119"/>
        <v>0.56700000000000006</v>
      </c>
      <c r="T362" s="176" t="s">
        <v>31</v>
      </c>
      <c r="U362" s="198" t="s">
        <v>569</v>
      </c>
      <c r="V362" s="15"/>
      <c r="W362" s="15"/>
      <c r="X362" s="15">
        <v>231.88</v>
      </c>
      <c r="Y362" s="15">
        <v>2.0499999999999998</v>
      </c>
      <c r="Z362" s="15">
        <v>18.37</v>
      </c>
      <c r="AA362" s="15">
        <f t="shared" si="120"/>
        <v>20.420000000000002</v>
      </c>
      <c r="AB362" s="23">
        <f t="shared" si="141"/>
        <v>157.16420000000002</v>
      </c>
      <c r="AC362" s="15"/>
      <c r="AD362" s="15">
        <v>171.11</v>
      </c>
      <c r="AE362" s="15"/>
      <c r="AF362" s="15">
        <v>1849.49</v>
      </c>
      <c r="AG362" s="15"/>
      <c r="AH362" s="15">
        <v>831.91</v>
      </c>
      <c r="AI362" s="15"/>
      <c r="AJ362" s="15">
        <f>SUM(AD362:AI362)</f>
        <v>2852.5099999999998</v>
      </c>
      <c r="AK362" s="15">
        <f>AJ362/1000</f>
        <v>2.8525099999999997</v>
      </c>
      <c r="AL362" s="177"/>
      <c r="AM362" s="137" t="s">
        <v>20</v>
      </c>
      <c r="AN362" s="131" t="s">
        <v>540</v>
      </c>
      <c r="AO362" s="131" t="s">
        <v>21</v>
      </c>
      <c r="AP362" s="349">
        <f>AQ362-1</f>
        <v>45797</v>
      </c>
      <c r="AQ362" s="349">
        <f t="shared" ref="AQ362" si="145">AR362-2</f>
        <v>45798</v>
      </c>
      <c r="AR362" s="349">
        <f t="shared" ref="AR362" si="146">AS362-2</f>
        <v>45800</v>
      </c>
      <c r="AS362" s="530">
        <v>45802</v>
      </c>
      <c r="AT362" s="25" t="s">
        <v>589</v>
      </c>
      <c r="AU362" s="183"/>
      <c r="AV362" s="137" t="s">
        <v>20</v>
      </c>
      <c r="AW362" s="15" t="s">
        <v>6</v>
      </c>
      <c r="AX362" s="278">
        <f>AY362</f>
        <v>45813</v>
      </c>
      <c r="AY362" s="278">
        <v>45813</v>
      </c>
      <c r="AZ362" s="24" t="str">
        <f>AT362</f>
        <v xml:space="preserve">Shree Bayo </v>
      </c>
      <c r="BA362" s="178"/>
      <c r="BB362" s="137" t="s">
        <v>20</v>
      </c>
      <c r="BC362" s="131" t="s">
        <v>540</v>
      </c>
      <c r="BD362" s="131" t="s">
        <v>21</v>
      </c>
      <c r="BE362" s="279">
        <f>BF362-2</f>
        <v>45823</v>
      </c>
      <c r="BF362" s="279">
        <v>45825</v>
      </c>
      <c r="BG362" s="17" t="s">
        <v>506</v>
      </c>
      <c r="BH362" s="177"/>
      <c r="BI362" s="137" t="s">
        <v>20</v>
      </c>
      <c r="BJ362" s="131"/>
      <c r="BK362" s="131"/>
      <c r="BL362" s="25">
        <v>1202</v>
      </c>
      <c r="BM362" s="24"/>
      <c r="BN362" s="192" t="s">
        <v>552</v>
      </c>
    </row>
    <row r="363" spans="1:66" ht="14.25" customHeight="1">
      <c r="A363" s="15" t="s">
        <v>0</v>
      </c>
      <c r="B363" s="19"/>
      <c r="C363" s="179"/>
      <c r="D363" s="130"/>
      <c r="E363" s="130"/>
      <c r="F363" s="130"/>
      <c r="G363" s="130"/>
      <c r="H363" s="180"/>
      <c r="I363" s="19"/>
      <c r="J363" s="19"/>
      <c r="K363" s="181"/>
      <c r="L363" s="173"/>
      <c r="M363" s="15"/>
      <c r="N363" s="15"/>
      <c r="O363" s="15"/>
      <c r="P363" s="175"/>
      <c r="Q363" s="173"/>
      <c r="R363" s="15"/>
      <c r="S363" s="175"/>
      <c r="T363" s="176"/>
      <c r="U363" s="176"/>
      <c r="V363" s="16">
        <v>42.265999999999998</v>
      </c>
      <c r="W363" s="15" t="s">
        <v>500</v>
      </c>
      <c r="X363" s="15"/>
      <c r="Y363" s="15"/>
      <c r="Z363" s="15"/>
      <c r="AA363" s="15"/>
      <c r="AB363" s="23">
        <f t="shared" si="141"/>
        <v>0</v>
      </c>
      <c r="AC363" s="15"/>
      <c r="AD363" s="15"/>
      <c r="AE363" s="15"/>
      <c r="AF363" s="15"/>
      <c r="AG363" s="15"/>
      <c r="AH363" s="15"/>
      <c r="AI363" s="15"/>
      <c r="AJ363" s="15"/>
      <c r="AK363" s="15"/>
      <c r="AL363" s="177"/>
      <c r="AM363" s="15"/>
      <c r="AN363" s="24"/>
      <c r="AO363" s="24"/>
      <c r="AP363" s="24"/>
      <c r="AQ363" s="24"/>
      <c r="AR363" s="24"/>
      <c r="AS363" s="25"/>
      <c r="AT363" s="25"/>
      <c r="AU363" s="178"/>
      <c r="AV363" s="15"/>
      <c r="AW363" s="24"/>
      <c r="AX363" s="278"/>
      <c r="AY363" s="278"/>
      <c r="AZ363" s="24"/>
      <c r="BA363" s="178"/>
      <c r="BB363" s="15"/>
      <c r="BC363" s="24"/>
      <c r="BD363" s="24"/>
      <c r="BE363" s="24"/>
      <c r="BF363" s="24"/>
      <c r="BG363" s="24"/>
      <c r="BH363" s="178"/>
      <c r="BI363" s="24"/>
      <c r="BJ363" s="24"/>
      <c r="BK363" s="24"/>
      <c r="BL363" s="24"/>
      <c r="BM363" s="24"/>
      <c r="BN363" s="24"/>
    </row>
    <row r="364" spans="1:66" ht="14.25" customHeight="1">
      <c r="A364" s="15">
        <f t="shared" si="132"/>
        <v>178</v>
      </c>
      <c r="B364" s="19" t="s">
        <v>267</v>
      </c>
      <c r="C364" s="179" t="s">
        <v>268</v>
      </c>
      <c r="D364" s="130"/>
      <c r="E364" s="130">
        <f>D364*4</f>
        <v>0</v>
      </c>
      <c r="F364" s="130">
        <f>4.5*4*3</f>
        <v>54</v>
      </c>
      <c r="G364" s="130"/>
      <c r="H364" s="180"/>
      <c r="I364" s="19"/>
      <c r="J364" s="19"/>
      <c r="K364" s="181"/>
      <c r="L364" s="173">
        <v>3.738</v>
      </c>
      <c r="M364" s="15">
        <v>1.944</v>
      </c>
      <c r="N364" s="15">
        <v>1.4999999999999999E-2</v>
      </c>
      <c r="O364" s="15">
        <v>0.36699999999999999</v>
      </c>
      <c r="P364" s="175">
        <f t="shared" si="123"/>
        <v>6.0640000000000001</v>
      </c>
      <c r="Q364" s="173">
        <v>0.68300000000000005</v>
      </c>
      <c r="R364" s="15">
        <v>1.4999999999999999E-2</v>
      </c>
      <c r="S364" s="175">
        <f t="shared" si="119"/>
        <v>0.69800000000000006</v>
      </c>
      <c r="T364" s="176" t="s">
        <v>31</v>
      </c>
      <c r="U364" s="198" t="s">
        <v>569</v>
      </c>
      <c r="V364" s="15"/>
      <c r="W364" s="15"/>
      <c r="X364" s="15">
        <v>119.36</v>
      </c>
      <c r="Y364" s="15">
        <v>4.5</v>
      </c>
      <c r="Z364" s="15">
        <v>43.8</v>
      </c>
      <c r="AA364" s="15">
        <f t="shared" si="120"/>
        <v>48.3</v>
      </c>
      <c r="AB364" s="23">
        <f t="shared" si="141"/>
        <v>373.00800000000004</v>
      </c>
      <c r="AC364" s="15">
        <v>7858.2100000000009</v>
      </c>
      <c r="AD364" s="15">
        <v>89.9</v>
      </c>
      <c r="AE364" s="15"/>
      <c r="AF364" s="15">
        <v>1115.3400000000001</v>
      </c>
      <c r="AG364" s="15">
        <v>198.68</v>
      </c>
      <c r="AH364" s="15"/>
      <c r="AI364" s="15"/>
      <c r="AJ364" s="15">
        <v>1403.9200000000003</v>
      </c>
      <c r="AK364" s="15">
        <v>1.4039200000000003</v>
      </c>
      <c r="AL364" s="177"/>
      <c r="AM364" s="137" t="s">
        <v>20</v>
      </c>
      <c r="AN364" s="131"/>
      <c r="AO364" s="131"/>
      <c r="AP364" s="349">
        <f>AR364-15</f>
        <v>45783</v>
      </c>
      <c r="AQ364" s="349">
        <f>AR364-9</f>
        <v>45789</v>
      </c>
      <c r="AR364" s="349">
        <f>AS364-3</f>
        <v>45798</v>
      </c>
      <c r="AS364" s="530">
        <v>45801</v>
      </c>
      <c r="AT364" s="15" t="s">
        <v>539</v>
      </c>
      <c r="AU364" s="194"/>
      <c r="AV364" s="137" t="s">
        <v>20</v>
      </c>
      <c r="AW364" s="15"/>
      <c r="AX364" s="278"/>
      <c r="AY364" s="278"/>
      <c r="AZ364" s="19"/>
      <c r="BA364" s="194"/>
      <c r="BB364" s="137" t="s">
        <v>20</v>
      </c>
      <c r="BC364" s="131"/>
      <c r="BD364" s="131"/>
      <c r="BE364" s="279">
        <v>45948</v>
      </c>
      <c r="BF364" s="279">
        <v>45952</v>
      </c>
      <c r="BG364" s="17" t="s">
        <v>506</v>
      </c>
      <c r="BH364" s="177"/>
      <c r="BI364" s="137" t="s">
        <v>20</v>
      </c>
      <c r="BJ364" s="131"/>
      <c r="BK364" s="131"/>
      <c r="BL364" s="134"/>
      <c r="BM364" s="24" t="s">
        <v>709</v>
      </c>
      <c r="BN364" s="192" t="s">
        <v>552</v>
      </c>
    </row>
    <row r="365" spans="1:66" ht="14.25" customHeight="1">
      <c r="A365" s="15" t="s">
        <v>0</v>
      </c>
      <c r="B365" s="19"/>
      <c r="C365" s="179"/>
      <c r="D365" s="130"/>
      <c r="E365" s="130"/>
      <c r="F365" s="130"/>
      <c r="G365" s="130"/>
      <c r="H365" s="180"/>
      <c r="I365" s="19"/>
      <c r="J365" s="19"/>
      <c r="K365" s="181"/>
      <c r="L365" s="173"/>
      <c r="M365" s="15"/>
      <c r="N365" s="15"/>
      <c r="O365" s="15"/>
      <c r="P365" s="175"/>
      <c r="Q365" s="173"/>
      <c r="R365" s="15"/>
      <c r="S365" s="175"/>
      <c r="T365" s="176"/>
      <c r="U365" s="176"/>
      <c r="V365" s="16">
        <v>54.573</v>
      </c>
      <c r="W365" s="15" t="s">
        <v>537</v>
      </c>
      <c r="X365" s="15"/>
      <c r="Y365" s="15"/>
      <c r="Z365" s="15"/>
      <c r="AA365" s="15"/>
      <c r="AB365" s="23">
        <f t="shared" si="141"/>
        <v>0</v>
      </c>
      <c r="AC365" s="15"/>
      <c r="AD365" s="15"/>
      <c r="AE365" s="15"/>
      <c r="AF365" s="15"/>
      <c r="AG365" s="15"/>
      <c r="AH365" s="15"/>
      <c r="AI365" s="15"/>
      <c r="AJ365" s="15"/>
      <c r="AK365" s="15"/>
      <c r="AL365" s="177"/>
      <c r="AM365" s="15"/>
      <c r="AN365" s="24"/>
      <c r="AO365" s="24"/>
      <c r="AP365" s="24"/>
      <c r="AQ365" s="24"/>
      <c r="AR365" s="24"/>
      <c r="AS365" s="25"/>
      <c r="AT365" s="25"/>
      <c r="AU365" s="178"/>
      <c r="AV365" s="15"/>
      <c r="AW365" s="24"/>
      <c r="AX365" s="278"/>
      <c r="AY365" s="278"/>
      <c r="AZ365" s="24"/>
      <c r="BA365" s="178"/>
      <c r="BB365" s="15"/>
      <c r="BC365" s="24"/>
      <c r="BD365" s="24"/>
      <c r="BE365" s="24"/>
      <c r="BF365" s="24"/>
      <c r="BG365" s="24"/>
      <c r="BH365" s="178"/>
      <c r="BI365" s="24"/>
      <c r="BJ365" s="24"/>
      <c r="BK365" s="24"/>
      <c r="BL365" s="24"/>
      <c r="BM365" s="24"/>
      <c r="BN365" s="24"/>
    </row>
    <row r="366" spans="1:66" ht="14.25" customHeight="1">
      <c r="A366" s="15">
        <f t="shared" si="132"/>
        <v>179</v>
      </c>
      <c r="B366" s="454" t="s">
        <v>269</v>
      </c>
      <c r="C366" s="179" t="s">
        <v>268</v>
      </c>
      <c r="D366" s="130"/>
      <c r="E366" s="130">
        <f>D366*4</f>
        <v>0</v>
      </c>
      <c r="F366" s="130">
        <f>4.5*4*3</f>
        <v>54</v>
      </c>
      <c r="G366" s="130"/>
      <c r="H366" s="180"/>
      <c r="I366" s="19"/>
      <c r="J366" s="19"/>
      <c r="K366" s="181"/>
      <c r="L366" s="173">
        <v>3.738</v>
      </c>
      <c r="M366" s="15">
        <v>1.944</v>
      </c>
      <c r="N366" s="15">
        <v>1.4999999999999999E-2</v>
      </c>
      <c r="O366" s="15">
        <v>0.36699999999999999</v>
      </c>
      <c r="P366" s="175">
        <f t="shared" si="123"/>
        <v>6.0640000000000001</v>
      </c>
      <c r="Q366" s="173">
        <v>0.68300000000000005</v>
      </c>
      <c r="R366" s="15">
        <v>1.4999999999999999E-2</v>
      </c>
      <c r="S366" s="175">
        <f t="shared" si="119"/>
        <v>0.69800000000000006</v>
      </c>
      <c r="T366" s="176" t="s">
        <v>31</v>
      </c>
      <c r="U366" s="198" t="s">
        <v>569</v>
      </c>
      <c r="V366" s="15"/>
      <c r="W366" s="15"/>
      <c r="X366" s="15">
        <v>351</v>
      </c>
      <c r="Y366" s="15">
        <v>4.5</v>
      </c>
      <c r="Z366" s="15">
        <v>43.8</v>
      </c>
      <c r="AA366" s="15">
        <f t="shared" si="120"/>
        <v>48.3</v>
      </c>
      <c r="AB366" s="23">
        <f t="shared" si="141"/>
        <v>373.00800000000004</v>
      </c>
      <c r="AC366" s="15"/>
      <c r="AD366" s="15">
        <v>211.2</v>
      </c>
      <c r="AE366" s="15"/>
      <c r="AF366" s="15">
        <v>2410.4</v>
      </c>
      <c r="AG366" s="15"/>
      <c r="AH366" s="15"/>
      <c r="AI366" s="15">
        <v>1552.2</v>
      </c>
      <c r="AJ366" s="15">
        <f>SUM(AD366:AI366)</f>
        <v>4173.8</v>
      </c>
      <c r="AK366" s="15">
        <f>AJ366/1000</f>
        <v>4.1738</v>
      </c>
      <c r="AL366" s="177"/>
      <c r="AM366" s="137" t="s">
        <v>20</v>
      </c>
      <c r="AN366" s="131"/>
      <c r="AO366" s="131"/>
      <c r="AP366" s="349">
        <f t="shared" ref="AP366" si="147">AQ366-5</f>
        <v>45824</v>
      </c>
      <c r="AQ366" s="349">
        <f t="shared" ref="AQ366" si="148">AR366-5</f>
        <v>45829</v>
      </c>
      <c r="AR366" s="349">
        <f>AS366-3</f>
        <v>45834</v>
      </c>
      <c r="AS366" s="530">
        <v>45837</v>
      </c>
      <c r="AT366" s="15" t="s">
        <v>539</v>
      </c>
      <c r="AU366" s="194"/>
      <c r="AV366" s="137" t="s">
        <v>20</v>
      </c>
      <c r="AW366" s="15"/>
      <c r="AX366" s="278">
        <f>AS366+10</f>
        <v>45847</v>
      </c>
      <c r="AY366" s="278">
        <f>AX366</f>
        <v>45847</v>
      </c>
      <c r="AZ366" s="19" t="s">
        <v>539</v>
      </c>
      <c r="BA366" s="194"/>
      <c r="BB366" s="137" t="s">
        <v>20</v>
      </c>
      <c r="BC366" s="131"/>
      <c r="BD366" s="131"/>
      <c r="BE366" s="279">
        <f>BF366-3</f>
        <v>45883</v>
      </c>
      <c r="BF366" s="279">
        <v>45886</v>
      </c>
      <c r="BG366" s="15" t="s">
        <v>548</v>
      </c>
      <c r="BH366" s="177"/>
      <c r="BI366" s="137" t="s">
        <v>20</v>
      </c>
      <c r="BJ366" s="131"/>
      <c r="BK366" s="131"/>
      <c r="BL366" s="134"/>
      <c r="BM366" s="24"/>
      <c r="BN366" s="131"/>
    </row>
    <row r="367" spans="1:66" ht="14.25" customHeight="1">
      <c r="A367" s="15" t="s">
        <v>0</v>
      </c>
      <c r="B367" s="19"/>
      <c r="C367" s="179"/>
      <c r="D367" s="130"/>
      <c r="E367" s="130"/>
      <c r="F367" s="130"/>
      <c r="G367" s="130"/>
      <c r="H367" s="180"/>
      <c r="I367" s="19"/>
      <c r="J367" s="19"/>
      <c r="K367" s="181"/>
      <c r="L367" s="173"/>
      <c r="M367" s="15"/>
      <c r="N367" s="15"/>
      <c r="O367" s="15"/>
      <c r="P367" s="175"/>
      <c r="Q367" s="173"/>
      <c r="R367" s="15"/>
      <c r="S367" s="175"/>
      <c r="T367" s="176"/>
      <c r="U367" s="176"/>
      <c r="V367" s="16">
        <v>41.886000000000003</v>
      </c>
      <c r="W367" s="15" t="s">
        <v>537</v>
      </c>
      <c r="X367" s="15"/>
      <c r="Y367" s="15"/>
      <c r="Z367" s="15"/>
      <c r="AA367" s="15"/>
      <c r="AB367" s="23">
        <f t="shared" si="141"/>
        <v>0</v>
      </c>
      <c r="AC367" s="15"/>
      <c r="AD367" s="15"/>
      <c r="AE367" s="15"/>
      <c r="AF367" s="15"/>
      <c r="AG367" s="15"/>
      <c r="AH367" s="15"/>
      <c r="AI367" s="15"/>
      <c r="AJ367" s="15"/>
      <c r="AK367" s="15"/>
      <c r="AL367" s="177"/>
      <c r="AM367" s="15"/>
      <c r="AN367" s="24"/>
      <c r="AO367" s="24"/>
      <c r="AP367" s="24"/>
      <c r="AQ367" s="24"/>
      <c r="AR367" s="24"/>
      <c r="AS367" s="25"/>
      <c r="AT367" s="25"/>
      <c r="AU367" s="178"/>
      <c r="AV367" s="15"/>
      <c r="AW367" s="24"/>
      <c r="AX367" s="278"/>
      <c r="AY367" s="278"/>
      <c r="AZ367" s="24"/>
      <c r="BA367" s="178"/>
      <c r="BB367" s="15"/>
      <c r="BC367" s="24"/>
      <c r="BD367" s="24"/>
      <c r="BE367" s="24"/>
      <c r="BF367" s="24"/>
      <c r="BG367" s="24"/>
      <c r="BH367" s="178"/>
      <c r="BI367" s="24"/>
      <c r="BJ367" s="24"/>
      <c r="BK367" s="24"/>
      <c r="BL367" s="24"/>
      <c r="BM367" s="24"/>
      <c r="BN367" s="24"/>
    </row>
    <row r="368" spans="1:66" ht="14.25" customHeight="1">
      <c r="A368" s="15">
        <f t="shared" si="132"/>
        <v>180</v>
      </c>
      <c r="B368" s="19" t="s">
        <v>271</v>
      </c>
      <c r="C368" s="179" t="s">
        <v>51</v>
      </c>
      <c r="D368" s="130">
        <v>10.82</v>
      </c>
      <c r="E368" s="130">
        <f>D368*4</f>
        <v>43.28</v>
      </c>
      <c r="F368" s="130">
        <f>E368*8</f>
        <v>346.24</v>
      </c>
      <c r="G368" s="130"/>
      <c r="H368" s="180"/>
      <c r="I368" s="19"/>
      <c r="J368" s="19"/>
      <c r="K368" s="181"/>
      <c r="L368" s="173">
        <v>5.4920000000000009</v>
      </c>
      <c r="M368" s="15">
        <v>5.0969999999999995</v>
      </c>
      <c r="N368" s="15">
        <v>7.7999999999999996E-3</v>
      </c>
      <c r="O368" s="15">
        <v>0.502</v>
      </c>
      <c r="P368" s="175">
        <f t="shared" si="123"/>
        <v>11.098800000000001</v>
      </c>
      <c r="Q368" s="173">
        <v>0.55700000000000005</v>
      </c>
      <c r="R368" s="15">
        <v>0.01</v>
      </c>
      <c r="S368" s="175">
        <f t="shared" si="119"/>
        <v>0.56700000000000006</v>
      </c>
      <c r="T368" s="176" t="s">
        <v>31</v>
      </c>
      <c r="U368" s="198" t="s">
        <v>569</v>
      </c>
      <c r="V368" s="15"/>
      <c r="W368" s="15"/>
      <c r="X368" s="15">
        <v>351</v>
      </c>
      <c r="Y368" s="15">
        <v>2.0499999999999998</v>
      </c>
      <c r="Z368" s="15">
        <v>18.37</v>
      </c>
      <c r="AA368" s="15">
        <f t="shared" si="120"/>
        <v>20.420000000000002</v>
      </c>
      <c r="AB368" s="23">
        <f t="shared" si="141"/>
        <v>157.16420000000002</v>
      </c>
      <c r="AC368" s="15"/>
      <c r="AD368" s="15">
        <v>211.2</v>
      </c>
      <c r="AE368" s="15"/>
      <c r="AF368" s="15">
        <v>2410.4</v>
      </c>
      <c r="AG368" s="15"/>
      <c r="AH368" s="15"/>
      <c r="AI368" s="15">
        <v>1552.2</v>
      </c>
      <c r="AJ368" s="15">
        <f>SUM(AD368:AI368)</f>
        <v>4173.8</v>
      </c>
      <c r="AK368" s="15">
        <f>AJ368/1000</f>
        <v>4.1738</v>
      </c>
      <c r="AL368" s="177"/>
      <c r="AM368" s="137" t="s">
        <v>20</v>
      </c>
      <c r="AN368" s="131" t="s">
        <v>21</v>
      </c>
      <c r="AO368" s="131" t="s">
        <v>21</v>
      </c>
      <c r="AP368" s="349">
        <f>AQ368-3</f>
        <v>45784</v>
      </c>
      <c r="AQ368" s="349">
        <f t="shared" ref="AQ368" si="149">AR368-2</f>
        <v>45787</v>
      </c>
      <c r="AR368" s="349">
        <f t="shared" ref="AR368" si="150">AS368-2</f>
        <v>45789</v>
      </c>
      <c r="AS368" s="530">
        <v>45791</v>
      </c>
      <c r="AT368" s="15" t="s">
        <v>539</v>
      </c>
      <c r="AU368" s="194"/>
      <c r="AV368" s="137" t="s">
        <v>20</v>
      </c>
      <c r="AW368" s="15" t="s">
        <v>6</v>
      </c>
      <c r="AX368" s="278">
        <f>AY368</f>
        <v>45798</v>
      </c>
      <c r="AY368" s="278">
        <f>AS368+7</f>
        <v>45798</v>
      </c>
      <c r="AZ368" s="24" t="str">
        <f>AT368</f>
        <v>Ram Singh-1</v>
      </c>
      <c r="BA368" s="178"/>
      <c r="BB368" s="137" t="s">
        <v>20</v>
      </c>
      <c r="BC368" s="131" t="s">
        <v>540</v>
      </c>
      <c r="BD368" s="131" t="s">
        <v>560</v>
      </c>
      <c r="BE368" s="279">
        <f>BF368-2</f>
        <v>45821</v>
      </c>
      <c r="BF368" s="279">
        <v>45823</v>
      </c>
      <c r="BG368" s="17" t="s">
        <v>506</v>
      </c>
      <c r="BH368" s="177"/>
      <c r="BI368" s="137" t="s">
        <v>20</v>
      </c>
      <c r="BJ368" s="131"/>
      <c r="BK368" s="131"/>
      <c r="BL368" s="25">
        <v>1552</v>
      </c>
      <c r="BM368" s="24"/>
      <c r="BN368" s="15"/>
    </row>
    <row r="369" spans="1:66" ht="14.25" customHeight="1">
      <c r="A369" s="15" t="s">
        <v>0</v>
      </c>
      <c r="B369" s="19"/>
      <c r="C369" s="179"/>
      <c r="D369" s="130"/>
      <c r="E369" s="130"/>
      <c r="F369" s="130"/>
      <c r="G369" s="130"/>
      <c r="H369" s="180"/>
      <c r="I369" s="19"/>
      <c r="J369" s="19"/>
      <c r="K369" s="181"/>
      <c r="L369" s="173"/>
      <c r="M369" s="15"/>
      <c r="N369" s="15"/>
      <c r="O369" s="15"/>
      <c r="P369" s="175"/>
      <c r="Q369" s="173"/>
      <c r="R369" s="15"/>
      <c r="S369" s="175"/>
      <c r="T369" s="176"/>
      <c r="U369" s="176"/>
      <c r="V369" s="16">
        <v>353.28399999999999</v>
      </c>
      <c r="W369" s="15" t="s">
        <v>500</v>
      </c>
      <c r="X369" s="15"/>
      <c r="Y369" s="15"/>
      <c r="Z369" s="15"/>
      <c r="AA369" s="15"/>
      <c r="AB369" s="23">
        <f t="shared" si="141"/>
        <v>0</v>
      </c>
      <c r="AC369" s="15"/>
      <c r="AD369" s="15"/>
      <c r="AE369" s="15"/>
      <c r="AF369" s="15"/>
      <c r="AG369" s="15"/>
      <c r="AH369" s="15"/>
      <c r="AI369" s="15"/>
      <c r="AJ369" s="15"/>
      <c r="AK369" s="15"/>
      <c r="AL369" s="177"/>
      <c r="AM369" s="15"/>
      <c r="AN369" s="24"/>
      <c r="AO369" s="24"/>
      <c r="AP369" s="24"/>
      <c r="AQ369" s="24"/>
      <c r="AR369" s="24"/>
      <c r="AS369" s="25"/>
      <c r="AT369" s="25"/>
      <c r="AU369" s="178"/>
      <c r="AV369" s="15"/>
      <c r="AW369" s="24"/>
      <c r="AX369" s="278"/>
      <c r="AY369" s="278"/>
      <c r="AZ369" s="24"/>
      <c r="BA369" s="178"/>
      <c r="BB369" s="15"/>
      <c r="BC369" s="24"/>
      <c r="BD369" s="24"/>
      <c r="BE369" s="24"/>
      <c r="BF369" s="24"/>
      <c r="BG369" s="24"/>
      <c r="BH369" s="178"/>
      <c r="BI369" s="24"/>
      <c r="BJ369" s="24"/>
      <c r="BK369" s="24"/>
      <c r="BL369" s="24"/>
      <c r="BM369" s="24"/>
      <c r="BN369" s="24"/>
    </row>
    <row r="370" spans="1:66" ht="14.25" customHeight="1">
      <c r="A370" s="15">
        <f t="shared" si="132"/>
        <v>181</v>
      </c>
      <c r="B370" s="19" t="s">
        <v>273</v>
      </c>
      <c r="C370" s="179" t="s">
        <v>116</v>
      </c>
      <c r="D370" s="130">
        <v>10.462</v>
      </c>
      <c r="E370" s="130">
        <f>D370*4</f>
        <v>41.847999999999999</v>
      </c>
      <c r="F370" s="130">
        <f>E370*8</f>
        <v>334.78399999999999</v>
      </c>
      <c r="G370" s="130"/>
      <c r="H370" s="180"/>
      <c r="I370" s="19"/>
      <c r="J370" s="19"/>
      <c r="K370" s="181"/>
      <c r="L370" s="173">
        <v>5.2010000000000005</v>
      </c>
      <c r="M370" s="15">
        <v>4.1459999999999999</v>
      </c>
      <c r="N370" s="15">
        <v>6.7000000000000002E-3</v>
      </c>
      <c r="O370" s="15">
        <v>0.503</v>
      </c>
      <c r="P370" s="175">
        <f t="shared" si="123"/>
        <v>9.8567000000000018</v>
      </c>
      <c r="Q370" s="173">
        <v>0.436</v>
      </c>
      <c r="R370" s="15">
        <v>0.01</v>
      </c>
      <c r="S370" s="175">
        <f t="shared" si="119"/>
        <v>0.44600000000000001</v>
      </c>
      <c r="T370" s="176" t="s">
        <v>31</v>
      </c>
      <c r="U370" s="198" t="s">
        <v>569</v>
      </c>
      <c r="V370" s="15"/>
      <c r="W370" s="15"/>
      <c r="X370" s="15">
        <v>119.36</v>
      </c>
      <c r="Y370" s="15">
        <v>1.35</v>
      </c>
      <c r="Z370" s="15">
        <v>12.85</v>
      </c>
      <c r="AA370" s="15">
        <f t="shared" si="120"/>
        <v>14.2</v>
      </c>
      <c r="AB370" s="23">
        <f t="shared" si="141"/>
        <v>109.565</v>
      </c>
      <c r="AC370" s="15">
        <v>7858.2100000000009</v>
      </c>
      <c r="AD370" s="15">
        <v>89.9</v>
      </c>
      <c r="AE370" s="15"/>
      <c r="AF370" s="15">
        <v>1115.3400000000001</v>
      </c>
      <c r="AG370" s="15">
        <v>198.68</v>
      </c>
      <c r="AH370" s="15"/>
      <c r="AI370" s="15"/>
      <c r="AJ370" s="15">
        <v>1403.9200000000003</v>
      </c>
      <c r="AK370" s="15">
        <v>1.4039200000000003</v>
      </c>
      <c r="AL370" s="177"/>
      <c r="AM370" s="137" t="s">
        <v>20</v>
      </c>
      <c r="AN370" s="131" t="s">
        <v>540</v>
      </c>
      <c r="AO370" s="131" t="s">
        <v>21</v>
      </c>
      <c r="AP370" s="349">
        <f>AQ370-3</f>
        <v>45780</v>
      </c>
      <c r="AQ370" s="349">
        <f t="shared" ref="AQ370" si="151">AR370-2</f>
        <v>45783</v>
      </c>
      <c r="AR370" s="349">
        <f t="shared" ref="AR370" si="152">AS370-2</f>
        <v>45785</v>
      </c>
      <c r="AS370" s="530">
        <v>45787</v>
      </c>
      <c r="AT370" s="15" t="s">
        <v>539</v>
      </c>
      <c r="AU370" s="194"/>
      <c r="AV370" s="137" t="s">
        <v>20</v>
      </c>
      <c r="AW370" s="15"/>
      <c r="AX370" s="278">
        <f>AS370+10</f>
        <v>45797</v>
      </c>
      <c r="AY370" s="278">
        <f>AX370</f>
        <v>45797</v>
      </c>
      <c r="AZ370" s="19" t="s">
        <v>539</v>
      </c>
      <c r="BA370" s="194"/>
      <c r="BB370" s="137" t="s">
        <v>20</v>
      </c>
      <c r="BC370" s="131"/>
      <c r="BD370" s="131" t="s">
        <v>560</v>
      </c>
      <c r="BE370" s="279">
        <f>BF370-3</f>
        <v>45880</v>
      </c>
      <c r="BF370" s="279">
        <v>45883</v>
      </c>
      <c r="BG370" s="15" t="s">
        <v>548</v>
      </c>
      <c r="BH370" s="177"/>
      <c r="BI370" s="137" t="s">
        <v>20</v>
      </c>
      <c r="BJ370" s="131"/>
      <c r="BK370" s="131"/>
      <c r="BL370" s="25">
        <v>1657</v>
      </c>
      <c r="BM370" s="24" t="s">
        <v>587</v>
      </c>
      <c r="BN370" s="191" t="s">
        <v>552</v>
      </c>
    </row>
    <row r="371" spans="1:66" ht="14.25" customHeight="1">
      <c r="A371" s="15" t="s">
        <v>0</v>
      </c>
      <c r="B371" s="19"/>
      <c r="C371" s="179"/>
      <c r="D371" s="130"/>
      <c r="E371" s="130"/>
      <c r="F371" s="130"/>
      <c r="G371" s="130"/>
      <c r="H371" s="180"/>
      <c r="I371" s="19"/>
      <c r="J371" s="19"/>
      <c r="K371" s="181"/>
      <c r="L371" s="173"/>
      <c r="M371" s="15"/>
      <c r="N371" s="15"/>
      <c r="O371" s="15"/>
      <c r="P371" s="175"/>
      <c r="Q371" s="173"/>
      <c r="R371" s="15"/>
      <c r="S371" s="175"/>
      <c r="T371" s="176"/>
      <c r="U371" s="176"/>
      <c r="V371" s="16">
        <v>393</v>
      </c>
      <c r="W371" s="15" t="s">
        <v>500</v>
      </c>
      <c r="X371" s="15"/>
      <c r="Y371" s="15"/>
      <c r="Z371" s="15"/>
      <c r="AA371" s="15"/>
      <c r="AB371" s="23">
        <f t="shared" si="141"/>
        <v>0</v>
      </c>
      <c r="AC371" s="15"/>
      <c r="AD371" s="15"/>
      <c r="AE371" s="15"/>
      <c r="AF371" s="15"/>
      <c r="AG371" s="15"/>
      <c r="AH371" s="15"/>
      <c r="AI371" s="15"/>
      <c r="AJ371" s="15"/>
      <c r="AK371" s="15"/>
      <c r="AL371" s="177"/>
      <c r="AM371" s="15"/>
      <c r="AN371" s="24"/>
      <c r="AO371" s="24"/>
      <c r="AP371" s="24"/>
      <c r="AQ371" s="24"/>
      <c r="AR371" s="24"/>
      <c r="AS371" s="25"/>
      <c r="AT371" s="25"/>
      <c r="AU371" s="178"/>
      <c r="AV371" s="15"/>
      <c r="AW371" s="24"/>
      <c r="AX371" s="278"/>
      <c r="AY371" s="278"/>
      <c r="AZ371" s="24"/>
      <c r="BA371" s="178"/>
      <c r="BB371" s="15"/>
      <c r="BC371" s="24"/>
      <c r="BD371" s="24"/>
      <c r="BE371" s="24"/>
      <c r="BF371" s="24"/>
      <c r="BG371" s="24"/>
      <c r="BH371" s="178"/>
      <c r="BI371" s="24"/>
      <c r="BJ371" s="24"/>
      <c r="BK371" s="24"/>
      <c r="BL371" s="24"/>
      <c r="BM371" s="24"/>
    </row>
    <row r="372" spans="1:66" ht="14.25" customHeight="1">
      <c r="A372" s="15">
        <f t="shared" si="132"/>
        <v>182</v>
      </c>
      <c r="B372" s="19" t="s">
        <v>274</v>
      </c>
      <c r="C372" s="179" t="s">
        <v>42</v>
      </c>
      <c r="D372" s="130">
        <v>6.3620000000000001</v>
      </c>
      <c r="E372" s="130">
        <f>D372*4</f>
        <v>25.448</v>
      </c>
      <c r="F372" s="130">
        <f>E372*8</f>
        <v>203.584</v>
      </c>
      <c r="G372" s="130"/>
      <c r="H372" s="180"/>
      <c r="I372" s="19"/>
      <c r="J372" s="19"/>
      <c r="K372" s="181"/>
      <c r="L372" s="173">
        <v>2.25</v>
      </c>
      <c r="M372" s="15">
        <v>2.1880000000000002</v>
      </c>
      <c r="N372" s="15">
        <v>2E-3</v>
      </c>
      <c r="O372" s="15">
        <v>0.183</v>
      </c>
      <c r="P372" s="175">
        <f t="shared" si="123"/>
        <v>4.6230000000000002</v>
      </c>
      <c r="Q372" s="173">
        <v>0.24399999999999999</v>
      </c>
      <c r="R372" s="15">
        <v>5.0000000000000001E-3</v>
      </c>
      <c r="S372" s="175">
        <f t="shared" si="119"/>
        <v>0.249</v>
      </c>
      <c r="T372" s="176" t="s">
        <v>31</v>
      </c>
      <c r="U372" s="198" t="s">
        <v>569</v>
      </c>
      <c r="V372" s="15"/>
      <c r="W372" s="15"/>
      <c r="X372" s="15">
        <v>75.36</v>
      </c>
      <c r="Y372" s="15">
        <v>0.8</v>
      </c>
      <c r="Z372" s="15">
        <v>7.8</v>
      </c>
      <c r="AA372" s="15">
        <f t="shared" si="120"/>
        <v>8.6</v>
      </c>
      <c r="AB372" s="23">
        <f t="shared" si="141"/>
        <v>66.42</v>
      </c>
      <c r="AC372" s="15">
        <v>5478.25</v>
      </c>
      <c r="AD372" s="15">
        <v>81.819999999999993</v>
      </c>
      <c r="AE372" s="15">
        <v>599.6</v>
      </c>
      <c r="AF372" s="15"/>
      <c r="AG372" s="15">
        <v>201.4</v>
      </c>
      <c r="AH372" s="15"/>
      <c r="AI372" s="15"/>
      <c r="AJ372" s="15">
        <v>882.82</v>
      </c>
      <c r="AK372" s="15">
        <v>0.88282000000000005</v>
      </c>
      <c r="AL372" s="177"/>
      <c r="AM372" s="137" t="s">
        <v>20</v>
      </c>
      <c r="AN372" s="131" t="s">
        <v>547</v>
      </c>
      <c r="AO372" s="131" t="s">
        <v>21</v>
      </c>
      <c r="AP372" s="349">
        <f t="shared" ref="AP372" si="153">AQ372-2</f>
        <v>45646</v>
      </c>
      <c r="AQ372" s="349">
        <f t="shared" ref="AQ372" si="154">AR372-2</f>
        <v>45648</v>
      </c>
      <c r="AR372" s="349">
        <f t="shared" ref="AR372" si="155">AS372-2</f>
        <v>45650</v>
      </c>
      <c r="AS372" s="530">
        <v>45652</v>
      </c>
      <c r="AT372" s="15" t="s">
        <v>539</v>
      </c>
      <c r="AU372" s="194"/>
      <c r="AV372" s="137" t="s">
        <v>20</v>
      </c>
      <c r="AW372" s="15" t="s">
        <v>6</v>
      </c>
      <c r="AX372" s="278">
        <v>45677</v>
      </c>
      <c r="AY372" s="278">
        <v>45677</v>
      </c>
      <c r="AZ372" s="182" t="s">
        <v>539</v>
      </c>
      <c r="BA372" s="183"/>
      <c r="BB372" s="137" t="s">
        <v>20</v>
      </c>
      <c r="BC372" s="131" t="s">
        <v>540</v>
      </c>
      <c r="BD372" s="131" t="s">
        <v>21</v>
      </c>
      <c r="BE372" s="279">
        <f>BF372-1</f>
        <v>45706</v>
      </c>
      <c r="BF372" s="279">
        <v>45707</v>
      </c>
      <c r="BG372" s="15" t="s">
        <v>575</v>
      </c>
      <c r="BH372" s="177"/>
      <c r="BI372" s="137" t="s">
        <v>20</v>
      </c>
      <c r="BJ372" s="131">
        <v>45810</v>
      </c>
      <c r="BK372" s="131">
        <v>45810</v>
      </c>
      <c r="BL372" s="25">
        <v>980</v>
      </c>
      <c r="BM372" s="24" t="s">
        <v>587</v>
      </c>
    </row>
    <row r="373" spans="1:66" ht="14.25" customHeight="1">
      <c r="A373" s="15" t="s">
        <v>0</v>
      </c>
      <c r="B373" s="19"/>
      <c r="C373" s="179"/>
      <c r="D373" s="130"/>
      <c r="E373" s="130"/>
      <c r="F373" s="130"/>
      <c r="G373" s="130"/>
      <c r="H373" s="180"/>
      <c r="I373" s="19"/>
      <c r="J373" s="19"/>
      <c r="K373" s="181"/>
      <c r="L373" s="173"/>
      <c r="M373" s="15"/>
      <c r="N373" s="15"/>
      <c r="O373" s="15"/>
      <c r="P373" s="175"/>
      <c r="Q373" s="173"/>
      <c r="R373" s="15"/>
      <c r="S373" s="175"/>
      <c r="T373" s="176"/>
      <c r="U373" s="176"/>
      <c r="V373" s="16">
        <v>359</v>
      </c>
      <c r="W373" s="15" t="s">
        <v>500</v>
      </c>
      <c r="X373" s="15"/>
      <c r="Y373" s="15"/>
      <c r="Z373" s="15"/>
      <c r="AA373" s="15"/>
      <c r="AB373" s="23">
        <f t="shared" si="141"/>
        <v>0</v>
      </c>
      <c r="AC373" s="15"/>
      <c r="AD373" s="15"/>
      <c r="AE373" s="15"/>
      <c r="AF373" s="15"/>
      <c r="AG373" s="15"/>
      <c r="AH373" s="15"/>
      <c r="AI373" s="15"/>
      <c r="AJ373" s="15"/>
      <c r="AK373" s="15"/>
      <c r="AL373" s="177"/>
      <c r="AM373" s="15"/>
      <c r="AN373" s="24"/>
      <c r="AO373" s="24"/>
      <c r="AP373" s="24"/>
      <c r="AQ373" s="24"/>
      <c r="AR373" s="24"/>
      <c r="AS373" s="25"/>
      <c r="AT373" s="25"/>
      <c r="AU373" s="178"/>
      <c r="AV373" s="15"/>
      <c r="AW373" s="24"/>
      <c r="AX373" s="278"/>
      <c r="AY373" s="278"/>
      <c r="AZ373" s="24"/>
      <c r="BA373" s="178"/>
      <c r="BB373" s="24"/>
      <c r="BC373" s="24"/>
      <c r="BD373" s="24"/>
      <c r="BE373" s="24"/>
      <c r="BF373" s="24"/>
      <c r="BG373" s="24"/>
      <c r="BH373" s="178"/>
      <c r="BI373" s="24"/>
      <c r="BJ373" s="24"/>
      <c r="BK373" s="24"/>
      <c r="BL373" s="24"/>
      <c r="BM373" s="24"/>
    </row>
    <row r="374" spans="1:66" ht="14.25" customHeight="1">
      <c r="A374" s="15">
        <f t="shared" si="132"/>
        <v>183</v>
      </c>
      <c r="B374" s="19" t="s">
        <v>275</v>
      </c>
      <c r="C374" s="179" t="s">
        <v>56</v>
      </c>
      <c r="D374" s="130">
        <v>7.6219999999999999</v>
      </c>
      <c r="E374" s="130">
        <f>D374*4</f>
        <v>30.488</v>
      </c>
      <c r="F374" s="130">
        <f>E374*8</f>
        <v>243.904</v>
      </c>
      <c r="G374" s="130"/>
      <c r="H374" s="180"/>
      <c r="I374" s="19"/>
      <c r="J374" s="19"/>
      <c r="K374" s="181"/>
      <c r="L374" s="173">
        <v>2.6789999999999998</v>
      </c>
      <c r="M374" s="15">
        <v>3.133</v>
      </c>
      <c r="N374" s="15">
        <v>2.5000000000000001E-3</v>
      </c>
      <c r="O374" s="15">
        <v>0.23299999999999998</v>
      </c>
      <c r="P374" s="175">
        <f t="shared" si="123"/>
        <v>6.0474999999999994</v>
      </c>
      <c r="Q374" s="173">
        <v>0.24399999999999999</v>
      </c>
      <c r="R374" s="15">
        <v>5.0000000000000001E-3</v>
      </c>
      <c r="S374" s="175">
        <f t="shared" si="119"/>
        <v>0.249</v>
      </c>
      <c r="T374" s="176" t="s">
        <v>599</v>
      </c>
      <c r="U374" s="198" t="s">
        <v>569</v>
      </c>
      <c r="V374" s="15"/>
      <c r="W374" s="15"/>
      <c r="X374" s="15">
        <v>41.44</v>
      </c>
      <c r="Y374" s="15">
        <v>0.8</v>
      </c>
      <c r="Z374" s="15">
        <v>7.8</v>
      </c>
      <c r="AA374" s="15">
        <f t="shared" si="120"/>
        <v>8.6</v>
      </c>
      <c r="AB374" s="23">
        <f t="shared" si="141"/>
        <v>66.42</v>
      </c>
      <c r="AC374" s="15">
        <v>3321</v>
      </c>
      <c r="AD374" s="15">
        <v>73.73</v>
      </c>
      <c r="AE374" s="15">
        <v>301.5</v>
      </c>
      <c r="AF374" s="15"/>
      <c r="AG374" s="15">
        <v>206.46</v>
      </c>
      <c r="AH374" s="15"/>
      <c r="AI374" s="15"/>
      <c r="AJ374" s="15">
        <v>581.69000000000005</v>
      </c>
      <c r="AK374" s="15">
        <v>0.58169000000000004</v>
      </c>
      <c r="AL374" s="177"/>
      <c r="AM374" s="137" t="s">
        <v>20</v>
      </c>
      <c r="AN374" s="131" t="str">
        <f>AO374</f>
        <v>D</v>
      </c>
      <c r="AO374" s="131" t="s">
        <v>21</v>
      </c>
      <c r="AP374" s="349">
        <f>AQ374-6</f>
        <v>45636</v>
      </c>
      <c r="AQ374" s="349">
        <f t="shared" ref="AQ374" si="156">AR374-2</f>
        <v>45642</v>
      </c>
      <c r="AR374" s="349">
        <f t="shared" ref="AR374" si="157">AS374-2</f>
        <v>45644</v>
      </c>
      <c r="AS374" s="530">
        <v>45646</v>
      </c>
      <c r="AT374" s="25" t="s">
        <v>589</v>
      </c>
      <c r="AU374" s="183"/>
      <c r="AV374" s="137" t="s">
        <v>20</v>
      </c>
      <c r="AW374" s="15" t="s">
        <v>6</v>
      </c>
      <c r="AX374" s="278">
        <v>45648</v>
      </c>
      <c r="AY374" s="278">
        <v>45648</v>
      </c>
      <c r="AZ374" s="19" t="s">
        <v>590</v>
      </c>
      <c r="BA374" s="194"/>
      <c r="BB374" s="137" t="s">
        <v>20</v>
      </c>
      <c r="BC374" s="131"/>
      <c r="BD374" s="131" t="s">
        <v>21</v>
      </c>
      <c r="BE374" s="279">
        <f>BF374-2</f>
        <v>45707</v>
      </c>
      <c r="BF374" s="279">
        <v>45709</v>
      </c>
      <c r="BG374" s="15" t="s">
        <v>575</v>
      </c>
      <c r="BH374" s="177"/>
      <c r="BI374" s="137" t="s">
        <v>20</v>
      </c>
      <c r="BJ374" s="131">
        <v>45810</v>
      </c>
      <c r="BK374" s="131">
        <v>45810</v>
      </c>
      <c r="BL374" s="25">
        <v>1545</v>
      </c>
      <c r="BM374" s="24" t="s">
        <v>587</v>
      </c>
    </row>
    <row r="375" spans="1:66" ht="14.25" customHeight="1">
      <c r="A375" s="15" t="s">
        <v>0</v>
      </c>
      <c r="B375" s="19"/>
      <c r="C375" s="179"/>
      <c r="D375" s="130"/>
      <c r="E375" s="130"/>
      <c r="F375" s="130"/>
      <c r="G375" s="130"/>
      <c r="H375" s="180"/>
      <c r="I375" s="19"/>
      <c r="J375" s="19"/>
      <c r="K375" s="181"/>
      <c r="L375" s="173"/>
      <c r="M375" s="15"/>
      <c r="N375" s="15"/>
      <c r="O375" s="15"/>
      <c r="P375" s="175"/>
      <c r="Q375" s="173"/>
      <c r="R375" s="15"/>
      <c r="S375" s="175"/>
      <c r="T375" s="176"/>
      <c r="U375" s="176"/>
      <c r="V375" s="16">
        <v>387</v>
      </c>
      <c r="W375" s="15" t="s">
        <v>500</v>
      </c>
      <c r="X375" s="15"/>
      <c r="Y375" s="15"/>
      <c r="Z375" s="15"/>
      <c r="AA375" s="15"/>
      <c r="AB375" s="23">
        <f t="shared" si="141"/>
        <v>0</v>
      </c>
      <c r="AC375" s="15"/>
      <c r="AD375" s="15"/>
      <c r="AE375" s="15"/>
      <c r="AF375" s="15"/>
      <c r="AG375" s="15"/>
      <c r="AH375" s="15"/>
      <c r="AI375" s="15"/>
      <c r="AJ375" s="15"/>
      <c r="AK375" s="15"/>
      <c r="AL375" s="177"/>
      <c r="AM375" s="15"/>
      <c r="AN375" s="24"/>
      <c r="AO375" s="24"/>
      <c r="AP375" s="24"/>
      <c r="AQ375" s="24"/>
      <c r="AR375" s="24"/>
      <c r="AS375" s="25"/>
      <c r="AT375" s="25"/>
      <c r="AU375" s="178"/>
      <c r="AV375" s="15"/>
      <c r="AW375" s="24"/>
      <c r="AX375" s="278"/>
      <c r="AY375" s="278"/>
      <c r="AZ375" s="24"/>
      <c r="BA375" s="178"/>
      <c r="BB375" s="24"/>
      <c r="BC375" s="24"/>
      <c r="BD375" s="24"/>
      <c r="BE375" s="24"/>
      <c r="BF375" s="24"/>
      <c r="BG375" s="24"/>
      <c r="BH375" s="178"/>
      <c r="BI375" s="24"/>
      <c r="BJ375" s="24"/>
      <c r="BK375" s="24"/>
      <c r="BL375" s="24"/>
      <c r="BM375" s="24"/>
    </row>
    <row r="376" spans="1:66" ht="14.25" customHeight="1">
      <c r="A376" s="15">
        <f t="shared" si="132"/>
        <v>184</v>
      </c>
      <c r="B376" s="19" t="s">
        <v>276</v>
      </c>
      <c r="C376" s="179" t="s">
        <v>85</v>
      </c>
      <c r="D376" s="130">
        <v>8.2520000000000007</v>
      </c>
      <c r="E376" s="130">
        <f>D376*4</f>
        <v>33.008000000000003</v>
      </c>
      <c r="F376" s="130">
        <f>E376*8</f>
        <v>264.06400000000002</v>
      </c>
      <c r="G376" s="130"/>
      <c r="H376" s="180"/>
      <c r="I376" s="19"/>
      <c r="J376" s="19"/>
      <c r="K376" s="181"/>
      <c r="L376" s="173">
        <v>3.0779999999999998</v>
      </c>
      <c r="M376" s="15">
        <v>3.6589999999999998</v>
      </c>
      <c r="N376" s="15">
        <v>2.7000000000000001E-3</v>
      </c>
      <c r="O376" s="15">
        <v>0.26600000000000001</v>
      </c>
      <c r="P376" s="175">
        <f t="shared" si="123"/>
        <v>7.0057</v>
      </c>
      <c r="Q376" s="173">
        <v>0.24399999999999999</v>
      </c>
      <c r="R376" s="15">
        <v>5.0000000000000001E-3</v>
      </c>
      <c r="S376" s="175">
        <f t="shared" si="119"/>
        <v>0.249</v>
      </c>
      <c r="T376" s="204"/>
      <c r="U376" s="198" t="s">
        <v>569</v>
      </c>
      <c r="V376" s="31"/>
      <c r="W376" s="15"/>
      <c r="X376" s="15">
        <v>41.44</v>
      </c>
      <c r="Y376" s="15">
        <v>0.8</v>
      </c>
      <c r="Z376" s="15">
        <v>7.8</v>
      </c>
      <c r="AA376" s="15">
        <f t="shared" si="120"/>
        <v>8.6</v>
      </c>
      <c r="AB376" s="23">
        <f t="shared" si="141"/>
        <v>66.42</v>
      </c>
      <c r="AC376" s="15">
        <v>3321</v>
      </c>
      <c r="AD376" s="15">
        <v>73.73</v>
      </c>
      <c r="AE376" s="15">
        <v>301.5</v>
      </c>
      <c r="AF376" s="15"/>
      <c r="AG376" s="15">
        <v>206.46</v>
      </c>
      <c r="AH376" s="15"/>
      <c r="AI376" s="15"/>
      <c r="AJ376" s="15">
        <v>581.69000000000005</v>
      </c>
      <c r="AK376" s="15">
        <v>0.58169000000000004</v>
      </c>
      <c r="AL376" s="177"/>
      <c r="AM376" s="137" t="s">
        <v>20</v>
      </c>
      <c r="AN376" s="131" t="str">
        <f>AO376</f>
        <v>D</v>
      </c>
      <c r="AO376" s="131" t="s">
        <v>21</v>
      </c>
      <c r="AP376" s="349">
        <f t="shared" ref="AP376" si="158">AQ376-2</f>
        <v>45645</v>
      </c>
      <c r="AQ376" s="349">
        <f t="shared" ref="AQ376" si="159">AR376-2</f>
        <v>45647</v>
      </c>
      <c r="AR376" s="349">
        <f t="shared" ref="AR376" si="160">AS376-2</f>
        <v>45649</v>
      </c>
      <c r="AS376" s="530">
        <v>45651</v>
      </c>
      <c r="AT376" s="25" t="s">
        <v>589</v>
      </c>
      <c r="AU376" s="183"/>
      <c r="AV376" s="137" t="s">
        <v>20</v>
      </c>
      <c r="AW376" s="15" t="s">
        <v>6</v>
      </c>
      <c r="AX376" s="278">
        <v>45648</v>
      </c>
      <c r="AY376" s="278">
        <v>45648</v>
      </c>
      <c r="AZ376" s="19" t="s">
        <v>590</v>
      </c>
      <c r="BA376" s="194"/>
      <c r="BB376" s="137" t="s">
        <v>20</v>
      </c>
      <c r="BC376" s="131"/>
      <c r="BD376" s="131" t="s">
        <v>21</v>
      </c>
      <c r="BE376" s="279">
        <f>BF376-2</f>
        <v>45709</v>
      </c>
      <c r="BF376" s="279">
        <v>45711</v>
      </c>
      <c r="BG376" s="15" t="s">
        <v>575</v>
      </c>
      <c r="BH376" s="187"/>
      <c r="BI376" s="137" t="s">
        <v>20</v>
      </c>
      <c r="BJ376" s="131">
        <v>45780</v>
      </c>
      <c r="BK376" s="131">
        <v>45780</v>
      </c>
      <c r="BL376" s="25">
        <v>1588</v>
      </c>
      <c r="BM376" s="24" t="s">
        <v>587</v>
      </c>
    </row>
    <row r="377" spans="1:66" ht="14.25" customHeight="1">
      <c r="A377" s="15" t="s">
        <v>0</v>
      </c>
      <c r="B377" s="19"/>
      <c r="C377" s="179"/>
      <c r="D377" s="130"/>
      <c r="E377" s="130"/>
      <c r="F377" s="130"/>
      <c r="G377" s="130"/>
      <c r="H377" s="180"/>
      <c r="I377" s="19"/>
      <c r="J377" s="19"/>
      <c r="K377" s="181"/>
      <c r="L377" s="173"/>
      <c r="M377" s="15"/>
      <c r="N377" s="15"/>
      <c r="O377" s="15"/>
      <c r="P377" s="175"/>
      <c r="Q377" s="173"/>
      <c r="R377" s="15"/>
      <c r="S377" s="175"/>
      <c r="T377" s="176"/>
      <c r="U377" s="176"/>
      <c r="V377" s="16">
        <v>346</v>
      </c>
      <c r="W377" s="15" t="s">
        <v>500</v>
      </c>
      <c r="X377" s="15"/>
      <c r="Y377" s="15"/>
      <c r="Z377" s="15"/>
      <c r="AA377" s="15"/>
      <c r="AB377" s="23">
        <f t="shared" si="141"/>
        <v>0</v>
      </c>
      <c r="AC377" s="15"/>
      <c r="AD377" s="15"/>
      <c r="AE377" s="15"/>
      <c r="AF377" s="15"/>
      <c r="AG377" s="15"/>
      <c r="AH377" s="15"/>
      <c r="AI377" s="15"/>
      <c r="AJ377" s="15"/>
      <c r="AK377" s="15"/>
      <c r="AL377" s="177"/>
      <c r="AM377" s="15"/>
      <c r="AN377" s="24"/>
      <c r="AO377" s="24"/>
      <c r="AP377" s="24"/>
      <c r="AQ377" s="24"/>
      <c r="AR377" s="24"/>
      <c r="AS377" s="25"/>
      <c r="AT377" s="25"/>
      <c r="AU377" s="178"/>
      <c r="AV377" s="15"/>
      <c r="AW377" s="24"/>
      <c r="AX377" s="278"/>
      <c r="AY377" s="278"/>
      <c r="AZ377" s="24"/>
      <c r="BA377" s="178"/>
      <c r="BB377" s="24"/>
      <c r="BC377" s="24"/>
      <c r="BD377" s="24"/>
      <c r="BE377" s="24"/>
      <c r="BF377" s="24"/>
      <c r="BG377" s="24"/>
      <c r="BH377" s="178"/>
      <c r="BI377" s="24"/>
      <c r="BJ377" s="24"/>
      <c r="BK377" s="24"/>
      <c r="BL377" s="24"/>
      <c r="BM377" s="24"/>
    </row>
    <row r="378" spans="1:66" ht="14.25" customHeight="1">
      <c r="A378" s="15">
        <f t="shared" si="132"/>
        <v>185</v>
      </c>
      <c r="B378" s="19" t="s">
        <v>277</v>
      </c>
      <c r="C378" s="179" t="s">
        <v>37</v>
      </c>
      <c r="D378" s="130">
        <v>6.992</v>
      </c>
      <c r="E378" s="130">
        <f>D378*4</f>
        <v>27.968</v>
      </c>
      <c r="F378" s="130">
        <f>E378*8</f>
        <v>223.744</v>
      </c>
      <c r="G378" s="130"/>
      <c r="H378" s="180"/>
      <c r="I378" s="19"/>
      <c r="J378" s="19"/>
      <c r="K378" s="181"/>
      <c r="L378" s="173">
        <v>2.6070000000000002</v>
      </c>
      <c r="M378" s="15">
        <v>2.657</v>
      </c>
      <c r="N378" s="15">
        <v>2E-3</v>
      </c>
      <c r="O378" s="15">
        <v>0.21299999999999999</v>
      </c>
      <c r="P378" s="175">
        <f t="shared" si="123"/>
        <v>5.4790000000000001</v>
      </c>
      <c r="Q378" s="173">
        <v>0.24399999999999999</v>
      </c>
      <c r="R378" s="15">
        <v>5.0000000000000001E-3</v>
      </c>
      <c r="S378" s="175">
        <f t="shared" si="119"/>
        <v>0.249</v>
      </c>
      <c r="T378" s="176"/>
      <c r="U378" s="198" t="s">
        <v>569</v>
      </c>
      <c r="V378" s="15"/>
      <c r="W378" s="15"/>
      <c r="X378" s="15">
        <v>41.44</v>
      </c>
      <c r="Y378" s="15">
        <v>0.8</v>
      </c>
      <c r="Z378" s="15">
        <v>7.8</v>
      </c>
      <c r="AA378" s="15">
        <f t="shared" si="120"/>
        <v>8.6</v>
      </c>
      <c r="AB378" s="23">
        <f t="shared" si="141"/>
        <v>66.42</v>
      </c>
      <c r="AC378" s="15">
        <v>3321</v>
      </c>
      <c r="AD378" s="15">
        <v>73.73</v>
      </c>
      <c r="AE378" s="15">
        <v>301.5</v>
      </c>
      <c r="AF378" s="15"/>
      <c r="AG378" s="15">
        <v>206.46</v>
      </c>
      <c r="AH378" s="15"/>
      <c r="AI378" s="15"/>
      <c r="AJ378" s="15">
        <v>581.69000000000005</v>
      </c>
      <c r="AK378" s="15">
        <v>0.58169000000000004</v>
      </c>
      <c r="AL378" s="177"/>
      <c r="AM378" s="137" t="s">
        <v>20</v>
      </c>
      <c r="AN378" s="131" t="str">
        <f>AO378</f>
        <v>D</v>
      </c>
      <c r="AO378" s="131" t="s">
        <v>21</v>
      </c>
      <c r="AP378" s="349">
        <v>45648</v>
      </c>
      <c r="AQ378" s="349">
        <f>AR378-3</f>
        <v>45672</v>
      </c>
      <c r="AR378" s="349">
        <f>AS378-1</f>
        <v>45675</v>
      </c>
      <c r="AS378" s="530">
        <v>45676</v>
      </c>
      <c r="AT378" s="25" t="s">
        <v>600</v>
      </c>
      <c r="AU378" s="183"/>
      <c r="AV378" s="137" t="s">
        <v>20</v>
      </c>
      <c r="AW378" s="15" t="s">
        <v>6</v>
      </c>
      <c r="AX378" s="278">
        <f>AY378</f>
        <v>45723</v>
      </c>
      <c r="AY378" s="278">
        <v>45723</v>
      </c>
      <c r="AZ378" s="24" t="s">
        <v>593</v>
      </c>
      <c r="BA378" s="178"/>
      <c r="BB378" s="137" t="s">
        <v>20</v>
      </c>
      <c r="BC378" s="131"/>
      <c r="BD378" s="131" t="s">
        <v>21</v>
      </c>
      <c r="BE378" s="279">
        <f>BF378-1</f>
        <v>45714</v>
      </c>
      <c r="BF378" s="279">
        <v>45715</v>
      </c>
      <c r="BG378" s="15" t="s">
        <v>575</v>
      </c>
      <c r="BH378" s="177"/>
      <c r="BI378" s="137" t="s">
        <v>20</v>
      </c>
      <c r="BJ378" s="131">
        <v>45780</v>
      </c>
      <c r="BK378" s="131">
        <v>45780</v>
      </c>
      <c r="BL378" s="25">
        <v>1330</v>
      </c>
      <c r="BM378" s="24" t="s">
        <v>587</v>
      </c>
    </row>
    <row r="379" spans="1:66" ht="14.25" customHeight="1">
      <c r="A379" s="15" t="s">
        <v>0</v>
      </c>
      <c r="B379" s="19"/>
      <c r="C379" s="179"/>
      <c r="D379" s="130"/>
      <c r="E379" s="130"/>
      <c r="F379" s="130"/>
      <c r="G379" s="130"/>
      <c r="H379" s="180"/>
      <c r="I379" s="19"/>
      <c r="J379" s="19"/>
      <c r="K379" s="181"/>
      <c r="L379" s="173"/>
      <c r="M379" s="15"/>
      <c r="N379" s="15"/>
      <c r="O379" s="15"/>
      <c r="P379" s="175"/>
      <c r="Q379" s="173"/>
      <c r="R379" s="15"/>
      <c r="S379" s="175"/>
      <c r="T379" s="176"/>
      <c r="U379" s="176"/>
      <c r="V379" s="15">
        <v>375.54500000000002</v>
      </c>
      <c r="W379" s="15" t="s">
        <v>500</v>
      </c>
      <c r="X379" s="15"/>
      <c r="Y379" s="15"/>
      <c r="Z379" s="15"/>
      <c r="AA379" s="15"/>
      <c r="AB379" s="23">
        <f t="shared" si="141"/>
        <v>0</v>
      </c>
      <c r="AC379" s="15"/>
      <c r="AD379" s="15"/>
      <c r="AE379" s="15"/>
      <c r="AF379" s="15"/>
      <c r="AG379" s="15"/>
      <c r="AH379" s="15"/>
      <c r="AI379" s="15"/>
      <c r="AJ379" s="15"/>
      <c r="AK379" s="15"/>
      <c r="AL379" s="177"/>
      <c r="AM379" s="15"/>
      <c r="AN379" s="24"/>
      <c r="AO379" s="24"/>
      <c r="AP379" s="24"/>
      <c r="AQ379" s="24"/>
      <c r="AR379" s="24"/>
      <c r="AS379" s="25"/>
      <c r="AT379" s="25"/>
      <c r="AU379" s="178"/>
      <c r="AV379" s="15"/>
      <c r="AW379" s="24"/>
      <c r="AX379" s="278"/>
      <c r="AY379" s="278"/>
      <c r="AZ379" s="24"/>
      <c r="BA379" s="178"/>
      <c r="BB379" s="24"/>
      <c r="BC379" s="24"/>
      <c r="BD379" s="24"/>
      <c r="BE379" s="24"/>
      <c r="BF379" s="24"/>
      <c r="BG379" s="24"/>
      <c r="BH379" s="178"/>
      <c r="BI379" s="24"/>
      <c r="BJ379" s="24"/>
      <c r="BK379" s="24"/>
      <c r="BL379" s="24"/>
      <c r="BM379" s="24"/>
    </row>
    <row r="380" spans="1:66" ht="14.25" customHeight="1">
      <c r="A380" s="15">
        <f t="shared" si="132"/>
        <v>186</v>
      </c>
      <c r="B380" s="19" t="s">
        <v>279</v>
      </c>
      <c r="C380" s="179" t="s">
        <v>89</v>
      </c>
      <c r="D380" s="130">
        <v>8.6300000000000008</v>
      </c>
      <c r="E380" s="130">
        <f>D380*4</f>
        <v>34.520000000000003</v>
      </c>
      <c r="F380" s="130">
        <f>E380*8</f>
        <v>276.16000000000003</v>
      </c>
      <c r="G380" s="130"/>
      <c r="H380" s="180"/>
      <c r="I380" s="19"/>
      <c r="J380" s="19"/>
      <c r="K380" s="181"/>
      <c r="L380" s="173">
        <v>3.867</v>
      </c>
      <c r="M380" s="15">
        <v>3.306</v>
      </c>
      <c r="N380" s="15">
        <v>5.0000000000000001E-3</v>
      </c>
      <c r="O380" s="15">
        <v>0.27600000000000002</v>
      </c>
      <c r="P380" s="175">
        <f t="shared" si="123"/>
        <v>7.4539999999999997</v>
      </c>
      <c r="Q380" s="173">
        <v>0.36299999999999999</v>
      </c>
      <c r="R380" s="15">
        <v>6.0000000000000001E-3</v>
      </c>
      <c r="S380" s="175">
        <f t="shared" si="119"/>
        <v>0.36899999999999999</v>
      </c>
      <c r="T380" s="176"/>
      <c r="U380" s="198" t="s">
        <v>569</v>
      </c>
      <c r="V380" s="15"/>
      <c r="W380" s="15"/>
      <c r="X380" s="15">
        <v>41.44</v>
      </c>
      <c r="Y380" s="15">
        <v>0.97</v>
      </c>
      <c r="Z380" s="15">
        <v>9.82</v>
      </c>
      <c r="AA380" s="15">
        <f t="shared" si="120"/>
        <v>10.790000000000001</v>
      </c>
      <c r="AB380" s="23">
        <f t="shared" si="141"/>
        <v>83.456000000000003</v>
      </c>
      <c r="AC380" s="15">
        <v>3321</v>
      </c>
      <c r="AD380" s="186">
        <v>73.73</v>
      </c>
      <c r="AE380" s="186">
        <v>301.5</v>
      </c>
      <c r="AF380" s="186"/>
      <c r="AG380" s="186">
        <v>206.46</v>
      </c>
      <c r="AH380" s="186"/>
      <c r="AI380" s="186"/>
      <c r="AJ380" s="186">
        <v>581.69000000000005</v>
      </c>
      <c r="AK380" s="15">
        <v>0.58169000000000004</v>
      </c>
      <c r="AL380" s="177"/>
      <c r="AM380" s="137" t="s">
        <v>20</v>
      </c>
      <c r="AN380" s="131" t="str">
        <f>AO380</f>
        <v>D</v>
      </c>
      <c r="AO380" s="131" t="s">
        <v>21</v>
      </c>
      <c r="AP380" s="349">
        <v>45650</v>
      </c>
      <c r="AQ380" s="349">
        <f t="shared" ref="AQ380" si="161">AR380-1</f>
        <v>45652</v>
      </c>
      <c r="AR380" s="349">
        <f t="shared" ref="AR380" si="162">AS380-1</f>
        <v>45653</v>
      </c>
      <c r="AS380" s="530">
        <v>45654</v>
      </c>
      <c r="AT380" s="25" t="s">
        <v>538</v>
      </c>
      <c r="AU380" s="178"/>
      <c r="AV380" s="137" t="s">
        <v>20</v>
      </c>
      <c r="AW380" s="15" t="s">
        <v>6</v>
      </c>
      <c r="AX380" s="278">
        <v>45655</v>
      </c>
      <c r="AY380" s="278">
        <f>AX380</f>
        <v>45655</v>
      </c>
      <c r="AZ380" s="182" t="s">
        <v>539</v>
      </c>
      <c r="BA380" s="183"/>
      <c r="BB380" s="137" t="s">
        <v>20</v>
      </c>
      <c r="BC380" s="131"/>
      <c r="BD380" s="131" t="s">
        <v>21</v>
      </c>
      <c r="BE380" s="279">
        <f>BF380-2</f>
        <v>45711</v>
      </c>
      <c r="BF380" s="279">
        <v>45713</v>
      </c>
      <c r="BG380" s="15" t="s">
        <v>575</v>
      </c>
      <c r="BH380" s="188"/>
      <c r="BI380" s="137" t="s">
        <v>20</v>
      </c>
      <c r="BJ380" s="131">
        <v>45815</v>
      </c>
      <c r="BK380" s="131">
        <v>45815</v>
      </c>
      <c r="BL380" s="25">
        <v>1560</v>
      </c>
      <c r="BM380" s="24" t="s">
        <v>587</v>
      </c>
    </row>
    <row r="381" spans="1:66" ht="14.25" customHeight="1">
      <c r="A381" s="15" t="s">
        <v>0</v>
      </c>
      <c r="B381" s="19"/>
      <c r="C381" s="179"/>
      <c r="D381" s="130"/>
      <c r="E381" s="130"/>
      <c r="F381" s="130"/>
      <c r="G381" s="130"/>
      <c r="H381" s="180"/>
      <c r="I381" s="19"/>
      <c r="J381" s="19"/>
      <c r="K381" s="181"/>
      <c r="L381" s="173"/>
      <c r="M381" s="15"/>
      <c r="N381" s="15"/>
      <c r="O381" s="15"/>
      <c r="P381" s="175"/>
      <c r="Q381" s="173"/>
      <c r="R381" s="15"/>
      <c r="S381" s="175"/>
      <c r="T381" s="176"/>
      <c r="U381" s="176"/>
      <c r="V381" s="15">
        <v>341.74</v>
      </c>
      <c r="W381" s="15" t="s">
        <v>500</v>
      </c>
      <c r="X381" s="15"/>
      <c r="Y381" s="15"/>
      <c r="Z381" s="15"/>
      <c r="AA381" s="15"/>
      <c r="AB381" s="23">
        <f t="shared" si="141"/>
        <v>0</v>
      </c>
      <c r="AC381" s="15"/>
      <c r="AD381" s="15"/>
      <c r="AE381" s="15"/>
      <c r="AF381" s="15"/>
      <c r="AG381" s="15"/>
      <c r="AH381" s="15"/>
      <c r="AI381" s="15"/>
      <c r="AJ381" s="15"/>
      <c r="AK381" s="15"/>
      <c r="AL381" s="177"/>
      <c r="AM381" s="15"/>
      <c r="AN381" s="24"/>
      <c r="AO381" s="24"/>
      <c r="AP381" s="24"/>
      <c r="AQ381" s="24"/>
      <c r="AR381" s="24"/>
      <c r="AS381" s="25"/>
      <c r="AT381" s="25"/>
      <c r="AU381" s="178"/>
      <c r="AV381" s="15"/>
      <c r="AW381" s="24"/>
      <c r="AX381" s="278"/>
      <c r="AY381" s="278"/>
      <c r="AZ381" s="24"/>
      <c r="BA381" s="178"/>
      <c r="BB381" s="24"/>
      <c r="BC381" s="24"/>
      <c r="BD381" s="24"/>
      <c r="BE381" s="24"/>
      <c r="BF381" s="24"/>
      <c r="BG381" s="24"/>
      <c r="BH381" s="178"/>
      <c r="BI381" s="24"/>
      <c r="BJ381" s="24"/>
      <c r="BK381" s="24"/>
      <c r="BL381" s="24"/>
      <c r="BM381" s="24"/>
    </row>
    <row r="382" spans="1:66" ht="14.25" customHeight="1">
      <c r="A382" s="15">
        <f t="shared" si="132"/>
        <v>187</v>
      </c>
      <c r="B382" s="19" t="s">
        <v>280</v>
      </c>
      <c r="C382" s="179" t="s">
        <v>42</v>
      </c>
      <c r="D382" s="130">
        <v>6.3620000000000001</v>
      </c>
      <c r="E382" s="130">
        <f>D382*4</f>
        <v>25.448</v>
      </c>
      <c r="F382" s="130">
        <f>E382*8</f>
        <v>203.584</v>
      </c>
      <c r="G382" s="130"/>
      <c r="H382" s="180"/>
      <c r="I382" s="19"/>
      <c r="J382" s="19"/>
      <c r="K382" s="181"/>
      <c r="L382" s="173">
        <v>2.25</v>
      </c>
      <c r="M382" s="15">
        <v>2.1880000000000002</v>
      </c>
      <c r="N382" s="15">
        <v>2E-3</v>
      </c>
      <c r="O382" s="15">
        <v>0.183</v>
      </c>
      <c r="P382" s="175">
        <f t="shared" si="123"/>
        <v>4.6230000000000002</v>
      </c>
      <c r="Q382" s="173">
        <v>0.24399999999999999</v>
      </c>
      <c r="R382" s="15">
        <v>5.0000000000000001E-3</v>
      </c>
      <c r="S382" s="175">
        <f t="shared" si="119"/>
        <v>0.249</v>
      </c>
      <c r="T382" s="176"/>
      <c r="U382" s="198" t="s">
        <v>569</v>
      </c>
      <c r="V382" s="15"/>
      <c r="W382" s="15"/>
      <c r="X382" s="15">
        <v>51.64</v>
      </c>
      <c r="Y382" s="15">
        <v>0.8</v>
      </c>
      <c r="Z382" s="15">
        <v>7.8</v>
      </c>
      <c r="AA382" s="15">
        <f t="shared" si="120"/>
        <v>8.6</v>
      </c>
      <c r="AB382" s="23">
        <f t="shared" si="141"/>
        <v>66.42</v>
      </c>
      <c r="AC382" s="15">
        <v>4172.8</v>
      </c>
      <c r="AD382" s="15">
        <v>81.819999999999993</v>
      </c>
      <c r="AE382" s="15">
        <v>408.9</v>
      </c>
      <c r="AF382" s="15"/>
      <c r="AG382" s="15">
        <v>203.94</v>
      </c>
      <c r="AH382" s="15"/>
      <c r="AI382" s="15"/>
      <c r="AJ382" s="15">
        <v>694.66</v>
      </c>
      <c r="AK382" s="15">
        <v>0.69465999999999994</v>
      </c>
      <c r="AL382" s="177"/>
      <c r="AM382" s="137" t="s">
        <v>20</v>
      </c>
      <c r="AN382" s="131" t="str">
        <f>AO382</f>
        <v>D</v>
      </c>
      <c r="AO382" s="131" t="s">
        <v>21</v>
      </c>
      <c r="AP382" s="349">
        <v>45651</v>
      </c>
      <c r="AQ382" s="349">
        <f t="shared" ref="AQ382" si="163">AR382-1</f>
        <v>45652</v>
      </c>
      <c r="AR382" s="349">
        <f t="shared" ref="AR382" si="164">AS382-1</f>
        <v>45653</v>
      </c>
      <c r="AS382" s="530">
        <v>45654</v>
      </c>
      <c r="AT382" s="25" t="s">
        <v>601</v>
      </c>
      <c r="AU382" s="183"/>
      <c r="AV382" s="137" t="s">
        <v>20</v>
      </c>
      <c r="AW382" s="15" t="s">
        <v>6</v>
      </c>
      <c r="AX382" s="278">
        <v>45655</v>
      </c>
      <c r="AY382" s="278">
        <f>AX382</f>
        <v>45655</v>
      </c>
      <c r="AZ382" s="24" t="s">
        <v>593</v>
      </c>
      <c r="BA382" s="178"/>
      <c r="BB382" s="137" t="s">
        <v>20</v>
      </c>
      <c r="BC382" s="131"/>
      <c r="BD382" s="131" t="s">
        <v>21</v>
      </c>
      <c r="BE382" s="279">
        <f>BF382-2</f>
        <v>45714</v>
      </c>
      <c r="BF382" s="279">
        <v>45716</v>
      </c>
      <c r="BG382" s="15" t="s">
        <v>575</v>
      </c>
      <c r="BH382" s="177"/>
      <c r="BI382" s="137" t="s">
        <v>20</v>
      </c>
      <c r="BJ382" s="131">
        <v>45815</v>
      </c>
      <c r="BK382" s="131">
        <v>45815</v>
      </c>
      <c r="BL382" s="25">
        <v>980</v>
      </c>
      <c r="BM382" s="24" t="s">
        <v>587</v>
      </c>
    </row>
    <row r="383" spans="1:66" ht="14.25" customHeight="1">
      <c r="A383" s="15" t="s">
        <v>0</v>
      </c>
      <c r="B383" s="19"/>
      <c r="C383" s="179"/>
      <c r="D383" s="130"/>
      <c r="E383" s="130"/>
      <c r="F383" s="130"/>
      <c r="G383" s="130"/>
      <c r="H383" s="180"/>
      <c r="I383" s="19"/>
      <c r="J383" s="19"/>
      <c r="K383" s="181"/>
      <c r="L383" s="173"/>
      <c r="M383" s="15"/>
      <c r="N383" s="15"/>
      <c r="O383" s="15"/>
      <c r="P383" s="175"/>
      <c r="Q383" s="173"/>
      <c r="R383" s="15"/>
      <c r="S383" s="175"/>
      <c r="T383" s="176"/>
      <c r="U383" s="176"/>
      <c r="V383" s="15">
        <v>321.51</v>
      </c>
      <c r="W383" s="15" t="s">
        <v>500</v>
      </c>
      <c r="X383" s="15"/>
      <c r="Y383" s="15"/>
      <c r="Z383" s="15"/>
      <c r="AA383" s="15"/>
      <c r="AB383" s="23">
        <f t="shared" si="141"/>
        <v>0</v>
      </c>
      <c r="AC383" s="15"/>
      <c r="AD383" s="15"/>
      <c r="AE383" s="15"/>
      <c r="AF383" s="15"/>
      <c r="AG383" s="15"/>
      <c r="AH383" s="15"/>
      <c r="AI383" s="15"/>
      <c r="AJ383" s="15"/>
      <c r="AK383" s="15"/>
      <c r="AL383" s="177"/>
      <c r="AM383" s="15"/>
      <c r="AN383" s="131"/>
      <c r="AO383" s="131"/>
      <c r="AP383" s="131"/>
      <c r="AQ383" s="131"/>
      <c r="AR383" s="131"/>
      <c r="AS383" s="134"/>
      <c r="AT383" s="25"/>
      <c r="AU383" s="183"/>
      <c r="AV383" s="15"/>
      <c r="AW383" s="15"/>
      <c r="AX383" s="278"/>
      <c r="AY383" s="278"/>
      <c r="AZ383" s="182"/>
      <c r="BA383" s="183"/>
      <c r="BB383" s="15"/>
      <c r="BC383" s="131"/>
      <c r="BD383" s="131"/>
      <c r="BE383" s="131"/>
      <c r="BF383" s="131"/>
      <c r="BG383" s="15"/>
      <c r="BH383" s="177"/>
      <c r="BI383" s="15"/>
      <c r="BJ383" s="131"/>
      <c r="BK383" s="131"/>
      <c r="BL383" s="131"/>
      <c r="BM383" s="24"/>
    </row>
    <row r="384" spans="1:66" ht="14.25" customHeight="1">
      <c r="A384" s="15">
        <f t="shared" si="132"/>
        <v>188</v>
      </c>
      <c r="B384" s="19" t="s">
        <v>281</v>
      </c>
      <c r="C384" s="179" t="s">
        <v>42</v>
      </c>
      <c r="D384" s="130">
        <v>6.3620000000000001</v>
      </c>
      <c r="E384" s="130">
        <f>D384*4</f>
        <v>25.448</v>
      </c>
      <c r="F384" s="130">
        <f>E384*8</f>
        <v>203.584</v>
      </c>
      <c r="G384" s="130"/>
      <c r="H384" s="180"/>
      <c r="I384" s="19"/>
      <c r="J384" s="19"/>
      <c r="K384" s="181"/>
      <c r="L384" s="173">
        <v>2.25</v>
      </c>
      <c r="M384" s="15">
        <v>2.1880000000000002</v>
      </c>
      <c r="N384" s="15">
        <v>2E-3</v>
      </c>
      <c r="O384" s="15">
        <v>0.183</v>
      </c>
      <c r="P384" s="175">
        <f t="shared" si="123"/>
        <v>4.6230000000000002</v>
      </c>
      <c r="Q384" s="173">
        <v>0.24399999999999999</v>
      </c>
      <c r="R384" s="15">
        <v>5.0000000000000001E-3</v>
      </c>
      <c r="S384" s="175">
        <f t="shared" si="119"/>
        <v>0.249</v>
      </c>
      <c r="T384" s="176"/>
      <c r="U384" s="198" t="s">
        <v>569</v>
      </c>
      <c r="V384" s="15"/>
      <c r="W384" s="15"/>
      <c r="X384" s="15">
        <v>41.44</v>
      </c>
      <c r="Y384" s="15">
        <v>0.8</v>
      </c>
      <c r="Z384" s="15">
        <v>7.8</v>
      </c>
      <c r="AA384" s="15">
        <f t="shared" si="120"/>
        <v>8.6</v>
      </c>
      <c r="AB384" s="23">
        <f t="shared" si="141"/>
        <v>66.42</v>
      </c>
      <c r="AC384" s="15">
        <v>3321</v>
      </c>
      <c r="AD384" s="15">
        <v>73.73</v>
      </c>
      <c r="AE384" s="15">
        <v>301.5</v>
      </c>
      <c r="AF384" s="15"/>
      <c r="AG384" s="15">
        <v>206.46</v>
      </c>
      <c r="AH384" s="15"/>
      <c r="AI384" s="15"/>
      <c r="AJ384" s="15">
        <v>581.69000000000005</v>
      </c>
      <c r="AK384" s="15">
        <v>0.58169000000000004</v>
      </c>
      <c r="AL384" s="177"/>
      <c r="AM384" s="137" t="s">
        <v>20</v>
      </c>
      <c r="AN384" s="131" t="str">
        <f>AO384</f>
        <v>D</v>
      </c>
      <c r="AO384" s="131" t="s">
        <v>21</v>
      </c>
      <c r="AP384" s="349">
        <v>45652</v>
      </c>
      <c r="AQ384" s="349">
        <f>AR384-1</f>
        <v>45660</v>
      </c>
      <c r="AR384" s="349">
        <f>AS384-2</f>
        <v>45661</v>
      </c>
      <c r="AS384" s="530">
        <v>45663</v>
      </c>
      <c r="AT384" s="25" t="s">
        <v>601</v>
      </c>
      <c r="AU384" s="183"/>
      <c r="AV384" s="137" t="s">
        <v>20</v>
      </c>
      <c r="AW384" s="15" t="s">
        <v>6</v>
      </c>
      <c r="AX384" s="278">
        <v>45721</v>
      </c>
      <c r="AY384" s="278">
        <v>45721</v>
      </c>
      <c r="AZ384" s="24" t="s">
        <v>593</v>
      </c>
      <c r="BA384" s="178"/>
      <c r="BB384" s="137" t="s">
        <v>20</v>
      </c>
      <c r="BC384" s="131"/>
      <c r="BD384" s="131" t="s">
        <v>21</v>
      </c>
      <c r="BE384" s="279">
        <f>BF384-1</f>
        <v>45718</v>
      </c>
      <c r="BF384" s="279">
        <v>45719</v>
      </c>
      <c r="BG384" s="15" t="s">
        <v>575</v>
      </c>
      <c r="BH384" s="177"/>
      <c r="BI384" s="137" t="s">
        <v>20</v>
      </c>
      <c r="BJ384" s="131">
        <v>45816</v>
      </c>
      <c r="BK384" s="131">
        <v>45816</v>
      </c>
      <c r="BL384" s="25">
        <v>980</v>
      </c>
      <c r="BM384" s="24" t="s">
        <v>587</v>
      </c>
    </row>
    <row r="385" spans="1:65" ht="14.25" customHeight="1">
      <c r="A385" s="15" t="s">
        <v>0</v>
      </c>
      <c r="B385" s="19"/>
      <c r="C385" s="179"/>
      <c r="D385" s="130"/>
      <c r="E385" s="130"/>
      <c r="F385" s="130"/>
      <c r="G385" s="130"/>
      <c r="H385" s="180"/>
      <c r="I385" s="19"/>
      <c r="J385" s="19"/>
      <c r="K385" s="181"/>
      <c r="L385" s="173"/>
      <c r="M385" s="15"/>
      <c r="N385" s="15"/>
      <c r="O385" s="15"/>
      <c r="P385" s="175"/>
      <c r="Q385" s="173"/>
      <c r="R385" s="15"/>
      <c r="S385" s="175"/>
      <c r="T385" s="176"/>
      <c r="U385" s="176"/>
      <c r="V385" s="15">
        <v>312.39</v>
      </c>
      <c r="W385" s="15" t="s">
        <v>500</v>
      </c>
      <c r="X385" s="15"/>
      <c r="Y385" s="15"/>
      <c r="Z385" s="15"/>
      <c r="AA385" s="15"/>
      <c r="AB385" s="23">
        <f t="shared" si="141"/>
        <v>0</v>
      </c>
      <c r="AC385" s="15"/>
      <c r="AD385" s="15"/>
      <c r="AE385" s="15"/>
      <c r="AF385" s="15"/>
      <c r="AG385" s="15"/>
      <c r="AH385" s="15"/>
      <c r="AI385" s="15"/>
      <c r="AJ385" s="15"/>
      <c r="AK385" s="15"/>
      <c r="AL385" s="177"/>
      <c r="AM385" s="15"/>
      <c r="AN385" s="131"/>
      <c r="AO385" s="131"/>
      <c r="AP385" s="131"/>
      <c r="AQ385" s="131"/>
      <c r="AR385" s="131"/>
      <c r="AS385" s="134"/>
      <c r="AT385" s="25"/>
      <c r="AU385" s="183"/>
      <c r="AV385" s="15"/>
      <c r="AW385" s="15"/>
      <c r="AX385" s="278"/>
      <c r="AY385" s="278"/>
      <c r="AZ385" s="182"/>
      <c r="BA385" s="183"/>
      <c r="BB385" s="15"/>
      <c r="BC385" s="131"/>
      <c r="BD385" s="131"/>
      <c r="BE385" s="131"/>
      <c r="BF385" s="131"/>
      <c r="BG385" s="15"/>
      <c r="BH385" s="177"/>
      <c r="BI385" s="15"/>
      <c r="BJ385" s="131"/>
      <c r="BK385" s="131"/>
      <c r="BL385" s="131"/>
      <c r="BM385" s="24"/>
    </row>
    <row r="386" spans="1:65" ht="14.25" customHeight="1">
      <c r="A386" s="15">
        <f t="shared" si="132"/>
        <v>189</v>
      </c>
      <c r="B386" s="19" t="s">
        <v>282</v>
      </c>
      <c r="C386" s="179" t="s">
        <v>42</v>
      </c>
      <c r="D386" s="130">
        <v>6.3620000000000001</v>
      </c>
      <c r="E386" s="130">
        <f>D386*4</f>
        <v>25.448</v>
      </c>
      <c r="F386" s="130">
        <f>E386*8</f>
        <v>203.584</v>
      </c>
      <c r="G386" s="130"/>
      <c r="H386" s="180"/>
      <c r="I386" s="19"/>
      <c r="J386" s="19"/>
      <c r="K386" s="181"/>
      <c r="L386" s="173">
        <v>2.25</v>
      </c>
      <c r="M386" s="15">
        <v>2.1880000000000002</v>
      </c>
      <c r="N386" s="15">
        <v>2E-3</v>
      </c>
      <c r="O386" s="15">
        <v>0.183</v>
      </c>
      <c r="P386" s="175">
        <f t="shared" si="123"/>
        <v>4.6230000000000002</v>
      </c>
      <c r="Q386" s="173">
        <v>0.24399999999999999</v>
      </c>
      <c r="R386" s="15">
        <v>5.0000000000000001E-3</v>
      </c>
      <c r="S386" s="175">
        <f t="shared" si="119"/>
        <v>0.249</v>
      </c>
      <c r="T386" s="176"/>
      <c r="U386" s="198" t="s">
        <v>569</v>
      </c>
      <c r="V386" s="15"/>
      <c r="W386" s="15"/>
      <c r="X386" s="15">
        <v>41.44</v>
      </c>
      <c r="Y386" s="15">
        <v>0.8</v>
      </c>
      <c r="Z386" s="15">
        <v>7.8</v>
      </c>
      <c r="AA386" s="15">
        <f t="shared" si="120"/>
        <v>8.6</v>
      </c>
      <c r="AB386" s="23">
        <f t="shared" si="141"/>
        <v>66.42</v>
      </c>
      <c r="AC386" s="15">
        <v>3321</v>
      </c>
      <c r="AD386" s="15">
        <v>73.73</v>
      </c>
      <c r="AE386" s="15">
        <v>301.5</v>
      </c>
      <c r="AF386" s="15"/>
      <c r="AG386" s="15">
        <v>206.46</v>
      </c>
      <c r="AH386" s="15"/>
      <c r="AI386" s="15"/>
      <c r="AJ386" s="15">
        <v>581.69000000000005</v>
      </c>
      <c r="AK386" s="15">
        <v>0.58169000000000004</v>
      </c>
      <c r="AL386" s="177"/>
      <c r="AM386" s="137" t="s">
        <v>20</v>
      </c>
      <c r="AN386" s="131" t="str">
        <f>AO386</f>
        <v>D</v>
      </c>
      <c r="AO386" s="131" t="s">
        <v>21</v>
      </c>
      <c r="AP386" s="349">
        <v>45654</v>
      </c>
      <c r="AQ386" s="349">
        <f t="shared" ref="AQ386" si="165">AP386+1</f>
        <v>45655</v>
      </c>
      <c r="AR386" s="349">
        <f t="shared" ref="AR386" si="166">AQ386+1</f>
        <v>45656</v>
      </c>
      <c r="AS386" s="530">
        <v>45657</v>
      </c>
      <c r="AT386" s="15" t="s">
        <v>539</v>
      </c>
      <c r="AU386" s="194"/>
      <c r="AV386" s="137" t="s">
        <v>20</v>
      </c>
      <c r="AW386" s="15" t="s">
        <v>6</v>
      </c>
      <c r="AX386" s="278">
        <v>45655</v>
      </c>
      <c r="AY386" s="278">
        <f>AX386</f>
        <v>45655</v>
      </c>
      <c r="AZ386" s="182" t="s">
        <v>539</v>
      </c>
      <c r="BA386" s="183"/>
      <c r="BB386" s="137" t="s">
        <v>20</v>
      </c>
      <c r="BC386" s="131"/>
      <c r="BD386" s="131" t="s">
        <v>21</v>
      </c>
      <c r="BE386" s="279">
        <f>BF386-2</f>
        <v>45687</v>
      </c>
      <c r="BF386" s="279">
        <v>45689</v>
      </c>
      <c r="BG386" s="15" t="s">
        <v>575</v>
      </c>
      <c r="BH386" s="177"/>
      <c r="BI386" s="137" t="s">
        <v>20</v>
      </c>
      <c r="BJ386" s="131">
        <v>45816</v>
      </c>
      <c r="BK386" s="131">
        <v>45816</v>
      </c>
      <c r="BL386" s="25">
        <v>980</v>
      </c>
      <c r="BM386" s="24" t="s">
        <v>587</v>
      </c>
    </row>
    <row r="387" spans="1:65" ht="14.25" customHeight="1">
      <c r="A387" s="15" t="s">
        <v>0</v>
      </c>
      <c r="B387" s="19"/>
      <c r="C387" s="179"/>
      <c r="D387" s="130"/>
      <c r="E387" s="130"/>
      <c r="F387" s="130"/>
      <c r="G387" s="130"/>
      <c r="H387" s="180"/>
      <c r="I387" s="19"/>
      <c r="J387" s="19"/>
      <c r="K387" s="181"/>
      <c r="L387" s="173"/>
      <c r="M387" s="15"/>
      <c r="N387" s="15"/>
      <c r="O387" s="15"/>
      <c r="P387" s="175"/>
      <c r="Q387" s="173"/>
      <c r="R387" s="15"/>
      <c r="S387" s="175"/>
      <c r="T387" s="176"/>
      <c r="U387" s="176"/>
      <c r="V387" s="15">
        <v>358.35</v>
      </c>
      <c r="W387" s="15" t="s">
        <v>500</v>
      </c>
      <c r="X387" s="15"/>
      <c r="Y387" s="15"/>
      <c r="Z387" s="15"/>
      <c r="AA387" s="15"/>
      <c r="AB387" s="23">
        <f t="shared" si="141"/>
        <v>0</v>
      </c>
      <c r="AC387" s="15"/>
      <c r="AD387" s="15"/>
      <c r="AE387" s="15"/>
      <c r="AF387" s="15"/>
      <c r="AG387" s="15"/>
      <c r="AH387" s="15"/>
      <c r="AI387" s="15"/>
      <c r="AJ387" s="15"/>
      <c r="AK387" s="15"/>
      <c r="AL387" s="177"/>
      <c r="AM387" s="15"/>
      <c r="AN387" s="131"/>
      <c r="AO387" s="131"/>
      <c r="AP387" s="131"/>
      <c r="AQ387" s="131"/>
      <c r="AR387" s="131"/>
      <c r="AS387" s="134"/>
      <c r="AT387" s="25"/>
      <c r="AU387" s="183"/>
      <c r="AV387" s="15"/>
      <c r="AW387" s="15"/>
      <c r="AX387" s="278"/>
      <c r="AY387" s="278"/>
      <c r="AZ387" s="182"/>
      <c r="BA387" s="183"/>
      <c r="BB387" s="15"/>
      <c r="BC387" s="131"/>
      <c r="BD387" s="131"/>
      <c r="BE387" s="131"/>
      <c r="BF387" s="131"/>
      <c r="BG387" s="15"/>
      <c r="BH387" s="177"/>
      <c r="BI387" s="15"/>
      <c r="BJ387" s="131"/>
      <c r="BK387" s="131"/>
      <c r="BL387" s="131"/>
      <c r="BM387" s="24"/>
    </row>
    <row r="388" spans="1:65" ht="14.25" customHeight="1">
      <c r="A388" s="15">
        <f t="shared" si="132"/>
        <v>190</v>
      </c>
      <c r="B388" s="19" t="s">
        <v>283</v>
      </c>
      <c r="C388" s="179" t="s">
        <v>42</v>
      </c>
      <c r="D388" s="130">
        <v>6.3620000000000001</v>
      </c>
      <c r="E388" s="130">
        <f>D388*4</f>
        <v>25.448</v>
      </c>
      <c r="F388" s="130">
        <f>E388*8</f>
        <v>203.584</v>
      </c>
      <c r="G388" s="130"/>
      <c r="H388" s="180"/>
      <c r="I388" s="19"/>
      <c r="J388" s="19"/>
      <c r="K388" s="181"/>
      <c r="L388" s="173">
        <v>2.25</v>
      </c>
      <c r="M388" s="15">
        <v>2.1880000000000002</v>
      </c>
      <c r="N388" s="15">
        <v>2E-3</v>
      </c>
      <c r="O388" s="15">
        <v>0.183</v>
      </c>
      <c r="P388" s="175">
        <f t="shared" si="123"/>
        <v>4.6230000000000002</v>
      </c>
      <c r="Q388" s="173">
        <v>0.24399999999999999</v>
      </c>
      <c r="R388" s="15">
        <v>5.0000000000000001E-3</v>
      </c>
      <c r="S388" s="175">
        <f t="shared" si="119"/>
        <v>0.249</v>
      </c>
      <c r="T388" s="176"/>
      <c r="U388" s="198" t="s">
        <v>569</v>
      </c>
      <c r="V388" s="15"/>
      <c r="W388" s="15"/>
      <c r="X388" s="15">
        <v>41.44</v>
      </c>
      <c r="Y388" s="15">
        <v>0.8</v>
      </c>
      <c r="Z388" s="15">
        <v>7.8</v>
      </c>
      <c r="AA388" s="15">
        <f t="shared" si="120"/>
        <v>8.6</v>
      </c>
      <c r="AB388" s="23">
        <f t="shared" si="141"/>
        <v>66.42</v>
      </c>
      <c r="AC388" s="15">
        <v>3321</v>
      </c>
      <c r="AD388" s="15">
        <v>73.73</v>
      </c>
      <c r="AE388" s="15">
        <v>301.5</v>
      </c>
      <c r="AF388" s="15"/>
      <c r="AG388" s="15">
        <v>206.46</v>
      </c>
      <c r="AH388" s="15"/>
      <c r="AI388" s="15"/>
      <c r="AJ388" s="15">
        <v>581.69000000000005</v>
      </c>
      <c r="AK388" s="15">
        <v>0.58169000000000004</v>
      </c>
      <c r="AL388" s="177"/>
      <c r="AM388" s="137" t="s">
        <v>20</v>
      </c>
      <c r="AN388" s="131" t="str">
        <f>AO388</f>
        <v>D</v>
      </c>
      <c r="AO388" s="131" t="s">
        <v>21</v>
      </c>
      <c r="AP388" s="349">
        <v>45659</v>
      </c>
      <c r="AQ388" s="349">
        <f t="shared" ref="AQ388" si="167">AR388-1</f>
        <v>45660</v>
      </c>
      <c r="AR388" s="349">
        <f t="shared" ref="AR388" si="168">AS388-1</f>
        <v>45661</v>
      </c>
      <c r="AS388" s="530">
        <v>45662</v>
      </c>
      <c r="AT388" s="15" t="s">
        <v>539</v>
      </c>
      <c r="AU388" s="194"/>
      <c r="AV388" s="137" t="s">
        <v>20</v>
      </c>
      <c r="AW388" s="15" t="s">
        <v>6</v>
      </c>
      <c r="AX388" s="278">
        <v>45655</v>
      </c>
      <c r="AY388" s="278">
        <f>AX388</f>
        <v>45655</v>
      </c>
      <c r="AZ388" s="182" t="s">
        <v>539</v>
      </c>
      <c r="BA388" s="183"/>
      <c r="BB388" s="137" t="s">
        <v>20</v>
      </c>
      <c r="BC388" s="131"/>
      <c r="BD388" s="131" t="s">
        <v>21</v>
      </c>
      <c r="BE388" s="279">
        <f>BF388-1</f>
        <v>45721</v>
      </c>
      <c r="BF388" s="279">
        <v>45722</v>
      </c>
      <c r="BG388" s="15" t="s">
        <v>548</v>
      </c>
      <c r="BH388" s="177"/>
      <c r="BI388" s="137" t="s">
        <v>20</v>
      </c>
      <c r="BJ388" s="131">
        <f>BK388</f>
        <v>45792</v>
      </c>
      <c r="BK388" s="131">
        <v>45792</v>
      </c>
      <c r="BL388" s="25">
        <v>980</v>
      </c>
      <c r="BM388" s="24" t="s">
        <v>587</v>
      </c>
    </row>
    <row r="389" spans="1:65" ht="14.25" customHeight="1">
      <c r="A389" s="15" t="s">
        <v>0</v>
      </c>
      <c r="B389" s="19"/>
      <c r="C389" s="179"/>
      <c r="D389" s="130"/>
      <c r="E389" s="130"/>
      <c r="F389" s="130"/>
      <c r="G389" s="130"/>
      <c r="H389" s="180"/>
      <c r="I389" s="19"/>
      <c r="J389" s="19"/>
      <c r="K389" s="181"/>
      <c r="L389" s="173"/>
      <c r="M389" s="15"/>
      <c r="N389" s="15"/>
      <c r="O389" s="15"/>
      <c r="P389" s="175"/>
      <c r="Q389" s="173"/>
      <c r="R389" s="15"/>
      <c r="S389" s="175"/>
      <c r="T389" s="176"/>
      <c r="U389" s="176"/>
      <c r="V389" s="15">
        <v>319.20999999999998</v>
      </c>
      <c r="W389" s="15" t="s">
        <v>500</v>
      </c>
      <c r="X389" s="15"/>
      <c r="Y389" s="15"/>
      <c r="Z389" s="15"/>
      <c r="AA389" s="15"/>
      <c r="AB389" s="23">
        <f t="shared" si="141"/>
        <v>0</v>
      </c>
      <c r="AC389" s="15"/>
      <c r="AD389" s="15"/>
      <c r="AE389" s="15"/>
      <c r="AF389" s="15"/>
      <c r="AG389" s="15"/>
      <c r="AH389" s="15"/>
      <c r="AI389" s="15"/>
      <c r="AJ389" s="15"/>
      <c r="AK389" s="15"/>
      <c r="AL389" s="177"/>
      <c r="AM389" s="15"/>
      <c r="AN389" s="131"/>
      <c r="AO389" s="131"/>
      <c r="AP389" s="131"/>
      <c r="AQ389" s="131"/>
      <c r="AR389" s="131"/>
      <c r="AS389" s="134"/>
      <c r="AT389" s="25"/>
      <c r="AU389" s="183"/>
      <c r="AV389" s="15"/>
      <c r="AW389" s="15"/>
      <c r="AX389" s="278"/>
      <c r="AY389" s="278"/>
      <c r="AZ389" s="182"/>
      <c r="BA389" s="183"/>
      <c r="BB389" s="15"/>
      <c r="BC389" s="131"/>
      <c r="BD389" s="131"/>
      <c r="BE389" s="131"/>
      <c r="BF389" s="131"/>
      <c r="BG389" s="15"/>
      <c r="BH389" s="177"/>
      <c r="BI389" s="15"/>
      <c r="BJ389" s="131"/>
      <c r="BK389" s="131"/>
      <c r="BL389" s="131"/>
      <c r="BM389" s="24"/>
    </row>
    <row r="390" spans="1:65" ht="14.25" customHeight="1">
      <c r="A390" s="15">
        <f t="shared" si="132"/>
        <v>191</v>
      </c>
      <c r="B390" s="19" t="s">
        <v>284</v>
      </c>
      <c r="C390" s="179" t="s">
        <v>42</v>
      </c>
      <c r="D390" s="130">
        <v>6.3620000000000001</v>
      </c>
      <c r="E390" s="130">
        <f>D390*4</f>
        <v>25.448</v>
      </c>
      <c r="F390" s="130">
        <f>E390*8</f>
        <v>203.584</v>
      </c>
      <c r="G390" s="130"/>
      <c r="H390" s="180"/>
      <c r="I390" s="19"/>
      <c r="J390" s="19"/>
      <c r="K390" s="181"/>
      <c r="L390" s="173">
        <v>2.25</v>
      </c>
      <c r="M390" s="15">
        <v>2.1880000000000002</v>
      </c>
      <c r="N390" s="15">
        <v>2E-3</v>
      </c>
      <c r="O390" s="15">
        <v>0.183</v>
      </c>
      <c r="P390" s="175">
        <f t="shared" si="123"/>
        <v>4.6230000000000002</v>
      </c>
      <c r="Q390" s="173">
        <v>0.24399999999999999</v>
      </c>
      <c r="R390" s="15">
        <v>5.0000000000000001E-3</v>
      </c>
      <c r="S390" s="175">
        <f t="shared" si="119"/>
        <v>0.249</v>
      </c>
      <c r="T390" s="176"/>
      <c r="U390" s="198" t="s">
        <v>569</v>
      </c>
      <c r="V390" s="15"/>
      <c r="W390" s="15"/>
      <c r="X390" s="15">
        <v>41.44</v>
      </c>
      <c r="Y390" s="15">
        <v>0.8</v>
      </c>
      <c r="Z390" s="15">
        <v>7.8</v>
      </c>
      <c r="AA390" s="15">
        <f t="shared" si="120"/>
        <v>8.6</v>
      </c>
      <c r="AB390" s="23">
        <f t="shared" si="141"/>
        <v>66.42</v>
      </c>
      <c r="AC390" s="15">
        <v>3321</v>
      </c>
      <c r="AD390" s="15">
        <v>73.73</v>
      </c>
      <c r="AE390" s="15">
        <v>301.5</v>
      </c>
      <c r="AF390" s="15"/>
      <c r="AG390" s="15">
        <v>206.46</v>
      </c>
      <c r="AH390" s="15"/>
      <c r="AI390" s="15"/>
      <c r="AJ390" s="15">
        <v>581.69000000000005</v>
      </c>
      <c r="AK390" s="15">
        <v>0.58169000000000004</v>
      </c>
      <c r="AL390" s="177"/>
      <c r="AM390" s="137" t="s">
        <v>20</v>
      </c>
      <c r="AN390" s="131" t="str">
        <f>AO390</f>
        <v>D</v>
      </c>
      <c r="AO390" s="131" t="s">
        <v>21</v>
      </c>
      <c r="AP390" s="349">
        <v>45659</v>
      </c>
      <c r="AQ390" s="349">
        <f>AR390-3</f>
        <v>45662</v>
      </c>
      <c r="AR390" s="349">
        <f>AS390-2</f>
        <v>45665</v>
      </c>
      <c r="AS390" s="530">
        <v>45667</v>
      </c>
      <c r="AT390" s="15" t="s">
        <v>539</v>
      </c>
      <c r="AU390" s="194"/>
      <c r="AV390" s="137" t="s">
        <v>20</v>
      </c>
      <c r="AW390" s="15" t="s">
        <v>6</v>
      </c>
      <c r="AX390" s="278">
        <v>45655</v>
      </c>
      <c r="AY390" s="278">
        <f>AX390</f>
        <v>45655</v>
      </c>
      <c r="AZ390" s="182" t="s">
        <v>539</v>
      </c>
      <c r="BA390" s="183"/>
      <c r="BB390" s="137" t="s">
        <v>20</v>
      </c>
      <c r="BC390" s="131"/>
      <c r="BD390" s="131" t="s">
        <v>21</v>
      </c>
      <c r="BE390" s="279">
        <f>BF390-2</f>
        <v>45719</v>
      </c>
      <c r="BF390" s="279">
        <v>45721</v>
      </c>
      <c r="BG390" s="15" t="s">
        <v>548</v>
      </c>
      <c r="BH390" s="177"/>
      <c r="BI390" s="137" t="s">
        <v>20</v>
      </c>
      <c r="BJ390" s="131">
        <v>45792</v>
      </c>
      <c r="BK390" s="131">
        <v>45792</v>
      </c>
      <c r="BL390" s="25">
        <v>980</v>
      </c>
      <c r="BM390" s="185" t="s">
        <v>587</v>
      </c>
    </row>
    <row r="391" spans="1:65" ht="14.25" customHeight="1">
      <c r="A391" s="15" t="s">
        <v>0</v>
      </c>
      <c r="B391" s="19"/>
      <c r="C391" s="179"/>
      <c r="D391" s="130"/>
      <c r="E391" s="130"/>
      <c r="F391" s="130"/>
      <c r="G391" s="130"/>
      <c r="H391" s="180"/>
      <c r="I391" s="19"/>
      <c r="J391" s="19"/>
      <c r="K391" s="181"/>
      <c r="L391" s="173"/>
      <c r="M391" s="15"/>
      <c r="N391" s="15"/>
      <c r="O391" s="15"/>
      <c r="P391" s="175"/>
      <c r="Q391" s="173"/>
      <c r="R391" s="15"/>
      <c r="S391" s="175"/>
      <c r="T391" s="176"/>
      <c r="U391" s="176"/>
      <c r="V391" s="15">
        <v>342.4</v>
      </c>
      <c r="W391" s="15" t="s">
        <v>500</v>
      </c>
      <c r="X391" s="15"/>
      <c r="Y391" s="15"/>
      <c r="Z391" s="15"/>
      <c r="AA391" s="15"/>
      <c r="AB391" s="23">
        <f t="shared" si="141"/>
        <v>0</v>
      </c>
      <c r="AC391" s="15"/>
      <c r="AD391" s="15"/>
      <c r="AE391" s="15"/>
      <c r="AF391" s="15"/>
      <c r="AG391" s="15"/>
      <c r="AH391" s="15"/>
      <c r="AI391" s="15"/>
      <c r="AJ391" s="15"/>
      <c r="AK391" s="15"/>
      <c r="AL391" s="177"/>
      <c r="AM391" s="15"/>
      <c r="AN391" s="131"/>
      <c r="AO391" s="131"/>
      <c r="AP391" s="131"/>
      <c r="AQ391" s="131"/>
      <c r="AR391" s="131"/>
      <c r="AS391" s="134"/>
      <c r="AT391" s="25"/>
      <c r="AU391" s="183"/>
      <c r="AV391" s="15"/>
      <c r="AW391" s="15"/>
      <c r="AX391" s="278"/>
      <c r="AY391" s="278"/>
      <c r="AZ391" s="182"/>
      <c r="BA391" s="183"/>
      <c r="BB391" s="15"/>
      <c r="BC391" s="131"/>
      <c r="BD391" s="131"/>
      <c r="BE391" s="131"/>
      <c r="BF391" s="131"/>
      <c r="BG391" s="15"/>
      <c r="BH391" s="177"/>
      <c r="BI391" s="15"/>
      <c r="BJ391" s="131"/>
      <c r="BK391" s="131"/>
      <c r="BL391" s="131"/>
      <c r="BM391" s="24"/>
    </row>
    <row r="392" spans="1:65" ht="14.25" customHeight="1">
      <c r="A392" s="15">
        <f t="shared" si="132"/>
        <v>192</v>
      </c>
      <c r="B392" s="19" t="s">
        <v>285</v>
      </c>
      <c r="C392" s="179" t="s">
        <v>37</v>
      </c>
      <c r="D392" s="130">
        <v>6.992</v>
      </c>
      <c r="E392" s="130">
        <f>D392*4</f>
        <v>27.968</v>
      </c>
      <c r="F392" s="130">
        <f>E392*8</f>
        <v>223.744</v>
      </c>
      <c r="G392" s="130"/>
      <c r="H392" s="180"/>
      <c r="I392" s="19"/>
      <c r="J392" s="19"/>
      <c r="K392" s="181"/>
      <c r="L392" s="173">
        <v>2.6070000000000002</v>
      </c>
      <c r="M392" s="15">
        <v>2.657</v>
      </c>
      <c r="N392" s="15">
        <v>2E-3</v>
      </c>
      <c r="O392" s="15">
        <v>0.21299999999999999</v>
      </c>
      <c r="P392" s="175">
        <f t="shared" si="123"/>
        <v>5.4790000000000001</v>
      </c>
      <c r="Q392" s="173">
        <v>0.24399999999999999</v>
      </c>
      <c r="R392" s="15">
        <v>5.0000000000000001E-3</v>
      </c>
      <c r="S392" s="175">
        <f t="shared" si="119"/>
        <v>0.249</v>
      </c>
      <c r="T392" s="176"/>
      <c r="U392" s="198" t="s">
        <v>569</v>
      </c>
      <c r="V392" s="15"/>
      <c r="W392" s="15"/>
      <c r="X392" s="15">
        <v>41.44</v>
      </c>
      <c r="Y392" s="15">
        <v>0.8</v>
      </c>
      <c r="Z392" s="15">
        <v>7.8</v>
      </c>
      <c r="AA392" s="15">
        <f t="shared" si="120"/>
        <v>8.6</v>
      </c>
      <c r="AB392" s="23">
        <f t="shared" si="141"/>
        <v>66.42</v>
      </c>
      <c r="AC392" s="15">
        <v>3321</v>
      </c>
      <c r="AD392" s="15">
        <v>73.73</v>
      </c>
      <c r="AE392" s="15">
        <v>301.5</v>
      </c>
      <c r="AF392" s="15"/>
      <c r="AG392" s="15">
        <v>206.46</v>
      </c>
      <c r="AH392" s="15"/>
      <c r="AI392" s="15"/>
      <c r="AJ392" s="15">
        <v>581.69000000000005</v>
      </c>
      <c r="AK392" s="15">
        <v>0.58169000000000004</v>
      </c>
      <c r="AL392" s="177"/>
      <c r="AM392" s="137" t="s">
        <v>20</v>
      </c>
      <c r="AN392" s="131" t="str">
        <f>AO392</f>
        <v>D</v>
      </c>
      <c r="AO392" s="131" t="s">
        <v>21</v>
      </c>
      <c r="AP392" s="349">
        <v>45654</v>
      </c>
      <c r="AQ392" s="349">
        <v>45654</v>
      </c>
      <c r="AR392" s="349">
        <f>AS392-1</f>
        <v>45655</v>
      </c>
      <c r="AS392" s="530">
        <v>45656</v>
      </c>
      <c r="AT392" s="25" t="s">
        <v>589</v>
      </c>
      <c r="AU392" s="183"/>
      <c r="AV392" s="137" t="s">
        <v>20</v>
      </c>
      <c r="AW392" s="15" t="s">
        <v>6</v>
      </c>
      <c r="AX392" s="278">
        <v>45655</v>
      </c>
      <c r="AY392" s="278">
        <f>AX392</f>
        <v>45655</v>
      </c>
      <c r="AZ392" s="19" t="s">
        <v>590</v>
      </c>
      <c r="BA392" s="194"/>
      <c r="BB392" s="137" t="s">
        <v>20</v>
      </c>
      <c r="BC392" s="131"/>
      <c r="BD392" s="131" t="s">
        <v>21</v>
      </c>
      <c r="BE392" s="279">
        <f>BF392-1</f>
        <v>45718</v>
      </c>
      <c r="BF392" s="279">
        <v>45719</v>
      </c>
      <c r="BG392" s="15" t="s">
        <v>548</v>
      </c>
      <c r="BH392" s="177"/>
      <c r="BI392" s="137" t="s">
        <v>20</v>
      </c>
      <c r="BJ392" s="131">
        <v>45792</v>
      </c>
      <c r="BK392" s="131">
        <v>45792</v>
      </c>
      <c r="BL392" s="25">
        <v>1330</v>
      </c>
      <c r="BM392" s="185" t="s">
        <v>587</v>
      </c>
    </row>
    <row r="393" spans="1:65" ht="14.25" customHeight="1">
      <c r="A393" s="15" t="s">
        <v>0</v>
      </c>
      <c r="B393" s="19"/>
      <c r="C393" s="179"/>
      <c r="D393" s="130"/>
      <c r="E393" s="130"/>
      <c r="F393" s="130"/>
      <c r="G393" s="130"/>
      <c r="H393" s="180"/>
      <c r="I393" s="19"/>
      <c r="J393" s="19"/>
      <c r="K393" s="181"/>
      <c r="L393" s="173"/>
      <c r="M393" s="15"/>
      <c r="N393" s="15"/>
      <c r="O393" s="15"/>
      <c r="P393" s="175"/>
      <c r="Q393" s="173"/>
      <c r="R393" s="15"/>
      <c r="S393" s="175"/>
      <c r="T393" s="176"/>
      <c r="U393" s="176"/>
      <c r="V393" s="15">
        <v>337.31</v>
      </c>
      <c r="W393" s="15" t="s">
        <v>500</v>
      </c>
      <c r="X393" s="15"/>
      <c r="Y393" s="15"/>
      <c r="Z393" s="15"/>
      <c r="AA393" s="15"/>
      <c r="AB393" s="23">
        <f t="shared" si="141"/>
        <v>0</v>
      </c>
      <c r="AC393" s="15"/>
      <c r="AD393" s="15"/>
      <c r="AE393" s="15"/>
      <c r="AF393" s="15"/>
      <c r="AG393" s="15"/>
      <c r="AH393" s="15"/>
      <c r="AI393" s="15"/>
      <c r="AJ393" s="15"/>
      <c r="AK393" s="15"/>
      <c r="AL393" s="177"/>
      <c r="AM393" s="15"/>
      <c r="AN393" s="131"/>
      <c r="AO393" s="131"/>
      <c r="AP393" s="131"/>
      <c r="AQ393" s="131"/>
      <c r="AR393" s="131"/>
      <c r="AS393" s="134"/>
      <c r="AT393" s="25"/>
      <c r="AU393" s="183"/>
      <c r="AV393" s="15"/>
      <c r="AW393" s="15"/>
      <c r="AX393" s="278"/>
      <c r="AY393" s="278"/>
      <c r="AZ393" s="182"/>
      <c r="BA393" s="183"/>
      <c r="BB393" s="15"/>
      <c r="BC393" s="131"/>
      <c r="BD393" s="131"/>
      <c r="BE393" s="131"/>
      <c r="BF393" s="131"/>
      <c r="BG393" s="15"/>
      <c r="BH393" s="177"/>
      <c r="BI393" s="15"/>
      <c r="BJ393" s="131"/>
      <c r="BK393" s="131"/>
      <c r="BL393" s="131"/>
      <c r="BM393" s="24"/>
    </row>
    <row r="394" spans="1:65" ht="14.25" customHeight="1">
      <c r="A394" s="15">
        <f t="shared" si="132"/>
        <v>193</v>
      </c>
      <c r="B394" s="19" t="s">
        <v>287</v>
      </c>
      <c r="C394" s="179" t="s">
        <v>89</v>
      </c>
      <c r="D394" s="130">
        <v>8.6300000000000008</v>
      </c>
      <c r="E394" s="130">
        <f>D394*4</f>
        <v>34.520000000000003</v>
      </c>
      <c r="F394" s="130">
        <f>E394*8</f>
        <v>276.16000000000003</v>
      </c>
      <c r="G394" s="130"/>
      <c r="H394" s="180"/>
      <c r="I394" s="19"/>
      <c r="J394" s="19"/>
      <c r="K394" s="181"/>
      <c r="L394" s="173">
        <v>3.867</v>
      </c>
      <c r="M394" s="15">
        <v>3.306</v>
      </c>
      <c r="N394" s="15">
        <v>5.0000000000000001E-3</v>
      </c>
      <c r="O394" s="15">
        <v>0.27600000000000002</v>
      </c>
      <c r="P394" s="175">
        <f t="shared" si="123"/>
        <v>7.4539999999999997</v>
      </c>
      <c r="Q394" s="173">
        <v>0.36299999999999999</v>
      </c>
      <c r="R394" s="15">
        <v>6.0000000000000001E-3</v>
      </c>
      <c r="S394" s="175">
        <f t="shared" ref="S394:S410" si="169">SUM(Q394:R394)</f>
        <v>0.36899999999999999</v>
      </c>
      <c r="T394" s="176"/>
      <c r="U394" s="198" t="s">
        <v>569</v>
      </c>
      <c r="V394" s="15"/>
      <c r="W394" s="15"/>
      <c r="X394" s="15">
        <v>41.44</v>
      </c>
      <c r="Y394" s="15">
        <v>0.97</v>
      </c>
      <c r="Z394" s="15">
        <v>9.82</v>
      </c>
      <c r="AA394" s="15">
        <f t="shared" ref="AA394:AA410" si="170">Y394+Z394</f>
        <v>10.790000000000001</v>
      </c>
      <c r="AB394" s="23">
        <f t="shared" si="141"/>
        <v>83.456000000000003</v>
      </c>
      <c r="AC394" s="15">
        <v>3321</v>
      </c>
      <c r="AD394" s="15">
        <v>73.73</v>
      </c>
      <c r="AE394" s="15">
        <v>301.5</v>
      </c>
      <c r="AF394" s="15"/>
      <c r="AG394" s="15">
        <v>206.46</v>
      </c>
      <c r="AH394" s="15"/>
      <c r="AI394" s="15"/>
      <c r="AJ394" s="15">
        <v>581.69000000000005</v>
      </c>
      <c r="AK394" s="15">
        <v>0.58169000000000004</v>
      </c>
      <c r="AL394" s="177"/>
      <c r="AM394" s="137" t="s">
        <v>20</v>
      </c>
      <c r="AN394" s="131" t="str">
        <f>AO394</f>
        <v>D</v>
      </c>
      <c r="AO394" s="131" t="s">
        <v>21</v>
      </c>
      <c r="AP394" s="349">
        <f t="shared" ref="AP394" si="171">AQ394-2</f>
        <v>45658</v>
      </c>
      <c r="AQ394" s="349">
        <f t="shared" ref="AQ394" si="172">AR394-2</f>
        <v>45660</v>
      </c>
      <c r="AR394" s="349">
        <f t="shared" ref="AR394" si="173">AS394-2</f>
        <v>45662</v>
      </c>
      <c r="AS394" s="530">
        <v>45664</v>
      </c>
      <c r="AT394" s="25" t="s">
        <v>589</v>
      </c>
      <c r="AU394" s="183"/>
      <c r="AV394" s="137" t="s">
        <v>20</v>
      </c>
      <c r="AW394" s="15" t="s">
        <v>6</v>
      </c>
      <c r="AX394" s="278">
        <v>45655</v>
      </c>
      <c r="AY394" s="278">
        <f>AX394</f>
        <v>45655</v>
      </c>
      <c r="AZ394" s="19" t="s">
        <v>590</v>
      </c>
      <c r="BA394" s="183"/>
      <c r="BB394" s="137" t="s">
        <v>20</v>
      </c>
      <c r="BC394" s="131"/>
      <c r="BD394" s="131" t="s">
        <v>21</v>
      </c>
      <c r="BE394" s="279">
        <f>BF394-2</f>
        <v>45716</v>
      </c>
      <c r="BF394" s="279">
        <v>45718</v>
      </c>
      <c r="BG394" s="15" t="s">
        <v>575</v>
      </c>
      <c r="BH394" s="15"/>
      <c r="BI394" s="137" t="s">
        <v>20</v>
      </c>
      <c r="BJ394" s="131">
        <v>45792</v>
      </c>
      <c r="BK394" s="131">
        <v>45792</v>
      </c>
      <c r="BL394" s="25">
        <v>1560</v>
      </c>
      <c r="BM394" s="24" t="s">
        <v>587</v>
      </c>
    </row>
    <row r="395" spans="1:65" ht="14.25" customHeight="1">
      <c r="A395" s="15" t="s">
        <v>0</v>
      </c>
      <c r="B395" s="19"/>
      <c r="C395" s="179"/>
      <c r="D395" s="130"/>
      <c r="E395" s="130"/>
      <c r="F395" s="130"/>
      <c r="G395" s="130"/>
      <c r="H395" s="180"/>
      <c r="I395" s="19"/>
      <c r="J395" s="19"/>
      <c r="K395" s="181"/>
      <c r="L395" s="173"/>
      <c r="M395" s="15"/>
      <c r="N395" s="15"/>
      <c r="O395" s="15"/>
      <c r="P395" s="175"/>
      <c r="Q395" s="173"/>
      <c r="R395" s="15"/>
      <c r="S395" s="175"/>
      <c r="T395" s="176"/>
      <c r="U395" s="176"/>
      <c r="V395" s="15">
        <v>371.81</v>
      </c>
      <c r="W395" s="15" t="s">
        <v>500</v>
      </c>
      <c r="X395" s="15"/>
      <c r="Y395" s="15"/>
      <c r="Z395" s="15"/>
      <c r="AA395" s="15"/>
      <c r="AB395" s="23">
        <f t="shared" si="141"/>
        <v>0</v>
      </c>
      <c r="AC395" s="15"/>
      <c r="AD395" s="15"/>
      <c r="AE395" s="15"/>
      <c r="AF395" s="15"/>
      <c r="AG395" s="15"/>
      <c r="AH395" s="15"/>
      <c r="AI395" s="15"/>
      <c r="AJ395" s="15"/>
      <c r="AK395" s="15"/>
      <c r="AL395" s="177"/>
      <c r="AM395" s="15"/>
      <c r="AN395" s="131"/>
      <c r="AO395" s="131"/>
      <c r="AP395" s="131"/>
      <c r="AQ395" s="131"/>
      <c r="AR395" s="131"/>
      <c r="AS395" s="134"/>
      <c r="AT395" s="25"/>
      <c r="AU395" s="183"/>
      <c r="AV395" s="15"/>
      <c r="AW395" s="15"/>
      <c r="AX395" s="278"/>
      <c r="AY395" s="278"/>
      <c r="AZ395" s="182"/>
      <c r="BA395" s="183"/>
      <c r="BB395" s="15"/>
      <c r="BC395" s="131"/>
      <c r="BD395" s="131"/>
      <c r="BE395" s="131"/>
      <c r="BF395" s="131"/>
      <c r="BG395" s="15"/>
      <c r="BH395" s="15"/>
      <c r="BI395" s="15"/>
      <c r="BJ395" s="131"/>
      <c r="BK395" s="131"/>
      <c r="BL395" s="131"/>
      <c r="BM395" s="24"/>
    </row>
    <row r="396" spans="1:65" ht="14.25" customHeight="1">
      <c r="A396" s="15">
        <f t="shared" si="132"/>
        <v>194</v>
      </c>
      <c r="B396" s="19" t="s">
        <v>288</v>
      </c>
      <c r="C396" s="179" t="s">
        <v>56</v>
      </c>
      <c r="D396" s="130">
        <v>7.6219999999999999</v>
      </c>
      <c r="E396" s="130">
        <f>D396*4</f>
        <v>30.488</v>
      </c>
      <c r="F396" s="130">
        <f>E396*8</f>
        <v>243.904</v>
      </c>
      <c r="G396" s="130"/>
      <c r="H396" s="180"/>
      <c r="I396" s="19"/>
      <c r="J396" s="19"/>
      <c r="K396" s="181"/>
      <c r="L396" s="173">
        <v>2.6789999999999998</v>
      </c>
      <c r="M396" s="15">
        <v>3.133</v>
      </c>
      <c r="N396" s="15">
        <v>2.5000000000000001E-3</v>
      </c>
      <c r="O396" s="15">
        <v>0.23299999999999998</v>
      </c>
      <c r="P396" s="175">
        <f t="shared" ref="P396:P410" si="174">SUM(L396:O396)</f>
        <v>6.0474999999999994</v>
      </c>
      <c r="Q396" s="173">
        <v>0.53700000000000003</v>
      </c>
      <c r="R396" s="15">
        <v>1.0999999999999999E-2</v>
      </c>
      <c r="S396" s="175">
        <f t="shared" si="169"/>
        <v>0.54800000000000004</v>
      </c>
      <c r="T396" s="176"/>
      <c r="U396" s="198" t="s">
        <v>569</v>
      </c>
      <c r="V396" s="15"/>
      <c r="W396" s="15"/>
      <c r="X396" s="15">
        <v>51.64</v>
      </c>
      <c r="Y396" s="15">
        <v>0.8</v>
      </c>
      <c r="Z396" s="15">
        <v>23.14</v>
      </c>
      <c r="AA396" s="15">
        <f t="shared" si="170"/>
        <v>23.94</v>
      </c>
      <c r="AB396" s="23">
        <f t="shared" si="141"/>
        <v>190.06040000000002</v>
      </c>
      <c r="AC396" s="15">
        <v>4172.8</v>
      </c>
      <c r="AD396" s="15">
        <v>81.819999999999993</v>
      </c>
      <c r="AE396" s="15">
        <v>408.9</v>
      </c>
      <c r="AF396" s="15"/>
      <c r="AG396" s="15">
        <v>203.94</v>
      </c>
      <c r="AH396" s="15"/>
      <c r="AI396" s="15"/>
      <c r="AJ396" s="15">
        <v>694.66</v>
      </c>
      <c r="AK396" s="15">
        <v>0.69465999999999994</v>
      </c>
      <c r="AL396" s="15"/>
      <c r="AM396" s="137" t="s">
        <v>20</v>
      </c>
      <c r="AN396" s="131" t="s">
        <v>547</v>
      </c>
      <c r="AO396" s="131" t="s">
        <v>21</v>
      </c>
      <c r="AP396" s="349">
        <v>45667</v>
      </c>
      <c r="AQ396" s="349">
        <f>AR396-1</f>
        <v>45669</v>
      </c>
      <c r="AR396" s="349">
        <f>AS396-2</f>
        <v>45670</v>
      </c>
      <c r="AS396" s="530">
        <v>45672</v>
      </c>
      <c r="AT396" s="25" t="s">
        <v>589</v>
      </c>
      <c r="AU396" s="183"/>
      <c r="AV396" s="137" t="s">
        <v>20</v>
      </c>
      <c r="AW396" s="15" t="s">
        <v>6</v>
      </c>
      <c r="AX396" s="278">
        <v>45700</v>
      </c>
      <c r="AY396" s="278">
        <v>45700</v>
      </c>
      <c r="AZ396" s="182" t="s">
        <v>589</v>
      </c>
      <c r="BA396" s="183"/>
      <c r="BB396" s="137" t="s">
        <v>20</v>
      </c>
      <c r="BC396" s="131"/>
      <c r="BD396" s="131" t="s">
        <v>570</v>
      </c>
      <c r="BE396" s="279">
        <f>BF396-2</f>
        <v>45849</v>
      </c>
      <c r="BF396" s="279">
        <v>45851</v>
      </c>
      <c r="BG396" s="15" t="s">
        <v>506</v>
      </c>
      <c r="BH396" s="15"/>
      <c r="BI396" s="137" t="s">
        <v>20</v>
      </c>
      <c r="BJ396" s="131"/>
      <c r="BK396" s="131"/>
      <c r="BL396" s="134"/>
      <c r="BM396" s="24" t="s">
        <v>709</v>
      </c>
    </row>
    <row r="397" spans="1:65" ht="14.25" customHeight="1">
      <c r="A397" s="15" t="s">
        <v>0</v>
      </c>
      <c r="B397" s="19"/>
      <c r="C397" s="179"/>
      <c r="D397" s="130"/>
      <c r="E397" s="130"/>
      <c r="F397" s="130"/>
      <c r="G397" s="130"/>
      <c r="H397" s="180"/>
      <c r="I397" s="19"/>
      <c r="J397" s="19"/>
      <c r="K397" s="181"/>
      <c r="L397" s="173"/>
      <c r="M397" s="15"/>
      <c r="N397" s="15"/>
      <c r="O397" s="15"/>
      <c r="P397" s="175"/>
      <c r="Q397" s="173"/>
      <c r="R397" s="15"/>
      <c r="S397" s="175"/>
      <c r="T397" s="176"/>
      <c r="U397" s="176"/>
      <c r="V397" s="15">
        <v>371.54</v>
      </c>
      <c r="W397" s="15" t="s">
        <v>500</v>
      </c>
      <c r="X397" s="15"/>
      <c r="Y397" s="15"/>
      <c r="Z397" s="15"/>
      <c r="AA397" s="15"/>
      <c r="AB397" s="23">
        <f t="shared" si="141"/>
        <v>0</v>
      </c>
      <c r="AC397" s="15"/>
      <c r="AD397" s="15"/>
      <c r="AE397" s="15"/>
      <c r="AF397" s="15"/>
      <c r="AG397" s="15"/>
      <c r="AH397" s="15"/>
      <c r="AI397" s="15"/>
      <c r="AJ397" s="15"/>
      <c r="AK397" s="15"/>
      <c r="AL397" s="183"/>
      <c r="AM397" s="15"/>
      <c r="AN397" s="131"/>
      <c r="AO397" s="131"/>
      <c r="AP397" s="131"/>
      <c r="AQ397" s="131"/>
      <c r="AR397" s="131"/>
      <c r="AS397" s="134"/>
      <c r="AT397" s="25"/>
      <c r="AU397" s="183"/>
      <c r="AV397" s="15"/>
      <c r="AW397" s="15"/>
      <c r="AX397" s="278"/>
      <c r="AY397" s="278"/>
      <c r="AZ397" s="182"/>
      <c r="BA397" s="183"/>
      <c r="BB397" s="15"/>
      <c r="BC397" s="131"/>
      <c r="BD397" s="131"/>
      <c r="BE397" s="131"/>
      <c r="BF397" s="131"/>
      <c r="BG397" s="15"/>
      <c r="BH397" s="15"/>
      <c r="BI397" s="15"/>
      <c r="BJ397" s="131"/>
      <c r="BK397" s="131"/>
      <c r="BL397" s="131"/>
      <c r="BM397" s="24"/>
    </row>
    <row r="398" spans="1:65" ht="14.25" customHeight="1">
      <c r="A398" s="15">
        <f t="shared" si="132"/>
        <v>195</v>
      </c>
      <c r="B398" s="19" t="s">
        <v>290</v>
      </c>
      <c r="C398" s="179" t="s">
        <v>39</v>
      </c>
      <c r="D398" s="130">
        <v>7.7080000000000002</v>
      </c>
      <c r="E398" s="130">
        <f>D398*4</f>
        <v>30.832000000000001</v>
      </c>
      <c r="F398" s="130">
        <f>E398*8</f>
        <v>246.65600000000001</v>
      </c>
      <c r="G398" s="130">
        <v>1</v>
      </c>
      <c r="H398" s="180">
        <v>5</v>
      </c>
      <c r="I398" s="19">
        <v>5</v>
      </c>
      <c r="J398" s="19">
        <v>5</v>
      </c>
      <c r="K398" s="181">
        <v>5</v>
      </c>
      <c r="L398" s="173">
        <v>4.0570000000000004</v>
      </c>
      <c r="M398" s="15">
        <v>2.48</v>
      </c>
      <c r="N398" s="15">
        <v>6.0000000000000001E-3</v>
      </c>
      <c r="O398" s="15">
        <v>0.36499999999999999</v>
      </c>
      <c r="P398" s="175">
        <f t="shared" si="174"/>
        <v>6.9080000000000013</v>
      </c>
      <c r="Q398" s="173">
        <v>0.96599999999999997</v>
      </c>
      <c r="R398" s="15">
        <v>0.02</v>
      </c>
      <c r="S398" s="175">
        <f t="shared" si="169"/>
        <v>0.98599999999999999</v>
      </c>
      <c r="T398" s="176"/>
      <c r="U398" s="198" t="s">
        <v>569</v>
      </c>
      <c r="V398" s="15"/>
      <c r="W398" s="15"/>
      <c r="X398" s="15">
        <v>41.44</v>
      </c>
      <c r="Y398" s="15">
        <v>2.5099999999999998</v>
      </c>
      <c r="Z398" s="15">
        <v>37.049999999999997</v>
      </c>
      <c r="AA398" s="15">
        <f t="shared" si="170"/>
        <v>39.559999999999995</v>
      </c>
      <c r="AB398" s="23">
        <f t="shared" si="141"/>
        <v>309.76740000000001</v>
      </c>
      <c r="AC398" s="15"/>
      <c r="AD398" s="186">
        <f>154.18+133.13</f>
        <v>287.31</v>
      </c>
      <c r="AE398" s="186">
        <f>131.37+113.15+86.88</f>
        <v>331.4</v>
      </c>
      <c r="AF398" s="186"/>
      <c r="AG398" s="186">
        <f>229.43+688.25</f>
        <v>917.68000000000006</v>
      </c>
      <c r="AH398" s="186"/>
      <c r="AI398" s="186"/>
      <c r="AJ398" s="186">
        <f>SUM(AD398:AI398)</f>
        <v>1536.39</v>
      </c>
      <c r="AK398" s="15">
        <f>AJ398/1000</f>
        <v>1.5363900000000001</v>
      </c>
      <c r="AL398" s="183"/>
      <c r="AM398" s="137" t="s">
        <v>20</v>
      </c>
      <c r="AN398" s="131" t="s">
        <v>547</v>
      </c>
      <c r="AO398" s="131" t="s">
        <v>21</v>
      </c>
      <c r="AP398" s="349">
        <v>45677</v>
      </c>
      <c r="AQ398" s="349">
        <f>AP398+2</f>
        <v>45679</v>
      </c>
      <c r="AR398" s="349">
        <f>AS398-2</f>
        <v>45684</v>
      </c>
      <c r="AS398" s="530">
        <v>45686</v>
      </c>
      <c r="AT398" s="25" t="s">
        <v>589</v>
      </c>
      <c r="AU398" s="183"/>
      <c r="AV398" s="137" t="s">
        <v>20</v>
      </c>
      <c r="AW398" s="15" t="s">
        <v>6</v>
      </c>
      <c r="AX398" s="278">
        <v>45700</v>
      </c>
      <c r="AY398" s="278">
        <v>45700</v>
      </c>
      <c r="AZ398" s="182" t="s">
        <v>589</v>
      </c>
      <c r="BA398" s="183"/>
      <c r="BB398" s="137" t="s">
        <v>20</v>
      </c>
      <c r="BC398" s="131"/>
      <c r="BD398" s="131" t="s">
        <v>570</v>
      </c>
      <c r="BE398" s="279">
        <f>BF398-2</f>
        <v>45852</v>
      </c>
      <c r="BF398" s="279">
        <v>45854</v>
      </c>
      <c r="BG398" s="15" t="s">
        <v>506</v>
      </c>
      <c r="BH398" s="15"/>
      <c r="BI398" s="137" t="s">
        <v>20</v>
      </c>
      <c r="BJ398" s="131"/>
      <c r="BK398" s="131"/>
      <c r="BL398" s="25">
        <v>1001</v>
      </c>
      <c r="BM398" s="24" t="s">
        <v>709</v>
      </c>
    </row>
    <row r="399" spans="1:65" ht="14.25" customHeight="1">
      <c r="A399" s="15" t="s">
        <v>0</v>
      </c>
      <c r="B399" s="19"/>
      <c r="C399" s="179"/>
      <c r="D399" s="130"/>
      <c r="E399" s="130"/>
      <c r="F399" s="130"/>
      <c r="G399" s="130"/>
      <c r="H399" s="180"/>
      <c r="I399" s="19"/>
      <c r="J399" s="19"/>
      <c r="K399" s="181"/>
      <c r="L399" s="173"/>
      <c r="M399" s="15"/>
      <c r="N399" s="15"/>
      <c r="O399" s="15"/>
      <c r="P399" s="175"/>
      <c r="Q399" s="173"/>
      <c r="R399" s="15"/>
      <c r="S399" s="175"/>
      <c r="T399" s="176"/>
      <c r="U399" s="176"/>
      <c r="V399" s="672">
        <v>280</v>
      </c>
      <c r="W399" s="15" t="s">
        <v>537</v>
      </c>
      <c r="X399" s="15"/>
      <c r="Y399" s="15"/>
      <c r="Z399" s="15"/>
      <c r="AA399" s="15"/>
      <c r="AB399" s="23">
        <f t="shared" si="141"/>
        <v>0</v>
      </c>
      <c r="AC399" s="15"/>
      <c r="AD399" s="15"/>
      <c r="AE399" s="15"/>
      <c r="AF399" s="15"/>
      <c r="AG399" s="15"/>
      <c r="AH399" s="15"/>
      <c r="AI399" s="15"/>
      <c r="AJ399" s="15"/>
      <c r="AK399" s="15"/>
      <c r="AL399" s="183"/>
      <c r="AM399" s="15"/>
      <c r="AN399" s="131"/>
      <c r="AO399" s="131"/>
      <c r="AP399" s="131"/>
      <c r="AQ399" s="131"/>
      <c r="AR399" s="131"/>
      <c r="AS399" s="134"/>
      <c r="AT399" s="25"/>
      <c r="AU399" s="183"/>
      <c r="AV399" s="15"/>
      <c r="AW399" s="15"/>
      <c r="AX399" s="278"/>
      <c r="AY399" s="278"/>
      <c r="AZ399" s="182"/>
      <c r="BA399" s="183"/>
      <c r="BB399" s="15"/>
      <c r="BC399" s="131"/>
      <c r="BD399" s="131"/>
      <c r="BE399" s="131"/>
      <c r="BF399" s="131"/>
      <c r="BG399" s="15"/>
      <c r="BH399" s="177"/>
      <c r="BI399" s="15"/>
      <c r="BJ399" s="131"/>
      <c r="BK399" s="131"/>
      <c r="BL399" s="131"/>
      <c r="BM399" s="24"/>
    </row>
    <row r="400" spans="1:65" ht="14.25" customHeight="1">
      <c r="A400" s="15"/>
      <c r="B400" s="19" t="s">
        <v>291</v>
      </c>
      <c r="C400" s="179" t="s">
        <v>42</v>
      </c>
      <c r="D400" s="130">
        <v>6.3620000000000001</v>
      </c>
      <c r="E400" s="130">
        <f>D400*4</f>
        <v>25.448</v>
      </c>
      <c r="F400" s="130">
        <f>E400*8</f>
        <v>203.584</v>
      </c>
      <c r="G400" s="130">
        <v>1</v>
      </c>
      <c r="H400" s="180">
        <v>5</v>
      </c>
      <c r="I400" s="19">
        <v>5</v>
      </c>
      <c r="J400" s="19">
        <v>5</v>
      </c>
      <c r="K400" s="181">
        <v>5</v>
      </c>
      <c r="L400" s="173">
        <v>2.25</v>
      </c>
      <c r="M400" s="15">
        <v>2.1880000000000002</v>
      </c>
      <c r="N400" s="15">
        <v>2E-3</v>
      </c>
      <c r="O400" s="15">
        <v>0.183</v>
      </c>
      <c r="P400" s="175">
        <f t="shared" si="174"/>
        <v>4.6230000000000002</v>
      </c>
      <c r="Q400" s="173">
        <v>0.42799999999999999</v>
      </c>
      <c r="R400" s="15">
        <v>1.0999999999999999E-2</v>
      </c>
      <c r="S400" s="175">
        <f t="shared" si="169"/>
        <v>0.439</v>
      </c>
      <c r="T400" s="176"/>
      <c r="U400" s="198" t="s">
        <v>569</v>
      </c>
      <c r="V400" s="673"/>
      <c r="W400" s="15"/>
      <c r="X400" s="15">
        <v>148.80000000000001</v>
      </c>
      <c r="Y400" s="15">
        <v>1.61</v>
      </c>
      <c r="Z400" s="15">
        <v>17.579999999999998</v>
      </c>
      <c r="AA400" s="15">
        <f t="shared" si="170"/>
        <v>19.189999999999998</v>
      </c>
      <c r="AB400" s="23">
        <f t="shared" si="141"/>
        <v>148.8432</v>
      </c>
      <c r="AC400" s="15"/>
      <c r="AD400" s="15">
        <v>255.02</v>
      </c>
      <c r="AE400" s="15">
        <v>289.23</v>
      </c>
      <c r="AF400" s="15">
        <v>691.07</v>
      </c>
      <c r="AG400" s="15"/>
      <c r="AH400" s="15">
        <v>1432.6</v>
      </c>
      <c r="AI400" s="15"/>
      <c r="AJ400" s="15">
        <f>SUM(AD400:AI400)</f>
        <v>2667.92</v>
      </c>
      <c r="AK400" s="15">
        <f>AJ400/1000</f>
        <v>2.6679200000000001</v>
      </c>
      <c r="AL400" s="15"/>
      <c r="AM400" s="137" t="s">
        <v>20</v>
      </c>
      <c r="AN400" s="131" t="s">
        <v>21</v>
      </c>
      <c r="AO400" s="131" t="s">
        <v>21</v>
      </c>
      <c r="AP400" s="349">
        <v>45674</v>
      </c>
      <c r="AQ400" s="349">
        <v>45676</v>
      </c>
      <c r="AR400" s="349">
        <v>45678</v>
      </c>
      <c r="AS400" s="530">
        <v>45680</v>
      </c>
      <c r="AT400" s="25" t="s">
        <v>589</v>
      </c>
      <c r="AU400" s="183"/>
      <c r="AV400" s="137" t="s">
        <v>20</v>
      </c>
      <c r="AW400" s="15" t="s">
        <v>6</v>
      </c>
      <c r="AX400" s="278">
        <v>45700</v>
      </c>
      <c r="AY400" s="278">
        <v>45700</v>
      </c>
      <c r="AZ400" s="182" t="s">
        <v>589</v>
      </c>
      <c r="BA400" s="183"/>
      <c r="BB400" s="137" t="s">
        <v>20</v>
      </c>
      <c r="BC400" s="131"/>
      <c r="BD400" s="131" t="s">
        <v>21</v>
      </c>
      <c r="BE400" s="279">
        <f>BF400-1</f>
        <v>45806</v>
      </c>
      <c r="BF400" s="279">
        <v>45807</v>
      </c>
      <c r="BG400" s="15" t="s">
        <v>506</v>
      </c>
      <c r="BH400" s="177"/>
      <c r="BI400" s="15"/>
      <c r="BJ400" s="131"/>
      <c r="BK400" s="131"/>
      <c r="BL400" s="134"/>
      <c r="BM400" s="24"/>
    </row>
    <row r="401" spans="1:64" ht="14.25" customHeight="1">
      <c r="A401" s="15"/>
      <c r="B401" s="19"/>
      <c r="C401" s="179"/>
      <c r="D401" s="130"/>
      <c r="E401" s="130"/>
      <c r="F401" s="130"/>
      <c r="G401" s="130"/>
      <c r="H401" s="180"/>
      <c r="I401" s="19"/>
      <c r="J401" s="19"/>
      <c r="K401" s="181"/>
      <c r="L401" s="173"/>
      <c r="M401" s="15"/>
      <c r="N401" s="15"/>
      <c r="O401" s="15"/>
      <c r="P401" s="175"/>
      <c r="Q401" s="173"/>
      <c r="R401" s="15"/>
      <c r="S401" s="175"/>
      <c r="T401" s="176"/>
      <c r="U401" s="176"/>
      <c r="V401" s="673"/>
      <c r="W401" s="15" t="s">
        <v>537</v>
      </c>
      <c r="X401" s="15"/>
      <c r="Y401" s="15"/>
      <c r="Z401" s="15"/>
      <c r="AA401" s="15"/>
      <c r="AB401" s="23">
        <f t="shared" si="141"/>
        <v>0</v>
      </c>
      <c r="AC401" s="15"/>
      <c r="AD401" s="15"/>
      <c r="AE401" s="15"/>
      <c r="AF401" s="15"/>
      <c r="AG401" s="15"/>
      <c r="AH401" s="15"/>
      <c r="AI401" s="15"/>
      <c r="AJ401" s="15"/>
      <c r="AK401" s="15"/>
      <c r="AL401" s="177"/>
      <c r="AM401" s="15"/>
      <c r="AN401" s="131"/>
      <c r="AO401" s="131"/>
      <c r="AP401" s="131"/>
      <c r="AQ401" s="131"/>
      <c r="AR401" s="131"/>
      <c r="AS401" s="134"/>
      <c r="AT401" s="25"/>
      <c r="AU401" s="183"/>
      <c r="AV401" s="15"/>
      <c r="AW401" s="15"/>
      <c r="AX401" s="278"/>
      <c r="AY401" s="278"/>
      <c r="AZ401" s="182"/>
      <c r="BA401" s="183"/>
      <c r="BB401" s="15"/>
      <c r="BC401" s="131"/>
      <c r="BD401" s="131"/>
      <c r="BE401" s="131"/>
      <c r="BF401" s="131"/>
      <c r="BG401" s="15"/>
      <c r="BH401" s="177"/>
      <c r="BI401" s="15"/>
      <c r="BL401"/>
    </row>
    <row r="402" spans="1:64" ht="14.25" customHeight="1">
      <c r="A402" s="15"/>
      <c r="B402" s="19" t="s">
        <v>292</v>
      </c>
      <c r="C402" s="179" t="s">
        <v>42</v>
      </c>
      <c r="D402" s="130">
        <v>6.3620000000000001</v>
      </c>
      <c r="E402" s="130">
        <f>D402*4</f>
        <v>25.448</v>
      </c>
      <c r="F402" s="130">
        <f>E402*8</f>
        <v>203.584</v>
      </c>
      <c r="G402" s="130">
        <v>1</v>
      </c>
      <c r="H402" s="180">
        <v>2</v>
      </c>
      <c r="I402" s="19">
        <v>2</v>
      </c>
      <c r="J402" s="19">
        <v>2</v>
      </c>
      <c r="K402" s="181">
        <v>2</v>
      </c>
      <c r="L402" s="173">
        <v>2.25</v>
      </c>
      <c r="M402" s="15">
        <v>2.1880000000000002</v>
      </c>
      <c r="N402" s="15">
        <v>2E-3</v>
      </c>
      <c r="O402" s="15">
        <v>0.183</v>
      </c>
      <c r="P402" s="175">
        <f t="shared" si="174"/>
        <v>4.6230000000000002</v>
      </c>
      <c r="Q402" s="173">
        <v>0.24399999999999999</v>
      </c>
      <c r="R402" s="15">
        <v>5.0000000000000001E-3</v>
      </c>
      <c r="S402" s="175">
        <f t="shared" si="169"/>
        <v>0.249</v>
      </c>
      <c r="T402" s="176"/>
      <c r="U402" s="198" t="s">
        <v>569</v>
      </c>
      <c r="V402" s="674"/>
      <c r="W402" s="15"/>
      <c r="X402" s="15">
        <v>91.76</v>
      </c>
      <c r="Y402" s="15">
        <v>0.8</v>
      </c>
      <c r="Z402" s="15">
        <v>7.8</v>
      </c>
      <c r="AA402" s="15">
        <f t="shared" si="170"/>
        <v>8.6</v>
      </c>
      <c r="AB402" s="23">
        <f t="shared" si="141"/>
        <v>66.42</v>
      </c>
      <c r="AC402" s="15"/>
      <c r="AD402" s="15">
        <v>130.54</v>
      </c>
      <c r="AE402" s="15">
        <v>491.04</v>
      </c>
      <c r="AF402" s="15"/>
      <c r="AG402" s="15">
        <v>302.14999999999998</v>
      </c>
      <c r="AH402" s="15">
        <v>236.06</v>
      </c>
      <c r="AI402" s="15"/>
      <c r="AJ402" s="15">
        <f>SUM(AD402:AI402)</f>
        <v>1159.79</v>
      </c>
      <c r="AK402" s="15">
        <f>AJ402/1000</f>
        <v>1.1597899999999999</v>
      </c>
      <c r="AL402" s="177"/>
      <c r="AM402" s="137" t="s">
        <v>20</v>
      </c>
      <c r="AN402" s="131" t="str">
        <f>AO402</f>
        <v>D</v>
      </c>
      <c r="AO402" s="131" t="s">
        <v>21</v>
      </c>
      <c r="AP402" s="349">
        <f t="shared" ref="AP402" si="175">AQ402-2</f>
        <v>45698</v>
      </c>
      <c r="AQ402" s="349">
        <f t="shared" ref="AQ402" si="176">AR402-2</f>
        <v>45700</v>
      </c>
      <c r="AR402" s="349">
        <f>AS402-1</f>
        <v>45702</v>
      </c>
      <c r="AS402" s="530">
        <v>45703</v>
      </c>
      <c r="AT402" s="25" t="s">
        <v>589</v>
      </c>
      <c r="AU402" s="183"/>
      <c r="AV402" s="137" t="s">
        <v>20</v>
      </c>
      <c r="AW402" s="15" t="s">
        <v>6</v>
      </c>
      <c r="AX402" s="278">
        <f>AY402</f>
        <v>45719</v>
      </c>
      <c r="AY402" s="278">
        <v>45719</v>
      </c>
      <c r="AZ402" s="19" t="s">
        <v>590</v>
      </c>
      <c r="BA402" s="194"/>
      <c r="BB402" s="137" t="s">
        <v>20</v>
      </c>
      <c r="BC402" s="131"/>
      <c r="BD402" s="131" t="s">
        <v>21</v>
      </c>
      <c r="BE402" s="279">
        <f>BF402-2</f>
        <v>45801</v>
      </c>
      <c r="BF402" s="279">
        <v>45803</v>
      </c>
      <c r="BG402" s="17" t="s">
        <v>594</v>
      </c>
      <c r="BH402" s="177"/>
      <c r="BI402" s="15"/>
    </row>
    <row r="403" spans="1:64" ht="14.25" customHeight="1">
      <c r="A403" s="15" t="s">
        <v>0</v>
      </c>
      <c r="B403" s="19"/>
      <c r="C403" s="179"/>
      <c r="D403" s="130"/>
      <c r="E403" s="130"/>
      <c r="F403" s="130"/>
      <c r="G403" s="130"/>
      <c r="H403" s="180"/>
      <c r="I403" s="19"/>
      <c r="J403" s="19"/>
      <c r="K403" s="181"/>
      <c r="L403" s="173"/>
      <c r="M403" s="15"/>
      <c r="N403" s="15"/>
      <c r="O403" s="15"/>
      <c r="P403" s="175"/>
      <c r="Q403" s="173"/>
      <c r="R403" s="15"/>
      <c r="S403" s="175"/>
      <c r="T403" s="176"/>
      <c r="U403" s="176"/>
      <c r="V403" s="15"/>
      <c r="W403" s="15" t="s">
        <v>500</v>
      </c>
      <c r="X403" s="15"/>
      <c r="Y403" s="15"/>
      <c r="Z403" s="15"/>
      <c r="AA403" s="15"/>
      <c r="AB403" s="23">
        <f t="shared" si="141"/>
        <v>0</v>
      </c>
      <c r="AC403" s="15"/>
      <c r="AD403" s="15"/>
      <c r="AE403" s="15"/>
      <c r="AF403" s="15"/>
      <c r="AG403" s="15"/>
      <c r="AH403" s="15"/>
      <c r="AI403" s="15"/>
      <c r="AJ403" s="15"/>
      <c r="AK403" s="15"/>
      <c r="AL403" s="177"/>
      <c r="AM403" s="15"/>
      <c r="AN403" s="131"/>
      <c r="AO403" s="131"/>
      <c r="AP403" s="131"/>
      <c r="AQ403" s="131"/>
      <c r="AR403" s="131"/>
      <c r="AS403" s="134"/>
      <c r="AT403" s="25"/>
      <c r="AU403" s="183"/>
      <c r="AV403" s="15"/>
      <c r="AW403" s="15"/>
      <c r="AX403" s="278"/>
      <c r="AY403" s="278"/>
      <c r="AZ403" s="182"/>
      <c r="BA403" s="183"/>
      <c r="BB403" s="15"/>
      <c r="BC403" s="131"/>
      <c r="BD403" s="131"/>
      <c r="BE403" s="131"/>
      <c r="BF403" s="131"/>
      <c r="BG403" s="15"/>
      <c r="BH403" s="177"/>
      <c r="BI403" s="15"/>
      <c r="BL403"/>
    </row>
    <row r="404" spans="1:64" ht="14.1" customHeight="1">
      <c r="A404" s="15">
        <f>A398+1</f>
        <v>196</v>
      </c>
      <c r="B404" s="19" t="s">
        <v>722</v>
      </c>
      <c r="C404" s="179" t="s">
        <v>81</v>
      </c>
      <c r="D404" s="130">
        <v>9.6539999999999999</v>
      </c>
      <c r="E404" s="130">
        <f>D404*4</f>
        <v>38.616</v>
      </c>
      <c r="F404" s="130">
        <f>E404*8</f>
        <v>308.928</v>
      </c>
      <c r="G404" s="130"/>
      <c r="H404" s="180"/>
      <c r="I404" s="19"/>
      <c r="J404" s="19"/>
      <c r="K404" s="181"/>
      <c r="L404" s="173">
        <v>4.1440000000000001</v>
      </c>
      <c r="M404" s="15">
        <v>3.6950000000000003</v>
      </c>
      <c r="N404" s="15">
        <v>4.7000000000000002E-3</v>
      </c>
      <c r="O404" s="15">
        <v>0.29799999999999999</v>
      </c>
      <c r="P404" s="175">
        <f t="shared" si="174"/>
        <v>8.1417000000000002</v>
      </c>
      <c r="Q404" s="173">
        <v>0.48099999999999998</v>
      </c>
      <c r="R404" s="15">
        <v>1.2E-2</v>
      </c>
      <c r="S404" s="175">
        <f t="shared" si="169"/>
        <v>0.49299999999999999</v>
      </c>
      <c r="T404" s="176"/>
      <c r="U404" s="198" t="s">
        <v>569</v>
      </c>
      <c r="V404" s="15"/>
      <c r="W404" s="15"/>
      <c r="X404" s="15">
        <v>41.44</v>
      </c>
      <c r="Y404" s="15">
        <v>0.97</v>
      </c>
      <c r="Z404" s="15">
        <v>14.75</v>
      </c>
      <c r="AA404" s="15">
        <f t="shared" si="170"/>
        <v>15.72</v>
      </c>
      <c r="AB404" s="23">
        <f t="shared" si="141"/>
        <v>123.1918</v>
      </c>
      <c r="AC404" s="15">
        <v>3321</v>
      </c>
      <c r="AD404" s="186">
        <v>73.73</v>
      </c>
      <c r="AE404" s="186">
        <v>301.5</v>
      </c>
      <c r="AF404" s="186"/>
      <c r="AG404" s="186">
        <v>206.46</v>
      </c>
      <c r="AH404" s="186"/>
      <c r="AI404" s="186"/>
      <c r="AJ404" s="186">
        <v>581.69000000000005</v>
      </c>
      <c r="AK404" s="15">
        <v>0.58169000000000004</v>
      </c>
      <c r="AL404" s="177"/>
      <c r="AM404" s="137" t="s">
        <v>20</v>
      </c>
      <c r="AN404" s="131"/>
      <c r="AO404" s="131"/>
      <c r="AP404" s="349"/>
      <c r="AQ404" s="349"/>
      <c r="AR404" s="349"/>
      <c r="AS404" s="279">
        <v>46121</v>
      </c>
      <c r="AT404" s="17" t="s">
        <v>742</v>
      </c>
      <c r="AU404" s="183"/>
      <c r="AV404" s="137" t="s">
        <v>20</v>
      </c>
      <c r="AW404" s="15" t="s">
        <v>6</v>
      </c>
      <c r="AX404" s="278"/>
      <c r="AY404" s="278"/>
      <c r="AZ404" s="19" t="s">
        <v>701</v>
      </c>
      <c r="BA404" s="194"/>
      <c r="BB404" s="137" t="s">
        <v>20</v>
      </c>
      <c r="BC404" s="131"/>
      <c r="BD404" s="131"/>
      <c r="BE404" s="279">
        <v>46150</v>
      </c>
      <c r="BF404" s="279">
        <v>46154</v>
      </c>
      <c r="BG404" t="s">
        <v>765</v>
      </c>
      <c r="BH404" s="177"/>
      <c r="BI404" s="15"/>
    </row>
    <row r="405" spans="1:64" ht="14.25" customHeight="1">
      <c r="A405" s="15" t="s">
        <v>0</v>
      </c>
      <c r="B405" s="19"/>
      <c r="C405" s="179"/>
      <c r="D405" s="130"/>
      <c r="E405" s="130"/>
      <c r="F405" s="130"/>
      <c r="G405" s="130"/>
      <c r="H405" s="180"/>
      <c r="I405" s="19"/>
      <c r="J405" s="19"/>
      <c r="K405" s="181"/>
      <c r="L405" s="173"/>
      <c r="M405" s="15"/>
      <c r="N405" s="15"/>
      <c r="O405" s="15"/>
      <c r="P405" s="175"/>
      <c r="Q405" s="173"/>
      <c r="R405" s="15"/>
      <c r="S405" s="175"/>
      <c r="T405" s="176"/>
      <c r="U405" s="176"/>
      <c r="V405" s="15">
        <v>373.16</v>
      </c>
      <c r="W405" s="15" t="s">
        <v>500</v>
      </c>
      <c r="X405" s="15"/>
      <c r="Y405" s="15"/>
      <c r="Z405" s="15"/>
      <c r="AA405" s="15"/>
      <c r="AB405" s="23">
        <f t="shared" si="141"/>
        <v>0</v>
      </c>
      <c r="AC405" s="15"/>
      <c r="AD405" s="15"/>
      <c r="AE405" s="15"/>
      <c r="AF405" s="15"/>
      <c r="AG405" s="15"/>
      <c r="AH405" s="15"/>
      <c r="AI405" s="15"/>
      <c r="AJ405" s="15"/>
      <c r="AK405" s="15"/>
      <c r="AL405" s="177"/>
      <c r="AM405" s="15"/>
      <c r="AN405" s="131"/>
      <c r="AO405" s="131"/>
      <c r="AP405" s="131"/>
      <c r="AQ405" s="131"/>
      <c r="AR405" s="131"/>
      <c r="AS405" s="134"/>
      <c r="AT405" s="25"/>
      <c r="AU405" s="183"/>
      <c r="AV405" s="15"/>
      <c r="AW405" s="15"/>
      <c r="AX405" s="278"/>
      <c r="AY405" s="278"/>
      <c r="AZ405" s="182"/>
      <c r="BA405" s="183"/>
      <c r="BB405" s="15"/>
      <c r="BC405" s="131"/>
      <c r="BD405" s="131"/>
      <c r="BE405" s="131"/>
      <c r="BF405" s="131"/>
      <c r="BG405" s="15"/>
      <c r="BH405" s="177"/>
      <c r="BI405" s="15"/>
      <c r="BL405"/>
    </row>
    <row r="406" spans="1:64" ht="14.25" customHeight="1">
      <c r="A406" s="15">
        <f t="shared" si="132"/>
        <v>197</v>
      </c>
      <c r="B406" s="19" t="s">
        <v>723</v>
      </c>
      <c r="C406" s="179" t="s">
        <v>260</v>
      </c>
      <c r="D406" s="130">
        <v>16.654</v>
      </c>
      <c r="E406" s="130">
        <f>D406*4</f>
        <v>66.616</v>
      </c>
      <c r="F406" s="130">
        <f>E406*8</f>
        <v>532.928</v>
      </c>
      <c r="G406" s="130"/>
      <c r="H406" s="180"/>
      <c r="I406" s="19"/>
      <c r="J406" s="19"/>
      <c r="K406" s="181"/>
      <c r="L406" s="173">
        <v>8.8970000000000002</v>
      </c>
      <c r="M406" s="15">
        <v>8.8010000000000002</v>
      </c>
      <c r="N406" s="15">
        <v>9.2999999999999992E-3</v>
      </c>
      <c r="O406" s="15">
        <v>0.752</v>
      </c>
      <c r="P406" s="175">
        <f t="shared" si="174"/>
        <v>18.459299999999999</v>
      </c>
      <c r="Q406" s="173">
        <v>1.1160000000000001</v>
      </c>
      <c r="R406" s="15">
        <v>3.2000000000000001E-2</v>
      </c>
      <c r="S406" s="175">
        <f t="shared" si="169"/>
        <v>1.1480000000000001</v>
      </c>
      <c r="T406" s="176"/>
      <c r="U406" s="198" t="s">
        <v>569</v>
      </c>
      <c r="V406" s="15"/>
      <c r="W406" s="15"/>
      <c r="X406" s="15">
        <v>119.36</v>
      </c>
      <c r="Y406" s="15">
        <v>2.31</v>
      </c>
      <c r="Z406" s="15">
        <v>27.89</v>
      </c>
      <c r="AA406" s="15">
        <f t="shared" si="170"/>
        <v>30.2</v>
      </c>
      <c r="AB406" s="23">
        <f t="shared" si="141"/>
        <v>235.04980000000003</v>
      </c>
      <c r="AC406" s="15">
        <v>7858.2100000000009</v>
      </c>
      <c r="AD406" s="15">
        <v>89.9</v>
      </c>
      <c r="AE406" s="15"/>
      <c r="AF406" s="15">
        <v>1115.3400000000001</v>
      </c>
      <c r="AG406" s="15">
        <v>198.68</v>
      </c>
      <c r="AH406" s="15"/>
      <c r="AI406" s="15"/>
      <c r="AJ406" s="15">
        <v>1403.9200000000003</v>
      </c>
      <c r="AK406" s="15">
        <v>1.4039200000000003</v>
      </c>
      <c r="AL406" s="177"/>
      <c r="AM406" s="137" t="s">
        <v>20</v>
      </c>
      <c r="AN406" s="131"/>
      <c r="AO406" s="131"/>
      <c r="AP406" s="349"/>
      <c r="AQ406" s="349"/>
      <c r="AR406" s="349"/>
      <c r="AS406" s="530">
        <v>46132</v>
      </c>
      <c r="AT406" s="17" t="s">
        <v>742</v>
      </c>
      <c r="AU406" s="194"/>
      <c r="AV406" s="137" t="s">
        <v>20</v>
      </c>
      <c r="AW406" s="15" t="s">
        <v>6</v>
      </c>
      <c r="AX406" s="278"/>
      <c r="AY406" s="278"/>
      <c r="AZ406" s="19" t="s">
        <v>701</v>
      </c>
      <c r="BA406" s="183"/>
      <c r="BB406" s="137" t="s">
        <v>20</v>
      </c>
      <c r="BC406" s="131"/>
      <c r="BD406" s="131"/>
      <c r="BE406" s="279">
        <v>46152</v>
      </c>
      <c r="BF406" s="279">
        <v>46157</v>
      </c>
      <c r="BG406" s="15" t="s">
        <v>764</v>
      </c>
      <c r="BH406" s="177"/>
      <c r="BI406" s="15"/>
    </row>
    <row r="407" spans="1:64" ht="12.95" customHeight="1">
      <c r="A407" s="15" t="s">
        <v>0</v>
      </c>
      <c r="B407" s="19"/>
      <c r="C407" s="179"/>
      <c r="D407" s="130">
        <v>16.654</v>
      </c>
      <c r="E407" s="130"/>
      <c r="F407" s="130"/>
      <c r="G407" s="130"/>
      <c r="H407" s="180"/>
      <c r="I407" s="19"/>
      <c r="J407" s="19"/>
      <c r="K407" s="181"/>
      <c r="L407" s="173"/>
      <c r="M407" s="15"/>
      <c r="N407" s="15"/>
      <c r="O407" s="15"/>
      <c r="P407" s="175"/>
      <c r="Q407" s="173"/>
      <c r="R407" s="15"/>
      <c r="S407" s="175"/>
      <c r="T407" s="176"/>
      <c r="U407" s="176"/>
      <c r="V407" s="15">
        <v>159.04</v>
      </c>
      <c r="W407" s="15" t="s">
        <v>500</v>
      </c>
      <c r="X407" s="15"/>
      <c r="Y407" s="15"/>
      <c r="Z407" s="15"/>
      <c r="AA407" s="15"/>
      <c r="AB407" s="23">
        <f t="shared" si="141"/>
        <v>0</v>
      </c>
      <c r="AC407" s="15"/>
      <c r="AD407" s="15"/>
      <c r="AE407" s="15"/>
      <c r="AF407" s="15"/>
      <c r="AG407" s="15"/>
      <c r="AH407" s="15"/>
      <c r="AI407" s="15"/>
      <c r="AJ407" s="15"/>
      <c r="AK407" s="15"/>
      <c r="AL407" s="177"/>
    </row>
    <row r="408" spans="1:64" ht="13.5" customHeight="1">
      <c r="A408" s="15">
        <f t="shared" si="132"/>
        <v>198</v>
      </c>
      <c r="B408" s="19" t="s">
        <v>724</v>
      </c>
      <c r="C408" s="424" t="s">
        <v>260</v>
      </c>
      <c r="D408" s="130">
        <v>16.654</v>
      </c>
      <c r="E408" s="130">
        <f>D408*4</f>
        <v>66.616</v>
      </c>
      <c r="F408" s="130">
        <f>E408*8</f>
        <v>532.928</v>
      </c>
      <c r="G408" s="425"/>
      <c r="H408" s="426"/>
      <c r="I408" s="427"/>
      <c r="J408" s="427"/>
      <c r="K408" s="428"/>
      <c r="L408" s="429">
        <v>8.8970000000000002</v>
      </c>
      <c r="M408" s="430">
        <v>8.8010000000000002</v>
      </c>
      <c r="N408" s="430">
        <v>9.2999999999999992E-3</v>
      </c>
      <c r="O408" s="430">
        <v>0.752</v>
      </c>
      <c r="P408" s="431">
        <f t="shared" si="174"/>
        <v>18.459299999999999</v>
      </c>
      <c r="Q408" s="429">
        <v>1.1160000000000001</v>
      </c>
      <c r="R408" s="430">
        <v>3.2000000000000001E-2</v>
      </c>
      <c r="S408" s="431">
        <f t="shared" si="169"/>
        <v>1.1480000000000001</v>
      </c>
      <c r="T408" s="204"/>
      <c r="U408" s="204" t="s">
        <v>569</v>
      </c>
      <c r="V408" s="15"/>
      <c r="W408" s="15"/>
      <c r="X408" s="15"/>
      <c r="Y408" s="15">
        <v>2.31</v>
      </c>
      <c r="Z408" s="15">
        <v>27.89</v>
      </c>
      <c r="AA408" s="15">
        <f t="shared" si="170"/>
        <v>30.2</v>
      </c>
      <c r="AB408" s="23"/>
      <c r="AC408" s="15"/>
      <c r="AD408" s="15"/>
      <c r="AE408" s="15"/>
      <c r="AF408" s="15"/>
      <c r="AG408" s="15"/>
      <c r="AH408" s="15"/>
      <c r="AI408" s="15"/>
      <c r="AJ408" s="15"/>
      <c r="AK408" s="15"/>
      <c r="AL408" s="177"/>
      <c r="AM408" s="137" t="s">
        <v>20</v>
      </c>
      <c r="AN408" s="131"/>
      <c r="AO408" s="15"/>
      <c r="AP408" s="131"/>
      <c r="AQ408" s="131"/>
      <c r="AR408" s="131"/>
      <c r="AS408" s="530">
        <v>46142</v>
      </c>
      <c r="AT408" s="17" t="s">
        <v>742</v>
      </c>
      <c r="AU408" s="183"/>
      <c r="AV408" s="137" t="s">
        <v>20</v>
      </c>
      <c r="AW408" s="15" t="s">
        <v>6</v>
      </c>
      <c r="AX408" s="278"/>
      <c r="AY408" s="278"/>
      <c r="AZ408" s="182"/>
      <c r="BA408" s="183"/>
      <c r="BB408" s="15"/>
      <c r="BC408" s="131"/>
      <c r="BD408" s="15"/>
      <c r="BE408" s="131"/>
      <c r="BF408" s="131"/>
      <c r="BG408" s="15"/>
      <c r="BH408" s="177"/>
      <c r="BI408" s="15"/>
      <c r="BL408"/>
    </row>
    <row r="409" spans="1:64" ht="19.5" customHeight="1">
      <c r="A409" s="15" t="s">
        <v>0</v>
      </c>
      <c r="B409" s="19"/>
      <c r="C409" s="424"/>
      <c r="D409" s="130">
        <v>16.654</v>
      </c>
      <c r="E409" s="130"/>
      <c r="F409" s="130"/>
      <c r="G409" s="425"/>
      <c r="H409" s="426"/>
      <c r="I409" s="427"/>
      <c r="J409" s="427"/>
      <c r="K409" s="428"/>
      <c r="L409" s="429"/>
      <c r="M409" s="430"/>
      <c r="N409" s="430"/>
      <c r="O409" s="430"/>
      <c r="P409" s="431"/>
      <c r="Q409" s="429"/>
      <c r="R409" s="430"/>
      <c r="S409" s="431"/>
      <c r="T409" s="204"/>
      <c r="U409" s="204"/>
      <c r="V409" s="15">
        <v>236.01</v>
      </c>
      <c r="W409" s="15" t="s">
        <v>500</v>
      </c>
      <c r="X409" s="15"/>
      <c r="Y409" s="15"/>
      <c r="Z409" s="15"/>
      <c r="AA409" s="15"/>
      <c r="AB409" s="23"/>
      <c r="AC409" s="15"/>
      <c r="AD409" s="15"/>
      <c r="AE409" s="15"/>
      <c r="AF409" s="15"/>
      <c r="AG409" s="15"/>
      <c r="AH409" s="15"/>
      <c r="AI409" s="15"/>
      <c r="AJ409" s="15"/>
      <c r="AK409" s="15"/>
      <c r="AL409" s="177"/>
      <c r="AM409" s="15"/>
      <c r="AN409" s="131"/>
      <c r="AO409" s="15"/>
      <c r="AP409" s="131"/>
      <c r="AQ409" s="131"/>
      <c r="AR409" s="131"/>
      <c r="AS409" s="134"/>
      <c r="AT409" s="25"/>
      <c r="AU409" s="183"/>
      <c r="AV409" s="15"/>
      <c r="AW409" s="15"/>
      <c r="AX409" s="278"/>
      <c r="AY409" s="278"/>
      <c r="AZ409" s="182"/>
      <c r="BA409" s="183"/>
      <c r="BB409" s="15"/>
      <c r="BC409" s="131"/>
      <c r="BD409" s="15"/>
      <c r="BE409" s="131"/>
      <c r="BF409" s="131"/>
      <c r="BG409" s="15"/>
      <c r="BH409" s="177"/>
      <c r="BI409" s="15"/>
      <c r="BL409"/>
    </row>
    <row r="410" spans="1:64" ht="19.5" customHeight="1">
      <c r="A410" s="15">
        <f t="shared" si="132"/>
        <v>199</v>
      </c>
      <c r="B410" s="19" t="s">
        <v>725</v>
      </c>
      <c r="C410" s="424" t="s">
        <v>260</v>
      </c>
      <c r="D410" s="130">
        <v>16.654</v>
      </c>
      <c r="E410" s="130">
        <f>D410*4</f>
        <v>66.616</v>
      </c>
      <c r="F410" s="130">
        <f>E410*8</f>
        <v>532.928</v>
      </c>
      <c r="G410" s="425"/>
      <c r="H410" s="426"/>
      <c r="I410" s="427"/>
      <c r="J410" s="427"/>
      <c r="K410" s="428"/>
      <c r="L410" s="429">
        <v>8.8970000000000002</v>
      </c>
      <c r="M410" s="430">
        <v>8.8010000000000002</v>
      </c>
      <c r="N410" s="430">
        <v>9.2999999999999992E-3</v>
      </c>
      <c r="O410" s="430">
        <v>0.752</v>
      </c>
      <c r="P410" s="431">
        <f t="shared" si="174"/>
        <v>18.459299999999999</v>
      </c>
      <c r="Q410" s="429">
        <v>1.1160000000000001</v>
      </c>
      <c r="R410" s="430">
        <v>3.2000000000000001E-2</v>
      </c>
      <c r="S410" s="431">
        <f t="shared" si="169"/>
        <v>1.1480000000000001</v>
      </c>
      <c r="T410" s="204"/>
      <c r="U410" s="204" t="s">
        <v>569</v>
      </c>
      <c r="V410" s="15"/>
      <c r="W410" s="15"/>
      <c r="X410" s="15"/>
      <c r="Y410" s="15">
        <v>2.31</v>
      </c>
      <c r="Z410" s="15">
        <v>36.659999999999997</v>
      </c>
      <c r="AA410" s="15">
        <f t="shared" si="170"/>
        <v>38.97</v>
      </c>
      <c r="AB410" s="23"/>
      <c r="AC410" s="15"/>
      <c r="AD410" s="15"/>
      <c r="AE410" s="15"/>
      <c r="AF410" s="15"/>
      <c r="AG410" s="15"/>
      <c r="AH410" s="15"/>
      <c r="AI410" s="15"/>
      <c r="AJ410" s="15"/>
      <c r="AK410" s="15"/>
      <c r="AL410" s="177"/>
      <c r="AM410" s="137" t="s">
        <v>20</v>
      </c>
      <c r="AN410" s="131"/>
      <c r="AO410" s="15"/>
      <c r="AP410" s="530">
        <v>46142</v>
      </c>
      <c r="AQ410" s="131"/>
      <c r="AR410" s="131"/>
      <c r="AS410" s="134"/>
      <c r="AT410" s="17" t="s">
        <v>742</v>
      </c>
      <c r="AU410" s="183"/>
      <c r="AV410" s="137" t="s">
        <v>20</v>
      </c>
      <c r="AW410" s="15" t="s">
        <v>6</v>
      </c>
      <c r="AX410" s="278"/>
      <c r="AY410" s="278"/>
      <c r="AZ410" s="182"/>
      <c r="BA410" s="183"/>
      <c r="BB410" s="15"/>
      <c r="BC410" s="131"/>
      <c r="BD410" s="15"/>
      <c r="BE410" s="131"/>
      <c r="BF410" s="131"/>
      <c r="BG410" s="15"/>
      <c r="BH410" s="177"/>
      <c r="BI410" s="15"/>
      <c r="BL410"/>
    </row>
    <row r="411" spans="1:64" ht="14.25" customHeight="1">
      <c r="V411" s="140">
        <v>49.95</v>
      </c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  <c r="AH411" s="43"/>
      <c r="AI411" s="43"/>
      <c r="AJ411" s="43"/>
      <c r="AK411" s="43"/>
      <c r="AL411" s="143"/>
      <c r="AM411" s="15">
        <f>+COUNTIF($AM$8:$AM$410,"C")-2</f>
        <v>199</v>
      </c>
      <c r="AN411" s="131"/>
      <c r="AO411" s="15">
        <f>+COUNTIF($AO$8:$AO$406,"D")</f>
        <v>171</v>
      </c>
      <c r="AP411" s="131"/>
      <c r="AQ411" s="131"/>
      <c r="AR411" s="131"/>
      <c r="AS411" s="134"/>
      <c r="AT411" s="25"/>
      <c r="AU411" s="183"/>
      <c r="AV411" s="15">
        <f>+COUNTIF($AV$8:$AV$410,"C")-2</f>
        <v>199</v>
      </c>
      <c r="AW411" s="15"/>
      <c r="AX411" s="278"/>
      <c r="AY411" s="278"/>
      <c r="AZ411" s="182"/>
      <c r="BA411" s="183"/>
      <c r="BB411" s="15">
        <f>+COUNTIF($BB$8:$BB$410,"C")-2</f>
        <v>197</v>
      </c>
      <c r="BC411" s="131"/>
      <c r="BD411" s="15">
        <f>+COUNTIF($BD$8:$BD$406,"D")</f>
        <v>139</v>
      </c>
      <c r="BE411" s="131"/>
      <c r="BF411" s="131"/>
      <c r="BG411" s="15"/>
      <c r="BH411" s="177"/>
      <c r="BI411" s="15">
        <f>+COUNTIF($BI$8:$BI$410,"C")</f>
        <v>194</v>
      </c>
      <c r="BL411"/>
    </row>
    <row r="412" spans="1:64" ht="14.25" customHeight="1">
      <c r="F412" s="140"/>
      <c r="W412" s="43"/>
      <c r="X412" s="43"/>
      <c r="Y412" s="43"/>
      <c r="Z412" s="43"/>
      <c r="AA412" s="43"/>
      <c r="AB412" s="43"/>
      <c r="AC412" s="43"/>
      <c r="AD412" s="43"/>
      <c r="AE412" s="43"/>
      <c r="AF412" s="43"/>
      <c r="AG412" s="43"/>
      <c r="AH412" s="43"/>
      <c r="AI412" s="43"/>
      <c r="AJ412" s="43"/>
      <c r="AK412" s="43"/>
      <c r="AL412" s="143"/>
      <c r="AM412" s="43"/>
      <c r="AU412" s="144"/>
      <c r="BA412" s="144"/>
      <c r="BE412"/>
      <c r="BF412" s="140"/>
      <c r="BH412" s="144"/>
      <c r="BI412" s="15"/>
      <c r="BL412"/>
    </row>
    <row r="413" spans="1:64" ht="14.25" customHeight="1">
      <c r="W413" s="43"/>
      <c r="X413" s="43"/>
      <c r="Y413" s="43"/>
      <c r="Z413" s="43"/>
      <c r="AA413" s="43"/>
      <c r="AB413" s="43"/>
      <c r="AC413" s="43"/>
      <c r="AD413" s="43"/>
      <c r="AE413" s="43"/>
      <c r="AF413" s="43"/>
      <c r="AG413" s="43"/>
      <c r="AH413" s="43"/>
      <c r="AI413" s="43"/>
      <c r="AJ413" s="43">
        <f>AJ412/1000</f>
        <v>0</v>
      </c>
      <c r="AK413" s="43"/>
      <c r="AL413" s="143"/>
      <c r="AM413" s="43"/>
      <c r="AU413" s="144"/>
      <c r="BA413" s="144"/>
      <c r="BE413"/>
      <c r="BF413" s="140">
        <v>16</v>
      </c>
      <c r="BH413" s="144"/>
      <c r="BI413" s="15"/>
      <c r="BL413"/>
    </row>
  </sheetData>
  <autoFilter ref="A7:BP413" xr:uid="{00000000-0009-0000-0000-000007000000}"/>
  <mergeCells count="8">
    <mergeCell ref="V399:V402"/>
    <mergeCell ref="H4:K4"/>
    <mergeCell ref="AP6:AQ6"/>
    <mergeCell ref="AR6:AS6"/>
    <mergeCell ref="L4:P4"/>
    <mergeCell ref="Q4:S4"/>
    <mergeCell ref="AB6:AC6"/>
    <mergeCell ref="AD6:AK6"/>
  </mergeCells>
  <pageMargins left="0.11811023622047245" right="0.11811023622047245" top="0.15748031496062992" bottom="0.15748031496062992" header="0" footer="0"/>
  <pageSetup paperSize="9" scale="11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Y231"/>
  <sheetViews>
    <sheetView workbookViewId="0">
      <pane xSplit="4" ySplit="5" topLeftCell="E46" activePane="bottomRight" state="frozen"/>
      <selection pane="topRight" activeCell="E1" sqref="E1"/>
      <selection pane="bottomLeft" activeCell="A6" sqref="A6"/>
      <selection pane="bottomRight" activeCell="T17" sqref="T17"/>
    </sheetView>
  </sheetViews>
  <sheetFormatPr defaultColWidth="14.42578125" defaultRowHeight="15" customHeight="1"/>
  <cols>
    <col min="1" max="1" width="8.7109375" customWidth="1"/>
    <col min="2" max="2" width="11.140625" customWidth="1"/>
    <col min="3" max="3" width="10.140625" customWidth="1"/>
    <col min="4" max="4" width="12.42578125" customWidth="1"/>
    <col min="5" max="5" width="11.140625" customWidth="1"/>
    <col min="6" max="6" width="9.42578125" customWidth="1"/>
    <col min="7" max="7" width="8.7109375" customWidth="1"/>
    <col min="8" max="8" width="11.28515625" style="391" customWidth="1"/>
    <col min="9" max="9" width="11.28515625" customWidth="1"/>
    <col min="10" max="10" width="12.140625" customWidth="1"/>
    <col min="11" max="12" width="11.28515625" customWidth="1"/>
    <col min="13" max="13" width="12.140625" customWidth="1"/>
    <col min="14" max="14" width="11.28515625" customWidth="1"/>
    <col min="15" max="15" width="21.42578125" customWidth="1"/>
    <col min="16" max="16" width="5.140625" customWidth="1"/>
    <col min="17" max="17" width="19.28515625" customWidth="1"/>
    <col min="18" max="18" width="3" customWidth="1"/>
    <col min="19" max="19" width="8.7109375" customWidth="1"/>
    <col min="20" max="21" width="11.28515625" customWidth="1"/>
    <col min="22" max="22" width="8.7109375" customWidth="1"/>
    <col min="23" max="24" width="11.28515625" customWidth="1"/>
    <col min="25" max="25" width="22" customWidth="1"/>
  </cols>
  <sheetData>
    <row r="1" spans="1:25" ht="14.25" customHeight="1">
      <c r="A1" s="680" t="str">
        <f>+Summary!A2</f>
        <v>Name of the Line: 220KV DC AL59 line from Neemuch - Chanderiya + 132KV DC ACSS Line from Chanderiya to Hindustan Zinc</v>
      </c>
      <c r="B1" s="604"/>
      <c r="C1" s="604"/>
      <c r="D1" s="604"/>
      <c r="E1" s="604"/>
      <c r="F1" s="604"/>
      <c r="G1" s="604"/>
      <c r="H1" s="604"/>
      <c r="I1" s="604"/>
      <c r="J1" s="604"/>
      <c r="K1" s="604"/>
      <c r="L1" s="604"/>
      <c r="M1" s="604"/>
      <c r="N1" s="604"/>
      <c r="O1" s="604"/>
      <c r="P1" s="604"/>
      <c r="Q1" s="604"/>
      <c r="R1" s="604"/>
      <c r="S1" s="604"/>
      <c r="T1" s="604"/>
      <c r="U1" s="604"/>
      <c r="V1" s="604"/>
      <c r="W1" s="604"/>
      <c r="X1" s="604"/>
      <c r="Y1" s="605"/>
    </row>
    <row r="2" spans="1:25" ht="14.25" customHeight="1">
      <c r="A2" s="680" t="str">
        <f>+Summary!A5</f>
        <v>Progress of 220kV Line</v>
      </c>
      <c r="B2" s="604"/>
      <c r="C2" s="604"/>
      <c r="D2" s="605"/>
      <c r="E2" s="119"/>
      <c r="F2" s="680" t="s">
        <v>602</v>
      </c>
      <c r="G2" s="604"/>
      <c r="H2" s="604"/>
      <c r="I2" s="604"/>
      <c r="J2" s="604"/>
      <c r="K2" s="604"/>
      <c r="L2" s="604"/>
      <c r="M2" s="604"/>
      <c r="N2" s="604"/>
      <c r="O2" s="604"/>
      <c r="P2" s="604"/>
      <c r="Q2" s="605"/>
      <c r="R2" s="205"/>
      <c r="S2" s="680" t="s">
        <v>603</v>
      </c>
      <c r="T2" s="604"/>
      <c r="U2" s="604"/>
      <c r="V2" s="604"/>
      <c r="W2" s="604"/>
      <c r="X2" s="604"/>
      <c r="Y2" s="605"/>
    </row>
    <row r="3" spans="1:25" ht="14.25" customHeight="1">
      <c r="A3" s="680" t="s">
        <v>604</v>
      </c>
      <c r="B3" s="604"/>
      <c r="C3" s="605"/>
      <c r="D3" s="206">
        <f>Summary!R5</f>
        <v>46162</v>
      </c>
      <c r="E3" s="207">
        <f>SUMIF(E6:E213,"C",$D$6:$D$213)/1000</f>
        <v>61.199262999999995</v>
      </c>
      <c r="F3" s="208"/>
      <c r="G3" s="208"/>
      <c r="H3" s="209">
        <f>SUMIF(G7:G213,"WIP",$D$7:$D$213)/1000</f>
        <v>0</v>
      </c>
      <c r="I3" s="503">
        <f>SUMIF(G6:G213,"C",$D$6:$D$213)/1000</f>
        <v>61.199262999999995</v>
      </c>
      <c r="J3" s="504"/>
      <c r="K3" s="52">
        <f>SUMIF(J7:J213,"WIP",$D$7:$D$213)/1000</f>
        <v>0</v>
      </c>
      <c r="L3" s="503">
        <f>SUMIF(J6:J213,"C",$D$6:$D$213)/1000</f>
        <v>61.199262999999995</v>
      </c>
      <c r="M3" s="208"/>
      <c r="N3" s="208"/>
      <c r="O3" s="208"/>
      <c r="P3" s="208"/>
      <c r="Q3" s="208"/>
      <c r="R3" s="210"/>
      <c r="S3" s="208"/>
      <c r="T3" s="209">
        <f>SUMIF(S7:S213,"WIP",$D$7:$D$213)/1000</f>
        <v>0</v>
      </c>
      <c r="U3" s="209">
        <f>SUMIF(S7:S213,"C",$D$7:$D$213)/1000</f>
        <v>62.249215999999983</v>
      </c>
      <c r="V3" s="209"/>
      <c r="W3" s="209">
        <f>SUMIF(V7:V213,"WIP",$D$7:$D$213)/1000</f>
        <v>0</v>
      </c>
      <c r="X3" s="209">
        <f>SUMIF(V7:V213,"C",$D$7:$D$213)/1000</f>
        <v>62.249215999999983</v>
      </c>
      <c r="Y3" s="208"/>
    </row>
    <row r="4" spans="1:25" ht="14.25" customHeight="1">
      <c r="A4" s="211" t="s">
        <v>2</v>
      </c>
      <c r="B4" s="681" t="s">
        <v>459</v>
      </c>
      <c r="C4" s="605"/>
      <c r="D4" s="211" t="s">
        <v>605</v>
      </c>
      <c r="E4" s="212" t="s">
        <v>606</v>
      </c>
      <c r="F4" s="55" t="s">
        <v>607</v>
      </c>
      <c r="G4" s="606" t="s">
        <v>608</v>
      </c>
      <c r="H4" s="604"/>
      <c r="I4" s="605"/>
      <c r="J4" s="606" t="s">
        <v>388</v>
      </c>
      <c r="K4" s="604"/>
      <c r="L4" s="605"/>
      <c r="M4" s="213" t="s">
        <v>609</v>
      </c>
      <c r="N4" s="214" t="s">
        <v>611</v>
      </c>
      <c r="O4" s="2" t="s">
        <v>489</v>
      </c>
      <c r="P4" s="215" t="s">
        <v>569</v>
      </c>
      <c r="Q4" s="55" t="s">
        <v>15</v>
      </c>
      <c r="R4" s="216"/>
      <c r="S4" s="603" t="s">
        <v>612</v>
      </c>
      <c r="T4" s="604"/>
      <c r="U4" s="605"/>
      <c r="V4" s="603" t="s">
        <v>613</v>
      </c>
      <c r="W4" s="604"/>
      <c r="X4" s="605"/>
      <c r="Y4" s="2" t="s">
        <v>489</v>
      </c>
    </row>
    <row r="5" spans="1:25" ht="14.25" customHeight="1">
      <c r="A5" s="211"/>
      <c r="B5" s="217" t="s">
        <v>614</v>
      </c>
      <c r="C5" s="217" t="s">
        <v>615</v>
      </c>
      <c r="D5" s="211"/>
      <c r="E5" s="218"/>
      <c r="F5" s="128"/>
      <c r="G5" s="214" t="s">
        <v>616</v>
      </c>
      <c r="H5" s="5" t="s">
        <v>492</v>
      </c>
      <c r="I5" s="214" t="s">
        <v>23</v>
      </c>
      <c r="J5" s="214" t="s">
        <v>616</v>
      </c>
      <c r="K5" s="214" t="s">
        <v>492</v>
      </c>
      <c r="L5" s="214" t="s">
        <v>23</v>
      </c>
      <c r="M5" s="214" t="s">
        <v>616</v>
      </c>
      <c r="N5" s="214" t="s">
        <v>616</v>
      </c>
      <c r="O5" s="2"/>
      <c r="P5" s="219"/>
      <c r="Q5" s="128"/>
      <c r="R5" s="220"/>
      <c r="S5" s="214" t="s">
        <v>616</v>
      </c>
      <c r="T5" s="214" t="s">
        <v>492</v>
      </c>
      <c r="U5" s="214" t="s">
        <v>23</v>
      </c>
      <c r="V5" s="214" t="s">
        <v>616</v>
      </c>
      <c r="W5" s="214" t="s">
        <v>492</v>
      </c>
      <c r="X5" s="214" t="s">
        <v>23</v>
      </c>
      <c r="Y5" s="2"/>
    </row>
    <row r="6" spans="1:25" ht="14.25" customHeight="1">
      <c r="A6" s="15">
        <v>1</v>
      </c>
      <c r="B6" s="132" t="s">
        <v>718</v>
      </c>
      <c r="C6" s="15" t="s">
        <v>33</v>
      </c>
      <c r="D6" s="16">
        <v>4.7E-2</v>
      </c>
      <c r="E6" s="16" t="s">
        <v>20</v>
      </c>
      <c r="F6" s="16" t="s">
        <v>20</v>
      </c>
      <c r="G6" s="16" t="s">
        <v>20</v>
      </c>
      <c r="H6" s="421">
        <v>46053</v>
      </c>
      <c r="I6" s="278">
        <v>46055</v>
      </c>
      <c r="J6" s="16" t="s">
        <v>20</v>
      </c>
      <c r="K6" s="421">
        <v>46053</v>
      </c>
      <c r="L6" s="278">
        <v>46055</v>
      </c>
      <c r="M6" s="16"/>
      <c r="N6" s="16"/>
      <c r="O6" s="24" t="s">
        <v>719</v>
      </c>
      <c r="P6" s="25"/>
      <c r="Q6" s="24"/>
      <c r="R6" s="221"/>
      <c r="S6" s="15" t="s">
        <v>20</v>
      </c>
      <c r="T6" s="278">
        <v>46147</v>
      </c>
      <c r="U6" s="278">
        <v>46149</v>
      </c>
      <c r="V6" s="15" t="s">
        <v>20</v>
      </c>
      <c r="W6" s="278">
        <v>46150</v>
      </c>
      <c r="X6" s="278">
        <v>46150</v>
      </c>
      <c r="Y6" s="24"/>
    </row>
    <row r="7" spans="1:25" ht="14.25" customHeight="1">
      <c r="A7" s="15">
        <f>A6+1</f>
        <v>2</v>
      </c>
      <c r="B7" s="132" t="s">
        <v>33</v>
      </c>
      <c r="C7" s="15" t="s">
        <v>38</v>
      </c>
      <c r="D7" s="16">
        <v>439.47</v>
      </c>
      <c r="E7" s="16" t="s">
        <v>20</v>
      </c>
      <c r="F7" s="16" t="s">
        <v>20</v>
      </c>
      <c r="G7" s="16" t="s">
        <v>20</v>
      </c>
      <c r="H7" s="421">
        <v>45796</v>
      </c>
      <c r="I7" s="278">
        <v>45801</v>
      </c>
      <c r="J7" s="16" t="s">
        <v>20</v>
      </c>
      <c r="K7" s="279">
        <v>45803</v>
      </c>
      <c r="L7" s="278">
        <f t="shared" ref="L7:L8" si="0">K7+2</f>
        <v>45805</v>
      </c>
      <c r="M7" s="16" t="s">
        <v>20</v>
      </c>
      <c r="N7" s="16" t="s">
        <v>20</v>
      </c>
      <c r="O7" s="24" t="s">
        <v>741</v>
      </c>
      <c r="P7" s="25"/>
      <c r="Q7" s="24"/>
      <c r="R7" s="221"/>
      <c r="S7" s="15" t="s">
        <v>20</v>
      </c>
      <c r="T7" s="278">
        <v>46147</v>
      </c>
      <c r="U7" s="278">
        <v>46149</v>
      </c>
      <c r="V7" s="15" t="s">
        <v>20</v>
      </c>
      <c r="W7" s="278">
        <v>46150</v>
      </c>
      <c r="X7" s="278">
        <v>46150</v>
      </c>
      <c r="Y7" s="24"/>
    </row>
    <row r="8" spans="1:25" ht="14.25" customHeight="1">
      <c r="A8" s="15">
        <f t="shared" ref="A8:A71" si="1">A7+1</f>
        <v>3</v>
      </c>
      <c r="B8" s="15" t="str">
        <f t="shared" ref="B8:B86" si="2">C7</f>
        <v>1/0</v>
      </c>
      <c r="C8" s="15" t="s">
        <v>45</v>
      </c>
      <c r="D8" s="16">
        <v>1037.32</v>
      </c>
      <c r="E8" s="16" t="s">
        <v>20</v>
      </c>
      <c r="F8" s="16" t="s">
        <v>20</v>
      </c>
      <c r="G8" s="16" t="s">
        <v>20</v>
      </c>
      <c r="H8" s="421">
        <v>45796</v>
      </c>
      <c r="I8" s="278">
        <v>45801</v>
      </c>
      <c r="J8" s="16" t="s">
        <v>20</v>
      </c>
      <c r="K8" s="279">
        <v>45803</v>
      </c>
      <c r="L8" s="278">
        <f t="shared" si="0"/>
        <v>45805</v>
      </c>
      <c r="M8" s="16" t="s">
        <v>20</v>
      </c>
      <c r="N8" s="16" t="s">
        <v>20</v>
      </c>
      <c r="O8" s="24" t="s">
        <v>741</v>
      </c>
      <c r="P8" s="25"/>
      <c r="Q8" s="24"/>
      <c r="R8" s="221"/>
      <c r="S8" s="15" t="s">
        <v>20</v>
      </c>
      <c r="T8" s="278">
        <v>46147</v>
      </c>
      <c r="U8" s="278">
        <v>46149</v>
      </c>
      <c r="V8" s="15" t="s">
        <v>20</v>
      </c>
      <c r="W8" s="278">
        <v>46150</v>
      </c>
      <c r="X8" s="278">
        <v>46150</v>
      </c>
      <c r="Y8" s="24"/>
    </row>
    <row r="9" spans="1:25" ht="14.25" customHeight="1">
      <c r="A9" s="15">
        <f t="shared" si="1"/>
        <v>4</v>
      </c>
      <c r="B9" s="15" t="str">
        <f t="shared" si="2"/>
        <v>1A/0</v>
      </c>
      <c r="C9" s="15" t="s">
        <v>48</v>
      </c>
      <c r="D9" s="16">
        <v>609</v>
      </c>
      <c r="E9" s="16" t="s">
        <v>20</v>
      </c>
      <c r="F9" s="16" t="s">
        <v>20</v>
      </c>
      <c r="G9" s="16" t="s">
        <v>20</v>
      </c>
      <c r="H9" s="421">
        <f t="shared" ref="H9:H10" si="3">I9</f>
        <v>45837</v>
      </c>
      <c r="I9" s="278">
        <v>45837</v>
      </c>
      <c r="J9" s="16" t="s">
        <v>20</v>
      </c>
      <c r="K9" s="278">
        <v>45838</v>
      </c>
      <c r="L9" s="278">
        <f t="shared" ref="L9:L10" si="4">K9</f>
        <v>45838</v>
      </c>
      <c r="M9" s="16" t="s">
        <v>20</v>
      </c>
      <c r="N9" s="16" t="s">
        <v>20</v>
      </c>
      <c r="O9" s="24" t="s">
        <v>741</v>
      </c>
      <c r="P9" s="25"/>
      <c r="Q9" s="24"/>
      <c r="R9" s="221"/>
      <c r="S9" s="15" t="s">
        <v>20</v>
      </c>
      <c r="T9" s="278">
        <v>46147</v>
      </c>
      <c r="U9" s="278">
        <v>46149</v>
      </c>
      <c r="V9" s="15" t="s">
        <v>20</v>
      </c>
      <c r="W9" s="278">
        <v>46150</v>
      </c>
      <c r="X9" s="278">
        <v>46150</v>
      </c>
      <c r="Y9" s="24"/>
    </row>
    <row r="10" spans="1:25" ht="14.25" customHeight="1">
      <c r="A10" s="15">
        <f t="shared" si="1"/>
        <v>5</v>
      </c>
      <c r="B10" s="15" t="str">
        <f t="shared" si="2"/>
        <v>1A/2</v>
      </c>
      <c r="C10" s="15" t="s">
        <v>50</v>
      </c>
      <c r="D10" s="16">
        <v>232.09800000000001</v>
      </c>
      <c r="E10" s="16" t="s">
        <v>20</v>
      </c>
      <c r="F10" s="16" t="s">
        <v>20</v>
      </c>
      <c r="G10" s="16" t="s">
        <v>20</v>
      </c>
      <c r="H10" s="421">
        <f t="shared" si="3"/>
        <v>45837</v>
      </c>
      <c r="I10" s="278">
        <v>45837</v>
      </c>
      <c r="J10" s="16" t="s">
        <v>20</v>
      </c>
      <c r="K10" s="278">
        <v>45837</v>
      </c>
      <c r="L10" s="278">
        <f t="shared" si="4"/>
        <v>45837</v>
      </c>
      <c r="M10" s="16" t="s">
        <v>20</v>
      </c>
      <c r="N10" s="16" t="s">
        <v>20</v>
      </c>
      <c r="O10" s="24" t="s">
        <v>741</v>
      </c>
      <c r="P10" s="25"/>
      <c r="Q10" s="24"/>
      <c r="R10" s="221"/>
      <c r="S10" s="15" t="s">
        <v>20</v>
      </c>
      <c r="T10" s="278">
        <v>46147</v>
      </c>
      <c r="U10" s="278">
        <v>46149</v>
      </c>
      <c r="V10" s="15" t="s">
        <v>20</v>
      </c>
      <c r="W10" s="278">
        <v>46150</v>
      </c>
      <c r="X10" s="278">
        <v>46150</v>
      </c>
      <c r="Y10" s="24"/>
    </row>
    <row r="11" spans="1:25" ht="14.25" customHeight="1">
      <c r="A11" s="15">
        <f t="shared" si="1"/>
        <v>6</v>
      </c>
      <c r="B11" s="15" t="str">
        <f t="shared" si="2"/>
        <v>1B/0</v>
      </c>
      <c r="C11" s="15" t="s">
        <v>53</v>
      </c>
      <c r="D11" s="16">
        <v>237.78299999999999</v>
      </c>
      <c r="E11" s="16" t="s">
        <v>20</v>
      </c>
      <c r="F11" s="16" t="s">
        <v>20</v>
      </c>
      <c r="G11" s="16" t="s">
        <v>20</v>
      </c>
      <c r="H11" s="421">
        <v>46121</v>
      </c>
      <c r="I11" s="421">
        <v>46121</v>
      </c>
      <c r="J11" s="16" t="s">
        <v>20</v>
      </c>
      <c r="K11" s="278">
        <v>46122</v>
      </c>
      <c r="L11" s="278">
        <v>46122</v>
      </c>
      <c r="M11" s="16" t="s">
        <v>20</v>
      </c>
      <c r="N11" s="16" t="s">
        <v>20</v>
      </c>
      <c r="O11" s="24" t="s">
        <v>741</v>
      </c>
      <c r="P11" s="25"/>
      <c r="Q11" s="24"/>
      <c r="R11" s="221"/>
      <c r="S11" s="15" t="s">
        <v>20</v>
      </c>
      <c r="T11" s="278">
        <v>46147</v>
      </c>
      <c r="U11" s="278">
        <v>46149</v>
      </c>
      <c r="V11" s="15" t="s">
        <v>20</v>
      </c>
      <c r="W11" s="278">
        <v>46150</v>
      </c>
      <c r="X11" s="278">
        <v>46150</v>
      </c>
      <c r="Y11" s="24"/>
    </row>
    <row r="12" spans="1:25" ht="14.25" customHeight="1">
      <c r="A12" s="15">
        <f t="shared" si="1"/>
        <v>7</v>
      </c>
      <c r="B12" s="15" t="str">
        <f t="shared" si="2"/>
        <v>1C/0</v>
      </c>
      <c r="C12" s="15" t="s">
        <v>58</v>
      </c>
      <c r="D12" s="16">
        <v>675.21</v>
      </c>
      <c r="E12" s="16" t="s">
        <v>20</v>
      </c>
      <c r="F12" s="16" t="s">
        <v>20</v>
      </c>
      <c r="G12" s="16" t="s">
        <v>20</v>
      </c>
      <c r="H12" s="421">
        <v>46123</v>
      </c>
      <c r="I12" s="421">
        <v>46125</v>
      </c>
      <c r="J12" s="16" t="s">
        <v>20</v>
      </c>
      <c r="K12" s="278">
        <v>46126</v>
      </c>
      <c r="L12" s="278">
        <v>46126</v>
      </c>
      <c r="M12" s="16" t="s">
        <v>20</v>
      </c>
      <c r="N12" s="16" t="s">
        <v>20</v>
      </c>
      <c r="O12" s="24" t="s">
        <v>741</v>
      </c>
      <c r="P12" s="25"/>
      <c r="Q12" s="24"/>
      <c r="R12" s="221"/>
      <c r="S12" s="15" t="s">
        <v>20</v>
      </c>
      <c r="T12" s="278">
        <v>46147</v>
      </c>
      <c r="U12" s="278">
        <v>46149</v>
      </c>
      <c r="V12" s="15" t="s">
        <v>20</v>
      </c>
      <c r="W12" s="278">
        <v>46150</v>
      </c>
      <c r="X12" s="278">
        <v>46150</v>
      </c>
      <c r="Y12" s="24"/>
    </row>
    <row r="13" spans="1:25" ht="14.25" customHeight="1">
      <c r="A13" s="15">
        <f t="shared" si="1"/>
        <v>8</v>
      </c>
      <c r="B13" s="15" t="str">
        <f t="shared" si="2"/>
        <v>1D/0</v>
      </c>
      <c r="C13" s="15" t="s">
        <v>61</v>
      </c>
      <c r="D13" s="16">
        <v>699.92</v>
      </c>
      <c r="E13" s="16" t="s">
        <v>20</v>
      </c>
      <c r="F13" s="16" t="s">
        <v>20</v>
      </c>
      <c r="G13" s="16" t="s">
        <v>20</v>
      </c>
      <c r="H13" s="421">
        <f>I13-1</f>
        <v>45870</v>
      </c>
      <c r="I13" s="278">
        <f t="shared" ref="I13:I14" si="5">K13-2</f>
        <v>45871</v>
      </c>
      <c r="J13" s="16" t="s">
        <v>20</v>
      </c>
      <c r="K13" s="278">
        <f t="shared" ref="K13:K14" si="6">L13-3</f>
        <v>45873</v>
      </c>
      <c r="L13" s="278">
        <v>45876</v>
      </c>
      <c r="M13" s="16" t="s">
        <v>20</v>
      </c>
      <c r="N13" s="16" t="s">
        <v>20</v>
      </c>
      <c r="O13" s="24" t="s">
        <v>617</v>
      </c>
      <c r="P13" s="25"/>
      <c r="Q13" s="24"/>
      <c r="R13" s="221"/>
      <c r="S13" s="15" t="s">
        <v>20</v>
      </c>
      <c r="T13" s="278">
        <v>46147</v>
      </c>
      <c r="U13" s="278">
        <v>46149</v>
      </c>
      <c r="V13" s="15" t="s">
        <v>20</v>
      </c>
      <c r="W13" s="278">
        <v>46150</v>
      </c>
      <c r="X13" s="278">
        <v>46150</v>
      </c>
      <c r="Y13" s="24"/>
    </row>
    <row r="14" spans="1:25" ht="14.25" customHeight="1">
      <c r="A14" s="15">
        <f t="shared" si="1"/>
        <v>9</v>
      </c>
      <c r="B14" s="15" t="str">
        <f t="shared" si="2"/>
        <v>1E/0</v>
      </c>
      <c r="C14" s="15" t="s">
        <v>64</v>
      </c>
      <c r="D14" s="16">
        <v>356.66399999999999</v>
      </c>
      <c r="E14" s="16" t="s">
        <v>20</v>
      </c>
      <c r="F14" s="16" t="s">
        <v>20</v>
      </c>
      <c r="G14" s="16" t="s">
        <v>20</v>
      </c>
      <c r="H14" s="421">
        <f>I14-3</f>
        <v>45864</v>
      </c>
      <c r="I14" s="278">
        <f t="shared" si="5"/>
        <v>45867</v>
      </c>
      <c r="J14" s="16" t="s">
        <v>20</v>
      </c>
      <c r="K14" s="278">
        <f t="shared" si="6"/>
        <v>45869</v>
      </c>
      <c r="L14" s="278">
        <v>45872</v>
      </c>
      <c r="M14" s="16" t="s">
        <v>20</v>
      </c>
      <c r="N14" s="16" t="s">
        <v>20</v>
      </c>
      <c r="O14" s="24" t="s">
        <v>617</v>
      </c>
      <c r="P14" s="25"/>
      <c r="Q14" s="24"/>
      <c r="R14" s="221"/>
      <c r="S14" s="15" t="s">
        <v>20</v>
      </c>
      <c r="T14" s="278">
        <v>46147</v>
      </c>
      <c r="U14" s="278">
        <v>46149</v>
      </c>
      <c r="V14" s="15" t="s">
        <v>20</v>
      </c>
      <c r="W14" s="278">
        <v>46150</v>
      </c>
      <c r="X14" s="278">
        <v>46150</v>
      </c>
      <c r="Y14" s="24"/>
    </row>
    <row r="15" spans="1:25" ht="14.25" customHeight="1">
      <c r="A15" s="15">
        <f t="shared" si="1"/>
        <v>10</v>
      </c>
      <c r="B15" s="15" t="str">
        <f t="shared" si="2"/>
        <v>2/0</v>
      </c>
      <c r="C15" s="15" t="s">
        <v>67</v>
      </c>
      <c r="D15" s="16">
        <v>174.20500000000001</v>
      </c>
      <c r="E15" s="16" t="s">
        <v>20</v>
      </c>
      <c r="F15" s="16" t="s">
        <v>20</v>
      </c>
      <c r="G15" s="16" t="s">
        <v>20</v>
      </c>
      <c r="H15" s="421">
        <v>46101</v>
      </c>
      <c r="I15" s="421">
        <v>46101</v>
      </c>
      <c r="J15" s="16" t="s">
        <v>20</v>
      </c>
      <c r="K15" s="278">
        <v>46102</v>
      </c>
      <c r="L15" s="278">
        <v>46102</v>
      </c>
      <c r="M15" s="16" t="s">
        <v>20</v>
      </c>
      <c r="N15" s="16" t="s">
        <v>20</v>
      </c>
      <c r="O15" s="24" t="s">
        <v>741</v>
      </c>
      <c r="P15" s="25"/>
      <c r="Q15" s="24"/>
      <c r="R15" s="221"/>
      <c r="S15" s="15" t="s">
        <v>20</v>
      </c>
      <c r="T15" s="278">
        <v>46147</v>
      </c>
      <c r="U15" s="278">
        <v>46149</v>
      </c>
      <c r="V15" s="15" t="s">
        <v>20</v>
      </c>
      <c r="W15" s="278">
        <v>46150</v>
      </c>
      <c r="X15" s="278">
        <v>46150</v>
      </c>
      <c r="Y15" s="24"/>
    </row>
    <row r="16" spans="1:25" ht="14.25" customHeight="1">
      <c r="A16" s="15">
        <f t="shared" si="1"/>
        <v>11</v>
      </c>
      <c r="B16" s="15" t="str">
        <f t="shared" si="2"/>
        <v>3/0</v>
      </c>
      <c r="C16" s="15" t="s">
        <v>69</v>
      </c>
      <c r="D16" s="16">
        <v>229.73</v>
      </c>
      <c r="E16" s="16" t="s">
        <v>20</v>
      </c>
      <c r="F16" s="16" t="s">
        <v>20</v>
      </c>
      <c r="G16" s="16" t="s">
        <v>20</v>
      </c>
      <c r="H16" s="421">
        <v>46118</v>
      </c>
      <c r="I16" s="421">
        <v>46118</v>
      </c>
      <c r="J16" s="16" t="s">
        <v>20</v>
      </c>
      <c r="K16" s="278">
        <v>46119</v>
      </c>
      <c r="L16" s="278">
        <v>46119</v>
      </c>
      <c r="M16" s="16" t="s">
        <v>20</v>
      </c>
      <c r="N16" s="16" t="s">
        <v>20</v>
      </c>
      <c r="O16" s="24" t="s">
        <v>741</v>
      </c>
      <c r="P16" s="25"/>
      <c r="Q16" s="24"/>
      <c r="R16" s="221"/>
      <c r="S16" s="15" t="s">
        <v>20</v>
      </c>
      <c r="T16" s="278">
        <v>46151</v>
      </c>
      <c r="U16" s="278">
        <f>T16+1</f>
        <v>46152</v>
      </c>
      <c r="V16" s="15" t="s">
        <v>20</v>
      </c>
      <c r="W16" s="278">
        <v>46152</v>
      </c>
      <c r="X16" s="278">
        <f>W16+1</f>
        <v>46153</v>
      </c>
      <c r="Y16" s="24"/>
    </row>
    <row r="17" spans="1:25" ht="14.25" customHeight="1">
      <c r="A17" s="15">
        <f t="shared" si="1"/>
        <v>12</v>
      </c>
      <c r="B17" s="15" t="str">
        <f t="shared" si="2"/>
        <v>4/0</v>
      </c>
      <c r="C17" s="15" t="s">
        <v>75</v>
      </c>
      <c r="D17" s="16">
        <v>1733</v>
      </c>
      <c r="E17" s="16" t="s">
        <v>20</v>
      </c>
      <c r="F17" s="16" t="s">
        <v>20</v>
      </c>
      <c r="G17" s="16" t="s">
        <v>20</v>
      </c>
      <c r="H17" s="421">
        <f t="shared" ref="H17:H18" si="7">I17-3</f>
        <v>45849</v>
      </c>
      <c r="I17" s="278">
        <f t="shared" ref="I17:I18" si="8">K17-2</f>
        <v>45852</v>
      </c>
      <c r="J17" s="16" t="s">
        <v>20</v>
      </c>
      <c r="K17" s="278">
        <f t="shared" ref="K17:K18" si="9">L17-2</f>
        <v>45854</v>
      </c>
      <c r="L17" s="278">
        <v>45856</v>
      </c>
      <c r="M17" s="16" t="s">
        <v>20</v>
      </c>
      <c r="N17" s="16" t="s">
        <v>20</v>
      </c>
      <c r="O17" s="24" t="s">
        <v>617</v>
      </c>
      <c r="P17" s="25"/>
      <c r="Q17" s="24"/>
      <c r="R17" s="221"/>
      <c r="S17" s="15" t="s">
        <v>20</v>
      </c>
      <c r="T17" s="278">
        <v>46151</v>
      </c>
      <c r="U17" s="278">
        <f t="shared" ref="U17:U23" si="10">T17+1</f>
        <v>46152</v>
      </c>
      <c r="V17" s="15" t="s">
        <v>20</v>
      </c>
      <c r="W17" s="278">
        <v>46152</v>
      </c>
      <c r="X17" s="278">
        <f t="shared" ref="X17:X23" si="11">W17+1</f>
        <v>46153</v>
      </c>
      <c r="Y17" s="24"/>
    </row>
    <row r="18" spans="1:25" ht="14.25" customHeight="1">
      <c r="A18" s="15">
        <f t="shared" si="1"/>
        <v>13</v>
      </c>
      <c r="B18" s="15" t="str">
        <f t="shared" si="2"/>
        <v>4/5</v>
      </c>
      <c r="C18" s="15" t="s">
        <v>77</v>
      </c>
      <c r="D18" s="16">
        <v>349</v>
      </c>
      <c r="E18" s="16" t="s">
        <v>20</v>
      </c>
      <c r="F18" s="16" t="s">
        <v>20</v>
      </c>
      <c r="G18" s="16" t="s">
        <v>20</v>
      </c>
      <c r="H18" s="421">
        <f t="shared" si="7"/>
        <v>45849</v>
      </c>
      <c r="I18" s="278">
        <f t="shared" si="8"/>
        <v>45852</v>
      </c>
      <c r="J18" s="16" t="s">
        <v>20</v>
      </c>
      <c r="K18" s="278">
        <f t="shared" si="9"/>
        <v>45854</v>
      </c>
      <c r="L18" s="278">
        <v>45856</v>
      </c>
      <c r="M18" s="16" t="s">
        <v>20</v>
      </c>
      <c r="N18" s="16"/>
      <c r="O18" s="24" t="s">
        <v>617</v>
      </c>
      <c r="P18" s="25"/>
      <c r="Q18" s="24"/>
      <c r="R18" s="221"/>
      <c r="S18" s="15" t="s">
        <v>20</v>
      </c>
      <c r="T18" s="278">
        <v>46151</v>
      </c>
      <c r="U18" s="278">
        <f t="shared" si="10"/>
        <v>46152</v>
      </c>
      <c r="V18" s="15" t="s">
        <v>20</v>
      </c>
      <c r="W18" s="278">
        <v>46152</v>
      </c>
      <c r="X18" s="278">
        <f t="shared" si="11"/>
        <v>46153</v>
      </c>
      <c r="Y18" s="24"/>
    </row>
    <row r="19" spans="1:25" ht="14.25" customHeight="1">
      <c r="A19" s="15">
        <f t="shared" si="1"/>
        <v>14</v>
      </c>
      <c r="B19" s="15" t="str">
        <f t="shared" si="2"/>
        <v>4/6</v>
      </c>
      <c r="C19" s="15" t="s">
        <v>78</v>
      </c>
      <c r="D19" s="16">
        <v>360</v>
      </c>
      <c r="E19" s="16"/>
      <c r="F19" s="24"/>
      <c r="G19" s="24"/>
      <c r="H19" s="421"/>
      <c r="I19" s="278"/>
      <c r="J19" s="24"/>
      <c r="K19" s="278"/>
      <c r="L19" s="278"/>
      <c r="M19" s="24"/>
      <c r="N19" s="24"/>
      <c r="O19" s="24"/>
      <c r="P19" s="25"/>
      <c r="Q19" s="24"/>
      <c r="R19" s="221"/>
      <c r="S19" s="15" t="s">
        <v>20</v>
      </c>
      <c r="T19" s="278">
        <v>46151</v>
      </c>
      <c r="U19" s="278">
        <f t="shared" si="10"/>
        <v>46152</v>
      </c>
      <c r="V19" s="15" t="s">
        <v>20</v>
      </c>
      <c r="W19" s="278">
        <v>46152</v>
      </c>
      <c r="X19" s="278">
        <f t="shared" si="11"/>
        <v>46153</v>
      </c>
      <c r="Y19" s="24"/>
    </row>
    <row r="20" spans="1:25" ht="14.25" customHeight="1">
      <c r="A20" s="15">
        <f t="shared" si="1"/>
        <v>15</v>
      </c>
      <c r="B20" s="15" t="str">
        <f t="shared" si="2"/>
        <v>4/7</v>
      </c>
      <c r="C20" s="15" t="s">
        <v>79</v>
      </c>
      <c r="D20" s="16">
        <v>460</v>
      </c>
      <c r="E20" s="16"/>
      <c r="F20" s="24"/>
      <c r="G20" s="24"/>
      <c r="H20" s="421"/>
      <c r="I20" s="278"/>
      <c r="J20" s="24"/>
      <c r="K20" s="278"/>
      <c r="L20" s="278"/>
      <c r="M20" s="24"/>
      <c r="N20" s="24"/>
      <c r="O20" s="24"/>
      <c r="P20" s="25"/>
      <c r="Q20" s="24"/>
      <c r="R20" s="221"/>
      <c r="S20" s="15" t="s">
        <v>20</v>
      </c>
      <c r="T20" s="278">
        <v>46151</v>
      </c>
      <c r="U20" s="278">
        <f t="shared" si="10"/>
        <v>46152</v>
      </c>
      <c r="V20" s="15" t="s">
        <v>20</v>
      </c>
      <c r="W20" s="278">
        <v>46152</v>
      </c>
      <c r="X20" s="278">
        <f t="shared" si="11"/>
        <v>46153</v>
      </c>
      <c r="Y20" s="24"/>
    </row>
    <row r="21" spans="1:25" ht="14.25" customHeight="1">
      <c r="A21" s="15">
        <f t="shared" si="1"/>
        <v>16</v>
      </c>
      <c r="B21" s="15" t="str">
        <f t="shared" si="2"/>
        <v>4/8</v>
      </c>
      <c r="C21" s="15" t="s">
        <v>80</v>
      </c>
      <c r="D21" s="16">
        <v>230</v>
      </c>
      <c r="E21" s="16"/>
      <c r="F21" s="24"/>
      <c r="G21" s="24"/>
      <c r="H21" s="421"/>
      <c r="I21" s="278"/>
      <c r="J21" s="24"/>
      <c r="K21" s="278"/>
      <c r="L21" s="278"/>
      <c r="M21" s="24"/>
      <c r="N21" s="24"/>
      <c r="O21" s="24"/>
      <c r="P21" s="25"/>
      <c r="Q21" s="24"/>
      <c r="R21" s="221"/>
      <c r="S21" s="15" t="s">
        <v>20</v>
      </c>
      <c r="T21" s="278">
        <v>46151</v>
      </c>
      <c r="U21" s="278">
        <f t="shared" si="10"/>
        <v>46152</v>
      </c>
      <c r="V21" s="15" t="s">
        <v>20</v>
      </c>
      <c r="W21" s="278">
        <v>46152</v>
      </c>
      <c r="X21" s="278">
        <f t="shared" si="11"/>
        <v>46153</v>
      </c>
      <c r="Y21" s="24"/>
    </row>
    <row r="22" spans="1:25" ht="14.25" customHeight="1">
      <c r="A22" s="15">
        <f t="shared" si="1"/>
        <v>17</v>
      </c>
      <c r="B22" s="15" t="str">
        <f t="shared" si="2"/>
        <v>4/9</v>
      </c>
      <c r="C22" s="15" t="s">
        <v>82</v>
      </c>
      <c r="D22" s="16">
        <v>371.51</v>
      </c>
      <c r="E22" s="16" t="s">
        <v>20</v>
      </c>
      <c r="F22" s="16" t="s">
        <v>20</v>
      </c>
      <c r="G22" s="16" t="s">
        <v>20</v>
      </c>
      <c r="H22" s="421">
        <f t="shared" ref="H22:H26" si="12">I22-3</f>
        <v>45891</v>
      </c>
      <c r="I22" s="278">
        <v>45894</v>
      </c>
      <c r="J22" s="16" t="s">
        <v>20</v>
      </c>
      <c r="K22" s="278">
        <f>L22-2</f>
        <v>45919</v>
      </c>
      <c r="L22" s="278">
        <v>45921</v>
      </c>
      <c r="M22" s="16" t="s">
        <v>20</v>
      </c>
      <c r="N22" s="16" t="s">
        <v>20</v>
      </c>
      <c r="O22" s="24" t="s">
        <v>741</v>
      </c>
      <c r="P22" s="25"/>
      <c r="Q22" s="24"/>
      <c r="R22" s="221"/>
      <c r="S22" s="15" t="s">
        <v>20</v>
      </c>
      <c r="T22" s="278">
        <v>46151</v>
      </c>
      <c r="U22" s="278">
        <f t="shared" si="10"/>
        <v>46152</v>
      </c>
      <c r="V22" s="15" t="s">
        <v>20</v>
      </c>
      <c r="W22" s="278">
        <v>46152</v>
      </c>
      <c r="X22" s="278">
        <f t="shared" si="11"/>
        <v>46153</v>
      </c>
      <c r="Y22" s="24"/>
    </row>
    <row r="23" spans="1:25" ht="14.25" customHeight="1">
      <c r="A23" s="15">
        <f t="shared" si="1"/>
        <v>18</v>
      </c>
      <c r="B23" s="15" t="str">
        <f t="shared" si="2"/>
        <v>4/10</v>
      </c>
      <c r="C23" s="15" t="s">
        <v>83</v>
      </c>
      <c r="D23" s="16">
        <v>332.471</v>
      </c>
      <c r="E23" s="16" t="s">
        <v>20</v>
      </c>
      <c r="F23" s="16" t="s">
        <v>20</v>
      </c>
      <c r="G23" s="16" t="s">
        <v>20</v>
      </c>
      <c r="H23" s="421">
        <f t="shared" si="12"/>
        <v>45891</v>
      </c>
      <c r="I23" s="278">
        <v>45894</v>
      </c>
      <c r="J23" s="16" t="s">
        <v>20</v>
      </c>
      <c r="K23" s="278">
        <f>K22</f>
        <v>45919</v>
      </c>
      <c r="L23" s="278">
        <v>45921</v>
      </c>
      <c r="M23" s="16" t="s">
        <v>20</v>
      </c>
      <c r="N23" s="16" t="s">
        <v>20</v>
      </c>
      <c r="O23" s="24" t="s">
        <v>741</v>
      </c>
      <c r="P23" s="15"/>
      <c r="Q23" s="24"/>
      <c r="R23" s="221"/>
      <c r="S23" s="15" t="s">
        <v>20</v>
      </c>
      <c r="T23" s="278">
        <v>46151</v>
      </c>
      <c r="U23" s="278">
        <f t="shared" si="10"/>
        <v>46152</v>
      </c>
      <c r="V23" s="15" t="s">
        <v>20</v>
      </c>
      <c r="W23" s="278">
        <v>46152</v>
      </c>
      <c r="X23" s="278">
        <f t="shared" si="11"/>
        <v>46153</v>
      </c>
      <c r="Y23" s="24"/>
    </row>
    <row r="24" spans="1:25" ht="14.25" customHeight="1">
      <c r="A24" s="15">
        <f t="shared" si="1"/>
        <v>19</v>
      </c>
      <c r="B24" s="15" t="str">
        <f t="shared" si="2"/>
        <v>4/11</v>
      </c>
      <c r="C24" s="15" t="s">
        <v>88</v>
      </c>
      <c r="D24" s="16">
        <v>1335.05</v>
      </c>
      <c r="E24" s="16" t="s">
        <v>20</v>
      </c>
      <c r="F24" s="16" t="s">
        <v>20</v>
      </c>
      <c r="G24" s="16" t="s">
        <v>20</v>
      </c>
      <c r="H24" s="421">
        <f t="shared" si="12"/>
        <v>45891</v>
      </c>
      <c r="I24" s="278">
        <v>45894</v>
      </c>
      <c r="J24" s="16" t="s">
        <v>20</v>
      </c>
      <c r="K24" s="278">
        <f t="shared" ref="K24:K25" si="13">L24-3</f>
        <v>45910</v>
      </c>
      <c r="L24" s="278">
        <v>45913</v>
      </c>
      <c r="M24" s="16" t="s">
        <v>20</v>
      </c>
      <c r="N24" s="16" t="s">
        <v>20</v>
      </c>
      <c r="O24" s="24" t="s">
        <v>741</v>
      </c>
      <c r="P24" s="15"/>
      <c r="Q24" s="24"/>
      <c r="R24" s="221"/>
      <c r="S24" s="15" t="s">
        <v>20</v>
      </c>
      <c r="T24" s="278">
        <v>46105</v>
      </c>
      <c r="U24" s="278">
        <v>46109</v>
      </c>
      <c r="V24" s="15" t="s">
        <v>20</v>
      </c>
      <c r="W24" s="278">
        <v>46109</v>
      </c>
      <c r="X24" s="278">
        <v>46109</v>
      </c>
      <c r="Y24" s="24"/>
    </row>
    <row r="25" spans="1:25" ht="14.25" customHeight="1">
      <c r="A25" s="15">
        <f t="shared" si="1"/>
        <v>20</v>
      </c>
      <c r="B25" s="15" t="str">
        <f t="shared" si="2"/>
        <v>4/15</v>
      </c>
      <c r="C25" s="15" t="s">
        <v>90</v>
      </c>
      <c r="D25" s="16">
        <v>415</v>
      </c>
      <c r="E25" s="16" t="s">
        <v>20</v>
      </c>
      <c r="F25" s="16" t="s">
        <v>20</v>
      </c>
      <c r="G25" s="16" t="s">
        <v>20</v>
      </c>
      <c r="H25" s="421">
        <f t="shared" si="12"/>
        <v>45891</v>
      </c>
      <c r="I25" s="278">
        <v>45894</v>
      </c>
      <c r="J25" s="16" t="s">
        <v>20</v>
      </c>
      <c r="K25" s="278">
        <f t="shared" si="13"/>
        <v>45900</v>
      </c>
      <c r="L25" s="278">
        <v>45903</v>
      </c>
      <c r="M25" s="16" t="s">
        <v>20</v>
      </c>
      <c r="N25" s="16" t="s">
        <v>20</v>
      </c>
      <c r="O25" s="24" t="s">
        <v>741</v>
      </c>
      <c r="P25" s="15"/>
      <c r="Q25" s="24"/>
      <c r="R25" s="221"/>
      <c r="S25" s="15" t="s">
        <v>20</v>
      </c>
      <c r="T25" s="278">
        <v>46105</v>
      </c>
      <c r="U25" s="278">
        <v>46109</v>
      </c>
      <c r="V25" s="15" t="s">
        <v>20</v>
      </c>
      <c r="W25" s="278">
        <v>46109</v>
      </c>
      <c r="X25" s="278">
        <v>46109</v>
      </c>
      <c r="Y25" s="24"/>
    </row>
    <row r="26" spans="1:25" ht="14.25" customHeight="1">
      <c r="A26" s="15">
        <f t="shared" si="1"/>
        <v>21</v>
      </c>
      <c r="B26" s="15" t="str">
        <f t="shared" si="2"/>
        <v>4/16</v>
      </c>
      <c r="C26" s="15" t="s">
        <v>91</v>
      </c>
      <c r="D26" s="16">
        <v>237</v>
      </c>
      <c r="E26" s="16" t="s">
        <v>20</v>
      </c>
      <c r="F26" s="16" t="s">
        <v>20</v>
      </c>
      <c r="G26" s="16" t="s">
        <v>20</v>
      </c>
      <c r="H26" s="421">
        <f t="shared" si="12"/>
        <v>45891</v>
      </c>
      <c r="I26" s="278">
        <v>45894</v>
      </c>
      <c r="J26" s="16" t="s">
        <v>20</v>
      </c>
      <c r="K26" s="278">
        <f>L26-1</f>
        <v>45916</v>
      </c>
      <c r="L26" s="278">
        <v>45917</v>
      </c>
      <c r="M26" s="16" t="s">
        <v>20</v>
      </c>
      <c r="N26" s="16" t="s">
        <v>20</v>
      </c>
      <c r="O26" s="24" t="s">
        <v>741</v>
      </c>
      <c r="P26" s="15"/>
      <c r="Q26" s="24"/>
      <c r="R26" s="221"/>
      <c r="S26" s="15" t="s">
        <v>20</v>
      </c>
      <c r="T26" s="278">
        <v>46105</v>
      </c>
      <c r="U26" s="278">
        <v>46109</v>
      </c>
      <c r="V26" s="15" t="s">
        <v>20</v>
      </c>
      <c r="W26" s="278">
        <v>46109</v>
      </c>
      <c r="X26" s="278">
        <v>46109</v>
      </c>
      <c r="Y26" s="24"/>
    </row>
    <row r="27" spans="1:25" ht="14.25" customHeight="1">
      <c r="A27" s="15">
        <f t="shared" si="1"/>
        <v>22</v>
      </c>
      <c r="B27" s="15" t="str">
        <f t="shared" si="2"/>
        <v>4/17</v>
      </c>
      <c r="C27" s="15" t="s">
        <v>93</v>
      </c>
      <c r="D27" s="16">
        <v>188.45400000000001</v>
      </c>
      <c r="E27" s="16" t="s">
        <v>20</v>
      </c>
      <c r="F27" s="16" t="s">
        <v>20</v>
      </c>
      <c r="G27" s="16" t="s">
        <v>20</v>
      </c>
      <c r="H27" s="421">
        <v>45897</v>
      </c>
      <c r="I27" s="278">
        <v>45900</v>
      </c>
      <c r="J27" s="16" t="s">
        <v>20</v>
      </c>
      <c r="K27" s="278">
        <f t="shared" ref="K27:K28" si="14">L27-3</f>
        <v>45907</v>
      </c>
      <c r="L27" s="278">
        <v>45910</v>
      </c>
      <c r="M27" s="16" t="s">
        <v>20</v>
      </c>
      <c r="N27" s="16" t="s">
        <v>20</v>
      </c>
      <c r="O27" s="24" t="s">
        <v>741</v>
      </c>
      <c r="P27" s="15"/>
      <c r="Q27" s="24"/>
      <c r="R27" s="221"/>
      <c r="S27" s="15" t="s">
        <v>20</v>
      </c>
      <c r="T27" s="278">
        <v>46105</v>
      </c>
      <c r="U27" s="278">
        <v>46109</v>
      </c>
      <c r="V27" s="15" t="s">
        <v>20</v>
      </c>
      <c r="W27" s="278">
        <v>46109</v>
      </c>
      <c r="X27" s="278">
        <v>46109</v>
      </c>
      <c r="Y27" s="24"/>
    </row>
    <row r="28" spans="1:25" ht="14.25" customHeight="1">
      <c r="A28" s="15">
        <f t="shared" si="1"/>
        <v>23</v>
      </c>
      <c r="B28" s="15" t="str">
        <f t="shared" si="2"/>
        <v>5/0</v>
      </c>
      <c r="C28" s="15" t="s">
        <v>94</v>
      </c>
      <c r="D28" s="16">
        <v>383</v>
      </c>
      <c r="E28" s="16" t="s">
        <v>20</v>
      </c>
      <c r="F28" s="16" t="s">
        <v>20</v>
      </c>
      <c r="G28" s="16" t="s">
        <v>20</v>
      </c>
      <c r="H28" s="421">
        <v>45897</v>
      </c>
      <c r="I28" s="278">
        <v>45900</v>
      </c>
      <c r="J28" s="16" t="s">
        <v>20</v>
      </c>
      <c r="K28" s="278">
        <f t="shared" si="14"/>
        <v>45908</v>
      </c>
      <c r="L28" s="278">
        <f>L27+1</f>
        <v>45911</v>
      </c>
      <c r="M28" s="16" t="s">
        <v>20</v>
      </c>
      <c r="N28" s="16" t="s">
        <v>20</v>
      </c>
      <c r="O28" s="24" t="s">
        <v>741</v>
      </c>
      <c r="P28" s="15"/>
      <c r="Q28" s="24"/>
      <c r="R28" s="221"/>
      <c r="S28" s="15" t="s">
        <v>20</v>
      </c>
      <c r="T28" s="278">
        <v>46105</v>
      </c>
      <c r="U28" s="278">
        <v>46109</v>
      </c>
      <c r="V28" s="15" t="s">
        <v>20</v>
      </c>
      <c r="W28" s="278">
        <v>46109</v>
      </c>
      <c r="X28" s="278">
        <v>46109</v>
      </c>
      <c r="Y28" s="24"/>
    </row>
    <row r="29" spans="1:25" ht="14.25" customHeight="1">
      <c r="A29" s="15">
        <f t="shared" si="1"/>
        <v>24</v>
      </c>
      <c r="B29" s="15" t="str">
        <f t="shared" si="2"/>
        <v>5/1</v>
      </c>
      <c r="C29" s="15" t="s">
        <v>98</v>
      </c>
      <c r="D29" s="16">
        <v>952</v>
      </c>
      <c r="E29" s="16" t="s">
        <v>20</v>
      </c>
      <c r="F29" s="16" t="s">
        <v>20</v>
      </c>
      <c r="G29" s="16" t="s">
        <v>20</v>
      </c>
      <c r="H29" s="421">
        <f>I29</f>
        <v>45946</v>
      </c>
      <c r="I29" s="278">
        <f>K29-1</f>
        <v>45946</v>
      </c>
      <c r="J29" s="16" t="s">
        <v>20</v>
      </c>
      <c r="K29" s="278">
        <f>L29-2</f>
        <v>45947</v>
      </c>
      <c r="L29" s="278">
        <v>45949</v>
      </c>
      <c r="M29" s="16" t="s">
        <v>20</v>
      </c>
      <c r="N29" s="16" t="s">
        <v>20</v>
      </c>
      <c r="O29" s="24" t="s">
        <v>741</v>
      </c>
      <c r="P29" s="15"/>
      <c r="Q29" s="24"/>
      <c r="R29" s="221"/>
      <c r="S29" s="15" t="s">
        <v>20</v>
      </c>
      <c r="T29" s="278">
        <v>46105</v>
      </c>
      <c r="U29" s="278">
        <v>46109</v>
      </c>
      <c r="V29" s="15" t="s">
        <v>20</v>
      </c>
      <c r="W29" s="278">
        <v>46109</v>
      </c>
      <c r="X29" s="278">
        <v>46109</v>
      </c>
      <c r="Y29" s="24"/>
    </row>
    <row r="30" spans="1:25" ht="14.25" customHeight="1">
      <c r="A30" s="15">
        <f t="shared" si="1"/>
        <v>25</v>
      </c>
      <c r="B30" s="15" t="str">
        <f t="shared" si="2"/>
        <v>5A/0</v>
      </c>
      <c r="C30" s="15" t="s">
        <v>99</v>
      </c>
      <c r="D30" s="16">
        <v>322</v>
      </c>
      <c r="E30" s="16" t="s">
        <v>20</v>
      </c>
      <c r="F30" s="16" t="s">
        <v>20</v>
      </c>
      <c r="G30" s="16" t="s">
        <v>20</v>
      </c>
      <c r="H30" s="278">
        <v>46063</v>
      </c>
      <c r="I30" s="278">
        <v>46065</v>
      </c>
      <c r="J30" s="16" t="s">
        <v>20</v>
      </c>
      <c r="K30" s="278">
        <v>46066</v>
      </c>
      <c r="L30" s="278">
        <v>46067</v>
      </c>
      <c r="M30" s="16" t="s">
        <v>20</v>
      </c>
      <c r="N30" s="16" t="s">
        <v>20</v>
      </c>
      <c r="O30" s="24" t="s">
        <v>741</v>
      </c>
      <c r="P30" s="15"/>
      <c r="Q30" s="24"/>
      <c r="R30" s="221"/>
      <c r="S30" s="15" t="s">
        <v>20</v>
      </c>
      <c r="T30" s="278">
        <v>46105</v>
      </c>
      <c r="U30" s="278">
        <v>46109</v>
      </c>
      <c r="V30" s="15" t="s">
        <v>20</v>
      </c>
      <c r="W30" s="278">
        <v>46109</v>
      </c>
      <c r="X30" s="278">
        <v>46109</v>
      </c>
      <c r="Y30" s="24"/>
    </row>
    <row r="31" spans="1:25" ht="14.25" customHeight="1">
      <c r="A31" s="15">
        <f t="shared" si="1"/>
        <v>26</v>
      </c>
      <c r="B31" s="15" t="str">
        <f t="shared" si="2"/>
        <v>5A/1</v>
      </c>
      <c r="C31" s="15" t="s">
        <v>100</v>
      </c>
      <c r="D31" s="16">
        <v>284</v>
      </c>
      <c r="E31" s="16" t="s">
        <v>20</v>
      </c>
      <c r="F31" s="16" t="s">
        <v>20</v>
      </c>
      <c r="G31" s="16" t="s">
        <v>20</v>
      </c>
      <c r="H31" s="421">
        <v>46062</v>
      </c>
      <c r="I31" s="278">
        <v>46063</v>
      </c>
      <c r="J31" s="16" t="s">
        <v>20</v>
      </c>
      <c r="K31" s="278">
        <v>46067</v>
      </c>
      <c r="L31" s="278">
        <v>46068</v>
      </c>
      <c r="M31" s="16" t="s">
        <v>20</v>
      </c>
      <c r="N31" s="16" t="s">
        <v>20</v>
      </c>
      <c r="O31" s="24" t="s">
        <v>741</v>
      </c>
      <c r="P31" s="15"/>
      <c r="Q31" s="24"/>
      <c r="R31" s="221"/>
      <c r="S31" s="15" t="s">
        <v>20</v>
      </c>
      <c r="T31" s="278">
        <v>46105</v>
      </c>
      <c r="U31" s="278">
        <v>46109</v>
      </c>
      <c r="V31" s="15" t="s">
        <v>20</v>
      </c>
      <c r="W31" s="278">
        <v>46109</v>
      </c>
      <c r="X31" s="278">
        <v>46109</v>
      </c>
      <c r="Y31" s="24"/>
    </row>
    <row r="32" spans="1:25" ht="14.25" customHeight="1">
      <c r="A32" s="15">
        <f t="shared" si="1"/>
        <v>27</v>
      </c>
      <c r="B32" s="15" t="str">
        <f t="shared" si="2"/>
        <v>5A/2</v>
      </c>
      <c r="C32" s="15" t="s">
        <v>102</v>
      </c>
      <c r="D32" s="16">
        <v>282.74</v>
      </c>
      <c r="E32" s="16" t="s">
        <v>20</v>
      </c>
      <c r="F32" s="16" t="s">
        <v>20</v>
      </c>
      <c r="G32" s="16" t="s">
        <v>20</v>
      </c>
      <c r="H32" s="421">
        <v>46059</v>
      </c>
      <c r="I32" s="278">
        <v>46062</v>
      </c>
      <c r="J32" s="16" t="s">
        <v>20</v>
      </c>
      <c r="K32" s="278">
        <v>46062</v>
      </c>
      <c r="L32" s="278">
        <v>46063</v>
      </c>
      <c r="M32" s="16" t="s">
        <v>20</v>
      </c>
      <c r="N32" s="16" t="s">
        <v>20</v>
      </c>
      <c r="O32" s="24" t="s">
        <v>741</v>
      </c>
      <c r="P32" s="15"/>
      <c r="Q32" s="24"/>
      <c r="R32" s="221"/>
      <c r="S32" s="15" t="s">
        <v>20</v>
      </c>
      <c r="T32" s="278">
        <v>46105</v>
      </c>
      <c r="U32" s="278">
        <v>46109</v>
      </c>
      <c r="V32" s="15" t="s">
        <v>20</v>
      </c>
      <c r="W32" s="278">
        <v>46109</v>
      </c>
      <c r="X32" s="278">
        <v>46109</v>
      </c>
      <c r="Y32" s="24"/>
    </row>
    <row r="33" spans="1:25" ht="14.25" customHeight="1">
      <c r="A33" s="15">
        <f t="shared" si="1"/>
        <v>28</v>
      </c>
      <c r="B33" s="15" t="str">
        <f t="shared" si="2"/>
        <v>5B/0</v>
      </c>
      <c r="C33" s="15" t="s">
        <v>104</v>
      </c>
      <c r="D33" s="16">
        <v>462.06</v>
      </c>
      <c r="E33" s="16" t="s">
        <v>20</v>
      </c>
      <c r="F33" s="16" t="s">
        <v>20</v>
      </c>
      <c r="G33" s="16" t="s">
        <v>20</v>
      </c>
      <c r="H33" s="421">
        <v>46050</v>
      </c>
      <c r="I33" s="278">
        <v>46057</v>
      </c>
      <c r="J33" s="16" t="s">
        <v>20</v>
      </c>
      <c r="K33" s="278">
        <v>46060</v>
      </c>
      <c r="L33" s="278">
        <v>46062</v>
      </c>
      <c r="M33" s="16" t="s">
        <v>20</v>
      </c>
      <c r="N33" s="16" t="s">
        <v>20</v>
      </c>
      <c r="O33" s="24" t="s">
        <v>741</v>
      </c>
      <c r="P33" s="25"/>
      <c r="Q33" s="24"/>
      <c r="R33" s="221"/>
      <c r="S33" s="15" t="s">
        <v>20</v>
      </c>
      <c r="T33" s="278">
        <v>46105</v>
      </c>
      <c r="U33" s="278">
        <v>46109</v>
      </c>
      <c r="V33" s="15" t="s">
        <v>20</v>
      </c>
      <c r="W33" s="278">
        <v>46109</v>
      </c>
      <c r="X33" s="278">
        <v>46109</v>
      </c>
      <c r="Y33" s="24"/>
    </row>
    <row r="34" spans="1:25" ht="13.5" customHeight="1">
      <c r="A34" s="15">
        <f t="shared" si="1"/>
        <v>29</v>
      </c>
      <c r="B34" s="15" t="str">
        <f t="shared" si="2"/>
        <v>6/0</v>
      </c>
      <c r="C34" s="15" t="s">
        <v>106</v>
      </c>
      <c r="D34" s="16">
        <v>318.04000000000002</v>
      </c>
      <c r="E34" s="16" t="s">
        <v>20</v>
      </c>
      <c r="F34" s="16" t="s">
        <v>20</v>
      </c>
      <c r="G34" s="16" t="s">
        <v>20</v>
      </c>
      <c r="H34" s="421">
        <v>46050</v>
      </c>
      <c r="I34" s="278">
        <v>46057</v>
      </c>
      <c r="J34" s="16" t="s">
        <v>20</v>
      </c>
      <c r="K34" s="278">
        <v>46057</v>
      </c>
      <c r="L34" s="278">
        <v>46059</v>
      </c>
      <c r="M34" s="16" t="s">
        <v>20</v>
      </c>
      <c r="N34" s="16" t="s">
        <v>20</v>
      </c>
      <c r="O34" s="24" t="s">
        <v>741</v>
      </c>
      <c r="P34" s="25"/>
      <c r="Q34" s="24"/>
      <c r="R34" s="221"/>
      <c r="S34" s="15" t="s">
        <v>20</v>
      </c>
      <c r="T34" s="278">
        <v>46100</v>
      </c>
      <c r="U34" s="278">
        <v>46103</v>
      </c>
      <c r="V34" s="15" t="s">
        <v>20</v>
      </c>
      <c r="W34" s="278">
        <v>46104</v>
      </c>
      <c r="X34" s="278">
        <v>46104</v>
      </c>
      <c r="Y34" s="24"/>
    </row>
    <row r="35" spans="1:25" ht="14.25" customHeight="1">
      <c r="A35" s="15">
        <f t="shared" si="1"/>
        <v>30</v>
      </c>
      <c r="B35" s="15" t="str">
        <f t="shared" si="2"/>
        <v>7/0</v>
      </c>
      <c r="C35" s="15" t="s">
        <v>111</v>
      </c>
      <c r="D35" s="16">
        <v>1147.05</v>
      </c>
      <c r="E35" s="16" t="s">
        <v>20</v>
      </c>
      <c r="F35" s="16" t="s">
        <v>20</v>
      </c>
      <c r="G35" s="16" t="s">
        <v>20</v>
      </c>
      <c r="H35" s="421">
        <f>I35-2</f>
        <v>45922</v>
      </c>
      <c r="I35" s="278">
        <v>45924</v>
      </c>
      <c r="J35" s="16" t="s">
        <v>20</v>
      </c>
      <c r="K35" s="278">
        <f>L35-2</f>
        <v>45925</v>
      </c>
      <c r="L35" s="278">
        <v>45927</v>
      </c>
      <c r="M35" s="16" t="s">
        <v>20</v>
      </c>
      <c r="N35" s="16" t="s">
        <v>20</v>
      </c>
      <c r="O35" s="24" t="s">
        <v>741</v>
      </c>
      <c r="P35" s="25"/>
      <c r="Q35" s="24"/>
      <c r="R35" s="221"/>
      <c r="S35" s="15" t="s">
        <v>20</v>
      </c>
      <c r="T35" s="278">
        <v>46100</v>
      </c>
      <c r="U35" s="278">
        <v>46103</v>
      </c>
      <c r="V35" s="15" t="s">
        <v>20</v>
      </c>
      <c r="W35" s="278">
        <v>46104</v>
      </c>
      <c r="X35" s="278">
        <v>46104</v>
      </c>
      <c r="Y35" s="24"/>
    </row>
    <row r="36" spans="1:25" ht="14.25" customHeight="1">
      <c r="A36" s="15">
        <f t="shared" si="1"/>
        <v>31</v>
      </c>
      <c r="B36" s="15" t="str">
        <f t="shared" si="2"/>
        <v>8/0</v>
      </c>
      <c r="C36" s="15" t="s">
        <v>113</v>
      </c>
      <c r="D36" s="16">
        <v>173.57</v>
      </c>
      <c r="E36" s="16" t="s">
        <v>20</v>
      </c>
      <c r="F36" s="16" t="s">
        <v>20</v>
      </c>
      <c r="G36" s="16" t="s">
        <v>20</v>
      </c>
      <c r="H36" s="421">
        <f>I36</f>
        <v>45931</v>
      </c>
      <c r="I36" s="278">
        <v>45931</v>
      </c>
      <c r="J36" s="16" t="s">
        <v>20</v>
      </c>
      <c r="K36" s="278">
        <f t="shared" ref="K36:K38" si="15">L36-1</f>
        <v>45934</v>
      </c>
      <c r="L36" s="278">
        <v>45935</v>
      </c>
      <c r="M36" s="16" t="s">
        <v>20</v>
      </c>
      <c r="N36" s="16" t="s">
        <v>20</v>
      </c>
      <c r="O36" s="24" t="s">
        <v>741</v>
      </c>
      <c r="P36" s="25"/>
      <c r="Q36" s="24"/>
      <c r="R36" s="221"/>
      <c r="S36" s="15" t="s">
        <v>20</v>
      </c>
      <c r="T36" s="278">
        <v>46100</v>
      </c>
      <c r="U36" s="278">
        <v>46103</v>
      </c>
      <c r="V36" s="15" t="s">
        <v>20</v>
      </c>
      <c r="W36" s="278">
        <v>46104</v>
      </c>
      <c r="X36" s="278">
        <v>46104</v>
      </c>
      <c r="Y36" s="24"/>
    </row>
    <row r="37" spans="1:25" ht="14.25" customHeight="1">
      <c r="A37" s="15">
        <f t="shared" si="1"/>
        <v>32</v>
      </c>
      <c r="B37" s="15" t="str">
        <f t="shared" si="2"/>
        <v>8A/0</v>
      </c>
      <c r="C37" s="15" t="s">
        <v>115</v>
      </c>
      <c r="D37" s="16">
        <v>336.5</v>
      </c>
      <c r="E37" s="16" t="s">
        <v>20</v>
      </c>
      <c r="F37" s="16" t="s">
        <v>20</v>
      </c>
      <c r="G37" s="16" t="s">
        <v>20</v>
      </c>
      <c r="H37" s="421">
        <f t="shared" ref="H37:I37" si="16">H36+2</f>
        <v>45933</v>
      </c>
      <c r="I37" s="278">
        <f t="shared" si="16"/>
        <v>45933</v>
      </c>
      <c r="J37" s="16" t="s">
        <v>20</v>
      </c>
      <c r="K37" s="278">
        <f t="shared" si="15"/>
        <v>45938</v>
      </c>
      <c r="L37" s="278">
        <v>45939</v>
      </c>
      <c r="M37" s="16" t="s">
        <v>20</v>
      </c>
      <c r="N37" s="16" t="s">
        <v>20</v>
      </c>
      <c r="O37" s="24" t="s">
        <v>741</v>
      </c>
      <c r="P37" s="25"/>
      <c r="Q37" s="24"/>
      <c r="R37" s="221"/>
      <c r="S37" s="15" t="s">
        <v>20</v>
      </c>
      <c r="T37" s="278">
        <v>46100</v>
      </c>
      <c r="U37" s="278">
        <v>46103</v>
      </c>
      <c r="V37" s="15" t="s">
        <v>20</v>
      </c>
      <c r="W37" s="278">
        <v>46104</v>
      </c>
      <c r="X37" s="278">
        <v>46104</v>
      </c>
      <c r="Y37" s="24"/>
    </row>
    <row r="38" spans="1:25" ht="14.25" customHeight="1">
      <c r="A38" s="15">
        <f t="shared" si="1"/>
        <v>33</v>
      </c>
      <c r="B38" s="15" t="str">
        <f t="shared" si="2"/>
        <v>8B/0</v>
      </c>
      <c r="C38" s="15" t="s">
        <v>120</v>
      </c>
      <c r="D38" s="16">
        <v>900.14</v>
      </c>
      <c r="E38" s="16" t="s">
        <v>20</v>
      </c>
      <c r="F38" s="16" t="s">
        <v>20</v>
      </c>
      <c r="G38" s="16" t="s">
        <v>20</v>
      </c>
      <c r="H38" s="421">
        <f t="shared" ref="H38:I38" si="17">H37+1</f>
        <v>45934</v>
      </c>
      <c r="I38" s="278">
        <f t="shared" si="17"/>
        <v>45934</v>
      </c>
      <c r="J38" s="16" t="s">
        <v>20</v>
      </c>
      <c r="K38" s="278">
        <f t="shared" si="15"/>
        <v>45938</v>
      </c>
      <c r="L38" s="278">
        <v>45939</v>
      </c>
      <c r="M38" s="16" t="s">
        <v>20</v>
      </c>
      <c r="N38" s="16" t="s">
        <v>20</v>
      </c>
      <c r="O38" s="24" t="s">
        <v>741</v>
      </c>
      <c r="P38" s="25"/>
      <c r="Q38" s="24"/>
      <c r="R38" s="221"/>
      <c r="S38" s="15" t="s">
        <v>20</v>
      </c>
      <c r="T38" s="278">
        <v>46100</v>
      </c>
      <c r="U38" s="278">
        <v>46103</v>
      </c>
      <c r="V38" s="15" t="s">
        <v>20</v>
      </c>
      <c r="W38" s="278">
        <v>46104</v>
      </c>
      <c r="X38" s="278">
        <v>46104</v>
      </c>
      <c r="Y38" s="24"/>
    </row>
    <row r="39" spans="1:25" ht="14.25" customHeight="1">
      <c r="A39" s="15">
        <f t="shared" si="1"/>
        <v>34</v>
      </c>
      <c r="B39" s="15" t="str">
        <f t="shared" si="2"/>
        <v>8C/0</v>
      </c>
      <c r="C39" s="15" t="s">
        <v>122</v>
      </c>
      <c r="D39" s="16">
        <v>318.76</v>
      </c>
      <c r="E39" s="16" t="s">
        <v>20</v>
      </c>
      <c r="F39" s="16" t="s">
        <v>20</v>
      </c>
      <c r="G39" s="16" t="s">
        <v>20</v>
      </c>
      <c r="H39" s="421">
        <v>46094</v>
      </c>
      <c r="I39" s="421">
        <v>46094</v>
      </c>
      <c r="J39" s="16" t="s">
        <v>20</v>
      </c>
      <c r="K39" s="278">
        <v>46095</v>
      </c>
      <c r="L39" s="278">
        <v>46095</v>
      </c>
      <c r="M39" s="16" t="s">
        <v>20</v>
      </c>
      <c r="N39" s="16" t="s">
        <v>20</v>
      </c>
      <c r="O39" s="24" t="s">
        <v>741</v>
      </c>
      <c r="P39" s="25"/>
      <c r="Q39" s="24"/>
      <c r="R39" s="221"/>
      <c r="S39" s="15" t="s">
        <v>20</v>
      </c>
      <c r="T39" s="278">
        <v>46100</v>
      </c>
      <c r="U39" s="278">
        <v>46103</v>
      </c>
      <c r="V39" s="15" t="s">
        <v>20</v>
      </c>
      <c r="W39" s="278">
        <v>46104</v>
      </c>
      <c r="X39" s="278">
        <v>46104</v>
      </c>
      <c r="Y39" s="24"/>
    </row>
    <row r="40" spans="1:25" ht="14.25" customHeight="1">
      <c r="A40" s="15">
        <f t="shared" si="1"/>
        <v>35</v>
      </c>
      <c r="B40" s="15" t="str">
        <f t="shared" si="2"/>
        <v>8D/0</v>
      </c>
      <c r="C40" s="15" t="s">
        <v>123</v>
      </c>
      <c r="D40" s="16">
        <v>436.1</v>
      </c>
      <c r="E40" s="16" t="s">
        <v>20</v>
      </c>
      <c r="F40" s="16" t="s">
        <v>20</v>
      </c>
      <c r="G40" s="16" t="s">
        <v>20</v>
      </c>
      <c r="H40" s="421">
        <v>46086</v>
      </c>
      <c r="I40" s="421">
        <v>46087</v>
      </c>
      <c r="J40" s="16" t="s">
        <v>20</v>
      </c>
      <c r="K40" s="278">
        <v>46088</v>
      </c>
      <c r="L40" s="278">
        <v>46089</v>
      </c>
      <c r="M40" s="16" t="s">
        <v>20</v>
      </c>
      <c r="N40" s="16" t="s">
        <v>20</v>
      </c>
      <c r="O40" s="24" t="s">
        <v>741</v>
      </c>
      <c r="P40" s="25"/>
      <c r="Q40" s="24"/>
      <c r="R40" s="221"/>
      <c r="S40" s="15" t="s">
        <v>20</v>
      </c>
      <c r="T40" s="278">
        <v>46100</v>
      </c>
      <c r="U40" s="278">
        <v>46103</v>
      </c>
      <c r="V40" s="15" t="s">
        <v>20</v>
      </c>
      <c r="W40" s="278">
        <v>46104</v>
      </c>
      <c r="X40" s="278">
        <v>46104</v>
      </c>
      <c r="Y40" s="24"/>
    </row>
    <row r="41" spans="1:25" ht="14.25" customHeight="1">
      <c r="A41" s="15">
        <f t="shared" si="1"/>
        <v>36</v>
      </c>
      <c r="B41" s="15" t="str">
        <f t="shared" si="2"/>
        <v>8D/1</v>
      </c>
      <c r="C41" s="15" t="s">
        <v>125</v>
      </c>
      <c r="D41" s="16">
        <v>657.08</v>
      </c>
      <c r="E41" s="16" t="s">
        <v>20</v>
      </c>
      <c r="F41" s="16" t="s">
        <v>20</v>
      </c>
      <c r="G41" s="16" t="s">
        <v>20</v>
      </c>
      <c r="H41" s="421">
        <v>46083</v>
      </c>
      <c r="I41" s="278">
        <v>46086</v>
      </c>
      <c r="J41" s="16" t="s">
        <v>20</v>
      </c>
      <c r="K41" s="278">
        <v>46089</v>
      </c>
      <c r="L41" s="278">
        <v>46090</v>
      </c>
      <c r="M41" s="16" t="s">
        <v>20</v>
      </c>
      <c r="N41" s="16" t="s">
        <v>20</v>
      </c>
      <c r="O41" s="24" t="s">
        <v>741</v>
      </c>
      <c r="P41" s="25"/>
      <c r="Q41" s="24"/>
      <c r="R41" s="221"/>
      <c r="S41" s="15" t="s">
        <v>20</v>
      </c>
      <c r="T41" s="278">
        <v>46100</v>
      </c>
      <c r="U41" s="278">
        <v>46103</v>
      </c>
      <c r="V41" s="15" t="s">
        <v>20</v>
      </c>
      <c r="W41" s="278">
        <v>46104</v>
      </c>
      <c r="X41" s="278">
        <v>46104</v>
      </c>
      <c r="Y41" s="24"/>
    </row>
    <row r="42" spans="1:25" ht="14.25" customHeight="1">
      <c r="A42" s="15">
        <f t="shared" si="1"/>
        <v>37</v>
      </c>
      <c r="B42" s="15" t="str">
        <f t="shared" si="2"/>
        <v>8D/3</v>
      </c>
      <c r="C42" s="15" t="s">
        <v>126</v>
      </c>
      <c r="D42" s="16">
        <v>459</v>
      </c>
      <c r="E42" s="16" t="s">
        <v>20</v>
      </c>
      <c r="F42" s="16" t="s">
        <v>20</v>
      </c>
      <c r="G42" s="16" t="s">
        <v>20</v>
      </c>
      <c r="H42" s="421">
        <v>46068</v>
      </c>
      <c r="I42" s="421">
        <v>46072</v>
      </c>
      <c r="J42" s="16" t="s">
        <v>20</v>
      </c>
      <c r="K42" s="278">
        <v>46080</v>
      </c>
      <c r="L42" s="278">
        <v>46080</v>
      </c>
      <c r="M42" s="16" t="s">
        <v>20</v>
      </c>
      <c r="N42" s="16" t="s">
        <v>20</v>
      </c>
      <c r="O42" s="24" t="s">
        <v>741</v>
      </c>
      <c r="P42" s="15"/>
      <c r="Q42" s="24"/>
      <c r="R42" s="221"/>
      <c r="S42" s="15" t="s">
        <v>20</v>
      </c>
      <c r="T42" s="278">
        <v>46100</v>
      </c>
      <c r="U42" s="278">
        <v>46103</v>
      </c>
      <c r="V42" s="15" t="s">
        <v>20</v>
      </c>
      <c r="W42" s="278">
        <v>46104</v>
      </c>
      <c r="X42" s="278">
        <v>46104</v>
      </c>
      <c r="Y42" s="24"/>
    </row>
    <row r="43" spans="1:25" ht="14.25" customHeight="1">
      <c r="A43" s="15">
        <f t="shared" si="1"/>
        <v>38</v>
      </c>
      <c r="B43" s="15" t="str">
        <f t="shared" si="2"/>
        <v>8D/4</v>
      </c>
      <c r="C43" s="15" t="s">
        <v>127</v>
      </c>
      <c r="D43" s="16">
        <v>195</v>
      </c>
      <c r="E43" s="16" t="s">
        <v>20</v>
      </c>
      <c r="F43" s="16" t="s">
        <v>20</v>
      </c>
      <c r="G43" s="16" t="s">
        <v>20</v>
      </c>
      <c r="H43" s="421">
        <v>46068</v>
      </c>
      <c r="I43" s="421">
        <v>46072</v>
      </c>
      <c r="J43" s="16" t="s">
        <v>20</v>
      </c>
      <c r="K43" s="278">
        <v>46081</v>
      </c>
      <c r="L43" s="278">
        <v>46081</v>
      </c>
      <c r="M43" s="16" t="s">
        <v>20</v>
      </c>
      <c r="N43" s="16" t="s">
        <v>20</v>
      </c>
      <c r="O43" s="24" t="s">
        <v>741</v>
      </c>
      <c r="P43" s="35"/>
      <c r="Q43" s="35"/>
      <c r="R43" s="222"/>
      <c r="S43" s="15" t="s">
        <v>20</v>
      </c>
      <c r="T43" s="278">
        <v>46092</v>
      </c>
      <c r="U43" s="278">
        <v>46097</v>
      </c>
      <c r="V43" s="15" t="s">
        <v>20</v>
      </c>
      <c r="W43" s="278">
        <v>46098</v>
      </c>
      <c r="X43" s="278">
        <v>46099</v>
      </c>
      <c r="Y43" s="24"/>
    </row>
    <row r="44" spans="1:25" ht="14.25" customHeight="1">
      <c r="A44" s="15">
        <f t="shared" si="1"/>
        <v>39</v>
      </c>
      <c r="B44" s="15" t="str">
        <f t="shared" si="2"/>
        <v>8D/5</v>
      </c>
      <c r="C44" s="15" t="s">
        <v>128</v>
      </c>
      <c r="D44" s="16">
        <v>295</v>
      </c>
      <c r="E44" s="16" t="s">
        <v>20</v>
      </c>
      <c r="F44" s="16" t="s">
        <v>20</v>
      </c>
      <c r="G44" s="16" t="s">
        <v>20</v>
      </c>
      <c r="H44" s="421">
        <v>46068</v>
      </c>
      <c r="I44" s="421">
        <v>46072</v>
      </c>
      <c r="J44" s="16" t="s">
        <v>20</v>
      </c>
      <c r="K44" s="278">
        <v>46098</v>
      </c>
      <c r="L44" s="278">
        <v>46098</v>
      </c>
      <c r="M44" s="16" t="s">
        <v>20</v>
      </c>
      <c r="N44" s="16" t="s">
        <v>20</v>
      </c>
      <c r="O44" s="24" t="s">
        <v>741</v>
      </c>
      <c r="P44" s="35"/>
      <c r="Q44" s="24"/>
      <c r="R44" s="221"/>
      <c r="S44" s="15" t="s">
        <v>20</v>
      </c>
      <c r="T44" s="278">
        <v>46092</v>
      </c>
      <c r="U44" s="278">
        <v>46097</v>
      </c>
      <c r="V44" s="15" t="s">
        <v>20</v>
      </c>
      <c r="W44" s="278">
        <v>46098</v>
      </c>
      <c r="X44" s="278">
        <v>46099</v>
      </c>
      <c r="Y44" s="24"/>
    </row>
    <row r="45" spans="1:25" ht="14.25" customHeight="1">
      <c r="A45" s="15">
        <f t="shared" si="1"/>
        <v>40</v>
      </c>
      <c r="B45" s="15" t="str">
        <f t="shared" si="2"/>
        <v>8D/6</v>
      </c>
      <c r="C45" s="15" t="s">
        <v>130</v>
      </c>
      <c r="D45" s="16">
        <v>380.25</v>
      </c>
      <c r="E45" s="16" t="s">
        <v>20</v>
      </c>
      <c r="F45" s="16" t="s">
        <v>20</v>
      </c>
      <c r="G45" s="16" t="s">
        <v>20</v>
      </c>
      <c r="H45" s="421">
        <v>46068</v>
      </c>
      <c r="I45" s="421">
        <v>46072</v>
      </c>
      <c r="J45" s="16" t="s">
        <v>20</v>
      </c>
      <c r="K45" s="278">
        <v>46097</v>
      </c>
      <c r="L45" s="278">
        <v>46097</v>
      </c>
      <c r="M45" s="16" t="s">
        <v>20</v>
      </c>
      <c r="N45" s="16" t="s">
        <v>20</v>
      </c>
      <c r="O45" s="24" t="s">
        <v>741</v>
      </c>
      <c r="P45" s="35"/>
      <c r="Q45" s="24"/>
      <c r="R45" s="221"/>
      <c r="S45" s="15" t="s">
        <v>20</v>
      </c>
      <c r="T45" s="278">
        <v>46092</v>
      </c>
      <c r="U45" s="278">
        <v>46097</v>
      </c>
      <c r="V45" s="15" t="s">
        <v>20</v>
      </c>
      <c r="W45" s="278">
        <v>46098</v>
      </c>
      <c r="X45" s="278">
        <v>46099</v>
      </c>
      <c r="Y45" s="24"/>
    </row>
    <row r="46" spans="1:25" ht="14.25" customHeight="1">
      <c r="A46" s="15">
        <f t="shared" si="1"/>
        <v>41</v>
      </c>
      <c r="B46" s="15" t="str">
        <f t="shared" si="2"/>
        <v>8E/0</v>
      </c>
      <c r="C46" s="15" t="s">
        <v>131</v>
      </c>
      <c r="D46" s="16">
        <v>428</v>
      </c>
      <c r="E46" s="16" t="s">
        <v>20</v>
      </c>
      <c r="F46" s="16" t="s">
        <v>20</v>
      </c>
      <c r="G46" s="16" t="s">
        <v>20</v>
      </c>
      <c r="H46" s="421">
        <v>46068</v>
      </c>
      <c r="I46" s="421">
        <v>46072</v>
      </c>
      <c r="J46" s="16" t="s">
        <v>20</v>
      </c>
      <c r="K46" s="278">
        <v>46096</v>
      </c>
      <c r="L46" s="278">
        <v>46096</v>
      </c>
      <c r="M46" s="16" t="s">
        <v>20</v>
      </c>
      <c r="N46" s="16" t="s">
        <v>20</v>
      </c>
      <c r="O46" s="24" t="s">
        <v>741</v>
      </c>
      <c r="P46" s="35"/>
      <c r="Q46" s="24"/>
      <c r="R46" s="221"/>
      <c r="S46" s="15" t="s">
        <v>20</v>
      </c>
      <c r="T46" s="278">
        <v>46092</v>
      </c>
      <c r="U46" s="278">
        <v>46097</v>
      </c>
      <c r="V46" s="15" t="s">
        <v>20</v>
      </c>
      <c r="W46" s="278">
        <v>46098</v>
      </c>
      <c r="X46" s="278">
        <v>46099</v>
      </c>
      <c r="Y46" s="24"/>
    </row>
    <row r="47" spans="1:25" ht="14.25" customHeight="1">
      <c r="A47" s="15">
        <f t="shared" si="1"/>
        <v>42</v>
      </c>
      <c r="B47" s="15" t="str">
        <f t="shared" si="2"/>
        <v>8E/1</v>
      </c>
      <c r="C47" s="15" t="s">
        <v>132</v>
      </c>
      <c r="D47" s="16">
        <v>419</v>
      </c>
      <c r="E47" s="16" t="s">
        <v>20</v>
      </c>
      <c r="F47" s="16" t="s">
        <v>20</v>
      </c>
      <c r="G47" s="16" t="s">
        <v>20</v>
      </c>
      <c r="H47" s="421">
        <f t="shared" ref="H47:H49" si="18">I47-3</f>
        <v>45972</v>
      </c>
      <c r="I47" s="278">
        <f t="shared" ref="I47:I49" si="19">K47-1</f>
        <v>45975</v>
      </c>
      <c r="J47" s="16" t="s">
        <v>20</v>
      </c>
      <c r="K47" s="278">
        <f t="shared" ref="K47:K49" si="20">L47-3</f>
        <v>45976</v>
      </c>
      <c r="L47" s="278">
        <v>45979</v>
      </c>
      <c r="M47" s="16" t="s">
        <v>20</v>
      </c>
      <c r="N47" s="16" t="s">
        <v>20</v>
      </c>
      <c r="O47" s="24" t="s">
        <v>741</v>
      </c>
      <c r="P47" s="35"/>
      <c r="Q47" s="24"/>
      <c r="R47" s="221"/>
      <c r="S47" s="15" t="s">
        <v>20</v>
      </c>
      <c r="T47" s="278">
        <v>46092</v>
      </c>
      <c r="U47" s="278">
        <v>46097</v>
      </c>
      <c r="V47" s="15" t="s">
        <v>20</v>
      </c>
      <c r="W47" s="278">
        <v>46098</v>
      </c>
      <c r="X47" s="278">
        <v>46099</v>
      </c>
      <c r="Y47" s="18"/>
    </row>
    <row r="48" spans="1:25" ht="14.25" customHeight="1">
      <c r="A48" s="15">
        <f t="shared" si="1"/>
        <v>43</v>
      </c>
      <c r="B48" s="15" t="str">
        <f t="shared" si="2"/>
        <v>8E/2</v>
      </c>
      <c r="C48" s="15" t="s">
        <v>135</v>
      </c>
      <c r="D48" s="16">
        <v>900</v>
      </c>
      <c r="E48" s="16" t="s">
        <v>20</v>
      </c>
      <c r="F48" s="16" t="s">
        <v>20</v>
      </c>
      <c r="G48" s="16" t="s">
        <v>20</v>
      </c>
      <c r="H48" s="421">
        <f t="shared" si="18"/>
        <v>45972</v>
      </c>
      <c r="I48" s="278">
        <f t="shared" si="19"/>
        <v>45975</v>
      </c>
      <c r="J48" s="16" t="s">
        <v>20</v>
      </c>
      <c r="K48" s="278">
        <f t="shared" si="20"/>
        <v>45976</v>
      </c>
      <c r="L48" s="278">
        <v>45979</v>
      </c>
      <c r="M48" s="16" t="s">
        <v>20</v>
      </c>
      <c r="N48" s="16" t="s">
        <v>20</v>
      </c>
      <c r="O48" s="24" t="s">
        <v>741</v>
      </c>
      <c r="P48" s="35"/>
      <c r="Q48" s="24"/>
      <c r="R48" s="221"/>
      <c r="S48" s="15" t="s">
        <v>20</v>
      </c>
      <c r="T48" s="278">
        <v>46092</v>
      </c>
      <c r="U48" s="278">
        <v>46097</v>
      </c>
      <c r="V48" s="15" t="s">
        <v>20</v>
      </c>
      <c r="W48" s="278">
        <v>46098</v>
      </c>
      <c r="X48" s="278">
        <v>46099</v>
      </c>
      <c r="Y48" s="18"/>
    </row>
    <row r="49" spans="1:25" ht="14.25" customHeight="1">
      <c r="A49" s="15">
        <f t="shared" si="1"/>
        <v>44</v>
      </c>
      <c r="B49" s="15" t="str">
        <f t="shared" si="2"/>
        <v>8E/5</v>
      </c>
      <c r="C49" s="15" t="s">
        <v>136</v>
      </c>
      <c r="D49" s="16">
        <v>343.87</v>
      </c>
      <c r="E49" s="16" t="s">
        <v>20</v>
      </c>
      <c r="F49" s="16" t="s">
        <v>20</v>
      </c>
      <c r="G49" s="16" t="s">
        <v>20</v>
      </c>
      <c r="H49" s="421">
        <f t="shared" si="18"/>
        <v>45972</v>
      </c>
      <c r="I49" s="278">
        <f t="shared" si="19"/>
        <v>45975</v>
      </c>
      <c r="J49" s="16" t="s">
        <v>20</v>
      </c>
      <c r="K49" s="278">
        <f t="shared" si="20"/>
        <v>45976</v>
      </c>
      <c r="L49" s="278">
        <v>45979</v>
      </c>
      <c r="M49" s="16" t="s">
        <v>20</v>
      </c>
      <c r="N49" s="16" t="s">
        <v>20</v>
      </c>
      <c r="O49" s="24" t="s">
        <v>741</v>
      </c>
      <c r="P49" s="35"/>
      <c r="Q49" s="24"/>
      <c r="R49" s="221"/>
      <c r="S49" s="15" t="s">
        <v>20</v>
      </c>
      <c r="T49" s="278">
        <v>46092</v>
      </c>
      <c r="U49" s="278">
        <v>46097</v>
      </c>
      <c r="V49" s="15" t="s">
        <v>20</v>
      </c>
      <c r="W49" s="278">
        <v>46098</v>
      </c>
      <c r="X49" s="278">
        <v>46099</v>
      </c>
      <c r="Y49" s="18"/>
    </row>
    <row r="50" spans="1:25" ht="14.25" customHeight="1">
      <c r="A50" s="15">
        <f t="shared" si="1"/>
        <v>45</v>
      </c>
      <c r="B50" s="15" t="str">
        <f t="shared" si="2"/>
        <v>8E/6</v>
      </c>
      <c r="C50" s="15" t="s">
        <v>137</v>
      </c>
      <c r="D50" s="16">
        <v>499.13</v>
      </c>
      <c r="E50" s="16" t="s">
        <v>20</v>
      </c>
      <c r="F50" s="16" t="s">
        <v>20</v>
      </c>
      <c r="G50" s="16" t="s">
        <v>20</v>
      </c>
      <c r="H50" s="421">
        <v>46073</v>
      </c>
      <c r="I50" s="278">
        <v>46075</v>
      </c>
      <c r="J50" s="15" t="s">
        <v>20</v>
      </c>
      <c r="K50" s="278">
        <v>46077</v>
      </c>
      <c r="L50" s="278">
        <v>46077</v>
      </c>
      <c r="M50" s="16" t="s">
        <v>20</v>
      </c>
      <c r="N50" s="16" t="s">
        <v>20</v>
      </c>
      <c r="O50" s="24" t="s">
        <v>741</v>
      </c>
      <c r="P50" s="35"/>
      <c r="Q50" s="24"/>
      <c r="R50" s="221"/>
      <c r="S50" s="15" t="s">
        <v>20</v>
      </c>
      <c r="T50" s="278">
        <v>46092</v>
      </c>
      <c r="U50" s="278">
        <v>46097</v>
      </c>
      <c r="V50" s="15" t="s">
        <v>20</v>
      </c>
      <c r="W50" s="278">
        <v>46098</v>
      </c>
      <c r="X50" s="278">
        <v>46099</v>
      </c>
      <c r="Y50" s="18"/>
    </row>
    <row r="51" spans="1:25" ht="14.25" customHeight="1">
      <c r="A51" s="15">
        <f t="shared" si="1"/>
        <v>46</v>
      </c>
      <c r="B51" s="15" t="str">
        <f t="shared" si="2"/>
        <v>8E/7</v>
      </c>
      <c r="C51" s="15" t="s">
        <v>138</v>
      </c>
      <c r="D51" s="16">
        <v>434</v>
      </c>
      <c r="E51" s="16" t="s">
        <v>20</v>
      </c>
      <c r="F51" s="16" t="s">
        <v>20</v>
      </c>
      <c r="G51" s="16" t="s">
        <v>20</v>
      </c>
      <c r="H51" s="421">
        <v>46073</v>
      </c>
      <c r="I51" s="278">
        <v>46076</v>
      </c>
      <c r="J51" s="15" t="s">
        <v>20</v>
      </c>
      <c r="K51" s="278">
        <v>46078</v>
      </c>
      <c r="L51" s="278">
        <v>46078</v>
      </c>
      <c r="M51" s="16" t="s">
        <v>20</v>
      </c>
      <c r="N51" s="16" t="s">
        <v>20</v>
      </c>
      <c r="O51" s="24" t="s">
        <v>741</v>
      </c>
      <c r="P51" s="35"/>
      <c r="Q51" s="24"/>
      <c r="R51" s="221"/>
      <c r="S51" s="15" t="s">
        <v>20</v>
      </c>
      <c r="T51" s="278">
        <v>46092</v>
      </c>
      <c r="U51" s="278">
        <v>46097</v>
      </c>
      <c r="V51" s="15" t="s">
        <v>20</v>
      </c>
      <c r="W51" s="278">
        <v>46098</v>
      </c>
      <c r="X51" s="278">
        <v>46099</v>
      </c>
      <c r="Y51" s="18"/>
    </row>
    <row r="52" spans="1:25" ht="14.25" customHeight="1">
      <c r="A52" s="15">
        <f t="shared" si="1"/>
        <v>47</v>
      </c>
      <c r="B52" s="15" t="str">
        <f t="shared" si="2"/>
        <v>8E/8</v>
      </c>
      <c r="C52" s="15" t="s">
        <v>141</v>
      </c>
      <c r="D52" s="16">
        <v>919</v>
      </c>
      <c r="E52" s="16" t="s">
        <v>20</v>
      </c>
      <c r="F52" s="16" t="s">
        <v>20</v>
      </c>
      <c r="G52" s="16" t="s">
        <v>20</v>
      </c>
      <c r="H52" s="421">
        <f>I52-2</f>
        <v>45978</v>
      </c>
      <c r="I52" s="278">
        <v>45980</v>
      </c>
      <c r="J52" s="16" t="s">
        <v>20</v>
      </c>
      <c r="K52" s="278">
        <f>L52-1</f>
        <v>45983</v>
      </c>
      <c r="L52" s="278">
        <v>45984</v>
      </c>
      <c r="M52" s="16" t="s">
        <v>20</v>
      </c>
      <c r="N52" s="16" t="s">
        <v>20</v>
      </c>
      <c r="O52" s="24" t="s">
        <v>741</v>
      </c>
      <c r="P52" s="35"/>
      <c r="Q52" s="24"/>
      <c r="R52" s="221"/>
      <c r="S52" s="15" t="s">
        <v>20</v>
      </c>
      <c r="T52" s="278">
        <v>46092</v>
      </c>
      <c r="U52" s="278">
        <v>46097</v>
      </c>
      <c r="V52" s="15" t="s">
        <v>20</v>
      </c>
      <c r="W52" s="278">
        <v>46098</v>
      </c>
      <c r="X52" s="278">
        <v>46099</v>
      </c>
      <c r="Y52" s="18"/>
    </row>
    <row r="53" spans="1:25" ht="14.25" customHeight="1">
      <c r="A53" s="15">
        <f t="shared" si="1"/>
        <v>48</v>
      </c>
      <c r="B53" s="15" t="str">
        <f t="shared" si="2"/>
        <v>8E/11</v>
      </c>
      <c r="C53" s="15" t="s">
        <v>142</v>
      </c>
      <c r="D53" s="16">
        <v>489</v>
      </c>
      <c r="E53" s="16" t="s">
        <v>20</v>
      </c>
      <c r="F53" s="16" t="s">
        <v>20</v>
      </c>
      <c r="G53" s="16" t="s">
        <v>20</v>
      </c>
      <c r="H53" s="421">
        <f t="shared" ref="H53:H55" si="21">I53-4</f>
        <v>45966</v>
      </c>
      <c r="I53" s="278">
        <v>45970</v>
      </c>
      <c r="J53" s="16" t="s">
        <v>20</v>
      </c>
      <c r="K53" s="278">
        <f t="shared" ref="K53:K55" si="22">L53-2</f>
        <v>45972</v>
      </c>
      <c r="L53" s="278">
        <v>45974</v>
      </c>
      <c r="M53" s="16" t="s">
        <v>20</v>
      </c>
      <c r="N53" s="16" t="s">
        <v>20</v>
      </c>
      <c r="O53" s="24" t="s">
        <v>741</v>
      </c>
      <c r="P53" s="35"/>
      <c r="Q53" s="24"/>
      <c r="R53" s="221"/>
      <c r="S53" s="15" t="s">
        <v>20</v>
      </c>
      <c r="T53" s="278">
        <v>46008</v>
      </c>
      <c r="U53" s="278">
        <v>46011</v>
      </c>
      <c r="V53" s="15" t="s">
        <v>20</v>
      </c>
      <c r="W53" s="278">
        <v>46012</v>
      </c>
      <c r="X53" s="278">
        <v>46012</v>
      </c>
      <c r="Y53" s="18"/>
    </row>
    <row r="54" spans="1:25" ht="14.25" customHeight="1">
      <c r="A54" s="15">
        <f t="shared" si="1"/>
        <v>49</v>
      </c>
      <c r="B54" s="15" t="str">
        <f t="shared" si="2"/>
        <v>8E/12</v>
      </c>
      <c r="C54" s="15" t="s">
        <v>144</v>
      </c>
      <c r="D54" s="16">
        <v>382.48</v>
      </c>
      <c r="E54" s="16" t="s">
        <v>20</v>
      </c>
      <c r="F54" s="16" t="s">
        <v>20</v>
      </c>
      <c r="G54" s="16" t="s">
        <v>20</v>
      </c>
      <c r="H54" s="421">
        <f t="shared" si="21"/>
        <v>45966</v>
      </c>
      <c r="I54" s="278">
        <v>45970</v>
      </c>
      <c r="J54" s="16" t="s">
        <v>20</v>
      </c>
      <c r="K54" s="278">
        <f t="shared" si="22"/>
        <v>45970</v>
      </c>
      <c r="L54" s="278">
        <v>45972</v>
      </c>
      <c r="M54" s="16" t="s">
        <v>20</v>
      </c>
      <c r="N54" s="16" t="s">
        <v>20</v>
      </c>
      <c r="O54" s="24" t="s">
        <v>741</v>
      </c>
      <c r="P54" s="35"/>
      <c r="Q54" s="24"/>
      <c r="R54" s="221"/>
      <c r="S54" s="15" t="s">
        <v>20</v>
      </c>
      <c r="T54" s="278">
        <v>46008</v>
      </c>
      <c r="U54" s="278">
        <v>46011</v>
      </c>
      <c r="V54" s="15" t="s">
        <v>20</v>
      </c>
      <c r="W54" s="278">
        <v>46012</v>
      </c>
      <c r="X54" s="278">
        <v>46012</v>
      </c>
      <c r="Y54" s="18"/>
    </row>
    <row r="55" spans="1:25" ht="14.25" customHeight="1">
      <c r="A55" s="15">
        <f t="shared" si="1"/>
        <v>50</v>
      </c>
      <c r="B55" s="15" t="str">
        <f t="shared" si="2"/>
        <v>AP-9</v>
      </c>
      <c r="C55" s="15" t="s">
        <v>148</v>
      </c>
      <c r="D55" s="16">
        <v>1250.32</v>
      </c>
      <c r="E55" s="16" t="s">
        <v>20</v>
      </c>
      <c r="F55" s="16" t="s">
        <v>20</v>
      </c>
      <c r="G55" s="16" t="s">
        <v>20</v>
      </c>
      <c r="H55" s="421">
        <f t="shared" si="21"/>
        <v>45966</v>
      </c>
      <c r="I55" s="278">
        <v>45970</v>
      </c>
      <c r="J55" s="16" t="s">
        <v>20</v>
      </c>
      <c r="K55" s="278">
        <f t="shared" si="22"/>
        <v>45970</v>
      </c>
      <c r="L55" s="278">
        <v>45972</v>
      </c>
      <c r="M55" s="16" t="s">
        <v>20</v>
      </c>
      <c r="N55" s="16" t="s">
        <v>20</v>
      </c>
      <c r="O55" s="24" t="s">
        <v>741</v>
      </c>
      <c r="P55" s="35"/>
      <c r="Q55" s="24"/>
      <c r="R55" s="221"/>
      <c r="S55" s="15" t="s">
        <v>20</v>
      </c>
      <c r="T55" s="278">
        <v>46008</v>
      </c>
      <c r="U55" s="278">
        <v>46011</v>
      </c>
      <c r="V55" s="15" t="s">
        <v>20</v>
      </c>
      <c r="W55" s="278">
        <v>46012</v>
      </c>
      <c r="X55" s="278">
        <v>46012</v>
      </c>
      <c r="Y55" s="24"/>
    </row>
    <row r="56" spans="1:25" ht="14.25" customHeight="1">
      <c r="A56" s="15">
        <f t="shared" si="1"/>
        <v>51</v>
      </c>
      <c r="B56" s="15" t="str">
        <f t="shared" si="2"/>
        <v>9/4</v>
      </c>
      <c r="C56" s="15" t="s">
        <v>149</v>
      </c>
      <c r="D56" s="16">
        <v>246.76</v>
      </c>
      <c r="E56" s="16" t="s">
        <v>20</v>
      </c>
      <c r="F56" s="16" t="s">
        <v>20</v>
      </c>
      <c r="G56" s="16" t="s">
        <v>20</v>
      </c>
      <c r="H56" s="421">
        <v>45956</v>
      </c>
      <c r="I56" s="278">
        <f>H56+1</f>
        <v>45957</v>
      </c>
      <c r="J56" s="16" t="s">
        <v>20</v>
      </c>
      <c r="K56" s="278">
        <f>I56+1</f>
        <v>45958</v>
      </c>
      <c r="L56" s="278">
        <f t="shared" ref="L56:L57" si="23">K56+1</f>
        <v>45959</v>
      </c>
      <c r="M56" s="16" t="s">
        <v>20</v>
      </c>
      <c r="N56" s="16" t="s">
        <v>20</v>
      </c>
      <c r="O56" s="24" t="s">
        <v>741</v>
      </c>
      <c r="P56" s="35"/>
      <c r="Q56" s="24"/>
      <c r="R56" s="221"/>
      <c r="S56" s="15" t="s">
        <v>20</v>
      </c>
      <c r="T56" s="278">
        <v>46008</v>
      </c>
      <c r="U56" s="278">
        <v>46011</v>
      </c>
      <c r="V56" s="15" t="s">
        <v>20</v>
      </c>
      <c r="W56" s="278">
        <v>46012</v>
      </c>
      <c r="X56" s="278">
        <v>46012</v>
      </c>
      <c r="Y56" s="24"/>
    </row>
    <row r="57" spans="1:25" ht="14.25" customHeight="1">
      <c r="A57" s="15">
        <f t="shared" si="1"/>
        <v>52</v>
      </c>
      <c r="B57" s="15" t="str">
        <f t="shared" si="2"/>
        <v>9/5</v>
      </c>
      <c r="C57" s="15" t="s">
        <v>155</v>
      </c>
      <c r="D57" s="16">
        <v>1697.24</v>
      </c>
      <c r="E57" s="16" t="s">
        <v>20</v>
      </c>
      <c r="F57" s="16" t="s">
        <v>20</v>
      </c>
      <c r="G57" s="16" t="s">
        <v>20</v>
      </c>
      <c r="H57" s="421">
        <f>I57-4</f>
        <v>45926</v>
      </c>
      <c r="I57" s="278">
        <v>45930</v>
      </c>
      <c r="J57" s="16" t="s">
        <v>20</v>
      </c>
      <c r="K57" s="278">
        <v>45956</v>
      </c>
      <c r="L57" s="278">
        <f t="shared" si="23"/>
        <v>45957</v>
      </c>
      <c r="M57" s="16" t="s">
        <v>20</v>
      </c>
      <c r="N57" s="16" t="s">
        <v>20</v>
      </c>
      <c r="O57" s="24" t="s">
        <v>741</v>
      </c>
      <c r="P57" s="35"/>
      <c r="Q57" s="24"/>
      <c r="R57" s="221"/>
      <c r="S57" s="15" t="s">
        <v>20</v>
      </c>
      <c r="T57" s="278">
        <v>46008</v>
      </c>
      <c r="U57" s="278">
        <v>46011</v>
      </c>
      <c r="V57" s="15" t="s">
        <v>20</v>
      </c>
      <c r="W57" s="278">
        <v>46012</v>
      </c>
      <c r="X57" s="278">
        <v>46012</v>
      </c>
      <c r="Y57" s="24"/>
    </row>
    <row r="58" spans="1:25" ht="14.25" customHeight="1">
      <c r="A58" s="15">
        <f t="shared" si="1"/>
        <v>53</v>
      </c>
      <c r="B58" s="15" t="str">
        <f t="shared" si="2"/>
        <v>AP-10</v>
      </c>
      <c r="C58" s="15" t="s">
        <v>161</v>
      </c>
      <c r="D58" s="16">
        <v>1600.078</v>
      </c>
      <c r="E58" s="16" t="s">
        <v>20</v>
      </c>
      <c r="F58" s="16" t="s">
        <v>20</v>
      </c>
      <c r="G58" s="16" t="s">
        <v>20</v>
      </c>
      <c r="H58" s="421">
        <f t="shared" ref="H58:H59" si="24">I58-2</f>
        <v>45940</v>
      </c>
      <c r="I58" s="278">
        <v>45942</v>
      </c>
      <c r="J58" s="16" t="s">
        <v>20</v>
      </c>
      <c r="K58" s="278">
        <f t="shared" ref="K58:K60" si="25">L58-2</f>
        <v>45942</v>
      </c>
      <c r="L58" s="278">
        <v>45944</v>
      </c>
      <c r="M58" s="16" t="s">
        <v>20</v>
      </c>
      <c r="N58" s="16" t="s">
        <v>20</v>
      </c>
      <c r="O58" s="24" t="s">
        <v>741</v>
      </c>
      <c r="P58" s="35"/>
      <c r="Q58" s="24"/>
      <c r="R58" s="221"/>
      <c r="S58" s="15" t="s">
        <v>20</v>
      </c>
      <c r="T58" s="278">
        <v>46017</v>
      </c>
      <c r="U58" s="278">
        <v>46018</v>
      </c>
      <c r="V58" s="15" t="s">
        <v>20</v>
      </c>
      <c r="W58" s="278">
        <v>46019</v>
      </c>
      <c r="X58" s="278">
        <v>46019</v>
      </c>
      <c r="Y58" s="24"/>
    </row>
    <row r="59" spans="1:25" ht="14.25" customHeight="1">
      <c r="A59" s="15">
        <f t="shared" si="1"/>
        <v>54</v>
      </c>
      <c r="B59" s="15" t="str">
        <f t="shared" si="2"/>
        <v>AP-11</v>
      </c>
      <c r="C59" s="15" t="s">
        <v>164</v>
      </c>
      <c r="D59" s="16">
        <v>525.89</v>
      </c>
      <c r="E59" s="16" t="s">
        <v>20</v>
      </c>
      <c r="F59" s="16" t="s">
        <v>20</v>
      </c>
      <c r="G59" s="16" t="s">
        <v>20</v>
      </c>
      <c r="H59" s="421">
        <f t="shared" si="24"/>
        <v>45940</v>
      </c>
      <c r="I59" s="278">
        <v>45942</v>
      </c>
      <c r="J59" s="16" t="s">
        <v>20</v>
      </c>
      <c r="K59" s="278">
        <f t="shared" si="25"/>
        <v>45942</v>
      </c>
      <c r="L59" s="278">
        <v>45944</v>
      </c>
      <c r="M59" s="16" t="s">
        <v>20</v>
      </c>
      <c r="N59" s="16" t="s">
        <v>20</v>
      </c>
      <c r="O59" s="24" t="s">
        <v>741</v>
      </c>
      <c r="P59" s="25"/>
      <c r="Q59" s="24"/>
      <c r="R59" s="221"/>
      <c r="S59" s="15" t="s">
        <v>20</v>
      </c>
      <c r="T59" s="278">
        <v>46017</v>
      </c>
      <c r="U59" s="278">
        <v>46018</v>
      </c>
      <c r="V59" s="15" t="s">
        <v>20</v>
      </c>
      <c r="W59" s="278">
        <v>46019</v>
      </c>
      <c r="X59" s="278">
        <v>46019</v>
      </c>
      <c r="Y59" s="24"/>
    </row>
    <row r="60" spans="1:25" ht="14.25" customHeight="1">
      <c r="A60" s="15">
        <f t="shared" si="1"/>
        <v>55</v>
      </c>
      <c r="B60" s="15" t="str">
        <f t="shared" si="2"/>
        <v>AP-12</v>
      </c>
      <c r="C60" s="15" t="s">
        <v>166</v>
      </c>
      <c r="D60" s="16">
        <v>356.279</v>
      </c>
      <c r="E60" s="16" t="s">
        <v>20</v>
      </c>
      <c r="F60" s="16" t="s">
        <v>20</v>
      </c>
      <c r="G60" s="16" t="s">
        <v>20</v>
      </c>
      <c r="H60" s="421">
        <f>I60</f>
        <v>45931</v>
      </c>
      <c r="I60" s="278">
        <v>45931</v>
      </c>
      <c r="J60" s="16" t="s">
        <v>20</v>
      </c>
      <c r="K60" s="278">
        <f t="shared" si="25"/>
        <v>45938</v>
      </c>
      <c r="L60" s="278">
        <v>45940</v>
      </c>
      <c r="M60" s="16" t="s">
        <v>20</v>
      </c>
      <c r="N60" s="16" t="s">
        <v>20</v>
      </c>
      <c r="O60" s="24" t="s">
        <v>741</v>
      </c>
      <c r="P60" s="25"/>
      <c r="Q60" s="24"/>
      <c r="R60" s="221"/>
      <c r="S60" s="15" t="s">
        <v>20</v>
      </c>
      <c r="T60" s="278">
        <v>46017</v>
      </c>
      <c r="U60" s="278">
        <v>46018</v>
      </c>
      <c r="V60" s="15" t="s">
        <v>20</v>
      </c>
      <c r="W60" s="278">
        <v>46019</v>
      </c>
      <c r="X60" s="278">
        <v>46019</v>
      </c>
      <c r="Y60" s="24"/>
    </row>
    <row r="61" spans="1:25" ht="14.25" customHeight="1">
      <c r="A61" s="15">
        <f t="shared" si="1"/>
        <v>56</v>
      </c>
      <c r="B61" s="15" t="str">
        <f t="shared" si="2"/>
        <v>AP-13</v>
      </c>
      <c r="C61" s="15" t="s">
        <v>169</v>
      </c>
      <c r="D61" s="16">
        <v>667.59</v>
      </c>
      <c r="E61" s="16" t="s">
        <v>20</v>
      </c>
      <c r="F61" s="16" t="s">
        <v>20</v>
      </c>
      <c r="G61" s="16" t="s">
        <v>20</v>
      </c>
      <c r="H61" s="421">
        <v>46009</v>
      </c>
      <c r="I61" s="278">
        <v>46011</v>
      </c>
      <c r="J61" s="16" t="s">
        <v>20</v>
      </c>
      <c r="K61" s="278">
        <v>46015</v>
      </c>
      <c r="L61" s="278">
        <v>46018</v>
      </c>
      <c r="M61" s="16" t="s">
        <v>20</v>
      </c>
      <c r="N61" s="16" t="s">
        <v>20</v>
      </c>
      <c r="O61" s="24" t="s">
        <v>741</v>
      </c>
      <c r="P61" s="25"/>
      <c r="Q61" s="24"/>
      <c r="R61" s="221"/>
      <c r="S61" s="15" t="s">
        <v>20</v>
      </c>
      <c r="T61" s="278">
        <v>46017</v>
      </c>
      <c r="U61" s="278">
        <v>46018</v>
      </c>
      <c r="V61" s="15" t="s">
        <v>20</v>
      </c>
      <c r="W61" s="278">
        <v>46019</v>
      </c>
      <c r="X61" s="278">
        <v>46019</v>
      </c>
      <c r="Y61" s="24"/>
    </row>
    <row r="62" spans="1:25" ht="14.25" customHeight="1">
      <c r="A62" s="15">
        <f t="shared" si="1"/>
        <v>57</v>
      </c>
      <c r="B62" s="15" t="str">
        <f t="shared" si="2"/>
        <v>AP-14</v>
      </c>
      <c r="C62" s="15" t="s">
        <v>170</v>
      </c>
      <c r="D62" s="16">
        <v>362</v>
      </c>
      <c r="E62" s="16" t="s">
        <v>20</v>
      </c>
      <c r="F62" s="16" t="s">
        <v>20</v>
      </c>
      <c r="G62" s="16" t="s">
        <v>20</v>
      </c>
      <c r="H62" s="421">
        <v>46009</v>
      </c>
      <c r="I62" s="278">
        <v>46011</v>
      </c>
      <c r="J62" s="16" t="s">
        <v>20</v>
      </c>
      <c r="K62" s="278">
        <v>46015</v>
      </c>
      <c r="L62" s="278">
        <v>46018</v>
      </c>
      <c r="M62" s="16" t="s">
        <v>20</v>
      </c>
      <c r="N62" s="16" t="s">
        <v>20</v>
      </c>
      <c r="O62" s="24" t="s">
        <v>741</v>
      </c>
      <c r="P62" s="25"/>
      <c r="Q62" s="24"/>
      <c r="R62" s="221"/>
      <c r="S62" s="15" t="s">
        <v>20</v>
      </c>
      <c r="T62" s="278">
        <v>46017</v>
      </c>
      <c r="U62" s="278">
        <v>46018</v>
      </c>
      <c r="V62" s="15" t="s">
        <v>20</v>
      </c>
      <c r="W62" s="278">
        <v>46019</v>
      </c>
      <c r="X62" s="278">
        <v>46019</v>
      </c>
      <c r="Y62" s="24"/>
    </row>
    <row r="63" spans="1:25" ht="14.25" customHeight="1">
      <c r="A63" s="15">
        <f t="shared" si="1"/>
        <v>58</v>
      </c>
      <c r="B63" s="15" t="str">
        <f t="shared" si="2"/>
        <v>14/1</v>
      </c>
      <c r="C63" s="15" t="s">
        <v>172</v>
      </c>
      <c r="D63" s="16">
        <v>752</v>
      </c>
      <c r="E63" s="16" t="s">
        <v>20</v>
      </c>
      <c r="F63" s="16" t="s">
        <v>20</v>
      </c>
      <c r="G63" s="16" t="s">
        <v>20</v>
      </c>
      <c r="H63" s="421">
        <v>46009</v>
      </c>
      <c r="I63" s="278">
        <v>46011</v>
      </c>
      <c r="J63" s="16" t="s">
        <v>20</v>
      </c>
      <c r="K63" s="278">
        <v>46012</v>
      </c>
      <c r="L63" s="278">
        <v>46018</v>
      </c>
      <c r="M63" s="16" t="s">
        <v>20</v>
      </c>
      <c r="N63" s="16" t="s">
        <v>20</v>
      </c>
      <c r="O63" s="24" t="s">
        <v>741</v>
      </c>
      <c r="P63" s="25"/>
      <c r="Q63" s="24"/>
      <c r="R63" s="221"/>
      <c r="S63" s="15" t="s">
        <v>20</v>
      </c>
      <c r="T63" s="278">
        <v>46017</v>
      </c>
      <c r="U63" s="278">
        <v>46018</v>
      </c>
      <c r="V63" s="15" t="s">
        <v>20</v>
      </c>
      <c r="W63" s="278">
        <v>46019</v>
      </c>
      <c r="X63" s="278">
        <v>46019</v>
      </c>
      <c r="Y63" s="24"/>
    </row>
    <row r="64" spans="1:25" ht="14.25" customHeight="1">
      <c r="A64" s="15">
        <f t="shared" si="1"/>
        <v>59</v>
      </c>
      <c r="B64" s="15" t="str">
        <f t="shared" si="2"/>
        <v>14/3</v>
      </c>
      <c r="C64" s="15" t="s">
        <v>180</v>
      </c>
      <c r="D64" s="16">
        <v>2536.1799999999998</v>
      </c>
      <c r="E64" s="16" t="s">
        <v>20</v>
      </c>
      <c r="F64" s="16" t="s">
        <v>20</v>
      </c>
      <c r="G64" s="16" t="s">
        <v>20</v>
      </c>
      <c r="H64" s="421">
        <v>46004</v>
      </c>
      <c r="I64" s="278">
        <v>46006</v>
      </c>
      <c r="J64" s="16" t="s">
        <v>20</v>
      </c>
      <c r="K64" s="278">
        <v>46013</v>
      </c>
      <c r="L64" s="278">
        <v>46014</v>
      </c>
      <c r="M64" s="16" t="s">
        <v>20</v>
      </c>
      <c r="N64" s="16"/>
      <c r="O64" s="24" t="s">
        <v>741</v>
      </c>
      <c r="P64" s="25"/>
      <c r="Q64" s="24"/>
      <c r="R64" s="221"/>
      <c r="S64" s="15" t="s">
        <v>20</v>
      </c>
      <c r="T64" s="278">
        <v>46013</v>
      </c>
      <c r="U64" s="278">
        <v>46015</v>
      </c>
      <c r="V64" s="15" t="s">
        <v>20</v>
      </c>
      <c r="W64" s="278">
        <v>46016</v>
      </c>
      <c r="X64" s="278">
        <v>46016</v>
      </c>
      <c r="Y64" s="24"/>
    </row>
    <row r="65" spans="1:25" ht="14.25" customHeight="1">
      <c r="A65" s="15">
        <f t="shared" si="1"/>
        <v>60</v>
      </c>
      <c r="B65" s="15" t="str">
        <f t="shared" si="2"/>
        <v>AP-15</v>
      </c>
      <c r="C65" s="15" t="s">
        <v>191</v>
      </c>
      <c r="D65" s="16">
        <v>3422.45</v>
      </c>
      <c r="E65" s="16" t="s">
        <v>20</v>
      </c>
      <c r="F65" s="16" t="s">
        <v>20</v>
      </c>
      <c r="G65" s="16" t="s">
        <v>20</v>
      </c>
      <c r="H65" s="421">
        <v>45825</v>
      </c>
      <c r="I65" s="278">
        <v>45833</v>
      </c>
      <c r="J65" s="16" t="s">
        <v>20</v>
      </c>
      <c r="K65" s="278">
        <v>45828</v>
      </c>
      <c r="L65" s="278">
        <v>45837</v>
      </c>
      <c r="M65" s="16" t="s">
        <v>20</v>
      </c>
      <c r="N65" s="16" t="s">
        <v>20</v>
      </c>
      <c r="O65" s="24" t="s">
        <v>618</v>
      </c>
      <c r="P65" s="25"/>
      <c r="Q65" s="24"/>
      <c r="R65" s="221"/>
      <c r="S65" s="16" t="s">
        <v>20</v>
      </c>
      <c r="T65" s="278">
        <f t="shared" ref="T65:T67" si="26">U65-2</f>
        <v>45928</v>
      </c>
      <c r="U65" s="278">
        <f t="shared" ref="U65:U67" si="27">W65-1</f>
        <v>45930</v>
      </c>
      <c r="V65" s="16" t="s">
        <v>20</v>
      </c>
      <c r="W65" s="278">
        <f t="shared" ref="W65:W66" si="28">X65-1</f>
        <v>45931</v>
      </c>
      <c r="X65" s="278">
        <f t="shared" ref="X65:X66" si="29">W66-1</f>
        <v>45932</v>
      </c>
      <c r="Y65" s="24"/>
    </row>
    <row r="66" spans="1:25" ht="14.25" customHeight="1">
      <c r="A66" s="15">
        <f t="shared" si="1"/>
        <v>61</v>
      </c>
      <c r="B66" s="15" t="str">
        <f t="shared" si="2"/>
        <v>AP-16</v>
      </c>
      <c r="C66" s="15" t="s">
        <v>196</v>
      </c>
      <c r="D66" s="16">
        <v>1307.6500000000001</v>
      </c>
      <c r="E66" s="16" t="s">
        <v>20</v>
      </c>
      <c r="F66" s="16" t="s">
        <v>20</v>
      </c>
      <c r="G66" s="16" t="s">
        <v>20</v>
      </c>
      <c r="H66" s="421">
        <v>45838</v>
      </c>
      <c r="I66" s="278">
        <v>45844</v>
      </c>
      <c r="J66" s="16" t="s">
        <v>20</v>
      </c>
      <c r="K66" s="278">
        <v>45846</v>
      </c>
      <c r="L66" s="278">
        <v>45849</v>
      </c>
      <c r="M66" s="16" t="s">
        <v>20</v>
      </c>
      <c r="N66" s="16" t="s">
        <v>20</v>
      </c>
      <c r="O66" s="24" t="s">
        <v>741</v>
      </c>
      <c r="P66" s="25"/>
      <c r="Q66" s="24"/>
      <c r="R66" s="221"/>
      <c r="S66" s="16" t="s">
        <v>20</v>
      </c>
      <c r="T66" s="278">
        <f t="shared" si="26"/>
        <v>45930</v>
      </c>
      <c r="U66" s="278">
        <f t="shared" si="27"/>
        <v>45932</v>
      </c>
      <c r="V66" s="16" t="s">
        <v>20</v>
      </c>
      <c r="W66" s="278">
        <f t="shared" si="28"/>
        <v>45933</v>
      </c>
      <c r="X66" s="278">
        <f t="shared" si="29"/>
        <v>45934</v>
      </c>
      <c r="Y66" s="24"/>
    </row>
    <row r="67" spans="1:25" ht="14.25" customHeight="1">
      <c r="A67" s="15">
        <f t="shared" si="1"/>
        <v>62</v>
      </c>
      <c r="B67" s="15" t="str">
        <f t="shared" si="2"/>
        <v>AP-17</v>
      </c>
      <c r="C67" s="15" t="s">
        <v>201</v>
      </c>
      <c r="D67" s="16">
        <v>1435.97</v>
      </c>
      <c r="E67" s="16" t="s">
        <v>20</v>
      </c>
      <c r="F67" s="16" t="s">
        <v>20</v>
      </c>
      <c r="G67" s="16" t="s">
        <v>20</v>
      </c>
      <c r="H67" s="421">
        <v>45838</v>
      </c>
      <c r="I67" s="278">
        <v>45844</v>
      </c>
      <c r="J67" s="16" t="s">
        <v>20</v>
      </c>
      <c r="K67" s="278">
        <v>45846</v>
      </c>
      <c r="L67" s="278">
        <v>45849</v>
      </c>
      <c r="M67" s="16" t="s">
        <v>20</v>
      </c>
      <c r="N67" s="16" t="s">
        <v>20</v>
      </c>
      <c r="O67" s="24" t="s">
        <v>741</v>
      </c>
      <c r="P67" s="25"/>
      <c r="Q67" s="25"/>
      <c r="R67" s="223"/>
      <c r="S67" s="16" t="s">
        <v>20</v>
      </c>
      <c r="T67" s="278">
        <f t="shared" si="26"/>
        <v>45932</v>
      </c>
      <c r="U67" s="278">
        <f t="shared" si="27"/>
        <v>45934</v>
      </c>
      <c r="V67" s="16" t="s">
        <v>20</v>
      </c>
      <c r="W67" s="278">
        <f>X67-2</f>
        <v>45935</v>
      </c>
      <c r="X67" s="278">
        <v>45937</v>
      </c>
      <c r="Y67" s="24"/>
    </row>
    <row r="68" spans="1:25" ht="14.25" customHeight="1">
      <c r="A68" s="15">
        <f t="shared" si="1"/>
        <v>63</v>
      </c>
      <c r="B68" s="15" t="str">
        <f t="shared" si="2"/>
        <v>AP-18</v>
      </c>
      <c r="C68" s="15" t="s">
        <v>214</v>
      </c>
      <c r="D68" s="16">
        <v>4210.1310000000003</v>
      </c>
      <c r="E68" s="16" t="s">
        <v>20</v>
      </c>
      <c r="F68" s="16" t="s">
        <v>20</v>
      </c>
      <c r="G68" s="16" t="s">
        <v>20</v>
      </c>
      <c r="H68" s="421">
        <v>45852</v>
      </c>
      <c r="I68" s="278">
        <v>45853</v>
      </c>
      <c r="J68" s="16" t="s">
        <v>20</v>
      </c>
      <c r="K68" s="278">
        <v>45854</v>
      </c>
      <c r="L68" s="278">
        <v>45856</v>
      </c>
      <c r="M68" s="16" t="s">
        <v>20</v>
      </c>
      <c r="N68" s="16" t="s">
        <v>20</v>
      </c>
      <c r="O68" s="24" t="s">
        <v>741</v>
      </c>
      <c r="P68" s="25"/>
      <c r="Q68" s="25"/>
      <c r="R68" s="223"/>
      <c r="S68" s="16" t="s">
        <v>20</v>
      </c>
      <c r="T68" s="278">
        <v>45938</v>
      </c>
      <c r="U68" s="278">
        <f>T68+1</f>
        <v>45939</v>
      </c>
      <c r="V68" s="16" t="s">
        <v>20</v>
      </c>
      <c r="W68" s="278">
        <f>U68+1</f>
        <v>45940</v>
      </c>
      <c r="X68" s="278">
        <f>W68+1</f>
        <v>45941</v>
      </c>
      <c r="Y68" s="24"/>
    </row>
    <row r="69" spans="1:25" ht="13.5" customHeight="1">
      <c r="A69" s="15">
        <f t="shared" si="1"/>
        <v>64</v>
      </c>
      <c r="B69" s="15" t="str">
        <f t="shared" si="2"/>
        <v>AP-19</v>
      </c>
      <c r="C69" s="15" t="s">
        <v>221</v>
      </c>
      <c r="D69" s="16">
        <v>1946.55</v>
      </c>
      <c r="E69" s="16" t="s">
        <v>20</v>
      </c>
      <c r="F69" s="16" t="s">
        <v>20</v>
      </c>
      <c r="G69" s="16" t="s">
        <v>20</v>
      </c>
      <c r="H69" s="421">
        <v>45858</v>
      </c>
      <c r="I69" s="278">
        <v>45859</v>
      </c>
      <c r="J69" s="16" t="s">
        <v>20</v>
      </c>
      <c r="K69" s="278">
        <v>45859</v>
      </c>
      <c r="L69" s="278">
        <v>45860</v>
      </c>
      <c r="M69" s="16" t="s">
        <v>20</v>
      </c>
      <c r="N69" s="16" t="s">
        <v>20</v>
      </c>
      <c r="O69" s="24" t="s">
        <v>741</v>
      </c>
      <c r="P69" s="25"/>
      <c r="Q69" s="25"/>
      <c r="R69" s="223"/>
      <c r="S69" s="16" t="s">
        <v>20</v>
      </c>
      <c r="T69" s="278">
        <v>45998</v>
      </c>
      <c r="U69" s="278">
        <f>T69+1</f>
        <v>45999</v>
      </c>
      <c r="V69" s="16" t="s">
        <v>20</v>
      </c>
      <c r="W69" s="278">
        <v>45999</v>
      </c>
      <c r="X69" s="278">
        <f>W69+1</f>
        <v>46000</v>
      </c>
      <c r="Y69" s="24"/>
    </row>
    <row r="70" spans="1:25" ht="14.25" customHeight="1">
      <c r="A70" s="15">
        <f t="shared" si="1"/>
        <v>65</v>
      </c>
      <c r="B70" s="15" t="str">
        <f t="shared" si="2"/>
        <v>AP-20</v>
      </c>
      <c r="C70" s="15" t="s">
        <v>231</v>
      </c>
      <c r="D70" s="16">
        <v>2994.77</v>
      </c>
      <c r="E70" s="16" t="s">
        <v>20</v>
      </c>
      <c r="F70" s="16" t="s">
        <v>20</v>
      </c>
      <c r="G70" s="16" t="s">
        <v>20</v>
      </c>
      <c r="H70" s="279">
        <f>I70-2</f>
        <v>45860</v>
      </c>
      <c r="I70" s="278">
        <v>45862</v>
      </c>
      <c r="J70" s="16" t="s">
        <v>20</v>
      </c>
      <c r="K70" s="278"/>
      <c r="L70" s="278"/>
      <c r="M70" s="16" t="s">
        <v>20</v>
      </c>
      <c r="N70" s="16" t="s">
        <v>20</v>
      </c>
      <c r="O70" s="24" t="s">
        <v>741</v>
      </c>
      <c r="P70" s="25"/>
      <c r="Q70" s="25"/>
      <c r="R70" s="223"/>
      <c r="S70" s="16" t="s">
        <v>20</v>
      </c>
      <c r="T70" s="278">
        <v>45998</v>
      </c>
      <c r="U70" s="278">
        <f>T70+1</f>
        <v>45999</v>
      </c>
      <c r="V70" s="16" t="s">
        <v>20</v>
      </c>
      <c r="W70" s="278">
        <v>45999</v>
      </c>
      <c r="X70" s="278">
        <f>W70+1</f>
        <v>46000</v>
      </c>
      <c r="Y70" s="24"/>
    </row>
    <row r="71" spans="1:25" ht="14.25" customHeight="1">
      <c r="A71" s="15">
        <f t="shared" si="1"/>
        <v>66</v>
      </c>
      <c r="B71" s="15" t="str">
        <f t="shared" si="2"/>
        <v>AP-21</v>
      </c>
      <c r="C71" s="15" t="s">
        <v>246</v>
      </c>
      <c r="D71" s="16">
        <v>4974.78</v>
      </c>
      <c r="E71" s="16" t="s">
        <v>20</v>
      </c>
      <c r="F71" s="16" t="s">
        <v>20</v>
      </c>
      <c r="G71" s="16" t="s">
        <v>20</v>
      </c>
      <c r="H71" s="421">
        <v>45873</v>
      </c>
      <c r="I71" s="278">
        <v>45881</v>
      </c>
      <c r="J71" s="16" t="s">
        <v>20</v>
      </c>
      <c r="K71" s="278">
        <v>45887</v>
      </c>
      <c r="L71" s="278">
        <f>K71+4</f>
        <v>45891</v>
      </c>
      <c r="M71" s="16" t="s">
        <v>20</v>
      </c>
      <c r="N71" s="16" t="s">
        <v>20</v>
      </c>
      <c r="O71" s="24" t="s">
        <v>741</v>
      </c>
      <c r="P71" s="25"/>
      <c r="Q71" s="25"/>
      <c r="R71" s="223"/>
      <c r="S71" s="224" t="s">
        <v>20</v>
      </c>
      <c r="T71" s="282">
        <v>45987</v>
      </c>
      <c r="U71" s="278">
        <v>45988</v>
      </c>
      <c r="V71" s="224" t="s">
        <v>20</v>
      </c>
      <c r="W71" s="278">
        <v>45988</v>
      </c>
      <c r="X71" s="278">
        <v>45988</v>
      </c>
      <c r="Y71" s="24"/>
    </row>
    <row r="72" spans="1:25" ht="14.25" customHeight="1">
      <c r="A72" s="15">
        <f t="shared" ref="A72:A135" si="30">A71+1</f>
        <v>67</v>
      </c>
      <c r="B72" s="15" t="str">
        <f t="shared" si="2"/>
        <v>AP-22</v>
      </c>
      <c r="C72" s="15" t="s">
        <v>250</v>
      </c>
      <c r="D72" s="16">
        <v>947.23</v>
      </c>
      <c r="E72" s="16" t="s">
        <v>20</v>
      </c>
      <c r="F72" s="16" t="s">
        <v>20</v>
      </c>
      <c r="G72" s="16" t="s">
        <v>20</v>
      </c>
      <c r="H72" s="421">
        <f>I72-4</f>
        <v>45877</v>
      </c>
      <c r="I72" s="278">
        <v>45881</v>
      </c>
      <c r="J72" s="16" t="s">
        <v>20</v>
      </c>
      <c r="K72" s="278">
        <v>45907</v>
      </c>
      <c r="L72" s="278">
        <v>45908</v>
      </c>
      <c r="M72" s="16" t="s">
        <v>20</v>
      </c>
      <c r="N72" s="16" t="s">
        <v>20</v>
      </c>
      <c r="O72" s="24" t="s">
        <v>741</v>
      </c>
      <c r="P72" s="25"/>
      <c r="Q72" s="24"/>
      <c r="R72" s="221"/>
      <c r="S72" s="224" t="s">
        <v>20</v>
      </c>
      <c r="T72" s="278">
        <v>46001</v>
      </c>
      <c r="U72" s="278">
        <v>46004</v>
      </c>
      <c r="V72" s="224" t="s">
        <v>20</v>
      </c>
      <c r="W72" s="278">
        <v>46005</v>
      </c>
      <c r="X72" s="278">
        <v>46006</v>
      </c>
      <c r="Y72" s="24"/>
    </row>
    <row r="73" spans="1:25" ht="14.25" customHeight="1">
      <c r="A73" s="15">
        <f t="shared" si="30"/>
        <v>68</v>
      </c>
      <c r="B73" s="15" t="str">
        <f t="shared" si="2"/>
        <v>AP-23</v>
      </c>
      <c r="C73" s="15" t="s">
        <v>257</v>
      </c>
      <c r="D73" s="16">
        <v>1926.75</v>
      </c>
      <c r="E73" s="16" t="s">
        <v>20</v>
      </c>
      <c r="F73" s="16" t="s">
        <v>20</v>
      </c>
      <c r="G73" s="16" t="s">
        <v>20</v>
      </c>
      <c r="H73" s="421">
        <v>45904</v>
      </c>
      <c r="I73" s="278">
        <v>45906</v>
      </c>
      <c r="J73" s="16" t="s">
        <v>20</v>
      </c>
      <c r="K73" s="278">
        <f>K72</f>
        <v>45907</v>
      </c>
      <c r="L73" s="278">
        <v>45908</v>
      </c>
      <c r="M73" s="16" t="s">
        <v>20</v>
      </c>
      <c r="N73" s="16" t="s">
        <v>20</v>
      </c>
      <c r="O73" s="24" t="s">
        <v>741</v>
      </c>
      <c r="P73" s="25"/>
      <c r="Q73" s="24"/>
      <c r="R73" s="221"/>
      <c r="S73" s="224" t="s">
        <v>20</v>
      </c>
      <c r="T73" s="278">
        <v>46001</v>
      </c>
      <c r="U73" s="278">
        <v>46004</v>
      </c>
      <c r="V73" s="224" t="s">
        <v>20</v>
      </c>
      <c r="W73" s="278">
        <v>46005</v>
      </c>
      <c r="X73" s="278">
        <v>46006</v>
      </c>
      <c r="Y73" s="24"/>
    </row>
    <row r="74" spans="1:25" ht="14.25" customHeight="1">
      <c r="A74" s="15">
        <f t="shared" si="30"/>
        <v>69</v>
      </c>
      <c r="B74" s="15" t="str">
        <f t="shared" si="2"/>
        <v>AP-24</v>
      </c>
      <c r="C74" s="15" t="s">
        <v>259</v>
      </c>
      <c r="D74" s="16">
        <v>190.524</v>
      </c>
      <c r="E74" s="16" t="s">
        <v>20</v>
      </c>
      <c r="F74" s="16" t="s">
        <v>20</v>
      </c>
      <c r="G74" s="16" t="s">
        <v>20</v>
      </c>
      <c r="H74" s="421">
        <f>I74</f>
        <v>45934</v>
      </c>
      <c r="I74" s="278">
        <v>45934</v>
      </c>
      <c r="J74" s="16" t="s">
        <v>20</v>
      </c>
      <c r="K74" s="278">
        <f>L74</f>
        <v>45934</v>
      </c>
      <c r="L74" s="278">
        <v>45934</v>
      </c>
      <c r="M74" s="16" t="s">
        <v>20</v>
      </c>
      <c r="N74" s="16" t="s">
        <v>20</v>
      </c>
      <c r="O74" s="24" t="s">
        <v>741</v>
      </c>
      <c r="P74" s="25"/>
      <c r="Q74" s="24" t="s">
        <v>421</v>
      </c>
      <c r="R74" s="221"/>
      <c r="S74" s="224" t="s">
        <v>20</v>
      </c>
      <c r="T74" s="278">
        <v>46001</v>
      </c>
      <c r="U74" s="278">
        <v>46004</v>
      </c>
      <c r="V74" s="224" t="s">
        <v>20</v>
      </c>
      <c r="W74" s="278">
        <v>46005</v>
      </c>
      <c r="X74" s="278">
        <v>46006</v>
      </c>
      <c r="Y74" s="24"/>
    </row>
    <row r="75" spans="1:25" ht="14.25" customHeight="1">
      <c r="A75" s="15">
        <f t="shared" si="30"/>
        <v>70</v>
      </c>
      <c r="B75" s="15" t="str">
        <f t="shared" si="2"/>
        <v>AP-25</v>
      </c>
      <c r="C75" s="15" t="s">
        <v>262</v>
      </c>
      <c r="D75" s="16">
        <v>173.541</v>
      </c>
      <c r="E75" s="16" t="s">
        <v>20</v>
      </c>
      <c r="F75" s="16" t="s">
        <v>20</v>
      </c>
      <c r="G75" s="16" t="s">
        <v>20</v>
      </c>
      <c r="H75" s="421">
        <f>I75-2</f>
        <v>45913</v>
      </c>
      <c r="I75" s="278">
        <v>45915</v>
      </c>
      <c r="J75" s="16" t="s">
        <v>20</v>
      </c>
      <c r="K75" s="278">
        <f>L75-1</f>
        <v>45915</v>
      </c>
      <c r="L75" s="278">
        <v>45916</v>
      </c>
      <c r="M75" s="16" t="s">
        <v>20</v>
      </c>
      <c r="N75" s="16" t="s">
        <v>20</v>
      </c>
      <c r="O75" s="24" t="s">
        <v>741</v>
      </c>
      <c r="P75" s="25"/>
      <c r="Q75" s="24"/>
      <c r="R75" s="221"/>
      <c r="S75" s="224" t="s">
        <v>20</v>
      </c>
      <c r="T75" s="278">
        <v>46001</v>
      </c>
      <c r="U75" s="278">
        <v>46004</v>
      </c>
      <c r="V75" s="224" t="s">
        <v>20</v>
      </c>
      <c r="W75" s="278">
        <v>46005</v>
      </c>
      <c r="X75" s="278">
        <v>46006</v>
      </c>
      <c r="Y75" s="24"/>
    </row>
    <row r="76" spans="1:25" ht="14.25" customHeight="1">
      <c r="A76" s="15">
        <f t="shared" si="30"/>
        <v>71</v>
      </c>
      <c r="B76" s="15" t="str">
        <f t="shared" si="2"/>
        <v>AP-26</v>
      </c>
      <c r="C76" s="15" t="s">
        <v>264</v>
      </c>
      <c r="D76" s="16">
        <v>142.38399999999999</v>
      </c>
      <c r="E76" s="16" t="s">
        <v>20</v>
      </c>
      <c r="F76" s="16" t="s">
        <v>20</v>
      </c>
      <c r="G76" s="16" t="s">
        <v>20</v>
      </c>
      <c r="H76" s="421">
        <f>I76</f>
        <v>45936</v>
      </c>
      <c r="I76" s="278">
        <v>45936</v>
      </c>
      <c r="J76" s="16" t="s">
        <v>20</v>
      </c>
      <c r="K76" s="278">
        <f>L76</f>
        <v>45936</v>
      </c>
      <c r="L76" s="278">
        <v>45936</v>
      </c>
      <c r="M76" s="16" t="s">
        <v>20</v>
      </c>
      <c r="N76" s="16" t="s">
        <v>20</v>
      </c>
      <c r="O76" s="24" t="s">
        <v>741</v>
      </c>
      <c r="P76" s="25"/>
      <c r="Q76" s="24" t="s">
        <v>421</v>
      </c>
      <c r="R76" s="221"/>
      <c r="S76" s="224" t="s">
        <v>20</v>
      </c>
      <c r="T76" s="278">
        <v>46001</v>
      </c>
      <c r="U76" s="278">
        <v>46004</v>
      </c>
      <c r="V76" s="224" t="s">
        <v>20</v>
      </c>
      <c r="W76" s="278">
        <v>46005</v>
      </c>
      <c r="X76" s="278">
        <v>46006</v>
      </c>
      <c r="Y76" s="24"/>
    </row>
    <row r="77" spans="1:25" ht="14.25" customHeight="1">
      <c r="A77" s="15">
        <f t="shared" si="30"/>
        <v>72</v>
      </c>
      <c r="B77" s="15" t="str">
        <f t="shared" si="2"/>
        <v>AP-27</v>
      </c>
      <c r="C77" s="15" t="s">
        <v>266</v>
      </c>
      <c r="D77" s="16">
        <v>77.015000000000001</v>
      </c>
      <c r="E77" s="16" t="s">
        <v>20</v>
      </c>
      <c r="F77" s="16" t="s">
        <v>20</v>
      </c>
      <c r="G77" s="16" t="s">
        <v>20</v>
      </c>
      <c r="H77" s="421">
        <v>45963</v>
      </c>
      <c r="I77" s="278">
        <v>45963</v>
      </c>
      <c r="J77" s="16" t="s">
        <v>20</v>
      </c>
      <c r="K77" s="278">
        <v>45994</v>
      </c>
      <c r="L77" s="278">
        <v>45996</v>
      </c>
      <c r="M77" s="16" t="s">
        <v>20</v>
      </c>
      <c r="N77" s="16" t="s">
        <v>20</v>
      </c>
      <c r="O77" s="24" t="s">
        <v>741</v>
      </c>
      <c r="P77" s="25"/>
      <c r="Q77" s="24" t="s">
        <v>421</v>
      </c>
      <c r="R77" s="221"/>
      <c r="S77" s="224" t="s">
        <v>20</v>
      </c>
      <c r="T77" s="278">
        <v>46001</v>
      </c>
      <c r="U77" s="278">
        <v>46004</v>
      </c>
      <c r="V77" s="224" t="s">
        <v>20</v>
      </c>
      <c r="W77" s="278">
        <v>46005</v>
      </c>
      <c r="X77" s="278">
        <v>46006</v>
      </c>
      <c r="Y77" s="24"/>
    </row>
    <row r="78" spans="1:25" ht="14.25" customHeight="1">
      <c r="A78" s="15">
        <f t="shared" si="30"/>
        <v>73</v>
      </c>
      <c r="B78" s="15" t="str">
        <f t="shared" si="2"/>
        <v>AP-28</v>
      </c>
      <c r="C78" s="15" t="s">
        <v>267</v>
      </c>
      <c r="D78" s="16">
        <v>42.265999999999998</v>
      </c>
      <c r="E78" s="16" t="s">
        <v>20</v>
      </c>
      <c r="F78" s="16" t="s">
        <v>20</v>
      </c>
      <c r="G78" s="16" t="s">
        <v>20</v>
      </c>
      <c r="H78" s="421">
        <v>45963</v>
      </c>
      <c r="I78" s="278">
        <v>45963</v>
      </c>
      <c r="J78" s="16" t="s">
        <v>20</v>
      </c>
      <c r="K78" s="278">
        <v>45994</v>
      </c>
      <c r="L78" s="278">
        <v>45996</v>
      </c>
      <c r="M78" s="16" t="s">
        <v>20</v>
      </c>
      <c r="N78" s="16" t="s">
        <v>20</v>
      </c>
      <c r="O78" s="24" t="s">
        <v>741</v>
      </c>
      <c r="P78" s="25"/>
      <c r="Q78" s="24"/>
      <c r="R78" s="221"/>
      <c r="S78" s="224" t="s">
        <v>20</v>
      </c>
      <c r="T78" s="278">
        <v>46001</v>
      </c>
      <c r="U78" s="278">
        <v>46004</v>
      </c>
      <c r="V78" s="224" t="s">
        <v>20</v>
      </c>
      <c r="W78" s="278">
        <v>46005</v>
      </c>
      <c r="X78" s="278">
        <v>46006</v>
      </c>
      <c r="Y78" s="24"/>
    </row>
    <row r="79" spans="1:25" ht="14.25" customHeight="1">
      <c r="A79" s="15">
        <f t="shared" si="30"/>
        <v>74</v>
      </c>
      <c r="B79" s="15" t="str">
        <f t="shared" si="2"/>
        <v>28/1</v>
      </c>
      <c r="C79" s="15" t="s">
        <v>269</v>
      </c>
      <c r="D79" s="16">
        <v>54.573</v>
      </c>
      <c r="E79" s="16" t="s">
        <v>20</v>
      </c>
      <c r="F79" s="16" t="s">
        <v>20</v>
      </c>
      <c r="G79" s="16" t="s">
        <v>20</v>
      </c>
      <c r="H79" s="421">
        <v>45963</v>
      </c>
      <c r="I79" s="278">
        <v>45963</v>
      </c>
      <c r="J79" s="16" t="s">
        <v>20</v>
      </c>
      <c r="K79" s="278">
        <v>45994</v>
      </c>
      <c r="L79" s="278">
        <v>45996</v>
      </c>
      <c r="M79" s="16" t="s">
        <v>20</v>
      </c>
      <c r="N79" s="16" t="s">
        <v>20</v>
      </c>
      <c r="O79" s="24" t="s">
        <v>741</v>
      </c>
      <c r="P79" s="25"/>
      <c r="Q79" s="24"/>
      <c r="R79" s="221"/>
      <c r="S79" s="224" t="s">
        <v>20</v>
      </c>
      <c r="T79" s="278">
        <v>46001</v>
      </c>
      <c r="U79" s="278">
        <v>46004</v>
      </c>
      <c r="V79" s="224" t="s">
        <v>20</v>
      </c>
      <c r="W79" s="278">
        <v>46005</v>
      </c>
      <c r="X79" s="278">
        <v>46006</v>
      </c>
      <c r="Y79" s="24"/>
    </row>
    <row r="80" spans="1:25" ht="14.25" customHeight="1">
      <c r="A80" s="15">
        <f t="shared" si="30"/>
        <v>75</v>
      </c>
      <c r="B80" s="15" t="str">
        <f t="shared" si="2"/>
        <v>28/2</v>
      </c>
      <c r="C80" s="15" t="s">
        <v>271</v>
      </c>
      <c r="D80" s="16">
        <v>41.886000000000003</v>
      </c>
      <c r="E80" s="16" t="s">
        <v>20</v>
      </c>
      <c r="F80" s="16" t="s">
        <v>20</v>
      </c>
      <c r="G80" s="16" t="s">
        <v>20</v>
      </c>
      <c r="H80" s="421">
        <f t="shared" ref="H80:H81" si="31">I80</f>
        <v>45916</v>
      </c>
      <c r="I80" s="278">
        <v>45916</v>
      </c>
      <c r="J80" s="16" t="s">
        <v>20</v>
      </c>
      <c r="K80" s="278">
        <f t="shared" ref="K80:K81" si="32">L80</f>
        <v>45917</v>
      </c>
      <c r="L80" s="278">
        <v>45917</v>
      </c>
      <c r="M80" s="16" t="s">
        <v>20</v>
      </c>
      <c r="N80" s="16" t="s">
        <v>20</v>
      </c>
      <c r="O80" s="24" t="s">
        <v>741</v>
      </c>
      <c r="P80" s="25"/>
      <c r="Q80" s="24"/>
      <c r="R80" s="221"/>
      <c r="S80" s="224" t="s">
        <v>20</v>
      </c>
      <c r="T80" s="278">
        <v>46001</v>
      </c>
      <c r="U80" s="278">
        <v>46004</v>
      </c>
      <c r="V80" s="224" t="s">
        <v>20</v>
      </c>
      <c r="W80" s="278">
        <v>46005</v>
      </c>
      <c r="X80" s="278">
        <v>46006</v>
      </c>
      <c r="Y80" s="24"/>
    </row>
    <row r="81" spans="1:25" ht="14.25" customHeight="1">
      <c r="A81" s="15">
        <f t="shared" si="30"/>
        <v>76</v>
      </c>
      <c r="B81" s="15" t="str">
        <f t="shared" si="2"/>
        <v>AP-29</v>
      </c>
      <c r="C81" s="15" t="s">
        <v>273</v>
      </c>
      <c r="D81" s="16">
        <v>353.28399999999999</v>
      </c>
      <c r="E81" s="16" t="s">
        <v>20</v>
      </c>
      <c r="F81" s="16" t="s">
        <v>20</v>
      </c>
      <c r="G81" s="16" t="s">
        <v>20</v>
      </c>
      <c r="H81" s="421">
        <f t="shared" si="31"/>
        <v>45915</v>
      </c>
      <c r="I81" s="278">
        <f>K81-1</f>
        <v>45915</v>
      </c>
      <c r="J81" s="16" t="s">
        <v>20</v>
      </c>
      <c r="K81" s="278">
        <f t="shared" si="32"/>
        <v>45916</v>
      </c>
      <c r="L81" s="278">
        <v>45916</v>
      </c>
      <c r="M81" s="16" t="s">
        <v>20</v>
      </c>
      <c r="N81" s="16" t="s">
        <v>20</v>
      </c>
      <c r="O81" s="24" t="s">
        <v>741</v>
      </c>
      <c r="P81" s="25"/>
      <c r="Q81" s="24"/>
      <c r="R81" s="221"/>
      <c r="S81" s="224" t="s">
        <v>20</v>
      </c>
      <c r="T81" s="278">
        <v>46001</v>
      </c>
      <c r="U81" s="278">
        <v>46004</v>
      </c>
      <c r="V81" s="224" t="s">
        <v>20</v>
      </c>
      <c r="W81" s="278">
        <v>46005</v>
      </c>
      <c r="X81" s="278">
        <v>46006</v>
      </c>
      <c r="Y81" s="24"/>
    </row>
    <row r="82" spans="1:25" ht="14.25" customHeight="1">
      <c r="A82" s="15">
        <f t="shared" si="30"/>
        <v>77</v>
      </c>
      <c r="B82" s="15" t="str">
        <f t="shared" si="2"/>
        <v>29A/0</v>
      </c>
      <c r="C82" s="15" t="s">
        <v>279</v>
      </c>
      <c r="D82" s="16">
        <v>1860.55</v>
      </c>
      <c r="E82" s="16" t="s">
        <v>20</v>
      </c>
      <c r="F82" s="16" t="s">
        <v>20</v>
      </c>
      <c r="G82" s="16" t="s">
        <v>20</v>
      </c>
      <c r="H82" s="421">
        <v>45854</v>
      </c>
      <c r="I82" s="278">
        <f>H82+4</f>
        <v>45858</v>
      </c>
      <c r="J82" s="16" t="s">
        <v>20</v>
      </c>
      <c r="K82" s="278">
        <f>L82-3</f>
        <v>45897</v>
      </c>
      <c r="L82" s="278">
        <v>45900</v>
      </c>
      <c r="M82" s="16" t="s">
        <v>20</v>
      </c>
      <c r="N82" s="16" t="s">
        <v>20</v>
      </c>
      <c r="O82" s="24" t="s">
        <v>741</v>
      </c>
      <c r="P82" s="25"/>
      <c r="Q82" s="24"/>
      <c r="R82" s="221"/>
      <c r="S82" s="224" t="s">
        <v>20</v>
      </c>
      <c r="T82" s="278">
        <v>45989</v>
      </c>
      <c r="U82" s="278">
        <v>45992</v>
      </c>
      <c r="V82" s="224" t="s">
        <v>20</v>
      </c>
      <c r="W82" s="278">
        <v>45989</v>
      </c>
      <c r="X82" s="278">
        <v>45992</v>
      </c>
      <c r="Y82" s="24"/>
    </row>
    <row r="83" spans="1:25" ht="14.25" customHeight="1">
      <c r="A83" s="15">
        <f t="shared" si="30"/>
        <v>78</v>
      </c>
      <c r="B83" s="15" t="str">
        <f t="shared" si="2"/>
        <v>AP-30</v>
      </c>
      <c r="C83" s="15" t="s">
        <v>287</v>
      </c>
      <c r="D83" s="16">
        <v>2332.92</v>
      </c>
      <c r="E83" s="16" t="s">
        <v>20</v>
      </c>
      <c r="F83" s="16" t="s">
        <v>20</v>
      </c>
      <c r="G83" s="16" t="s">
        <v>20</v>
      </c>
      <c r="H83" s="421">
        <v>45846</v>
      </c>
      <c r="I83" s="278">
        <f>H83+5</f>
        <v>45851</v>
      </c>
      <c r="J83" s="16" t="s">
        <v>20</v>
      </c>
      <c r="K83" s="278">
        <v>45854</v>
      </c>
      <c r="L83" s="278">
        <v>45860</v>
      </c>
      <c r="M83" s="16" t="s">
        <v>20</v>
      </c>
      <c r="N83" s="24"/>
      <c r="O83" s="24" t="s">
        <v>619</v>
      </c>
      <c r="P83" s="25"/>
      <c r="Q83" s="24"/>
      <c r="R83" s="221"/>
      <c r="S83" s="224" t="s">
        <v>20</v>
      </c>
      <c r="T83" s="278">
        <v>45989</v>
      </c>
      <c r="U83" s="278">
        <v>45992</v>
      </c>
      <c r="V83" s="224" t="s">
        <v>20</v>
      </c>
      <c r="W83" s="278">
        <v>45989</v>
      </c>
      <c r="X83" s="278">
        <v>45992</v>
      </c>
      <c r="Y83" s="24"/>
    </row>
    <row r="84" spans="1:25" ht="14.25" customHeight="1">
      <c r="A84" s="15">
        <f t="shared" si="30"/>
        <v>79</v>
      </c>
      <c r="B84" s="15" t="str">
        <f t="shared" si="2"/>
        <v>AP-31</v>
      </c>
      <c r="C84" s="15" t="s">
        <v>290</v>
      </c>
      <c r="D84" s="16">
        <v>743.35</v>
      </c>
      <c r="E84" s="16"/>
      <c r="F84" s="16"/>
      <c r="G84" s="16"/>
      <c r="H84" s="421"/>
      <c r="I84" s="278"/>
      <c r="J84" s="16"/>
      <c r="K84" s="278"/>
      <c r="L84" s="278"/>
      <c r="M84" s="24"/>
      <c r="N84" s="24"/>
      <c r="O84" s="24"/>
      <c r="P84" s="25"/>
      <c r="Q84" s="24"/>
      <c r="R84" s="221"/>
      <c r="S84" s="15"/>
      <c r="T84" s="278"/>
      <c r="U84" s="278"/>
      <c r="V84" s="24"/>
      <c r="W84" s="278"/>
      <c r="X84" s="278"/>
      <c r="Y84" s="24"/>
    </row>
    <row r="85" spans="1:25" ht="14.25" customHeight="1">
      <c r="A85" s="15">
        <f t="shared" si="30"/>
        <v>80</v>
      </c>
      <c r="B85" s="15" t="str">
        <f t="shared" si="2"/>
        <v>AP-32</v>
      </c>
      <c r="C85" s="15" t="s">
        <v>294</v>
      </c>
      <c r="D85" s="16">
        <v>909.22</v>
      </c>
      <c r="E85" s="16"/>
      <c r="F85" s="15"/>
      <c r="G85" s="15"/>
      <c r="H85" s="421"/>
      <c r="I85" s="278"/>
      <c r="J85" s="16"/>
      <c r="K85" s="278"/>
      <c r="L85" s="278"/>
      <c r="M85" s="24"/>
      <c r="N85" s="24"/>
      <c r="O85" s="24"/>
      <c r="P85" s="25"/>
      <c r="Q85" s="24"/>
      <c r="R85" s="221"/>
      <c r="S85" s="15"/>
      <c r="T85" s="278"/>
      <c r="U85" s="278"/>
      <c r="V85" s="24"/>
      <c r="W85" s="278"/>
      <c r="X85" s="278"/>
      <c r="Y85" s="24"/>
    </row>
    <row r="86" spans="1:25" ht="14.25" customHeight="1">
      <c r="A86" s="15">
        <f t="shared" si="30"/>
        <v>81</v>
      </c>
      <c r="B86" s="15" t="str">
        <f t="shared" si="2"/>
        <v>33/0</v>
      </c>
      <c r="C86" s="15" t="s">
        <v>295</v>
      </c>
      <c r="D86" s="16">
        <v>209</v>
      </c>
      <c r="E86" s="16"/>
      <c r="F86" s="16"/>
      <c r="G86" s="16"/>
      <c r="H86" s="421"/>
      <c r="I86" s="278"/>
      <c r="J86" s="16"/>
      <c r="K86" s="278"/>
      <c r="L86" s="278"/>
      <c r="M86" s="15"/>
      <c r="N86" s="15"/>
      <c r="O86" s="182"/>
      <c r="P86" s="25"/>
      <c r="Q86" s="24"/>
      <c r="R86" s="221"/>
      <c r="S86" s="15"/>
      <c r="T86" s="278"/>
      <c r="U86" s="278"/>
      <c r="V86" s="15"/>
      <c r="W86" s="278"/>
      <c r="X86" s="278"/>
      <c r="Y86" s="18"/>
    </row>
    <row r="87" spans="1:25" ht="14.25" customHeight="1">
      <c r="A87" s="15">
        <f t="shared" si="30"/>
        <v>82</v>
      </c>
      <c r="B87" s="15"/>
      <c r="C87" s="15"/>
      <c r="D87" s="16"/>
      <c r="E87" s="16"/>
      <c r="F87" s="16"/>
      <c r="G87" s="16"/>
      <c r="H87" s="421"/>
      <c r="I87" s="278"/>
      <c r="J87" s="16"/>
      <c r="K87" s="278"/>
      <c r="L87" s="278"/>
      <c r="M87" s="24"/>
      <c r="N87" s="15"/>
      <c r="O87" s="182"/>
      <c r="P87" s="25"/>
      <c r="Q87" s="24"/>
      <c r="R87" s="221"/>
      <c r="S87" s="15"/>
      <c r="T87" s="278"/>
      <c r="U87" s="278"/>
      <c r="V87" s="15"/>
      <c r="W87" s="278"/>
      <c r="X87" s="278"/>
      <c r="Y87" s="18"/>
    </row>
    <row r="88" spans="1:25" ht="14.25" customHeight="1">
      <c r="A88" s="15">
        <f t="shared" si="30"/>
        <v>83</v>
      </c>
      <c r="B88" s="15"/>
      <c r="C88" s="15"/>
      <c r="D88" s="16"/>
      <c r="E88" s="16"/>
      <c r="F88" s="15"/>
      <c r="G88" s="15"/>
      <c r="H88" s="421"/>
      <c r="I88" s="278"/>
      <c r="J88" s="15"/>
      <c r="K88" s="278"/>
      <c r="L88" s="278"/>
      <c r="M88" s="15"/>
      <c r="N88" s="15"/>
      <c r="O88" s="100"/>
      <c r="P88" s="35"/>
      <c r="Q88" s="35"/>
      <c r="R88" s="222"/>
      <c r="S88" s="15"/>
      <c r="T88" s="278"/>
      <c r="U88" s="278"/>
      <c r="V88" s="15"/>
      <c r="W88" s="278"/>
      <c r="X88" s="278"/>
      <c r="Y88" s="18"/>
    </row>
    <row r="89" spans="1:25" ht="14.25" customHeight="1">
      <c r="A89" s="15">
        <f t="shared" si="30"/>
        <v>84</v>
      </c>
      <c r="B89" s="15"/>
      <c r="C89" s="15"/>
      <c r="D89" s="16"/>
      <c r="E89" s="16"/>
      <c r="F89" s="16"/>
      <c r="G89" s="16"/>
      <c r="H89" s="421"/>
      <c r="I89" s="278"/>
      <c r="J89" s="15"/>
      <c r="K89" s="278"/>
      <c r="L89" s="278"/>
      <c r="M89" s="24"/>
      <c r="N89" s="15"/>
      <c r="O89" s="182"/>
      <c r="P89" s="25"/>
      <c r="Q89" s="24"/>
      <c r="R89" s="221"/>
      <c r="S89" s="15"/>
      <c r="T89" s="278"/>
      <c r="U89" s="278"/>
      <c r="V89" s="15"/>
      <c r="W89" s="278"/>
      <c r="X89" s="278"/>
      <c r="Y89" s="18"/>
    </row>
    <row r="90" spans="1:25" ht="14.25" customHeight="1">
      <c r="A90" s="15">
        <f t="shared" si="30"/>
        <v>85</v>
      </c>
      <c r="B90" s="15"/>
      <c r="C90" s="15"/>
      <c r="D90" s="16"/>
      <c r="E90" s="16"/>
      <c r="F90" s="16"/>
      <c r="G90" s="16"/>
      <c r="H90" s="421"/>
      <c r="I90" s="278"/>
      <c r="J90" s="15"/>
      <c r="K90" s="278"/>
      <c r="L90" s="278"/>
      <c r="M90" s="24"/>
      <c r="N90" s="15"/>
      <c r="O90" s="182"/>
      <c r="P90" s="25"/>
      <c r="Q90" s="24"/>
      <c r="R90" s="221"/>
      <c r="S90" s="15"/>
      <c r="T90" s="278"/>
      <c r="U90" s="278"/>
      <c r="V90" s="15"/>
      <c r="W90" s="278"/>
      <c r="X90" s="278"/>
      <c r="Y90" s="18"/>
    </row>
    <row r="91" spans="1:25" ht="14.25" customHeight="1">
      <c r="A91" s="15">
        <f t="shared" si="30"/>
        <v>86</v>
      </c>
      <c r="B91" s="15"/>
      <c r="C91" s="15"/>
      <c r="D91" s="16"/>
      <c r="E91" s="16"/>
      <c r="F91" s="16"/>
      <c r="G91" s="16"/>
      <c r="H91" s="421"/>
      <c r="I91" s="278"/>
      <c r="J91" s="15"/>
      <c r="K91" s="278"/>
      <c r="L91" s="278"/>
      <c r="M91" s="24"/>
      <c r="N91" s="15"/>
      <c r="O91" s="182"/>
      <c r="P91" s="25"/>
      <c r="Q91" s="24"/>
      <c r="R91" s="221"/>
      <c r="S91" s="15"/>
      <c r="T91" s="278"/>
      <c r="U91" s="278"/>
      <c r="V91" s="15"/>
      <c r="W91" s="278"/>
      <c r="X91" s="278"/>
      <c r="Y91" s="18"/>
    </row>
    <row r="92" spans="1:25" ht="14.25" customHeight="1">
      <c r="A92" s="15">
        <f t="shared" si="30"/>
        <v>87</v>
      </c>
      <c r="B92" s="15"/>
      <c r="C92" s="15"/>
      <c r="D92" s="16"/>
      <c r="E92" s="16"/>
      <c r="F92" s="16"/>
      <c r="G92" s="16"/>
      <c r="H92" s="421"/>
      <c r="I92" s="278"/>
      <c r="J92" s="15"/>
      <c r="K92" s="278"/>
      <c r="L92" s="278"/>
      <c r="M92" s="24"/>
      <c r="N92" s="15"/>
      <c r="O92" s="182"/>
      <c r="P92" s="25"/>
      <c r="Q92" s="24"/>
      <c r="R92" s="221"/>
      <c r="S92" s="15"/>
      <c r="T92" s="278"/>
      <c r="U92" s="278"/>
      <c r="V92" s="15"/>
      <c r="W92" s="278"/>
      <c r="X92" s="278"/>
      <c r="Y92" s="18"/>
    </row>
    <row r="93" spans="1:25" ht="14.25" customHeight="1">
      <c r="A93" s="15">
        <f t="shared" si="30"/>
        <v>88</v>
      </c>
      <c r="B93" s="15"/>
      <c r="C93" s="15"/>
      <c r="D93" s="16"/>
      <c r="E93" s="16"/>
      <c r="F93" s="16"/>
      <c r="G93" s="16"/>
      <c r="H93" s="421"/>
      <c r="I93" s="278"/>
      <c r="J93" s="15"/>
      <c r="K93" s="278"/>
      <c r="L93" s="278"/>
      <c r="M93" s="24"/>
      <c r="N93" s="15"/>
      <c r="O93" s="24"/>
      <c r="P93" s="25"/>
      <c r="Q93" s="24"/>
      <c r="R93" s="221"/>
      <c r="S93" s="15"/>
      <c r="T93" s="278"/>
      <c r="U93" s="278"/>
      <c r="V93" s="15"/>
      <c r="W93" s="278"/>
      <c r="X93" s="278"/>
      <c r="Y93" s="18"/>
    </row>
    <row r="94" spans="1:25" ht="14.25" customHeight="1">
      <c r="A94" s="15">
        <f t="shared" si="30"/>
        <v>89</v>
      </c>
      <c r="B94" s="15"/>
      <c r="C94" s="15"/>
      <c r="D94" s="16"/>
      <c r="E94" s="16"/>
      <c r="F94" s="16"/>
      <c r="G94" s="16"/>
      <c r="H94" s="421"/>
      <c r="I94" s="278"/>
      <c r="J94" s="15"/>
      <c r="K94" s="278"/>
      <c r="L94" s="278"/>
      <c r="M94" s="24"/>
      <c r="N94" s="24"/>
      <c r="O94" s="24"/>
      <c r="P94" s="25"/>
      <c r="Q94" s="24"/>
      <c r="R94" s="221"/>
      <c r="S94" s="24"/>
      <c r="T94" s="278"/>
      <c r="U94" s="278"/>
      <c r="V94" s="24"/>
      <c r="W94" s="278"/>
      <c r="X94" s="278"/>
      <c r="Y94" s="24"/>
    </row>
    <row r="95" spans="1:25" ht="14.25" customHeight="1">
      <c r="A95" s="15">
        <f t="shared" si="30"/>
        <v>90</v>
      </c>
      <c r="B95" s="15"/>
      <c r="C95" s="15"/>
      <c r="D95" s="16"/>
      <c r="E95" s="16"/>
      <c r="F95" s="16"/>
      <c r="G95" s="16"/>
      <c r="H95" s="421"/>
      <c r="I95" s="278"/>
      <c r="J95" s="15"/>
      <c r="K95" s="278"/>
      <c r="L95" s="278"/>
      <c r="M95" s="24"/>
      <c r="N95" s="24"/>
      <c r="O95" s="182"/>
      <c r="P95" s="25"/>
      <c r="Q95" s="24"/>
      <c r="R95" s="221"/>
      <c r="S95" s="24"/>
      <c r="T95" s="278"/>
      <c r="U95" s="278"/>
      <c r="V95" s="24"/>
      <c r="W95" s="278"/>
      <c r="X95" s="278"/>
      <c r="Y95" s="24"/>
    </row>
    <row r="96" spans="1:25" ht="14.25" customHeight="1">
      <c r="A96" s="15">
        <f t="shared" si="30"/>
        <v>91</v>
      </c>
      <c r="B96" s="15"/>
      <c r="C96" s="15"/>
      <c r="D96" s="16"/>
      <c r="E96" s="16"/>
      <c r="F96" s="16"/>
      <c r="G96" s="16"/>
      <c r="H96" s="421"/>
      <c r="I96" s="278"/>
      <c r="J96" s="25"/>
      <c r="K96" s="278"/>
      <c r="L96" s="278"/>
      <c r="M96" s="24"/>
      <c r="N96" s="24"/>
      <c r="O96" s="182"/>
      <c r="P96" s="25"/>
      <c r="Q96" s="24"/>
      <c r="R96" s="221"/>
      <c r="S96" s="24"/>
      <c r="T96" s="278"/>
      <c r="U96" s="278"/>
      <c r="V96" s="24"/>
      <c r="W96" s="278"/>
      <c r="X96" s="278"/>
      <c r="Y96" s="24"/>
    </row>
    <row r="97" spans="1:25" ht="14.25" customHeight="1">
      <c r="A97" s="15">
        <f t="shared" si="30"/>
        <v>92</v>
      </c>
      <c r="B97" s="15"/>
      <c r="C97" s="15"/>
      <c r="D97" s="16"/>
      <c r="E97" s="16"/>
      <c r="F97" s="16"/>
      <c r="G97" s="16"/>
      <c r="H97" s="421"/>
      <c r="I97" s="278"/>
      <c r="J97" s="24"/>
      <c r="K97" s="278"/>
      <c r="L97" s="278"/>
      <c r="M97" s="24"/>
      <c r="N97" s="24"/>
      <c r="O97" s="182"/>
      <c r="P97" s="25"/>
      <c r="Q97" s="24"/>
      <c r="R97" s="221"/>
      <c r="S97" s="24"/>
      <c r="T97" s="278"/>
      <c r="U97" s="278"/>
      <c r="V97" s="24"/>
      <c r="W97" s="278"/>
      <c r="X97" s="278"/>
      <c r="Y97" s="24"/>
    </row>
    <row r="98" spans="1:25" ht="14.25" customHeight="1">
      <c r="A98" s="15">
        <f t="shared" si="30"/>
        <v>93</v>
      </c>
      <c r="B98" s="15"/>
      <c r="C98" s="15"/>
      <c r="D98" s="16"/>
      <c r="E98" s="16"/>
      <c r="F98" s="16"/>
      <c r="G98" s="25"/>
      <c r="H98" s="421"/>
      <c r="I98" s="278"/>
      <c r="J98" s="24"/>
      <c r="K98" s="278"/>
      <c r="L98" s="278"/>
      <c r="M98" s="24"/>
      <c r="N98" s="24"/>
      <c r="O98" s="24"/>
      <c r="P98" s="25"/>
      <c r="Q98" s="24"/>
      <c r="R98" s="221"/>
      <c r="S98" s="24"/>
      <c r="T98" s="278"/>
      <c r="U98" s="278"/>
      <c r="V98" s="24"/>
      <c r="W98" s="278"/>
      <c r="X98" s="278"/>
      <c r="Y98" s="24"/>
    </row>
    <row r="99" spans="1:25" ht="14.25" customHeight="1">
      <c r="A99" s="15">
        <f t="shared" si="30"/>
        <v>94</v>
      </c>
      <c r="B99" s="15"/>
      <c r="C99" s="15"/>
      <c r="D99" s="16"/>
      <c r="E99" s="16"/>
      <c r="F99" s="16"/>
      <c r="G99" s="16"/>
      <c r="H99" s="421"/>
      <c r="I99" s="278"/>
      <c r="J99" s="16"/>
      <c r="K99" s="278"/>
      <c r="L99" s="278"/>
      <c r="M99" s="24"/>
      <c r="N99" s="24"/>
      <c r="O99" s="24"/>
      <c r="P99" s="25"/>
      <c r="Q99" s="24"/>
      <c r="R99" s="221"/>
      <c r="S99" s="24"/>
      <c r="T99" s="278"/>
      <c r="U99" s="278"/>
      <c r="V99" s="24"/>
      <c r="W99" s="278"/>
      <c r="X99" s="278"/>
      <c r="Y99" s="24"/>
    </row>
    <row r="100" spans="1:25" ht="14.25" customHeight="1">
      <c r="A100" s="15">
        <f t="shared" si="30"/>
        <v>95</v>
      </c>
      <c r="B100" s="15"/>
      <c r="C100" s="15"/>
      <c r="D100" s="16"/>
      <c r="E100" s="16"/>
      <c r="F100" s="16"/>
      <c r="G100" s="16"/>
      <c r="H100" s="421"/>
      <c r="I100" s="278"/>
      <c r="J100" s="16"/>
      <c r="K100" s="278"/>
      <c r="L100" s="278"/>
      <c r="M100" s="25"/>
      <c r="N100" s="131"/>
      <c r="O100" s="24"/>
      <c r="P100" s="25"/>
      <c r="Q100" s="24"/>
      <c r="R100" s="221"/>
      <c r="S100" s="15"/>
      <c r="T100" s="278"/>
      <c r="U100" s="278"/>
      <c r="V100" s="24"/>
      <c r="W100" s="278"/>
      <c r="X100" s="278"/>
      <c r="Y100" s="24"/>
    </row>
    <row r="101" spans="1:25" ht="14.25" customHeight="1">
      <c r="A101" s="15">
        <f t="shared" si="30"/>
        <v>96</v>
      </c>
      <c r="B101" s="15"/>
      <c r="C101" s="15"/>
      <c r="D101" s="16"/>
      <c r="E101" s="16"/>
      <c r="F101" s="16"/>
      <c r="G101" s="16"/>
      <c r="H101" s="421"/>
      <c r="I101" s="278"/>
      <c r="J101" s="16"/>
      <c r="K101" s="278"/>
      <c r="L101" s="278"/>
      <c r="M101" s="25"/>
      <c r="N101" s="15"/>
      <c r="O101" s="24"/>
      <c r="P101" s="25"/>
      <c r="Q101" s="24"/>
      <c r="R101" s="221"/>
      <c r="S101" s="15"/>
      <c r="T101" s="278"/>
      <c r="U101" s="278"/>
      <c r="V101" s="24"/>
      <c r="W101" s="278"/>
      <c r="X101" s="278"/>
      <c r="Y101" s="24"/>
    </row>
    <row r="102" spans="1:25" ht="14.25" customHeight="1">
      <c r="A102" s="15">
        <f t="shared" si="30"/>
        <v>97</v>
      </c>
      <c r="B102" s="15"/>
      <c r="C102" s="15"/>
      <c r="D102" s="16"/>
      <c r="E102" s="16"/>
      <c r="F102" s="15"/>
      <c r="G102" s="15"/>
      <c r="H102" s="421"/>
      <c r="I102" s="278"/>
      <c r="J102" s="15"/>
      <c r="K102" s="278"/>
      <c r="L102" s="278"/>
      <c r="M102" s="15"/>
      <c r="N102" s="24"/>
      <c r="O102" s="100"/>
      <c r="P102" s="35"/>
      <c r="Q102" s="35"/>
      <c r="R102" s="222"/>
      <c r="S102" s="15"/>
      <c r="T102" s="278"/>
      <c r="U102" s="278"/>
      <c r="V102" s="24"/>
      <c r="W102" s="278"/>
      <c r="X102" s="278"/>
      <c r="Y102" s="24"/>
    </row>
    <row r="103" spans="1:25" ht="14.25" customHeight="1">
      <c r="A103" s="15">
        <f t="shared" si="30"/>
        <v>98</v>
      </c>
      <c r="B103" s="15"/>
      <c r="C103" s="15"/>
      <c r="D103" s="16"/>
      <c r="E103" s="16"/>
      <c r="F103" s="15"/>
      <c r="G103" s="15"/>
      <c r="H103" s="421"/>
      <c r="I103" s="278"/>
      <c r="J103" s="15"/>
      <c r="K103" s="278"/>
      <c r="L103" s="278"/>
      <c r="M103" s="15"/>
      <c r="N103" s="15"/>
      <c r="O103" s="100"/>
      <c r="P103" s="35"/>
      <c r="Q103" s="35"/>
      <c r="R103" s="222"/>
      <c r="S103" s="15"/>
      <c r="T103" s="278"/>
      <c r="U103" s="278"/>
      <c r="V103" s="15"/>
      <c r="W103" s="278"/>
      <c r="X103" s="278"/>
      <c r="Y103" s="18"/>
    </row>
    <row r="104" spans="1:25" ht="14.25" customHeight="1">
      <c r="A104" s="15">
        <f t="shared" si="30"/>
        <v>99</v>
      </c>
      <c r="B104" s="15"/>
      <c r="C104" s="15"/>
      <c r="D104" s="16"/>
      <c r="E104" s="16"/>
      <c r="F104" s="15"/>
      <c r="G104" s="15"/>
      <c r="H104" s="421"/>
      <c r="I104" s="278"/>
      <c r="J104" s="15"/>
      <c r="K104" s="278"/>
      <c r="L104" s="278"/>
      <c r="M104" s="15"/>
      <c r="N104" s="15"/>
      <c r="O104" s="19"/>
      <c r="P104" s="15"/>
      <c r="Q104" s="15"/>
      <c r="R104" s="225"/>
      <c r="S104" s="15"/>
      <c r="T104" s="278"/>
      <c r="U104" s="278"/>
      <c r="V104" s="15"/>
      <c r="W104" s="278"/>
      <c r="X104" s="278"/>
      <c r="Y104" s="18"/>
    </row>
    <row r="105" spans="1:25" ht="14.25" customHeight="1">
      <c r="A105" s="15">
        <f t="shared" si="30"/>
        <v>100</v>
      </c>
      <c r="B105" s="15"/>
      <c r="C105" s="15"/>
      <c r="D105" s="16"/>
      <c r="E105" s="16"/>
      <c r="F105" s="15"/>
      <c r="G105" s="15"/>
      <c r="H105" s="421"/>
      <c r="I105" s="278"/>
      <c r="J105" s="15"/>
      <c r="K105" s="278"/>
      <c r="L105" s="278"/>
      <c r="M105" s="15"/>
      <c r="N105" s="15"/>
      <c r="O105" s="19"/>
      <c r="P105" s="15"/>
      <c r="Q105" s="15"/>
      <c r="R105" s="225"/>
      <c r="S105" s="15"/>
      <c r="T105" s="278"/>
      <c r="U105" s="278"/>
      <c r="V105" s="15"/>
      <c r="W105" s="278"/>
      <c r="X105" s="278"/>
      <c r="Y105" s="18"/>
    </row>
    <row r="106" spans="1:25" ht="14.25" customHeight="1">
      <c r="A106" s="15">
        <f t="shared" si="30"/>
        <v>101</v>
      </c>
      <c r="B106" s="15"/>
      <c r="C106" s="15"/>
      <c r="D106" s="16"/>
      <c r="E106" s="16"/>
      <c r="F106" s="15"/>
      <c r="G106" s="15"/>
      <c r="H106" s="421"/>
      <c r="I106" s="278"/>
      <c r="J106" s="15"/>
      <c r="K106" s="278"/>
      <c r="L106" s="278"/>
      <c r="M106" s="15"/>
      <c r="N106" s="15"/>
      <c r="O106" s="19"/>
      <c r="P106" s="15"/>
      <c r="Q106" s="15"/>
      <c r="R106" s="225"/>
      <c r="S106" s="15"/>
      <c r="T106" s="278"/>
      <c r="U106" s="278"/>
      <c r="V106" s="15"/>
      <c r="W106" s="278"/>
      <c r="X106" s="278"/>
      <c r="Y106" s="18"/>
    </row>
    <row r="107" spans="1:25" ht="14.25" customHeight="1">
      <c r="A107" s="15">
        <f t="shared" si="30"/>
        <v>102</v>
      </c>
      <c r="B107" s="15"/>
      <c r="C107" s="15"/>
      <c r="D107" s="16"/>
      <c r="E107" s="16"/>
      <c r="F107" s="15"/>
      <c r="G107" s="15"/>
      <c r="H107" s="421"/>
      <c r="I107" s="278"/>
      <c r="J107" s="15"/>
      <c r="K107" s="278"/>
      <c r="L107" s="278"/>
      <c r="M107" s="15"/>
      <c r="N107" s="15"/>
      <c r="O107" s="19"/>
      <c r="P107" s="15"/>
      <c r="Q107" s="15"/>
      <c r="R107" s="225"/>
      <c r="S107" s="15"/>
      <c r="T107" s="278"/>
      <c r="U107" s="278"/>
      <c r="V107" s="15"/>
      <c r="W107" s="278"/>
      <c r="X107" s="278"/>
      <c r="Y107" s="18"/>
    </row>
    <row r="108" spans="1:25" ht="14.25" customHeight="1">
      <c r="A108" s="15">
        <f t="shared" si="30"/>
        <v>103</v>
      </c>
      <c r="B108" s="15"/>
      <c r="C108" s="15"/>
      <c r="D108" s="16"/>
      <c r="E108" s="16"/>
      <c r="F108" s="15"/>
      <c r="G108" s="15"/>
      <c r="H108" s="421"/>
      <c r="I108" s="278"/>
      <c r="J108" s="15"/>
      <c r="K108" s="278"/>
      <c r="L108" s="278"/>
      <c r="M108" s="15"/>
      <c r="N108" s="15"/>
      <c r="O108" s="19"/>
      <c r="P108" s="15"/>
      <c r="Q108" s="15"/>
      <c r="R108" s="225"/>
      <c r="S108" s="15"/>
      <c r="T108" s="278"/>
      <c r="U108" s="278"/>
      <c r="V108" s="15"/>
      <c r="W108" s="278"/>
      <c r="X108" s="278"/>
      <c r="Y108" s="18"/>
    </row>
    <row r="109" spans="1:25" ht="14.25" customHeight="1">
      <c r="A109" s="15">
        <f t="shared" si="30"/>
        <v>104</v>
      </c>
      <c r="B109" s="15"/>
      <c r="C109" s="15"/>
      <c r="D109" s="16"/>
      <c r="E109" s="16"/>
      <c r="F109" s="16"/>
      <c r="G109" s="15"/>
      <c r="H109" s="421"/>
      <c r="I109" s="278"/>
      <c r="J109" s="15"/>
      <c r="K109" s="278"/>
      <c r="L109" s="278"/>
      <c r="M109" s="24"/>
      <c r="N109" s="15"/>
      <c r="O109" s="182"/>
      <c r="P109" s="15"/>
      <c r="Q109" s="24"/>
      <c r="R109" s="221"/>
      <c r="S109" s="15"/>
      <c r="T109" s="278"/>
      <c r="U109" s="278"/>
      <c r="V109" s="15"/>
      <c r="W109" s="278"/>
      <c r="X109" s="278"/>
      <c r="Y109" s="18"/>
    </row>
    <row r="110" spans="1:25" ht="14.25" customHeight="1">
      <c r="A110" s="15">
        <f t="shared" si="30"/>
        <v>105</v>
      </c>
      <c r="B110" s="15"/>
      <c r="C110" s="15"/>
      <c r="D110" s="16"/>
      <c r="E110" s="16"/>
      <c r="F110" s="16"/>
      <c r="G110" s="16"/>
      <c r="H110" s="421"/>
      <c r="I110" s="278"/>
      <c r="J110" s="15"/>
      <c r="K110" s="278"/>
      <c r="L110" s="278"/>
      <c r="M110" s="24"/>
      <c r="N110" s="15"/>
      <c r="O110" s="182"/>
      <c r="P110" s="15"/>
      <c r="Q110" s="24"/>
      <c r="R110" s="221"/>
      <c r="S110" s="15"/>
      <c r="T110" s="278"/>
      <c r="U110" s="278"/>
      <c r="V110" s="15"/>
      <c r="W110" s="278"/>
      <c r="X110" s="278"/>
      <c r="Y110" s="18"/>
    </row>
    <row r="111" spans="1:25" ht="14.25" customHeight="1">
      <c r="A111" s="15">
        <f t="shared" si="30"/>
        <v>106</v>
      </c>
      <c r="B111" s="15"/>
      <c r="C111" s="15"/>
      <c r="D111" s="16"/>
      <c r="E111" s="16"/>
      <c r="F111" s="16"/>
      <c r="G111" s="16"/>
      <c r="H111" s="421"/>
      <c r="I111" s="278"/>
      <c r="J111" s="15"/>
      <c r="K111" s="278"/>
      <c r="L111" s="278"/>
      <c r="M111" s="24"/>
      <c r="N111" s="15"/>
      <c r="O111" s="182"/>
      <c r="P111" s="15"/>
      <c r="Q111" s="24"/>
      <c r="R111" s="221"/>
      <c r="S111" s="15"/>
      <c r="T111" s="278"/>
      <c r="U111" s="278"/>
      <c r="V111" s="15"/>
      <c r="W111" s="278"/>
      <c r="X111" s="278"/>
      <c r="Y111" s="18"/>
    </row>
    <row r="112" spans="1:25" ht="14.25" customHeight="1">
      <c r="A112" s="15">
        <f t="shared" si="30"/>
        <v>107</v>
      </c>
      <c r="B112" s="15"/>
      <c r="C112" s="15"/>
      <c r="D112" s="16"/>
      <c r="E112" s="16"/>
      <c r="F112" s="16"/>
      <c r="G112" s="16"/>
      <c r="H112" s="421"/>
      <c r="I112" s="278"/>
      <c r="J112" s="15"/>
      <c r="K112" s="278"/>
      <c r="L112" s="278"/>
      <c r="M112" s="24"/>
      <c r="N112" s="15"/>
      <c r="O112" s="182"/>
      <c r="P112" s="15"/>
      <c r="Q112" s="24"/>
      <c r="R112" s="221"/>
      <c r="S112" s="15"/>
      <c r="T112" s="278"/>
      <c r="U112" s="278"/>
      <c r="V112" s="15"/>
      <c r="W112" s="278"/>
      <c r="X112" s="278"/>
      <c r="Y112" s="18"/>
    </row>
    <row r="113" spans="1:25" ht="14.25" customHeight="1">
      <c r="A113" s="15">
        <f t="shared" si="30"/>
        <v>108</v>
      </c>
      <c r="B113" s="15"/>
      <c r="C113" s="15"/>
      <c r="D113" s="16"/>
      <c r="E113" s="16"/>
      <c r="F113" s="16"/>
      <c r="G113" s="16"/>
      <c r="H113" s="421"/>
      <c r="I113" s="278"/>
      <c r="J113" s="15"/>
      <c r="K113" s="278"/>
      <c r="L113" s="278"/>
      <c r="M113" s="24"/>
      <c r="N113" s="15"/>
      <c r="O113" s="24"/>
      <c r="P113" s="15"/>
      <c r="Q113" s="24"/>
      <c r="R113" s="221"/>
      <c r="S113" s="15"/>
      <c r="T113" s="278"/>
      <c r="U113" s="278"/>
      <c r="V113" s="15"/>
      <c r="W113" s="278"/>
      <c r="X113" s="278"/>
      <c r="Y113" s="18"/>
    </row>
    <row r="114" spans="1:25" ht="14.25" customHeight="1">
      <c r="A114" s="15">
        <f t="shared" si="30"/>
        <v>109</v>
      </c>
      <c r="B114" s="15"/>
      <c r="C114" s="15"/>
      <c r="D114" s="16"/>
      <c r="E114" s="16"/>
      <c r="F114" s="16"/>
      <c r="G114" s="16"/>
      <c r="H114" s="421"/>
      <c r="I114" s="278"/>
      <c r="J114" s="15"/>
      <c r="K114" s="278"/>
      <c r="L114" s="278"/>
      <c r="M114" s="24"/>
      <c r="N114" s="15"/>
      <c r="O114" s="24"/>
      <c r="P114" s="15"/>
      <c r="Q114" s="24"/>
      <c r="R114" s="221"/>
      <c r="S114" s="15"/>
      <c r="T114" s="278"/>
      <c r="U114" s="278"/>
      <c r="V114" s="15"/>
      <c r="W114" s="278"/>
      <c r="X114" s="278"/>
      <c r="Y114" s="18"/>
    </row>
    <row r="115" spans="1:25" ht="14.25" customHeight="1">
      <c r="A115" s="15">
        <f t="shared" si="30"/>
        <v>110</v>
      </c>
      <c r="B115" s="15"/>
      <c r="C115" s="15"/>
      <c r="D115" s="16"/>
      <c r="E115" s="16"/>
      <c r="F115" s="16"/>
      <c r="G115" s="16"/>
      <c r="H115" s="421"/>
      <c r="I115" s="278"/>
      <c r="J115" s="15"/>
      <c r="K115" s="278"/>
      <c r="L115" s="278"/>
      <c r="M115" s="24"/>
      <c r="N115" s="15"/>
      <c r="O115" s="24"/>
      <c r="P115" s="15"/>
      <c r="Q115" s="24"/>
      <c r="R115" s="221"/>
      <c r="S115" s="15"/>
      <c r="T115" s="278"/>
      <c r="U115" s="278"/>
      <c r="V115" s="15"/>
      <c r="W115" s="278"/>
      <c r="X115" s="278"/>
      <c r="Y115" s="18"/>
    </row>
    <row r="116" spans="1:25" ht="14.25" customHeight="1">
      <c r="A116" s="15">
        <f t="shared" si="30"/>
        <v>111</v>
      </c>
      <c r="B116" s="15"/>
      <c r="C116" s="15"/>
      <c r="D116" s="16"/>
      <c r="E116" s="16"/>
      <c r="F116" s="16"/>
      <c r="G116" s="16"/>
      <c r="H116" s="421"/>
      <c r="I116" s="278"/>
      <c r="J116" s="16"/>
      <c r="K116" s="278"/>
      <c r="L116" s="278"/>
      <c r="M116" s="24"/>
      <c r="N116" s="15"/>
      <c r="O116" s="24"/>
      <c r="P116" s="15"/>
      <c r="Q116" s="24"/>
      <c r="R116" s="221"/>
      <c r="S116" s="15"/>
      <c r="T116" s="278"/>
      <c r="U116" s="278"/>
      <c r="V116" s="15"/>
      <c r="W116" s="278"/>
      <c r="X116" s="278"/>
      <c r="Y116" s="18"/>
    </row>
    <row r="117" spans="1:25" ht="14.25" customHeight="1">
      <c r="A117" s="15">
        <f t="shared" si="30"/>
        <v>112</v>
      </c>
      <c r="B117" s="15"/>
      <c r="C117" s="15"/>
      <c r="D117" s="16"/>
      <c r="E117" s="16"/>
      <c r="F117" s="16"/>
      <c r="G117" s="16"/>
      <c r="H117" s="421"/>
      <c r="I117" s="278"/>
      <c r="J117" s="16"/>
      <c r="K117" s="278"/>
      <c r="L117" s="278"/>
      <c r="M117" s="15"/>
      <c r="N117" s="15"/>
      <c r="O117" s="24"/>
      <c r="P117" s="15"/>
      <c r="Q117" s="24"/>
      <c r="R117" s="221"/>
      <c r="S117" s="15"/>
      <c r="T117" s="278"/>
      <c r="U117" s="278"/>
      <c r="V117" s="15"/>
      <c r="W117" s="278"/>
      <c r="X117" s="278"/>
      <c r="Y117" s="18"/>
    </row>
    <row r="118" spans="1:25" ht="14.25" customHeight="1">
      <c r="A118" s="15">
        <f t="shared" si="30"/>
        <v>113</v>
      </c>
      <c r="B118" s="15"/>
      <c r="C118" s="15"/>
      <c r="D118" s="16"/>
      <c r="E118" s="16"/>
      <c r="F118" s="16"/>
      <c r="G118" s="16"/>
      <c r="H118" s="421"/>
      <c r="I118" s="278"/>
      <c r="J118" s="16"/>
      <c r="K118" s="278"/>
      <c r="L118" s="278"/>
      <c r="M118" s="24"/>
      <c r="N118" s="15"/>
      <c r="O118" s="24"/>
      <c r="P118" s="15"/>
      <c r="Q118" s="24"/>
      <c r="R118" s="221"/>
      <c r="S118" s="15"/>
      <c r="T118" s="278"/>
      <c r="U118" s="278"/>
      <c r="V118" s="15"/>
      <c r="W118" s="278"/>
      <c r="X118" s="278"/>
      <c r="Y118" s="18"/>
    </row>
    <row r="119" spans="1:25" ht="14.25" customHeight="1">
      <c r="A119" s="15">
        <f t="shared" si="30"/>
        <v>114</v>
      </c>
      <c r="B119" s="15"/>
      <c r="C119" s="15"/>
      <c r="D119" s="16"/>
      <c r="E119" s="16"/>
      <c r="F119" s="16"/>
      <c r="G119" s="16"/>
      <c r="H119" s="421"/>
      <c r="I119" s="278"/>
      <c r="J119" s="16"/>
      <c r="K119" s="278"/>
      <c r="L119" s="278"/>
      <c r="M119" s="24"/>
      <c r="N119" s="15"/>
      <c r="O119" s="24"/>
      <c r="P119" s="15"/>
      <c r="Q119" s="24"/>
      <c r="R119" s="221"/>
      <c r="S119" s="15"/>
      <c r="T119" s="278"/>
      <c r="U119" s="278"/>
      <c r="V119" s="15"/>
      <c r="W119" s="278"/>
      <c r="X119" s="278"/>
      <c r="Y119" s="18"/>
    </row>
    <row r="120" spans="1:25" ht="14.25" customHeight="1">
      <c r="A120" s="15">
        <f t="shared" si="30"/>
        <v>115</v>
      </c>
      <c r="B120" s="15"/>
      <c r="C120" s="15"/>
      <c r="D120" s="16"/>
      <c r="E120" s="16"/>
      <c r="F120" s="16"/>
      <c r="G120" s="16"/>
      <c r="H120" s="421"/>
      <c r="I120" s="278"/>
      <c r="J120" s="16"/>
      <c r="K120" s="278"/>
      <c r="L120" s="278"/>
      <c r="M120" s="24"/>
      <c r="N120" s="15"/>
      <c r="O120" s="24"/>
      <c r="P120" s="15"/>
      <c r="Q120" s="24"/>
      <c r="R120" s="221"/>
      <c r="S120" s="15"/>
      <c r="T120" s="278"/>
      <c r="U120" s="278"/>
      <c r="V120" s="15"/>
      <c r="W120" s="278"/>
      <c r="X120" s="278"/>
      <c r="Y120" s="18"/>
    </row>
    <row r="121" spans="1:25" ht="14.25" customHeight="1">
      <c r="A121" s="15">
        <f t="shared" si="30"/>
        <v>116</v>
      </c>
      <c r="B121" s="15"/>
      <c r="C121" s="15"/>
      <c r="D121" s="16"/>
      <c r="E121" s="16"/>
      <c r="F121" s="16"/>
      <c r="G121" s="16"/>
      <c r="H121" s="421"/>
      <c r="I121" s="278"/>
      <c r="J121" s="16"/>
      <c r="K121" s="278"/>
      <c r="L121" s="278"/>
      <c r="M121" s="24"/>
      <c r="N121" s="15"/>
      <c r="O121" s="24"/>
      <c r="P121" s="15"/>
      <c r="Q121" s="24"/>
      <c r="R121" s="221"/>
      <c r="S121" s="15"/>
      <c r="T121" s="278"/>
      <c r="U121" s="278"/>
      <c r="V121" s="15"/>
      <c r="W121" s="278"/>
      <c r="X121" s="278"/>
      <c r="Y121" s="18"/>
    </row>
    <row r="122" spans="1:25" ht="14.25" customHeight="1">
      <c r="A122" s="15">
        <f t="shared" si="30"/>
        <v>117</v>
      </c>
      <c r="B122" s="15"/>
      <c r="C122" s="15"/>
      <c r="D122" s="16"/>
      <c r="E122" s="16"/>
      <c r="F122" s="16"/>
      <c r="G122" s="16"/>
      <c r="H122" s="421"/>
      <c r="I122" s="278"/>
      <c r="J122" s="16"/>
      <c r="K122" s="278"/>
      <c r="L122" s="278"/>
      <c r="M122" s="24"/>
      <c r="N122" s="15"/>
      <c r="O122" s="24"/>
      <c r="P122" s="15"/>
      <c r="Q122" s="24"/>
      <c r="R122" s="221"/>
      <c r="S122" s="15"/>
      <c r="T122" s="278"/>
      <c r="U122" s="278"/>
      <c r="V122" s="15"/>
      <c r="W122" s="278"/>
      <c r="X122" s="278"/>
      <c r="Y122" s="18"/>
    </row>
    <row r="123" spans="1:25" ht="14.25" customHeight="1">
      <c r="A123" s="15">
        <f t="shared" si="30"/>
        <v>118</v>
      </c>
      <c r="B123" s="15"/>
      <c r="C123" s="15"/>
      <c r="D123" s="16"/>
      <c r="E123" s="16"/>
      <c r="F123" s="16"/>
      <c r="G123" s="16"/>
      <c r="H123" s="421"/>
      <c r="I123" s="278"/>
      <c r="J123" s="16"/>
      <c r="K123" s="278"/>
      <c r="L123" s="278"/>
      <c r="M123" s="24"/>
      <c r="N123" s="15"/>
      <c r="O123" s="24"/>
      <c r="P123" s="15"/>
      <c r="Q123" s="24"/>
      <c r="R123" s="221"/>
      <c r="S123" s="15"/>
      <c r="T123" s="278"/>
      <c r="U123" s="278"/>
      <c r="V123" s="15"/>
      <c r="W123" s="278"/>
      <c r="X123" s="278"/>
      <c r="Y123" s="18"/>
    </row>
    <row r="124" spans="1:25" ht="14.25" customHeight="1">
      <c r="A124" s="15">
        <f t="shared" si="30"/>
        <v>119</v>
      </c>
      <c r="B124" s="15"/>
      <c r="C124" s="15"/>
      <c r="D124" s="16"/>
      <c r="E124" s="16"/>
      <c r="F124" s="16"/>
      <c r="G124" s="16"/>
      <c r="H124" s="421"/>
      <c r="I124" s="278"/>
      <c r="J124" s="16"/>
      <c r="K124" s="278"/>
      <c r="L124" s="278"/>
      <c r="M124" s="24"/>
      <c r="N124" s="15"/>
      <c r="O124" s="24"/>
      <c r="P124" s="15"/>
      <c r="Q124" s="24"/>
      <c r="R124" s="221"/>
      <c r="S124" s="15"/>
      <c r="T124" s="278"/>
      <c r="U124" s="278"/>
      <c r="V124" s="15"/>
      <c r="W124" s="278"/>
      <c r="X124" s="278"/>
      <c r="Y124" s="18"/>
    </row>
    <row r="125" spans="1:25" ht="14.25" customHeight="1">
      <c r="A125" s="15">
        <f t="shared" si="30"/>
        <v>120</v>
      </c>
      <c r="B125" s="15"/>
      <c r="C125" s="15"/>
      <c r="D125" s="16"/>
      <c r="E125" s="16"/>
      <c r="F125" s="16"/>
      <c r="G125" s="16"/>
      <c r="H125" s="421"/>
      <c r="I125" s="278"/>
      <c r="J125" s="16"/>
      <c r="K125" s="278"/>
      <c r="L125" s="278"/>
      <c r="M125" s="24"/>
      <c r="N125" s="15"/>
      <c r="O125" s="24"/>
      <c r="P125" s="15"/>
      <c r="Q125" s="24"/>
      <c r="R125" s="221"/>
      <c r="S125" s="15"/>
      <c r="T125" s="278"/>
      <c r="U125" s="278"/>
      <c r="V125" s="15"/>
      <c r="W125" s="278"/>
      <c r="X125" s="278"/>
      <c r="Y125" s="18"/>
    </row>
    <row r="126" spans="1:25" ht="14.25" customHeight="1">
      <c r="A126" s="15">
        <f t="shared" si="30"/>
        <v>121</v>
      </c>
      <c r="B126" s="15"/>
      <c r="C126" s="15"/>
      <c r="D126" s="16"/>
      <c r="E126" s="16"/>
      <c r="F126" s="16"/>
      <c r="G126" s="16"/>
      <c r="H126" s="421"/>
      <c r="I126" s="278"/>
      <c r="J126" s="16"/>
      <c r="K126" s="278"/>
      <c r="L126" s="278"/>
      <c r="M126" s="24"/>
      <c r="N126" s="15"/>
      <c r="O126" s="24"/>
      <c r="P126" s="15"/>
      <c r="Q126" s="24"/>
      <c r="R126" s="221"/>
      <c r="S126" s="15"/>
      <c r="T126" s="278"/>
      <c r="U126" s="278"/>
      <c r="V126" s="15"/>
      <c r="W126" s="278"/>
      <c r="X126" s="278"/>
      <c r="Y126" s="18"/>
    </row>
    <row r="127" spans="1:25" ht="14.25" customHeight="1">
      <c r="A127" s="15">
        <f t="shared" si="30"/>
        <v>122</v>
      </c>
      <c r="B127" s="15"/>
      <c r="C127" s="15"/>
      <c r="D127" s="16"/>
      <c r="E127" s="16"/>
      <c r="F127" s="16"/>
      <c r="G127" s="16"/>
      <c r="H127" s="421"/>
      <c r="I127" s="278"/>
      <c r="J127" s="16"/>
      <c r="K127" s="278"/>
      <c r="L127" s="278"/>
      <c r="M127" s="24"/>
      <c r="N127" s="15"/>
      <c r="O127" s="182"/>
      <c r="P127" s="15"/>
      <c r="Q127" s="24"/>
      <c r="R127" s="221"/>
      <c r="S127" s="15"/>
      <c r="T127" s="278"/>
      <c r="U127" s="278"/>
      <c r="V127" s="15"/>
      <c r="W127" s="278"/>
      <c r="X127" s="278"/>
      <c r="Y127" s="18"/>
    </row>
    <row r="128" spans="1:25" ht="14.25" customHeight="1">
      <c r="A128" s="15">
        <f t="shared" si="30"/>
        <v>123</v>
      </c>
      <c r="B128" s="15"/>
      <c r="C128" s="15"/>
      <c r="D128" s="16"/>
      <c r="E128" s="16"/>
      <c r="F128" s="16"/>
      <c r="G128" s="16"/>
      <c r="H128" s="421"/>
      <c r="I128" s="278"/>
      <c r="J128" s="16"/>
      <c r="K128" s="278"/>
      <c r="L128" s="278"/>
      <c r="M128" s="24"/>
      <c r="N128" s="15"/>
      <c r="O128" s="182"/>
      <c r="P128" s="15"/>
      <c r="Q128" s="24"/>
      <c r="R128" s="221"/>
      <c r="S128" s="15"/>
      <c r="T128" s="278"/>
      <c r="U128" s="278"/>
      <c r="V128" s="15"/>
      <c r="W128" s="278"/>
      <c r="X128" s="278"/>
      <c r="Y128" s="18"/>
    </row>
    <row r="129" spans="1:25" ht="14.25" customHeight="1">
      <c r="A129" s="15">
        <f t="shared" si="30"/>
        <v>124</v>
      </c>
      <c r="B129" s="15"/>
      <c r="C129" s="15"/>
      <c r="D129" s="16"/>
      <c r="E129" s="16"/>
      <c r="F129" s="16"/>
      <c r="G129" s="16"/>
      <c r="H129" s="421"/>
      <c r="I129" s="278"/>
      <c r="J129" s="16"/>
      <c r="K129" s="278"/>
      <c r="L129" s="278"/>
      <c r="M129" s="24"/>
      <c r="N129" s="15"/>
      <c r="O129" s="24"/>
      <c r="P129" s="15"/>
      <c r="Q129" s="24"/>
      <c r="R129" s="221"/>
      <c r="S129" s="15"/>
      <c r="T129" s="278"/>
      <c r="U129" s="278"/>
      <c r="V129" s="15"/>
      <c r="W129" s="278"/>
      <c r="X129" s="278"/>
      <c r="Y129" s="18"/>
    </row>
    <row r="130" spans="1:25" ht="14.25" customHeight="1">
      <c r="A130" s="15">
        <f t="shared" si="30"/>
        <v>125</v>
      </c>
      <c r="B130" s="15"/>
      <c r="C130" s="15"/>
      <c r="D130" s="16"/>
      <c r="E130" s="16"/>
      <c r="F130" s="16"/>
      <c r="G130" s="16"/>
      <c r="H130" s="421"/>
      <c r="I130" s="278"/>
      <c r="J130" s="16"/>
      <c r="K130" s="278"/>
      <c r="L130" s="278"/>
      <c r="M130" s="15"/>
      <c r="N130" s="15"/>
      <c r="O130" s="24"/>
      <c r="P130" s="15"/>
      <c r="Q130" s="24"/>
      <c r="R130" s="221"/>
      <c r="S130" s="15"/>
      <c r="T130" s="278"/>
      <c r="U130" s="278"/>
      <c r="V130" s="15"/>
      <c r="W130" s="278"/>
      <c r="X130" s="278"/>
      <c r="Y130" s="18"/>
    </row>
    <row r="131" spans="1:25" ht="14.25" customHeight="1">
      <c r="A131" s="15">
        <f t="shared" si="30"/>
        <v>126</v>
      </c>
      <c r="B131" s="15"/>
      <c r="C131" s="15"/>
      <c r="D131" s="16"/>
      <c r="E131" s="16"/>
      <c r="F131" s="16"/>
      <c r="G131" s="16"/>
      <c r="H131" s="421"/>
      <c r="I131" s="278"/>
      <c r="J131" s="16"/>
      <c r="K131" s="278"/>
      <c r="L131" s="278"/>
      <c r="M131" s="24"/>
      <c r="N131" s="15"/>
      <c r="O131" s="24"/>
      <c r="P131" s="15"/>
      <c r="Q131" s="24"/>
      <c r="R131" s="221"/>
      <c r="S131" s="15"/>
      <c r="T131" s="278"/>
      <c r="U131" s="278"/>
      <c r="V131" s="15"/>
      <c r="W131" s="278"/>
      <c r="X131" s="278"/>
      <c r="Y131" s="18"/>
    </row>
    <row r="132" spans="1:25" ht="14.25" customHeight="1">
      <c r="A132" s="15">
        <f t="shared" si="30"/>
        <v>127</v>
      </c>
      <c r="B132" s="15"/>
      <c r="C132" s="15"/>
      <c r="D132" s="16"/>
      <c r="E132" s="16"/>
      <c r="F132" s="16"/>
      <c r="G132" s="16"/>
      <c r="H132" s="421"/>
      <c r="I132" s="278"/>
      <c r="J132" s="16"/>
      <c r="K132" s="278"/>
      <c r="L132" s="278"/>
      <c r="M132" s="24"/>
      <c r="N132" s="15"/>
      <c r="O132" s="24"/>
      <c r="P132" s="15"/>
      <c r="Q132" s="24"/>
      <c r="R132" s="221"/>
      <c r="S132" s="15"/>
      <c r="T132" s="278"/>
      <c r="U132" s="278"/>
      <c r="V132" s="15"/>
      <c r="W132" s="278"/>
      <c r="X132" s="278"/>
      <c r="Y132" s="18"/>
    </row>
    <row r="133" spans="1:25" ht="14.25" customHeight="1">
      <c r="A133" s="15">
        <f t="shared" si="30"/>
        <v>128</v>
      </c>
      <c r="B133" s="15"/>
      <c r="C133" s="15"/>
      <c r="D133" s="16"/>
      <c r="E133" s="16"/>
      <c r="F133" s="16"/>
      <c r="G133" s="16"/>
      <c r="H133" s="421"/>
      <c r="I133" s="278"/>
      <c r="J133" s="16"/>
      <c r="K133" s="278"/>
      <c r="L133" s="278"/>
      <c r="M133" s="24"/>
      <c r="N133" s="15"/>
      <c r="O133" s="24"/>
      <c r="P133" s="15"/>
      <c r="Q133" s="24"/>
      <c r="R133" s="221"/>
      <c r="S133" s="15"/>
      <c r="T133" s="278"/>
      <c r="U133" s="278"/>
      <c r="V133" s="15"/>
      <c r="W133" s="278"/>
      <c r="X133" s="278"/>
      <c r="Y133" s="18"/>
    </row>
    <row r="134" spans="1:25" ht="14.25" customHeight="1">
      <c r="A134" s="15">
        <f t="shared" si="30"/>
        <v>129</v>
      </c>
      <c r="B134" s="15"/>
      <c r="C134" s="15"/>
      <c r="D134" s="16"/>
      <c r="E134" s="16"/>
      <c r="F134" s="16"/>
      <c r="G134" s="16"/>
      <c r="H134" s="421"/>
      <c r="I134" s="278"/>
      <c r="J134" s="25"/>
      <c r="K134" s="278"/>
      <c r="L134" s="278"/>
      <c r="M134" s="24"/>
      <c r="N134" s="15"/>
      <c r="O134" s="24"/>
      <c r="P134" s="15"/>
      <c r="Q134" s="24"/>
      <c r="R134" s="221"/>
      <c r="S134" s="15"/>
      <c r="T134" s="278"/>
      <c r="U134" s="278"/>
      <c r="V134" s="15"/>
      <c r="W134" s="278"/>
      <c r="X134" s="278"/>
      <c r="Y134" s="18"/>
    </row>
    <row r="135" spans="1:25" ht="14.25" customHeight="1">
      <c r="A135" s="15">
        <f t="shared" si="30"/>
        <v>130</v>
      </c>
      <c r="B135" s="15"/>
      <c r="C135" s="15"/>
      <c r="D135" s="16"/>
      <c r="E135" s="16"/>
      <c r="F135" s="15"/>
      <c r="G135" s="25"/>
      <c r="H135" s="421"/>
      <c r="I135" s="278"/>
      <c r="J135" s="25"/>
      <c r="K135" s="278"/>
      <c r="L135" s="278"/>
      <c r="M135" s="24"/>
      <c r="N135" s="15"/>
      <c r="O135" s="182"/>
      <c r="P135" s="25"/>
      <c r="Q135" s="24"/>
      <c r="R135" s="221"/>
      <c r="S135" s="15"/>
      <c r="T135" s="278"/>
      <c r="U135" s="278"/>
      <c r="V135" s="15"/>
      <c r="W135" s="278"/>
      <c r="X135" s="278"/>
      <c r="Y135" s="18"/>
    </row>
    <row r="136" spans="1:25" ht="14.25" customHeight="1">
      <c r="A136" s="15">
        <f t="shared" ref="A136:A171" si="33">A135+1</f>
        <v>131</v>
      </c>
      <c r="B136" s="15"/>
      <c r="C136" s="15"/>
      <c r="D136" s="16"/>
      <c r="E136" s="16"/>
      <c r="F136" s="15"/>
      <c r="G136" s="25"/>
      <c r="H136" s="421"/>
      <c r="I136" s="278"/>
      <c r="J136" s="25"/>
      <c r="K136" s="278"/>
      <c r="L136" s="278"/>
      <c r="M136" s="24"/>
      <c r="N136" s="15"/>
      <c r="O136" s="182"/>
      <c r="P136" s="25"/>
      <c r="Q136" s="25"/>
      <c r="R136" s="223"/>
      <c r="S136" s="15"/>
      <c r="T136" s="278"/>
      <c r="U136" s="278"/>
      <c r="V136" s="15"/>
      <c r="W136" s="278"/>
      <c r="X136" s="278"/>
      <c r="Y136" s="18"/>
    </row>
    <row r="137" spans="1:25" ht="14.25" customHeight="1">
      <c r="A137" s="15">
        <f t="shared" si="33"/>
        <v>132</v>
      </c>
      <c r="B137" s="15"/>
      <c r="C137" s="15"/>
      <c r="D137" s="16"/>
      <c r="E137" s="16"/>
      <c r="F137" s="15"/>
      <c r="G137" s="25"/>
      <c r="H137" s="421"/>
      <c r="I137" s="278"/>
      <c r="J137" s="25"/>
      <c r="K137" s="278"/>
      <c r="L137" s="278"/>
      <c r="M137" s="15"/>
      <c r="N137" s="15"/>
      <c r="O137" s="182"/>
      <c r="P137" s="25"/>
      <c r="Q137" s="25"/>
      <c r="R137" s="223"/>
      <c r="S137" s="15"/>
      <c r="T137" s="278"/>
      <c r="U137" s="278"/>
      <c r="V137" s="15"/>
      <c r="W137" s="278"/>
      <c r="X137" s="278"/>
      <c r="Y137" s="18"/>
    </row>
    <row r="138" spans="1:25" ht="14.25" customHeight="1">
      <c r="A138" s="15">
        <f t="shared" si="33"/>
        <v>133</v>
      </c>
      <c r="B138" s="15"/>
      <c r="C138" s="15"/>
      <c r="D138" s="16"/>
      <c r="E138" s="16"/>
      <c r="F138" s="15"/>
      <c r="G138" s="25"/>
      <c r="H138" s="421"/>
      <c r="I138" s="278"/>
      <c r="J138" s="25"/>
      <c r="K138" s="278"/>
      <c r="L138" s="278"/>
      <c r="M138" s="15"/>
      <c r="N138" s="15"/>
      <c r="O138" s="182"/>
      <c r="P138" s="25"/>
      <c r="Q138" s="25"/>
      <c r="R138" s="223"/>
      <c r="S138" s="15"/>
      <c r="T138" s="278"/>
      <c r="U138" s="278"/>
      <c r="V138" s="15"/>
      <c r="W138" s="278"/>
      <c r="X138" s="278"/>
      <c r="Y138" s="18"/>
    </row>
    <row r="139" spans="1:25" ht="14.25" customHeight="1">
      <c r="A139" s="15">
        <f t="shared" si="33"/>
        <v>134</v>
      </c>
      <c r="B139" s="15"/>
      <c r="C139" s="15"/>
      <c r="D139" s="16"/>
      <c r="E139" s="16"/>
      <c r="F139" s="15"/>
      <c r="G139" s="15"/>
      <c r="H139" s="279"/>
      <c r="I139" s="280"/>
      <c r="J139" s="15"/>
      <c r="K139" s="280"/>
      <c r="L139" s="280"/>
      <c r="M139" s="24"/>
      <c r="N139" s="15"/>
      <c r="O139" s="226"/>
      <c r="P139" s="227"/>
      <c r="Q139" s="227"/>
      <c r="R139" s="228"/>
      <c r="S139" s="15"/>
      <c r="T139" s="280"/>
      <c r="U139" s="280"/>
      <c r="V139" s="15"/>
      <c r="W139" s="280"/>
      <c r="X139" s="280"/>
      <c r="Y139" s="18"/>
    </row>
    <row r="140" spans="1:25" ht="14.25" customHeight="1">
      <c r="A140" s="15">
        <f t="shared" si="33"/>
        <v>135</v>
      </c>
      <c r="B140" s="15"/>
      <c r="C140" s="15"/>
      <c r="D140" s="16"/>
      <c r="E140" s="16"/>
      <c r="F140" s="15"/>
      <c r="G140" s="25"/>
      <c r="H140" s="421"/>
      <c r="I140" s="278"/>
      <c r="J140" s="25"/>
      <c r="K140" s="278"/>
      <c r="L140" s="278"/>
      <c r="M140" s="15"/>
      <c r="N140" s="15"/>
      <c r="O140" s="19"/>
      <c r="P140" s="15"/>
      <c r="Q140" s="15"/>
      <c r="R140" s="225"/>
      <c r="S140" s="15"/>
      <c r="T140" s="278"/>
      <c r="U140" s="278"/>
      <c r="V140" s="15"/>
      <c r="W140" s="278"/>
      <c r="X140" s="278"/>
      <c r="Y140" s="18"/>
    </row>
    <row r="141" spans="1:25" ht="14.25" customHeight="1">
      <c r="A141" s="15">
        <f t="shared" si="33"/>
        <v>136</v>
      </c>
      <c r="B141" s="15"/>
      <c r="C141" s="15"/>
      <c r="D141" s="16"/>
      <c r="E141" s="16"/>
      <c r="F141" s="15"/>
      <c r="G141" s="25"/>
      <c r="H141" s="421"/>
      <c r="I141" s="278"/>
      <c r="J141" s="25"/>
      <c r="K141" s="278"/>
      <c r="L141" s="278"/>
      <c r="M141" s="24"/>
      <c r="N141" s="15"/>
      <c r="O141" s="19"/>
      <c r="P141" s="15"/>
      <c r="Q141" s="15"/>
      <c r="R141" s="225"/>
      <c r="S141" s="15"/>
      <c r="T141" s="278"/>
      <c r="U141" s="278"/>
      <c r="V141" s="15"/>
      <c r="W141" s="278"/>
      <c r="X141" s="278"/>
      <c r="Y141" s="18"/>
    </row>
    <row r="142" spans="1:25" ht="14.25" customHeight="1">
      <c r="A142" s="15">
        <f t="shared" si="33"/>
        <v>137</v>
      </c>
      <c r="B142" s="15"/>
      <c r="C142" s="15"/>
      <c r="D142" s="16"/>
      <c r="E142" s="16"/>
      <c r="F142" s="15"/>
      <c r="G142" s="25"/>
      <c r="H142" s="421"/>
      <c r="I142" s="278"/>
      <c r="J142" s="25"/>
      <c r="K142" s="278"/>
      <c r="L142" s="278"/>
      <c r="M142" s="24"/>
      <c r="N142" s="15"/>
      <c r="O142" s="19"/>
      <c r="P142" s="15"/>
      <c r="Q142" s="15"/>
      <c r="R142" s="225"/>
      <c r="S142" s="15"/>
      <c r="T142" s="278"/>
      <c r="U142" s="278"/>
      <c r="V142" s="15"/>
      <c r="W142" s="278"/>
      <c r="X142" s="278"/>
      <c r="Y142" s="18"/>
    </row>
    <row r="143" spans="1:25" ht="14.25" customHeight="1">
      <c r="A143" s="15">
        <f t="shared" si="33"/>
        <v>138</v>
      </c>
      <c r="B143" s="15"/>
      <c r="C143" s="15"/>
      <c r="D143" s="16"/>
      <c r="E143" s="16"/>
      <c r="F143" s="16"/>
      <c r="G143" s="25"/>
      <c r="H143" s="421"/>
      <c r="I143" s="278"/>
      <c r="J143" s="25"/>
      <c r="K143" s="278"/>
      <c r="L143" s="278"/>
      <c r="M143" s="24"/>
      <c r="N143" s="15"/>
      <c r="O143" s="19"/>
      <c r="P143" s="15"/>
      <c r="Q143" s="24"/>
      <c r="R143" s="221"/>
      <c r="S143" s="15"/>
      <c r="T143" s="131"/>
      <c r="U143" s="131"/>
      <c r="V143" s="15"/>
      <c r="W143" s="131"/>
      <c r="X143" s="131"/>
      <c r="Y143" s="18"/>
    </row>
    <row r="144" spans="1:25" ht="14.25" customHeight="1">
      <c r="A144" s="15">
        <f t="shared" si="33"/>
        <v>139</v>
      </c>
      <c r="B144" s="15"/>
      <c r="C144" s="15"/>
      <c r="D144" s="16"/>
      <c r="E144" s="16"/>
      <c r="F144" s="16"/>
      <c r="G144" s="25"/>
      <c r="H144" s="421"/>
      <c r="I144" s="278"/>
      <c r="J144" s="25"/>
      <c r="K144" s="278"/>
      <c r="L144" s="278"/>
      <c r="M144" s="24"/>
      <c r="N144" s="15"/>
      <c r="O144" s="19"/>
      <c r="P144" s="15"/>
      <c r="Q144" s="24"/>
      <c r="R144" s="221"/>
      <c r="S144" s="15"/>
      <c r="T144" s="131"/>
      <c r="U144" s="131"/>
      <c r="V144" s="15"/>
      <c r="W144" s="131"/>
      <c r="X144" s="131"/>
      <c r="Y144" s="18"/>
    </row>
    <row r="145" spans="1:25" ht="14.25" customHeight="1">
      <c r="A145" s="15">
        <f t="shared" si="33"/>
        <v>140</v>
      </c>
      <c r="B145" s="15"/>
      <c r="C145" s="15"/>
      <c r="D145" s="16"/>
      <c r="E145" s="16"/>
      <c r="F145" s="16"/>
      <c r="G145" s="25"/>
      <c r="H145" s="421"/>
      <c r="I145" s="278"/>
      <c r="J145" s="25"/>
      <c r="K145" s="278"/>
      <c r="L145" s="278"/>
      <c r="M145" s="24"/>
      <c r="N145" s="15"/>
      <c r="O145" s="19"/>
      <c r="P145" s="15"/>
      <c r="Q145" s="24"/>
      <c r="R145" s="221"/>
      <c r="S145" s="15"/>
      <c r="T145" s="131"/>
      <c r="U145" s="131"/>
      <c r="V145" s="15"/>
      <c r="W145" s="131"/>
      <c r="X145" s="131"/>
      <c r="Y145" s="18"/>
    </row>
    <row r="146" spans="1:25" ht="14.25" customHeight="1">
      <c r="A146" s="15">
        <f t="shared" si="33"/>
        <v>141</v>
      </c>
      <c r="B146" s="15"/>
      <c r="C146" s="15"/>
      <c r="D146" s="229"/>
      <c r="E146" s="16"/>
      <c r="F146" s="16"/>
      <c r="G146" s="25"/>
      <c r="H146" s="421"/>
      <c r="I146" s="278"/>
      <c r="J146" s="25"/>
      <c r="K146" s="278"/>
      <c r="L146" s="278"/>
      <c r="M146" s="24"/>
      <c r="N146" s="15"/>
      <c r="O146" s="19"/>
      <c r="P146" s="15"/>
      <c r="Q146" s="24"/>
      <c r="R146" s="221"/>
      <c r="S146" s="15"/>
      <c r="T146" s="131"/>
      <c r="U146" s="131"/>
      <c r="V146" s="15"/>
      <c r="W146" s="131"/>
      <c r="X146" s="131"/>
      <c r="Y146" s="18"/>
    </row>
    <row r="147" spans="1:25" ht="14.25" customHeight="1">
      <c r="A147" s="15">
        <f t="shared" si="33"/>
        <v>142</v>
      </c>
      <c r="B147" s="15"/>
      <c r="C147" s="15"/>
      <c r="D147" s="229"/>
      <c r="E147" s="16"/>
      <c r="F147" s="16"/>
      <c r="G147" s="16"/>
      <c r="H147" s="421"/>
      <c r="I147" s="278"/>
      <c r="J147" s="25"/>
      <c r="K147" s="278"/>
      <c r="L147" s="278"/>
      <c r="M147" s="24"/>
      <c r="N147" s="15"/>
      <c r="O147" s="19"/>
      <c r="P147" s="15"/>
      <c r="Q147" s="24"/>
      <c r="R147" s="221"/>
      <c r="S147" s="15"/>
      <c r="T147" s="131"/>
      <c r="U147" s="131"/>
      <c r="V147" s="15"/>
      <c r="W147" s="131"/>
      <c r="X147" s="131"/>
      <c r="Y147" s="18"/>
    </row>
    <row r="148" spans="1:25" ht="14.25" customHeight="1">
      <c r="A148" s="15">
        <f t="shared" si="33"/>
        <v>143</v>
      </c>
      <c r="B148" s="25"/>
      <c r="C148" s="15"/>
      <c r="D148" s="229"/>
      <c r="E148" s="16"/>
      <c r="F148" s="16"/>
      <c r="G148" s="16"/>
      <c r="H148" s="421"/>
      <c r="I148" s="278"/>
      <c r="J148" s="25"/>
      <c r="K148" s="278"/>
      <c r="L148" s="278"/>
      <c r="M148" s="24"/>
      <c r="N148" s="15"/>
      <c r="O148" s="24"/>
      <c r="P148" s="25"/>
      <c r="Q148" s="24"/>
      <c r="R148" s="221"/>
      <c r="S148" s="15"/>
      <c r="T148" s="131"/>
      <c r="U148" s="131"/>
      <c r="V148" s="15"/>
      <c r="W148" s="131"/>
      <c r="X148" s="131"/>
      <c r="Y148" s="18"/>
    </row>
    <row r="149" spans="1:25" ht="14.25" customHeight="1">
      <c r="A149" s="15">
        <f t="shared" si="33"/>
        <v>144</v>
      </c>
      <c r="B149" s="25"/>
      <c r="C149" s="15"/>
      <c r="D149" s="229"/>
      <c r="E149" s="16"/>
      <c r="F149" s="16"/>
      <c r="G149" s="16"/>
      <c r="H149" s="421"/>
      <c r="I149" s="278"/>
      <c r="J149" s="16"/>
      <c r="K149" s="278"/>
      <c r="L149" s="278"/>
      <c r="M149" s="24"/>
      <c r="N149" s="15"/>
      <c r="O149" s="24"/>
      <c r="P149" s="25"/>
      <c r="Q149" s="24"/>
      <c r="R149" s="221"/>
      <c r="S149" s="15"/>
      <c r="T149" s="131"/>
      <c r="U149" s="131"/>
      <c r="V149" s="15"/>
      <c r="W149" s="131"/>
      <c r="X149" s="131"/>
      <c r="Y149" s="18"/>
    </row>
    <row r="150" spans="1:25" ht="14.25" customHeight="1">
      <c r="A150" s="15">
        <f t="shared" si="33"/>
        <v>145</v>
      </c>
      <c r="B150" s="25"/>
      <c r="C150" s="15"/>
      <c r="D150" s="229"/>
      <c r="E150" s="16"/>
      <c r="F150" s="16"/>
      <c r="G150" s="16"/>
      <c r="H150" s="421"/>
      <c r="I150" s="278"/>
      <c r="J150" s="16"/>
      <c r="K150" s="278"/>
      <c r="L150" s="278"/>
      <c r="M150" s="24"/>
      <c r="N150" s="15"/>
      <c r="O150" s="24"/>
      <c r="P150" s="25"/>
      <c r="Q150" s="24"/>
      <c r="R150" s="221"/>
      <c r="S150" s="15"/>
      <c r="T150" s="131"/>
      <c r="U150" s="131"/>
      <c r="V150" s="15"/>
      <c r="W150" s="131"/>
      <c r="X150" s="131"/>
      <c r="Y150" s="18"/>
    </row>
    <row r="151" spans="1:25" ht="14.25" customHeight="1">
      <c r="A151" s="15">
        <f t="shared" si="33"/>
        <v>146</v>
      </c>
      <c r="B151" s="25"/>
      <c r="C151" s="15"/>
      <c r="D151" s="229"/>
      <c r="E151" s="16"/>
      <c r="F151" s="16"/>
      <c r="G151" s="16"/>
      <c r="H151" s="421"/>
      <c r="I151" s="278"/>
      <c r="J151" s="16"/>
      <c r="K151" s="278"/>
      <c r="L151" s="278"/>
      <c r="M151" s="24"/>
      <c r="N151" s="15"/>
      <c r="O151" s="24"/>
      <c r="P151" s="25"/>
      <c r="Q151" s="24"/>
      <c r="R151" s="221"/>
      <c r="S151" s="15"/>
      <c r="T151" s="131"/>
      <c r="U151" s="131"/>
      <c r="V151" s="15"/>
      <c r="W151" s="131"/>
      <c r="X151" s="131"/>
      <c r="Y151" s="18"/>
    </row>
    <row r="152" spans="1:25" ht="14.25" customHeight="1">
      <c r="A152" s="15">
        <f t="shared" si="33"/>
        <v>147</v>
      </c>
      <c r="B152" s="25"/>
      <c r="C152" s="15"/>
      <c r="D152" s="229"/>
      <c r="E152" s="16"/>
      <c r="F152" s="16"/>
      <c r="G152" s="16"/>
      <c r="H152" s="421"/>
      <c r="I152" s="278"/>
      <c r="J152" s="16"/>
      <c r="K152" s="278"/>
      <c r="L152" s="278"/>
      <c r="M152" s="15"/>
      <c r="N152" s="15"/>
      <c r="O152" s="24"/>
      <c r="P152" s="25"/>
      <c r="Q152" s="24"/>
      <c r="R152" s="221"/>
      <c r="S152" s="15"/>
      <c r="T152" s="131"/>
      <c r="U152" s="131"/>
      <c r="V152" s="15"/>
      <c r="W152" s="131"/>
      <c r="X152" s="131"/>
      <c r="Y152" s="18"/>
    </row>
    <row r="153" spans="1:25" ht="14.25" customHeight="1">
      <c r="A153" s="15">
        <f t="shared" si="33"/>
        <v>148</v>
      </c>
      <c r="B153" s="25"/>
      <c r="C153" s="15"/>
      <c r="D153" s="229"/>
      <c r="E153" s="16"/>
      <c r="F153" s="16"/>
      <c r="G153" s="16"/>
      <c r="H153" s="421"/>
      <c r="I153" s="278"/>
      <c r="J153" s="16"/>
      <c r="K153" s="278"/>
      <c r="L153" s="278"/>
      <c r="M153" s="24"/>
      <c r="N153" s="15"/>
      <c r="O153" s="24"/>
      <c r="P153" s="25"/>
      <c r="Q153" s="24"/>
      <c r="R153" s="221"/>
      <c r="S153" s="15"/>
      <c r="T153" s="131"/>
      <c r="U153" s="131"/>
      <c r="V153" s="15"/>
      <c r="W153" s="131"/>
      <c r="X153" s="131"/>
      <c r="Y153" s="18"/>
    </row>
    <row r="154" spans="1:25" ht="14.25" customHeight="1">
      <c r="A154" s="15">
        <f t="shared" si="33"/>
        <v>149</v>
      </c>
      <c r="B154" s="25"/>
      <c r="C154" s="15"/>
      <c r="D154" s="229"/>
      <c r="E154" s="16"/>
      <c r="F154" s="16"/>
      <c r="G154" s="16"/>
      <c r="H154" s="421"/>
      <c r="I154" s="278"/>
      <c r="J154" s="16"/>
      <c r="K154" s="278"/>
      <c r="L154" s="278"/>
      <c r="M154" s="24"/>
      <c r="N154" s="15"/>
      <c r="O154" s="24"/>
      <c r="P154" s="25"/>
      <c r="Q154" s="24"/>
      <c r="R154" s="221"/>
      <c r="S154" s="15"/>
      <c r="T154" s="131"/>
      <c r="U154" s="131"/>
      <c r="V154" s="15"/>
      <c r="W154" s="131"/>
      <c r="X154" s="131"/>
      <c r="Y154" s="18"/>
    </row>
    <row r="155" spans="1:25" ht="14.25" customHeight="1">
      <c r="A155" s="15">
        <f t="shared" si="33"/>
        <v>150</v>
      </c>
      <c r="B155" s="25"/>
      <c r="C155" s="15"/>
      <c r="D155" s="229"/>
      <c r="E155" s="16"/>
      <c r="F155" s="16"/>
      <c r="G155" s="16"/>
      <c r="H155" s="421"/>
      <c r="I155" s="278"/>
      <c r="J155" s="25"/>
      <c r="K155" s="278"/>
      <c r="L155" s="278"/>
      <c r="M155" s="24"/>
      <c r="N155" s="15"/>
      <c r="O155" s="24"/>
      <c r="P155" s="25"/>
      <c r="Q155" s="24"/>
      <c r="R155" s="221"/>
      <c r="S155" s="15"/>
      <c r="T155" s="131"/>
      <c r="U155" s="131"/>
      <c r="V155" s="15"/>
      <c r="W155" s="131"/>
      <c r="X155" s="131"/>
      <c r="Y155" s="18"/>
    </row>
    <row r="156" spans="1:25" ht="14.25" customHeight="1">
      <c r="A156" s="15">
        <f t="shared" si="33"/>
        <v>151</v>
      </c>
      <c r="B156" s="25"/>
      <c r="C156" s="15"/>
      <c r="D156" s="16"/>
      <c r="E156" s="16"/>
      <c r="F156" s="15"/>
      <c r="G156" s="25"/>
      <c r="H156" s="421"/>
      <c r="I156" s="278"/>
      <c r="J156" s="25"/>
      <c r="K156" s="278"/>
      <c r="L156" s="278"/>
      <c r="M156" s="24"/>
      <c r="N156" s="15"/>
      <c r="O156" s="19"/>
      <c r="P156" s="15"/>
      <c r="Q156" s="15"/>
      <c r="R156" s="225"/>
      <c r="S156" s="15"/>
      <c r="T156" s="131"/>
      <c r="U156" s="131"/>
      <c r="V156" s="15"/>
      <c r="W156" s="131"/>
      <c r="X156" s="131"/>
      <c r="Y156" s="18"/>
    </row>
    <row r="157" spans="1:25" ht="14.25" customHeight="1">
      <c r="A157" s="15">
        <f t="shared" si="33"/>
        <v>152</v>
      </c>
      <c r="B157" s="25"/>
      <c r="C157" s="15"/>
      <c r="D157" s="16"/>
      <c r="E157" s="16"/>
      <c r="F157" s="15"/>
      <c r="G157" s="25"/>
      <c r="H157" s="421"/>
      <c r="I157" s="278"/>
      <c r="J157" s="25"/>
      <c r="K157" s="278"/>
      <c r="L157" s="278"/>
      <c r="M157" s="24"/>
      <c r="N157" s="15"/>
      <c r="O157" s="19"/>
      <c r="P157" s="15"/>
      <c r="Q157" s="15"/>
      <c r="R157" s="225"/>
      <c r="S157" s="15"/>
      <c r="T157" s="131"/>
      <c r="U157" s="131"/>
      <c r="V157" s="15"/>
      <c r="W157" s="131"/>
      <c r="X157" s="131"/>
      <c r="Y157" s="18"/>
    </row>
    <row r="158" spans="1:25" ht="14.25" customHeight="1">
      <c r="A158" s="15">
        <f t="shared" si="33"/>
        <v>153</v>
      </c>
      <c r="B158" s="25"/>
      <c r="C158" s="15"/>
      <c r="D158" s="16"/>
      <c r="E158" s="16"/>
      <c r="F158" s="15"/>
      <c r="G158" s="25"/>
      <c r="H158" s="421"/>
      <c r="I158" s="278"/>
      <c r="J158" s="25"/>
      <c r="K158" s="278"/>
      <c r="L158" s="278"/>
      <c r="M158" s="24"/>
      <c r="N158" s="131"/>
      <c r="O158" s="19"/>
      <c r="P158" s="15"/>
      <c r="Q158" s="15"/>
      <c r="R158" s="225"/>
      <c r="S158" s="15"/>
      <c r="T158" s="131"/>
      <c r="U158" s="131"/>
      <c r="V158" s="15"/>
      <c r="W158" s="131"/>
      <c r="X158" s="131"/>
      <c r="Y158" s="18"/>
    </row>
    <row r="159" spans="1:25" ht="14.25" customHeight="1">
      <c r="A159" s="15">
        <f t="shared" si="33"/>
        <v>154</v>
      </c>
      <c r="B159" s="25"/>
      <c r="C159" s="15"/>
      <c r="D159" s="16"/>
      <c r="E159" s="16"/>
      <c r="F159" s="15"/>
      <c r="G159" s="25"/>
      <c r="H159" s="421"/>
      <c r="I159" s="278"/>
      <c r="J159" s="25"/>
      <c r="K159" s="278"/>
      <c r="L159" s="278"/>
      <c r="M159" s="15"/>
      <c r="N159" s="15"/>
      <c r="O159" s="19"/>
      <c r="P159" s="25"/>
      <c r="Q159" s="24"/>
      <c r="R159" s="221"/>
      <c r="S159" s="15"/>
      <c r="T159" s="131"/>
      <c r="U159" s="131"/>
      <c r="V159" s="15"/>
      <c r="W159" s="131"/>
      <c r="X159" s="131"/>
      <c r="Y159" s="18"/>
    </row>
    <row r="160" spans="1:25" ht="14.25" customHeight="1">
      <c r="A160" s="15">
        <f t="shared" si="33"/>
        <v>155</v>
      </c>
      <c r="B160" s="25"/>
      <c r="C160" s="15"/>
      <c r="D160" s="16"/>
      <c r="E160" s="16"/>
      <c r="F160" s="15"/>
      <c r="G160" s="25"/>
      <c r="H160" s="421"/>
      <c r="I160" s="278"/>
      <c r="J160" s="25"/>
      <c r="K160" s="278"/>
      <c r="L160" s="278"/>
      <c r="M160" s="24"/>
      <c r="N160" s="15"/>
      <c r="O160" s="19"/>
      <c r="P160" s="15"/>
      <c r="Q160" s="24"/>
      <c r="R160" s="221"/>
      <c r="S160" s="15"/>
      <c r="T160" s="131"/>
      <c r="U160" s="131"/>
      <c r="V160" s="15"/>
      <c r="W160" s="131"/>
      <c r="X160" s="131"/>
      <c r="Y160" s="18"/>
    </row>
    <row r="161" spans="1:25" ht="14.25" customHeight="1">
      <c r="A161" s="15">
        <f t="shared" si="33"/>
        <v>156</v>
      </c>
      <c r="B161" s="25"/>
      <c r="C161" s="15"/>
      <c r="D161" s="16"/>
      <c r="E161" s="16"/>
      <c r="F161" s="15"/>
      <c r="G161" s="16"/>
      <c r="H161" s="421"/>
      <c r="I161" s="278"/>
      <c r="J161" s="25"/>
      <c r="K161" s="278"/>
      <c r="L161" s="278"/>
      <c r="M161" s="24"/>
      <c r="N161" s="15"/>
      <c r="O161" s="19"/>
      <c r="P161" s="15"/>
      <c r="Q161" s="24"/>
      <c r="R161" s="221"/>
      <c r="S161" s="15"/>
      <c r="T161" s="131"/>
      <c r="U161" s="131"/>
      <c r="V161" s="15"/>
      <c r="W161" s="131"/>
      <c r="X161" s="131"/>
      <c r="Y161" s="18"/>
    </row>
    <row r="162" spans="1:25" ht="14.25" customHeight="1">
      <c r="A162" s="15">
        <f t="shared" si="33"/>
        <v>157</v>
      </c>
      <c r="B162" s="25"/>
      <c r="C162" s="15"/>
      <c r="D162" s="16"/>
      <c r="E162" s="16"/>
      <c r="F162" s="16"/>
      <c r="G162" s="16"/>
      <c r="H162" s="421"/>
      <c r="I162" s="278"/>
      <c r="J162" s="25"/>
      <c r="K162" s="278"/>
      <c r="L162" s="278"/>
      <c r="M162" s="24"/>
      <c r="N162" s="15"/>
      <c r="O162" s="19"/>
      <c r="P162" s="15"/>
      <c r="Q162" s="24"/>
      <c r="R162" s="221"/>
      <c r="S162" s="15"/>
      <c r="T162" s="131"/>
      <c r="U162" s="131"/>
      <c r="V162" s="15"/>
      <c r="W162" s="131"/>
      <c r="X162" s="131"/>
      <c r="Y162" s="18"/>
    </row>
    <row r="163" spans="1:25" ht="14.25" customHeight="1">
      <c r="A163" s="15">
        <f t="shared" si="33"/>
        <v>158</v>
      </c>
      <c r="B163" s="25"/>
      <c r="C163" s="15"/>
      <c r="D163" s="16"/>
      <c r="E163" s="16"/>
      <c r="F163" s="16"/>
      <c r="G163" s="16"/>
      <c r="H163" s="421"/>
      <c r="I163" s="278"/>
      <c r="J163" s="25"/>
      <c r="K163" s="278"/>
      <c r="L163" s="278"/>
      <c r="M163" s="24"/>
      <c r="N163" s="15"/>
      <c r="O163" s="19"/>
      <c r="P163" s="15"/>
      <c r="Q163" s="24"/>
      <c r="R163" s="221"/>
      <c r="S163" s="15"/>
      <c r="T163" s="131"/>
      <c r="U163" s="131"/>
      <c r="V163" s="15"/>
      <c r="W163" s="131"/>
      <c r="X163" s="131"/>
      <c r="Y163" s="18"/>
    </row>
    <row r="164" spans="1:25" ht="14.25" customHeight="1">
      <c r="A164" s="15">
        <f t="shared" si="33"/>
        <v>159</v>
      </c>
      <c r="B164" s="25"/>
      <c r="C164" s="15"/>
      <c r="D164" s="16"/>
      <c r="E164" s="16"/>
      <c r="F164" s="16"/>
      <c r="G164" s="16"/>
      <c r="H164" s="421"/>
      <c r="I164" s="278"/>
      <c r="J164" s="25"/>
      <c r="K164" s="278"/>
      <c r="L164" s="278"/>
      <c r="M164" s="24"/>
      <c r="N164" s="15"/>
      <c r="O164" s="24"/>
      <c r="P164" s="25"/>
      <c r="Q164" s="24"/>
      <c r="R164" s="221"/>
      <c r="S164" s="15"/>
      <c r="T164" s="131"/>
      <c r="U164" s="131"/>
      <c r="V164" s="15"/>
      <c r="W164" s="131"/>
      <c r="X164" s="131"/>
      <c r="Y164" s="18"/>
    </row>
    <row r="165" spans="1:25" ht="14.25" customHeight="1">
      <c r="A165" s="15">
        <f t="shared" si="33"/>
        <v>160</v>
      </c>
      <c r="B165" s="25"/>
      <c r="C165" s="15"/>
      <c r="D165" s="16"/>
      <c r="E165" s="16"/>
      <c r="F165" s="16"/>
      <c r="G165" s="16"/>
      <c r="H165" s="421"/>
      <c r="I165" s="278"/>
      <c r="J165" s="25"/>
      <c r="K165" s="278"/>
      <c r="L165" s="278"/>
      <c r="M165" s="24"/>
      <c r="N165" s="15"/>
      <c r="O165" s="24"/>
      <c r="P165" s="25"/>
      <c r="Q165" s="24"/>
      <c r="R165" s="221"/>
      <c r="S165" s="15"/>
      <c r="T165" s="131"/>
      <c r="U165" s="131"/>
      <c r="V165" s="15"/>
      <c r="W165" s="131"/>
      <c r="X165" s="131"/>
      <c r="Y165" s="18"/>
    </row>
    <row r="166" spans="1:25" ht="14.25" customHeight="1">
      <c r="A166" s="15">
        <f t="shared" si="33"/>
        <v>161</v>
      </c>
      <c r="B166" s="25"/>
      <c r="C166" s="15"/>
      <c r="D166" s="16"/>
      <c r="E166" s="16"/>
      <c r="F166" s="16"/>
      <c r="G166" s="16"/>
      <c r="H166" s="421"/>
      <c r="I166" s="278"/>
      <c r="J166" s="25"/>
      <c r="K166" s="278"/>
      <c r="L166" s="278"/>
      <c r="M166" s="24"/>
      <c r="N166" s="15"/>
      <c r="O166" s="24"/>
      <c r="P166" s="25"/>
      <c r="Q166" s="24"/>
      <c r="R166" s="221"/>
      <c r="S166" s="15"/>
      <c r="T166" s="131"/>
      <c r="U166" s="131"/>
      <c r="V166" s="15"/>
      <c r="W166" s="131"/>
      <c r="X166" s="131"/>
      <c r="Y166" s="18"/>
    </row>
    <row r="167" spans="1:25" ht="14.25" customHeight="1">
      <c r="A167" s="15">
        <f t="shared" si="33"/>
        <v>162</v>
      </c>
      <c r="B167" s="25"/>
      <c r="C167" s="15"/>
      <c r="D167" s="16"/>
      <c r="E167" s="16"/>
      <c r="F167" s="16"/>
      <c r="G167" s="16"/>
      <c r="H167" s="421"/>
      <c r="I167" s="278"/>
      <c r="J167" s="25"/>
      <c r="K167" s="278"/>
      <c r="L167" s="278"/>
      <c r="M167" s="24"/>
      <c r="N167" s="15"/>
      <c r="O167" s="24"/>
      <c r="P167" s="25"/>
      <c r="Q167" s="24"/>
      <c r="R167" s="221"/>
      <c r="S167" s="15"/>
      <c r="T167" s="131"/>
      <c r="U167" s="131"/>
      <c r="V167" s="15"/>
      <c r="W167" s="131"/>
      <c r="X167" s="131"/>
      <c r="Y167" s="18"/>
    </row>
    <row r="168" spans="1:25" ht="14.25" customHeight="1">
      <c r="A168" s="15">
        <f t="shared" si="33"/>
        <v>163</v>
      </c>
      <c r="B168" s="25"/>
      <c r="C168" s="15"/>
      <c r="D168" s="16"/>
      <c r="E168" s="16"/>
      <c r="F168" s="16"/>
      <c r="G168" s="16"/>
      <c r="H168" s="421"/>
      <c r="I168" s="278"/>
      <c r="J168" s="25"/>
      <c r="K168" s="278"/>
      <c r="L168" s="278"/>
      <c r="M168" s="24"/>
      <c r="N168" s="15"/>
      <c r="O168" s="24"/>
      <c r="P168" s="25"/>
      <c r="Q168" s="24"/>
      <c r="R168" s="221"/>
      <c r="S168" s="15"/>
      <c r="T168" s="131"/>
      <c r="U168" s="131"/>
      <c r="V168" s="15"/>
      <c r="W168" s="131"/>
      <c r="X168" s="131"/>
      <c r="Y168" s="18"/>
    </row>
    <row r="169" spans="1:25" ht="14.25" customHeight="1">
      <c r="A169" s="15">
        <f t="shared" si="33"/>
        <v>164</v>
      </c>
      <c r="B169" s="25"/>
      <c r="C169" s="15"/>
      <c r="D169" s="16"/>
      <c r="E169" s="16"/>
      <c r="F169" s="16"/>
      <c r="G169" s="16"/>
      <c r="H169" s="421"/>
      <c r="I169" s="278"/>
      <c r="J169" s="15"/>
      <c r="K169" s="278"/>
      <c r="L169" s="278"/>
      <c r="M169" s="24"/>
      <c r="N169" s="15"/>
      <c r="O169" s="24"/>
      <c r="P169" s="25"/>
      <c r="Q169" s="24"/>
      <c r="R169" s="221"/>
      <c r="S169" s="15"/>
      <c r="T169" s="131"/>
      <c r="U169" s="131"/>
      <c r="V169" s="15"/>
      <c r="W169" s="131"/>
      <c r="X169" s="131"/>
      <c r="Y169" s="18"/>
    </row>
    <row r="170" spans="1:25" ht="14.25" customHeight="1">
      <c r="A170" s="15">
        <f t="shared" si="33"/>
        <v>165</v>
      </c>
      <c r="B170" s="25"/>
      <c r="C170" s="15"/>
      <c r="D170" s="16"/>
      <c r="E170" s="16"/>
      <c r="F170" s="16"/>
      <c r="G170" s="16"/>
      <c r="H170" s="421"/>
      <c r="I170" s="278"/>
      <c r="J170" s="15"/>
      <c r="K170" s="278"/>
      <c r="L170" s="278"/>
      <c r="M170" s="24"/>
      <c r="N170" s="15"/>
      <c r="O170" s="24"/>
      <c r="P170" s="25"/>
      <c r="Q170" s="24"/>
      <c r="R170" s="221"/>
      <c r="S170" s="15"/>
      <c r="T170" s="131"/>
      <c r="U170" s="131"/>
      <c r="V170" s="15"/>
      <c r="W170" s="131"/>
      <c r="X170" s="131"/>
      <c r="Y170" s="18"/>
    </row>
    <row r="171" spans="1:25" ht="14.25" customHeight="1">
      <c r="A171" s="15">
        <f t="shared" si="33"/>
        <v>166</v>
      </c>
      <c r="B171" s="25"/>
      <c r="C171" s="15"/>
      <c r="D171" s="16"/>
      <c r="E171" s="16"/>
      <c r="F171" s="16"/>
      <c r="G171" s="16"/>
      <c r="H171" s="421"/>
      <c r="I171" s="278"/>
      <c r="J171" s="15"/>
      <c r="K171" s="278"/>
      <c r="L171" s="278"/>
      <c r="M171" s="24"/>
      <c r="N171" s="15"/>
      <c r="O171" s="24"/>
      <c r="P171" s="25"/>
      <c r="Q171" s="24"/>
      <c r="R171" s="221"/>
      <c r="S171" s="15"/>
      <c r="T171" s="131"/>
      <c r="U171" s="131"/>
      <c r="V171" s="15"/>
      <c r="W171" s="131"/>
      <c r="X171" s="131"/>
      <c r="Y171" s="18"/>
    </row>
    <row r="172" spans="1:25" ht="14.25" customHeight="1">
      <c r="A172" s="15">
        <v>178</v>
      </c>
      <c r="B172" s="25"/>
      <c r="C172" s="15"/>
      <c r="D172" s="16"/>
      <c r="E172" s="16"/>
      <c r="F172" s="16"/>
      <c r="G172" s="16"/>
      <c r="H172" s="421"/>
      <c r="I172" s="278"/>
      <c r="J172" s="16"/>
      <c r="K172" s="278"/>
      <c r="L172" s="278"/>
      <c r="M172" s="24"/>
      <c r="N172" s="15"/>
      <c r="O172" s="182"/>
      <c r="P172" s="15"/>
      <c r="Q172" s="24"/>
      <c r="R172" s="221"/>
      <c r="S172" s="15"/>
      <c r="T172" s="131"/>
      <c r="U172" s="131"/>
      <c r="V172" s="15"/>
      <c r="W172" s="131"/>
      <c r="X172" s="131"/>
      <c r="Y172" s="18"/>
    </row>
    <row r="173" spans="1:25" ht="14.25" customHeight="1">
      <c r="A173" s="15">
        <v>179</v>
      </c>
      <c r="B173" s="25"/>
      <c r="C173" s="15"/>
      <c r="D173" s="16"/>
      <c r="E173" s="16"/>
      <c r="F173" s="16"/>
      <c r="G173" s="16"/>
      <c r="H173" s="421"/>
      <c r="I173" s="278"/>
      <c r="J173" s="16"/>
      <c r="K173" s="278"/>
      <c r="L173" s="278"/>
      <c r="M173" s="15"/>
      <c r="N173" s="15"/>
      <c r="O173" s="24"/>
      <c r="P173" s="15"/>
      <c r="Q173" s="24"/>
      <c r="R173" s="221"/>
      <c r="S173" s="15"/>
      <c r="T173" s="131"/>
      <c r="U173" s="131"/>
      <c r="V173" s="15"/>
      <c r="W173" s="131"/>
      <c r="X173" s="131"/>
      <c r="Y173" s="18"/>
    </row>
    <row r="174" spans="1:25" ht="14.25" customHeight="1">
      <c r="A174" s="15">
        <v>180</v>
      </c>
      <c r="B174" s="25"/>
      <c r="C174" s="15"/>
      <c r="D174" s="16"/>
      <c r="E174" s="16"/>
      <c r="F174" s="16"/>
      <c r="G174" s="16"/>
      <c r="H174" s="421"/>
      <c r="I174" s="278"/>
      <c r="J174" s="16"/>
      <c r="K174" s="278"/>
      <c r="L174" s="278"/>
      <c r="M174" s="24"/>
      <c r="N174" s="15"/>
      <c r="O174" s="24"/>
      <c r="P174" s="15"/>
      <c r="Q174" s="24"/>
      <c r="R174" s="221"/>
      <c r="S174" s="15"/>
      <c r="T174" s="131"/>
      <c r="U174" s="131"/>
      <c r="V174" s="15"/>
      <c r="W174" s="131"/>
      <c r="X174" s="131"/>
      <c r="Y174" s="18"/>
    </row>
    <row r="175" spans="1:25" ht="14.25" customHeight="1">
      <c r="A175" s="15">
        <v>181</v>
      </c>
      <c r="B175" s="25"/>
      <c r="C175" s="15"/>
      <c r="D175" s="16"/>
      <c r="E175" s="16"/>
      <c r="F175" s="16"/>
      <c r="G175" s="16"/>
      <c r="H175" s="421"/>
      <c r="I175" s="278"/>
      <c r="J175" s="16"/>
      <c r="K175" s="278"/>
      <c r="L175" s="278"/>
      <c r="M175" s="24"/>
      <c r="N175" s="15"/>
      <c r="O175" s="24"/>
      <c r="P175" s="15"/>
      <c r="Q175" s="24"/>
      <c r="R175" s="221"/>
      <c r="S175" s="15"/>
      <c r="T175" s="131"/>
      <c r="U175" s="131"/>
      <c r="V175" s="15"/>
      <c r="W175" s="131"/>
      <c r="X175" s="131"/>
      <c r="Y175" s="18"/>
    </row>
    <row r="176" spans="1:25" ht="14.25" customHeight="1">
      <c r="A176" s="15">
        <v>182</v>
      </c>
      <c r="B176" s="25"/>
      <c r="C176" s="15"/>
      <c r="D176" s="16"/>
      <c r="E176" s="16"/>
      <c r="F176" s="16"/>
      <c r="G176" s="16"/>
      <c r="H176" s="421"/>
      <c r="I176" s="278"/>
      <c r="J176" s="16"/>
      <c r="K176" s="278"/>
      <c r="L176" s="278"/>
      <c r="M176" s="24"/>
      <c r="N176" s="15"/>
      <c r="O176" s="24"/>
      <c r="P176" s="15"/>
      <c r="Q176" s="24"/>
      <c r="R176" s="221"/>
      <c r="S176" s="15"/>
      <c r="T176" s="131"/>
      <c r="U176" s="131"/>
      <c r="V176" s="15"/>
      <c r="W176" s="131"/>
      <c r="X176" s="131"/>
      <c r="Y176" s="18"/>
    </row>
    <row r="177" spans="1:25" ht="14.25" customHeight="1">
      <c r="A177" s="15">
        <v>183</v>
      </c>
      <c r="B177" s="25"/>
      <c r="C177" s="15"/>
      <c r="D177" s="16"/>
      <c r="E177" s="16"/>
      <c r="F177" s="16"/>
      <c r="G177" s="16"/>
      <c r="H177" s="421"/>
      <c r="I177" s="278"/>
      <c r="J177" s="16"/>
      <c r="K177" s="278"/>
      <c r="L177" s="278"/>
      <c r="M177" s="24"/>
      <c r="N177" s="15"/>
      <c r="O177" s="24"/>
      <c r="P177" s="15"/>
      <c r="Q177" s="24"/>
      <c r="R177" s="221"/>
      <c r="S177" s="15"/>
      <c r="T177" s="131"/>
      <c r="U177" s="131"/>
      <c r="V177" s="15"/>
      <c r="W177" s="131"/>
      <c r="X177" s="131"/>
      <c r="Y177" s="18"/>
    </row>
    <row r="178" spans="1:25" ht="14.25" customHeight="1">
      <c r="A178" s="15">
        <v>184</v>
      </c>
      <c r="B178" s="25"/>
      <c r="C178" s="15"/>
      <c r="D178" s="16"/>
      <c r="E178" s="16"/>
      <c r="F178" s="16"/>
      <c r="G178" s="16"/>
      <c r="H178" s="421"/>
      <c r="I178" s="278"/>
      <c r="J178" s="16"/>
      <c r="K178" s="278"/>
      <c r="L178" s="278"/>
      <c r="M178" s="24"/>
      <c r="N178" s="15"/>
      <c r="O178" s="24"/>
      <c r="P178" s="15"/>
      <c r="Q178" s="24"/>
      <c r="R178" s="221"/>
      <c r="S178" s="15"/>
      <c r="T178" s="131"/>
      <c r="U178" s="131"/>
      <c r="V178" s="15"/>
      <c r="W178" s="131"/>
      <c r="X178" s="131"/>
      <c r="Y178" s="18"/>
    </row>
    <row r="179" spans="1:25" ht="14.25" customHeight="1">
      <c r="A179" s="15">
        <v>185</v>
      </c>
      <c r="B179" s="25"/>
      <c r="C179" s="15"/>
      <c r="D179" s="16"/>
      <c r="E179" s="16"/>
      <c r="F179" s="16"/>
      <c r="G179" s="16"/>
      <c r="H179" s="421"/>
      <c r="I179" s="278"/>
      <c r="J179" s="16"/>
      <c r="K179" s="278"/>
      <c r="L179" s="278"/>
      <c r="M179" s="24"/>
      <c r="N179" s="15"/>
      <c r="O179" s="24"/>
      <c r="P179" s="15"/>
      <c r="Q179" s="24"/>
      <c r="R179" s="221"/>
      <c r="S179" s="15"/>
      <c r="T179" s="131"/>
      <c r="U179" s="131"/>
      <c r="V179" s="15"/>
      <c r="W179" s="131"/>
      <c r="X179" s="131"/>
      <c r="Y179" s="18"/>
    </row>
    <row r="180" spans="1:25" ht="14.25" customHeight="1">
      <c r="A180" s="15">
        <v>186</v>
      </c>
      <c r="B180" s="25"/>
      <c r="C180" s="15"/>
      <c r="D180" s="16"/>
      <c r="E180" s="16"/>
      <c r="F180" s="16"/>
      <c r="G180" s="16"/>
      <c r="H180" s="421"/>
      <c r="I180" s="278"/>
      <c r="J180" s="16"/>
      <c r="K180" s="278"/>
      <c r="L180" s="278"/>
      <c r="M180" s="24"/>
      <c r="N180" s="15"/>
      <c r="O180" s="24"/>
      <c r="P180" s="15"/>
      <c r="Q180" s="24"/>
      <c r="R180" s="221"/>
      <c r="S180" s="15"/>
      <c r="T180" s="131"/>
      <c r="U180" s="131"/>
      <c r="V180" s="15"/>
      <c r="W180" s="131"/>
      <c r="X180" s="131"/>
      <c r="Y180" s="18"/>
    </row>
    <row r="181" spans="1:25" ht="14.25" customHeight="1">
      <c r="A181" s="15">
        <v>187</v>
      </c>
      <c r="B181" s="25"/>
      <c r="C181" s="15"/>
      <c r="D181" s="16"/>
      <c r="E181" s="16"/>
      <c r="F181" s="16"/>
      <c r="G181" s="16"/>
      <c r="H181" s="421"/>
      <c r="I181" s="278"/>
      <c r="J181" s="16"/>
      <c r="K181" s="278"/>
      <c r="L181" s="278"/>
      <c r="M181" s="24"/>
      <c r="N181" s="15"/>
      <c r="O181" s="24"/>
      <c r="P181" s="15"/>
      <c r="Q181" s="24"/>
      <c r="R181" s="221"/>
      <c r="S181" s="15"/>
      <c r="T181" s="131"/>
      <c r="U181" s="131"/>
      <c r="V181" s="15"/>
      <c r="W181" s="131"/>
      <c r="X181" s="131"/>
      <c r="Y181" s="18"/>
    </row>
    <row r="182" spans="1:25" ht="14.25" customHeight="1">
      <c r="A182" s="15">
        <v>188</v>
      </c>
      <c r="B182" s="25"/>
      <c r="C182" s="15"/>
      <c r="D182" s="16"/>
      <c r="E182" s="16"/>
      <c r="F182" s="16"/>
      <c r="G182" s="16"/>
      <c r="H182" s="134"/>
      <c r="I182" s="131"/>
      <c r="J182" s="16"/>
      <c r="K182" s="278"/>
      <c r="L182" s="278"/>
      <c r="M182" s="24"/>
      <c r="N182" s="15"/>
      <c r="O182" s="24"/>
      <c r="P182" s="15"/>
      <c r="Q182" s="24"/>
      <c r="R182" s="221"/>
      <c r="S182" s="15"/>
      <c r="T182" s="131"/>
      <c r="U182" s="131"/>
      <c r="V182" s="15"/>
      <c r="W182" s="131"/>
      <c r="X182" s="131"/>
      <c r="Y182" s="18"/>
    </row>
    <row r="183" spans="1:25" ht="14.25" customHeight="1">
      <c r="A183" s="15">
        <v>189</v>
      </c>
      <c r="B183" s="25"/>
      <c r="C183" s="15"/>
      <c r="D183" s="16"/>
      <c r="E183" s="16"/>
      <c r="F183" s="16"/>
      <c r="G183" s="16"/>
      <c r="H183" s="134"/>
      <c r="I183" s="131"/>
      <c r="J183" s="16"/>
      <c r="K183" s="278"/>
      <c r="L183" s="278"/>
      <c r="M183" s="15"/>
      <c r="N183" s="15"/>
      <c r="O183" s="24"/>
      <c r="P183" s="15"/>
      <c r="Q183" s="24"/>
      <c r="R183" s="221"/>
      <c r="S183" s="15"/>
      <c r="T183" s="131"/>
      <c r="U183" s="131"/>
      <c r="V183" s="15"/>
      <c r="W183" s="131"/>
      <c r="X183" s="131"/>
      <c r="Y183" s="18"/>
    </row>
    <row r="184" spans="1:25" ht="14.25" customHeight="1">
      <c r="A184" s="15">
        <v>190</v>
      </c>
      <c r="B184" s="25"/>
      <c r="C184" s="15"/>
      <c r="D184" s="16"/>
      <c r="E184" s="16"/>
      <c r="F184" s="16"/>
      <c r="G184" s="16"/>
      <c r="H184" s="134"/>
      <c r="I184" s="131"/>
      <c r="J184" s="16"/>
      <c r="K184" s="278"/>
      <c r="L184" s="278"/>
      <c r="M184" s="24"/>
      <c r="N184" s="15"/>
      <c r="O184" s="24"/>
      <c r="P184" s="15"/>
      <c r="Q184" s="24"/>
      <c r="R184" s="221"/>
      <c r="S184" s="15"/>
      <c r="T184" s="131"/>
      <c r="U184" s="131"/>
      <c r="V184" s="15"/>
      <c r="W184" s="131"/>
      <c r="X184" s="131"/>
      <c r="Y184" s="18"/>
    </row>
    <row r="185" spans="1:25" ht="14.25" customHeight="1">
      <c r="A185" s="15">
        <v>191</v>
      </c>
      <c r="B185" s="25"/>
      <c r="C185" s="15"/>
      <c r="D185" s="16"/>
      <c r="E185" s="16"/>
      <c r="F185" s="16"/>
      <c r="G185" s="16"/>
      <c r="H185" s="134"/>
      <c r="I185" s="131"/>
      <c r="J185" s="16"/>
      <c r="K185" s="278"/>
      <c r="L185" s="278"/>
      <c r="M185" s="24"/>
      <c r="N185" s="15"/>
      <c r="O185" s="24"/>
      <c r="P185" s="15"/>
      <c r="Q185" s="24"/>
      <c r="R185" s="221"/>
      <c r="S185" s="15"/>
      <c r="T185" s="131"/>
      <c r="U185" s="131"/>
      <c r="V185" s="15"/>
      <c r="W185" s="131"/>
      <c r="X185" s="131"/>
      <c r="Y185" s="18"/>
    </row>
    <row r="186" spans="1:25" ht="14.25" customHeight="1">
      <c r="A186" s="15">
        <v>192</v>
      </c>
      <c r="B186" s="25"/>
      <c r="C186" s="15"/>
      <c r="D186" s="16"/>
      <c r="E186" s="16"/>
      <c r="F186" s="16"/>
      <c r="G186" s="16"/>
      <c r="H186" s="134"/>
      <c r="I186" s="131"/>
      <c r="J186" s="16"/>
      <c r="K186" s="278"/>
      <c r="L186" s="278"/>
      <c r="M186" s="24"/>
      <c r="N186" s="15"/>
      <c r="O186" s="24"/>
      <c r="P186" s="15"/>
      <c r="Q186" s="24"/>
      <c r="R186" s="221"/>
      <c r="S186" s="15"/>
      <c r="T186" s="131"/>
      <c r="U186" s="131"/>
      <c r="V186" s="15"/>
      <c r="W186" s="131"/>
      <c r="X186" s="131"/>
      <c r="Y186" s="18"/>
    </row>
    <row r="187" spans="1:25" ht="14.25" customHeight="1">
      <c r="A187" s="15">
        <v>193</v>
      </c>
      <c r="B187" s="25"/>
      <c r="C187" s="15"/>
      <c r="D187" s="16"/>
      <c r="E187" s="16"/>
      <c r="F187" s="16"/>
      <c r="G187" s="16"/>
      <c r="H187" s="134"/>
      <c r="I187" s="131"/>
      <c r="J187" s="16"/>
      <c r="K187" s="278"/>
      <c r="L187" s="278"/>
      <c r="M187" s="15"/>
      <c r="N187" s="15"/>
      <c r="O187" s="24"/>
      <c r="P187" s="15"/>
      <c r="Q187" s="24"/>
      <c r="R187" s="221"/>
      <c r="S187" s="15"/>
      <c r="T187" s="131"/>
      <c r="U187" s="131"/>
      <c r="V187" s="15"/>
      <c r="W187" s="131"/>
      <c r="X187" s="131"/>
      <c r="Y187" s="18"/>
    </row>
    <row r="188" spans="1:25" ht="14.25" customHeight="1">
      <c r="A188" s="15">
        <v>194</v>
      </c>
      <c r="B188" s="25"/>
      <c r="C188" s="15"/>
      <c r="D188" s="16"/>
      <c r="E188" s="16"/>
      <c r="F188" s="16"/>
      <c r="G188" s="16"/>
      <c r="H188" s="134"/>
      <c r="I188" s="131"/>
      <c r="J188" s="16"/>
      <c r="K188" s="278"/>
      <c r="L188" s="278"/>
      <c r="M188" s="15"/>
      <c r="N188" s="15"/>
      <c r="O188" s="100"/>
      <c r="P188" s="35"/>
      <c r="Q188" s="24"/>
      <c r="R188" s="221"/>
      <c r="S188" s="15"/>
      <c r="T188" s="131"/>
      <c r="U188" s="131"/>
      <c r="V188" s="15"/>
      <c r="W188" s="131"/>
      <c r="X188" s="131"/>
      <c r="Y188" s="18"/>
    </row>
    <row r="189" spans="1:25" ht="14.25" customHeight="1">
      <c r="A189" s="15">
        <v>195</v>
      </c>
      <c r="B189" s="25"/>
      <c r="C189" s="15"/>
      <c r="D189" s="16"/>
      <c r="E189" s="16"/>
      <c r="F189" s="16"/>
      <c r="G189" s="25"/>
      <c r="H189" s="134"/>
      <c r="I189" s="131"/>
      <c r="J189" s="16"/>
      <c r="K189" s="131"/>
      <c r="L189" s="131"/>
      <c r="M189" s="24"/>
      <c r="N189" s="15"/>
      <c r="O189" s="100"/>
      <c r="P189" s="35"/>
      <c r="Q189" s="24"/>
      <c r="R189" s="221"/>
      <c r="S189" s="15"/>
      <c r="T189" s="131"/>
      <c r="U189" s="131"/>
      <c r="V189" s="15"/>
      <c r="W189" s="131"/>
      <c r="X189" s="131"/>
      <c r="Y189" s="18"/>
    </row>
    <row r="190" spans="1:25" ht="14.25" customHeight="1">
      <c r="A190" s="15">
        <v>196</v>
      </c>
      <c r="B190" s="25"/>
      <c r="C190" s="15"/>
      <c r="D190" s="16"/>
      <c r="E190" s="16"/>
      <c r="F190" s="16"/>
      <c r="G190" s="25"/>
      <c r="H190" s="134"/>
      <c r="I190" s="131"/>
      <c r="J190" s="16"/>
      <c r="K190" s="131"/>
      <c r="L190" s="131"/>
      <c r="M190" s="15"/>
      <c r="N190" s="15"/>
      <c r="O190" s="100"/>
      <c r="P190" s="35"/>
      <c r="Q190" s="24"/>
      <c r="R190" s="221"/>
      <c r="S190" s="15"/>
      <c r="T190" s="131"/>
      <c r="U190" s="131"/>
      <c r="V190" s="15"/>
      <c r="W190" s="131"/>
      <c r="X190" s="131"/>
      <c r="Y190" s="18"/>
    </row>
    <row r="191" spans="1:25" ht="14.25" customHeight="1">
      <c r="A191" s="15">
        <v>197</v>
      </c>
      <c r="B191" s="25"/>
      <c r="C191" s="15"/>
      <c r="D191" s="16"/>
      <c r="E191" s="16"/>
      <c r="F191" s="16"/>
      <c r="G191" s="25"/>
      <c r="H191" s="134"/>
      <c r="I191" s="131"/>
      <c r="J191" s="16"/>
      <c r="K191" s="131"/>
      <c r="L191" s="131"/>
      <c r="M191" s="24"/>
      <c r="N191" s="15"/>
      <c r="O191" s="100"/>
      <c r="P191" s="35"/>
      <c r="Q191" s="35"/>
      <c r="R191" s="222"/>
      <c r="S191" s="15"/>
      <c r="T191" s="131"/>
      <c r="U191" s="131"/>
      <c r="V191" s="15"/>
      <c r="W191" s="131"/>
      <c r="X191" s="131"/>
      <c r="Y191" s="24"/>
    </row>
    <row r="192" spans="1:25" ht="14.25" customHeight="1">
      <c r="A192" s="15">
        <v>198</v>
      </c>
      <c r="B192" s="25"/>
      <c r="C192" s="15"/>
      <c r="D192" s="16"/>
      <c r="E192" s="16"/>
      <c r="F192" s="16"/>
      <c r="G192" s="25"/>
      <c r="H192" s="134"/>
      <c r="I192" s="131"/>
      <c r="J192" s="16"/>
      <c r="K192" s="131"/>
      <c r="L192" s="131"/>
      <c r="M192" s="15"/>
      <c r="N192" s="24"/>
      <c r="O192" s="100"/>
      <c r="P192" s="35"/>
      <c r="Q192" s="24"/>
      <c r="R192" s="221"/>
      <c r="S192" s="15"/>
      <c r="T192" s="131"/>
      <c r="U192" s="131"/>
      <c r="V192" s="15"/>
      <c r="W192" s="131"/>
      <c r="X192" s="131"/>
      <c r="Y192" s="24"/>
    </row>
    <row r="193" spans="1:25" ht="14.25" customHeight="1">
      <c r="A193" s="15">
        <v>199</v>
      </c>
      <c r="B193" s="25"/>
      <c r="C193" s="15"/>
      <c r="D193" s="16"/>
      <c r="E193" s="16"/>
      <c r="F193" s="16"/>
      <c r="G193" s="25"/>
      <c r="H193" s="134"/>
      <c r="I193" s="131"/>
      <c r="J193" s="16"/>
      <c r="K193" s="131"/>
      <c r="L193" s="131"/>
      <c r="M193" s="15"/>
      <c r="N193" s="24"/>
      <c r="O193" s="24"/>
      <c r="P193" s="25"/>
      <c r="Q193" s="24"/>
      <c r="R193" s="221"/>
      <c r="S193" s="15"/>
      <c r="T193" s="131"/>
      <c r="U193" s="131"/>
      <c r="V193" s="15"/>
      <c r="W193" s="131"/>
      <c r="X193" s="131"/>
      <c r="Y193" s="24"/>
    </row>
    <row r="194" spans="1:25" ht="14.25" customHeight="1">
      <c r="A194" s="15">
        <v>200</v>
      </c>
      <c r="B194" s="25"/>
      <c r="C194" s="15"/>
      <c r="D194" s="16"/>
      <c r="E194" s="16"/>
      <c r="F194" s="16"/>
      <c r="G194" s="25"/>
      <c r="H194" s="134"/>
      <c r="I194" s="131"/>
      <c r="J194" s="16"/>
      <c r="K194" s="131"/>
      <c r="L194" s="131"/>
      <c r="M194" s="24"/>
      <c r="N194" s="24"/>
      <c r="O194" s="24"/>
      <c r="P194" s="15"/>
      <c r="Q194" s="24"/>
      <c r="R194" s="221"/>
      <c r="S194" s="15"/>
      <c r="T194" s="131"/>
      <c r="U194" s="131"/>
      <c r="V194" s="15"/>
      <c r="W194" s="131"/>
      <c r="X194" s="131"/>
      <c r="Y194" s="24"/>
    </row>
    <row r="195" spans="1:25" ht="14.25" customHeight="1">
      <c r="A195" s="15">
        <v>201</v>
      </c>
      <c r="B195" s="25"/>
      <c r="C195" s="15"/>
      <c r="D195" s="16"/>
      <c r="E195" s="16"/>
      <c r="F195" s="16"/>
      <c r="G195" s="16"/>
      <c r="H195" s="134"/>
      <c r="I195" s="131"/>
      <c r="J195" s="16"/>
      <c r="K195" s="131"/>
      <c r="L195" s="131"/>
      <c r="M195" s="24"/>
      <c r="N195" s="24"/>
      <c r="O195" s="24"/>
      <c r="P195" s="15"/>
      <c r="Q195" s="24"/>
      <c r="R195" s="221"/>
      <c r="S195" s="15"/>
      <c r="T195" s="131"/>
      <c r="U195" s="131"/>
      <c r="V195" s="15"/>
      <c r="W195" s="131"/>
      <c r="X195" s="131"/>
      <c r="Y195" s="24"/>
    </row>
    <row r="196" spans="1:25" ht="14.25" customHeight="1">
      <c r="A196" s="15">
        <v>202</v>
      </c>
      <c r="B196" s="25"/>
      <c r="C196" s="15"/>
      <c r="D196" s="16"/>
      <c r="E196" s="16"/>
      <c r="F196" s="16"/>
      <c r="G196" s="16"/>
      <c r="H196" s="134"/>
      <c r="I196" s="131"/>
      <c r="J196" s="16"/>
      <c r="K196" s="131"/>
      <c r="L196" s="131"/>
      <c r="M196" s="24"/>
      <c r="N196" s="24"/>
      <c r="O196" s="24"/>
      <c r="P196" s="25"/>
      <c r="Q196" s="24"/>
      <c r="R196" s="221"/>
      <c r="S196" s="15"/>
      <c r="T196" s="131"/>
      <c r="U196" s="131"/>
      <c r="V196" s="15"/>
      <c r="W196" s="131"/>
      <c r="X196" s="131"/>
      <c r="Y196" s="18"/>
    </row>
    <row r="197" spans="1:25" ht="14.25" customHeight="1">
      <c r="A197" s="15">
        <v>203</v>
      </c>
      <c r="B197" s="25"/>
      <c r="C197" s="15"/>
      <c r="D197" s="16"/>
      <c r="E197" s="16"/>
      <c r="F197" s="16"/>
      <c r="G197" s="16"/>
      <c r="H197" s="134"/>
      <c r="I197" s="131"/>
      <c r="J197" s="16"/>
      <c r="K197" s="131"/>
      <c r="L197" s="131"/>
      <c r="M197" s="24"/>
      <c r="N197" s="15"/>
      <c r="O197" s="24"/>
      <c r="P197" s="25"/>
      <c r="Q197" s="24"/>
      <c r="R197" s="221"/>
      <c r="S197" s="15"/>
      <c r="T197" s="131"/>
      <c r="U197" s="131"/>
      <c r="V197" s="15"/>
      <c r="W197" s="131"/>
      <c r="X197" s="131"/>
      <c r="Y197" s="18"/>
    </row>
    <row r="198" spans="1:25" ht="14.25" customHeight="1">
      <c r="A198" s="15">
        <v>204</v>
      </c>
      <c r="B198" s="25"/>
      <c r="C198" s="15"/>
      <c r="D198" s="16"/>
      <c r="E198" s="16"/>
      <c r="F198" s="16"/>
      <c r="G198" s="16"/>
      <c r="H198" s="134"/>
      <c r="I198" s="131"/>
      <c r="J198" s="16"/>
      <c r="K198" s="131"/>
      <c r="L198" s="131"/>
      <c r="M198" s="24"/>
      <c r="N198" s="15"/>
      <c r="O198" s="182"/>
      <c r="P198" s="15"/>
      <c r="Q198" s="24"/>
      <c r="R198" s="221"/>
      <c r="S198" s="15"/>
      <c r="T198" s="131"/>
      <c r="U198" s="131"/>
      <c r="V198" s="15"/>
      <c r="W198" s="131"/>
      <c r="X198" s="131"/>
      <c r="Y198" s="18"/>
    </row>
    <row r="199" spans="1:25" ht="14.25" customHeight="1">
      <c r="A199" s="15">
        <v>205</v>
      </c>
      <c r="B199" s="25"/>
      <c r="C199" s="15"/>
      <c r="D199" s="16"/>
      <c r="E199" s="16"/>
      <c r="F199" s="16"/>
      <c r="G199" s="16"/>
      <c r="H199" s="134"/>
      <c r="I199" s="131"/>
      <c r="J199" s="16"/>
      <c r="K199" s="131"/>
      <c r="L199" s="131"/>
      <c r="M199" s="24"/>
      <c r="N199" s="15"/>
      <c r="O199" s="182"/>
      <c r="P199" s="15"/>
      <c r="Q199" s="24"/>
      <c r="R199" s="221"/>
      <c r="S199" s="15"/>
      <c r="T199" s="131"/>
      <c r="U199" s="131"/>
      <c r="V199" s="15"/>
      <c r="W199" s="131"/>
      <c r="X199" s="131"/>
      <c r="Y199" s="18"/>
    </row>
    <row r="200" spans="1:25" ht="14.25" customHeight="1">
      <c r="A200" s="15">
        <v>206</v>
      </c>
      <c r="B200" s="25"/>
      <c r="C200" s="15"/>
      <c r="D200" s="16"/>
      <c r="E200" s="16"/>
      <c r="F200" s="16"/>
      <c r="G200" s="16"/>
      <c r="H200" s="134"/>
      <c r="I200" s="131"/>
      <c r="J200" s="16"/>
      <c r="K200" s="131"/>
      <c r="L200" s="131"/>
      <c r="M200" s="24"/>
      <c r="N200" s="15"/>
      <c r="O200" s="182"/>
      <c r="P200" s="15"/>
      <c r="Q200" s="24"/>
      <c r="R200" s="221"/>
      <c r="S200" s="15"/>
      <c r="T200" s="131"/>
      <c r="U200" s="131"/>
      <c r="V200" s="15"/>
      <c r="W200" s="131"/>
      <c r="X200" s="131"/>
      <c r="Y200" s="18"/>
    </row>
    <row r="201" spans="1:25" ht="14.25" customHeight="1">
      <c r="A201" s="15">
        <v>207</v>
      </c>
      <c r="B201" s="25"/>
      <c r="C201" s="15"/>
      <c r="D201" s="16"/>
      <c r="E201" s="16"/>
      <c r="F201" s="16"/>
      <c r="G201" s="16"/>
      <c r="H201" s="134"/>
      <c r="I201" s="131"/>
      <c r="J201" s="16"/>
      <c r="K201" s="131"/>
      <c r="L201" s="131"/>
      <c r="M201" s="24"/>
      <c r="N201" s="15"/>
      <c r="O201" s="182"/>
      <c r="P201" s="15"/>
      <c r="Q201" s="24"/>
      <c r="R201" s="221"/>
      <c r="S201" s="15"/>
      <c r="T201" s="131"/>
      <c r="U201" s="131"/>
      <c r="V201" s="15"/>
      <c r="W201" s="131"/>
      <c r="X201" s="131"/>
      <c r="Y201" s="18"/>
    </row>
    <row r="202" spans="1:25" ht="14.25" customHeight="1">
      <c r="A202" s="15">
        <v>208</v>
      </c>
      <c r="B202" s="25"/>
      <c r="C202" s="15"/>
      <c r="D202" s="16"/>
      <c r="E202" s="16"/>
      <c r="F202" s="16"/>
      <c r="G202" s="16"/>
      <c r="H202" s="134"/>
      <c r="I202" s="131"/>
      <c r="J202" s="16"/>
      <c r="K202" s="131"/>
      <c r="L202" s="131"/>
      <c r="M202" s="15"/>
      <c r="N202" s="15"/>
      <c r="O202" s="182"/>
      <c r="P202" s="15"/>
      <c r="Q202" s="24"/>
      <c r="R202" s="221"/>
      <c r="S202" s="15"/>
      <c r="T202" s="131"/>
      <c r="U202" s="131"/>
      <c r="V202" s="15"/>
      <c r="W202" s="131"/>
      <c r="X202" s="131"/>
      <c r="Y202" s="18"/>
    </row>
    <row r="203" spans="1:25" ht="14.25" customHeight="1">
      <c r="A203" s="15">
        <v>209</v>
      </c>
      <c r="B203" s="25"/>
      <c r="C203" s="15"/>
      <c r="D203" s="16"/>
      <c r="E203" s="16"/>
      <c r="F203" s="16"/>
      <c r="G203" s="16"/>
      <c r="H203" s="134"/>
      <c r="I203" s="131"/>
      <c r="J203" s="16"/>
      <c r="K203" s="131"/>
      <c r="L203" s="131"/>
      <c r="M203" s="24"/>
      <c r="N203" s="15"/>
      <c r="O203" s="24"/>
      <c r="P203" s="15"/>
      <c r="Q203" s="24"/>
      <c r="R203" s="221"/>
      <c r="S203" s="15"/>
      <c r="T203" s="131"/>
      <c r="U203" s="131"/>
      <c r="V203" s="15"/>
      <c r="W203" s="131"/>
      <c r="X203" s="131"/>
      <c r="Y203" s="18"/>
    </row>
    <row r="204" spans="1:25" ht="14.25" customHeight="1">
      <c r="A204" s="15">
        <v>210</v>
      </c>
      <c r="B204" s="25"/>
      <c r="C204" s="15"/>
      <c r="D204" s="16"/>
      <c r="E204" s="16"/>
      <c r="F204" s="16"/>
      <c r="G204" s="16"/>
      <c r="H204" s="134"/>
      <c r="I204" s="131"/>
      <c r="J204" s="16"/>
      <c r="K204" s="131"/>
      <c r="L204" s="131"/>
      <c r="M204" s="24"/>
      <c r="N204" s="15"/>
      <c r="O204" s="24"/>
      <c r="P204" s="15"/>
      <c r="Q204" s="24"/>
      <c r="R204" s="221"/>
      <c r="S204" s="15"/>
      <c r="T204" s="131"/>
      <c r="U204" s="131"/>
      <c r="V204" s="15"/>
      <c r="W204" s="131"/>
      <c r="X204" s="131"/>
      <c r="Y204" s="18"/>
    </row>
    <row r="205" spans="1:25" ht="14.25" customHeight="1">
      <c r="A205" s="15">
        <v>211</v>
      </c>
      <c r="B205" s="25"/>
      <c r="C205" s="15"/>
      <c r="D205" s="16"/>
      <c r="E205" s="16"/>
      <c r="F205" s="16"/>
      <c r="G205" s="16"/>
      <c r="H205" s="134"/>
      <c r="I205" s="131"/>
      <c r="J205" s="16"/>
      <c r="K205" s="131"/>
      <c r="L205" s="131"/>
      <c r="M205" s="24"/>
      <c r="N205" s="15"/>
      <c r="O205" s="24"/>
      <c r="P205" s="15"/>
      <c r="Q205" s="24"/>
      <c r="R205" s="221"/>
      <c r="S205" s="15"/>
      <c r="T205" s="131"/>
      <c r="U205" s="131"/>
      <c r="V205" s="15"/>
      <c r="W205" s="131"/>
      <c r="X205" s="131"/>
      <c r="Y205" s="18"/>
    </row>
    <row r="206" spans="1:25" ht="14.25" customHeight="1">
      <c r="A206" s="15">
        <v>212</v>
      </c>
      <c r="B206" s="25"/>
      <c r="C206" s="15"/>
      <c r="D206" s="16"/>
      <c r="E206" s="16"/>
      <c r="F206" s="16"/>
      <c r="G206" s="16"/>
      <c r="H206" s="134"/>
      <c r="I206" s="131"/>
      <c r="J206" s="16"/>
      <c r="K206" s="131"/>
      <c r="L206" s="131"/>
      <c r="M206" s="24"/>
      <c r="N206" s="15"/>
      <c r="O206" s="24"/>
      <c r="P206" s="15"/>
      <c r="Q206" s="24"/>
      <c r="R206" s="221"/>
      <c r="S206" s="15"/>
      <c r="T206" s="131"/>
      <c r="U206" s="131"/>
      <c r="V206" s="15"/>
      <c r="W206" s="131"/>
      <c r="X206" s="131"/>
      <c r="Y206" s="18"/>
    </row>
    <row r="207" spans="1:25" ht="14.25" customHeight="1">
      <c r="A207" s="15">
        <v>213</v>
      </c>
      <c r="B207" s="25"/>
      <c r="C207" s="15"/>
      <c r="D207" s="16"/>
      <c r="E207" s="16"/>
      <c r="F207" s="16"/>
      <c r="G207" s="16"/>
      <c r="H207" s="134"/>
      <c r="I207" s="131"/>
      <c r="J207" s="16"/>
      <c r="K207" s="131"/>
      <c r="L207" s="131"/>
      <c r="M207" s="24"/>
      <c r="N207" s="15"/>
      <c r="O207" s="24"/>
      <c r="P207" s="15"/>
      <c r="Q207" s="24"/>
      <c r="R207" s="221"/>
      <c r="S207" s="15"/>
      <c r="T207" s="131"/>
      <c r="U207" s="131"/>
      <c r="V207" s="15"/>
      <c r="W207" s="131"/>
      <c r="X207" s="131"/>
      <c r="Y207" s="18"/>
    </row>
    <row r="208" spans="1:25" ht="14.25" customHeight="1">
      <c r="A208" s="15">
        <v>214</v>
      </c>
      <c r="B208" s="25"/>
      <c r="C208" s="15"/>
      <c r="D208" s="16"/>
      <c r="E208" s="16"/>
      <c r="F208" s="16"/>
      <c r="G208" s="16"/>
      <c r="H208" s="134"/>
      <c r="I208" s="131"/>
      <c r="J208" s="16"/>
      <c r="K208" s="131"/>
      <c r="L208" s="131"/>
      <c r="M208" s="24"/>
      <c r="N208" s="15"/>
      <c r="O208" s="24"/>
      <c r="P208" s="25"/>
      <c r="Q208" s="24"/>
      <c r="R208" s="221"/>
      <c r="S208" s="15"/>
      <c r="T208" s="131"/>
      <c r="U208" s="131"/>
      <c r="V208" s="15"/>
      <c r="W208" s="131"/>
      <c r="X208" s="131"/>
      <c r="Y208" s="18"/>
    </row>
    <row r="209" spans="1:25" ht="14.25" customHeight="1">
      <c r="A209" s="15">
        <v>215</v>
      </c>
      <c r="B209" s="25"/>
      <c r="C209" s="15"/>
      <c r="D209" s="16"/>
      <c r="E209" s="16"/>
      <c r="F209" s="16"/>
      <c r="G209" s="16"/>
      <c r="H209" s="134"/>
      <c r="I209" s="131"/>
      <c r="J209" s="16"/>
      <c r="K209" s="131"/>
      <c r="L209" s="131"/>
      <c r="M209" s="24"/>
      <c r="N209" s="15"/>
      <c r="O209" s="24"/>
      <c r="P209" s="15"/>
      <c r="Q209" s="24"/>
      <c r="R209" s="221"/>
      <c r="S209" s="15"/>
      <c r="T209" s="131"/>
      <c r="U209" s="131"/>
      <c r="V209" s="15"/>
      <c r="W209" s="131"/>
      <c r="X209" s="131"/>
      <c r="Y209" s="18"/>
    </row>
    <row r="210" spans="1:25" ht="14.25" customHeight="1">
      <c r="A210" s="15">
        <v>216</v>
      </c>
      <c r="B210" s="25"/>
      <c r="C210" s="15"/>
      <c r="D210" s="16"/>
      <c r="E210" s="16"/>
      <c r="F210" s="16"/>
      <c r="G210" s="16"/>
      <c r="H210" s="134"/>
      <c r="I210" s="131"/>
      <c r="J210" s="16"/>
      <c r="K210" s="131"/>
      <c r="L210" s="131"/>
      <c r="M210" s="24"/>
      <c r="N210" s="15"/>
      <c r="O210" s="24"/>
      <c r="P210" s="15"/>
      <c r="Q210" s="24"/>
      <c r="R210" s="221"/>
      <c r="S210" s="15"/>
      <c r="T210" s="131"/>
      <c r="U210" s="131"/>
      <c r="V210" s="15"/>
      <c r="W210" s="131"/>
      <c r="X210" s="131"/>
      <c r="Y210" s="18"/>
    </row>
    <row r="211" spans="1:25" ht="14.25" customHeight="1">
      <c r="A211" s="15">
        <v>217</v>
      </c>
      <c r="B211" s="25"/>
      <c r="C211" s="15"/>
      <c r="D211" s="16"/>
      <c r="E211" s="16"/>
      <c r="F211" s="16"/>
      <c r="G211" s="16"/>
      <c r="H211" s="134"/>
      <c r="I211" s="131"/>
      <c r="J211" s="16"/>
      <c r="K211" s="131"/>
      <c r="L211" s="131"/>
      <c r="M211" s="24"/>
      <c r="N211" s="15"/>
      <c r="O211" s="24"/>
      <c r="P211" s="15"/>
      <c r="Q211" s="24"/>
      <c r="R211" s="221"/>
      <c r="S211" s="15"/>
      <c r="T211" s="131"/>
      <c r="U211" s="131"/>
      <c r="V211" s="15"/>
      <c r="W211" s="131"/>
      <c r="X211" s="131"/>
      <c r="Y211" s="18"/>
    </row>
    <row r="212" spans="1:25" ht="14.25" customHeight="1">
      <c r="A212" s="15">
        <v>218</v>
      </c>
      <c r="B212" s="25"/>
      <c r="C212" s="15"/>
      <c r="D212" s="16"/>
      <c r="E212" s="16"/>
      <c r="F212" s="16"/>
      <c r="G212" s="16"/>
      <c r="H212" s="134"/>
      <c r="I212" s="131"/>
      <c r="J212" s="16"/>
      <c r="K212" s="131"/>
      <c r="L212" s="131"/>
      <c r="M212" s="24"/>
      <c r="N212" s="15"/>
      <c r="O212" s="24"/>
      <c r="P212" s="15"/>
      <c r="Q212" s="24"/>
      <c r="R212" s="221"/>
      <c r="S212" s="15"/>
      <c r="T212" s="131"/>
      <c r="U212" s="131"/>
      <c r="V212" s="15"/>
      <c r="W212" s="131"/>
      <c r="X212" s="131"/>
      <c r="Y212" s="18"/>
    </row>
    <row r="213" spans="1:25" ht="14.25" customHeight="1">
      <c r="A213" s="15">
        <v>219</v>
      </c>
      <c r="B213" s="25"/>
      <c r="C213" s="15"/>
      <c r="D213" s="16"/>
      <c r="E213" s="16"/>
      <c r="F213" s="16"/>
      <c r="G213" s="16"/>
      <c r="H213" s="134"/>
      <c r="I213" s="131"/>
      <c r="J213" s="16"/>
      <c r="K213" s="131"/>
      <c r="L213" s="131"/>
      <c r="M213" s="24"/>
      <c r="N213" s="15"/>
      <c r="O213" s="24"/>
      <c r="P213" s="15"/>
      <c r="Q213" s="24"/>
      <c r="R213" s="221"/>
      <c r="S213" s="15"/>
      <c r="T213" s="131"/>
      <c r="U213" s="131"/>
      <c r="V213" s="15"/>
      <c r="W213" s="131"/>
      <c r="X213" s="131"/>
      <c r="Y213" s="18"/>
    </row>
    <row r="214" spans="1:25" ht="14.25" customHeight="1">
      <c r="A214" s="15">
        <v>220</v>
      </c>
      <c r="B214" s="25"/>
      <c r="C214" s="25"/>
      <c r="D214" s="230"/>
      <c r="E214" s="231"/>
      <c r="F214" s="24"/>
      <c r="G214" s="24"/>
      <c r="H214" s="25"/>
      <c r="I214" s="24"/>
      <c r="J214" s="24"/>
      <c r="K214" s="24"/>
      <c r="L214" s="24"/>
      <c r="M214" s="24"/>
      <c r="N214" s="24"/>
      <c r="O214" s="24"/>
      <c r="P214" s="24"/>
      <c r="Q214" s="24"/>
      <c r="R214" s="221"/>
      <c r="S214" s="24"/>
      <c r="T214" s="24"/>
      <c r="U214" s="24"/>
      <c r="V214" s="24"/>
      <c r="W214" s="24"/>
      <c r="X214" s="24"/>
      <c r="Y214" s="24"/>
    </row>
    <row r="215" spans="1:25" ht="14.25" customHeight="1">
      <c r="R215" s="232"/>
    </row>
    <row r="216" spans="1:25" ht="14.25" customHeight="1">
      <c r="R216" s="232"/>
    </row>
    <row r="217" spans="1:25" ht="14.25" customHeight="1">
      <c r="R217" s="232"/>
    </row>
    <row r="218" spans="1:25" ht="14.25" customHeight="1">
      <c r="R218" s="232"/>
    </row>
    <row r="219" spans="1:25" ht="14.25" customHeight="1">
      <c r="H219" s="422">
        <v>4</v>
      </c>
      <c r="N219" s="43"/>
      <c r="O219" s="105"/>
      <c r="R219" s="232"/>
    </row>
    <row r="220" spans="1:25" ht="14.25" customHeight="1">
      <c r="H220" s="422">
        <v>16</v>
      </c>
      <c r="L220" s="233">
        <f>I3-L3</f>
        <v>0</v>
      </c>
      <c r="R220" s="232"/>
    </row>
    <row r="221" spans="1:25" ht="14.25" customHeight="1">
      <c r="H221" s="422">
        <v>7</v>
      </c>
      <c r="R221" s="232"/>
    </row>
    <row r="222" spans="1:25" ht="14.25" customHeight="1">
      <c r="G222" s="16">
        <v>952</v>
      </c>
      <c r="H222" s="422">
        <f t="shared" ref="H222:H231" si="34">G222/1000</f>
        <v>0.95199999999999996</v>
      </c>
      <c r="R222" s="232"/>
    </row>
    <row r="223" spans="1:25" ht="14.25" customHeight="1">
      <c r="G223" s="16">
        <v>173.57</v>
      </c>
      <c r="H223" s="422">
        <f t="shared" si="34"/>
        <v>0.17357</v>
      </c>
      <c r="R223" s="232"/>
    </row>
    <row r="224" spans="1:25" ht="14.25" customHeight="1">
      <c r="G224" s="16">
        <v>336.5</v>
      </c>
      <c r="H224" s="422">
        <f t="shared" si="34"/>
        <v>0.33650000000000002</v>
      </c>
      <c r="R224" s="232"/>
    </row>
    <row r="225" spans="7:18" ht="14.25" customHeight="1">
      <c r="G225" s="16">
        <v>900.14</v>
      </c>
      <c r="H225" s="422">
        <f t="shared" si="34"/>
        <v>0.90013999999999994</v>
      </c>
      <c r="R225" s="232"/>
    </row>
    <row r="226" spans="7:18" ht="14.25" customHeight="1">
      <c r="G226" s="16">
        <v>1697.24</v>
      </c>
      <c r="H226" s="422">
        <f t="shared" si="34"/>
        <v>1.6972400000000001</v>
      </c>
    </row>
    <row r="227" spans="7:18" ht="14.25" customHeight="1">
      <c r="G227" s="16">
        <v>1600.078</v>
      </c>
      <c r="H227" s="422">
        <f t="shared" si="34"/>
        <v>1.6000779999999999</v>
      </c>
    </row>
    <row r="228" spans="7:18" ht="14.25" customHeight="1">
      <c r="G228" s="16">
        <v>525.89</v>
      </c>
      <c r="H228" s="422">
        <f t="shared" si="34"/>
        <v>0.52588999999999997</v>
      </c>
    </row>
    <row r="229" spans="7:18" ht="14.25" customHeight="1">
      <c r="G229" s="16">
        <v>356.279</v>
      </c>
      <c r="H229" s="422">
        <f t="shared" si="34"/>
        <v>0.35627900000000001</v>
      </c>
    </row>
    <row r="230" spans="7:18" ht="14.25" customHeight="1">
      <c r="G230" s="16">
        <v>190.524</v>
      </c>
      <c r="H230" s="422">
        <f t="shared" si="34"/>
        <v>0.190524</v>
      </c>
    </row>
    <row r="231" spans="7:18" ht="14.25" customHeight="1">
      <c r="G231" s="16">
        <v>142.38399999999999</v>
      </c>
      <c r="H231" s="422">
        <f t="shared" si="34"/>
        <v>0.14238399999999998</v>
      </c>
    </row>
  </sheetData>
  <autoFilter ref="A5:Y214" xr:uid="{00000000-0009-0000-0000-000008000000}"/>
  <mergeCells count="10">
    <mergeCell ref="J4:L4"/>
    <mergeCell ref="S4:U4"/>
    <mergeCell ref="A1:Y1"/>
    <mergeCell ref="A2:D2"/>
    <mergeCell ref="F2:Q2"/>
    <mergeCell ref="S2:Y2"/>
    <mergeCell ref="A3:C3"/>
    <mergeCell ref="B4:C4"/>
    <mergeCell ref="G4:I4"/>
    <mergeCell ref="V4:X4"/>
  </mergeCells>
  <conditionalFormatting sqref="E101:G101 M35:N38 M47:N50 M52:N60 M65:N76 M17:N18">
    <cfRule type="containsText" dxfId="1534" priority="98" operator="containsText" text="WIP">
      <formula>NOT(ISERROR(SEARCH(("WIP"),(E17))))</formula>
    </cfRule>
  </conditionalFormatting>
  <conditionalFormatting sqref="F13:F18">
    <cfRule type="containsText" dxfId="1533" priority="99" operator="containsText" text="WIP">
      <formula>NOT(ISERROR(SEARCH(("WIP"),(F13))))</formula>
    </cfRule>
  </conditionalFormatting>
  <conditionalFormatting sqref="F50 E85:E101">
    <cfRule type="containsText" dxfId="1532" priority="89" operator="containsText" text="C">
      <formula>NOT(ISERROR(SEARCH(("C"),(E95))))</formula>
    </cfRule>
  </conditionalFormatting>
  <conditionalFormatting sqref="F51">
    <cfRule type="containsText" dxfId="1531" priority="65" operator="containsText" text="C">
      <formula>NOT(ISERROR(SEARCH(("C"),(F51))))</formula>
    </cfRule>
  </conditionalFormatting>
  <conditionalFormatting sqref="F131">
    <cfRule type="containsText" dxfId="1530" priority="101" operator="containsText" text="WIP">
      <formula>NOT(ISERROR(SEARCH(("WIP"),(F131))))</formula>
    </cfRule>
  </conditionalFormatting>
  <conditionalFormatting sqref="F132:F161">
    <cfRule type="containsText" dxfId="1529" priority="102" operator="containsText" text="C">
      <formula>NOT(ISERROR(SEARCH(("C"),(F132))))</formula>
    </cfRule>
  </conditionalFormatting>
  <conditionalFormatting sqref="F176:F187">
    <cfRule type="containsText" dxfId="1528" priority="103" operator="containsText" text="C">
      <formula>NOT(ISERROR(SEARCH(("C"),(F176))))</formula>
    </cfRule>
  </conditionalFormatting>
  <conditionalFormatting sqref="F30:G32">
    <cfRule type="containsText" dxfId="1527" priority="104" operator="containsText" text="WIP">
      <formula>NOT(ISERROR(SEARCH(("WIP"),(F30))))</formula>
    </cfRule>
  </conditionalFormatting>
  <conditionalFormatting sqref="F42:G50 E42:E60 E64:E84">
    <cfRule type="containsText" dxfId="1526" priority="88" operator="containsText" text="C">
      <formula>NOT(ISERROR(SEARCH(("C"),(E42))))</formula>
    </cfRule>
  </conditionalFormatting>
  <conditionalFormatting sqref="F64:G101 F52:G60 E61:G63">
    <cfRule type="containsText" dxfId="1525" priority="106" operator="containsText" text="C">
      <formula>NOT(ISERROR(SEARCH(("C"),(E52))))</formula>
    </cfRule>
  </conditionalFormatting>
  <conditionalFormatting sqref="F102:G114 E102:E214 F193:F194">
    <cfRule type="containsText" dxfId="1524" priority="90" operator="containsText" text="C">
      <formula>NOT(ISERROR(SEARCH(("C"),(E102))))</formula>
    </cfRule>
  </conditionalFormatting>
  <conditionalFormatting sqref="F115:G131">
    <cfRule type="containsText" dxfId="1523" priority="109" operator="containsText" text="C">
      <formula>NOT(ISERROR(SEARCH(("C"),(F115))))</formula>
    </cfRule>
  </conditionalFormatting>
  <conditionalFormatting sqref="F162:G175">
    <cfRule type="containsText" dxfId="1522" priority="110" operator="containsText" text="C">
      <formula>NOT(ISERROR(SEARCH(("C"),(F162))))</formula>
    </cfRule>
  </conditionalFormatting>
  <conditionalFormatting sqref="F188:G192 G193:G194">
    <cfRule type="containsText" dxfId="1521" priority="120" operator="containsText" text="C">
      <formula>NOT(ISERROR(SEARCH(("C"),(F336))))</formula>
    </cfRule>
  </conditionalFormatting>
  <conditionalFormatting sqref="F195:G213">
    <cfRule type="containsText" dxfId="1520" priority="112" operator="containsText" text="C">
      <formula>NOT(ISERROR(SEARCH(("C"),(F195))))</formula>
    </cfRule>
  </conditionalFormatting>
  <conditionalFormatting sqref="G7:G22">
    <cfRule type="containsText" dxfId="1519" priority="115" operator="containsText" text="WIP">
      <formula>NOT(ISERROR(SEARCH(("WIP"),(G7))))</formula>
    </cfRule>
  </conditionalFormatting>
  <conditionalFormatting sqref="G50:G51">
    <cfRule type="containsText" dxfId="1518" priority="64" operator="containsText" text="C">
      <formula>NOT(ISERROR(SEARCH(("C"),(G50))))</formula>
    </cfRule>
  </conditionalFormatting>
  <conditionalFormatting sqref="G69:G70 E132:E133 H70">
    <cfRule type="containsText" dxfId="1517" priority="143" operator="containsText" text="WIP">
      <formula>NOT(ISERROR(SEARCH(("WIP"),(E132))))</formula>
    </cfRule>
  </conditionalFormatting>
  <conditionalFormatting sqref="G87:G88">
    <cfRule type="containsText" dxfId="1516" priority="123" operator="containsText" text="WIP">
      <formula>NOT(ISERROR(SEARCH(("WIP"),(G87))))</formula>
    </cfRule>
  </conditionalFormatting>
  <conditionalFormatting sqref="G93:G98">
    <cfRule type="containsText" dxfId="1515" priority="124" operator="containsText" text="WIP">
      <formula>NOT(ISERROR(SEARCH(("WIP"),(G93))))</formula>
    </cfRule>
  </conditionalFormatting>
  <conditionalFormatting sqref="G100 G102:G110">
    <cfRule type="containsText" dxfId="1514" priority="125" operator="containsText" text="WIP">
      <formula>NOT(ISERROR(SEARCH(("WIP"),(G100))))</formula>
    </cfRule>
  </conditionalFormatting>
  <conditionalFormatting sqref="G115 G112">
    <cfRule type="containsText" dxfId="1513" priority="126" operator="containsText" text="WIP">
      <formula>NOT(ISERROR(SEARCH(("WIP"),(G112))))</formula>
    </cfRule>
  </conditionalFormatting>
  <conditionalFormatting sqref="G119:G121">
    <cfRule type="containsText" dxfId="1512" priority="127" operator="containsText" text="WIP">
      <formula>NOT(ISERROR(SEARCH(("WIP"),(G119))))</formula>
    </cfRule>
  </conditionalFormatting>
  <conditionalFormatting sqref="G132:G134">
    <cfRule type="containsText" dxfId="1511" priority="128" operator="containsText" text="C">
      <formula>NOT(ISERROR(SEARCH(("C"),(G132))))</formula>
    </cfRule>
  </conditionalFormatting>
  <conditionalFormatting sqref="G135:G146">
    <cfRule type="containsText" dxfId="1510" priority="129" operator="containsText" text="WIP">
      <formula>NOT(ISERROR(SEARCH(("WIP"),(G135))))</formula>
    </cfRule>
  </conditionalFormatting>
  <conditionalFormatting sqref="G135:G161">
    <cfRule type="containsText" dxfId="1509" priority="130" operator="containsText" text="C">
      <formula>NOT(ISERROR(SEARCH(("C"),(G135))))</formula>
    </cfRule>
  </conditionalFormatting>
  <conditionalFormatting sqref="G151 G153">
    <cfRule type="containsText" dxfId="1508" priority="131" operator="containsText" text="WIP">
      <formula>NOT(ISERROR(SEARCH(("WIP"),(G151))))</formula>
    </cfRule>
  </conditionalFormatting>
  <conditionalFormatting sqref="G155:G160">
    <cfRule type="containsText" dxfId="1507" priority="132" operator="containsText" text="WIP">
      <formula>NOT(ISERROR(SEARCH(("WIP"),(G155))))</formula>
    </cfRule>
  </conditionalFormatting>
  <conditionalFormatting sqref="G164:G171">
    <cfRule type="containsText" dxfId="1506" priority="133" operator="containsText" text="WIP">
      <formula>NOT(ISERROR(SEARCH(("WIP"),(G164))))</formula>
    </cfRule>
  </conditionalFormatting>
  <conditionalFormatting sqref="G171">
    <cfRule type="containsText" dxfId="1505" priority="134" operator="containsText" text="C">
      <formula>NOT(ISERROR(SEARCH(("C"),(G171))))</formula>
    </cfRule>
  </conditionalFormatting>
  <conditionalFormatting sqref="G173:G180">
    <cfRule type="containsText" dxfId="1504" priority="135" operator="containsText" text="WIP">
      <formula>NOT(ISERROR(SEARCH(("WIP"),(G173))))</formula>
    </cfRule>
  </conditionalFormatting>
  <conditionalFormatting sqref="G174:G187">
    <cfRule type="containsText" dxfId="1503" priority="136" operator="containsText" text="C">
      <formula>NOT(ISERROR(SEARCH(("C"),(G174))))</formula>
    </cfRule>
  </conditionalFormatting>
  <conditionalFormatting sqref="G176:G180">
    <cfRule type="containsText" dxfId="1502" priority="111" operator="containsText" text="C">
      <formula>NOT(ISERROR(SEARCH(("C"),(G176))))</formula>
    </cfRule>
  </conditionalFormatting>
  <conditionalFormatting sqref="G183:G186">
    <cfRule type="containsText" dxfId="1501" priority="137" operator="containsText" text="WIP">
      <formula>NOT(ISERROR(SEARCH(("WIP"),(G183))))</formula>
    </cfRule>
  </conditionalFormatting>
  <conditionalFormatting sqref="G188:G194">
    <cfRule type="containsText" dxfId="1500" priority="138" operator="containsText" text="WIP">
      <formula>NOT(ISERROR(SEARCH(("WIP"),(G188))))</formula>
    </cfRule>
  </conditionalFormatting>
  <conditionalFormatting sqref="G192:G194">
    <cfRule type="containsText" dxfId="1499" priority="140" operator="containsText" text="C">
      <formula>NOT(ISERROR(SEARCH(("C"),(G192))))</formula>
    </cfRule>
  </conditionalFormatting>
  <conditionalFormatting sqref="G196:G202">
    <cfRule type="containsText" dxfId="1498" priority="141" operator="containsText" text="WIP">
      <formula>NOT(ISERROR(SEARCH(("WIP"),(G196))))</formula>
    </cfRule>
  </conditionalFormatting>
  <conditionalFormatting sqref="G206:G207">
    <cfRule type="containsText" dxfId="1497" priority="142" operator="containsText" text="WIP">
      <formula>NOT(ISERROR(SEARCH(("WIP"),(G206))))</formula>
    </cfRule>
  </conditionalFormatting>
  <conditionalFormatting sqref="H70">
    <cfRule type="containsText" dxfId="1496" priority="144" operator="containsText" text="C">
      <formula>NOT(ISERROR(SEARCH(("C"),(H70))))</formula>
    </cfRule>
  </conditionalFormatting>
  <conditionalFormatting sqref="J6:J12">
    <cfRule type="containsText" dxfId="1495" priority="68" operator="containsText" text="C">
      <formula>NOT(ISERROR(SEARCH(("C"),(J6))))</formula>
    </cfRule>
  </conditionalFormatting>
  <conditionalFormatting sqref="J7:J21">
    <cfRule type="containsText" dxfId="1494" priority="146" operator="containsText" text="WIP">
      <formula>NOT(ISERROR(SEARCH(("WIP"),(J7))))</formula>
    </cfRule>
  </conditionalFormatting>
  <conditionalFormatting sqref="J7:J33">
    <cfRule type="containsText" dxfId="1493" priority="147" operator="containsText" text="C">
      <formula>NOT(ISERROR(SEARCH(("C"),(J7))))</formula>
    </cfRule>
  </conditionalFormatting>
  <conditionalFormatting sqref="J30:J33">
    <cfRule type="containsText" dxfId="1492" priority="151" operator="containsText" text="WIP">
      <formula>NOT(ISERROR(SEARCH(("WIP"),(J30))))</formula>
    </cfRule>
  </conditionalFormatting>
  <conditionalFormatting sqref="J34:J46">
    <cfRule type="containsText" dxfId="1491" priority="26" operator="containsText" text="C">
      <formula>NOT(ISERROR(SEARCH(("C"),(J34))))</formula>
    </cfRule>
  </conditionalFormatting>
  <conditionalFormatting sqref="J39">
    <cfRule type="containsText" dxfId="1490" priority="153" operator="containsText" text="WIP">
      <formula>NOT(ISERROR(SEARCH(("WIP"),(J39))))</formula>
    </cfRule>
  </conditionalFormatting>
  <conditionalFormatting sqref="J47:J83 J39">
    <cfRule type="containsText" dxfId="1489" priority="155" operator="containsText" text="C">
      <formula>NOT(ISERROR(SEARCH(("C"),(J39))))</formula>
    </cfRule>
  </conditionalFormatting>
  <conditionalFormatting sqref="J50:J51">
    <cfRule type="containsText" dxfId="1488" priority="154" operator="containsText" text="WIP">
      <formula>NOT(ISERROR(SEARCH(("WIP"),(J50))))</formula>
    </cfRule>
  </conditionalFormatting>
  <conditionalFormatting sqref="J61:J64 J69:J71 J74:J79 J82 G58:G59 G62:G64 E204 J84:J85">
    <cfRule type="containsText" dxfId="1487" priority="156" operator="containsText" text="WIP">
      <formula>NOT(ISERROR(SEARCH(("WIP"),(G58))))</formula>
    </cfRule>
  </conditionalFormatting>
  <conditionalFormatting sqref="J84:J101">
    <cfRule type="containsText" dxfId="1486" priority="157" operator="containsText" text="C">
      <formula>NOT(ISERROR(SEARCH(("C"),(J84))))</formula>
    </cfRule>
  </conditionalFormatting>
  <conditionalFormatting sqref="J88:J98">
    <cfRule type="containsText" dxfId="1485" priority="159" operator="containsText" text="WIP">
      <formula>NOT(ISERROR(SEARCH(("WIP"),(J88))))</formula>
    </cfRule>
  </conditionalFormatting>
  <conditionalFormatting sqref="J100:J122">
    <cfRule type="containsText" dxfId="1484" priority="158" operator="containsText" text="WIP">
      <formula>NOT(ISERROR(SEARCH(("WIP"),(J100))))</formula>
    </cfRule>
  </conditionalFormatting>
  <conditionalFormatting sqref="J102:J133">
    <cfRule type="containsText" dxfId="1483" priority="160" operator="containsText" text="C">
      <formula>NOT(ISERROR(SEARCH(("C"),(J102))))</formula>
    </cfRule>
  </conditionalFormatting>
  <conditionalFormatting sqref="J113:J117">
    <cfRule type="containsText" dxfId="1482" priority="162" operator="containsText" text="WIP">
      <formula>NOT(ISERROR(SEARCH(("WIP"),(J113))))</formula>
    </cfRule>
  </conditionalFormatting>
  <conditionalFormatting sqref="J132:J151">
    <cfRule type="containsText" dxfId="1481" priority="163" operator="containsText" text="WIP">
      <formula>NOT(ISERROR(SEARCH(("WIP"),(J132))))</formula>
    </cfRule>
  </conditionalFormatting>
  <conditionalFormatting sqref="J133:J154">
    <cfRule type="containsText" dxfId="1480" priority="164" operator="containsText" text="C">
      <formula>NOT(ISERROR(SEARCH(("C"),(J133))))</formula>
    </cfRule>
  </conditionalFormatting>
  <conditionalFormatting sqref="J154:J171">
    <cfRule type="containsText" dxfId="1479" priority="165" operator="containsText" text="WIP">
      <formula>NOT(ISERROR(SEARCH(("WIP"),(J154))))</formula>
    </cfRule>
  </conditionalFormatting>
  <conditionalFormatting sqref="J155:J213">
    <cfRule type="containsText" dxfId="1478" priority="166" operator="containsText" text="C">
      <formula>NOT(ISERROR(SEARCH(("C"),(J155))))</formula>
    </cfRule>
  </conditionalFormatting>
  <conditionalFormatting sqref="J173:J180">
    <cfRule type="containsText" dxfId="1477" priority="168" operator="containsText" text="WIP">
      <formula>NOT(ISERROR(SEARCH(("WIP"),(J173))))</formula>
    </cfRule>
  </conditionalFormatting>
  <conditionalFormatting sqref="J186:J209">
    <cfRule type="containsText" dxfId="1476" priority="170" operator="containsText" text="WIP">
      <formula>NOT(ISERROR(SEARCH(("WIP"),(J186))))</formula>
    </cfRule>
  </conditionalFormatting>
  <conditionalFormatting sqref="J7:K8">
    <cfRule type="containsText" dxfId="1475" priority="171" operator="containsText" text="C">
      <formula>NOT(ISERROR(SEARCH(("C"),(J7))))</formula>
    </cfRule>
  </conditionalFormatting>
  <conditionalFormatting sqref="K7:K8">
    <cfRule type="containsText" dxfId="1474" priority="172" operator="containsText" text="WIP">
      <formula>NOT(ISERROR(SEARCH(("WIP"),(K7))))</formula>
    </cfRule>
  </conditionalFormatting>
  <conditionalFormatting sqref="M22:M29">
    <cfRule type="containsText" dxfId="1473" priority="185" operator="containsText" text="WIP">
      <formula>NOT(ISERROR(SEARCH(("WIP"),(M22))))</formula>
    </cfRule>
  </conditionalFormatting>
  <conditionalFormatting sqref="M22:M32">
    <cfRule type="containsText" dxfId="1472" priority="53" operator="containsText" text="C">
      <formula>NOT(ISERROR(SEARCH(("C"),(M22))))</formula>
    </cfRule>
  </conditionalFormatting>
  <conditionalFormatting sqref="M30 M51:N51 M61:N64 M6:N6">
    <cfRule type="containsText" dxfId="1471" priority="52" operator="containsText" text="WIP">
      <formula>NOT(ISERROR(SEARCH(("WIP"),(M6))))</formula>
    </cfRule>
  </conditionalFormatting>
  <conditionalFormatting sqref="M30 M51:N51 M61:N64">
    <cfRule type="containsText" dxfId="1470" priority="51" operator="containsText" text="C">
      <formula>NOT(ISERROR(SEARCH(("C"),(M30))))</formula>
    </cfRule>
  </conditionalFormatting>
  <conditionalFormatting sqref="M33:M34">
    <cfRule type="containsText" dxfId="1469" priority="50" operator="containsText" text="C">
      <formula>NOT(ISERROR(SEARCH(("C"),(M33))))</formula>
    </cfRule>
  </conditionalFormatting>
  <conditionalFormatting sqref="M40:M41">
    <cfRule type="containsText" dxfId="1468" priority="42" operator="containsText" text="WIP">
      <formula>NOT(ISERROR(SEARCH(("WIP"),(M40))))</formula>
    </cfRule>
  </conditionalFormatting>
  <conditionalFormatting sqref="M40:M43">
    <cfRule type="containsText" dxfId="1467" priority="43" operator="containsText" text="C">
      <formula>NOT(ISERROR(SEARCH(("C"),(M40))))</formula>
    </cfRule>
  </conditionalFormatting>
  <conditionalFormatting sqref="M42:M43">
    <cfRule type="containsText" dxfId="1466" priority="47" operator="containsText" text="C">
      <formula>NOT(ISERROR(SEARCH(("C"),(M42))))</formula>
    </cfRule>
    <cfRule type="containsText" dxfId="1465" priority="46" operator="containsText" text="WIP">
      <formula>NOT(ISERROR(SEARCH(("WIP"),(M42))))</formula>
    </cfRule>
  </conditionalFormatting>
  <conditionalFormatting sqref="M44:M46 M77:N79">
    <cfRule type="containsText" dxfId="1464" priority="22" operator="containsText" text="C">
      <formula>NOT(ISERROR(SEARCH(("C"),(M44))))</formula>
    </cfRule>
    <cfRule type="containsText" dxfId="1463" priority="24" operator="containsText" text="C">
      <formula>NOT(ISERROR(SEARCH(("C"),(M44))))</formula>
    </cfRule>
    <cfRule type="containsText" dxfId="1462" priority="23" operator="containsText" text="WIP">
      <formula>NOT(ISERROR(SEARCH(("WIP"),(M44))))</formula>
    </cfRule>
  </conditionalFormatting>
  <conditionalFormatting sqref="M88">
    <cfRule type="containsText" dxfId="1461" priority="176" operator="containsText" text="WIP">
      <formula>NOT(ISERROR(SEARCH(("WIP"),(M88))))</formula>
    </cfRule>
    <cfRule type="containsText" dxfId="1460" priority="177" operator="containsText" text="C">
      <formula>NOT(ISERROR(SEARCH(("C"),(M88))))</formula>
    </cfRule>
  </conditionalFormatting>
  <conditionalFormatting sqref="M6:N12">
    <cfRule type="containsText" dxfId="1459" priority="9" operator="containsText" text="C">
      <formula>NOT(ISERROR(SEARCH(("C"),(M6))))</formula>
    </cfRule>
  </conditionalFormatting>
  <conditionalFormatting sqref="M7:N12">
    <cfRule type="containsText" dxfId="1458" priority="8" operator="containsText" text="WIP">
      <formula>NOT(ISERROR(SEARCH(("WIP"),(M7))))</formula>
    </cfRule>
  </conditionalFormatting>
  <conditionalFormatting sqref="M13:N14">
    <cfRule type="containsText" dxfId="1457" priority="14" operator="containsText" text="C">
      <formula>NOT(ISERROR(SEARCH(("C"),(M13))))</formula>
    </cfRule>
  </conditionalFormatting>
  <conditionalFormatting sqref="M15:N16">
    <cfRule type="containsText" dxfId="1456" priority="15" operator="containsText" text="WIP">
      <formula>NOT(ISERROR(SEARCH(("WIP"),(M15))))</formula>
    </cfRule>
  </conditionalFormatting>
  <conditionalFormatting sqref="M15:N18">
    <cfRule type="containsText" dxfId="1455" priority="16" operator="containsText" text="C">
      <formula>NOT(ISERROR(SEARCH(("C"),(M15))))</formula>
    </cfRule>
  </conditionalFormatting>
  <conditionalFormatting sqref="M31:N32">
    <cfRule type="containsText" dxfId="1454" priority="55" operator="containsText" text="WIP">
      <formula>NOT(ISERROR(SEARCH(("WIP"),(M31))))</formula>
    </cfRule>
  </conditionalFormatting>
  <conditionalFormatting sqref="M31:N41 M6:N10 M47:N76 E6:G41">
    <cfRule type="containsText" dxfId="1453" priority="67" operator="containsText" text="C">
      <formula>NOT(ISERROR(SEARCH(("C"),(E6))))</formula>
    </cfRule>
  </conditionalFormatting>
  <conditionalFormatting sqref="M33:N34">
    <cfRule type="containsText" dxfId="1452" priority="29" operator="containsText" text="WIP">
      <formula>NOT(ISERROR(SEARCH(("WIP"),(M33))))</formula>
    </cfRule>
  </conditionalFormatting>
  <conditionalFormatting sqref="N11:N13 M13:M14 N17 N22:N30 N80:N82 M80:M83">
    <cfRule type="containsText" dxfId="1451" priority="175" operator="containsText" text="C">
      <formula>NOT(ISERROR(SEARCH(("C"),(M11))))</formula>
    </cfRule>
  </conditionalFormatting>
  <conditionalFormatting sqref="N14">
    <cfRule type="containsText" dxfId="1450" priority="13" operator="containsText" text="WIP">
      <formula>NOT(ISERROR(SEARCH(("WIP"),(N14))))</formula>
    </cfRule>
  </conditionalFormatting>
  <conditionalFormatting sqref="N17 N80:N82 M80:M83 N22:N30 N13 M13:M14">
    <cfRule type="containsText" dxfId="1449" priority="174" operator="containsText" text="WIP">
      <formula>NOT(ISERROR(SEARCH(("WIP"),(M13))))</formula>
    </cfRule>
  </conditionalFormatting>
  <conditionalFormatting sqref="N17 N80:N82 M80:M83">
    <cfRule type="containsText" dxfId="1448" priority="173" operator="containsText" text="C">
      <formula>NOT(ISERROR(SEARCH(("C"),(M17))))</formula>
    </cfRule>
  </conditionalFormatting>
  <conditionalFormatting sqref="N22:N32">
    <cfRule type="containsText" dxfId="1447" priority="59" operator="containsText" text="C">
      <formula>NOT(ISERROR(SEARCH(("C"),(N22))))</formula>
    </cfRule>
  </conditionalFormatting>
  <conditionalFormatting sqref="N33:N34">
    <cfRule type="containsText" dxfId="1446" priority="28" operator="containsText" text="C">
      <formula>NOT(ISERROR(SEARCH(("C"),(N33))))</formula>
    </cfRule>
  </conditionalFormatting>
  <conditionalFormatting sqref="N39">
    <cfRule type="containsText" dxfId="1445" priority="20" operator="containsText" text="WIP">
      <formula>NOT(ISERROR(SEARCH(("WIP"),(N39))))</formula>
    </cfRule>
  </conditionalFormatting>
  <conditionalFormatting sqref="N39:N40">
    <cfRule type="containsText" dxfId="1444" priority="21" operator="containsText" text="C">
      <formula>NOT(ISERROR(SEARCH(("C"),(N39))))</formula>
    </cfRule>
  </conditionalFormatting>
  <conditionalFormatting sqref="N40:N46">
    <cfRule type="containsText" dxfId="1443" priority="32" operator="containsText" text="WIP">
      <formula>NOT(ISERROR(SEARCH(("WIP"),(N40))))</formula>
    </cfRule>
  </conditionalFormatting>
  <conditionalFormatting sqref="N41:N46">
    <cfRule type="containsText" dxfId="1442" priority="36" operator="containsText" text="C">
      <formula>NOT(ISERROR(SEARCH(("C"),(N41))))</formula>
    </cfRule>
  </conditionalFormatting>
  <conditionalFormatting sqref="N42:N46">
    <cfRule type="containsText" dxfId="1441" priority="25" operator="containsText" text="C">
      <formula>NOT(ISERROR(SEARCH(("C"),(N42))))</formula>
    </cfRule>
  </conditionalFormatting>
  <conditionalFormatting sqref="S6:S64">
    <cfRule type="containsText" dxfId="1440" priority="5" operator="containsText" text="WIP">
      <formula>NOT(ISERROR(SEARCH(("WIP"),(S6))))</formula>
    </cfRule>
  </conditionalFormatting>
  <conditionalFormatting sqref="S6:S70">
    <cfRule type="containsText" dxfId="1439" priority="6" operator="containsText" text="C">
      <formula>NOT(ISERROR(SEARCH(("C"),(S6))))</formula>
    </cfRule>
  </conditionalFormatting>
  <conditionalFormatting sqref="S86:S93 V86:V93">
    <cfRule type="containsText" dxfId="1438" priority="189" operator="containsText" text="WIP">
      <formula>NOT(ISERROR(SEARCH(("WIP"),(S86))))</formula>
    </cfRule>
    <cfRule type="containsText" dxfId="1437" priority="190" operator="containsText" text="C">
      <formula>NOT(ISERROR(SEARCH(("C"),(S86))))</formula>
    </cfRule>
  </conditionalFormatting>
  <conditionalFormatting sqref="S103:S213">
    <cfRule type="containsText" dxfId="1436" priority="191" operator="containsText" text="WIP">
      <formula>NOT(ISERROR(SEARCH(("WIP"),(S103))))</formula>
    </cfRule>
    <cfRule type="containsText" dxfId="1435" priority="192" operator="containsText" text="C">
      <formula>NOT(ISERROR(SEARCH(("C"),(S103))))</formula>
    </cfRule>
  </conditionalFormatting>
  <conditionalFormatting sqref="V6:V64">
    <cfRule type="containsText" dxfId="1434" priority="1" operator="containsText" text="WIP">
      <formula>NOT(ISERROR(SEARCH(("WIP"),(V6))))</formula>
    </cfRule>
  </conditionalFormatting>
  <conditionalFormatting sqref="V6:V70">
    <cfRule type="containsText" dxfId="1433" priority="2" operator="containsText" text="C">
      <formula>NOT(ISERROR(SEARCH(("C"),(V6))))</formula>
    </cfRule>
  </conditionalFormatting>
  <conditionalFormatting sqref="V103:V213">
    <cfRule type="containsText" dxfId="1432" priority="196" operator="containsText" text="WIP">
      <formula>NOT(ISERROR(SEARCH(("WIP"),(V103))))</formula>
    </cfRule>
    <cfRule type="containsText" dxfId="1431" priority="197" operator="containsText" text="C">
      <formula>NOT(ISERROR(SEARCH(("C"),(V103))))</formula>
    </cfRule>
  </conditionalFormatting>
  <pageMargins left="0.11811023622047245" right="0.11811023622047245" top="0.74803149606299213" bottom="0.74803149606299213" header="0" footer="0"/>
  <pageSetup paperSize="9" scale="50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81F18-5814-4E0D-AA39-7412168F0E07}">
  <sheetPr>
    <pageSetUpPr fitToPage="1"/>
  </sheetPr>
  <dimension ref="A1:Z62"/>
  <sheetViews>
    <sheetView workbookViewId="0">
      <pane xSplit="4" ySplit="5" topLeftCell="L39" activePane="bottomRight" state="frozen"/>
      <selection pane="topRight" activeCell="E1" sqref="E1"/>
      <selection pane="bottomLeft" activeCell="A6" sqref="A6"/>
      <selection pane="bottomRight" activeCell="M55" sqref="M55"/>
    </sheetView>
  </sheetViews>
  <sheetFormatPr defaultColWidth="14.42578125" defaultRowHeight="15" customHeight="1"/>
  <cols>
    <col min="1" max="1" width="8.7109375" style="359" customWidth="1"/>
    <col min="2" max="2" width="22.140625" style="359" customWidth="1"/>
    <col min="3" max="3" width="23" style="359" customWidth="1"/>
    <col min="4" max="4" width="12.42578125" style="359" customWidth="1"/>
    <col min="5" max="5" width="11.140625" style="359" customWidth="1"/>
    <col min="6" max="6" width="9.42578125" style="384" customWidth="1"/>
    <col min="7" max="7" width="8.7109375" style="384" customWidth="1"/>
    <col min="8" max="8" width="11.28515625" style="384" customWidth="1"/>
    <col min="9" max="9" width="11.28515625" style="359" customWidth="1"/>
    <col min="10" max="10" width="12.140625" style="359" customWidth="1"/>
    <col min="11" max="12" width="11.28515625" style="359" customWidth="1"/>
    <col min="13" max="13" width="12.140625" style="359" customWidth="1"/>
    <col min="14" max="15" width="11.28515625" style="359" customWidth="1"/>
    <col min="16" max="16" width="21.42578125" style="359" customWidth="1"/>
    <col min="17" max="17" width="5.140625" style="359" customWidth="1"/>
    <col min="18" max="18" width="19.28515625" style="359" customWidth="1"/>
    <col min="19" max="19" width="3" style="359" customWidth="1"/>
    <col min="20" max="20" width="8.7109375" style="359" customWidth="1"/>
    <col min="21" max="22" width="11.28515625" style="359" customWidth="1"/>
    <col min="23" max="23" width="8.7109375" style="359" customWidth="1"/>
    <col min="24" max="25" width="11.28515625" style="359" customWidth="1"/>
    <col min="26" max="26" width="22" style="359" customWidth="1"/>
    <col min="27" max="16384" width="14.42578125" style="359"/>
  </cols>
  <sheetData>
    <row r="1" spans="1:26" ht="14.25" customHeight="1">
      <c r="A1" s="682" t="str">
        <f>+Summary!A2</f>
        <v>Name of the Line: 220KV DC AL59 line from Neemuch - Chanderiya + 132KV DC ACSS Line from Chanderiya to Hindustan Zinc</v>
      </c>
      <c r="B1" s="683"/>
      <c r="C1" s="683"/>
      <c r="D1" s="683"/>
      <c r="E1" s="683"/>
      <c r="F1" s="683"/>
      <c r="G1" s="683"/>
      <c r="H1" s="683"/>
      <c r="I1" s="683"/>
      <c r="J1" s="683"/>
      <c r="K1" s="683"/>
      <c r="L1" s="683"/>
      <c r="M1" s="683"/>
      <c r="N1" s="683"/>
      <c r="O1" s="683"/>
      <c r="P1" s="683"/>
      <c r="Q1" s="683"/>
      <c r="R1" s="683"/>
      <c r="S1" s="683"/>
      <c r="T1" s="683"/>
      <c r="U1" s="683"/>
      <c r="V1" s="683"/>
      <c r="W1" s="683"/>
      <c r="X1" s="683"/>
      <c r="Y1" s="683"/>
      <c r="Z1" s="684"/>
    </row>
    <row r="2" spans="1:26" ht="14.25" customHeight="1">
      <c r="A2" s="685" t="str">
        <f>+Summary!A5</f>
        <v>Progress of 220kV Line</v>
      </c>
      <c r="B2" s="686"/>
      <c r="C2" s="686"/>
      <c r="D2" s="686"/>
      <c r="E2" s="461"/>
      <c r="F2" s="685" t="s">
        <v>602</v>
      </c>
      <c r="G2" s="686"/>
      <c r="H2" s="686"/>
      <c r="I2" s="686"/>
      <c r="J2" s="686"/>
      <c r="K2" s="686"/>
      <c r="L2" s="686"/>
      <c r="M2" s="686"/>
      <c r="N2" s="686"/>
      <c r="O2" s="686"/>
      <c r="P2" s="686"/>
      <c r="Q2" s="686"/>
      <c r="R2" s="686"/>
      <c r="S2" s="469"/>
      <c r="T2" s="685" t="s">
        <v>603</v>
      </c>
      <c r="U2" s="686"/>
      <c r="V2" s="686"/>
      <c r="W2" s="686"/>
      <c r="X2" s="686"/>
      <c r="Y2" s="686"/>
      <c r="Z2" s="686"/>
    </row>
    <row r="3" spans="1:26" ht="14.25" customHeight="1">
      <c r="A3" s="685" t="s">
        <v>604</v>
      </c>
      <c r="B3" s="686"/>
      <c r="C3" s="686"/>
      <c r="D3" s="468">
        <f>Summary!R5</f>
        <v>46162</v>
      </c>
      <c r="E3" s="455">
        <f>SUMIF(E6:E52,"C",$D$6:$D$52)/1000</f>
        <v>6.2313260000000001</v>
      </c>
      <c r="F3" s="461"/>
      <c r="G3" s="461"/>
      <c r="H3" s="456">
        <f>SUMIF(G7:G45,"WIP",$D$7:$D$45)/1000</f>
        <v>0</v>
      </c>
      <c r="I3" s="455">
        <f>SUMIF(G6:G52,"C",$D$6:$D$52)/1000</f>
        <v>6.2313260000000001</v>
      </c>
      <c r="J3" s="461"/>
      <c r="K3" s="456">
        <f>SUMIF(J7:J45,"WIP",$D$7:$D$45)/1000</f>
        <v>0</v>
      </c>
      <c r="L3" s="455">
        <f>SUMIF(J6:J52,"C",$D$6:$D$52)/1000</f>
        <v>6.2313260000000001</v>
      </c>
      <c r="M3" s="461"/>
      <c r="N3" s="461"/>
      <c r="O3" s="461"/>
      <c r="P3" s="461"/>
      <c r="Q3" s="461"/>
      <c r="R3" s="461"/>
      <c r="S3" s="469"/>
      <c r="T3" s="461"/>
      <c r="U3" s="456">
        <f>SUMIF(T7:T45,"WIP",$D$7:$D$45)/1000</f>
        <v>0</v>
      </c>
      <c r="V3" s="456">
        <f>SUMIF(T6:T52,"C",$D$6:$D$52)/1000</f>
        <v>6.2313260000000001</v>
      </c>
      <c r="W3" s="456"/>
      <c r="X3" s="456">
        <f>SUMIF(W7:W45,"WIP",$D$7:$D$45)/1000</f>
        <v>0</v>
      </c>
      <c r="Y3" s="456">
        <f>SUMIF(W7:W52,"C",$D$7:$D$52)/1000</f>
        <v>6.2313260000000001</v>
      </c>
      <c r="Z3" s="461"/>
    </row>
    <row r="4" spans="1:26" ht="14.25" customHeight="1">
      <c r="A4" s="457" t="s">
        <v>2</v>
      </c>
      <c r="B4" s="687" t="s">
        <v>459</v>
      </c>
      <c r="C4" s="686"/>
      <c r="D4" s="457" t="s">
        <v>605</v>
      </c>
      <c r="E4" s="457" t="s">
        <v>606</v>
      </c>
      <c r="F4" s="459" t="s">
        <v>607</v>
      </c>
      <c r="G4" s="688" t="s">
        <v>608</v>
      </c>
      <c r="H4" s="686"/>
      <c r="I4" s="686"/>
      <c r="J4" s="688" t="s">
        <v>388</v>
      </c>
      <c r="K4" s="686"/>
      <c r="L4" s="686"/>
      <c r="M4" s="459" t="s">
        <v>609</v>
      </c>
      <c r="N4" s="459" t="s">
        <v>610</v>
      </c>
      <c r="O4" s="461" t="s">
        <v>611</v>
      </c>
      <c r="P4" s="459" t="s">
        <v>489</v>
      </c>
      <c r="Q4" s="459" t="s">
        <v>569</v>
      </c>
      <c r="R4" s="459" t="s">
        <v>15</v>
      </c>
      <c r="S4" s="460"/>
      <c r="T4" s="685" t="s">
        <v>612</v>
      </c>
      <c r="U4" s="686"/>
      <c r="V4" s="686"/>
      <c r="W4" s="685" t="s">
        <v>613</v>
      </c>
      <c r="X4" s="686"/>
      <c r="Y4" s="686"/>
      <c r="Z4" s="459" t="s">
        <v>489</v>
      </c>
    </row>
    <row r="5" spans="1:26" ht="14.25" customHeight="1">
      <c r="A5" s="457"/>
      <c r="B5" s="458" t="s">
        <v>614</v>
      </c>
      <c r="C5" s="458" t="s">
        <v>615</v>
      </c>
      <c r="D5" s="457"/>
      <c r="E5" s="457"/>
      <c r="F5" s="459"/>
      <c r="G5" s="461" t="s">
        <v>616</v>
      </c>
      <c r="H5" s="461" t="s">
        <v>492</v>
      </c>
      <c r="I5" s="461" t="s">
        <v>23</v>
      </c>
      <c r="J5" s="461" t="s">
        <v>616</v>
      </c>
      <c r="K5" s="461" t="s">
        <v>492</v>
      </c>
      <c r="L5" s="461" t="s">
        <v>23</v>
      </c>
      <c r="M5" s="461" t="s">
        <v>616</v>
      </c>
      <c r="N5" s="461" t="s">
        <v>616</v>
      </c>
      <c r="O5" s="461" t="s">
        <v>616</v>
      </c>
      <c r="P5" s="459"/>
      <c r="Q5" s="459"/>
      <c r="R5" s="459"/>
      <c r="S5" s="460"/>
      <c r="T5" s="461" t="s">
        <v>616</v>
      </c>
      <c r="U5" s="461" t="s">
        <v>492</v>
      </c>
      <c r="V5" s="461" t="s">
        <v>23</v>
      </c>
      <c r="W5" s="461" t="s">
        <v>616</v>
      </c>
      <c r="X5" s="461" t="s">
        <v>492</v>
      </c>
      <c r="Y5" s="461" t="s">
        <v>23</v>
      </c>
      <c r="Z5" s="459"/>
    </row>
    <row r="6" spans="1:26" ht="14.25" customHeight="1">
      <c r="A6" s="451">
        <v>1</v>
      </c>
      <c r="B6" s="462" t="s">
        <v>727</v>
      </c>
      <c r="C6" s="451" t="s">
        <v>728</v>
      </c>
      <c r="D6" s="452">
        <v>58.79</v>
      </c>
      <c r="E6" s="452"/>
      <c r="F6" s="452"/>
      <c r="G6" s="452"/>
      <c r="H6" s="463"/>
      <c r="I6" s="463"/>
      <c r="J6" s="452"/>
      <c r="K6" s="463"/>
      <c r="L6" s="463"/>
      <c r="M6" s="452"/>
      <c r="N6" s="452"/>
      <c r="O6" s="452"/>
      <c r="P6" s="451"/>
      <c r="Q6" s="451"/>
      <c r="R6" s="451"/>
      <c r="S6" s="470"/>
      <c r="T6" s="451"/>
      <c r="U6" s="463"/>
      <c r="V6" s="463"/>
      <c r="W6" s="451"/>
      <c r="X6" s="463"/>
      <c r="Y6" s="463"/>
      <c r="Z6" s="451"/>
    </row>
    <row r="7" spans="1:26" ht="14.25" customHeight="1">
      <c r="A7" s="451">
        <f>A6+1</f>
        <v>2</v>
      </c>
      <c r="B7" s="462" t="s">
        <v>728</v>
      </c>
      <c r="C7" s="451" t="s">
        <v>729</v>
      </c>
      <c r="D7" s="452">
        <v>149.12</v>
      </c>
      <c r="E7" s="452"/>
      <c r="F7" s="452"/>
      <c r="G7" s="452"/>
      <c r="H7" s="463"/>
      <c r="I7" s="463"/>
      <c r="J7" s="452"/>
      <c r="K7" s="463"/>
      <c r="L7" s="463"/>
      <c r="M7" s="452"/>
      <c r="N7" s="452"/>
      <c r="O7" s="452"/>
      <c r="P7" s="451"/>
      <c r="Q7" s="451"/>
      <c r="R7" s="451"/>
      <c r="S7" s="470"/>
      <c r="T7" s="451"/>
      <c r="U7" s="463"/>
      <c r="V7" s="463"/>
      <c r="W7" s="451"/>
      <c r="X7" s="463"/>
      <c r="Y7" s="463"/>
      <c r="Z7" s="451"/>
    </row>
    <row r="8" spans="1:26" ht="14.25" customHeight="1">
      <c r="A8" s="451">
        <f t="shared" ref="A8:A52" si="0">A7+1</f>
        <v>3</v>
      </c>
      <c r="B8" s="451" t="s">
        <v>729</v>
      </c>
      <c r="C8" s="451" t="s">
        <v>730</v>
      </c>
      <c r="D8" s="452">
        <v>128.1</v>
      </c>
      <c r="E8" s="452"/>
      <c r="F8" s="452"/>
      <c r="G8" s="452"/>
      <c r="H8" s="463"/>
      <c r="I8" s="463"/>
      <c r="J8" s="452"/>
      <c r="K8" s="463"/>
      <c r="L8" s="463"/>
      <c r="M8" s="452"/>
      <c r="N8" s="452"/>
      <c r="O8" s="452"/>
      <c r="P8" s="451"/>
      <c r="Q8" s="451"/>
      <c r="R8" s="451"/>
      <c r="S8" s="470"/>
      <c r="T8" s="451"/>
      <c r="U8" s="463"/>
      <c r="V8" s="463"/>
      <c r="W8" s="451"/>
      <c r="X8" s="463"/>
      <c r="Y8" s="463"/>
      <c r="Z8" s="451"/>
    </row>
    <row r="9" spans="1:26" ht="14.25" customHeight="1">
      <c r="A9" s="451">
        <f t="shared" si="0"/>
        <v>4</v>
      </c>
      <c r="B9" s="451" t="s">
        <v>730</v>
      </c>
      <c r="C9" s="451" t="s">
        <v>731</v>
      </c>
      <c r="D9" s="452">
        <v>252.72</v>
      </c>
      <c r="E9" s="452"/>
      <c r="F9" s="452"/>
      <c r="G9" s="452"/>
      <c r="H9" s="463"/>
      <c r="I9" s="463"/>
      <c r="J9" s="452"/>
      <c r="K9" s="463"/>
      <c r="L9" s="463"/>
      <c r="M9" s="452"/>
      <c r="N9" s="452"/>
      <c r="O9" s="452"/>
      <c r="P9" s="451"/>
      <c r="Q9" s="451"/>
      <c r="R9" s="451"/>
      <c r="S9" s="470"/>
      <c r="T9" s="451"/>
      <c r="U9" s="463"/>
      <c r="V9" s="463"/>
      <c r="W9" s="451"/>
      <c r="X9" s="463"/>
      <c r="Y9" s="463"/>
      <c r="Z9" s="451"/>
    </row>
    <row r="10" spans="1:26" ht="14.25" customHeight="1">
      <c r="A10" s="451">
        <f t="shared" si="0"/>
        <v>5</v>
      </c>
      <c r="B10" s="451" t="s">
        <v>731</v>
      </c>
      <c r="C10" s="451" t="s">
        <v>732</v>
      </c>
      <c r="D10" s="452">
        <v>146.74</v>
      </c>
      <c r="E10" s="452"/>
      <c r="F10" s="452"/>
      <c r="G10" s="452"/>
      <c r="H10" s="463"/>
      <c r="I10" s="463"/>
      <c r="J10" s="452"/>
      <c r="K10" s="463"/>
      <c r="L10" s="463"/>
      <c r="M10" s="452"/>
      <c r="N10" s="452"/>
      <c r="O10" s="452"/>
      <c r="P10" s="451"/>
      <c r="Q10" s="451"/>
      <c r="R10" s="451"/>
      <c r="S10" s="470"/>
      <c r="T10" s="451"/>
      <c r="U10" s="463"/>
      <c r="V10" s="463"/>
      <c r="W10" s="451"/>
      <c r="X10" s="463"/>
      <c r="Y10" s="463"/>
      <c r="Z10" s="451"/>
    </row>
    <row r="11" spans="1:26" ht="14.25" customHeight="1">
      <c r="A11" s="451">
        <f t="shared" si="0"/>
        <v>6</v>
      </c>
      <c r="B11" s="451" t="s">
        <v>732</v>
      </c>
      <c r="C11" s="451" t="s">
        <v>733</v>
      </c>
      <c r="D11" s="452">
        <v>190.05</v>
      </c>
      <c r="E11" s="452"/>
      <c r="F11" s="451"/>
      <c r="G11" s="451"/>
      <c r="H11" s="463"/>
      <c r="I11" s="463"/>
      <c r="J11" s="451"/>
      <c r="K11" s="463"/>
      <c r="L11" s="463"/>
      <c r="M11" s="451"/>
      <c r="N11" s="451"/>
      <c r="O11" s="451"/>
      <c r="P11" s="451"/>
      <c r="Q11" s="451"/>
      <c r="R11" s="451"/>
      <c r="S11" s="470"/>
      <c r="T11" s="451"/>
      <c r="U11" s="463"/>
      <c r="V11" s="463"/>
      <c r="W11" s="451"/>
      <c r="X11" s="463"/>
      <c r="Y11" s="463"/>
      <c r="Z11" s="451"/>
    </row>
    <row r="12" spans="1:26" ht="14.25" customHeight="1">
      <c r="A12" s="451">
        <f t="shared" si="0"/>
        <v>7</v>
      </c>
      <c r="B12" s="451" t="s">
        <v>733</v>
      </c>
      <c r="C12" s="451" t="s">
        <v>734</v>
      </c>
      <c r="D12" s="452">
        <v>83.39</v>
      </c>
      <c r="E12" s="452"/>
      <c r="F12" s="451"/>
      <c r="G12" s="451"/>
      <c r="H12" s="463"/>
      <c r="I12" s="463"/>
      <c r="J12" s="451"/>
      <c r="K12" s="463"/>
      <c r="L12" s="463"/>
      <c r="M12" s="451"/>
      <c r="N12" s="451"/>
      <c r="O12" s="451"/>
      <c r="P12" s="451"/>
      <c r="Q12" s="451"/>
      <c r="R12" s="451"/>
      <c r="S12" s="470"/>
      <c r="T12" s="451"/>
      <c r="U12" s="463"/>
      <c r="V12" s="463"/>
      <c r="W12" s="451"/>
      <c r="X12" s="463"/>
      <c r="Y12" s="463"/>
      <c r="Z12" s="451"/>
    </row>
    <row r="13" spans="1:26" ht="14.25" customHeight="1">
      <c r="A13" s="451">
        <f t="shared" si="0"/>
        <v>8</v>
      </c>
      <c r="B13" s="451" t="s">
        <v>737</v>
      </c>
      <c r="C13" s="451" t="s">
        <v>735</v>
      </c>
      <c r="D13" s="452">
        <v>120.53</v>
      </c>
      <c r="E13" s="452"/>
      <c r="F13" s="452"/>
      <c r="G13" s="452"/>
      <c r="H13" s="463"/>
      <c r="I13" s="463"/>
      <c r="J13" s="452"/>
      <c r="K13" s="463"/>
      <c r="L13" s="463"/>
      <c r="M13" s="452"/>
      <c r="N13" s="452"/>
      <c r="O13" s="452"/>
      <c r="P13" s="451"/>
      <c r="Q13" s="451"/>
      <c r="R13" s="451"/>
      <c r="S13" s="470"/>
      <c r="T13" s="451"/>
      <c r="U13" s="463"/>
      <c r="V13" s="463"/>
      <c r="W13" s="451"/>
      <c r="X13" s="463"/>
      <c r="Y13" s="463"/>
      <c r="Z13" s="451"/>
    </row>
    <row r="14" spans="1:26" ht="14.25" customHeight="1">
      <c r="A14" s="451">
        <f t="shared" si="0"/>
        <v>9</v>
      </c>
      <c r="B14" s="451" t="s">
        <v>735</v>
      </c>
      <c r="C14" s="451" t="s">
        <v>711</v>
      </c>
      <c r="D14" s="452">
        <v>259.51</v>
      </c>
      <c r="E14" s="452"/>
      <c r="F14" s="452"/>
      <c r="G14" s="452"/>
      <c r="H14" s="463"/>
      <c r="I14" s="463"/>
      <c r="J14" s="452"/>
      <c r="K14" s="463"/>
      <c r="L14" s="463"/>
      <c r="M14" s="452"/>
      <c r="N14" s="452"/>
      <c r="O14" s="451"/>
      <c r="P14" s="451"/>
      <c r="Q14" s="451"/>
      <c r="R14" s="451"/>
      <c r="S14" s="470"/>
      <c r="T14" s="451"/>
      <c r="U14" s="463"/>
      <c r="V14" s="463"/>
      <c r="W14" s="451"/>
      <c r="X14" s="463"/>
      <c r="Y14" s="463"/>
      <c r="Z14" s="451"/>
    </row>
    <row r="15" spans="1:26" ht="14.25" customHeight="1">
      <c r="A15" s="451">
        <f t="shared" si="0"/>
        <v>10</v>
      </c>
      <c r="B15" s="451" t="s">
        <v>711</v>
      </c>
      <c r="C15" s="451" t="s">
        <v>713</v>
      </c>
      <c r="D15" s="452">
        <v>256.61</v>
      </c>
      <c r="E15" s="452"/>
      <c r="F15" s="452"/>
      <c r="G15" s="451"/>
      <c r="H15" s="463"/>
      <c r="I15" s="463"/>
      <c r="J15" s="451"/>
      <c r="K15" s="463"/>
      <c r="L15" s="463"/>
      <c r="M15" s="451"/>
      <c r="N15" s="451"/>
      <c r="O15" s="451"/>
      <c r="P15" s="451"/>
      <c r="Q15" s="451"/>
      <c r="R15" s="451"/>
      <c r="S15" s="470"/>
      <c r="T15" s="451"/>
      <c r="U15" s="463"/>
      <c r="V15" s="463"/>
      <c r="W15" s="451"/>
      <c r="X15" s="463"/>
      <c r="Y15" s="463"/>
      <c r="Z15" s="451"/>
    </row>
    <row r="16" spans="1:26" ht="14.25" customHeight="1">
      <c r="A16" s="451">
        <f t="shared" si="0"/>
        <v>11</v>
      </c>
      <c r="B16" s="451" t="s">
        <v>713</v>
      </c>
      <c r="C16" s="451" t="s">
        <v>715</v>
      </c>
      <c r="D16" s="452">
        <v>277.95</v>
      </c>
      <c r="E16" s="452"/>
      <c r="F16" s="452"/>
      <c r="G16" s="451"/>
      <c r="H16" s="463"/>
      <c r="I16" s="463"/>
      <c r="J16" s="451"/>
      <c r="K16" s="463"/>
      <c r="L16" s="463"/>
      <c r="M16" s="451"/>
      <c r="N16" s="451"/>
      <c r="O16" s="451"/>
      <c r="P16" s="451"/>
      <c r="Q16" s="451"/>
      <c r="R16" s="451"/>
      <c r="S16" s="470"/>
      <c r="T16" s="451"/>
      <c r="U16" s="463"/>
      <c r="V16" s="463"/>
      <c r="W16" s="451"/>
      <c r="X16" s="463"/>
      <c r="Y16" s="463"/>
      <c r="Z16" s="451"/>
    </row>
    <row r="17" spans="1:26" ht="14.25" customHeight="1">
      <c r="A17" s="451">
        <f t="shared" si="0"/>
        <v>12</v>
      </c>
      <c r="B17" s="451" t="s">
        <v>715</v>
      </c>
      <c r="C17" s="451" t="s">
        <v>716</v>
      </c>
      <c r="D17" s="452">
        <v>202.25</v>
      </c>
      <c r="E17" s="452"/>
      <c r="F17" s="452"/>
      <c r="G17" s="452"/>
      <c r="H17" s="463"/>
      <c r="I17" s="463"/>
      <c r="J17" s="452"/>
      <c r="K17" s="463"/>
      <c r="L17" s="463"/>
      <c r="M17" s="452"/>
      <c r="N17" s="452"/>
      <c r="O17" s="452"/>
      <c r="P17" s="451"/>
      <c r="Q17" s="451"/>
      <c r="R17" s="451"/>
      <c r="S17" s="470"/>
      <c r="T17" s="451"/>
      <c r="U17" s="463"/>
      <c r="V17" s="463"/>
      <c r="W17" s="451"/>
      <c r="X17" s="463"/>
      <c r="Y17" s="463"/>
      <c r="Z17" s="451"/>
    </row>
    <row r="18" spans="1:26" ht="14.25" customHeight="1">
      <c r="A18" s="451">
        <f t="shared" si="0"/>
        <v>13</v>
      </c>
      <c r="B18" s="451" t="s">
        <v>716</v>
      </c>
      <c r="C18" s="451" t="s">
        <v>38</v>
      </c>
      <c r="D18" s="452">
        <v>62.76</v>
      </c>
      <c r="E18" s="452"/>
      <c r="F18" s="452"/>
      <c r="G18" s="452"/>
      <c r="H18" s="463"/>
      <c r="I18" s="463"/>
      <c r="J18" s="452"/>
      <c r="K18" s="463"/>
      <c r="L18" s="463"/>
      <c r="M18" s="452"/>
      <c r="N18" s="452"/>
      <c r="O18" s="452"/>
      <c r="P18" s="451"/>
      <c r="Q18" s="451"/>
      <c r="R18" s="451"/>
      <c r="S18" s="470"/>
      <c r="T18" s="451"/>
      <c r="U18" s="463"/>
      <c r="V18" s="463"/>
      <c r="W18" s="451"/>
      <c r="X18" s="463"/>
      <c r="Y18" s="463"/>
      <c r="Z18" s="451"/>
    </row>
    <row r="19" spans="1:26" ht="14.25" customHeight="1">
      <c r="A19" s="451">
        <f t="shared" si="0"/>
        <v>14</v>
      </c>
      <c r="B19" s="451" t="s">
        <v>38</v>
      </c>
      <c r="C19" s="451" t="s">
        <v>64</v>
      </c>
      <c r="D19" s="452">
        <v>278.14999999999998</v>
      </c>
      <c r="E19" s="452"/>
      <c r="F19" s="451"/>
      <c r="G19" s="451"/>
      <c r="H19" s="463"/>
      <c r="I19" s="463"/>
      <c r="J19" s="451"/>
      <c r="K19" s="463"/>
      <c r="L19" s="463"/>
      <c r="M19" s="451"/>
      <c r="N19" s="451"/>
      <c r="O19" s="451"/>
      <c r="P19" s="451"/>
      <c r="Q19" s="451"/>
      <c r="R19" s="451"/>
      <c r="S19" s="470"/>
      <c r="T19" s="451"/>
      <c r="U19" s="463"/>
      <c r="V19" s="463"/>
      <c r="W19" s="451"/>
      <c r="X19" s="463"/>
      <c r="Y19" s="463"/>
      <c r="Z19" s="451"/>
    </row>
    <row r="20" spans="1:26" ht="14.25" customHeight="1">
      <c r="A20" s="451">
        <f t="shared" si="0"/>
        <v>15</v>
      </c>
      <c r="B20" s="451" t="s">
        <v>64</v>
      </c>
      <c r="C20" s="451" t="s">
        <v>344</v>
      </c>
      <c r="D20" s="452">
        <v>234.56</v>
      </c>
      <c r="E20" s="452"/>
      <c r="F20" s="451"/>
      <c r="G20" s="451"/>
      <c r="H20" s="463"/>
      <c r="I20" s="463"/>
      <c r="J20" s="451"/>
      <c r="K20" s="463"/>
      <c r="L20" s="463"/>
      <c r="M20" s="451"/>
      <c r="N20" s="451"/>
      <c r="O20" s="451"/>
      <c r="P20" s="451"/>
      <c r="Q20" s="451"/>
      <c r="R20" s="451"/>
      <c r="S20" s="470"/>
      <c r="T20" s="451"/>
      <c r="U20" s="463"/>
      <c r="V20" s="463"/>
      <c r="W20" s="451"/>
      <c r="X20" s="463"/>
      <c r="Y20" s="463"/>
      <c r="Z20" s="451"/>
    </row>
    <row r="21" spans="1:26" ht="14.25" customHeight="1">
      <c r="A21" s="451">
        <f t="shared" si="0"/>
        <v>16</v>
      </c>
      <c r="B21" s="451" t="s">
        <v>344</v>
      </c>
      <c r="C21" s="451" t="s">
        <v>67</v>
      </c>
      <c r="D21" s="452">
        <v>249.04</v>
      </c>
      <c r="E21" s="452"/>
      <c r="F21" s="451"/>
      <c r="G21" s="451"/>
      <c r="H21" s="463"/>
      <c r="I21" s="463"/>
      <c r="J21" s="451"/>
      <c r="K21" s="463"/>
      <c r="L21" s="463"/>
      <c r="M21" s="451"/>
      <c r="N21" s="451"/>
      <c r="O21" s="451"/>
      <c r="P21" s="451"/>
      <c r="Q21" s="451"/>
      <c r="R21" s="451"/>
      <c r="S21" s="470"/>
      <c r="T21" s="451"/>
      <c r="U21" s="463"/>
      <c r="V21" s="463"/>
      <c r="W21" s="451"/>
      <c r="X21" s="463"/>
      <c r="Y21" s="463"/>
      <c r="Z21" s="451"/>
    </row>
    <row r="22" spans="1:26" ht="14.25" customHeight="1">
      <c r="A22" s="451">
        <f t="shared" si="0"/>
        <v>17</v>
      </c>
      <c r="B22" s="451" t="s">
        <v>67</v>
      </c>
      <c r="C22" s="451" t="s">
        <v>310</v>
      </c>
      <c r="D22" s="452">
        <v>256</v>
      </c>
      <c r="E22" s="475" t="s">
        <v>20</v>
      </c>
      <c r="F22" s="475" t="s">
        <v>20</v>
      </c>
      <c r="G22" s="475" t="s">
        <v>20</v>
      </c>
      <c r="H22" s="463">
        <v>46149</v>
      </c>
      <c r="I22" s="463">
        <v>46150</v>
      </c>
      <c r="J22" s="475" t="s">
        <v>20</v>
      </c>
      <c r="K22" s="463">
        <f>I22</f>
        <v>46150</v>
      </c>
      <c r="L22" s="463">
        <f>K22+1</f>
        <v>46151</v>
      </c>
      <c r="M22" s="475" t="s">
        <v>20</v>
      </c>
      <c r="N22" s="475" t="s">
        <v>20</v>
      </c>
      <c r="O22" s="452"/>
      <c r="P22" s="451" t="s">
        <v>761</v>
      </c>
      <c r="Q22" s="451"/>
      <c r="R22" s="451"/>
      <c r="S22" s="470"/>
      <c r="T22" s="475" t="s">
        <v>20</v>
      </c>
      <c r="U22" s="583">
        <v>46156</v>
      </c>
      <c r="V22" s="583">
        <v>46156</v>
      </c>
      <c r="W22" s="475" t="s">
        <v>20</v>
      </c>
      <c r="X22" s="583">
        <v>46157</v>
      </c>
      <c r="Y22" s="583">
        <v>46157</v>
      </c>
      <c r="Z22" s="451" t="s">
        <v>766</v>
      </c>
    </row>
    <row r="23" spans="1:26" ht="14.25" customHeight="1">
      <c r="A23" s="451">
        <f t="shared" si="0"/>
        <v>18</v>
      </c>
      <c r="B23" s="451" t="s">
        <v>310</v>
      </c>
      <c r="C23" s="451" t="s">
        <v>69</v>
      </c>
      <c r="D23" s="452">
        <v>226.52</v>
      </c>
      <c r="E23" s="475" t="s">
        <v>20</v>
      </c>
      <c r="F23" s="475" t="s">
        <v>20</v>
      </c>
      <c r="G23" s="475" t="s">
        <v>20</v>
      </c>
      <c r="H23" s="463">
        <v>46149</v>
      </c>
      <c r="I23" s="463">
        <v>46150</v>
      </c>
      <c r="J23" s="475" t="s">
        <v>20</v>
      </c>
      <c r="K23" s="463">
        <f>I23</f>
        <v>46150</v>
      </c>
      <c r="L23" s="463">
        <f>K23+1</f>
        <v>46151</v>
      </c>
      <c r="M23" s="475" t="s">
        <v>20</v>
      </c>
      <c r="N23" s="475" t="s">
        <v>20</v>
      </c>
      <c r="O23" s="475" t="s">
        <v>20</v>
      </c>
      <c r="P23" s="451" t="s">
        <v>761</v>
      </c>
      <c r="Q23" s="451"/>
      <c r="R23" s="451"/>
      <c r="S23" s="470"/>
      <c r="T23" s="475" t="s">
        <v>20</v>
      </c>
      <c r="U23" s="583">
        <v>46156</v>
      </c>
      <c r="V23" s="583">
        <v>46156</v>
      </c>
      <c r="W23" s="475" t="s">
        <v>20</v>
      </c>
      <c r="X23" s="583">
        <v>46157</v>
      </c>
      <c r="Y23" s="583">
        <v>46157</v>
      </c>
      <c r="Z23" s="451" t="s">
        <v>766</v>
      </c>
    </row>
    <row r="24" spans="1:26" ht="14.25" customHeight="1">
      <c r="A24" s="451">
        <f t="shared" si="0"/>
        <v>19</v>
      </c>
      <c r="B24" s="451" t="s">
        <v>69</v>
      </c>
      <c r="C24" s="451" t="s">
        <v>71</v>
      </c>
      <c r="D24" s="452">
        <v>43.62</v>
      </c>
      <c r="E24" s="475" t="s">
        <v>20</v>
      </c>
      <c r="F24" s="475" t="s">
        <v>20</v>
      </c>
      <c r="G24" s="475" t="s">
        <v>20</v>
      </c>
      <c r="H24" s="463">
        <v>46111</v>
      </c>
      <c r="I24" s="463">
        <v>46112</v>
      </c>
      <c r="J24" s="475" t="s">
        <v>20</v>
      </c>
      <c r="K24" s="463">
        <v>46113</v>
      </c>
      <c r="L24" s="463">
        <v>46114</v>
      </c>
      <c r="M24" s="475" t="s">
        <v>20</v>
      </c>
      <c r="N24" s="475" t="s">
        <v>20</v>
      </c>
      <c r="O24" s="475" t="s">
        <v>20</v>
      </c>
      <c r="P24" s="451" t="s">
        <v>761</v>
      </c>
      <c r="Q24" s="451"/>
      <c r="R24" s="451"/>
      <c r="S24" s="470"/>
      <c r="T24" s="475" t="s">
        <v>20</v>
      </c>
      <c r="U24" s="583">
        <v>46156</v>
      </c>
      <c r="V24" s="583">
        <v>46156</v>
      </c>
      <c r="W24" s="475" t="s">
        <v>20</v>
      </c>
      <c r="X24" s="583">
        <v>46157</v>
      </c>
      <c r="Y24" s="583">
        <v>46157</v>
      </c>
      <c r="Z24" s="451" t="s">
        <v>766</v>
      </c>
    </row>
    <row r="25" spans="1:26" ht="14.25" customHeight="1">
      <c r="A25" s="451">
        <f t="shared" si="0"/>
        <v>20</v>
      </c>
      <c r="B25" s="451" t="s">
        <v>71</v>
      </c>
      <c r="C25" s="451" t="s">
        <v>72</v>
      </c>
      <c r="D25" s="452">
        <v>52</v>
      </c>
      <c r="E25" s="475" t="s">
        <v>20</v>
      </c>
      <c r="F25" s="475" t="s">
        <v>20</v>
      </c>
      <c r="G25" s="475" t="s">
        <v>20</v>
      </c>
      <c r="H25" s="463">
        <v>46111</v>
      </c>
      <c r="I25" s="463">
        <v>46112</v>
      </c>
      <c r="J25" s="475" t="s">
        <v>20</v>
      </c>
      <c r="K25" s="463">
        <v>46112</v>
      </c>
      <c r="L25" s="463">
        <v>46112</v>
      </c>
      <c r="M25" s="475" t="s">
        <v>20</v>
      </c>
      <c r="N25" s="475" t="s">
        <v>20</v>
      </c>
      <c r="O25" s="475" t="s">
        <v>20</v>
      </c>
      <c r="P25" s="451"/>
      <c r="Q25" s="451"/>
      <c r="R25" s="451"/>
      <c r="S25" s="470"/>
      <c r="T25" s="475" t="s">
        <v>20</v>
      </c>
      <c r="U25" s="583">
        <v>46156</v>
      </c>
      <c r="V25" s="583">
        <v>46156</v>
      </c>
      <c r="W25" s="475" t="s">
        <v>20</v>
      </c>
      <c r="X25" s="583">
        <v>46157</v>
      </c>
      <c r="Y25" s="583">
        <v>46157</v>
      </c>
      <c r="Z25" s="451" t="s">
        <v>766</v>
      </c>
    </row>
    <row r="26" spans="1:26" ht="14.25" customHeight="1">
      <c r="A26" s="451">
        <f t="shared" si="0"/>
        <v>21</v>
      </c>
      <c r="B26" s="451" t="s">
        <v>72</v>
      </c>
      <c r="C26" s="451" t="s">
        <v>93</v>
      </c>
      <c r="D26" s="452">
        <v>47.06</v>
      </c>
      <c r="E26" s="475" t="s">
        <v>20</v>
      </c>
      <c r="F26" s="475" t="s">
        <v>20</v>
      </c>
      <c r="G26" s="475" t="s">
        <v>20</v>
      </c>
      <c r="H26" s="463">
        <v>46111</v>
      </c>
      <c r="I26" s="463">
        <v>46112</v>
      </c>
      <c r="J26" s="475" t="s">
        <v>20</v>
      </c>
      <c r="K26" s="463">
        <v>46113</v>
      </c>
      <c r="L26" s="463">
        <v>46114</v>
      </c>
      <c r="M26" s="475" t="s">
        <v>20</v>
      </c>
      <c r="N26" s="475" t="s">
        <v>20</v>
      </c>
      <c r="O26" s="475" t="s">
        <v>20</v>
      </c>
      <c r="P26" s="451" t="s">
        <v>741</v>
      </c>
      <c r="Q26" s="451"/>
      <c r="R26" s="451"/>
      <c r="S26" s="470"/>
      <c r="T26" s="475" t="s">
        <v>20</v>
      </c>
      <c r="U26" s="583">
        <v>46156</v>
      </c>
      <c r="V26" s="583">
        <v>46156</v>
      </c>
      <c r="W26" s="475" t="s">
        <v>20</v>
      </c>
      <c r="X26" s="583">
        <v>46157</v>
      </c>
      <c r="Y26" s="583">
        <v>46157</v>
      </c>
      <c r="Z26" s="451" t="s">
        <v>766</v>
      </c>
    </row>
    <row r="27" spans="1:26" ht="14.25" customHeight="1">
      <c r="A27" s="451">
        <f t="shared" si="0"/>
        <v>22</v>
      </c>
      <c r="B27" s="451" t="s">
        <v>93</v>
      </c>
      <c r="C27" s="451" t="s">
        <v>104</v>
      </c>
      <c r="D27" s="452">
        <v>286.44</v>
      </c>
      <c r="E27" s="475" t="s">
        <v>20</v>
      </c>
      <c r="F27" s="475" t="s">
        <v>20</v>
      </c>
      <c r="G27" s="475" t="s">
        <v>20</v>
      </c>
      <c r="H27" s="463">
        <v>46106</v>
      </c>
      <c r="I27" s="463">
        <v>46106</v>
      </c>
      <c r="J27" s="475" t="s">
        <v>20</v>
      </c>
      <c r="K27" s="463">
        <v>46113</v>
      </c>
      <c r="L27" s="463">
        <v>46114</v>
      </c>
      <c r="M27" s="475" t="s">
        <v>20</v>
      </c>
      <c r="N27" s="475" t="s">
        <v>20</v>
      </c>
      <c r="O27" s="475" t="s">
        <v>20</v>
      </c>
      <c r="P27" s="451" t="s">
        <v>741</v>
      </c>
      <c r="Q27" s="451"/>
      <c r="R27" s="451"/>
      <c r="S27" s="470"/>
      <c r="T27" s="475" t="s">
        <v>20</v>
      </c>
      <c r="U27" s="583">
        <v>46156</v>
      </c>
      <c r="V27" s="583">
        <v>46156</v>
      </c>
      <c r="W27" s="475" t="s">
        <v>20</v>
      </c>
      <c r="X27" s="583">
        <v>46157</v>
      </c>
      <c r="Y27" s="583">
        <v>46157</v>
      </c>
      <c r="Z27" s="451" t="s">
        <v>766</v>
      </c>
    </row>
    <row r="28" spans="1:26" ht="14.25" customHeight="1">
      <c r="A28" s="451">
        <f t="shared" si="0"/>
        <v>23</v>
      </c>
      <c r="B28" s="451" t="s">
        <v>104</v>
      </c>
      <c r="C28" s="451" t="s">
        <v>697</v>
      </c>
      <c r="D28" s="452">
        <v>317</v>
      </c>
      <c r="E28" s="475" t="s">
        <v>20</v>
      </c>
      <c r="F28" s="475" t="s">
        <v>20</v>
      </c>
      <c r="G28" s="475" t="s">
        <v>20</v>
      </c>
      <c r="H28" s="463">
        <v>46107</v>
      </c>
      <c r="I28" s="463">
        <v>46108</v>
      </c>
      <c r="J28" s="475" t="s">
        <v>20</v>
      </c>
      <c r="K28" s="463">
        <v>46111</v>
      </c>
      <c r="L28" s="463">
        <v>46111</v>
      </c>
      <c r="M28" s="475" t="s">
        <v>20</v>
      </c>
      <c r="N28" s="475" t="s">
        <v>20</v>
      </c>
      <c r="O28" s="475" t="s">
        <v>20</v>
      </c>
      <c r="P28" s="451" t="s">
        <v>741</v>
      </c>
      <c r="Q28" s="451"/>
      <c r="R28" s="451"/>
      <c r="S28" s="470"/>
      <c r="T28" s="475" t="s">
        <v>20</v>
      </c>
      <c r="U28" s="583">
        <v>46156</v>
      </c>
      <c r="V28" s="583">
        <v>46156</v>
      </c>
      <c r="W28" s="475" t="s">
        <v>20</v>
      </c>
      <c r="X28" s="583">
        <v>46157</v>
      </c>
      <c r="Y28" s="583">
        <v>46157</v>
      </c>
      <c r="Z28" s="451" t="s">
        <v>766</v>
      </c>
    </row>
    <row r="29" spans="1:26" ht="14.25" customHeight="1">
      <c r="A29" s="451">
        <f t="shared" si="0"/>
        <v>24</v>
      </c>
      <c r="B29" s="451" t="s">
        <v>697</v>
      </c>
      <c r="C29" s="451" t="s">
        <v>698</v>
      </c>
      <c r="D29" s="452">
        <v>328</v>
      </c>
      <c r="E29" s="475" t="s">
        <v>20</v>
      </c>
      <c r="F29" s="475" t="s">
        <v>20</v>
      </c>
      <c r="G29" s="475" t="s">
        <v>20</v>
      </c>
      <c r="H29" s="463">
        <v>46107</v>
      </c>
      <c r="I29" s="463">
        <v>46108</v>
      </c>
      <c r="J29" s="475" t="s">
        <v>20</v>
      </c>
      <c r="K29" s="463">
        <v>46111</v>
      </c>
      <c r="L29" s="463">
        <v>46111</v>
      </c>
      <c r="M29" s="475" t="s">
        <v>20</v>
      </c>
      <c r="N29" s="475" t="s">
        <v>20</v>
      </c>
      <c r="O29" s="475" t="s">
        <v>20</v>
      </c>
      <c r="P29" s="451" t="s">
        <v>741</v>
      </c>
      <c r="Q29" s="451"/>
      <c r="R29" s="451"/>
      <c r="S29" s="470"/>
      <c r="T29" s="475" t="s">
        <v>20</v>
      </c>
      <c r="U29" s="583">
        <v>46156</v>
      </c>
      <c r="V29" s="583">
        <v>46156</v>
      </c>
      <c r="W29" s="475" t="s">
        <v>20</v>
      </c>
      <c r="X29" s="583">
        <v>46157</v>
      </c>
      <c r="Y29" s="583">
        <v>46157</v>
      </c>
      <c r="Z29" s="451" t="s">
        <v>766</v>
      </c>
    </row>
    <row r="30" spans="1:26" ht="14.25" customHeight="1">
      <c r="A30" s="451">
        <f t="shared" si="0"/>
        <v>25</v>
      </c>
      <c r="B30" s="451" t="s">
        <v>698</v>
      </c>
      <c r="C30" s="451" t="s">
        <v>699</v>
      </c>
      <c r="D30" s="452">
        <v>297</v>
      </c>
      <c r="E30" s="475" t="s">
        <v>20</v>
      </c>
      <c r="F30" s="475" t="s">
        <v>20</v>
      </c>
      <c r="G30" s="475" t="s">
        <v>20</v>
      </c>
      <c r="H30" s="463">
        <v>46107</v>
      </c>
      <c r="I30" s="463">
        <v>46108</v>
      </c>
      <c r="J30" s="475" t="s">
        <v>20</v>
      </c>
      <c r="K30" s="463">
        <v>46111</v>
      </c>
      <c r="L30" s="463">
        <v>46111</v>
      </c>
      <c r="M30" s="475" t="s">
        <v>20</v>
      </c>
      <c r="N30" s="475" t="s">
        <v>20</v>
      </c>
      <c r="O30" s="475" t="s">
        <v>20</v>
      </c>
      <c r="P30" s="451" t="s">
        <v>741</v>
      </c>
      <c r="Q30" s="451"/>
      <c r="R30" s="451"/>
      <c r="S30" s="470"/>
      <c r="T30" s="475" t="s">
        <v>20</v>
      </c>
      <c r="U30" s="583">
        <v>46156</v>
      </c>
      <c r="V30" s="583">
        <v>46156</v>
      </c>
      <c r="W30" s="475" t="s">
        <v>20</v>
      </c>
      <c r="X30" s="583">
        <v>46157</v>
      </c>
      <c r="Y30" s="583">
        <v>46157</v>
      </c>
      <c r="Z30" s="451" t="s">
        <v>766</v>
      </c>
    </row>
    <row r="31" spans="1:26" ht="14.25" customHeight="1">
      <c r="A31" s="451">
        <f t="shared" si="0"/>
        <v>26</v>
      </c>
      <c r="B31" s="451" t="s">
        <v>699</v>
      </c>
      <c r="C31" s="451" t="s">
        <v>700</v>
      </c>
      <c r="D31" s="452">
        <v>251</v>
      </c>
      <c r="E31" s="475" t="s">
        <v>20</v>
      </c>
      <c r="F31" s="475" t="s">
        <v>20</v>
      </c>
      <c r="G31" s="475" t="s">
        <v>20</v>
      </c>
      <c r="H31" s="463">
        <v>46107</v>
      </c>
      <c r="I31" s="463">
        <v>46108</v>
      </c>
      <c r="J31" s="475" t="s">
        <v>20</v>
      </c>
      <c r="K31" s="463">
        <v>46111</v>
      </c>
      <c r="L31" s="463">
        <v>46111</v>
      </c>
      <c r="M31" s="475" t="s">
        <v>20</v>
      </c>
      <c r="N31" s="475" t="s">
        <v>20</v>
      </c>
      <c r="O31" s="475" t="s">
        <v>20</v>
      </c>
      <c r="P31" s="451" t="s">
        <v>741</v>
      </c>
      <c r="Q31" s="451"/>
      <c r="R31" s="451"/>
      <c r="S31" s="470"/>
      <c r="T31" s="475" t="s">
        <v>20</v>
      </c>
      <c r="U31" s="583">
        <v>46156</v>
      </c>
      <c r="V31" s="583">
        <v>46156</v>
      </c>
      <c r="W31" s="475" t="s">
        <v>20</v>
      </c>
      <c r="X31" s="583">
        <v>46157</v>
      </c>
      <c r="Y31" s="583">
        <v>46157</v>
      </c>
      <c r="Z31" s="451" t="s">
        <v>766</v>
      </c>
    </row>
    <row r="32" spans="1:26" ht="14.25" customHeight="1">
      <c r="A32" s="451">
        <f t="shared" si="0"/>
        <v>27</v>
      </c>
      <c r="B32" s="451" t="s">
        <v>700</v>
      </c>
      <c r="C32" s="451" t="s">
        <v>106</v>
      </c>
      <c r="D32" s="452">
        <v>308.23</v>
      </c>
      <c r="E32" s="475" t="s">
        <v>20</v>
      </c>
      <c r="F32" s="475" t="s">
        <v>20</v>
      </c>
      <c r="G32" s="475" t="s">
        <v>20</v>
      </c>
      <c r="H32" s="463">
        <v>46107</v>
      </c>
      <c r="I32" s="463">
        <v>46108</v>
      </c>
      <c r="J32" s="475" t="s">
        <v>20</v>
      </c>
      <c r="K32" s="463">
        <v>46111</v>
      </c>
      <c r="L32" s="463">
        <v>46111</v>
      </c>
      <c r="M32" s="475" t="s">
        <v>20</v>
      </c>
      <c r="N32" s="475" t="s">
        <v>20</v>
      </c>
      <c r="O32" s="475" t="s">
        <v>20</v>
      </c>
      <c r="P32" s="451" t="s">
        <v>741</v>
      </c>
      <c r="Q32" s="451"/>
      <c r="R32" s="451"/>
      <c r="S32" s="470"/>
      <c r="T32" s="475" t="s">
        <v>20</v>
      </c>
      <c r="U32" s="583">
        <v>46156</v>
      </c>
      <c r="V32" s="583">
        <v>46156</v>
      </c>
      <c r="W32" s="475" t="s">
        <v>20</v>
      </c>
      <c r="X32" s="583">
        <v>46157</v>
      </c>
      <c r="Y32" s="583">
        <v>46157</v>
      </c>
      <c r="Z32" s="451" t="s">
        <v>766</v>
      </c>
    </row>
    <row r="33" spans="1:26" ht="14.25" customHeight="1">
      <c r="A33" s="451">
        <f t="shared" si="0"/>
        <v>28</v>
      </c>
      <c r="B33" s="451" t="s">
        <v>106</v>
      </c>
      <c r="C33" s="451" t="s">
        <v>111</v>
      </c>
      <c r="D33" s="452">
        <v>278.12</v>
      </c>
      <c r="E33" s="475" t="s">
        <v>20</v>
      </c>
      <c r="F33" s="475" t="s">
        <v>20</v>
      </c>
      <c r="G33" s="475" t="s">
        <v>20</v>
      </c>
      <c r="H33" s="463">
        <v>46104</v>
      </c>
      <c r="I33" s="463">
        <v>46105</v>
      </c>
      <c r="J33" s="475" t="s">
        <v>20</v>
      </c>
      <c r="K33" s="463">
        <v>46110</v>
      </c>
      <c r="L33" s="463">
        <v>46110</v>
      </c>
      <c r="M33" s="475" t="s">
        <v>20</v>
      </c>
      <c r="N33" s="475" t="s">
        <v>20</v>
      </c>
      <c r="O33" s="475" t="s">
        <v>20</v>
      </c>
      <c r="P33" s="451" t="s">
        <v>741</v>
      </c>
      <c r="Q33" s="451"/>
      <c r="R33" s="451"/>
      <c r="S33" s="470"/>
      <c r="T33" s="475" t="s">
        <v>20</v>
      </c>
      <c r="U33" s="583">
        <v>46156</v>
      </c>
      <c r="V33" s="583">
        <v>46156</v>
      </c>
      <c r="W33" s="475" t="s">
        <v>20</v>
      </c>
      <c r="X33" s="583">
        <v>46157</v>
      </c>
      <c r="Y33" s="583">
        <v>46157</v>
      </c>
      <c r="Z33" s="451" t="s">
        <v>766</v>
      </c>
    </row>
    <row r="34" spans="1:26" ht="14.25" customHeight="1">
      <c r="A34" s="451">
        <f t="shared" si="0"/>
        <v>29</v>
      </c>
      <c r="B34" s="451" t="s">
        <v>111</v>
      </c>
      <c r="C34" s="451" t="s">
        <v>320</v>
      </c>
      <c r="D34" s="452">
        <v>385.96</v>
      </c>
      <c r="E34" s="475" t="s">
        <v>20</v>
      </c>
      <c r="F34" s="475" t="s">
        <v>20</v>
      </c>
      <c r="G34" s="475" t="s">
        <v>20</v>
      </c>
      <c r="H34" s="463">
        <v>46098</v>
      </c>
      <c r="I34" s="463">
        <v>46099</v>
      </c>
      <c r="J34" s="475" t="s">
        <v>20</v>
      </c>
      <c r="K34" s="463">
        <v>46100</v>
      </c>
      <c r="L34" s="463">
        <v>46101</v>
      </c>
      <c r="M34" s="475" t="s">
        <v>20</v>
      </c>
      <c r="N34" s="475" t="s">
        <v>20</v>
      </c>
      <c r="O34" s="475" t="s">
        <v>20</v>
      </c>
      <c r="P34" s="466" t="s">
        <v>738</v>
      </c>
      <c r="Q34" s="451"/>
      <c r="R34" s="451"/>
      <c r="S34" s="470"/>
      <c r="T34" s="475" t="s">
        <v>20</v>
      </c>
      <c r="U34" s="583">
        <v>46156</v>
      </c>
      <c r="V34" s="583">
        <v>46156</v>
      </c>
      <c r="W34" s="475" t="s">
        <v>20</v>
      </c>
      <c r="X34" s="583">
        <v>46157</v>
      </c>
      <c r="Y34" s="583">
        <v>46157</v>
      </c>
      <c r="Z34" s="451" t="s">
        <v>766</v>
      </c>
    </row>
    <row r="35" spans="1:26" ht="14.25" customHeight="1">
      <c r="A35" s="451">
        <f t="shared" si="0"/>
        <v>30</v>
      </c>
      <c r="B35" s="451" t="s">
        <v>320</v>
      </c>
      <c r="C35" s="451" t="s">
        <v>322</v>
      </c>
      <c r="D35" s="452">
        <v>259.92</v>
      </c>
      <c r="E35" s="475" t="s">
        <v>20</v>
      </c>
      <c r="F35" s="475" t="s">
        <v>20</v>
      </c>
      <c r="G35" s="475" t="s">
        <v>20</v>
      </c>
      <c r="H35" s="463">
        <v>46098</v>
      </c>
      <c r="I35" s="463">
        <v>46099</v>
      </c>
      <c r="J35" s="475" t="s">
        <v>20</v>
      </c>
      <c r="K35" s="463">
        <v>46100</v>
      </c>
      <c r="L35" s="463">
        <v>46101</v>
      </c>
      <c r="M35" s="452"/>
      <c r="N35" s="452"/>
      <c r="O35" s="452"/>
      <c r="P35" s="466" t="s">
        <v>738</v>
      </c>
      <c r="Q35" s="451"/>
      <c r="R35" s="451"/>
      <c r="S35" s="470"/>
      <c r="T35" s="475" t="s">
        <v>20</v>
      </c>
      <c r="U35" s="463">
        <f>V35-2</f>
        <v>46158</v>
      </c>
      <c r="V35" s="583">
        <v>46160</v>
      </c>
      <c r="W35" s="475" t="s">
        <v>20</v>
      </c>
      <c r="X35" s="583">
        <v>46161</v>
      </c>
      <c r="Y35" s="583">
        <v>46161</v>
      </c>
      <c r="Z35" s="451"/>
    </row>
    <row r="36" spans="1:26" ht="14.25" customHeight="1">
      <c r="A36" s="451">
        <f t="shared" si="0"/>
        <v>31</v>
      </c>
      <c r="B36" s="451" t="s">
        <v>322</v>
      </c>
      <c r="C36" s="451" t="s">
        <v>324</v>
      </c>
      <c r="D36" s="452">
        <v>215.13</v>
      </c>
      <c r="E36" s="475" t="s">
        <v>20</v>
      </c>
      <c r="F36" s="475" t="s">
        <v>20</v>
      </c>
      <c r="G36" s="475" t="s">
        <v>20</v>
      </c>
      <c r="H36" s="463"/>
      <c r="I36" s="463"/>
      <c r="J36" s="475" t="s">
        <v>20</v>
      </c>
      <c r="K36" s="463">
        <v>46160</v>
      </c>
      <c r="L36" s="463">
        <v>46161</v>
      </c>
      <c r="M36" s="452"/>
      <c r="N36" s="452"/>
      <c r="O36" s="475" t="s">
        <v>20</v>
      </c>
      <c r="P36" s="451"/>
      <c r="Q36" s="451"/>
      <c r="R36" s="451"/>
      <c r="S36" s="470"/>
      <c r="T36" s="475" t="s">
        <v>20</v>
      </c>
      <c r="U36" s="463">
        <f t="shared" ref="U36:U52" si="1">V36-2</f>
        <v>46158</v>
      </c>
      <c r="V36" s="583">
        <v>46160</v>
      </c>
      <c r="W36" s="475" t="s">
        <v>20</v>
      </c>
      <c r="X36" s="583">
        <v>46161</v>
      </c>
      <c r="Y36" s="583">
        <v>46161</v>
      </c>
      <c r="Z36" s="451"/>
    </row>
    <row r="37" spans="1:26" ht="14.25" customHeight="1">
      <c r="A37" s="451">
        <f t="shared" si="0"/>
        <v>32</v>
      </c>
      <c r="B37" s="451" t="s">
        <v>324</v>
      </c>
      <c r="C37" s="451" t="s">
        <v>326</v>
      </c>
      <c r="D37" s="452">
        <v>316.14999999999998</v>
      </c>
      <c r="E37" s="475" t="s">
        <v>20</v>
      </c>
      <c r="F37" s="475" t="s">
        <v>20</v>
      </c>
      <c r="G37" s="475" t="s">
        <v>20</v>
      </c>
      <c r="H37" s="463">
        <v>46152</v>
      </c>
      <c r="I37" s="463">
        <f>H37+1</f>
        <v>46153</v>
      </c>
      <c r="J37" s="475" t="s">
        <v>20</v>
      </c>
      <c r="K37" s="463">
        <f>I37+1</f>
        <v>46154</v>
      </c>
      <c r="L37" s="463">
        <f>K37+1</f>
        <v>46155</v>
      </c>
      <c r="M37" s="475" t="s">
        <v>20</v>
      </c>
      <c r="N37" s="475" t="s">
        <v>20</v>
      </c>
      <c r="O37" s="475" t="s">
        <v>20</v>
      </c>
      <c r="P37" s="451" t="s">
        <v>761</v>
      </c>
      <c r="Q37" s="451"/>
      <c r="R37" s="451"/>
      <c r="S37" s="470"/>
      <c r="T37" s="475" t="s">
        <v>20</v>
      </c>
      <c r="U37" s="463">
        <f t="shared" si="1"/>
        <v>46158</v>
      </c>
      <c r="V37" s="583">
        <v>46160</v>
      </c>
      <c r="W37" s="475" t="s">
        <v>20</v>
      </c>
      <c r="X37" s="583">
        <v>46161</v>
      </c>
      <c r="Y37" s="583">
        <v>46161</v>
      </c>
      <c r="Z37" s="451"/>
    </row>
    <row r="38" spans="1:26" ht="14.25" customHeight="1">
      <c r="A38" s="451">
        <f t="shared" si="0"/>
        <v>33</v>
      </c>
      <c r="B38" s="451" t="s">
        <v>326</v>
      </c>
      <c r="C38" s="451" t="s">
        <v>328</v>
      </c>
      <c r="D38" s="452">
        <v>274</v>
      </c>
      <c r="E38" s="475" t="s">
        <v>20</v>
      </c>
      <c r="F38" s="475" t="s">
        <v>20</v>
      </c>
      <c r="G38" s="475" t="s">
        <v>20</v>
      </c>
      <c r="H38" s="463">
        <v>46094</v>
      </c>
      <c r="I38" s="463">
        <v>46094</v>
      </c>
      <c r="J38" s="475" t="s">
        <v>20</v>
      </c>
      <c r="K38" s="463">
        <v>46097</v>
      </c>
      <c r="L38" s="463">
        <v>46097</v>
      </c>
      <c r="M38" s="452"/>
      <c r="N38" s="452"/>
      <c r="O38" s="452"/>
      <c r="P38" s="466" t="s">
        <v>738</v>
      </c>
      <c r="Q38" s="451"/>
      <c r="R38" s="451"/>
      <c r="S38" s="470"/>
      <c r="T38" s="475" t="s">
        <v>20</v>
      </c>
      <c r="U38" s="463">
        <f t="shared" si="1"/>
        <v>46158</v>
      </c>
      <c r="V38" s="583">
        <v>46160</v>
      </c>
      <c r="W38" s="475" t="s">
        <v>20</v>
      </c>
      <c r="X38" s="583">
        <v>46161</v>
      </c>
      <c r="Y38" s="583">
        <v>46161</v>
      </c>
      <c r="Z38" s="451"/>
    </row>
    <row r="39" spans="1:26" ht="14.25" customHeight="1">
      <c r="A39" s="451">
        <f t="shared" si="0"/>
        <v>34</v>
      </c>
      <c r="B39" s="451" t="s">
        <v>328</v>
      </c>
      <c r="C39" s="451" t="s">
        <v>329</v>
      </c>
      <c r="D39" s="452">
        <v>293.27999999999997</v>
      </c>
      <c r="E39" s="475" t="s">
        <v>20</v>
      </c>
      <c r="F39" s="475" t="s">
        <v>20</v>
      </c>
      <c r="G39" s="475" t="s">
        <v>20</v>
      </c>
      <c r="H39" s="463">
        <v>46094</v>
      </c>
      <c r="I39" s="463">
        <v>46094</v>
      </c>
      <c r="J39" s="475" t="s">
        <v>20</v>
      </c>
      <c r="K39" s="463">
        <v>46097</v>
      </c>
      <c r="L39" s="463">
        <v>46097</v>
      </c>
      <c r="M39" s="475" t="s">
        <v>20</v>
      </c>
      <c r="N39" s="475" t="s">
        <v>20</v>
      </c>
      <c r="O39" s="451"/>
      <c r="P39" s="466" t="s">
        <v>738</v>
      </c>
      <c r="Q39" s="451"/>
      <c r="R39" s="451"/>
      <c r="S39" s="470"/>
      <c r="T39" s="475" t="s">
        <v>20</v>
      </c>
      <c r="U39" s="463">
        <f t="shared" si="1"/>
        <v>46158</v>
      </c>
      <c r="V39" s="583">
        <v>46160</v>
      </c>
      <c r="W39" s="475" t="s">
        <v>20</v>
      </c>
      <c r="X39" s="583">
        <v>46161</v>
      </c>
      <c r="Y39" s="583">
        <v>46161</v>
      </c>
      <c r="Z39" s="451"/>
    </row>
    <row r="40" spans="1:26" ht="14.25" customHeight="1">
      <c r="A40" s="451">
        <f t="shared" si="0"/>
        <v>35</v>
      </c>
      <c r="B40" s="451" t="s">
        <v>329</v>
      </c>
      <c r="C40" s="451" t="s">
        <v>167</v>
      </c>
      <c r="D40" s="452">
        <v>48.42</v>
      </c>
      <c r="E40" s="475" t="s">
        <v>20</v>
      </c>
      <c r="F40" s="475" t="s">
        <v>20</v>
      </c>
      <c r="G40" s="475" t="s">
        <v>20</v>
      </c>
      <c r="H40" s="463">
        <v>46093</v>
      </c>
      <c r="I40" s="463">
        <v>46093</v>
      </c>
      <c r="J40" s="475" t="s">
        <v>20</v>
      </c>
      <c r="K40" s="463">
        <v>46093</v>
      </c>
      <c r="L40" s="463">
        <v>46093</v>
      </c>
      <c r="M40" s="475" t="s">
        <v>20</v>
      </c>
      <c r="N40" s="475" t="s">
        <v>20</v>
      </c>
      <c r="O40" s="475" t="s">
        <v>20</v>
      </c>
      <c r="P40" s="466" t="s">
        <v>738</v>
      </c>
      <c r="Q40" s="451"/>
      <c r="R40" s="451"/>
      <c r="S40" s="470"/>
      <c r="T40" s="475" t="s">
        <v>20</v>
      </c>
      <c r="U40" s="463">
        <f t="shared" si="1"/>
        <v>46158</v>
      </c>
      <c r="V40" s="583">
        <v>46160</v>
      </c>
      <c r="W40" s="475" t="s">
        <v>20</v>
      </c>
      <c r="X40" s="583">
        <v>46161</v>
      </c>
      <c r="Y40" s="583">
        <v>46161</v>
      </c>
      <c r="Z40" s="451"/>
    </row>
    <row r="41" spans="1:26" ht="14.25" customHeight="1">
      <c r="A41" s="451">
        <f t="shared" si="0"/>
        <v>36</v>
      </c>
      <c r="B41" s="451" t="s">
        <v>167</v>
      </c>
      <c r="C41" s="451" t="s">
        <v>331</v>
      </c>
      <c r="D41" s="452">
        <v>58.24</v>
      </c>
      <c r="E41" s="475" t="s">
        <v>20</v>
      </c>
      <c r="F41" s="475" t="s">
        <v>20</v>
      </c>
      <c r="G41" s="475" t="s">
        <v>20</v>
      </c>
      <c r="H41" s="463">
        <v>46093</v>
      </c>
      <c r="I41" s="463">
        <v>46093</v>
      </c>
      <c r="J41" s="475" t="s">
        <v>20</v>
      </c>
      <c r="K41" s="463">
        <v>46095</v>
      </c>
      <c r="L41" s="463">
        <v>46095</v>
      </c>
      <c r="M41" s="475" t="s">
        <v>20</v>
      </c>
      <c r="N41" s="475" t="s">
        <v>20</v>
      </c>
      <c r="O41" s="475" t="s">
        <v>20</v>
      </c>
      <c r="P41" s="466" t="s">
        <v>738</v>
      </c>
      <c r="Q41" s="451"/>
      <c r="R41" s="451"/>
      <c r="S41" s="470"/>
      <c r="T41" s="475" t="s">
        <v>20</v>
      </c>
      <c r="U41" s="463">
        <f t="shared" si="1"/>
        <v>46158</v>
      </c>
      <c r="V41" s="583">
        <v>46160</v>
      </c>
      <c r="W41" s="475" t="s">
        <v>20</v>
      </c>
      <c r="X41" s="583">
        <v>46161</v>
      </c>
      <c r="Y41" s="583">
        <v>46161</v>
      </c>
      <c r="Z41" s="451"/>
    </row>
    <row r="42" spans="1:26" ht="14.25" customHeight="1">
      <c r="A42" s="451">
        <f t="shared" si="0"/>
        <v>37</v>
      </c>
      <c r="B42" s="451" t="s">
        <v>331</v>
      </c>
      <c r="C42" s="451" t="s">
        <v>332</v>
      </c>
      <c r="D42" s="452">
        <v>70.13</v>
      </c>
      <c r="E42" s="475" t="s">
        <v>20</v>
      </c>
      <c r="F42" s="475" t="s">
        <v>20</v>
      </c>
      <c r="G42" s="475" t="s">
        <v>20</v>
      </c>
      <c r="H42" s="463">
        <v>46096</v>
      </c>
      <c r="I42" s="463">
        <v>46096</v>
      </c>
      <c r="J42" s="475" t="s">
        <v>20</v>
      </c>
      <c r="K42" s="463">
        <v>46096</v>
      </c>
      <c r="L42" s="463">
        <v>46096</v>
      </c>
      <c r="M42" s="475" t="s">
        <v>20</v>
      </c>
      <c r="N42" s="475" t="s">
        <v>20</v>
      </c>
      <c r="O42" s="475" t="s">
        <v>20</v>
      </c>
      <c r="P42" s="466" t="s">
        <v>738</v>
      </c>
      <c r="Q42" s="451"/>
      <c r="R42" s="451"/>
      <c r="S42" s="470"/>
      <c r="T42" s="475" t="s">
        <v>20</v>
      </c>
      <c r="U42" s="463">
        <f t="shared" si="1"/>
        <v>46158</v>
      </c>
      <c r="V42" s="583">
        <v>46160</v>
      </c>
      <c r="W42" s="475" t="s">
        <v>20</v>
      </c>
      <c r="X42" s="583">
        <v>46161</v>
      </c>
      <c r="Y42" s="583">
        <v>46161</v>
      </c>
      <c r="Z42" s="451"/>
    </row>
    <row r="43" spans="1:26" ht="14.25" customHeight="1">
      <c r="A43" s="451">
        <f t="shared" si="0"/>
        <v>38</v>
      </c>
      <c r="B43" s="451" t="s">
        <v>332</v>
      </c>
      <c r="C43" s="451" t="s">
        <v>334</v>
      </c>
      <c r="D43" s="452">
        <v>220.7</v>
      </c>
      <c r="E43" s="475" t="s">
        <v>20</v>
      </c>
      <c r="F43" s="475" t="s">
        <v>20</v>
      </c>
      <c r="G43" s="475" t="s">
        <v>20</v>
      </c>
      <c r="H43" s="463">
        <v>46156</v>
      </c>
      <c r="I43" s="463">
        <v>46156</v>
      </c>
      <c r="J43" s="475" t="s">
        <v>20</v>
      </c>
      <c r="K43" s="463">
        <f>I43+1</f>
        <v>46157</v>
      </c>
      <c r="L43" s="463">
        <f>K43</f>
        <v>46157</v>
      </c>
      <c r="M43" s="475" t="s">
        <v>20</v>
      </c>
      <c r="N43" s="475" t="s">
        <v>20</v>
      </c>
      <c r="O43" s="471"/>
      <c r="P43" s="346" t="s">
        <v>761</v>
      </c>
      <c r="Q43" s="346"/>
      <c r="R43" s="346"/>
      <c r="S43" s="464"/>
      <c r="T43" s="475" t="s">
        <v>20</v>
      </c>
      <c r="U43" s="463">
        <f t="shared" si="1"/>
        <v>46158</v>
      </c>
      <c r="V43" s="583">
        <v>46160</v>
      </c>
      <c r="W43" s="475" t="s">
        <v>20</v>
      </c>
      <c r="X43" s="583">
        <v>46161</v>
      </c>
      <c r="Y43" s="583">
        <v>46161</v>
      </c>
      <c r="Z43" s="451"/>
    </row>
    <row r="44" spans="1:26" ht="14.25" customHeight="1">
      <c r="A44" s="451">
        <f t="shared" si="0"/>
        <v>39</v>
      </c>
      <c r="B44" s="451" t="s">
        <v>334</v>
      </c>
      <c r="C44" s="451" t="s">
        <v>181</v>
      </c>
      <c r="D44" s="452">
        <v>262.95</v>
      </c>
      <c r="E44" s="475" t="s">
        <v>20</v>
      </c>
      <c r="F44" s="475" t="s">
        <v>20</v>
      </c>
      <c r="G44" s="475" t="s">
        <v>20</v>
      </c>
      <c r="H44" s="421">
        <v>46088</v>
      </c>
      <c r="I44" s="421">
        <v>46090</v>
      </c>
      <c r="J44" s="475" t="s">
        <v>20</v>
      </c>
      <c r="K44" s="421">
        <v>46089</v>
      </c>
      <c r="L44" s="421">
        <v>46090</v>
      </c>
      <c r="M44" s="475" t="s">
        <v>20</v>
      </c>
      <c r="N44" s="475" t="s">
        <v>20</v>
      </c>
      <c r="O44" s="475" t="s">
        <v>20</v>
      </c>
      <c r="P44" s="466" t="s">
        <v>738</v>
      </c>
      <c r="Q44" s="346"/>
      <c r="R44" s="451"/>
      <c r="S44" s="470"/>
      <c r="T44" s="475" t="s">
        <v>20</v>
      </c>
      <c r="U44" s="463">
        <f t="shared" si="1"/>
        <v>46158</v>
      </c>
      <c r="V44" s="583">
        <v>46160</v>
      </c>
      <c r="W44" s="475" t="s">
        <v>20</v>
      </c>
      <c r="X44" s="583">
        <v>46161</v>
      </c>
      <c r="Y44" s="583">
        <v>46161</v>
      </c>
      <c r="Z44" s="451"/>
    </row>
    <row r="45" spans="1:26" ht="14.25" customHeight="1">
      <c r="A45" s="451">
        <f t="shared" si="0"/>
        <v>40</v>
      </c>
      <c r="B45" s="451" t="s">
        <v>181</v>
      </c>
      <c r="C45" s="451" t="s">
        <v>182</v>
      </c>
      <c r="D45" s="452">
        <v>251.57</v>
      </c>
      <c r="E45" s="475" t="s">
        <v>20</v>
      </c>
      <c r="F45" s="475" t="s">
        <v>20</v>
      </c>
      <c r="G45" s="475" t="s">
        <v>20</v>
      </c>
      <c r="H45" s="421">
        <v>46088</v>
      </c>
      <c r="I45" s="421">
        <v>46090</v>
      </c>
      <c r="J45" s="475" t="s">
        <v>20</v>
      </c>
      <c r="K45" s="421">
        <v>46089</v>
      </c>
      <c r="L45" s="421">
        <v>46090</v>
      </c>
      <c r="M45" s="475" t="s">
        <v>20</v>
      </c>
      <c r="N45" s="475" t="s">
        <v>20</v>
      </c>
      <c r="O45" s="475" t="s">
        <v>20</v>
      </c>
      <c r="P45" s="466" t="s">
        <v>738</v>
      </c>
      <c r="Q45" s="346"/>
      <c r="R45" s="451"/>
      <c r="S45" s="470"/>
      <c r="T45" s="475" t="s">
        <v>20</v>
      </c>
      <c r="U45" s="463">
        <f t="shared" si="1"/>
        <v>46158</v>
      </c>
      <c r="V45" s="583">
        <v>46160</v>
      </c>
      <c r="W45" s="475" t="s">
        <v>20</v>
      </c>
      <c r="X45" s="583">
        <v>46161</v>
      </c>
      <c r="Y45" s="583">
        <v>46161</v>
      </c>
      <c r="Z45" s="451"/>
    </row>
    <row r="46" spans="1:26" ht="14.25" customHeight="1">
      <c r="A46" s="451">
        <f t="shared" si="0"/>
        <v>41</v>
      </c>
      <c r="B46" s="466" t="s">
        <v>182</v>
      </c>
      <c r="C46" s="466" t="s">
        <v>183</v>
      </c>
      <c r="D46" s="466">
        <v>271.76</v>
      </c>
      <c r="E46" s="475" t="s">
        <v>20</v>
      </c>
      <c r="F46" s="475" t="s">
        <v>20</v>
      </c>
      <c r="G46" s="475" t="s">
        <v>20</v>
      </c>
      <c r="H46" s="421">
        <v>46088</v>
      </c>
      <c r="I46" s="421">
        <v>46090</v>
      </c>
      <c r="J46" s="475" t="s">
        <v>20</v>
      </c>
      <c r="K46" s="421">
        <v>46089</v>
      </c>
      <c r="L46" s="421">
        <v>46090</v>
      </c>
      <c r="M46" s="475" t="s">
        <v>20</v>
      </c>
      <c r="N46" s="475" t="s">
        <v>20</v>
      </c>
      <c r="O46" s="475" t="s">
        <v>20</v>
      </c>
      <c r="P46" s="466" t="s">
        <v>738</v>
      </c>
      <c r="Q46" s="466"/>
      <c r="R46" s="466"/>
      <c r="S46" s="470"/>
      <c r="T46" s="475" t="s">
        <v>20</v>
      </c>
      <c r="U46" s="463">
        <f t="shared" si="1"/>
        <v>46158</v>
      </c>
      <c r="V46" s="583">
        <v>46160</v>
      </c>
      <c r="W46" s="475" t="s">
        <v>20</v>
      </c>
      <c r="X46" s="583">
        <v>46161</v>
      </c>
      <c r="Y46" s="583">
        <v>46161</v>
      </c>
      <c r="Z46" s="466"/>
    </row>
    <row r="47" spans="1:26" ht="14.25" customHeight="1">
      <c r="A47" s="451">
        <f t="shared" si="0"/>
        <v>42</v>
      </c>
      <c r="B47" s="466" t="s">
        <v>183</v>
      </c>
      <c r="C47" s="466" t="s">
        <v>336</v>
      </c>
      <c r="D47" s="466">
        <v>261.04000000000002</v>
      </c>
      <c r="E47" s="475" t="s">
        <v>20</v>
      </c>
      <c r="F47" s="475" t="s">
        <v>20</v>
      </c>
      <c r="G47" s="475" t="s">
        <v>20</v>
      </c>
      <c r="H47" s="421">
        <v>46088</v>
      </c>
      <c r="I47" s="421">
        <v>46090</v>
      </c>
      <c r="J47" s="475" t="s">
        <v>20</v>
      </c>
      <c r="K47" s="421">
        <v>46089</v>
      </c>
      <c r="L47" s="421">
        <v>46090</v>
      </c>
      <c r="M47" s="475" t="s">
        <v>20</v>
      </c>
      <c r="N47" s="475" t="s">
        <v>20</v>
      </c>
      <c r="O47" s="475" t="s">
        <v>20</v>
      </c>
      <c r="P47" s="466" t="s">
        <v>738</v>
      </c>
      <c r="Q47" s="466"/>
      <c r="R47" s="466"/>
      <c r="S47" s="470"/>
      <c r="T47" s="475" t="s">
        <v>20</v>
      </c>
      <c r="U47" s="463">
        <f t="shared" si="1"/>
        <v>46158</v>
      </c>
      <c r="V47" s="583">
        <v>46160</v>
      </c>
      <c r="W47" s="475" t="s">
        <v>20</v>
      </c>
      <c r="X47" s="583">
        <v>46161</v>
      </c>
      <c r="Y47" s="583">
        <v>46161</v>
      </c>
      <c r="Z47" s="466"/>
    </row>
    <row r="48" spans="1:26" ht="14.25" customHeight="1">
      <c r="A48" s="451">
        <f t="shared" si="0"/>
        <v>43</v>
      </c>
      <c r="B48" s="466" t="s">
        <v>336</v>
      </c>
      <c r="C48" s="466" t="s">
        <v>192</v>
      </c>
      <c r="D48" s="466">
        <v>37.42</v>
      </c>
      <c r="E48" s="475" t="s">
        <v>20</v>
      </c>
      <c r="F48" s="475" t="s">
        <v>20</v>
      </c>
      <c r="G48" s="475" t="s">
        <v>20</v>
      </c>
      <c r="H48" s="421">
        <v>46086</v>
      </c>
      <c r="I48" s="421">
        <v>46087</v>
      </c>
      <c r="J48" s="475" t="s">
        <v>20</v>
      </c>
      <c r="K48" s="421">
        <v>46086</v>
      </c>
      <c r="L48" s="421">
        <v>46087</v>
      </c>
      <c r="M48" s="466"/>
      <c r="N48" s="466"/>
      <c r="O48" s="466"/>
      <c r="P48" s="465" t="s">
        <v>736</v>
      </c>
      <c r="Q48" s="466"/>
      <c r="R48" s="466"/>
      <c r="S48" s="470"/>
      <c r="T48" s="475" t="s">
        <v>20</v>
      </c>
      <c r="U48" s="463">
        <f t="shared" si="1"/>
        <v>46158</v>
      </c>
      <c r="V48" s="583">
        <v>46160</v>
      </c>
      <c r="W48" s="475" t="s">
        <v>20</v>
      </c>
      <c r="X48" s="583">
        <v>46161</v>
      </c>
      <c r="Y48" s="583">
        <v>46161</v>
      </c>
      <c r="Z48" s="466"/>
    </row>
    <row r="49" spans="1:26" ht="14.25" customHeight="1">
      <c r="A49" s="451">
        <f t="shared" si="0"/>
        <v>44</v>
      </c>
      <c r="B49" s="466" t="s">
        <v>192</v>
      </c>
      <c r="C49" s="466" t="s">
        <v>193</v>
      </c>
      <c r="D49" s="466">
        <v>71</v>
      </c>
      <c r="E49" s="475" t="s">
        <v>20</v>
      </c>
      <c r="F49" s="475" t="s">
        <v>20</v>
      </c>
      <c r="G49" s="475" t="s">
        <v>20</v>
      </c>
      <c r="H49" s="421">
        <v>46084</v>
      </c>
      <c r="I49" s="421">
        <v>46084</v>
      </c>
      <c r="J49" s="475" t="s">
        <v>20</v>
      </c>
      <c r="K49" s="421">
        <v>46084</v>
      </c>
      <c r="L49" s="421">
        <v>46084</v>
      </c>
      <c r="M49" s="466"/>
      <c r="N49" s="466"/>
      <c r="O49" s="466"/>
      <c r="P49" s="465" t="s">
        <v>736</v>
      </c>
      <c r="Q49" s="466"/>
      <c r="R49" s="466"/>
      <c r="S49" s="470"/>
      <c r="T49" s="475" t="s">
        <v>20</v>
      </c>
      <c r="U49" s="463">
        <f t="shared" si="1"/>
        <v>46158</v>
      </c>
      <c r="V49" s="583">
        <v>46160</v>
      </c>
      <c r="W49" s="475" t="s">
        <v>20</v>
      </c>
      <c r="X49" s="583">
        <v>46161</v>
      </c>
      <c r="Y49" s="583">
        <v>46161</v>
      </c>
      <c r="Z49" s="466"/>
    </row>
    <row r="50" spans="1:26" ht="14.25" customHeight="1">
      <c r="A50" s="451">
        <f t="shared" si="0"/>
        <v>45</v>
      </c>
      <c r="B50" s="466" t="s">
        <v>193</v>
      </c>
      <c r="C50" s="466" t="s">
        <v>338</v>
      </c>
      <c r="D50" s="466">
        <v>37.520000000000003</v>
      </c>
      <c r="E50" s="475" t="s">
        <v>20</v>
      </c>
      <c r="F50" s="475" t="s">
        <v>20</v>
      </c>
      <c r="G50" s="475" t="s">
        <v>20</v>
      </c>
      <c r="H50" s="421">
        <v>46076</v>
      </c>
      <c r="I50" s="421">
        <v>46076</v>
      </c>
      <c r="J50" s="475" t="s">
        <v>20</v>
      </c>
      <c r="K50" s="421">
        <v>46076</v>
      </c>
      <c r="L50" s="421">
        <v>46076</v>
      </c>
      <c r="M50" s="466"/>
      <c r="N50" s="465"/>
      <c r="O50" s="451"/>
      <c r="P50" s="465" t="s">
        <v>736</v>
      </c>
      <c r="Q50" s="466"/>
      <c r="R50" s="466"/>
      <c r="S50" s="470"/>
      <c r="T50" s="475" t="s">
        <v>20</v>
      </c>
      <c r="U50" s="463">
        <f t="shared" si="1"/>
        <v>46158</v>
      </c>
      <c r="V50" s="583">
        <v>46160</v>
      </c>
      <c r="W50" s="475" t="s">
        <v>20</v>
      </c>
      <c r="X50" s="583">
        <v>46161</v>
      </c>
      <c r="Y50" s="583">
        <v>46161</v>
      </c>
      <c r="Z50" s="466"/>
    </row>
    <row r="51" spans="1:26" ht="14.25" customHeight="1">
      <c r="A51" s="451">
        <f t="shared" si="0"/>
        <v>46</v>
      </c>
      <c r="B51" s="466" t="s">
        <v>338</v>
      </c>
      <c r="C51" s="466" t="s">
        <v>340</v>
      </c>
      <c r="D51" s="466">
        <v>165.14699999999999</v>
      </c>
      <c r="E51" s="475" t="s">
        <v>20</v>
      </c>
      <c r="F51" s="475" t="s">
        <v>20</v>
      </c>
      <c r="G51" s="475" t="s">
        <v>20</v>
      </c>
      <c r="H51" s="421">
        <v>46083</v>
      </c>
      <c r="I51" s="421">
        <v>46084</v>
      </c>
      <c r="J51" s="475" t="s">
        <v>20</v>
      </c>
      <c r="K51" s="421">
        <v>46083</v>
      </c>
      <c r="L51" s="421">
        <v>46084</v>
      </c>
      <c r="M51" s="466"/>
      <c r="N51" s="466"/>
      <c r="O51" s="466"/>
      <c r="P51" s="465" t="s">
        <v>736</v>
      </c>
      <c r="Q51" s="466"/>
      <c r="R51" s="466"/>
      <c r="S51" s="470"/>
      <c r="T51" s="475" t="s">
        <v>20</v>
      </c>
      <c r="U51" s="463">
        <f t="shared" si="1"/>
        <v>46158</v>
      </c>
      <c r="V51" s="583">
        <v>46160</v>
      </c>
      <c r="W51" s="475" t="s">
        <v>20</v>
      </c>
      <c r="X51" s="583">
        <v>46161</v>
      </c>
      <c r="Y51" s="583">
        <v>46161</v>
      </c>
      <c r="Z51" s="466"/>
    </row>
    <row r="52" spans="1:26" ht="14.25" customHeight="1">
      <c r="A52" s="451">
        <f t="shared" si="0"/>
        <v>47</v>
      </c>
      <c r="B52" s="466" t="s">
        <v>340</v>
      </c>
      <c r="C52" s="471" t="s">
        <v>626</v>
      </c>
      <c r="D52" s="466">
        <v>39.999000000000002</v>
      </c>
      <c r="E52" s="475" t="s">
        <v>20</v>
      </c>
      <c r="F52" s="475" t="s">
        <v>20</v>
      </c>
      <c r="G52" s="475" t="s">
        <v>20</v>
      </c>
      <c r="H52" s="421">
        <v>46073</v>
      </c>
      <c r="I52" s="421">
        <v>46074</v>
      </c>
      <c r="J52" s="475" t="s">
        <v>20</v>
      </c>
      <c r="K52" s="421">
        <v>46073</v>
      </c>
      <c r="L52" s="421">
        <v>46074</v>
      </c>
      <c r="M52" s="466"/>
      <c r="N52" s="466"/>
      <c r="O52" s="466"/>
      <c r="P52" s="465" t="s">
        <v>736</v>
      </c>
      <c r="Q52" s="466"/>
      <c r="R52" s="466"/>
      <c r="S52" s="470"/>
      <c r="T52" s="475" t="s">
        <v>20</v>
      </c>
      <c r="U52" s="463">
        <f t="shared" si="1"/>
        <v>46158</v>
      </c>
      <c r="V52" s="583">
        <v>46160</v>
      </c>
      <c r="W52" s="475" t="s">
        <v>20</v>
      </c>
      <c r="X52" s="583">
        <v>46161</v>
      </c>
      <c r="Y52" s="583">
        <v>46161</v>
      </c>
      <c r="Z52" s="466"/>
    </row>
    <row r="53" spans="1:26" ht="14.25" customHeight="1">
      <c r="A53" s="384"/>
      <c r="B53" s="384"/>
      <c r="C53" s="384"/>
      <c r="D53" s="384"/>
      <c r="E53" s="384"/>
      <c r="G53" s="474"/>
      <c r="H53" s="467"/>
      <c r="I53" s="384"/>
      <c r="J53" s="384"/>
      <c r="K53" s="384"/>
      <c r="L53" s="384"/>
      <c r="M53" s="384"/>
      <c r="N53" s="384"/>
      <c r="O53" s="384"/>
      <c r="P53" s="384"/>
      <c r="Q53" s="384"/>
      <c r="R53" s="384"/>
      <c r="S53" s="472"/>
      <c r="T53" s="384"/>
      <c r="U53" s="384"/>
      <c r="V53" s="384"/>
      <c r="W53" s="384"/>
      <c r="X53" s="384"/>
      <c r="Y53" s="384"/>
      <c r="Z53" s="384"/>
    </row>
    <row r="54" spans="1:26" ht="14.25" customHeight="1">
      <c r="G54" s="474"/>
      <c r="H54" s="467"/>
      <c r="S54" s="473"/>
    </row>
    <row r="55" spans="1:26" ht="14.25" customHeight="1">
      <c r="G55" s="474"/>
      <c r="H55" s="467"/>
      <c r="S55" s="473"/>
    </row>
    <row r="56" spans="1:26" ht="14.25" customHeight="1">
      <c r="G56" s="474"/>
      <c r="H56" s="467"/>
      <c r="S56" s="473"/>
    </row>
    <row r="57" spans="1:26" ht="14.25" customHeight="1">
      <c r="G57" s="474"/>
      <c r="H57" s="467"/>
    </row>
    <row r="58" spans="1:26" ht="14.25" customHeight="1">
      <c r="G58" s="474"/>
      <c r="H58" s="467"/>
    </row>
    <row r="59" spans="1:26" ht="14.25" customHeight="1">
      <c r="G59" s="474"/>
      <c r="H59" s="467"/>
    </row>
    <row r="60" spans="1:26" ht="14.25" customHeight="1">
      <c r="G60" s="474"/>
      <c r="H60" s="467"/>
    </row>
    <row r="61" spans="1:26" ht="14.25" customHeight="1">
      <c r="G61" s="474"/>
      <c r="H61" s="467"/>
    </row>
    <row r="62" spans="1:26" ht="14.25" customHeight="1">
      <c r="G62" s="474"/>
      <c r="H62" s="467"/>
    </row>
  </sheetData>
  <autoFilter ref="A5:Z52" xr:uid="{00000000-0009-0000-0000-000008000000}"/>
  <mergeCells count="10">
    <mergeCell ref="B4:C4"/>
    <mergeCell ref="G4:I4"/>
    <mergeCell ref="J4:L4"/>
    <mergeCell ref="T4:V4"/>
    <mergeCell ref="W4:Y4"/>
    <mergeCell ref="A1:Z1"/>
    <mergeCell ref="A2:D2"/>
    <mergeCell ref="F2:R2"/>
    <mergeCell ref="T2:Z2"/>
    <mergeCell ref="A3:C3"/>
  </mergeCells>
  <conditionalFormatting sqref="E6:G21">
    <cfRule type="containsText" dxfId="1430" priority="4" operator="containsText" text="C">
      <formula>NOT(ISERROR(SEARCH(("C"),(E6))))</formula>
    </cfRule>
  </conditionalFormatting>
  <conditionalFormatting sqref="F13:F18">
    <cfRule type="containsText" dxfId="1429" priority="21" operator="containsText" text="WIP">
      <formula>NOT(ISERROR(SEARCH(("WIP"),(F13))))</formula>
    </cfRule>
  </conditionalFormatting>
  <conditionalFormatting sqref="G7:G21">
    <cfRule type="containsText" dxfId="1428" priority="32" operator="containsText" text="WIP">
      <formula>NOT(ISERROR(SEARCH(("WIP"),(G7))))</formula>
    </cfRule>
  </conditionalFormatting>
  <conditionalFormatting sqref="J6:J10">
    <cfRule type="containsText" dxfId="1427" priority="5" operator="containsText" text="C">
      <formula>NOT(ISERROR(SEARCH(("C"),(J6))))</formula>
    </cfRule>
  </conditionalFormatting>
  <conditionalFormatting sqref="J7:J21">
    <cfRule type="containsText" dxfId="1426" priority="56" operator="containsText" text="WIP">
      <formula>NOT(ISERROR(SEARCH(("WIP"),(J7))))</formula>
    </cfRule>
    <cfRule type="containsText" dxfId="1425" priority="57" operator="containsText" text="C">
      <formula>NOT(ISERROR(SEARCH(("C"),(J7))))</formula>
    </cfRule>
  </conditionalFormatting>
  <conditionalFormatting sqref="J7:K8">
    <cfRule type="containsText" dxfId="1424" priority="74" operator="containsText" text="C">
      <formula>NOT(ISERROR(SEARCH(("C"),(J7))))</formula>
    </cfRule>
  </conditionalFormatting>
  <conditionalFormatting sqref="K7:K8">
    <cfRule type="containsText" dxfId="1423" priority="75" operator="containsText" text="WIP">
      <formula>NOT(ISERROR(SEARCH(("WIP"),(K7))))</formula>
    </cfRule>
  </conditionalFormatting>
  <conditionalFormatting sqref="M6:O6">
    <cfRule type="containsText" dxfId="1422" priority="6" operator="containsText" text="C">
      <formula>NOT(ISERROR(SEARCH(("C"),(M6))))</formula>
    </cfRule>
    <cfRule type="containsText" dxfId="1421" priority="7" operator="containsText" text="WIP">
      <formula>NOT(ISERROR(SEARCH(("WIP"),(M6))))</formula>
    </cfRule>
  </conditionalFormatting>
  <conditionalFormatting sqref="M6:O10">
    <cfRule type="containsText" dxfId="1420" priority="8" operator="containsText" text="C">
      <formula>NOT(ISERROR(SEARCH(("C"),(M6))))</formula>
    </cfRule>
  </conditionalFormatting>
  <conditionalFormatting sqref="M7:O10">
    <cfRule type="containsText" dxfId="1419" priority="81" operator="containsText" text="WIP">
      <formula>NOT(ISERROR(SEARCH(("WIP"),(M7))))</formula>
    </cfRule>
    <cfRule type="containsText" dxfId="1418" priority="82" operator="containsText" text="C">
      <formula>NOT(ISERROR(SEARCH(("C"),(M7))))</formula>
    </cfRule>
  </conditionalFormatting>
  <conditionalFormatting sqref="M17:O17">
    <cfRule type="containsText" dxfId="1417" priority="83" operator="containsText" text="WIP">
      <formula>NOT(ISERROR(SEARCH(("WIP"),(M17))))</formula>
    </cfRule>
  </conditionalFormatting>
  <conditionalFormatting sqref="M17:O18">
    <cfRule type="containsText" dxfId="1416" priority="84" operator="containsText" text="C">
      <formula>NOT(ISERROR(SEARCH(("C"),(M17))))</formula>
    </cfRule>
  </conditionalFormatting>
  <conditionalFormatting sqref="M18:O18">
    <cfRule type="containsText" dxfId="1415" priority="86" operator="containsText" text="WIP">
      <formula>NOT(ISERROR(SEARCH(("WIP"),(M18))))</formula>
    </cfRule>
  </conditionalFormatting>
  <conditionalFormatting sqref="O13 M13:N14 O17 O22 M35:O35 M38:O38 M36:N36">
    <cfRule type="containsText" dxfId="1414" priority="76" operator="containsText" text="C">
      <formula>NOT(ISERROR(SEARCH(("C"),(M13))))</formula>
    </cfRule>
    <cfRule type="containsText" dxfId="1413" priority="77" operator="containsText" text="WIP">
      <formula>NOT(ISERROR(SEARCH(("WIP"),(M13))))</formula>
    </cfRule>
    <cfRule type="containsText" dxfId="1412" priority="78" operator="containsText" text="C">
      <formula>NOT(ISERROR(SEARCH(("C"),(M13))))</formula>
    </cfRule>
  </conditionalFormatting>
  <pageMargins left="0.11811023622047245" right="0.11811023622047245" top="0.74803149606299213" bottom="0.74803149606299213" header="0" footer="0"/>
  <pageSetup paperSize="9" scale="45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C295-89E2-4DCB-906D-3DCEAD1CD0C5}">
  <dimension ref="A1:BC155"/>
  <sheetViews>
    <sheetView zoomScale="69" zoomScaleNormal="69" zoomScaleSheetLayoutView="65" workbookViewId="0">
      <pane ySplit="2" topLeftCell="A125" activePane="bottomLeft" state="frozen"/>
      <selection sqref="A1:H1"/>
      <selection pane="bottomLeft" activeCell="AZ128" sqref="AZ128"/>
    </sheetView>
  </sheetViews>
  <sheetFormatPr defaultColWidth="8.7109375" defaultRowHeight="15"/>
  <cols>
    <col min="1" max="1" width="3.140625" style="284" customWidth="1"/>
    <col min="2" max="3" width="4" style="284" customWidth="1"/>
    <col min="4" max="4" width="5.42578125" style="285" customWidth="1"/>
    <col min="5" max="6" width="4" style="284" customWidth="1"/>
    <col min="7" max="7" width="4.140625" style="285" customWidth="1"/>
    <col min="8" max="9" width="4" style="284" customWidth="1"/>
    <col min="10" max="10" width="5.5703125" style="285" customWidth="1"/>
    <col min="11" max="12" width="4" style="284" customWidth="1"/>
    <col min="13" max="13" width="5.5703125" style="285" customWidth="1"/>
    <col min="14" max="15" width="4" style="284" customWidth="1"/>
    <col min="16" max="16" width="5" style="285" customWidth="1"/>
    <col min="17" max="18" width="4" style="284" customWidth="1"/>
    <col min="19" max="19" width="4.5703125" style="285" customWidth="1"/>
    <col min="20" max="21" width="4" style="284" customWidth="1"/>
    <col min="22" max="22" width="5.140625" style="285" customWidth="1"/>
    <col min="23" max="24" width="4" style="284" customWidth="1"/>
    <col min="25" max="25" width="5" style="285" customWidth="1"/>
    <col min="26" max="27" width="4" style="284" customWidth="1"/>
    <col min="28" max="28" width="5.28515625" style="285" customWidth="1"/>
    <col min="29" max="29" width="3.85546875" style="284" customWidth="1"/>
    <col min="30" max="30" width="3.7109375" style="284" customWidth="1"/>
    <col min="31" max="31" width="5.140625" style="285" customWidth="1"/>
    <col min="32" max="32" width="4" style="284" customWidth="1"/>
    <col min="33" max="33" width="3.7109375" style="284" customWidth="1"/>
    <col min="34" max="34" width="5.140625" style="285" customWidth="1"/>
    <col min="35" max="35" width="4" style="284" customWidth="1"/>
    <col min="36" max="36" width="3.85546875" style="284" customWidth="1"/>
    <col min="37" max="37" width="6.42578125" style="285" customWidth="1"/>
    <col min="38" max="38" width="4" style="284" customWidth="1"/>
    <col min="39" max="39" width="3.5703125" style="284" customWidth="1"/>
    <col min="40" max="40" width="5.42578125" style="285" customWidth="1"/>
    <col min="41" max="41" width="4" style="284" customWidth="1"/>
    <col min="42" max="42" width="3.42578125" style="284" customWidth="1"/>
    <col min="43" max="43" width="6.28515625" style="285" customWidth="1"/>
    <col min="44" max="44" width="3.5703125" style="285" customWidth="1"/>
    <col min="45" max="45" width="3.42578125" style="285" customWidth="1"/>
    <col min="46" max="46" width="5" style="285" customWidth="1"/>
    <col min="47" max="47" width="9.7109375" style="521" customWidth="1"/>
    <col min="48" max="48" width="2.5703125" style="284" customWidth="1"/>
    <col min="49" max="49" width="6.140625" style="284" customWidth="1"/>
    <col min="50" max="50" width="6" style="284" customWidth="1"/>
    <col min="51" max="52" width="5.7109375" style="284" customWidth="1"/>
    <col min="53" max="53" width="7.140625" style="284" customWidth="1"/>
    <col min="54" max="54" width="8.7109375" style="284" customWidth="1"/>
    <col min="55" max="55" width="8.7109375" style="514"/>
    <col min="56" max="16384" width="8.7109375" style="284"/>
  </cols>
  <sheetData>
    <row r="1" spans="1:55" ht="15.75" customHeight="1" thickBot="1">
      <c r="A1" s="748" t="str">
        <f>+[1]Summary!A2</f>
        <v>Name of the Line: 220KV DC AL59 line from Neemuch - Chanderiya + 132KV DC ACSS Line from Chanderiya to Hindustan Zinc</v>
      </c>
      <c r="B1" s="749"/>
      <c r="C1" s="749"/>
      <c r="D1" s="749"/>
      <c r="E1" s="749"/>
      <c r="F1" s="749"/>
      <c r="G1" s="749"/>
      <c r="H1" s="749"/>
      <c r="I1" s="749"/>
      <c r="J1" s="749"/>
      <c r="K1" s="749"/>
      <c r="L1" s="749"/>
      <c r="M1" s="749"/>
      <c r="N1" s="749"/>
      <c r="O1" s="749"/>
      <c r="P1" s="749"/>
      <c r="Q1" s="749"/>
      <c r="R1" s="749"/>
      <c r="S1" s="749"/>
      <c r="T1" s="749"/>
      <c r="U1" s="749"/>
      <c r="V1" s="749"/>
      <c r="W1" s="749"/>
      <c r="X1" s="749"/>
      <c r="Y1" s="749"/>
      <c r="Z1" s="749"/>
      <c r="AA1" s="749"/>
      <c r="AB1" s="749"/>
      <c r="AC1" s="749"/>
      <c r="AD1" s="749"/>
      <c r="AE1" s="749"/>
      <c r="AF1" s="749"/>
      <c r="AG1" s="749"/>
      <c r="AH1" s="749"/>
      <c r="AI1" s="749"/>
      <c r="AJ1" s="749"/>
      <c r="AK1" s="749"/>
      <c r="AL1" s="749"/>
      <c r="AM1" s="749"/>
      <c r="AN1" s="749"/>
      <c r="AO1" s="749"/>
      <c r="AP1" s="749"/>
      <c r="AQ1" s="749"/>
      <c r="AR1" s="749"/>
      <c r="AS1" s="749"/>
      <c r="AT1" s="749"/>
      <c r="AU1" s="750"/>
      <c r="AW1" s="751">
        <f>Summary!R5</f>
        <v>46162</v>
      </c>
      <c r="AX1" s="751"/>
      <c r="AY1" s="751"/>
      <c r="AZ1" s="751"/>
      <c r="BA1" s="751"/>
    </row>
    <row r="2" spans="1:55" ht="18.75">
      <c r="A2" s="297"/>
      <c r="T2" s="745" t="s">
        <v>664</v>
      </c>
      <c r="U2" s="745"/>
      <c r="V2" s="745"/>
      <c r="W2" s="745"/>
      <c r="X2" s="745"/>
      <c r="Y2" s="745"/>
      <c r="Z2" s="745"/>
      <c r="AA2" s="745"/>
      <c r="AB2" s="745"/>
      <c r="AC2" s="745"/>
      <c r="AD2" s="745"/>
      <c r="AK2" s="756" t="s">
        <v>26</v>
      </c>
      <c r="AL2" s="756"/>
      <c r="AM2" s="756"/>
      <c r="AN2" s="757">
        <f>AW1</f>
        <v>46162</v>
      </c>
      <c r="AO2" s="757"/>
      <c r="AP2" s="757"/>
      <c r="AW2" s="300" t="s">
        <v>621</v>
      </c>
      <c r="AX2" s="300" t="s">
        <v>622</v>
      </c>
      <c r="AY2" s="300" t="s">
        <v>623</v>
      </c>
      <c r="AZ2" s="316" t="s">
        <v>624</v>
      </c>
      <c r="BA2" s="754" t="s">
        <v>625</v>
      </c>
      <c r="BB2" s="755"/>
      <c r="BC2" s="514" t="s">
        <v>390</v>
      </c>
    </row>
    <row r="3" spans="1:55">
      <c r="A3" s="297"/>
      <c r="C3" s="285"/>
      <c r="F3" s="285"/>
      <c r="G3" s="284"/>
      <c r="AW3" s="306"/>
      <c r="AX3" s="306"/>
      <c r="AY3" s="306"/>
      <c r="AZ3" s="306"/>
      <c r="BA3" s="306" t="s">
        <v>682</v>
      </c>
      <c r="BB3" s="344" t="s">
        <v>683</v>
      </c>
    </row>
    <row r="4" spans="1:55">
      <c r="A4" s="297"/>
      <c r="B4" s="731"/>
      <c r="C4" s="731"/>
      <c r="E4" s="731"/>
      <c r="F4" s="731"/>
      <c r="H4" s="730"/>
      <c r="I4" s="730"/>
      <c r="K4" s="731"/>
      <c r="L4" s="731"/>
      <c r="N4" s="731"/>
      <c r="O4" s="731"/>
      <c r="Q4" s="730"/>
      <c r="R4" s="730"/>
      <c r="T4" s="730"/>
      <c r="U4" s="730"/>
      <c r="W4" s="693"/>
      <c r="X4" s="693"/>
      <c r="Z4" s="693"/>
      <c r="AA4" s="693"/>
      <c r="AC4" s="730"/>
      <c r="AD4" s="731"/>
      <c r="AF4" s="730"/>
      <c r="AG4" s="731"/>
      <c r="AI4" s="730"/>
      <c r="AJ4" s="731"/>
      <c r="AL4" s="730"/>
      <c r="AM4" s="731"/>
      <c r="AO4" s="730"/>
      <c r="AP4" s="731"/>
    </row>
    <row r="5" spans="1:55">
      <c r="A5" s="297"/>
      <c r="B5" s="301"/>
      <c r="C5" s="303"/>
      <c r="D5" s="292"/>
      <c r="E5" s="301"/>
      <c r="F5" s="303"/>
      <c r="G5" s="292"/>
      <c r="H5" s="301"/>
      <c r="I5" s="303"/>
      <c r="J5" s="302"/>
      <c r="K5" s="301"/>
      <c r="L5" s="303"/>
      <c r="M5" s="292"/>
      <c r="N5" s="301"/>
      <c r="O5" s="303"/>
      <c r="P5" s="317"/>
      <c r="Q5" s="301"/>
      <c r="R5" s="303"/>
      <c r="S5" s="317"/>
      <c r="T5" s="301"/>
      <c r="U5" s="303"/>
      <c r="V5" s="317"/>
      <c r="W5" s="301"/>
      <c r="X5" s="303"/>
      <c r="Y5" s="317"/>
      <c r="Z5" s="301"/>
      <c r="AA5" s="303"/>
      <c r="AB5" s="317"/>
      <c r="AC5" s="301"/>
      <c r="AD5" s="334"/>
      <c r="AE5" s="317"/>
      <c r="AF5" s="301"/>
      <c r="AG5" s="303"/>
      <c r="AH5" s="317"/>
      <c r="AI5" s="301"/>
      <c r="AJ5" s="303"/>
      <c r="AK5" s="317"/>
      <c r="AL5" s="301"/>
      <c r="AM5" s="303"/>
      <c r="AN5" s="317"/>
      <c r="AO5" s="301"/>
      <c r="AP5" s="303"/>
      <c r="AQ5" s="317"/>
      <c r="AR5" s="317"/>
      <c r="AS5" s="317"/>
      <c r="AT5" s="317"/>
      <c r="AU5" s="522"/>
    </row>
    <row r="6" spans="1:55">
      <c r="A6" s="297"/>
      <c r="B6" s="301"/>
      <c r="C6" s="301"/>
      <c r="D6" s="310"/>
      <c r="E6" s="301"/>
      <c r="F6" s="301"/>
      <c r="G6" s="310"/>
      <c r="H6" s="301"/>
      <c r="I6" s="301"/>
      <c r="J6" s="315"/>
      <c r="K6" s="301"/>
      <c r="L6" s="301"/>
      <c r="M6" s="310"/>
      <c r="N6" s="301"/>
      <c r="O6" s="301"/>
      <c r="P6" s="310"/>
      <c r="Q6" s="301"/>
      <c r="R6" s="301"/>
      <c r="S6" s="310"/>
      <c r="T6" s="301"/>
      <c r="U6" s="301"/>
      <c r="V6" s="310"/>
      <c r="W6" s="301"/>
      <c r="X6" s="301"/>
      <c r="Y6" s="310"/>
      <c r="Z6" s="301"/>
      <c r="AA6" s="301"/>
      <c r="AB6" s="310"/>
      <c r="AC6" s="301"/>
      <c r="AD6" s="301"/>
      <c r="AF6" s="301"/>
      <c r="AG6" s="301"/>
      <c r="AH6" s="310"/>
      <c r="AI6" s="301"/>
      <c r="AJ6" s="301"/>
      <c r="AK6" s="310"/>
      <c r="AL6" s="301"/>
      <c r="AM6" s="301"/>
      <c r="AN6" s="310"/>
      <c r="AO6" s="301"/>
      <c r="AP6" s="301"/>
      <c r="AQ6" s="310"/>
      <c r="AR6" s="310"/>
      <c r="AS6" s="310"/>
      <c r="AT6" s="310"/>
      <c r="AU6" s="310"/>
      <c r="AW6" s="291">
        <v>14</v>
      </c>
      <c r="AX6" s="291">
        <v>14</v>
      </c>
      <c r="AY6" s="291">
        <v>14</v>
      </c>
      <c r="AZ6" s="291">
        <v>14</v>
      </c>
      <c r="BA6" s="346">
        <f>((SUM(D9:AS9)/1000))</f>
        <v>4.2406999999999995</v>
      </c>
      <c r="BB6" s="346">
        <f>BA6</f>
        <v>4.2406999999999995</v>
      </c>
      <c r="BC6" s="515"/>
    </row>
    <row r="7" spans="1:55">
      <c r="A7" s="297"/>
      <c r="B7" s="739" t="s">
        <v>33</v>
      </c>
      <c r="C7" s="739"/>
      <c r="D7" s="310"/>
      <c r="E7" s="739" t="s">
        <v>36</v>
      </c>
      <c r="F7" s="739"/>
      <c r="G7" s="310"/>
      <c r="H7" s="739" t="s">
        <v>38</v>
      </c>
      <c r="I7" s="739"/>
      <c r="J7" s="310"/>
      <c r="K7" s="747" t="s">
        <v>41</v>
      </c>
      <c r="L7" s="739"/>
      <c r="M7" s="310"/>
      <c r="N7" s="747" t="s">
        <v>43</v>
      </c>
      <c r="O7" s="739"/>
      <c r="P7" s="310"/>
      <c r="Q7" s="752" t="s">
        <v>45</v>
      </c>
      <c r="R7" s="753"/>
      <c r="S7" s="310"/>
      <c r="T7" s="744" t="s">
        <v>47</v>
      </c>
      <c r="U7" s="739"/>
      <c r="V7" s="310"/>
      <c r="W7" s="746" t="s">
        <v>48</v>
      </c>
      <c r="X7" s="737"/>
      <c r="Y7" s="310"/>
      <c r="Z7" s="746" t="s">
        <v>50</v>
      </c>
      <c r="AA7" s="737"/>
      <c r="AB7" s="310"/>
      <c r="AC7" s="738" t="s">
        <v>53</v>
      </c>
      <c r="AD7" s="739"/>
      <c r="AF7" s="738" t="s">
        <v>55</v>
      </c>
      <c r="AG7" s="739"/>
      <c r="AH7" s="310"/>
      <c r="AI7" s="739" t="s">
        <v>58</v>
      </c>
      <c r="AJ7" s="739"/>
      <c r="AK7" s="310"/>
      <c r="AL7" s="738" t="s">
        <v>59</v>
      </c>
      <c r="AM7" s="739"/>
      <c r="AN7" s="310"/>
      <c r="AO7" s="738" t="s">
        <v>61</v>
      </c>
      <c r="AP7" s="739"/>
      <c r="AQ7" s="310"/>
      <c r="AR7" s="310"/>
      <c r="AS7" s="310"/>
      <c r="AT7" s="310"/>
      <c r="AU7" s="310"/>
      <c r="BA7" s="345"/>
      <c r="BB7" s="345"/>
    </row>
    <row r="8" spans="1:55">
      <c r="A8" s="297"/>
      <c r="B8" s="689" t="s">
        <v>34</v>
      </c>
      <c r="C8" s="689"/>
      <c r="D8" s="365"/>
      <c r="E8" s="689" t="s">
        <v>37</v>
      </c>
      <c r="F8" s="689"/>
      <c r="G8" s="365"/>
      <c r="H8" s="689" t="s">
        <v>39</v>
      </c>
      <c r="I8" s="689"/>
      <c r="J8" s="365"/>
      <c r="K8" s="690" t="s">
        <v>42</v>
      </c>
      <c r="L8" s="689"/>
      <c r="M8" s="365"/>
      <c r="N8" s="690" t="s">
        <v>37</v>
      </c>
      <c r="O8" s="689"/>
      <c r="P8" s="365"/>
      <c r="Q8" s="691" t="s">
        <v>46</v>
      </c>
      <c r="R8" s="691"/>
      <c r="S8" s="365"/>
      <c r="T8" s="691" t="s">
        <v>37</v>
      </c>
      <c r="U8" s="691"/>
      <c r="V8" s="365"/>
      <c r="W8" s="689" t="s">
        <v>39</v>
      </c>
      <c r="X8" s="689"/>
      <c r="Y8" s="365"/>
      <c r="Z8" s="689" t="s">
        <v>51</v>
      </c>
      <c r="AA8" s="689"/>
      <c r="AB8" s="365"/>
      <c r="AC8" s="689" t="s">
        <v>54</v>
      </c>
      <c r="AD8" s="689"/>
      <c r="AE8" s="531"/>
      <c r="AF8" s="689" t="s">
        <v>56</v>
      </c>
      <c r="AG8" s="689"/>
      <c r="AH8" s="365"/>
      <c r="AI8" s="689" t="s">
        <v>39</v>
      </c>
      <c r="AJ8" s="689"/>
      <c r="AK8" s="365"/>
      <c r="AL8" s="689" t="s">
        <v>42</v>
      </c>
      <c r="AM8" s="689"/>
      <c r="AN8" s="365"/>
      <c r="AO8" s="689" t="s">
        <v>62</v>
      </c>
      <c r="AP8" s="689"/>
      <c r="BA8" s="345"/>
      <c r="BB8" s="345"/>
    </row>
    <row r="9" spans="1:55">
      <c r="B9" s="343"/>
      <c r="C9" s="343"/>
      <c r="D9" s="342">
        <v>196</v>
      </c>
      <c r="E9" s="343"/>
      <c r="F9" s="343"/>
      <c r="G9" s="342">
        <v>196.7</v>
      </c>
      <c r="H9" s="343"/>
      <c r="I9" s="343"/>
      <c r="J9" s="342">
        <v>334</v>
      </c>
      <c r="K9" s="343"/>
      <c r="L9" s="343"/>
      <c r="M9" s="342">
        <v>319</v>
      </c>
      <c r="N9" s="343"/>
      <c r="O9" s="343"/>
      <c r="P9" s="342">
        <v>384.3</v>
      </c>
      <c r="Q9" s="343"/>
      <c r="R9" s="343"/>
      <c r="S9" s="342">
        <v>329</v>
      </c>
      <c r="T9" s="343"/>
      <c r="U9" s="343"/>
      <c r="V9" s="342">
        <v>280</v>
      </c>
      <c r="W9" s="343"/>
      <c r="X9" s="343"/>
      <c r="Y9" s="342">
        <v>232.1</v>
      </c>
      <c r="Z9" s="343"/>
      <c r="AA9" s="343"/>
      <c r="AB9" s="342">
        <v>237.8</v>
      </c>
      <c r="AC9" s="343"/>
      <c r="AD9" s="343"/>
      <c r="AE9" s="342">
        <v>334</v>
      </c>
      <c r="AF9" s="343"/>
      <c r="AG9" s="343"/>
      <c r="AH9" s="342">
        <v>341.2</v>
      </c>
      <c r="AI9" s="343"/>
      <c r="AJ9" s="343"/>
      <c r="AK9" s="342">
        <v>306</v>
      </c>
      <c r="AL9" s="343"/>
      <c r="AM9" s="343"/>
      <c r="AN9" s="342">
        <v>393.9</v>
      </c>
      <c r="AO9" s="343"/>
      <c r="AP9" s="343"/>
      <c r="AQ9" s="342">
        <v>356.7</v>
      </c>
      <c r="AU9" s="521">
        <f>SUM(A9:AR9)</f>
        <v>4240.7</v>
      </c>
      <c r="BA9" s="343"/>
      <c r="BB9" s="343"/>
    </row>
    <row r="10" spans="1:55">
      <c r="A10" s="297"/>
      <c r="B10" s="308"/>
      <c r="C10" s="308"/>
      <c r="D10" s="309"/>
      <c r="E10" s="331" t="s">
        <v>536</v>
      </c>
      <c r="F10" s="331"/>
      <c r="G10" s="330"/>
      <c r="H10" s="331" t="s">
        <v>536</v>
      </c>
      <c r="I10" s="331"/>
      <c r="J10" s="330"/>
      <c r="K10" s="331" t="s">
        <v>536</v>
      </c>
      <c r="L10" s="331"/>
      <c r="M10" s="330"/>
      <c r="N10" s="331" t="s">
        <v>536</v>
      </c>
      <c r="O10" s="331"/>
      <c r="P10" s="330"/>
      <c r="Q10" s="331" t="s">
        <v>536</v>
      </c>
      <c r="R10" s="333"/>
      <c r="S10" s="330"/>
      <c r="T10" s="331" t="s">
        <v>536</v>
      </c>
      <c r="U10" s="333"/>
      <c r="V10" s="330"/>
      <c r="W10" s="331" t="s">
        <v>536</v>
      </c>
      <c r="X10" s="331"/>
      <c r="Y10" s="330"/>
      <c r="Z10" s="331" t="s">
        <v>536</v>
      </c>
      <c r="AA10" s="331"/>
      <c r="AB10" s="330"/>
      <c r="AC10" s="331" t="s">
        <v>536</v>
      </c>
      <c r="AD10" s="331"/>
      <c r="AE10" s="340"/>
      <c r="AF10" s="331" t="s">
        <v>536</v>
      </c>
      <c r="AG10" s="331"/>
      <c r="AH10" s="330"/>
      <c r="AI10" s="331" t="s">
        <v>536</v>
      </c>
      <c r="AJ10" s="331"/>
      <c r="AK10" s="330"/>
      <c r="AL10" s="331" t="s">
        <v>536</v>
      </c>
      <c r="AM10" s="331"/>
      <c r="AN10" s="330"/>
      <c r="AO10" s="331" t="s">
        <v>536</v>
      </c>
      <c r="AP10" s="331"/>
      <c r="AQ10" s="339"/>
      <c r="AR10" s="339"/>
      <c r="AS10" s="339"/>
      <c r="AT10" s="339"/>
      <c r="BA10" s="345"/>
      <c r="BB10" s="345"/>
    </row>
    <row r="11" spans="1:55">
      <c r="A11" s="297"/>
      <c r="K11" s="285"/>
      <c r="L11" s="285"/>
      <c r="Z11" s="285"/>
      <c r="AY11" s="284" t="s">
        <v>0</v>
      </c>
      <c r="BA11" s="345"/>
      <c r="BB11" s="345"/>
    </row>
    <row r="12" spans="1:55">
      <c r="A12" s="297"/>
      <c r="M12" s="309"/>
      <c r="Q12" s="285"/>
      <c r="BA12" s="345"/>
      <c r="BB12" s="345"/>
    </row>
    <row r="13" spans="1:55">
      <c r="A13" s="297"/>
      <c r="B13" s="693"/>
      <c r="C13" s="693"/>
      <c r="E13" s="730"/>
      <c r="F13" s="731"/>
      <c r="H13" s="730"/>
      <c r="I13" s="731"/>
      <c r="K13" s="731"/>
      <c r="L13" s="731"/>
      <c r="N13" s="730"/>
      <c r="O13" s="731"/>
      <c r="Q13" s="730"/>
      <c r="R13" s="731"/>
      <c r="T13" s="730"/>
      <c r="U13" s="731"/>
      <c r="W13" s="730"/>
      <c r="X13" s="731"/>
      <c r="Z13" s="730"/>
      <c r="AA13" s="731"/>
      <c r="AC13" s="731"/>
      <c r="AD13" s="731"/>
      <c r="AF13" s="730"/>
      <c r="AG13" s="731"/>
      <c r="AI13" s="731"/>
      <c r="AJ13" s="731"/>
      <c r="AL13" s="731"/>
      <c r="AM13" s="731"/>
      <c r="AO13" s="730"/>
      <c r="AP13" s="731"/>
      <c r="BA13" s="345"/>
      <c r="BB13" s="345"/>
    </row>
    <row r="14" spans="1:55">
      <c r="A14" s="297"/>
      <c r="B14" s="301"/>
      <c r="C14" s="303"/>
      <c r="D14" s="317"/>
      <c r="E14" s="301"/>
      <c r="F14" s="303"/>
      <c r="G14" s="317"/>
      <c r="H14" s="301"/>
      <c r="I14" s="303"/>
      <c r="J14" s="317"/>
      <c r="K14" s="301"/>
      <c r="L14" s="303"/>
      <c r="M14" s="317"/>
      <c r="N14" s="301"/>
      <c r="O14" s="303"/>
      <c r="P14" s="317"/>
      <c r="Q14" s="301"/>
      <c r="R14" s="303"/>
      <c r="S14" s="317"/>
      <c r="T14" s="301"/>
      <c r="U14" s="303"/>
      <c r="V14" s="317"/>
      <c r="W14" s="301"/>
      <c r="X14" s="303"/>
      <c r="Y14" s="317"/>
      <c r="Z14" s="301"/>
      <c r="AA14" s="303"/>
      <c r="AB14" s="317"/>
      <c r="AC14" s="301"/>
      <c r="AD14" s="303"/>
      <c r="AE14" s="317"/>
      <c r="AF14" s="301"/>
      <c r="AG14" s="334"/>
      <c r="AH14" s="317"/>
      <c r="AI14" s="301"/>
      <c r="AJ14" s="303"/>
      <c r="AK14" s="298"/>
      <c r="AL14" s="301"/>
      <c r="AM14" s="303"/>
      <c r="AN14" s="317"/>
      <c r="AO14" s="301"/>
      <c r="AP14" s="303"/>
      <c r="AQ14" s="317"/>
      <c r="AR14" s="317"/>
      <c r="AS14" s="317"/>
      <c r="AT14" s="317"/>
      <c r="AU14" s="522"/>
      <c r="BA14" s="345"/>
      <c r="BB14" s="345"/>
    </row>
    <row r="15" spans="1:55">
      <c r="A15" s="297"/>
      <c r="B15" s="301"/>
      <c r="C15" s="301"/>
      <c r="D15" s="310"/>
      <c r="E15" s="301"/>
      <c r="F15" s="301"/>
      <c r="G15" s="310"/>
      <c r="H15" s="301"/>
      <c r="I15" s="301"/>
      <c r="J15" s="309"/>
      <c r="K15" s="301"/>
      <c r="L15" s="301"/>
      <c r="M15" s="310"/>
      <c r="N15" s="301"/>
      <c r="O15" s="301"/>
      <c r="P15" s="310"/>
      <c r="Q15" s="301"/>
      <c r="R15" s="301"/>
      <c r="S15" s="310"/>
      <c r="T15" s="301"/>
      <c r="U15" s="301"/>
      <c r="V15" s="310"/>
      <c r="W15" s="301"/>
      <c r="X15" s="301"/>
      <c r="Y15" s="310"/>
      <c r="Z15" s="301"/>
      <c r="AA15" s="301"/>
      <c r="AB15" s="309"/>
      <c r="AC15" s="301"/>
      <c r="AD15" s="301"/>
      <c r="AE15" s="310"/>
      <c r="AF15" s="301"/>
      <c r="AG15" s="334"/>
      <c r="AH15" s="310"/>
      <c r="AI15" s="301"/>
      <c r="AJ15" s="301"/>
      <c r="AK15" s="310"/>
      <c r="AL15" s="301"/>
      <c r="AM15" s="301"/>
      <c r="AN15" s="310"/>
      <c r="AO15" s="301"/>
      <c r="AP15" s="301"/>
      <c r="AQ15" s="309"/>
      <c r="AR15" s="309"/>
      <c r="AS15" s="309"/>
      <c r="AT15" s="309"/>
      <c r="AU15" s="309"/>
      <c r="AW15" s="291">
        <v>14</v>
      </c>
      <c r="AX15" s="291">
        <v>14</v>
      </c>
      <c r="AY15" s="291">
        <v>14</v>
      </c>
      <c r="AZ15" s="291">
        <v>14</v>
      </c>
      <c r="BA15" s="346">
        <f>((SUM(D18:Y18)+(SUM(AK18:AQ18)))/1000)</f>
        <v>3.6143000000000001</v>
      </c>
      <c r="BB15" s="346">
        <f>((SUM(C18:Y18)+(SUM(AK18:AQ18)))/1000)</f>
        <v>3.6143000000000001</v>
      </c>
      <c r="BC15" s="515"/>
    </row>
    <row r="16" spans="1:55">
      <c r="A16" s="297"/>
      <c r="B16" s="737" t="s">
        <v>64</v>
      </c>
      <c r="C16" s="737"/>
      <c r="D16" s="310"/>
      <c r="E16" s="739" t="s">
        <v>67</v>
      </c>
      <c r="F16" s="739"/>
      <c r="G16" s="338"/>
      <c r="H16" s="747" t="s">
        <v>69</v>
      </c>
      <c r="I16" s="739"/>
      <c r="J16" s="309"/>
      <c r="K16" s="738" t="s">
        <v>71</v>
      </c>
      <c r="L16" s="739"/>
      <c r="M16" s="310"/>
      <c r="N16" s="738" t="s">
        <v>72</v>
      </c>
      <c r="O16" s="739"/>
      <c r="P16" s="310"/>
      <c r="Q16" s="752" t="s">
        <v>73</v>
      </c>
      <c r="R16" s="753"/>
      <c r="S16" s="310"/>
      <c r="T16" s="744" t="s">
        <v>74</v>
      </c>
      <c r="U16" s="739"/>
      <c r="V16" s="310"/>
      <c r="W16" s="746" t="s">
        <v>75</v>
      </c>
      <c r="X16" s="737"/>
      <c r="Y16" s="310"/>
      <c r="Z16" s="744" t="s">
        <v>77</v>
      </c>
      <c r="AA16" s="739"/>
      <c r="AB16" s="310"/>
      <c r="AC16" s="738" t="s">
        <v>78</v>
      </c>
      <c r="AD16" s="739"/>
      <c r="AE16" s="310"/>
      <c r="AF16" s="738" t="s">
        <v>79</v>
      </c>
      <c r="AG16" s="739"/>
      <c r="AH16" s="310"/>
      <c r="AI16" s="738" t="s">
        <v>80</v>
      </c>
      <c r="AJ16" s="739"/>
      <c r="AK16" s="310"/>
      <c r="AL16" s="738" t="s">
        <v>82</v>
      </c>
      <c r="AM16" s="739"/>
      <c r="AN16" s="310"/>
      <c r="AO16" s="738" t="s">
        <v>83</v>
      </c>
      <c r="AP16" s="739"/>
      <c r="AQ16" s="309"/>
      <c r="AR16" s="309"/>
      <c r="AS16" s="309"/>
      <c r="AT16" s="309"/>
      <c r="AU16" s="309"/>
      <c r="BA16" s="345"/>
      <c r="BB16" s="345"/>
    </row>
    <row r="17" spans="1:55">
      <c r="A17" s="297"/>
      <c r="B17" s="689" t="s">
        <v>65</v>
      </c>
      <c r="C17" s="689"/>
      <c r="D17" s="365"/>
      <c r="E17" s="689" t="s">
        <v>51</v>
      </c>
      <c r="F17" s="689"/>
      <c r="G17" s="365"/>
      <c r="H17" s="689" t="s">
        <v>70</v>
      </c>
      <c r="I17" s="689"/>
      <c r="J17" s="365"/>
      <c r="K17" s="689" t="s">
        <v>56</v>
      </c>
      <c r="L17" s="689"/>
      <c r="M17" s="365"/>
      <c r="N17" s="690" t="s">
        <v>37</v>
      </c>
      <c r="O17" s="689"/>
      <c r="P17" s="365"/>
      <c r="Q17" s="690" t="s">
        <v>56</v>
      </c>
      <c r="R17" s="689"/>
      <c r="S17" s="365"/>
      <c r="T17" s="691" t="s">
        <v>37</v>
      </c>
      <c r="U17" s="691"/>
      <c r="V17" s="365"/>
      <c r="W17" s="689" t="s">
        <v>76</v>
      </c>
      <c r="X17" s="689"/>
      <c r="Y17" s="365"/>
      <c r="Z17" s="691" t="s">
        <v>70</v>
      </c>
      <c r="AA17" s="691"/>
      <c r="AB17" s="365"/>
      <c r="AC17" s="689" t="s">
        <v>70</v>
      </c>
      <c r="AD17" s="689"/>
      <c r="AE17" s="365"/>
      <c r="AF17" s="689" t="s">
        <v>70</v>
      </c>
      <c r="AG17" s="689"/>
      <c r="AH17" s="365"/>
      <c r="AI17" s="689" t="s">
        <v>81</v>
      </c>
      <c r="AJ17" s="689"/>
      <c r="AK17" s="365"/>
      <c r="AL17" s="689" t="s">
        <v>81</v>
      </c>
      <c r="AM17" s="689"/>
      <c r="AN17" s="365"/>
      <c r="AO17" s="737" t="s">
        <v>76</v>
      </c>
      <c r="AP17" s="737"/>
      <c r="BA17" s="345"/>
      <c r="BB17" s="345"/>
    </row>
    <row r="18" spans="1:55">
      <c r="B18" s="308"/>
      <c r="C18" s="308"/>
      <c r="D18" s="342">
        <v>174.2</v>
      </c>
      <c r="E18" s="343"/>
      <c r="F18" s="343"/>
      <c r="G18" s="342">
        <v>229.7</v>
      </c>
      <c r="H18" s="343"/>
      <c r="I18" s="343"/>
      <c r="J18" s="342">
        <v>391</v>
      </c>
      <c r="K18" s="343"/>
      <c r="L18" s="343"/>
      <c r="M18" s="342">
        <v>328</v>
      </c>
      <c r="N18" s="343"/>
      <c r="O18" s="343"/>
      <c r="P18" s="342">
        <v>333</v>
      </c>
      <c r="Q18" s="343"/>
      <c r="R18" s="343"/>
      <c r="S18" s="342">
        <v>350</v>
      </c>
      <c r="T18" s="343"/>
      <c r="U18" s="343"/>
      <c r="V18" s="342">
        <v>331</v>
      </c>
      <c r="W18" s="343"/>
      <c r="X18" s="343"/>
      <c r="Y18" s="342">
        <v>349</v>
      </c>
      <c r="Z18" s="343"/>
      <c r="AA18" s="343"/>
      <c r="AB18" s="342">
        <v>360</v>
      </c>
      <c r="AC18" s="343"/>
      <c r="AD18" s="343"/>
      <c r="AE18" s="342">
        <v>460</v>
      </c>
      <c r="AF18" s="343"/>
      <c r="AG18" s="343"/>
      <c r="AH18" s="342">
        <v>230</v>
      </c>
      <c r="AI18" s="343"/>
      <c r="AJ18" s="343"/>
      <c r="AK18" s="342">
        <v>371.5</v>
      </c>
      <c r="AL18" s="343"/>
      <c r="AM18" s="343"/>
      <c r="AN18" s="342">
        <v>332.5</v>
      </c>
      <c r="AO18" s="343"/>
      <c r="AP18" s="343"/>
      <c r="AQ18" s="342">
        <v>424.4</v>
      </c>
      <c r="AU18" s="521">
        <f>SUM(D18:AQ18)</f>
        <v>4664.2999999999993</v>
      </c>
      <c r="BA18" s="343"/>
      <c r="BB18" s="343"/>
    </row>
    <row r="19" spans="1:55">
      <c r="A19" s="297"/>
      <c r="B19" s="331" t="s">
        <v>536</v>
      </c>
      <c r="C19" s="331"/>
      <c r="D19" s="330"/>
      <c r="E19" s="331" t="s">
        <v>536</v>
      </c>
      <c r="F19" s="333"/>
      <c r="G19" s="330"/>
      <c r="H19" s="331" t="s">
        <v>536</v>
      </c>
      <c r="I19" s="333"/>
      <c r="J19" s="330"/>
      <c r="K19" s="331" t="s">
        <v>536</v>
      </c>
      <c r="L19" s="333"/>
      <c r="M19" s="330"/>
      <c r="N19" s="331" t="s">
        <v>536</v>
      </c>
      <c r="O19" s="331"/>
      <c r="P19" s="330"/>
      <c r="Q19" s="331" t="s">
        <v>536</v>
      </c>
      <c r="R19" s="331"/>
      <c r="S19" s="330"/>
      <c r="T19" s="331" t="s">
        <v>536</v>
      </c>
      <c r="U19" s="331"/>
      <c r="V19" s="330"/>
      <c r="W19" s="331" t="s">
        <v>536</v>
      </c>
      <c r="X19" s="331"/>
      <c r="Y19" s="330"/>
      <c r="Z19" s="331" t="s">
        <v>536</v>
      </c>
      <c r="AA19" s="331"/>
      <c r="AB19" s="326"/>
      <c r="AC19" s="324" t="s">
        <v>536</v>
      </c>
      <c r="AD19" s="324"/>
      <c r="AE19" s="326"/>
      <c r="AF19" s="324" t="s">
        <v>536</v>
      </c>
      <c r="AG19" s="324"/>
      <c r="AH19" s="330"/>
      <c r="AI19" s="331" t="s">
        <v>536</v>
      </c>
      <c r="AJ19" s="331"/>
      <c r="AK19" s="330"/>
      <c r="AL19" s="331" t="s">
        <v>536</v>
      </c>
      <c r="AM19" s="331"/>
      <c r="AN19" s="330"/>
      <c r="AO19" s="331" t="s">
        <v>536</v>
      </c>
      <c r="AP19" s="330"/>
      <c r="BA19" s="345"/>
      <c r="BB19" s="345"/>
    </row>
    <row r="20" spans="1:55">
      <c r="A20" s="297"/>
      <c r="BA20" s="345"/>
      <c r="BB20" s="345"/>
    </row>
    <row r="21" spans="1:55">
      <c r="A21" s="297"/>
      <c r="BA21" s="345"/>
      <c r="BB21" s="345"/>
    </row>
    <row r="22" spans="1:55">
      <c r="A22" s="297"/>
      <c r="B22" s="767"/>
      <c r="C22" s="693"/>
      <c r="E22" s="731"/>
      <c r="F22" s="731"/>
      <c r="H22" s="730"/>
      <c r="I22" s="731"/>
      <c r="K22" s="731"/>
      <c r="L22" s="731"/>
      <c r="N22" s="731"/>
      <c r="O22" s="731"/>
      <c r="Q22" s="730"/>
      <c r="R22" s="731"/>
      <c r="T22" s="730"/>
      <c r="U22" s="731"/>
      <c r="W22" s="730"/>
      <c r="X22" s="731"/>
      <c r="Z22" s="730"/>
      <c r="AA22" s="731"/>
      <c r="AC22" s="730"/>
      <c r="AD22" s="731"/>
      <c r="AF22" s="730"/>
      <c r="AG22" s="731"/>
      <c r="AI22" s="730"/>
      <c r="AJ22" s="731"/>
      <c r="AL22" s="730"/>
      <c r="AM22" s="731"/>
      <c r="AO22" s="730"/>
      <c r="AP22" s="731"/>
      <c r="BA22" s="345"/>
      <c r="BB22" s="345"/>
    </row>
    <row r="23" spans="1:55">
      <c r="A23" s="297"/>
      <c r="B23" s="301"/>
      <c r="C23" s="303"/>
      <c r="D23" s="317"/>
      <c r="E23" s="301"/>
      <c r="F23" s="303"/>
      <c r="G23" s="317"/>
      <c r="H23" s="301"/>
      <c r="I23" s="303"/>
      <c r="J23" s="317"/>
      <c r="K23" s="301"/>
      <c r="L23" s="303"/>
      <c r="M23" s="317"/>
      <c r="N23" s="301"/>
      <c r="O23" s="303"/>
      <c r="P23" s="317"/>
      <c r="Q23" s="301"/>
      <c r="R23" s="303"/>
      <c r="S23" s="317"/>
      <c r="T23" s="301"/>
      <c r="U23" s="303"/>
      <c r="V23" s="317"/>
      <c r="W23" s="301"/>
      <c r="X23" s="303"/>
      <c r="Y23" s="317"/>
      <c r="Z23" s="301"/>
      <c r="AA23" s="303"/>
      <c r="AB23" s="317"/>
      <c r="AC23" s="301"/>
      <c r="AD23" s="303"/>
      <c r="AE23" s="317"/>
      <c r="AF23" s="301"/>
      <c r="AG23" s="303"/>
      <c r="AH23" s="317"/>
      <c r="AI23" s="301"/>
      <c r="AJ23" s="303"/>
      <c r="AK23" s="317"/>
      <c r="AL23" s="301"/>
      <c r="AM23" s="303"/>
      <c r="AN23" s="317"/>
      <c r="AO23" s="301"/>
      <c r="AP23" s="303"/>
      <c r="AQ23" s="317"/>
      <c r="AR23" s="317"/>
      <c r="AS23" s="317"/>
      <c r="AT23" s="317"/>
      <c r="AU23" s="522"/>
      <c r="BA23" s="345"/>
      <c r="BB23" s="345"/>
    </row>
    <row r="24" spans="1:55">
      <c r="A24" s="297"/>
      <c r="B24" s="301"/>
      <c r="C24" s="301"/>
      <c r="D24" s="309"/>
      <c r="E24" s="301"/>
      <c r="F24" s="301"/>
      <c r="G24" s="309"/>
      <c r="H24" s="301"/>
      <c r="I24" s="301"/>
      <c r="J24" s="310"/>
      <c r="K24" s="301"/>
      <c r="L24" s="301"/>
      <c r="M24" s="310"/>
      <c r="N24" s="301"/>
      <c r="O24" s="301"/>
      <c r="P24" s="310"/>
      <c r="Q24" s="301"/>
      <c r="R24" s="301"/>
      <c r="S24" s="310"/>
      <c r="T24" s="301"/>
      <c r="U24" s="301"/>
      <c r="V24" s="310"/>
      <c r="W24" s="301"/>
      <c r="X24" s="301"/>
      <c r="Y24" s="309"/>
      <c r="Z24" s="301"/>
      <c r="AA24" s="301"/>
      <c r="AB24" s="310"/>
      <c r="AC24" s="301"/>
      <c r="AD24" s="301"/>
      <c r="AE24" s="310"/>
      <c r="AF24" s="301"/>
      <c r="AG24" s="301"/>
      <c r="AH24" s="310"/>
      <c r="AI24" s="301"/>
      <c r="AJ24" s="301"/>
      <c r="AK24" s="310"/>
      <c r="AL24" s="301"/>
      <c r="AM24" s="301"/>
      <c r="AN24" s="310"/>
      <c r="AO24" s="301"/>
      <c r="AP24" s="301"/>
      <c r="AQ24" s="310"/>
      <c r="AR24" s="310"/>
      <c r="AS24" s="310"/>
      <c r="AT24" s="310"/>
      <c r="AU24" s="310"/>
      <c r="AW24" s="291">
        <v>14</v>
      </c>
      <c r="AX24" s="291">
        <v>14</v>
      </c>
      <c r="AY24" s="291">
        <v>14</v>
      </c>
      <c r="AZ24" s="291">
        <v>14</v>
      </c>
      <c r="BA24" s="346">
        <f>(SUM(D27:AQ27)/1000)</f>
        <v>4.4368999999999996</v>
      </c>
      <c r="BB24" s="346">
        <f>BA24</f>
        <v>4.4368999999999996</v>
      </c>
      <c r="BC24" s="515"/>
    </row>
    <row r="25" spans="1:55">
      <c r="A25" s="297"/>
      <c r="B25" s="746" t="s">
        <v>84</v>
      </c>
      <c r="C25" s="737"/>
      <c r="D25" s="309"/>
      <c r="E25" s="738" t="s">
        <v>86</v>
      </c>
      <c r="F25" s="739"/>
      <c r="G25" s="309"/>
      <c r="H25" s="747" t="s">
        <v>87</v>
      </c>
      <c r="I25" s="739"/>
      <c r="J25" s="310"/>
      <c r="K25" s="738" t="s">
        <v>88</v>
      </c>
      <c r="L25" s="739"/>
      <c r="M25" s="310"/>
      <c r="N25" s="738" t="s">
        <v>90</v>
      </c>
      <c r="O25" s="739"/>
      <c r="P25" s="310"/>
      <c r="Q25" s="752" t="s">
        <v>91</v>
      </c>
      <c r="R25" s="753"/>
      <c r="S25" s="310"/>
      <c r="T25" s="744" t="s">
        <v>93</v>
      </c>
      <c r="U25" s="739"/>
      <c r="V25" s="310"/>
      <c r="W25" s="746" t="s">
        <v>94</v>
      </c>
      <c r="X25" s="737"/>
      <c r="Y25" s="310"/>
      <c r="Z25" s="746" t="s">
        <v>95</v>
      </c>
      <c r="AA25" s="737"/>
      <c r="AB25" s="310"/>
      <c r="AC25" s="765" t="s">
        <v>96</v>
      </c>
      <c r="AD25" s="765"/>
      <c r="AE25" s="310"/>
      <c r="AF25" s="765" t="s">
        <v>98</v>
      </c>
      <c r="AG25" s="765"/>
      <c r="AH25" s="309"/>
      <c r="AI25" s="765" t="s">
        <v>99</v>
      </c>
      <c r="AJ25" s="765"/>
      <c r="AK25" s="336"/>
      <c r="AL25" s="765" t="s">
        <v>100</v>
      </c>
      <c r="AM25" s="765"/>
      <c r="AN25" s="309"/>
      <c r="AO25" s="765" t="s">
        <v>102</v>
      </c>
      <c r="AP25" s="765"/>
      <c r="BA25" s="345"/>
      <c r="BB25" s="345"/>
    </row>
    <row r="26" spans="1:55">
      <c r="A26" s="297"/>
      <c r="B26" s="737" t="s">
        <v>85</v>
      </c>
      <c r="C26" s="737"/>
      <c r="D26" s="309"/>
      <c r="E26" s="737" t="s">
        <v>56</v>
      </c>
      <c r="F26" s="737"/>
      <c r="G26" s="309"/>
      <c r="H26" s="737" t="s">
        <v>42</v>
      </c>
      <c r="I26" s="737"/>
      <c r="J26" s="309"/>
      <c r="K26" s="737" t="s">
        <v>89</v>
      </c>
      <c r="L26" s="737"/>
      <c r="M26" s="309"/>
      <c r="N26" s="766" t="s">
        <v>76</v>
      </c>
      <c r="O26" s="737"/>
      <c r="P26" s="309"/>
      <c r="Q26" s="766" t="s">
        <v>76</v>
      </c>
      <c r="R26" s="737"/>
      <c r="S26" s="309"/>
      <c r="T26" s="766" t="s">
        <v>81</v>
      </c>
      <c r="U26" s="737"/>
      <c r="V26" s="309"/>
      <c r="W26" s="737" t="s">
        <v>89</v>
      </c>
      <c r="X26" s="737"/>
      <c r="Y26" s="309"/>
      <c r="Z26" s="737" t="s">
        <v>56</v>
      </c>
      <c r="AA26" s="737"/>
      <c r="AB26" s="309"/>
      <c r="AC26" s="756" t="s">
        <v>37</v>
      </c>
      <c r="AD26" s="756"/>
      <c r="AE26" s="337"/>
      <c r="AF26" s="764" t="s">
        <v>39</v>
      </c>
      <c r="AG26" s="764"/>
      <c r="AH26" s="337"/>
      <c r="AI26" s="764" t="s">
        <v>76</v>
      </c>
      <c r="AJ26" s="764"/>
      <c r="AK26" s="337"/>
      <c r="AL26" s="764" t="s">
        <v>76</v>
      </c>
      <c r="AM26" s="764"/>
      <c r="AN26" s="337"/>
      <c r="AO26" s="764" t="s">
        <v>89</v>
      </c>
      <c r="AP26" s="764"/>
      <c r="BA26" s="345"/>
      <c r="BB26" s="345"/>
    </row>
    <row r="27" spans="1:55">
      <c r="B27" s="308"/>
      <c r="C27" s="308"/>
      <c r="D27" s="342">
        <v>326.7</v>
      </c>
      <c r="E27" s="343"/>
      <c r="F27" s="343"/>
      <c r="G27" s="342">
        <v>291.89999999999998</v>
      </c>
      <c r="H27" s="343"/>
      <c r="I27" s="343"/>
      <c r="J27" s="342">
        <v>292</v>
      </c>
      <c r="K27" s="343"/>
      <c r="L27" s="343"/>
      <c r="M27" s="342">
        <v>415</v>
      </c>
      <c r="N27" s="343"/>
      <c r="O27" s="343"/>
      <c r="P27" s="342">
        <v>237</v>
      </c>
      <c r="Q27" s="343"/>
      <c r="R27" s="343"/>
      <c r="S27" s="342">
        <v>188.5</v>
      </c>
      <c r="T27" s="343"/>
      <c r="U27" s="343"/>
      <c r="V27" s="342">
        <v>383</v>
      </c>
      <c r="W27" s="343"/>
      <c r="X27" s="343"/>
      <c r="Y27" s="342">
        <v>311</v>
      </c>
      <c r="Z27" s="343"/>
      <c r="AA27" s="343"/>
      <c r="AB27" s="342">
        <v>350</v>
      </c>
      <c r="AC27" s="343"/>
      <c r="AD27" s="343"/>
      <c r="AE27" s="342">
        <v>291</v>
      </c>
      <c r="AF27" s="343"/>
      <c r="AG27" s="343"/>
      <c r="AH27" s="342">
        <v>342</v>
      </c>
      <c r="AI27" s="343"/>
      <c r="AJ27" s="343"/>
      <c r="AK27" s="342">
        <v>264</v>
      </c>
      <c r="AL27" s="343"/>
      <c r="AM27" s="343"/>
      <c r="AN27" s="342">
        <v>282.7</v>
      </c>
      <c r="AO27" s="343"/>
      <c r="AP27" s="343"/>
      <c r="AQ27" s="342">
        <v>462.1</v>
      </c>
      <c r="AU27" s="521">
        <f>SUM(D27:AQ27)</f>
        <v>4436.8999999999996</v>
      </c>
      <c r="BA27" s="343"/>
      <c r="BB27" s="343"/>
    </row>
    <row r="28" spans="1:55">
      <c r="A28" s="297"/>
      <c r="B28" s="331" t="s">
        <v>536</v>
      </c>
      <c r="C28" s="331"/>
      <c r="D28" s="330"/>
      <c r="E28" s="331" t="s">
        <v>536</v>
      </c>
      <c r="F28" s="333"/>
      <c r="G28" s="330"/>
      <c r="H28" s="331" t="s">
        <v>536</v>
      </c>
      <c r="I28" s="333"/>
      <c r="J28" s="330"/>
      <c r="K28" s="331" t="s">
        <v>536</v>
      </c>
      <c r="L28" s="333"/>
      <c r="M28" s="330"/>
      <c r="N28" s="331" t="s">
        <v>536</v>
      </c>
      <c r="O28" s="331"/>
      <c r="P28" s="330"/>
      <c r="Q28" s="331" t="s">
        <v>536</v>
      </c>
      <c r="R28" s="331"/>
      <c r="S28" s="330"/>
      <c r="T28" s="331" t="s">
        <v>536</v>
      </c>
      <c r="U28" s="331"/>
      <c r="V28" s="330"/>
      <c r="W28" s="331" t="s">
        <v>536</v>
      </c>
      <c r="X28" s="331"/>
      <c r="Y28" s="330"/>
      <c r="Z28" s="331" t="s">
        <v>536</v>
      </c>
      <c r="AA28" s="331"/>
      <c r="AB28" s="330"/>
      <c r="AC28" s="331" t="s">
        <v>536</v>
      </c>
      <c r="AD28" s="331"/>
      <c r="AE28" s="330"/>
      <c r="AF28" s="331" t="s">
        <v>536</v>
      </c>
      <c r="AG28" s="331"/>
      <c r="AH28" s="326"/>
      <c r="AI28" s="324" t="s">
        <v>536</v>
      </c>
      <c r="AJ28" s="324"/>
      <c r="AK28" s="326"/>
      <c r="AL28" s="324" t="s">
        <v>536</v>
      </c>
      <c r="AM28" s="324"/>
      <c r="AN28" s="326"/>
      <c r="AO28" s="324" t="s">
        <v>536</v>
      </c>
      <c r="AP28" s="326"/>
      <c r="AQ28" s="325"/>
      <c r="BA28" s="345"/>
      <c r="BB28" s="345"/>
    </row>
    <row r="29" spans="1:55">
      <c r="A29" s="297"/>
      <c r="BA29" s="345"/>
      <c r="BB29" s="345"/>
    </row>
    <row r="30" spans="1:55">
      <c r="A30" s="297"/>
      <c r="BA30" s="345"/>
      <c r="BB30" s="345"/>
    </row>
    <row r="31" spans="1:55">
      <c r="A31" s="297"/>
      <c r="B31" s="767"/>
      <c r="C31" s="693"/>
      <c r="E31" s="731"/>
      <c r="F31" s="731"/>
      <c r="H31" s="731"/>
      <c r="I31" s="731"/>
      <c r="K31" s="731"/>
      <c r="L31" s="731"/>
      <c r="N31" s="731"/>
      <c r="O31" s="731"/>
      <c r="Q31" s="731"/>
      <c r="R31" s="731"/>
      <c r="T31" s="731"/>
      <c r="U31" s="731"/>
      <c r="W31" s="731"/>
      <c r="X31" s="731"/>
      <c r="Z31" s="731"/>
      <c r="AA31" s="731"/>
      <c r="AC31" s="731"/>
      <c r="AD31" s="731"/>
      <c r="AF31" s="731"/>
      <c r="AG31" s="731"/>
      <c r="AI31" s="731"/>
      <c r="AJ31" s="731"/>
      <c r="AL31" s="731"/>
      <c r="AM31" s="731"/>
      <c r="AO31" s="731"/>
      <c r="AP31" s="731"/>
      <c r="AR31" s="731"/>
      <c r="AS31" s="731"/>
      <c r="AT31" s="294"/>
      <c r="BA31" s="345"/>
      <c r="BB31" s="345"/>
    </row>
    <row r="32" spans="1:55">
      <c r="A32" s="297"/>
      <c r="B32" s="301"/>
      <c r="C32" s="303"/>
      <c r="D32" s="317"/>
      <c r="E32" s="301"/>
      <c r="F32" s="303"/>
      <c r="G32" s="317"/>
      <c r="H32" s="301"/>
      <c r="I32" s="303"/>
      <c r="J32" s="317"/>
      <c r="K32" s="301"/>
      <c r="L32" s="303"/>
      <c r="M32" s="317"/>
      <c r="N32" s="301"/>
      <c r="O32" s="303"/>
      <c r="P32" s="317"/>
      <c r="Q32" s="301"/>
      <c r="R32" s="303"/>
      <c r="S32" s="317"/>
      <c r="T32" s="301"/>
      <c r="U32" s="303"/>
      <c r="V32" s="317"/>
      <c r="W32" s="301"/>
      <c r="X32" s="303"/>
      <c r="Y32" s="317"/>
      <c r="Z32" s="301"/>
      <c r="AA32" s="303"/>
      <c r="AB32" s="317"/>
      <c r="AC32" s="301"/>
      <c r="AD32" s="303"/>
      <c r="AE32" s="317"/>
      <c r="AF32" s="301"/>
      <c r="AG32" s="303"/>
      <c r="AH32" s="317"/>
      <c r="AI32" s="301"/>
      <c r="AJ32" s="303"/>
      <c r="AK32" s="317"/>
      <c r="AL32" s="301"/>
      <c r="AM32" s="303"/>
      <c r="AN32" s="317"/>
      <c r="AO32" s="301"/>
      <c r="AP32" s="303"/>
      <c r="AQ32" s="317"/>
      <c r="AR32" s="301"/>
      <c r="AS32" s="303"/>
      <c r="AT32" s="501"/>
      <c r="AU32" s="522"/>
      <c r="BA32" s="345"/>
      <c r="BB32" s="345"/>
    </row>
    <row r="33" spans="1:55">
      <c r="A33" s="297"/>
      <c r="B33" s="301"/>
      <c r="C33" s="301"/>
      <c r="D33" s="310"/>
      <c r="E33" s="301"/>
      <c r="F33" s="301"/>
      <c r="G33" s="310"/>
      <c r="H33" s="301"/>
      <c r="I33" s="301"/>
      <c r="J33" s="310"/>
      <c r="K33" s="301"/>
      <c r="L33" s="301"/>
      <c r="M33" s="310"/>
      <c r="N33" s="301"/>
      <c r="O33" s="301"/>
      <c r="P33" s="310"/>
      <c r="Q33" s="301"/>
      <c r="R33" s="301"/>
      <c r="S33" s="310"/>
      <c r="T33" s="301"/>
      <c r="U33" s="301"/>
      <c r="V33" s="310"/>
      <c r="W33" s="301"/>
      <c r="X33" s="301"/>
      <c r="Y33" s="309"/>
      <c r="Z33" s="301"/>
      <c r="AA33" s="301"/>
      <c r="AB33" s="310"/>
      <c r="AC33" s="301"/>
      <c r="AD33" s="301"/>
      <c r="AE33" s="310"/>
      <c r="AF33" s="301"/>
      <c r="AG33" s="301"/>
      <c r="AH33" s="309"/>
      <c r="AI33" s="301"/>
      <c r="AJ33" s="301"/>
      <c r="AK33" s="310"/>
      <c r="AL33" s="301"/>
      <c r="AM33" s="301"/>
      <c r="AN33" s="309"/>
      <c r="AO33" s="301"/>
      <c r="AP33" s="301"/>
      <c r="AQ33" s="310"/>
      <c r="AR33" s="301"/>
      <c r="AS33" s="301"/>
      <c r="AT33" s="306"/>
      <c r="AU33" s="310"/>
      <c r="AW33" s="291">
        <v>15</v>
      </c>
      <c r="AX33" s="291">
        <v>15</v>
      </c>
      <c r="AY33" s="291">
        <v>15</v>
      </c>
      <c r="AZ33" s="291">
        <v>15</v>
      </c>
      <c r="BA33" s="346">
        <f>(SUM(D36:AT36))/1000</f>
        <v>4.2901000000000007</v>
      </c>
      <c r="BB33" s="346">
        <f>BA33</f>
        <v>4.2901000000000007</v>
      </c>
      <c r="BC33" s="515"/>
    </row>
    <row r="34" spans="1:55">
      <c r="A34" s="297"/>
      <c r="B34" s="746" t="s">
        <v>104</v>
      </c>
      <c r="C34" s="737"/>
      <c r="D34" s="310"/>
      <c r="E34" s="738" t="s">
        <v>106</v>
      </c>
      <c r="F34" s="739"/>
      <c r="G34" s="310"/>
      <c r="H34" s="738" t="s">
        <v>107</v>
      </c>
      <c r="I34" s="739"/>
      <c r="J34" s="310"/>
      <c r="K34" s="738" t="s">
        <v>108</v>
      </c>
      <c r="L34" s="739"/>
      <c r="M34" s="310"/>
      <c r="N34" s="738" t="s">
        <v>109</v>
      </c>
      <c r="O34" s="739"/>
      <c r="P34" s="310"/>
      <c r="Q34" s="738" t="s">
        <v>111</v>
      </c>
      <c r="R34" s="739"/>
      <c r="S34" s="310"/>
      <c r="T34" s="738" t="s">
        <v>113</v>
      </c>
      <c r="U34" s="739"/>
      <c r="V34" s="310"/>
      <c r="W34" s="738" t="s">
        <v>115</v>
      </c>
      <c r="X34" s="739"/>
      <c r="Y34" s="309"/>
      <c r="Z34" s="738" t="s">
        <v>117</v>
      </c>
      <c r="AA34" s="739"/>
      <c r="AB34" s="310"/>
      <c r="AC34" s="738" t="s">
        <v>118</v>
      </c>
      <c r="AD34" s="739"/>
      <c r="AE34" s="310"/>
      <c r="AF34" s="738" t="s">
        <v>120</v>
      </c>
      <c r="AG34" s="739"/>
      <c r="AH34" s="309"/>
      <c r="AI34" s="738" t="s">
        <v>122</v>
      </c>
      <c r="AJ34" s="739"/>
      <c r="AK34" s="310"/>
      <c r="AL34" s="738" t="s">
        <v>568</v>
      </c>
      <c r="AM34" s="739"/>
      <c r="AN34" s="309"/>
      <c r="AO34" s="738" t="s">
        <v>123</v>
      </c>
      <c r="AP34" s="739"/>
      <c r="AQ34" s="310"/>
      <c r="AR34" s="804" t="s">
        <v>124</v>
      </c>
      <c r="AS34" s="804"/>
      <c r="AT34" s="310"/>
      <c r="AU34" s="310"/>
      <c r="BA34" s="345"/>
      <c r="BB34" s="345"/>
    </row>
    <row r="35" spans="1:55">
      <c r="A35" s="297"/>
      <c r="B35" s="737" t="s">
        <v>39</v>
      </c>
      <c r="C35" s="737"/>
      <c r="D35" s="309"/>
      <c r="E35" s="737" t="s">
        <v>70</v>
      </c>
      <c r="F35" s="737"/>
      <c r="G35" s="309"/>
      <c r="H35" s="737" t="s">
        <v>42</v>
      </c>
      <c r="I35" s="737"/>
      <c r="J35" s="309"/>
      <c r="K35" s="737" t="s">
        <v>42</v>
      </c>
      <c r="L35" s="737"/>
      <c r="M35" s="309"/>
      <c r="N35" s="737" t="s">
        <v>42</v>
      </c>
      <c r="O35" s="737"/>
      <c r="P35" s="309"/>
      <c r="Q35" s="737" t="s">
        <v>34</v>
      </c>
      <c r="R35" s="737"/>
      <c r="S35" s="309"/>
      <c r="T35" s="737" t="s">
        <v>34</v>
      </c>
      <c r="U35" s="737"/>
      <c r="V35" s="309"/>
      <c r="W35" s="737" t="s">
        <v>116</v>
      </c>
      <c r="X35" s="737"/>
      <c r="Y35" s="309"/>
      <c r="Z35" s="737" t="s">
        <v>42</v>
      </c>
      <c r="AA35" s="737"/>
      <c r="AB35" s="309"/>
      <c r="AC35" s="737" t="s">
        <v>42</v>
      </c>
      <c r="AD35" s="737"/>
      <c r="AE35" s="309"/>
      <c r="AF35" s="737" t="s">
        <v>34</v>
      </c>
      <c r="AG35" s="737"/>
      <c r="AH35" s="309"/>
      <c r="AI35" s="737" t="s">
        <v>34</v>
      </c>
      <c r="AJ35" s="737"/>
      <c r="AK35" s="309"/>
      <c r="AL35" s="737" t="s">
        <v>37</v>
      </c>
      <c r="AM35" s="737"/>
      <c r="AN35" s="309"/>
      <c r="AO35" s="737" t="s">
        <v>62</v>
      </c>
      <c r="AP35" s="737"/>
      <c r="AR35" s="500" t="s">
        <v>56</v>
      </c>
      <c r="BA35" s="345"/>
      <c r="BB35" s="345"/>
    </row>
    <row r="36" spans="1:55">
      <c r="A36" s="297"/>
      <c r="B36" s="308"/>
      <c r="C36" s="308"/>
      <c r="D36" s="309">
        <v>318</v>
      </c>
      <c r="E36" s="308"/>
      <c r="F36" s="308"/>
      <c r="G36" s="309">
        <v>364</v>
      </c>
      <c r="H36" s="308"/>
      <c r="I36" s="308"/>
      <c r="J36" s="309">
        <v>279</v>
      </c>
      <c r="K36" s="308"/>
      <c r="L36" s="308"/>
      <c r="M36" s="309">
        <v>252</v>
      </c>
      <c r="N36" s="308"/>
      <c r="O36" s="308"/>
      <c r="P36" s="309">
        <v>257.10000000000002</v>
      </c>
      <c r="Q36" s="308"/>
      <c r="R36" s="308"/>
      <c r="S36" s="309">
        <v>170.7</v>
      </c>
      <c r="T36" s="308"/>
      <c r="U36" s="308"/>
      <c r="V36" s="309">
        <v>336.5</v>
      </c>
      <c r="W36" s="308"/>
      <c r="X36" s="308"/>
      <c r="Y36" s="309">
        <v>365</v>
      </c>
      <c r="Z36" s="308"/>
      <c r="AA36" s="308"/>
      <c r="AB36" s="309">
        <v>280</v>
      </c>
      <c r="AC36" s="308"/>
      <c r="AD36" s="308"/>
      <c r="AE36" s="309">
        <v>255.1</v>
      </c>
      <c r="AF36" s="308"/>
      <c r="AG36" s="308"/>
      <c r="AH36" s="309">
        <v>318.8</v>
      </c>
      <c r="AI36" s="308"/>
      <c r="AJ36" s="308"/>
      <c r="AK36" s="309">
        <v>311.60000000000002</v>
      </c>
      <c r="AL36" s="308"/>
      <c r="AM36" s="308"/>
      <c r="AN36" s="309">
        <v>124.5</v>
      </c>
      <c r="AO36" s="308"/>
      <c r="AP36" s="308"/>
      <c r="AQ36" s="285">
        <v>264.8</v>
      </c>
      <c r="AT36" s="285">
        <v>393</v>
      </c>
      <c r="AU36" s="521">
        <f>SUM(D36:AT36)</f>
        <v>4290.1000000000004</v>
      </c>
      <c r="AV36" s="479">
        <v>393393</v>
      </c>
      <c r="BA36" s="343"/>
      <c r="BB36" s="343"/>
    </row>
    <row r="37" spans="1:55">
      <c r="A37" s="297"/>
      <c r="B37" s="331" t="s">
        <v>536</v>
      </c>
      <c r="C37" s="331"/>
      <c r="D37" s="330"/>
      <c r="E37" s="331" t="s">
        <v>536</v>
      </c>
      <c r="F37" s="333"/>
      <c r="G37" s="330"/>
      <c r="H37" s="331" t="s">
        <v>536</v>
      </c>
      <c r="I37" s="333"/>
      <c r="J37" s="330"/>
      <c r="K37" s="331" t="s">
        <v>536</v>
      </c>
      <c r="L37" s="333"/>
      <c r="M37" s="330"/>
      <c r="N37" s="331" t="s">
        <v>536</v>
      </c>
      <c r="O37" s="331"/>
      <c r="P37" s="330"/>
      <c r="Q37" s="331" t="s">
        <v>536</v>
      </c>
      <c r="R37" s="331"/>
      <c r="S37" s="330"/>
      <c r="T37" s="331" t="s">
        <v>536</v>
      </c>
      <c r="U37" s="331"/>
      <c r="V37" s="330"/>
      <c r="W37" s="331" t="s">
        <v>536</v>
      </c>
      <c r="X37" s="331"/>
      <c r="Y37" s="330"/>
      <c r="Z37" s="331" t="s">
        <v>536</v>
      </c>
      <c r="AA37" s="331"/>
      <c r="AB37" s="330"/>
      <c r="AC37" s="331" t="s">
        <v>536</v>
      </c>
      <c r="AD37" s="331"/>
      <c r="AE37" s="330"/>
      <c r="AF37" s="331" t="s">
        <v>536</v>
      </c>
      <c r="AG37" s="331"/>
      <c r="AH37" s="330"/>
      <c r="AI37" s="331" t="s">
        <v>536</v>
      </c>
      <c r="AJ37" s="331"/>
      <c r="AK37" s="330"/>
      <c r="AL37" s="331" t="s">
        <v>536</v>
      </c>
      <c r="AM37" s="331"/>
      <c r="AN37" s="330"/>
      <c r="AO37" s="331" t="s">
        <v>536</v>
      </c>
      <c r="AP37" s="330"/>
      <c r="AQ37" s="330"/>
      <c r="AR37" s="331" t="s">
        <v>536</v>
      </c>
      <c r="AS37" s="330"/>
      <c r="AT37" s="330"/>
      <c r="AU37" s="309"/>
      <c r="BA37" s="345"/>
      <c r="BB37" s="345"/>
    </row>
    <row r="38" spans="1:55">
      <c r="A38" s="297"/>
      <c r="AE38" s="284"/>
      <c r="AF38" s="285"/>
      <c r="AI38" s="285"/>
      <c r="BA38" s="345"/>
      <c r="BB38" s="345"/>
    </row>
    <row r="39" spans="1:55">
      <c r="A39" s="297"/>
      <c r="BA39" s="345"/>
      <c r="BB39" s="345"/>
    </row>
    <row r="40" spans="1:55">
      <c r="A40" s="297"/>
      <c r="B40" s="693"/>
      <c r="C40" s="693"/>
      <c r="E40" s="731"/>
      <c r="F40" s="731"/>
      <c r="H40" s="731"/>
      <c r="I40" s="731"/>
      <c r="K40" s="731"/>
      <c r="L40" s="731"/>
      <c r="N40" s="731"/>
      <c r="O40" s="731"/>
      <c r="Q40" s="731"/>
      <c r="R40" s="731"/>
      <c r="T40" s="731"/>
      <c r="U40" s="731"/>
      <c r="W40" s="731"/>
      <c r="X40" s="731"/>
      <c r="Z40" s="731"/>
      <c r="AA40" s="731"/>
      <c r="AC40" s="731"/>
      <c r="AD40" s="731"/>
      <c r="AF40" s="731"/>
      <c r="AG40" s="731"/>
      <c r="AI40" s="731"/>
      <c r="AJ40" s="731"/>
      <c r="AL40" s="731"/>
      <c r="AM40" s="731"/>
      <c r="AO40" s="731"/>
      <c r="AP40" s="731"/>
      <c r="BA40" s="345"/>
      <c r="BB40" s="345"/>
    </row>
    <row r="41" spans="1:55">
      <c r="A41" s="297"/>
      <c r="B41" s="303"/>
      <c r="C41" s="303"/>
      <c r="D41" s="317"/>
      <c r="E41" s="301"/>
      <c r="F41" s="303"/>
      <c r="G41" s="317"/>
      <c r="H41" s="301"/>
      <c r="I41" s="303"/>
      <c r="J41" s="298"/>
      <c r="K41" s="301"/>
      <c r="L41" s="303"/>
      <c r="M41" s="317"/>
      <c r="N41" s="301"/>
      <c r="O41" s="303"/>
      <c r="P41" s="317"/>
      <c r="Q41" s="301"/>
      <c r="R41" s="334"/>
      <c r="S41" s="317"/>
      <c r="T41" s="301"/>
      <c r="U41" s="303"/>
      <c r="V41" s="317"/>
      <c r="W41" s="301"/>
      <c r="X41" s="303"/>
      <c r="Y41" s="317"/>
      <c r="Z41" s="301"/>
      <c r="AA41" s="303"/>
      <c r="AB41" s="317"/>
      <c r="AC41" s="301"/>
      <c r="AD41" s="303"/>
      <c r="AE41" s="317"/>
      <c r="AF41" s="301"/>
      <c r="AG41" s="303"/>
      <c r="AH41" s="317"/>
      <c r="AI41" s="301"/>
      <c r="AJ41" s="303"/>
      <c r="AK41" s="317"/>
      <c r="AL41" s="301"/>
      <c r="AM41" s="303"/>
      <c r="AN41" s="317"/>
      <c r="AO41" s="301"/>
      <c r="AP41" s="303"/>
      <c r="AQ41" s="317"/>
      <c r="AR41" s="317"/>
      <c r="AS41" s="317"/>
      <c r="AT41" s="317"/>
      <c r="AU41" s="522"/>
      <c r="BA41" s="345"/>
      <c r="BB41" s="345"/>
    </row>
    <row r="42" spans="1:55">
      <c r="A42" s="297"/>
      <c r="B42" s="301"/>
      <c r="C42" s="301"/>
      <c r="D42" s="309"/>
      <c r="E42" s="301"/>
      <c r="F42" s="301"/>
      <c r="G42" s="310"/>
      <c r="H42" s="301"/>
      <c r="I42" s="301"/>
      <c r="J42" s="309"/>
      <c r="K42" s="301"/>
      <c r="L42" s="301"/>
      <c r="M42" s="310"/>
      <c r="N42" s="301"/>
      <c r="O42" s="301"/>
      <c r="P42" s="309"/>
      <c r="Q42" s="301"/>
      <c r="R42" s="301"/>
      <c r="S42" s="310"/>
      <c r="T42" s="301"/>
      <c r="U42" s="301"/>
      <c r="V42" s="309"/>
      <c r="W42" s="301"/>
      <c r="X42" s="301"/>
      <c r="Y42" s="309"/>
      <c r="Z42" s="301"/>
      <c r="AA42" s="301"/>
      <c r="AB42" s="309"/>
      <c r="AC42" s="301"/>
      <c r="AD42" s="301"/>
      <c r="AE42" s="309"/>
      <c r="AF42" s="301"/>
      <c r="AG42" s="301"/>
      <c r="AH42" s="309"/>
      <c r="AI42" s="301"/>
      <c r="AJ42" s="301"/>
      <c r="AK42" s="309"/>
      <c r="AL42" s="301"/>
      <c r="AM42" s="301"/>
      <c r="AO42" s="301"/>
      <c r="AP42" s="301"/>
      <c r="AQ42" s="309"/>
      <c r="AR42" s="309"/>
      <c r="AS42" s="309"/>
      <c r="AT42" s="309"/>
      <c r="AU42" s="309"/>
      <c r="AW42" s="291">
        <v>14</v>
      </c>
      <c r="AX42" s="291">
        <v>14</v>
      </c>
      <c r="AY42" s="291">
        <v>14</v>
      </c>
      <c r="AZ42" s="291">
        <v>13</v>
      </c>
      <c r="BA42" s="346">
        <f>SUM(D45:AQ45)/1000</f>
        <v>4.9741999999999997</v>
      </c>
      <c r="BB42" s="346">
        <f>(SUM(D45:AQ46))/1000</f>
        <v>4.9741999999999997</v>
      </c>
      <c r="BC42" s="515"/>
    </row>
    <row r="43" spans="1:55">
      <c r="A43" s="297"/>
      <c r="B43" s="746" t="s">
        <v>125</v>
      </c>
      <c r="C43" s="737"/>
      <c r="D43" s="309"/>
      <c r="E43" s="738" t="s">
        <v>126</v>
      </c>
      <c r="F43" s="739"/>
      <c r="G43" s="309"/>
      <c r="H43" s="738" t="s">
        <v>127</v>
      </c>
      <c r="I43" s="739"/>
      <c r="J43" s="309"/>
      <c r="K43" s="738" t="s">
        <v>128</v>
      </c>
      <c r="L43" s="739"/>
      <c r="M43" s="309"/>
      <c r="N43" s="738" t="s">
        <v>130</v>
      </c>
      <c r="O43" s="739"/>
      <c r="P43" s="309"/>
      <c r="Q43" s="738" t="s">
        <v>131</v>
      </c>
      <c r="R43" s="739"/>
      <c r="S43" s="309"/>
      <c r="T43" s="738" t="s">
        <v>132</v>
      </c>
      <c r="U43" s="739"/>
      <c r="V43" s="309"/>
      <c r="W43" s="738" t="s">
        <v>133</v>
      </c>
      <c r="X43" s="739"/>
      <c r="Y43" s="309"/>
      <c r="Z43" s="738" t="s">
        <v>134</v>
      </c>
      <c r="AA43" s="739"/>
      <c r="AB43" s="309"/>
      <c r="AC43" s="738" t="s">
        <v>135</v>
      </c>
      <c r="AD43" s="739"/>
      <c r="AE43" s="309"/>
      <c r="AF43" s="738" t="s">
        <v>136</v>
      </c>
      <c r="AG43" s="739"/>
      <c r="AH43" s="309"/>
      <c r="AI43" s="738" t="s">
        <v>137</v>
      </c>
      <c r="AJ43" s="739"/>
      <c r="AK43" s="336"/>
      <c r="AL43" s="738" t="s">
        <v>138</v>
      </c>
      <c r="AM43" s="739"/>
      <c r="AN43" s="309"/>
      <c r="AO43" s="738" t="s">
        <v>139</v>
      </c>
      <c r="AP43" s="739"/>
      <c r="BA43" s="345"/>
      <c r="BB43" s="345"/>
    </row>
    <row r="44" spans="1:55">
      <c r="A44" s="297"/>
      <c r="B44" s="737" t="s">
        <v>76</v>
      </c>
      <c r="C44" s="737"/>
      <c r="D44" s="309"/>
      <c r="E44" s="737" t="s">
        <v>89</v>
      </c>
      <c r="F44" s="737"/>
      <c r="G44" s="309"/>
      <c r="H44" s="737" t="s">
        <v>76</v>
      </c>
      <c r="I44" s="737"/>
      <c r="J44" s="309"/>
      <c r="K44" s="737" t="s">
        <v>76</v>
      </c>
      <c r="L44" s="737"/>
      <c r="M44" s="309"/>
      <c r="N44" s="737" t="s">
        <v>39</v>
      </c>
      <c r="O44" s="737"/>
      <c r="P44" s="309"/>
      <c r="Q44" s="737" t="s">
        <v>89</v>
      </c>
      <c r="R44" s="737"/>
      <c r="S44" s="309"/>
      <c r="T44" s="737" t="s">
        <v>70</v>
      </c>
      <c r="U44" s="737"/>
      <c r="V44" s="309"/>
      <c r="W44" s="737" t="s">
        <v>37</v>
      </c>
      <c r="X44" s="737"/>
      <c r="Y44" s="309"/>
      <c r="Z44" s="737" t="s">
        <v>42</v>
      </c>
      <c r="AA44" s="737"/>
      <c r="AB44" s="309"/>
      <c r="AC44" s="737" t="s">
        <v>70</v>
      </c>
      <c r="AD44" s="737"/>
      <c r="AE44" s="309"/>
      <c r="AF44" s="737" t="s">
        <v>70</v>
      </c>
      <c r="AG44" s="737"/>
      <c r="AH44" s="309"/>
      <c r="AI44" s="737" t="s">
        <v>89</v>
      </c>
      <c r="AJ44" s="737"/>
      <c r="AK44" s="309"/>
      <c r="AL44" s="737" t="s">
        <v>70</v>
      </c>
      <c r="AM44" s="737"/>
      <c r="AN44" s="309"/>
      <c r="AO44" s="737" t="s">
        <v>42</v>
      </c>
      <c r="AP44" s="737"/>
      <c r="BA44" s="345"/>
      <c r="BB44" s="345"/>
    </row>
    <row r="45" spans="1:55">
      <c r="A45" s="297"/>
      <c r="B45" s="308"/>
      <c r="C45" s="308"/>
      <c r="D45" s="309">
        <v>459</v>
      </c>
      <c r="E45" s="308"/>
      <c r="F45" s="308"/>
      <c r="G45" s="309">
        <v>195</v>
      </c>
      <c r="H45" s="308"/>
      <c r="I45" s="308"/>
      <c r="J45" s="309">
        <v>295</v>
      </c>
      <c r="K45" s="308"/>
      <c r="L45" s="308"/>
      <c r="M45" s="309">
        <v>380.2</v>
      </c>
      <c r="N45" s="308"/>
      <c r="O45" s="308"/>
      <c r="P45" s="309">
        <v>428</v>
      </c>
      <c r="Q45" s="308"/>
      <c r="R45" s="308"/>
      <c r="S45" s="309">
        <v>419</v>
      </c>
      <c r="T45" s="308"/>
      <c r="U45" s="308"/>
      <c r="V45" s="309">
        <v>345</v>
      </c>
      <c r="W45" s="308"/>
      <c r="X45" s="308"/>
      <c r="Y45" s="309">
        <v>296</v>
      </c>
      <c r="Z45" s="308"/>
      <c r="AA45" s="308"/>
      <c r="AB45" s="309">
        <v>259</v>
      </c>
      <c r="AC45" s="308"/>
      <c r="AD45" s="308"/>
      <c r="AE45" s="309">
        <v>343.9</v>
      </c>
      <c r="AF45" s="308"/>
      <c r="AG45" s="308"/>
      <c r="AH45" s="309">
        <v>499.1</v>
      </c>
      <c r="AI45" s="308"/>
      <c r="AJ45" s="308"/>
      <c r="AK45" s="309">
        <v>434</v>
      </c>
      <c r="AL45" s="308"/>
      <c r="AM45" s="308"/>
      <c r="AN45" s="309">
        <v>295</v>
      </c>
      <c r="AO45" s="308"/>
      <c r="AP45" s="308"/>
      <c r="AQ45" s="285">
        <v>326</v>
      </c>
      <c r="BA45" s="343"/>
      <c r="BB45" s="343"/>
    </row>
    <row r="46" spans="1:55">
      <c r="A46" s="297"/>
      <c r="B46" s="324" t="s">
        <v>536</v>
      </c>
      <c r="C46" s="324"/>
      <c r="D46" s="326"/>
      <c r="E46" s="324" t="s">
        <v>536</v>
      </c>
      <c r="F46" s="329"/>
      <c r="G46" s="326"/>
      <c r="H46" s="324" t="s">
        <v>536</v>
      </c>
      <c r="I46" s="324"/>
      <c r="J46" s="326"/>
      <c r="K46" s="324" t="s">
        <v>536</v>
      </c>
      <c r="L46" s="324"/>
      <c r="M46" s="326"/>
      <c r="N46" s="324" t="s">
        <v>536</v>
      </c>
      <c r="O46" s="324"/>
      <c r="P46" s="326"/>
      <c r="Q46" s="324" t="s">
        <v>569</v>
      </c>
      <c r="R46" s="324"/>
      <c r="S46" s="326"/>
      <c r="T46" s="366" t="s">
        <v>569</v>
      </c>
      <c r="U46" s="366"/>
      <c r="V46" s="365"/>
      <c r="W46" s="366" t="s">
        <v>569</v>
      </c>
      <c r="X46" s="366"/>
      <c r="Y46" s="326"/>
      <c r="Z46" s="324" t="s">
        <v>569</v>
      </c>
      <c r="AA46" s="324"/>
      <c r="AB46" s="326"/>
      <c r="AC46" s="324" t="s">
        <v>569</v>
      </c>
      <c r="AD46" s="324"/>
      <c r="AE46" s="326"/>
      <c r="AF46" s="324" t="s">
        <v>569</v>
      </c>
      <c r="AG46" s="324"/>
      <c r="AH46" s="326"/>
      <c r="AI46" s="324" t="s">
        <v>569</v>
      </c>
      <c r="AJ46" s="324"/>
      <c r="AK46" s="326"/>
      <c r="AL46" s="324" t="s">
        <v>569</v>
      </c>
      <c r="AM46" s="324"/>
      <c r="AN46" s="326"/>
      <c r="AO46" s="324" t="s">
        <v>569</v>
      </c>
      <c r="AP46" s="324"/>
      <c r="AQ46" s="325"/>
      <c r="BA46" s="345"/>
      <c r="BB46" s="345"/>
    </row>
    <row r="47" spans="1:55">
      <c r="A47" s="297"/>
      <c r="W47" s="311"/>
      <c r="Z47" s="311"/>
      <c r="AC47" s="311"/>
      <c r="AL47" s="311"/>
      <c r="AU47" s="521">
        <f>SUM(D45:AQ45)</f>
        <v>4974.2</v>
      </c>
      <c r="BA47" s="345"/>
      <c r="BB47" s="345"/>
    </row>
    <row r="48" spans="1:55">
      <c r="A48" s="297"/>
      <c r="AK48" s="284"/>
      <c r="BA48" s="345"/>
      <c r="BB48" s="345"/>
    </row>
    <row r="49" spans="1:55">
      <c r="A49" s="297"/>
      <c r="B49" s="693"/>
      <c r="C49" s="693"/>
      <c r="E49" s="731"/>
      <c r="F49" s="731"/>
      <c r="H49" s="731"/>
      <c r="I49" s="731"/>
      <c r="K49" s="731"/>
      <c r="L49" s="731"/>
      <c r="N49" s="731"/>
      <c r="O49" s="731"/>
      <c r="Q49" s="731"/>
      <c r="R49" s="731"/>
      <c r="T49" s="731"/>
      <c r="U49" s="731"/>
      <c r="W49" s="731"/>
      <c r="X49" s="731"/>
      <c r="Z49" s="731"/>
      <c r="AA49" s="731"/>
      <c r="AC49" s="731"/>
      <c r="AD49" s="731"/>
      <c r="AF49" s="731"/>
      <c r="AG49" s="731"/>
      <c r="AI49" s="731"/>
      <c r="AJ49" s="731"/>
      <c r="AL49" s="731"/>
      <c r="AM49" s="731"/>
      <c r="AO49" s="731"/>
      <c r="AP49" s="731"/>
      <c r="BA49" s="345"/>
      <c r="BB49" s="345"/>
    </row>
    <row r="50" spans="1:55">
      <c r="A50" s="297"/>
      <c r="B50" s="301"/>
      <c r="C50" s="334"/>
      <c r="D50" s="317"/>
      <c r="E50" s="301"/>
      <c r="F50" s="334"/>
      <c r="G50" s="317"/>
      <c r="H50" s="301"/>
      <c r="I50" s="334"/>
      <c r="J50" s="317"/>
      <c r="K50" s="301"/>
      <c r="L50" s="334"/>
      <c r="M50" s="317"/>
      <c r="N50" s="301"/>
      <c r="O50" s="334"/>
      <c r="P50" s="317"/>
      <c r="Q50" s="301"/>
      <c r="R50" s="334"/>
      <c r="S50" s="317"/>
      <c r="T50" s="301"/>
      <c r="U50" s="334"/>
      <c r="V50" s="317"/>
      <c r="W50" s="301"/>
      <c r="X50" s="334"/>
      <c r="Y50" s="317"/>
      <c r="Z50" s="301"/>
      <c r="AA50" s="303"/>
      <c r="AB50" s="317"/>
      <c r="AC50" s="301"/>
      <c r="AD50" s="303"/>
      <c r="AE50" s="317"/>
      <c r="AF50" s="301"/>
      <c r="AG50" s="301"/>
      <c r="AH50" s="317"/>
      <c r="AI50" s="303"/>
      <c r="AJ50" s="303"/>
      <c r="AK50" s="317"/>
      <c r="AL50" s="303"/>
      <c r="AM50" s="303"/>
      <c r="AN50" s="317"/>
      <c r="AO50" s="303"/>
      <c r="AP50" s="303"/>
      <c r="AQ50" s="317"/>
      <c r="AR50" s="317"/>
      <c r="AS50" s="317"/>
      <c r="AT50" s="317"/>
      <c r="AU50" s="522"/>
      <c r="BA50" s="345"/>
      <c r="BB50" s="345"/>
    </row>
    <row r="51" spans="1:55">
      <c r="A51" s="297"/>
      <c r="B51" s="301"/>
      <c r="C51" s="301"/>
      <c r="D51" s="310"/>
      <c r="E51" s="301"/>
      <c r="F51" s="301"/>
      <c r="G51" s="310"/>
      <c r="H51" s="301"/>
      <c r="I51" s="301"/>
      <c r="J51" s="317"/>
      <c r="K51" s="301"/>
      <c r="L51" s="334"/>
      <c r="M51" s="310"/>
      <c r="N51" s="301"/>
      <c r="O51" s="301"/>
      <c r="P51" s="310"/>
      <c r="Q51" s="301"/>
      <c r="R51" s="301"/>
      <c r="S51" s="310"/>
      <c r="T51" s="301"/>
      <c r="U51" s="301"/>
      <c r="V51" s="310"/>
      <c r="W51" s="301"/>
      <c r="X51" s="301"/>
      <c r="Y51" s="310"/>
      <c r="Z51" s="301"/>
      <c r="AA51" s="301"/>
      <c r="AB51" s="310"/>
      <c r="AC51" s="301"/>
      <c r="AD51" s="301"/>
      <c r="AE51" s="310"/>
      <c r="AF51" s="301"/>
      <c r="AG51" s="301"/>
      <c r="AH51" s="310"/>
      <c r="AI51" s="301"/>
      <c r="AJ51" s="301"/>
      <c r="AK51" s="310"/>
      <c r="AL51" s="303"/>
      <c r="AM51" s="303"/>
      <c r="AN51" s="310"/>
      <c r="AO51" s="303"/>
      <c r="AP51" s="303"/>
      <c r="AQ51" s="310"/>
      <c r="AR51" s="310"/>
      <c r="AS51" s="310"/>
      <c r="AT51" s="310"/>
      <c r="AU51" s="310"/>
      <c r="AW51" s="291">
        <v>14</v>
      </c>
      <c r="AX51" s="291">
        <v>14</v>
      </c>
      <c r="AY51" s="291">
        <v>14</v>
      </c>
      <c r="AZ51" s="291">
        <v>14</v>
      </c>
      <c r="BA51" s="346">
        <f>SUM(D54:AQ54)/1000</f>
        <v>4.5814000000000004</v>
      </c>
      <c r="BB51" s="346">
        <f>BA51</f>
        <v>4.5814000000000004</v>
      </c>
      <c r="BC51" s="515"/>
    </row>
    <row r="52" spans="1:55">
      <c r="A52" s="297"/>
      <c r="B52" s="746" t="s">
        <v>140</v>
      </c>
      <c r="C52" s="737"/>
      <c r="D52" s="309"/>
      <c r="E52" s="738" t="s">
        <v>141</v>
      </c>
      <c r="F52" s="739"/>
      <c r="G52" s="309"/>
      <c r="H52" s="747" t="s">
        <v>142</v>
      </c>
      <c r="I52" s="739"/>
      <c r="J52" s="310"/>
      <c r="K52" s="738" t="s">
        <v>144</v>
      </c>
      <c r="L52" s="739"/>
      <c r="M52" s="327"/>
      <c r="N52" s="738" t="s">
        <v>145</v>
      </c>
      <c r="O52" s="739"/>
      <c r="P52" s="309"/>
      <c r="Q52" s="752" t="s">
        <v>146</v>
      </c>
      <c r="R52" s="753"/>
      <c r="S52" s="309"/>
      <c r="T52" s="744" t="s">
        <v>147</v>
      </c>
      <c r="U52" s="739"/>
      <c r="V52" s="309"/>
      <c r="W52" s="746" t="s">
        <v>148</v>
      </c>
      <c r="X52" s="737"/>
      <c r="Y52" s="309"/>
      <c r="Z52" s="746" t="s">
        <v>149</v>
      </c>
      <c r="AA52" s="737"/>
      <c r="AB52" s="309"/>
      <c r="AC52" s="738" t="s">
        <v>150</v>
      </c>
      <c r="AD52" s="739"/>
      <c r="AE52" s="309"/>
      <c r="AF52" s="738" t="s">
        <v>151</v>
      </c>
      <c r="AG52" s="739"/>
      <c r="AH52" s="336"/>
      <c r="AI52" s="738" t="s">
        <v>152</v>
      </c>
      <c r="AJ52" s="739"/>
      <c r="AK52" s="336"/>
      <c r="AL52" s="738" t="s">
        <v>153</v>
      </c>
      <c r="AM52" s="739"/>
      <c r="AN52" s="309"/>
      <c r="AO52" s="738" t="s">
        <v>155</v>
      </c>
      <c r="AP52" s="739"/>
      <c r="BA52" s="345"/>
      <c r="BB52" s="345"/>
    </row>
    <row r="53" spans="1:55">
      <c r="A53" s="297"/>
      <c r="B53" s="737" t="s">
        <v>56</v>
      </c>
      <c r="C53" s="737"/>
      <c r="D53" s="309"/>
      <c r="E53" s="737" t="s">
        <v>89</v>
      </c>
      <c r="F53" s="737"/>
      <c r="G53" s="309"/>
      <c r="H53" s="737" t="s">
        <v>76</v>
      </c>
      <c r="I53" s="737"/>
      <c r="J53" s="309"/>
      <c r="K53" s="737" t="s">
        <v>116</v>
      </c>
      <c r="L53" s="737"/>
      <c r="M53" s="309"/>
      <c r="N53" s="737" t="s">
        <v>42</v>
      </c>
      <c r="O53" s="737"/>
      <c r="P53" s="309"/>
      <c r="Q53" s="766" t="s">
        <v>37</v>
      </c>
      <c r="R53" s="766"/>
      <c r="S53" s="309"/>
      <c r="T53" s="766" t="s">
        <v>42</v>
      </c>
      <c r="U53" s="766"/>
      <c r="V53" s="309"/>
      <c r="W53" s="737" t="s">
        <v>76</v>
      </c>
      <c r="X53" s="737"/>
      <c r="Y53" s="309"/>
      <c r="Z53" s="737" t="s">
        <v>81</v>
      </c>
      <c r="AA53" s="737"/>
      <c r="AB53" s="309"/>
      <c r="AC53" s="737" t="s">
        <v>85</v>
      </c>
      <c r="AD53" s="737"/>
      <c r="AE53" s="309"/>
      <c r="AF53" s="737" t="s">
        <v>42</v>
      </c>
      <c r="AG53" s="737"/>
      <c r="AH53" s="309"/>
      <c r="AI53" s="737" t="s">
        <v>42</v>
      </c>
      <c r="AJ53" s="737"/>
      <c r="AK53" s="309"/>
      <c r="AL53" s="737" t="s">
        <v>37</v>
      </c>
      <c r="AM53" s="737"/>
      <c r="AN53" s="309"/>
      <c r="AO53" s="737" t="s">
        <v>34</v>
      </c>
      <c r="AP53" s="737"/>
      <c r="BA53" s="345"/>
      <c r="BB53" s="345"/>
    </row>
    <row r="54" spans="1:55">
      <c r="A54" s="297"/>
      <c r="B54" s="308"/>
      <c r="C54" s="308"/>
      <c r="D54" s="309">
        <v>298</v>
      </c>
      <c r="E54" s="308"/>
      <c r="F54" s="308"/>
      <c r="G54" s="309">
        <v>489</v>
      </c>
      <c r="H54" s="308"/>
      <c r="I54" s="308"/>
      <c r="J54" s="309">
        <v>382.5</v>
      </c>
      <c r="K54" s="308"/>
      <c r="L54" s="308"/>
      <c r="M54" s="309">
        <v>372.4</v>
      </c>
      <c r="N54" s="308"/>
      <c r="O54" s="308"/>
      <c r="P54" s="309">
        <v>350</v>
      </c>
      <c r="Q54" s="341"/>
      <c r="R54" s="341"/>
      <c r="S54" s="309">
        <v>303.60000000000002</v>
      </c>
      <c r="T54" s="341"/>
      <c r="U54" s="341"/>
      <c r="V54" s="309">
        <v>224.3</v>
      </c>
      <c r="W54" s="308"/>
      <c r="X54" s="308"/>
      <c r="Y54" s="309">
        <v>246.8</v>
      </c>
      <c r="Z54" s="308"/>
      <c r="AA54" s="308"/>
      <c r="AB54" s="309">
        <v>418.2</v>
      </c>
      <c r="AC54" s="308"/>
      <c r="AD54" s="308"/>
      <c r="AE54" s="309">
        <v>298.7</v>
      </c>
      <c r="AF54" s="308"/>
      <c r="AG54" s="308"/>
      <c r="AH54" s="309">
        <v>358.7</v>
      </c>
      <c r="AI54" s="308"/>
      <c r="AJ54" s="308"/>
      <c r="AK54" s="309">
        <v>366.1</v>
      </c>
      <c r="AL54" s="308"/>
      <c r="AM54" s="308"/>
      <c r="AN54" s="309">
        <v>255.6</v>
      </c>
      <c r="AO54" s="308"/>
      <c r="AP54" s="308"/>
      <c r="AQ54" s="285">
        <v>217.5</v>
      </c>
      <c r="AU54" s="521">
        <f>SUM(D54:AQ54)</f>
        <v>4581.4000000000005</v>
      </c>
      <c r="BA54" s="343"/>
      <c r="BB54" s="343"/>
    </row>
    <row r="55" spans="1:55">
      <c r="A55" s="297"/>
      <c r="B55" s="324" t="s">
        <v>569</v>
      </c>
      <c r="C55" s="324"/>
      <c r="D55" s="326"/>
      <c r="E55" s="324" t="s">
        <v>569</v>
      </c>
      <c r="F55" s="324"/>
      <c r="G55" s="326"/>
      <c r="H55" s="324" t="s">
        <v>569</v>
      </c>
      <c r="I55" s="329"/>
      <c r="J55" s="326"/>
      <c r="K55" s="324" t="s">
        <v>569</v>
      </c>
      <c r="L55" s="329"/>
      <c r="M55" s="326"/>
      <c r="N55" s="324" t="s">
        <v>569</v>
      </c>
      <c r="O55" s="324"/>
      <c r="P55" s="326"/>
      <c r="Q55" s="324" t="s">
        <v>569</v>
      </c>
      <c r="R55" s="324"/>
      <c r="S55" s="326"/>
      <c r="T55" s="324" t="s">
        <v>569</v>
      </c>
      <c r="U55" s="324"/>
      <c r="V55" s="326"/>
      <c r="W55" s="324" t="s">
        <v>569</v>
      </c>
      <c r="X55" s="324"/>
      <c r="Y55" s="326"/>
      <c r="Z55" s="324" t="s">
        <v>569</v>
      </c>
      <c r="AA55" s="324"/>
      <c r="AB55" s="326"/>
      <c r="AC55" s="324" t="s">
        <v>569</v>
      </c>
      <c r="AD55" s="324"/>
      <c r="AE55" s="326"/>
      <c r="AF55" s="324" t="s">
        <v>569</v>
      </c>
      <c r="AG55" s="324"/>
      <c r="AH55" s="365"/>
      <c r="AI55" s="366" t="s">
        <v>569</v>
      </c>
      <c r="AJ55" s="366"/>
      <c r="AK55" s="365"/>
      <c r="AL55" s="366" t="s">
        <v>569</v>
      </c>
      <c r="AM55" s="366"/>
      <c r="AN55" s="365"/>
      <c r="AO55" s="366" t="s">
        <v>569</v>
      </c>
      <c r="AP55" s="366"/>
      <c r="BA55" s="345"/>
      <c r="BB55" s="345"/>
    </row>
    <row r="56" spans="1:55">
      <c r="A56" s="297"/>
      <c r="V56" s="284"/>
      <c r="BA56" s="345"/>
      <c r="BB56" s="345"/>
    </row>
    <row r="57" spans="1:55">
      <c r="A57" s="297"/>
      <c r="BA57" s="345"/>
      <c r="BB57" s="345"/>
    </row>
    <row r="58" spans="1:55">
      <c r="A58" s="297"/>
      <c r="B58" s="693"/>
      <c r="C58" s="693"/>
      <c r="E58" s="731"/>
      <c r="F58" s="731"/>
      <c r="H58" s="731"/>
      <c r="I58" s="731"/>
      <c r="K58" s="731"/>
      <c r="L58" s="731"/>
      <c r="N58" s="731"/>
      <c r="O58" s="731"/>
      <c r="Q58" s="731"/>
      <c r="R58" s="731"/>
      <c r="T58" s="731"/>
      <c r="U58" s="731"/>
      <c r="W58" s="731"/>
      <c r="X58" s="731"/>
      <c r="Z58" s="731"/>
      <c r="AA58" s="731"/>
      <c r="AC58" s="731"/>
      <c r="AD58" s="731"/>
      <c r="AF58" s="731"/>
      <c r="AG58" s="731"/>
      <c r="AI58" s="731"/>
      <c r="AJ58" s="731"/>
      <c r="AL58" s="731"/>
      <c r="AM58" s="731"/>
      <c r="AO58" s="731"/>
      <c r="AP58" s="731"/>
      <c r="BA58" s="345"/>
      <c r="BB58" s="345"/>
    </row>
    <row r="59" spans="1:55">
      <c r="A59" s="297"/>
      <c r="B59" s="303"/>
      <c r="C59" s="303"/>
      <c r="D59" s="317"/>
      <c r="E59" s="301"/>
      <c r="F59" s="303"/>
      <c r="G59" s="317"/>
      <c r="H59" s="301"/>
      <c r="I59" s="303"/>
      <c r="J59" s="317"/>
      <c r="K59" s="301"/>
      <c r="L59" s="303"/>
      <c r="M59" s="317"/>
      <c r="N59" s="301"/>
      <c r="O59" s="303"/>
      <c r="P59" s="317"/>
      <c r="Q59" s="301"/>
      <c r="R59" s="303"/>
      <c r="S59" s="317"/>
      <c r="T59" s="301"/>
      <c r="U59" s="303"/>
      <c r="V59" s="317"/>
      <c r="W59" s="301"/>
      <c r="X59" s="303"/>
      <c r="Y59" s="317"/>
      <c r="Z59" s="301"/>
      <c r="AA59" s="303"/>
      <c r="AB59" s="317"/>
      <c r="AC59" s="301"/>
      <c r="AD59" s="303"/>
      <c r="AE59" s="317"/>
      <c r="AF59" s="301"/>
      <c r="AG59" s="303"/>
      <c r="AH59" s="317"/>
      <c r="AI59" s="301"/>
      <c r="AJ59" s="303"/>
      <c r="AK59" s="317"/>
      <c r="AL59" s="301"/>
      <c r="AM59" s="303"/>
      <c r="AN59" s="317"/>
      <c r="AO59" s="301"/>
      <c r="AP59" s="303"/>
      <c r="AQ59" s="317"/>
      <c r="AR59" s="317"/>
      <c r="AS59" s="317"/>
      <c r="AT59" s="317"/>
      <c r="AU59" s="522"/>
      <c r="BA59" s="345"/>
      <c r="BB59" s="345"/>
    </row>
    <row r="60" spans="1:55">
      <c r="A60" s="297"/>
      <c r="B60" s="301"/>
      <c r="C60" s="301"/>
      <c r="D60" s="310"/>
      <c r="E60" s="301"/>
      <c r="F60" s="301"/>
      <c r="G60" s="310"/>
      <c r="H60" s="301"/>
      <c r="I60" s="301"/>
      <c r="J60" s="310"/>
      <c r="K60" s="301"/>
      <c r="L60" s="301"/>
      <c r="M60" s="310"/>
      <c r="N60" s="301"/>
      <c r="O60" s="301"/>
      <c r="P60" s="310"/>
      <c r="Q60" s="301"/>
      <c r="R60" s="301"/>
      <c r="S60" s="310"/>
      <c r="T60" s="301"/>
      <c r="U60" s="301"/>
      <c r="V60" s="310"/>
      <c r="W60" s="301"/>
      <c r="X60" s="301"/>
      <c r="Y60" s="310"/>
      <c r="Z60" s="301"/>
      <c r="AA60" s="301"/>
      <c r="AB60" s="310"/>
      <c r="AC60" s="301"/>
      <c r="AD60" s="301"/>
      <c r="AE60" s="310"/>
      <c r="AF60" s="301"/>
      <c r="AG60" s="301"/>
      <c r="AH60" s="310"/>
      <c r="AI60" s="301"/>
      <c r="AJ60" s="301"/>
      <c r="AK60" s="309"/>
      <c r="AL60" s="301"/>
      <c r="AM60" s="301"/>
      <c r="AN60" s="310"/>
      <c r="AO60" s="301"/>
      <c r="AP60" s="301"/>
      <c r="AQ60" s="310"/>
      <c r="AR60" s="310"/>
      <c r="AS60" s="310"/>
      <c r="AT60" s="310"/>
      <c r="AU60" s="310"/>
      <c r="AW60" s="291">
        <v>14</v>
      </c>
      <c r="AX60" s="291">
        <v>14</v>
      </c>
      <c r="AY60" s="291">
        <v>14</v>
      </c>
      <c r="AZ60" s="291">
        <v>14</v>
      </c>
      <c r="BA60" s="346">
        <f>SUM(D63:AQ63)/1000</f>
        <v>4.7963999999999993</v>
      </c>
      <c r="BB60" s="346">
        <f>BA60</f>
        <v>4.7963999999999993</v>
      </c>
      <c r="BC60" s="515"/>
    </row>
    <row r="61" spans="1:55">
      <c r="A61" s="297"/>
      <c r="B61" s="746" t="s">
        <v>156</v>
      </c>
      <c r="C61" s="737"/>
      <c r="D61" s="310"/>
      <c r="E61" s="738" t="s">
        <v>157</v>
      </c>
      <c r="F61" s="739"/>
      <c r="G61" s="310"/>
      <c r="H61" s="738" t="s">
        <v>158</v>
      </c>
      <c r="I61" s="739"/>
      <c r="J61" s="310"/>
      <c r="K61" s="738" t="s">
        <v>159</v>
      </c>
      <c r="L61" s="739"/>
      <c r="M61" s="310"/>
      <c r="N61" s="739" t="s">
        <v>161</v>
      </c>
      <c r="O61" s="739"/>
      <c r="P61" s="310"/>
      <c r="Q61" s="738" t="s">
        <v>162</v>
      </c>
      <c r="R61" s="739"/>
      <c r="S61" s="310"/>
      <c r="T61" s="739" t="s">
        <v>164</v>
      </c>
      <c r="U61" s="739"/>
      <c r="V61" s="310"/>
      <c r="W61" s="739" t="s">
        <v>166</v>
      </c>
      <c r="X61" s="739"/>
      <c r="Y61" s="310"/>
      <c r="Z61" s="738" t="s">
        <v>167</v>
      </c>
      <c r="AA61" s="739"/>
      <c r="AB61" s="310"/>
      <c r="AC61" s="739" t="s">
        <v>169</v>
      </c>
      <c r="AD61" s="739"/>
      <c r="AE61" s="310"/>
      <c r="AF61" s="738" t="s">
        <v>170</v>
      </c>
      <c r="AG61" s="739"/>
      <c r="AH61" s="310"/>
      <c r="AI61" s="744" t="s">
        <v>171</v>
      </c>
      <c r="AJ61" s="739"/>
      <c r="AK61" s="309"/>
      <c r="AL61" s="744" t="s">
        <v>172</v>
      </c>
      <c r="AM61" s="739"/>
      <c r="AN61" s="310"/>
      <c r="AO61" s="744" t="s">
        <v>173</v>
      </c>
      <c r="AP61" s="739"/>
      <c r="AQ61" s="310"/>
      <c r="AR61" s="310"/>
      <c r="AS61" s="310"/>
      <c r="AT61" s="310"/>
      <c r="AU61" s="310"/>
      <c r="BA61" s="345"/>
      <c r="BB61" s="345"/>
    </row>
    <row r="62" spans="1:55">
      <c r="A62" s="297"/>
      <c r="B62" s="737" t="s">
        <v>37</v>
      </c>
      <c r="C62" s="737"/>
      <c r="D62" s="309"/>
      <c r="E62" s="737" t="s">
        <v>85</v>
      </c>
      <c r="F62" s="737"/>
      <c r="G62" s="309"/>
      <c r="H62" s="737" t="s">
        <v>42</v>
      </c>
      <c r="I62" s="737"/>
      <c r="J62" s="309"/>
      <c r="K62" s="737" t="s">
        <v>37</v>
      </c>
      <c r="L62" s="737"/>
      <c r="M62" s="309"/>
      <c r="N62" s="737" t="s">
        <v>39</v>
      </c>
      <c r="O62" s="737"/>
      <c r="P62" s="309"/>
      <c r="Q62" s="737" t="s">
        <v>42</v>
      </c>
      <c r="R62" s="737"/>
      <c r="S62" s="309"/>
      <c r="T62" s="737" t="s">
        <v>34</v>
      </c>
      <c r="U62" s="737"/>
      <c r="V62" s="309"/>
      <c r="W62" s="737" t="s">
        <v>46</v>
      </c>
      <c r="X62" s="737"/>
      <c r="Y62" s="309"/>
      <c r="Z62" s="737" t="s">
        <v>37</v>
      </c>
      <c r="AA62" s="737"/>
      <c r="AB62" s="309"/>
      <c r="AC62" s="737" t="s">
        <v>46</v>
      </c>
      <c r="AD62" s="737"/>
      <c r="AE62" s="309"/>
      <c r="AF62" s="737" t="s">
        <v>76</v>
      </c>
      <c r="AG62" s="737"/>
      <c r="AH62" s="309"/>
      <c r="AI62" s="768" t="s">
        <v>56</v>
      </c>
      <c r="AJ62" s="737"/>
      <c r="AK62" s="309"/>
      <c r="AL62" s="768" t="s">
        <v>76</v>
      </c>
      <c r="AM62" s="737"/>
      <c r="AN62" s="309"/>
      <c r="AO62" s="768" t="s">
        <v>56</v>
      </c>
      <c r="AP62" s="737"/>
      <c r="BA62" s="345"/>
      <c r="BB62" s="345"/>
    </row>
    <row r="63" spans="1:55">
      <c r="A63" s="297"/>
      <c r="B63" s="308"/>
      <c r="C63" s="308"/>
      <c r="D63" s="309">
        <v>371.6</v>
      </c>
      <c r="E63" s="308"/>
      <c r="F63" s="308"/>
      <c r="G63" s="309">
        <v>365.9</v>
      </c>
      <c r="H63" s="308"/>
      <c r="I63" s="308"/>
      <c r="J63" s="309">
        <v>345.8</v>
      </c>
      <c r="K63" s="308"/>
      <c r="L63" s="308"/>
      <c r="M63" s="309">
        <v>299.3</v>
      </c>
      <c r="N63" s="308"/>
      <c r="O63" s="308"/>
      <c r="P63" s="309">
        <v>296</v>
      </c>
      <c r="Q63" s="308"/>
      <c r="R63" s="308"/>
      <c r="S63" s="309">
        <v>229.9</v>
      </c>
      <c r="T63" s="308"/>
      <c r="U63" s="308"/>
      <c r="V63" s="309">
        <v>356.3</v>
      </c>
      <c r="W63" s="308"/>
      <c r="X63" s="308"/>
      <c r="Y63" s="309">
        <v>314</v>
      </c>
      <c r="Z63" s="308"/>
      <c r="AA63" s="308"/>
      <c r="AB63" s="309">
        <v>353.6</v>
      </c>
      <c r="AC63" s="308"/>
      <c r="AD63" s="308"/>
      <c r="AE63" s="309">
        <v>362</v>
      </c>
      <c r="AF63" s="308"/>
      <c r="AG63" s="308"/>
      <c r="AH63" s="309">
        <v>387</v>
      </c>
      <c r="AI63" s="320"/>
      <c r="AJ63" s="308"/>
      <c r="AK63" s="309">
        <v>365</v>
      </c>
      <c r="AL63" s="320"/>
      <c r="AM63" s="308"/>
      <c r="AN63" s="309">
        <v>419</v>
      </c>
      <c r="AO63" s="320"/>
      <c r="AP63" s="308"/>
      <c r="AQ63" s="285">
        <v>331</v>
      </c>
      <c r="AU63" s="521">
        <f>SUM(D63:AQ63)</f>
        <v>4796.3999999999996</v>
      </c>
      <c r="BA63" s="343"/>
      <c r="BB63" s="343"/>
    </row>
    <row r="64" spans="1:55">
      <c r="A64" s="297"/>
      <c r="B64" s="366" t="s">
        <v>569</v>
      </c>
      <c r="C64" s="366"/>
      <c r="D64" s="365"/>
      <c r="E64" s="366" t="s">
        <v>569</v>
      </c>
      <c r="F64" s="366"/>
      <c r="G64" s="365"/>
      <c r="H64" s="366" t="s">
        <v>569</v>
      </c>
      <c r="I64" s="367"/>
      <c r="J64" s="365"/>
      <c r="K64" s="366" t="s">
        <v>569</v>
      </c>
      <c r="L64" s="367"/>
      <c r="M64" s="365"/>
      <c r="N64" s="366" t="s">
        <v>569</v>
      </c>
      <c r="O64" s="366"/>
      <c r="P64" s="365"/>
      <c r="Q64" s="331" t="s">
        <v>536</v>
      </c>
      <c r="R64" s="331"/>
      <c r="S64" s="330"/>
      <c r="T64" s="331" t="s">
        <v>536</v>
      </c>
      <c r="U64" s="331"/>
      <c r="V64" s="330"/>
      <c r="W64" s="331" t="s">
        <v>536</v>
      </c>
      <c r="X64" s="331"/>
      <c r="Y64" s="330"/>
      <c r="Z64" s="331" t="s">
        <v>536</v>
      </c>
      <c r="AA64" s="331"/>
      <c r="AB64" s="330"/>
      <c r="AC64" s="331" t="s">
        <v>536</v>
      </c>
      <c r="AD64" s="331"/>
      <c r="AE64" s="330"/>
      <c r="AF64" s="324" t="s">
        <v>536</v>
      </c>
      <c r="AG64" s="324"/>
      <c r="AH64" s="326"/>
      <c r="AI64" s="324" t="s">
        <v>536</v>
      </c>
      <c r="AJ64" s="324"/>
      <c r="AK64" s="326"/>
      <c r="AL64" s="324" t="s">
        <v>536</v>
      </c>
      <c r="AM64" s="324"/>
      <c r="AN64" s="326"/>
      <c r="AO64" s="324" t="s">
        <v>536</v>
      </c>
      <c r="AP64" s="324"/>
      <c r="AQ64" s="325"/>
      <c r="BA64" s="345"/>
      <c r="BB64" s="345"/>
    </row>
    <row r="65" spans="1:55">
      <c r="A65" s="297"/>
      <c r="BA65" s="345"/>
      <c r="BB65" s="345"/>
    </row>
    <row r="66" spans="1:55">
      <c r="A66" s="297"/>
      <c r="BA66" s="345"/>
      <c r="BB66" s="345"/>
    </row>
    <row r="67" spans="1:55">
      <c r="A67" s="297"/>
      <c r="B67" s="693"/>
      <c r="C67" s="693"/>
      <c r="E67" s="731"/>
      <c r="F67" s="731"/>
      <c r="H67" s="731"/>
      <c r="I67" s="731"/>
      <c r="K67" s="731"/>
      <c r="L67" s="731"/>
      <c r="N67" s="731"/>
      <c r="O67" s="731"/>
      <c r="Q67" s="731"/>
      <c r="R67" s="731"/>
      <c r="T67" s="731"/>
      <c r="U67" s="731"/>
      <c r="W67" s="731"/>
      <c r="X67" s="731"/>
      <c r="Z67" s="731"/>
      <c r="AA67" s="731"/>
      <c r="AC67" s="731"/>
      <c r="AD67" s="731"/>
      <c r="AF67" s="731"/>
      <c r="AG67" s="731"/>
      <c r="AI67" s="731"/>
      <c r="AJ67" s="731"/>
      <c r="AL67" s="731"/>
      <c r="AM67" s="731"/>
      <c r="AO67" s="731"/>
      <c r="AP67" s="731"/>
      <c r="BA67" s="345"/>
      <c r="BB67" s="345"/>
    </row>
    <row r="68" spans="1:55">
      <c r="A68" s="297"/>
      <c r="B68" s="301"/>
      <c r="C68" s="303"/>
      <c r="D68" s="317"/>
      <c r="E68" s="301"/>
      <c r="F68" s="303"/>
      <c r="G68" s="317"/>
      <c r="H68" s="301"/>
      <c r="I68" s="303"/>
      <c r="J68" s="317"/>
      <c r="K68" s="301"/>
      <c r="L68" s="303"/>
      <c r="M68" s="317"/>
      <c r="N68" s="301"/>
      <c r="O68" s="303"/>
      <c r="P68" s="317"/>
      <c r="Q68" s="301"/>
      <c r="R68" s="334"/>
      <c r="S68" s="317"/>
      <c r="T68" s="301"/>
      <c r="U68" s="334"/>
      <c r="V68" s="317"/>
      <c r="W68" s="301"/>
      <c r="X68" s="334"/>
      <c r="Y68" s="317"/>
      <c r="Z68" s="301"/>
      <c r="AA68" s="303"/>
      <c r="AB68" s="317"/>
      <c r="AC68" s="301"/>
      <c r="AD68" s="303"/>
      <c r="AE68" s="317"/>
      <c r="AF68" s="301"/>
      <c r="AG68" s="303"/>
      <c r="AH68" s="317"/>
      <c r="AI68" s="301"/>
      <c r="AJ68" s="303"/>
      <c r="AK68" s="317"/>
      <c r="AL68" s="301"/>
      <c r="AM68" s="334"/>
      <c r="AN68" s="317"/>
      <c r="AO68" s="301"/>
      <c r="AP68" s="334"/>
      <c r="AQ68" s="317"/>
      <c r="AR68" s="317"/>
      <c r="AS68" s="317"/>
      <c r="AT68" s="317"/>
      <c r="AU68" s="522"/>
      <c r="BA68" s="345"/>
      <c r="BB68" s="345"/>
    </row>
    <row r="69" spans="1:55">
      <c r="A69" s="297"/>
      <c r="B69" s="301"/>
      <c r="C69" s="301"/>
      <c r="D69" s="310"/>
      <c r="E69" s="301"/>
      <c r="F69" s="301"/>
      <c r="G69" s="310"/>
      <c r="H69" s="301"/>
      <c r="I69" s="301"/>
      <c r="J69" s="310"/>
      <c r="K69" s="301"/>
      <c r="L69" s="301"/>
      <c r="M69" s="310"/>
      <c r="N69" s="301"/>
      <c r="O69" s="301"/>
      <c r="P69" s="310"/>
      <c r="Q69" s="301"/>
      <c r="R69" s="301"/>
      <c r="S69" s="310"/>
      <c r="T69" s="301"/>
      <c r="U69" s="301"/>
      <c r="V69" s="310"/>
      <c r="W69" s="301"/>
      <c r="X69" s="301"/>
      <c r="Y69" s="309"/>
      <c r="Z69" s="301"/>
      <c r="AA69" s="301"/>
      <c r="AB69" s="309"/>
      <c r="AC69" s="301"/>
      <c r="AD69" s="301"/>
      <c r="AE69" s="310"/>
      <c r="AF69" s="301"/>
      <c r="AG69" s="301"/>
      <c r="AH69" s="310"/>
      <c r="AI69" s="301"/>
      <c r="AJ69" s="301"/>
      <c r="AK69" s="310"/>
      <c r="AL69" s="301"/>
      <c r="AM69" s="301"/>
      <c r="AO69" s="301"/>
      <c r="AP69" s="301"/>
      <c r="AW69" s="291">
        <v>14</v>
      </c>
      <c r="AX69" s="291">
        <v>14</v>
      </c>
      <c r="AY69" s="291">
        <v>14</v>
      </c>
      <c r="AZ69" s="291">
        <v>14</v>
      </c>
      <c r="BA69" s="346">
        <f>SUM(D72:AQ72)/1000</f>
        <v>4.9181999999999997</v>
      </c>
      <c r="BB69" s="346">
        <f>BA69</f>
        <v>4.9181999999999997</v>
      </c>
      <c r="BC69" s="515"/>
    </row>
    <row r="70" spans="1:55">
      <c r="A70" s="297"/>
      <c r="B70" s="771" t="s">
        <v>174</v>
      </c>
      <c r="C70" s="737"/>
      <c r="D70" s="310"/>
      <c r="E70" s="771" t="s">
        <v>175</v>
      </c>
      <c r="F70" s="737"/>
      <c r="G70" s="310"/>
      <c r="H70" s="744" t="s">
        <v>176</v>
      </c>
      <c r="I70" s="772"/>
      <c r="J70" s="310"/>
      <c r="K70" s="744" t="s">
        <v>177</v>
      </c>
      <c r="L70" s="772"/>
      <c r="M70" s="310"/>
      <c r="N70" s="738" t="s">
        <v>178</v>
      </c>
      <c r="O70" s="739"/>
      <c r="P70" s="310"/>
      <c r="Q70" s="739" t="s">
        <v>180</v>
      </c>
      <c r="R70" s="739"/>
      <c r="S70" s="310"/>
      <c r="T70" s="738" t="s">
        <v>181</v>
      </c>
      <c r="U70" s="739"/>
      <c r="V70" s="310"/>
      <c r="W70" s="744" t="s">
        <v>182</v>
      </c>
      <c r="X70" s="772"/>
      <c r="Y70" s="309"/>
      <c r="Z70" s="738" t="s">
        <v>183</v>
      </c>
      <c r="AA70" s="739"/>
      <c r="AB70" s="309"/>
      <c r="AC70" s="738" t="s">
        <v>184</v>
      </c>
      <c r="AD70" s="739"/>
      <c r="AE70" s="310"/>
      <c r="AF70" s="738" t="s">
        <v>185</v>
      </c>
      <c r="AG70" s="739"/>
      <c r="AH70" s="310"/>
      <c r="AI70" s="738" t="s">
        <v>186</v>
      </c>
      <c r="AJ70" s="739"/>
      <c r="AK70" s="310"/>
      <c r="AL70" s="738" t="s">
        <v>187</v>
      </c>
      <c r="AM70" s="739"/>
      <c r="AO70" s="769" t="s">
        <v>188</v>
      </c>
      <c r="AP70" s="770"/>
      <c r="BA70" s="345"/>
      <c r="BB70" s="345"/>
    </row>
    <row r="71" spans="1:55">
      <c r="A71" s="297"/>
      <c r="B71" s="768" t="s">
        <v>42</v>
      </c>
      <c r="C71" s="737"/>
      <c r="D71" s="309"/>
      <c r="E71" s="768" t="s">
        <v>37</v>
      </c>
      <c r="F71" s="737"/>
      <c r="G71" s="309"/>
      <c r="H71" s="768" t="s">
        <v>42</v>
      </c>
      <c r="I71" s="768"/>
      <c r="J71" s="309"/>
      <c r="K71" s="768" t="s">
        <v>37</v>
      </c>
      <c r="L71" s="768"/>
      <c r="M71" s="309"/>
      <c r="N71" s="737" t="s">
        <v>42</v>
      </c>
      <c r="O71" s="737"/>
      <c r="P71" s="309"/>
      <c r="Q71" s="737" t="s">
        <v>34</v>
      </c>
      <c r="R71" s="737"/>
      <c r="S71" s="309"/>
      <c r="T71" s="737" t="s">
        <v>37</v>
      </c>
      <c r="U71" s="737"/>
      <c r="V71" s="309"/>
      <c r="W71" s="768" t="s">
        <v>42</v>
      </c>
      <c r="X71" s="768"/>
      <c r="Y71" s="309"/>
      <c r="Z71" s="737" t="s">
        <v>42</v>
      </c>
      <c r="AA71" s="737"/>
      <c r="AB71" s="309"/>
      <c r="AC71" s="737" t="s">
        <v>56</v>
      </c>
      <c r="AD71" s="737"/>
      <c r="AE71" s="310"/>
      <c r="AF71" s="737" t="s">
        <v>37</v>
      </c>
      <c r="AG71" s="737"/>
      <c r="AH71" s="310"/>
      <c r="AI71" s="737" t="s">
        <v>42</v>
      </c>
      <c r="AJ71" s="737"/>
      <c r="AL71" s="756" t="s">
        <v>37</v>
      </c>
      <c r="AM71" s="756"/>
      <c r="AN71" s="309"/>
      <c r="AO71" s="756" t="s">
        <v>42</v>
      </c>
      <c r="AP71" s="756"/>
      <c r="AQ71" s="311"/>
      <c r="AR71" s="311"/>
      <c r="AS71" s="311"/>
      <c r="AT71" s="311"/>
      <c r="AU71" s="309"/>
      <c r="BA71" s="345"/>
      <c r="BB71" s="345"/>
    </row>
    <row r="72" spans="1:55">
      <c r="A72" s="297"/>
      <c r="B72" s="320"/>
      <c r="C72" s="308"/>
      <c r="D72" s="309">
        <v>390</v>
      </c>
      <c r="E72" s="320"/>
      <c r="F72" s="308"/>
      <c r="G72" s="309">
        <v>349</v>
      </c>
      <c r="H72" s="320"/>
      <c r="I72" s="320"/>
      <c r="J72" s="309">
        <v>324</v>
      </c>
      <c r="K72" s="320"/>
      <c r="L72" s="320"/>
      <c r="M72" s="309">
        <v>413</v>
      </c>
      <c r="N72" s="308"/>
      <c r="O72" s="308"/>
      <c r="P72" s="309">
        <v>310.2</v>
      </c>
      <c r="Q72" s="308"/>
      <c r="R72" s="308"/>
      <c r="S72" s="309">
        <v>379</v>
      </c>
      <c r="T72" s="308"/>
      <c r="U72" s="308"/>
      <c r="V72" s="309">
        <v>304</v>
      </c>
      <c r="W72" s="320"/>
      <c r="X72" s="320"/>
      <c r="Y72" s="309">
        <v>333</v>
      </c>
      <c r="Z72" s="308"/>
      <c r="AA72" s="308"/>
      <c r="AB72" s="309">
        <v>363</v>
      </c>
      <c r="AC72" s="308"/>
      <c r="AD72" s="308"/>
      <c r="AE72" s="310">
        <v>384</v>
      </c>
      <c r="AF72" s="308"/>
      <c r="AG72" s="308"/>
      <c r="AH72" s="310">
        <v>361</v>
      </c>
      <c r="AI72" s="308"/>
      <c r="AJ72" s="308"/>
      <c r="AK72" s="285">
        <v>311</v>
      </c>
      <c r="AL72" s="309"/>
      <c r="AM72" s="309"/>
      <c r="AN72" s="309">
        <v>381</v>
      </c>
      <c r="AO72" s="309"/>
      <c r="AP72" s="309"/>
      <c r="AQ72" s="311">
        <v>316</v>
      </c>
      <c r="AR72" s="311"/>
      <c r="AS72" s="311"/>
      <c r="AT72" s="311"/>
      <c r="AU72" s="309">
        <f>SUM(D72:AQ72)</f>
        <v>4918.2</v>
      </c>
      <c r="BA72" s="343"/>
      <c r="BB72" s="343"/>
    </row>
    <row r="73" spans="1:55">
      <c r="A73" s="297"/>
      <c r="B73" s="324" t="s">
        <v>536</v>
      </c>
      <c r="C73" s="324"/>
      <c r="D73" s="326"/>
      <c r="E73" s="324" t="s">
        <v>536</v>
      </c>
      <c r="F73" s="329"/>
      <c r="G73" s="326"/>
      <c r="H73" s="331" t="s">
        <v>536</v>
      </c>
      <c r="I73" s="333"/>
      <c r="J73" s="330"/>
      <c r="K73" s="331" t="s">
        <v>536</v>
      </c>
      <c r="L73" s="333"/>
      <c r="M73" s="330"/>
      <c r="N73" s="331" t="s">
        <v>536</v>
      </c>
      <c r="O73" s="331"/>
      <c r="P73" s="330"/>
      <c r="Q73" s="331" t="s">
        <v>536</v>
      </c>
      <c r="R73" s="331"/>
      <c r="S73" s="330"/>
      <c r="T73" s="331" t="s">
        <v>536</v>
      </c>
      <c r="U73" s="331"/>
      <c r="V73" s="330"/>
      <c r="W73" s="331" t="s">
        <v>536</v>
      </c>
      <c r="X73" s="331"/>
      <c r="Y73" s="330"/>
      <c r="Z73" s="331" t="s">
        <v>536</v>
      </c>
      <c r="AA73" s="331"/>
      <c r="AB73" s="330"/>
      <c r="AC73" s="331" t="s">
        <v>536</v>
      </c>
      <c r="AD73" s="331"/>
      <c r="AE73" s="330"/>
      <c r="AF73" s="331" t="s">
        <v>536</v>
      </c>
      <c r="AG73" s="331"/>
      <c r="AH73" s="330"/>
      <c r="AI73" s="331" t="s">
        <v>536</v>
      </c>
      <c r="AJ73" s="331"/>
      <c r="AK73" s="330"/>
      <c r="AL73" s="331" t="s">
        <v>536</v>
      </c>
      <c r="AM73" s="331"/>
      <c r="AN73" s="330"/>
      <c r="AO73" s="331" t="s">
        <v>536</v>
      </c>
      <c r="AP73" s="330"/>
      <c r="AQ73" s="311"/>
      <c r="AR73" s="311"/>
      <c r="AS73" s="311"/>
      <c r="AT73" s="311"/>
      <c r="AU73" s="309"/>
      <c r="BA73" s="345"/>
      <c r="BB73" s="345"/>
    </row>
    <row r="74" spans="1:55">
      <c r="A74" s="297"/>
      <c r="BA74" s="345"/>
      <c r="BB74" s="345"/>
    </row>
    <row r="75" spans="1:55">
      <c r="A75" s="297"/>
      <c r="BA75" s="345"/>
      <c r="BB75" s="345"/>
    </row>
    <row r="76" spans="1:55">
      <c r="A76" s="297"/>
      <c r="B76" s="693"/>
      <c r="C76" s="693"/>
      <c r="E76" s="731"/>
      <c r="F76" s="731"/>
      <c r="H76" s="731"/>
      <c r="I76" s="731"/>
      <c r="K76" s="731"/>
      <c r="L76" s="731"/>
      <c r="N76" s="731"/>
      <c r="O76" s="731"/>
      <c r="Q76" s="731"/>
      <c r="R76" s="731"/>
      <c r="T76" s="731"/>
      <c r="U76" s="731"/>
      <c r="W76" s="731"/>
      <c r="X76" s="731"/>
      <c r="Z76" s="731"/>
      <c r="AA76" s="731"/>
      <c r="AC76" s="731"/>
      <c r="AD76" s="731"/>
      <c r="AF76" s="731"/>
      <c r="AG76" s="731"/>
      <c r="AI76" s="731"/>
      <c r="AJ76" s="731"/>
      <c r="AL76" s="731"/>
      <c r="AM76" s="731"/>
      <c r="AO76" s="731"/>
      <c r="AP76" s="731"/>
      <c r="BA76" s="345"/>
      <c r="BB76" s="345"/>
    </row>
    <row r="77" spans="1:55">
      <c r="A77" s="297"/>
      <c r="B77" s="301"/>
      <c r="C77" s="334"/>
      <c r="D77" s="317"/>
      <c r="E77" s="301"/>
      <c r="F77" s="334"/>
      <c r="G77" s="317"/>
      <c r="H77" s="301"/>
      <c r="I77" s="334"/>
      <c r="J77" s="298"/>
      <c r="K77" s="334"/>
      <c r="L77" s="334"/>
      <c r="M77" s="317"/>
      <c r="N77" s="334"/>
      <c r="O77" s="334"/>
      <c r="P77" s="298"/>
      <c r="Q77" s="334"/>
      <c r="R77" s="334"/>
      <c r="S77" s="317"/>
      <c r="T77" s="334"/>
      <c r="U77" s="334"/>
      <c r="V77" s="317"/>
      <c r="W77" s="301"/>
      <c r="X77" s="334"/>
      <c r="Y77" s="317"/>
      <c r="Z77" s="301"/>
      <c r="AA77" s="301"/>
      <c r="AB77" s="317"/>
      <c r="AC77" s="334"/>
      <c r="AD77" s="334"/>
      <c r="AE77" s="317"/>
      <c r="AF77" s="301"/>
      <c r="AG77" s="334"/>
      <c r="AH77" s="317"/>
      <c r="AI77" s="301"/>
      <c r="AJ77" s="334"/>
      <c r="AK77" s="317"/>
      <c r="AL77" s="301"/>
      <c r="AM77" s="334"/>
      <c r="AN77" s="317"/>
      <c r="AO77" s="301"/>
      <c r="AP77" s="334"/>
      <c r="AQ77" s="317"/>
      <c r="AR77" s="317"/>
      <c r="AS77" s="317"/>
      <c r="AT77" s="317"/>
      <c r="AU77" s="522"/>
      <c r="BA77" s="345"/>
      <c r="BB77" s="345"/>
    </row>
    <row r="78" spans="1:55">
      <c r="A78" s="297"/>
      <c r="B78" s="334"/>
      <c r="C78" s="334"/>
      <c r="D78" s="310"/>
      <c r="E78" s="334"/>
      <c r="F78" s="334"/>
      <c r="G78" s="310"/>
      <c r="H78" s="334"/>
      <c r="I78" s="334"/>
      <c r="J78" s="309"/>
      <c r="K78" s="334"/>
      <c r="L78" s="334"/>
      <c r="M78" s="309"/>
      <c r="N78" s="334"/>
      <c r="O78" s="334"/>
      <c r="P78" s="310"/>
      <c r="Q78" s="334"/>
      <c r="R78" s="334"/>
      <c r="S78" s="310"/>
      <c r="T78" s="301"/>
      <c r="U78" s="301"/>
      <c r="V78" s="310"/>
      <c r="W78" s="301"/>
      <c r="X78" s="301"/>
      <c r="Y78" s="309"/>
      <c r="Z78" s="301"/>
      <c r="AA78" s="301"/>
      <c r="AB78" s="309"/>
      <c r="AC78" s="301"/>
      <c r="AD78" s="334"/>
      <c r="AE78" s="310"/>
      <c r="AF78" s="301"/>
      <c r="AG78" s="301"/>
      <c r="AH78" s="309"/>
      <c r="AI78" s="301"/>
      <c r="AJ78" s="301"/>
      <c r="AK78" s="310"/>
      <c r="AL78" s="301"/>
      <c r="AM78" s="301"/>
      <c r="AN78" s="310"/>
      <c r="AO78" s="301"/>
      <c r="AP78" s="301"/>
      <c r="AQ78" s="310"/>
      <c r="AR78" s="310"/>
      <c r="AS78" s="310"/>
      <c r="AT78" s="310"/>
      <c r="AU78" s="310"/>
      <c r="AW78" s="291">
        <v>14</v>
      </c>
      <c r="AX78" s="291">
        <v>14</v>
      </c>
      <c r="AY78" s="291">
        <v>14</v>
      </c>
      <c r="AZ78" s="291">
        <v>14</v>
      </c>
      <c r="BA78" s="346">
        <f>SUM(D81:AQ81)/1000</f>
        <v>4.8324999999999996</v>
      </c>
      <c r="BB78" s="346">
        <v>4.8324999999999996</v>
      </c>
      <c r="BC78" s="515"/>
    </row>
    <row r="79" spans="1:55">
      <c r="A79" s="297"/>
      <c r="B79" s="738" t="s">
        <v>189</v>
      </c>
      <c r="C79" s="739"/>
      <c r="D79" s="310"/>
      <c r="E79" s="739" t="s">
        <v>191</v>
      </c>
      <c r="F79" s="739"/>
      <c r="G79" s="310"/>
      <c r="H79" s="738" t="s">
        <v>192</v>
      </c>
      <c r="I79" s="739"/>
      <c r="J79" s="309"/>
      <c r="K79" s="738" t="s">
        <v>193</v>
      </c>
      <c r="L79" s="739"/>
      <c r="M79" s="309"/>
      <c r="N79" s="738" t="s">
        <v>194</v>
      </c>
      <c r="O79" s="739"/>
      <c r="P79" s="310"/>
      <c r="Q79" s="739" t="s">
        <v>196</v>
      </c>
      <c r="R79" s="739"/>
      <c r="S79" s="310"/>
      <c r="T79" s="738" t="s">
        <v>197</v>
      </c>
      <c r="U79" s="739"/>
      <c r="V79" s="310"/>
      <c r="W79" s="738" t="s">
        <v>198</v>
      </c>
      <c r="X79" s="739"/>
      <c r="Y79" s="309"/>
      <c r="Z79" s="738" t="s">
        <v>199</v>
      </c>
      <c r="AA79" s="739"/>
      <c r="AB79" s="309"/>
      <c r="AC79" s="739" t="s">
        <v>201</v>
      </c>
      <c r="AD79" s="739"/>
      <c r="AE79" s="310"/>
      <c r="AF79" s="738" t="s">
        <v>202</v>
      </c>
      <c r="AG79" s="739"/>
      <c r="AH79" s="309"/>
      <c r="AI79" s="738" t="s">
        <v>203</v>
      </c>
      <c r="AJ79" s="739"/>
      <c r="AK79" s="310"/>
      <c r="AL79" s="738" t="s">
        <v>204</v>
      </c>
      <c r="AM79" s="739"/>
      <c r="AN79" s="310"/>
      <c r="AO79" s="738" t="s">
        <v>205</v>
      </c>
      <c r="AP79" s="739"/>
      <c r="AQ79" s="310"/>
      <c r="AR79" s="310"/>
      <c r="AS79" s="310"/>
      <c r="AT79" s="310"/>
      <c r="AU79" s="310"/>
      <c r="BA79" s="345"/>
      <c r="BB79" s="345"/>
    </row>
    <row r="80" spans="1:55">
      <c r="A80" s="297"/>
      <c r="B80" s="737" t="s">
        <v>42</v>
      </c>
      <c r="C80" s="737"/>
      <c r="E80" s="737" t="s">
        <v>39</v>
      </c>
      <c r="F80" s="737"/>
      <c r="G80" s="309"/>
      <c r="H80" s="737" t="s">
        <v>37</v>
      </c>
      <c r="I80" s="737"/>
      <c r="J80" s="309"/>
      <c r="K80" s="737" t="s">
        <v>37</v>
      </c>
      <c r="L80" s="737"/>
      <c r="M80" s="309"/>
      <c r="N80" s="737" t="s">
        <v>37</v>
      </c>
      <c r="O80" s="737"/>
      <c r="P80" s="309"/>
      <c r="Q80" s="737" t="s">
        <v>46</v>
      </c>
      <c r="R80" s="737"/>
      <c r="S80" s="309"/>
      <c r="T80" s="737" t="s">
        <v>56</v>
      </c>
      <c r="U80" s="737"/>
      <c r="V80" s="309"/>
      <c r="W80" s="737" t="s">
        <v>37</v>
      </c>
      <c r="X80" s="737"/>
      <c r="Y80" s="309"/>
      <c r="Z80" s="737" t="s">
        <v>56</v>
      </c>
      <c r="AA80" s="737"/>
      <c r="AB80" s="309"/>
      <c r="AC80" s="737" t="s">
        <v>39</v>
      </c>
      <c r="AD80" s="737"/>
      <c r="AE80" s="309"/>
      <c r="AF80" s="737" t="s">
        <v>42</v>
      </c>
      <c r="AG80" s="737"/>
      <c r="AH80" s="309"/>
      <c r="AI80" s="737" t="s">
        <v>37</v>
      </c>
      <c r="AJ80" s="737"/>
      <c r="AK80" s="309"/>
      <c r="AL80" s="737" t="s">
        <v>42</v>
      </c>
      <c r="AM80" s="737"/>
      <c r="AN80" s="309"/>
      <c r="AO80" s="737" t="s">
        <v>42</v>
      </c>
      <c r="AP80" s="737"/>
      <c r="BA80" s="345"/>
      <c r="BB80" s="345"/>
    </row>
    <row r="81" spans="1:55">
      <c r="A81" s="297"/>
      <c r="B81" s="308"/>
      <c r="C81" s="308"/>
      <c r="D81" s="285">
        <v>290.5</v>
      </c>
      <c r="E81" s="308"/>
      <c r="F81" s="308"/>
      <c r="G81" s="309">
        <v>306</v>
      </c>
      <c r="H81" s="308"/>
      <c r="I81" s="308"/>
      <c r="J81" s="309">
        <v>336</v>
      </c>
      <c r="K81" s="308"/>
      <c r="L81" s="308"/>
      <c r="M81" s="309">
        <v>337</v>
      </c>
      <c r="N81" s="308"/>
      <c r="O81" s="308"/>
      <c r="P81" s="309">
        <v>328.6</v>
      </c>
      <c r="Q81" s="308"/>
      <c r="R81" s="308"/>
      <c r="S81" s="309">
        <v>362</v>
      </c>
      <c r="T81" s="308"/>
      <c r="U81" s="308"/>
      <c r="V81" s="309">
        <v>364</v>
      </c>
      <c r="W81" s="308"/>
      <c r="X81" s="308"/>
      <c r="Y81" s="309">
        <v>388</v>
      </c>
      <c r="Z81" s="308"/>
      <c r="AA81" s="308"/>
      <c r="AB81" s="309">
        <v>322</v>
      </c>
      <c r="AC81" s="308"/>
      <c r="AD81" s="308"/>
      <c r="AE81" s="309">
        <v>365.5</v>
      </c>
      <c r="AF81" s="308"/>
      <c r="AG81" s="308"/>
      <c r="AH81" s="309">
        <v>374</v>
      </c>
      <c r="AI81" s="308"/>
      <c r="AJ81" s="308"/>
      <c r="AK81" s="309">
        <v>356.1</v>
      </c>
      <c r="AL81" s="308"/>
      <c r="AM81" s="308"/>
      <c r="AN81" s="309">
        <v>349.7</v>
      </c>
      <c r="AO81" s="308"/>
      <c r="AP81" s="308"/>
      <c r="AQ81" s="285">
        <v>353.1</v>
      </c>
      <c r="AU81" s="521">
        <f>SUM(D81:AQ81)</f>
        <v>4832.5</v>
      </c>
      <c r="BA81" s="343"/>
      <c r="BB81" s="343"/>
    </row>
    <row r="82" spans="1:55">
      <c r="A82" s="297"/>
      <c r="B82" s="331" t="s">
        <v>536</v>
      </c>
      <c r="C82" s="331"/>
      <c r="D82" s="330"/>
      <c r="E82" s="331" t="s">
        <v>536</v>
      </c>
      <c r="F82" s="333"/>
      <c r="G82" s="330"/>
      <c r="H82" s="331" t="s">
        <v>536</v>
      </c>
      <c r="I82" s="333"/>
      <c r="J82" s="330"/>
      <c r="K82" s="331" t="s">
        <v>536</v>
      </c>
      <c r="L82" s="333"/>
      <c r="M82" s="330"/>
      <c r="N82" s="331" t="s">
        <v>536</v>
      </c>
      <c r="O82" s="331"/>
      <c r="P82" s="330"/>
      <c r="Q82" s="331" t="s">
        <v>536</v>
      </c>
      <c r="R82" s="331"/>
      <c r="S82" s="330"/>
      <c r="T82" s="331" t="s">
        <v>536</v>
      </c>
      <c r="U82" s="331"/>
      <c r="V82" s="330"/>
      <c r="W82" s="331" t="s">
        <v>536</v>
      </c>
      <c r="X82" s="331"/>
      <c r="Y82" s="330"/>
      <c r="Z82" s="331" t="s">
        <v>536</v>
      </c>
      <c r="AA82" s="331"/>
      <c r="AB82" s="330"/>
      <c r="AC82" s="331" t="s">
        <v>536</v>
      </c>
      <c r="AD82" s="331"/>
      <c r="AE82" s="330"/>
      <c r="AF82" s="331" t="s">
        <v>536</v>
      </c>
      <c r="AG82" s="331"/>
      <c r="AH82" s="330"/>
      <c r="AI82" s="331" t="s">
        <v>536</v>
      </c>
      <c r="AJ82" s="331"/>
      <c r="AK82" s="330"/>
      <c r="AL82" s="331" t="s">
        <v>536</v>
      </c>
      <c r="AM82" s="331"/>
      <c r="AN82" s="330"/>
      <c r="AO82" s="331" t="s">
        <v>536</v>
      </c>
      <c r="AP82" s="331"/>
      <c r="BA82" s="345"/>
      <c r="BB82" s="345"/>
    </row>
    <row r="83" spans="1:55">
      <c r="A83" s="297"/>
      <c r="B83" s="285"/>
      <c r="BA83" s="345"/>
      <c r="BB83" s="345"/>
    </row>
    <row r="84" spans="1:55">
      <c r="A84" s="297"/>
      <c r="H84" s="285"/>
      <c r="BA84" s="345"/>
      <c r="BB84" s="345"/>
    </row>
    <row r="85" spans="1:55">
      <c r="A85" s="297"/>
      <c r="B85" s="693"/>
      <c r="C85" s="693"/>
      <c r="E85" s="731"/>
      <c r="F85" s="731"/>
      <c r="H85" s="731"/>
      <c r="I85" s="731"/>
      <c r="K85" s="774"/>
      <c r="L85" s="731"/>
      <c r="N85" s="774"/>
      <c r="O85" s="731"/>
      <c r="Q85" s="774"/>
      <c r="R85" s="731"/>
      <c r="T85" s="774"/>
      <c r="U85" s="731"/>
      <c r="W85" s="731"/>
      <c r="X85" s="731"/>
      <c r="Z85" s="731"/>
      <c r="AA85" s="731"/>
      <c r="AC85" s="731"/>
      <c r="AD85" s="731"/>
      <c r="AF85" s="731"/>
      <c r="AG85" s="731"/>
      <c r="AI85" s="731"/>
      <c r="AJ85" s="731"/>
      <c r="AL85" s="731"/>
      <c r="AM85" s="731"/>
      <c r="AO85" s="731"/>
      <c r="AP85" s="731"/>
      <c r="BA85" s="345"/>
      <c r="BB85" s="345"/>
    </row>
    <row r="86" spans="1:55">
      <c r="A86" s="297"/>
      <c r="B86" s="334"/>
      <c r="C86" s="334"/>
      <c r="D86" s="317"/>
      <c r="E86" s="334"/>
      <c r="F86" s="334"/>
      <c r="G86" s="317"/>
      <c r="H86" s="334"/>
      <c r="I86" s="334"/>
      <c r="J86" s="317"/>
      <c r="K86" s="301"/>
      <c r="L86" s="303"/>
      <c r="M86" s="317"/>
      <c r="N86" s="334"/>
      <c r="O86" s="334"/>
      <c r="P86" s="317"/>
      <c r="Q86" s="301"/>
      <c r="R86" s="301"/>
      <c r="S86" s="317"/>
      <c r="T86" s="301"/>
      <c r="U86" s="303"/>
      <c r="V86" s="317"/>
      <c r="W86" s="301"/>
      <c r="X86" s="301"/>
      <c r="Y86" s="317"/>
      <c r="Z86" s="301"/>
      <c r="AA86" s="301"/>
      <c r="AB86" s="317"/>
      <c r="AC86" s="301"/>
      <c r="AD86" s="303"/>
      <c r="AE86" s="317"/>
      <c r="AF86" s="301"/>
      <c r="AG86" s="303"/>
      <c r="AH86" s="317"/>
      <c r="AI86" s="301"/>
      <c r="AJ86" s="303"/>
      <c r="AK86" s="317"/>
      <c r="AL86" s="301"/>
      <c r="AM86" s="303"/>
      <c r="AN86" s="317"/>
      <c r="AO86" s="301"/>
      <c r="AP86" s="334"/>
      <c r="AQ86" s="317"/>
      <c r="AR86" s="317"/>
      <c r="AS86" s="317"/>
      <c r="AT86" s="317"/>
      <c r="AU86" s="522"/>
      <c r="BA86" s="345"/>
      <c r="BB86" s="345"/>
    </row>
    <row r="87" spans="1:55">
      <c r="A87" s="297"/>
      <c r="B87" s="334"/>
      <c r="C87" s="301"/>
      <c r="D87" s="310"/>
      <c r="E87" s="334"/>
      <c r="F87" s="301"/>
      <c r="G87" s="310"/>
      <c r="H87" s="334"/>
      <c r="I87" s="301"/>
      <c r="J87" s="309"/>
      <c r="K87" s="301"/>
      <c r="L87" s="301"/>
      <c r="M87" s="309"/>
      <c r="N87" s="334"/>
      <c r="O87" s="301"/>
      <c r="P87" s="310"/>
      <c r="Q87" s="301"/>
      <c r="R87" s="301"/>
      <c r="S87" s="309"/>
      <c r="T87" s="301"/>
      <c r="U87" s="301"/>
      <c r="V87" s="310"/>
      <c r="W87" s="301"/>
      <c r="X87" s="301"/>
      <c r="Y87" s="310"/>
      <c r="Z87" s="301"/>
      <c r="AA87" s="301"/>
      <c r="AB87" s="310"/>
      <c r="AC87" s="301"/>
      <c r="AD87" s="301"/>
      <c r="AE87" s="310"/>
      <c r="AF87" s="301"/>
      <c r="AG87" s="301"/>
      <c r="AH87" s="310"/>
      <c r="AI87" s="301"/>
      <c r="AJ87" s="301"/>
      <c r="AK87" s="310"/>
      <c r="AL87" s="301"/>
      <c r="AM87" s="301"/>
      <c r="AN87" s="309"/>
      <c r="AO87" s="301"/>
      <c r="AP87" s="301"/>
      <c r="AQ87" s="310"/>
      <c r="AR87" s="310"/>
      <c r="AS87" s="310"/>
      <c r="AT87" s="310"/>
      <c r="AU87" s="310"/>
      <c r="AW87" s="291">
        <v>14</v>
      </c>
      <c r="AX87" s="291">
        <v>14</v>
      </c>
      <c r="AY87" s="291">
        <v>14</v>
      </c>
      <c r="AZ87" s="291">
        <v>14</v>
      </c>
      <c r="BA87" s="346">
        <f>SUM(D90:AQ90)/1000</f>
        <v>4.6801999999999992</v>
      </c>
      <c r="BB87" s="346">
        <v>4.6802000000000001</v>
      </c>
      <c r="BC87" s="515"/>
    </row>
    <row r="88" spans="1:55">
      <c r="A88" s="297"/>
      <c r="B88" s="746" t="s">
        <v>206</v>
      </c>
      <c r="C88" s="737"/>
      <c r="D88" s="310"/>
      <c r="E88" s="738" t="s">
        <v>207</v>
      </c>
      <c r="F88" s="739"/>
      <c r="G88" s="310"/>
      <c r="H88" s="738" t="s">
        <v>208</v>
      </c>
      <c r="I88" s="739"/>
      <c r="J88" s="309"/>
      <c r="K88" s="738" t="s">
        <v>209</v>
      </c>
      <c r="L88" s="739"/>
      <c r="M88" s="309"/>
      <c r="N88" s="738" t="s">
        <v>210</v>
      </c>
      <c r="O88" s="739"/>
      <c r="P88" s="310"/>
      <c r="Q88" s="738" t="s">
        <v>211</v>
      </c>
      <c r="R88" s="739"/>
      <c r="S88" s="309"/>
      <c r="T88" s="738" t="s">
        <v>212</v>
      </c>
      <c r="U88" s="739"/>
      <c r="V88" s="310"/>
      <c r="W88" s="739" t="s">
        <v>214</v>
      </c>
      <c r="X88" s="739"/>
      <c r="Y88" s="310"/>
      <c r="Z88" s="738" t="s">
        <v>215</v>
      </c>
      <c r="AA88" s="739"/>
      <c r="AB88" s="310"/>
      <c r="AC88" s="738" t="s">
        <v>216</v>
      </c>
      <c r="AD88" s="739"/>
      <c r="AE88" s="310"/>
      <c r="AF88" s="738" t="s">
        <v>217</v>
      </c>
      <c r="AG88" s="739"/>
      <c r="AH88" s="310"/>
      <c r="AI88" s="738" t="s">
        <v>218</v>
      </c>
      <c r="AJ88" s="739"/>
      <c r="AK88" s="310"/>
      <c r="AL88" s="738" t="s">
        <v>219</v>
      </c>
      <c r="AM88" s="739"/>
      <c r="AN88" s="309"/>
      <c r="AO88" s="739" t="s">
        <v>221</v>
      </c>
      <c r="AP88" s="739"/>
      <c r="AQ88" s="310"/>
      <c r="AR88" s="310"/>
      <c r="AS88" s="310"/>
      <c r="AT88" s="310"/>
      <c r="AU88" s="310"/>
      <c r="BA88" s="345"/>
      <c r="BB88" s="345"/>
    </row>
    <row r="89" spans="1:55">
      <c r="A89" s="297"/>
      <c r="B89" s="737" t="s">
        <v>37</v>
      </c>
      <c r="C89" s="737"/>
      <c r="D89" s="309"/>
      <c r="E89" s="737" t="s">
        <v>37</v>
      </c>
      <c r="F89" s="737"/>
      <c r="G89" s="310"/>
      <c r="H89" s="737" t="s">
        <v>56</v>
      </c>
      <c r="I89" s="737"/>
      <c r="J89" s="309"/>
      <c r="K89" s="737" t="s">
        <v>37</v>
      </c>
      <c r="L89" s="737"/>
      <c r="M89" s="309"/>
      <c r="N89" s="737" t="s">
        <v>37</v>
      </c>
      <c r="O89" s="737"/>
      <c r="P89" s="335"/>
      <c r="Q89" s="737" t="s">
        <v>37</v>
      </c>
      <c r="R89" s="737"/>
      <c r="S89" s="309"/>
      <c r="T89" s="737" t="s">
        <v>37</v>
      </c>
      <c r="U89" s="737"/>
      <c r="V89" s="309"/>
      <c r="W89" s="737" t="s">
        <v>89</v>
      </c>
      <c r="X89" s="737"/>
      <c r="Y89" s="309"/>
      <c r="Z89" s="737" t="s">
        <v>42</v>
      </c>
      <c r="AA89" s="737"/>
      <c r="AB89" s="309"/>
      <c r="AC89" s="737" t="s">
        <v>37</v>
      </c>
      <c r="AD89" s="737"/>
      <c r="AE89" s="310"/>
      <c r="AF89" s="737" t="s">
        <v>37</v>
      </c>
      <c r="AG89" s="737"/>
      <c r="AH89" s="309"/>
      <c r="AI89" s="737" t="s">
        <v>42</v>
      </c>
      <c r="AJ89" s="737"/>
      <c r="AK89" s="309"/>
      <c r="AL89" s="737" t="s">
        <v>42</v>
      </c>
      <c r="AM89" s="737"/>
      <c r="AN89" s="309"/>
      <c r="AO89" s="737" t="s">
        <v>76</v>
      </c>
      <c r="AP89" s="737"/>
      <c r="BA89" s="345"/>
      <c r="BB89" s="345"/>
    </row>
    <row r="90" spans="1:55">
      <c r="A90" s="297"/>
      <c r="B90" s="308"/>
      <c r="C90" s="308"/>
      <c r="D90" s="309">
        <v>374.2</v>
      </c>
      <c r="E90" s="308"/>
      <c r="F90" s="308"/>
      <c r="G90" s="310">
        <v>341.3</v>
      </c>
      <c r="H90" s="308"/>
      <c r="I90" s="308"/>
      <c r="J90" s="309">
        <v>348</v>
      </c>
      <c r="K90" s="308"/>
      <c r="L90" s="308"/>
      <c r="M90" s="309">
        <v>384</v>
      </c>
      <c r="N90" s="308"/>
      <c r="O90" s="308"/>
      <c r="P90" s="335">
        <v>269.7</v>
      </c>
      <c r="Q90" s="308"/>
      <c r="R90" s="308"/>
      <c r="S90" s="309">
        <v>394</v>
      </c>
      <c r="T90" s="308"/>
      <c r="U90" s="308"/>
      <c r="V90" s="309">
        <v>300.60000000000002</v>
      </c>
      <c r="W90" s="308"/>
      <c r="X90" s="308"/>
      <c r="Y90" s="309">
        <v>315.39999999999998</v>
      </c>
      <c r="Z90" s="308"/>
      <c r="AA90" s="308"/>
      <c r="AB90" s="309">
        <v>329.6</v>
      </c>
      <c r="AC90" s="308"/>
      <c r="AD90" s="308"/>
      <c r="AE90" s="310">
        <v>383</v>
      </c>
      <c r="AF90" s="308"/>
      <c r="AG90" s="308"/>
      <c r="AH90" s="309">
        <v>323.7</v>
      </c>
      <c r="AI90" s="308"/>
      <c r="AJ90" s="308"/>
      <c r="AK90" s="309">
        <v>328.8</v>
      </c>
      <c r="AL90" s="308"/>
      <c r="AM90" s="308"/>
      <c r="AN90" s="309">
        <v>266</v>
      </c>
      <c r="AO90" s="308"/>
      <c r="AP90" s="308"/>
      <c r="AQ90" s="285">
        <v>321.89999999999998</v>
      </c>
      <c r="AU90" s="521">
        <f>SUM(D90:AQ90)</f>
        <v>4680.1999999999989</v>
      </c>
      <c r="BA90" s="343"/>
      <c r="BB90" s="343"/>
    </row>
    <row r="91" spans="1:55">
      <c r="A91" s="297"/>
      <c r="B91" s="331" t="s">
        <v>536</v>
      </c>
      <c r="C91" s="331"/>
      <c r="D91" s="330"/>
      <c r="E91" s="331" t="s">
        <v>536</v>
      </c>
      <c r="F91" s="333"/>
      <c r="G91" s="330"/>
      <c r="H91" s="331" t="s">
        <v>536</v>
      </c>
      <c r="I91" s="333"/>
      <c r="J91" s="330"/>
      <c r="K91" s="331" t="s">
        <v>536</v>
      </c>
      <c r="L91" s="333"/>
      <c r="M91" s="330"/>
      <c r="N91" s="331" t="s">
        <v>536</v>
      </c>
      <c r="O91" s="331"/>
      <c r="P91" s="330"/>
      <c r="Q91" s="331" t="s">
        <v>536</v>
      </c>
      <c r="R91" s="331"/>
      <c r="S91" s="330"/>
      <c r="T91" s="331" t="s">
        <v>536</v>
      </c>
      <c r="U91" s="331"/>
      <c r="V91" s="330"/>
      <c r="W91" s="331" t="s">
        <v>536</v>
      </c>
      <c r="X91" s="331"/>
      <c r="Y91" s="330"/>
      <c r="Z91" s="331" t="s">
        <v>536</v>
      </c>
      <c r="AA91" s="331"/>
      <c r="AB91" s="330"/>
      <c r="AC91" s="331" t="s">
        <v>536</v>
      </c>
      <c r="AD91" s="331"/>
      <c r="AE91" s="330"/>
      <c r="AF91" s="331" t="s">
        <v>536</v>
      </c>
      <c r="AG91" s="331"/>
      <c r="AH91" s="330"/>
      <c r="AI91" s="331" t="s">
        <v>536</v>
      </c>
      <c r="AJ91" s="331"/>
      <c r="AK91" s="330"/>
      <c r="AL91" s="331" t="s">
        <v>536</v>
      </c>
      <c r="AM91" s="331"/>
      <c r="AN91" s="330"/>
      <c r="AO91" s="331" t="s">
        <v>536</v>
      </c>
      <c r="AP91" s="331"/>
      <c r="BA91" s="345"/>
      <c r="BB91" s="345"/>
    </row>
    <row r="92" spans="1:55">
      <c r="A92" s="297"/>
      <c r="BA92" s="345"/>
      <c r="BB92" s="345"/>
    </row>
    <row r="93" spans="1:55">
      <c r="A93" s="297"/>
      <c r="M93" s="284"/>
      <c r="Y93" s="284"/>
      <c r="BA93" s="345"/>
      <c r="BB93" s="345"/>
    </row>
    <row r="94" spans="1:55">
      <c r="A94" s="297"/>
      <c r="B94" s="693"/>
      <c r="C94" s="693"/>
      <c r="E94" s="731"/>
      <c r="F94" s="731"/>
      <c r="H94" s="731"/>
      <c r="I94" s="731"/>
      <c r="K94" s="731"/>
      <c r="L94" s="731"/>
      <c r="N94" s="731"/>
      <c r="O94" s="731"/>
      <c r="Q94" s="773"/>
      <c r="R94" s="731"/>
      <c r="T94" s="731"/>
      <c r="U94" s="731"/>
      <c r="W94" s="731"/>
      <c r="X94" s="731"/>
      <c r="Z94" s="731"/>
      <c r="AA94" s="731"/>
      <c r="AC94" s="731"/>
      <c r="AD94" s="731"/>
      <c r="AF94" s="731"/>
      <c r="AG94" s="731"/>
      <c r="AI94" s="731"/>
      <c r="AJ94" s="731"/>
      <c r="AL94" s="731"/>
      <c r="AM94" s="731"/>
      <c r="AO94" s="731"/>
      <c r="AP94" s="731"/>
      <c r="BA94" s="345"/>
      <c r="BB94" s="345"/>
    </row>
    <row r="95" spans="1:55">
      <c r="A95" s="297"/>
      <c r="B95" s="334"/>
      <c r="C95" s="334"/>
      <c r="D95" s="317"/>
      <c r="E95" s="334"/>
      <c r="F95" s="334"/>
      <c r="G95" s="317"/>
      <c r="H95" s="334"/>
      <c r="I95" s="334"/>
      <c r="J95" s="317"/>
      <c r="K95" s="301"/>
      <c r="L95" s="334"/>
      <c r="M95" s="317"/>
      <c r="N95" s="301"/>
      <c r="O95" s="334"/>
      <c r="P95" s="317"/>
      <c r="Q95" s="301"/>
      <c r="R95" s="334"/>
      <c r="S95" s="317"/>
      <c r="T95" s="301"/>
      <c r="U95" s="334"/>
      <c r="V95" s="298"/>
      <c r="W95" s="301"/>
      <c r="X95" s="334"/>
      <c r="Y95" s="317"/>
      <c r="Z95" s="301"/>
      <c r="AA95" s="334"/>
      <c r="AB95" s="317"/>
      <c r="AC95" s="301"/>
      <c r="AD95" s="303"/>
      <c r="AE95" s="317"/>
      <c r="AF95" s="301"/>
      <c r="AG95" s="303"/>
      <c r="AH95" s="317"/>
      <c r="AI95" s="301"/>
      <c r="AJ95" s="303"/>
      <c r="AK95" s="317"/>
      <c r="AL95" s="301"/>
      <c r="AM95" s="303"/>
      <c r="AN95" s="317"/>
      <c r="AO95" s="301"/>
      <c r="AP95" s="303"/>
      <c r="AQ95" s="317"/>
      <c r="AR95" s="317"/>
      <c r="AS95" s="317"/>
      <c r="AT95" s="317"/>
      <c r="AU95" s="522"/>
      <c r="BA95" s="345"/>
      <c r="BB95" s="345"/>
    </row>
    <row r="96" spans="1:55">
      <c r="A96" s="297"/>
      <c r="B96" s="301"/>
      <c r="C96" s="334"/>
      <c r="D96" s="310"/>
      <c r="E96" s="301"/>
      <c r="F96" s="334"/>
      <c r="G96" s="310"/>
      <c r="H96" s="301"/>
      <c r="I96" s="334"/>
      <c r="J96" s="310"/>
      <c r="K96" s="301"/>
      <c r="L96" s="301"/>
      <c r="M96" s="310"/>
      <c r="N96" s="301"/>
      <c r="O96" s="301"/>
      <c r="P96" s="310"/>
      <c r="Q96" s="301"/>
      <c r="R96" s="301"/>
      <c r="S96" s="310"/>
      <c r="T96" s="301"/>
      <c r="U96" s="301"/>
      <c r="V96" s="310"/>
      <c r="W96" s="301"/>
      <c r="X96" s="301"/>
      <c r="Y96" s="310"/>
      <c r="Z96" s="301"/>
      <c r="AA96" s="301"/>
      <c r="AB96" s="310"/>
      <c r="AC96" s="301"/>
      <c r="AD96" s="303"/>
      <c r="AE96" s="310"/>
      <c r="AF96" s="301"/>
      <c r="AG96" s="301"/>
      <c r="AH96" s="310"/>
      <c r="AI96" s="301"/>
      <c r="AJ96" s="301"/>
      <c r="AK96" s="310"/>
      <c r="AL96" s="301"/>
      <c r="AM96" s="301"/>
      <c r="AN96" s="310"/>
      <c r="AO96" s="301"/>
      <c r="AP96" s="301"/>
      <c r="AQ96" s="310"/>
      <c r="AR96" s="310"/>
      <c r="AS96" s="310"/>
      <c r="AT96" s="310"/>
      <c r="AU96" s="310"/>
      <c r="AW96" s="291">
        <v>14</v>
      </c>
      <c r="AX96" s="291">
        <v>14</v>
      </c>
      <c r="AY96" s="291">
        <v>14</v>
      </c>
      <c r="AZ96" s="291">
        <v>14</v>
      </c>
      <c r="BA96" s="346">
        <f>SUM(D99:AQ99)/1000</f>
        <v>4.7541000000000002</v>
      </c>
      <c r="BB96" s="346">
        <v>4.7541000000000002</v>
      </c>
      <c r="BC96" s="515"/>
    </row>
    <row r="97" spans="1:55">
      <c r="A97" s="297"/>
      <c r="B97" s="746" t="s">
        <v>222</v>
      </c>
      <c r="C97" s="737"/>
      <c r="D97" s="310"/>
      <c r="E97" s="738" t="s">
        <v>223</v>
      </c>
      <c r="F97" s="739"/>
      <c r="G97" s="310"/>
      <c r="H97" s="738" t="s">
        <v>224</v>
      </c>
      <c r="I97" s="739"/>
      <c r="J97" s="310"/>
      <c r="K97" s="738" t="s">
        <v>225</v>
      </c>
      <c r="L97" s="739"/>
      <c r="M97" s="310"/>
      <c r="N97" s="738" t="s">
        <v>226</v>
      </c>
      <c r="O97" s="739"/>
      <c r="P97" s="310"/>
      <c r="Q97" s="738" t="s">
        <v>227</v>
      </c>
      <c r="R97" s="739"/>
      <c r="S97" s="310"/>
      <c r="T97" s="738" t="s">
        <v>228</v>
      </c>
      <c r="U97" s="739"/>
      <c r="V97" s="310"/>
      <c r="W97" s="738" t="s">
        <v>229</v>
      </c>
      <c r="X97" s="739"/>
      <c r="Y97" s="310"/>
      <c r="Z97" s="739" t="s">
        <v>231</v>
      </c>
      <c r="AA97" s="739"/>
      <c r="AB97" s="310"/>
      <c r="AC97" s="738" t="s">
        <v>232</v>
      </c>
      <c r="AD97" s="739"/>
      <c r="AE97" s="310"/>
      <c r="AF97" s="738" t="s">
        <v>233</v>
      </c>
      <c r="AG97" s="739"/>
      <c r="AH97" s="310"/>
      <c r="AI97" s="738" t="s">
        <v>234</v>
      </c>
      <c r="AJ97" s="739"/>
      <c r="AK97" s="310"/>
      <c r="AL97" s="738" t="s">
        <v>235</v>
      </c>
      <c r="AM97" s="739"/>
      <c r="AN97" s="310"/>
      <c r="AO97" s="738" t="s">
        <v>236</v>
      </c>
      <c r="AP97" s="739"/>
      <c r="AQ97" s="310"/>
      <c r="AR97" s="310"/>
      <c r="AS97" s="310"/>
      <c r="AT97" s="310"/>
      <c r="AU97" s="310"/>
      <c r="BA97" s="345"/>
      <c r="BB97" s="345"/>
    </row>
    <row r="98" spans="1:55">
      <c r="A98" s="297"/>
      <c r="B98" s="737" t="s">
        <v>42</v>
      </c>
      <c r="C98" s="737"/>
      <c r="D98" s="309"/>
      <c r="E98" s="737" t="s">
        <v>37</v>
      </c>
      <c r="F98" s="737"/>
      <c r="G98" s="309"/>
      <c r="H98" s="737" t="s">
        <v>42</v>
      </c>
      <c r="I98" s="737"/>
      <c r="J98" s="309"/>
      <c r="K98" s="737" t="s">
        <v>42</v>
      </c>
      <c r="L98" s="737"/>
      <c r="M98" s="310"/>
      <c r="N98" s="737" t="s">
        <v>42</v>
      </c>
      <c r="O98" s="737"/>
      <c r="P98" s="309"/>
      <c r="Q98" s="737" t="s">
        <v>37</v>
      </c>
      <c r="R98" s="737"/>
      <c r="S98" s="309"/>
      <c r="T98" s="737" t="s">
        <v>37</v>
      </c>
      <c r="U98" s="737"/>
      <c r="V98" s="309"/>
      <c r="W98" s="737" t="s">
        <v>37</v>
      </c>
      <c r="X98" s="737"/>
      <c r="Y98" s="309"/>
      <c r="Z98" s="737" t="s">
        <v>76</v>
      </c>
      <c r="AA98" s="737"/>
      <c r="AB98" s="309"/>
      <c r="AC98" s="737" t="s">
        <v>37</v>
      </c>
      <c r="AD98" s="737"/>
      <c r="AE98" s="309"/>
      <c r="AF98" s="737" t="s">
        <v>37</v>
      </c>
      <c r="AG98" s="737"/>
      <c r="AH98" s="309"/>
      <c r="AI98" s="737" t="s">
        <v>37</v>
      </c>
      <c r="AJ98" s="737"/>
      <c r="AK98" s="309"/>
      <c r="AL98" s="737" t="s">
        <v>42</v>
      </c>
      <c r="AM98" s="737"/>
      <c r="AN98" s="309"/>
      <c r="AO98" s="737" t="s">
        <v>37</v>
      </c>
      <c r="AP98" s="737"/>
      <c r="BA98" s="345"/>
      <c r="BB98" s="345"/>
    </row>
    <row r="99" spans="1:55">
      <c r="A99" s="297"/>
      <c r="B99" s="308"/>
      <c r="C99" s="308"/>
      <c r="D99" s="309">
        <v>352.1</v>
      </c>
      <c r="E99" s="308"/>
      <c r="F99" s="308"/>
      <c r="G99" s="309">
        <v>347.3</v>
      </c>
      <c r="H99" s="308"/>
      <c r="I99" s="308"/>
      <c r="J99" s="309">
        <v>339.4</v>
      </c>
      <c r="K99" s="308"/>
      <c r="L99" s="308"/>
      <c r="M99" s="310">
        <v>330.9</v>
      </c>
      <c r="N99" s="308"/>
      <c r="O99" s="308"/>
      <c r="P99" s="309">
        <v>280</v>
      </c>
      <c r="Q99" s="308"/>
      <c r="R99" s="308"/>
      <c r="S99" s="309">
        <v>369.5</v>
      </c>
      <c r="T99" s="308"/>
      <c r="U99" s="308"/>
      <c r="V99" s="309">
        <v>360.6</v>
      </c>
      <c r="W99" s="308"/>
      <c r="X99" s="308"/>
      <c r="Y99" s="309">
        <v>293</v>
      </c>
      <c r="Z99" s="308"/>
      <c r="AA99" s="308"/>
      <c r="AB99" s="309">
        <v>345.9</v>
      </c>
      <c r="AC99" s="308"/>
      <c r="AD99" s="308"/>
      <c r="AE99" s="309">
        <v>310.89999999999998</v>
      </c>
      <c r="AF99" s="308"/>
      <c r="AG99" s="308"/>
      <c r="AH99" s="309">
        <v>380</v>
      </c>
      <c r="AI99" s="308"/>
      <c r="AJ99" s="308"/>
      <c r="AK99" s="309">
        <v>358.2</v>
      </c>
      <c r="AL99" s="308"/>
      <c r="AM99" s="308"/>
      <c r="AN99" s="309">
        <v>311.10000000000002</v>
      </c>
      <c r="AO99" s="308"/>
      <c r="AP99" s="308"/>
      <c r="AQ99" s="285">
        <v>375.2</v>
      </c>
      <c r="AU99" s="521">
        <f>SUM(D99:AQ99)</f>
        <v>4754.1000000000004</v>
      </c>
      <c r="BA99" s="343"/>
      <c r="BB99" s="343"/>
    </row>
    <row r="100" spans="1:55">
      <c r="A100" s="297"/>
      <c r="B100" s="331" t="s">
        <v>536</v>
      </c>
      <c r="C100" s="331"/>
      <c r="D100" s="330"/>
      <c r="E100" s="331" t="s">
        <v>536</v>
      </c>
      <c r="F100" s="333"/>
      <c r="G100" s="330"/>
      <c r="H100" s="331" t="s">
        <v>536</v>
      </c>
      <c r="I100" s="333"/>
      <c r="J100" s="330"/>
      <c r="K100" s="331" t="s">
        <v>536</v>
      </c>
      <c r="L100" s="333"/>
      <c r="M100" s="330"/>
      <c r="N100" s="331" t="s">
        <v>536</v>
      </c>
      <c r="O100" s="331"/>
      <c r="P100" s="330"/>
      <c r="Q100" s="331" t="s">
        <v>536</v>
      </c>
      <c r="R100" s="331"/>
      <c r="S100" s="330"/>
      <c r="T100" s="331" t="s">
        <v>536</v>
      </c>
      <c r="U100" s="331"/>
      <c r="V100" s="330"/>
      <c r="W100" s="331" t="s">
        <v>536</v>
      </c>
      <c r="X100" s="331"/>
      <c r="Y100" s="330"/>
      <c r="Z100" s="331" t="s">
        <v>536</v>
      </c>
      <c r="AA100" s="331"/>
      <c r="AB100" s="330"/>
      <c r="AC100" s="331" t="s">
        <v>536</v>
      </c>
      <c r="AD100" s="331"/>
      <c r="AE100" s="330"/>
      <c r="AF100" s="331" t="s">
        <v>536</v>
      </c>
      <c r="AG100" s="331"/>
      <c r="AH100" s="330"/>
      <c r="AI100" s="331" t="s">
        <v>536</v>
      </c>
      <c r="AJ100" s="331"/>
      <c r="AK100" s="330"/>
      <c r="AL100" s="331" t="s">
        <v>536</v>
      </c>
      <c r="AM100" s="331"/>
      <c r="AN100" s="330"/>
      <c r="AO100" s="331" t="s">
        <v>536</v>
      </c>
      <c r="AP100" s="331"/>
      <c r="BA100" s="345"/>
      <c r="BB100" s="345"/>
    </row>
    <row r="101" spans="1:55">
      <c r="A101" s="297"/>
      <c r="BA101" s="345"/>
      <c r="BB101" s="345"/>
    </row>
    <row r="102" spans="1:55">
      <c r="A102" s="297"/>
      <c r="BA102" s="345"/>
      <c r="BB102" s="345"/>
    </row>
    <row r="103" spans="1:55">
      <c r="A103" s="297"/>
      <c r="B103" s="731"/>
      <c r="C103" s="731"/>
      <c r="E103" s="731"/>
      <c r="F103" s="731"/>
      <c r="H103" s="731"/>
      <c r="I103" s="731"/>
      <c r="K103" s="731"/>
      <c r="L103" s="731"/>
      <c r="N103" s="731"/>
      <c r="O103" s="731"/>
      <c r="Q103" s="731"/>
      <c r="R103" s="731"/>
      <c r="T103" s="731"/>
      <c r="U103" s="731"/>
      <c r="W103" s="731"/>
      <c r="X103" s="731"/>
      <c r="Z103" s="731"/>
      <c r="AA103" s="731"/>
      <c r="AC103" s="731"/>
      <c r="AD103" s="731"/>
      <c r="AF103" s="731"/>
      <c r="AG103" s="731"/>
      <c r="AI103" s="731"/>
      <c r="AJ103" s="731"/>
      <c r="AL103" s="731"/>
      <c r="AM103" s="731"/>
      <c r="AN103" s="317"/>
      <c r="AO103" s="731"/>
      <c r="AP103" s="731"/>
      <c r="BA103" s="345"/>
      <c r="BB103" s="345"/>
    </row>
    <row r="104" spans="1:55">
      <c r="A104" s="297"/>
      <c r="B104" s="303"/>
      <c r="C104" s="303"/>
      <c r="D104" s="317"/>
      <c r="E104" s="301"/>
      <c r="F104" s="303"/>
      <c r="G104" s="317"/>
      <c r="H104" s="301"/>
      <c r="I104" s="303"/>
      <c r="J104" s="317"/>
      <c r="K104" s="301"/>
      <c r="L104" s="303"/>
      <c r="M104" s="317"/>
      <c r="N104" s="301"/>
      <c r="O104" s="303"/>
      <c r="P104" s="317"/>
      <c r="Q104" s="301"/>
      <c r="R104" s="303"/>
      <c r="S104" s="317"/>
      <c r="T104" s="301"/>
      <c r="U104" s="303"/>
      <c r="V104" s="317"/>
      <c r="W104" s="301"/>
      <c r="X104" s="303"/>
      <c r="Y104" s="317"/>
      <c r="Z104" s="301"/>
      <c r="AA104" s="303"/>
      <c r="AB104" s="317"/>
      <c r="AC104" s="301"/>
      <c r="AD104" s="334"/>
      <c r="AE104" s="317"/>
      <c r="AF104" s="301"/>
      <c r="AG104" s="303"/>
      <c r="AH104" s="317"/>
      <c r="AI104" s="301"/>
      <c r="AJ104" s="303"/>
      <c r="AK104" s="317"/>
      <c r="AL104" s="301"/>
      <c r="AM104" s="303"/>
      <c r="AO104" s="301"/>
      <c r="AP104" s="303"/>
      <c r="AQ104" s="317"/>
      <c r="AR104" s="317"/>
      <c r="AS104" s="317"/>
      <c r="AT104" s="317"/>
      <c r="AU104" s="522"/>
      <c r="BA104" s="345"/>
      <c r="BB104" s="345"/>
    </row>
    <row r="105" spans="1:55">
      <c r="A105" s="297"/>
      <c r="B105" s="328"/>
      <c r="C105" s="328"/>
      <c r="D105" s="310"/>
      <c r="E105" s="328"/>
      <c r="F105" s="328"/>
      <c r="G105" s="309"/>
      <c r="H105" s="328"/>
      <c r="I105" s="328"/>
      <c r="J105" s="310"/>
      <c r="K105" s="328"/>
      <c r="L105" s="328"/>
      <c r="M105" s="310"/>
      <c r="N105" s="328"/>
      <c r="O105" s="328"/>
      <c r="P105" s="310"/>
      <c r="Q105" s="328"/>
      <c r="R105" s="328"/>
      <c r="S105" s="309"/>
      <c r="T105" s="328"/>
      <c r="U105" s="328"/>
      <c r="V105" s="310"/>
      <c r="W105" s="328"/>
      <c r="X105" s="328"/>
      <c r="Y105" s="310"/>
      <c r="Z105" s="328"/>
      <c r="AA105" s="328"/>
      <c r="AB105" s="310"/>
      <c r="AC105" s="301"/>
      <c r="AD105" s="301"/>
      <c r="AE105" s="310"/>
      <c r="AF105" s="328"/>
      <c r="AG105" s="303"/>
      <c r="AH105" s="310"/>
      <c r="AI105" s="328"/>
      <c r="AJ105" s="303"/>
      <c r="AK105" s="310"/>
      <c r="AL105" s="328"/>
      <c r="AM105" s="303"/>
      <c r="AN105" s="310"/>
      <c r="AO105" s="328"/>
      <c r="AP105" s="303"/>
      <c r="AQ105" s="310"/>
      <c r="AR105" s="310"/>
      <c r="AS105" s="310"/>
      <c r="AT105" s="310"/>
      <c r="AU105" s="310"/>
      <c r="AW105" s="291">
        <v>14</v>
      </c>
      <c r="AX105" s="291">
        <v>14</v>
      </c>
      <c r="AY105" s="291">
        <v>14</v>
      </c>
      <c r="AZ105" s="291">
        <v>14</v>
      </c>
      <c r="BA105" s="346">
        <f>SUM(D108:AQ108)/1000</f>
        <v>4.7088000000000001</v>
      </c>
      <c r="BB105" s="346">
        <f>BA105</f>
        <v>4.7088000000000001</v>
      </c>
      <c r="BC105" s="515"/>
    </row>
    <row r="106" spans="1:55">
      <c r="A106" s="297"/>
      <c r="B106" s="738" t="s">
        <v>237</v>
      </c>
      <c r="C106" s="739"/>
      <c r="D106" s="310"/>
      <c r="E106" s="738" t="s">
        <v>238</v>
      </c>
      <c r="F106" s="739"/>
      <c r="G106" s="309"/>
      <c r="H106" s="738" t="s">
        <v>239</v>
      </c>
      <c r="I106" s="739"/>
      <c r="J106" s="310"/>
      <c r="K106" s="738" t="s">
        <v>240</v>
      </c>
      <c r="L106" s="739"/>
      <c r="M106" s="310"/>
      <c r="N106" s="738" t="s">
        <v>241</v>
      </c>
      <c r="O106" s="739"/>
      <c r="P106" s="310"/>
      <c r="Q106" s="738" t="s">
        <v>242</v>
      </c>
      <c r="R106" s="739"/>
      <c r="S106" s="309"/>
      <c r="T106" s="738" t="s">
        <v>243</v>
      </c>
      <c r="U106" s="739"/>
      <c r="V106" s="310"/>
      <c r="W106" s="739" t="s">
        <v>244</v>
      </c>
      <c r="X106" s="739"/>
      <c r="Y106" s="310"/>
      <c r="Z106" s="739" t="s">
        <v>246</v>
      </c>
      <c r="AA106" s="739"/>
      <c r="AB106" s="310"/>
      <c r="AC106" s="738" t="s">
        <v>247</v>
      </c>
      <c r="AD106" s="739"/>
      <c r="AE106" s="310"/>
      <c r="AF106" s="738" t="s">
        <v>248</v>
      </c>
      <c r="AG106" s="739"/>
      <c r="AH106" s="310"/>
      <c r="AI106" s="739" t="s">
        <v>250</v>
      </c>
      <c r="AJ106" s="739"/>
      <c r="AK106" s="310" t="s">
        <v>0</v>
      </c>
      <c r="AL106" s="738" t="s">
        <v>251</v>
      </c>
      <c r="AM106" s="739"/>
      <c r="AN106" s="310" t="s">
        <v>0</v>
      </c>
      <c r="AO106" s="738" t="s">
        <v>252</v>
      </c>
      <c r="AP106" s="739"/>
      <c r="AQ106" s="310" t="s">
        <v>0</v>
      </c>
      <c r="AR106" s="310"/>
      <c r="AS106" s="310"/>
      <c r="AT106" s="310"/>
      <c r="AU106" s="310"/>
      <c r="BA106" s="345"/>
      <c r="BB106" s="345"/>
    </row>
    <row r="107" spans="1:55">
      <c r="A107" s="297"/>
      <c r="B107" s="737" t="s">
        <v>37</v>
      </c>
      <c r="C107" s="737"/>
      <c r="D107" s="309"/>
      <c r="E107" s="737" t="s">
        <v>37</v>
      </c>
      <c r="F107" s="737"/>
      <c r="G107" s="309"/>
      <c r="H107" s="737" t="s">
        <v>37</v>
      </c>
      <c r="I107" s="737"/>
      <c r="J107" s="309"/>
      <c r="K107" s="737" t="s">
        <v>42</v>
      </c>
      <c r="L107" s="737"/>
      <c r="M107" s="309"/>
      <c r="N107" s="737" t="s">
        <v>37</v>
      </c>
      <c r="O107" s="737"/>
      <c r="P107" s="309"/>
      <c r="Q107" s="737" t="s">
        <v>42</v>
      </c>
      <c r="R107" s="737"/>
      <c r="S107" s="309"/>
      <c r="T107" s="737" t="s">
        <v>37</v>
      </c>
      <c r="U107" s="737"/>
      <c r="V107" s="309"/>
      <c r="W107" s="737" t="s">
        <v>37</v>
      </c>
      <c r="X107" s="737"/>
      <c r="Y107" s="309"/>
      <c r="Z107" s="737" t="s">
        <v>46</v>
      </c>
      <c r="AA107" s="737"/>
      <c r="AB107" s="309"/>
      <c r="AC107" s="737" t="s">
        <v>37</v>
      </c>
      <c r="AD107" s="737"/>
      <c r="AE107" s="309"/>
      <c r="AF107" s="737" t="s">
        <v>37</v>
      </c>
      <c r="AG107" s="737"/>
      <c r="AH107" s="309"/>
      <c r="AI107" s="737" t="s">
        <v>39</v>
      </c>
      <c r="AJ107" s="737"/>
      <c r="AK107" s="309"/>
      <c r="AL107" s="737" t="s">
        <v>42</v>
      </c>
      <c r="AM107" s="737"/>
      <c r="AN107" s="309"/>
      <c r="AO107" s="737" t="s">
        <v>42</v>
      </c>
      <c r="AP107" s="737"/>
      <c r="AQ107" s="309"/>
      <c r="AR107" s="309"/>
      <c r="AS107" s="309"/>
      <c r="AT107" s="309"/>
      <c r="AU107" s="309"/>
      <c r="BA107" s="345"/>
      <c r="BB107" s="345"/>
    </row>
    <row r="108" spans="1:55">
      <c r="A108" s="297"/>
      <c r="B108" s="308"/>
      <c r="C108" s="308"/>
      <c r="D108" s="309">
        <v>369.1</v>
      </c>
      <c r="E108" s="308"/>
      <c r="F108" s="308"/>
      <c r="G108" s="309">
        <v>371</v>
      </c>
      <c r="H108" s="308"/>
      <c r="I108" s="308"/>
      <c r="J108" s="309">
        <v>356.5</v>
      </c>
      <c r="K108" s="308"/>
      <c r="L108" s="308"/>
      <c r="M108" s="309">
        <v>363.3</v>
      </c>
      <c r="N108" s="308"/>
      <c r="O108" s="308"/>
      <c r="P108" s="309">
        <v>370.3</v>
      </c>
      <c r="Q108" s="308"/>
      <c r="R108" s="308"/>
      <c r="S108" s="309">
        <v>330</v>
      </c>
      <c r="T108" s="308"/>
      <c r="U108" s="308"/>
      <c r="V108" s="309">
        <v>390.1</v>
      </c>
      <c r="W108" s="308"/>
      <c r="X108" s="308"/>
      <c r="Y108" s="309">
        <v>343.4</v>
      </c>
      <c r="Z108" s="308"/>
      <c r="AA108" s="308"/>
      <c r="AB108" s="309">
        <v>326.5</v>
      </c>
      <c r="AC108" s="308"/>
      <c r="AD108" s="308"/>
      <c r="AE108" s="309">
        <v>302.5</v>
      </c>
      <c r="AF108" s="308"/>
      <c r="AG108" s="308"/>
      <c r="AH108" s="309">
        <v>318.2</v>
      </c>
      <c r="AI108" s="308"/>
      <c r="AJ108" s="308"/>
      <c r="AK108" s="309">
        <v>315.5</v>
      </c>
      <c r="AL108" s="308"/>
      <c r="AM108" s="308"/>
      <c r="AN108" s="309">
        <v>249.3</v>
      </c>
      <c r="AO108" s="308"/>
      <c r="AP108" s="308"/>
      <c r="AQ108" s="309">
        <v>303.10000000000002</v>
      </c>
      <c r="AR108" s="309"/>
      <c r="AS108" s="309"/>
      <c r="AT108" s="309"/>
      <c r="AU108" s="309">
        <f>SUM(B108:AQ108)</f>
        <v>4708.8</v>
      </c>
      <c r="BA108" s="343"/>
      <c r="BB108" s="343"/>
    </row>
    <row r="109" spans="1:55">
      <c r="A109" s="297"/>
      <c r="B109" s="331" t="s">
        <v>536</v>
      </c>
      <c r="C109" s="331"/>
      <c r="D109" s="330"/>
      <c r="E109" s="331" t="s">
        <v>536</v>
      </c>
      <c r="F109" s="333"/>
      <c r="G109" s="330"/>
      <c r="H109" s="331" t="s">
        <v>536</v>
      </c>
      <c r="I109" s="333"/>
      <c r="J109" s="330"/>
      <c r="K109" s="331" t="s">
        <v>536</v>
      </c>
      <c r="L109" s="333"/>
      <c r="M109" s="330"/>
      <c r="N109" s="331" t="s">
        <v>536</v>
      </c>
      <c r="O109" s="331"/>
      <c r="P109" s="330"/>
      <c r="Q109" s="331" t="s">
        <v>536</v>
      </c>
      <c r="R109" s="331"/>
      <c r="S109" s="330"/>
      <c r="T109" s="331" t="s">
        <v>536</v>
      </c>
      <c r="U109" s="331"/>
      <c r="V109" s="330"/>
      <c r="W109" s="331" t="s">
        <v>536</v>
      </c>
      <c r="X109" s="331"/>
      <c r="Y109" s="330"/>
      <c r="Z109" s="331" t="s">
        <v>536</v>
      </c>
      <c r="AA109" s="331"/>
      <c r="AB109" s="330"/>
      <c r="AC109" s="331" t="s">
        <v>536</v>
      </c>
      <c r="AD109" s="331"/>
      <c r="AE109" s="330"/>
      <c r="AF109" s="331" t="s">
        <v>536</v>
      </c>
      <c r="AG109" s="331"/>
      <c r="AH109" s="330"/>
      <c r="AI109" s="331" t="s">
        <v>536</v>
      </c>
      <c r="AJ109" s="331"/>
      <c r="AK109" s="330"/>
      <c r="AL109" s="331" t="s">
        <v>536</v>
      </c>
      <c r="AM109" s="331"/>
      <c r="AN109" s="330"/>
      <c r="AO109" s="331" t="s">
        <v>536</v>
      </c>
      <c r="AP109" s="331"/>
      <c r="AQ109" s="309"/>
      <c r="AR109" s="309"/>
      <c r="AS109" s="309"/>
      <c r="AT109" s="309"/>
      <c r="AU109" s="309"/>
      <c r="BA109" s="345"/>
      <c r="BB109" s="345"/>
    </row>
    <row r="110" spans="1:55">
      <c r="A110" s="297"/>
      <c r="B110" s="311"/>
      <c r="C110" s="311"/>
      <c r="D110" s="309"/>
      <c r="E110" s="311"/>
      <c r="F110" s="311"/>
      <c r="G110" s="309"/>
      <c r="H110" s="311"/>
      <c r="I110" s="311"/>
      <c r="J110" s="309"/>
      <c r="K110" s="311"/>
      <c r="L110" s="311"/>
      <c r="M110" s="309"/>
      <c r="N110" s="311"/>
      <c r="O110" s="311"/>
      <c r="P110" s="309"/>
      <c r="Q110" s="311"/>
      <c r="R110" s="311"/>
      <c r="S110" s="309"/>
      <c r="T110" s="311"/>
      <c r="U110" s="311"/>
      <c r="V110" s="309"/>
      <c r="W110" s="311"/>
      <c r="X110" s="311"/>
      <c r="Y110" s="309"/>
      <c r="Z110" s="311"/>
      <c r="AA110" s="311"/>
      <c r="AB110" s="309"/>
      <c r="AC110" s="311"/>
      <c r="AD110" s="311"/>
      <c r="AE110" s="309"/>
      <c r="AF110" s="311"/>
      <c r="AG110" s="311"/>
      <c r="AH110" s="309"/>
      <c r="AI110" s="311"/>
      <c r="AJ110" s="311"/>
      <c r="AK110" s="309"/>
      <c r="AL110" s="311"/>
      <c r="AM110" s="311"/>
      <c r="AN110" s="309"/>
      <c r="AO110" s="311"/>
      <c r="AP110" s="311"/>
      <c r="AQ110" s="309"/>
      <c r="AR110" s="309"/>
      <c r="AS110" s="309"/>
      <c r="AT110" s="309"/>
      <c r="AU110" s="309"/>
      <c r="BA110" s="345"/>
      <c r="BB110" s="345"/>
    </row>
    <row r="111" spans="1:55">
      <c r="A111" s="297"/>
      <c r="B111" s="311"/>
      <c r="C111" s="311"/>
      <c r="D111" s="309"/>
      <c r="E111" s="311"/>
      <c r="F111" s="311"/>
      <c r="G111" s="309"/>
      <c r="H111" s="311"/>
      <c r="I111" s="311"/>
      <c r="J111" s="309"/>
      <c r="K111" s="311"/>
      <c r="L111" s="311"/>
      <c r="M111" s="309"/>
      <c r="N111" s="311"/>
      <c r="O111" s="311"/>
      <c r="P111" s="309"/>
      <c r="Q111" s="311"/>
      <c r="R111" s="311"/>
      <c r="S111" s="309"/>
      <c r="T111" s="311"/>
      <c r="U111" s="311"/>
      <c r="V111" s="309"/>
      <c r="W111" s="311"/>
      <c r="X111" s="311"/>
      <c r="Y111" s="309"/>
      <c r="Z111" s="311"/>
      <c r="AA111" s="311"/>
      <c r="AB111" s="309"/>
      <c r="AC111" s="311"/>
      <c r="AD111" s="311"/>
      <c r="AE111" s="309"/>
      <c r="AF111" s="311"/>
      <c r="AG111" s="311"/>
      <c r="AH111" s="309"/>
      <c r="AI111" s="311"/>
      <c r="AJ111" s="311"/>
      <c r="AK111" s="309"/>
      <c r="AL111" s="311"/>
      <c r="AM111" s="311"/>
      <c r="AN111" s="309"/>
      <c r="AO111" s="311"/>
      <c r="AP111" s="311"/>
      <c r="AQ111" s="309"/>
      <c r="AR111" s="309"/>
      <c r="AS111" s="309"/>
      <c r="AT111" s="309"/>
      <c r="AU111" s="309"/>
      <c r="BA111" s="345"/>
      <c r="BB111" s="345"/>
    </row>
    <row r="112" spans="1:55">
      <c r="A112" s="297"/>
      <c r="B112" s="775"/>
      <c r="C112" s="775"/>
      <c r="D112" s="309"/>
      <c r="E112" s="775"/>
      <c r="F112" s="775"/>
      <c r="G112" s="309"/>
      <c r="H112" s="775"/>
      <c r="I112" s="775"/>
      <c r="J112" s="309"/>
      <c r="K112" s="775"/>
      <c r="L112" s="775"/>
      <c r="M112" s="309"/>
      <c r="N112" s="775"/>
      <c r="O112" s="775"/>
      <c r="P112" s="309"/>
      <c r="Q112" s="775"/>
      <c r="R112" s="775"/>
      <c r="S112" s="309"/>
      <c r="T112" s="775"/>
      <c r="U112" s="775"/>
      <c r="V112" s="309"/>
      <c r="W112" s="775"/>
      <c r="X112" s="775"/>
      <c r="Y112" s="309"/>
      <c r="Z112" s="775"/>
      <c r="AA112" s="775"/>
      <c r="AB112" s="309"/>
      <c r="AC112" s="775"/>
      <c r="AD112" s="775"/>
      <c r="AE112" s="309"/>
      <c r="AF112" s="775"/>
      <c r="AG112" s="775"/>
      <c r="AH112" s="309"/>
      <c r="AI112" s="775"/>
      <c r="AJ112" s="775"/>
      <c r="AK112" s="309"/>
      <c r="AL112" s="775"/>
      <c r="AM112" s="775"/>
      <c r="AN112" s="309"/>
      <c r="AO112" s="775"/>
      <c r="AP112" s="775"/>
      <c r="AQ112" s="309"/>
      <c r="AR112" s="309"/>
      <c r="AS112" s="309"/>
      <c r="AT112" s="309"/>
      <c r="AU112" s="309"/>
      <c r="BA112" s="345"/>
      <c r="BB112" s="345"/>
    </row>
    <row r="113" spans="1:55">
      <c r="A113" s="297"/>
      <c r="B113" s="301"/>
      <c r="C113" s="303"/>
      <c r="D113" s="310"/>
      <c r="E113" s="301"/>
      <c r="F113" s="303"/>
      <c r="G113" s="310"/>
      <c r="H113" s="301"/>
      <c r="I113" s="303"/>
      <c r="J113" s="310"/>
      <c r="K113" s="301"/>
      <c r="L113" s="303"/>
      <c r="M113" s="310"/>
      <c r="N113" s="328"/>
      <c r="O113" s="313"/>
      <c r="P113" s="310"/>
      <c r="Q113" s="301"/>
      <c r="R113" s="303"/>
      <c r="S113" s="310"/>
      <c r="T113" s="328"/>
      <c r="U113" s="332"/>
      <c r="V113" s="310"/>
      <c r="W113" s="328"/>
      <c r="X113" s="332"/>
      <c r="Y113" s="310"/>
      <c r="Z113" s="328"/>
      <c r="AA113" s="332"/>
      <c r="AB113" s="310"/>
      <c r="AC113" s="328"/>
      <c r="AD113" s="332"/>
      <c r="AE113" s="310"/>
      <c r="AF113" s="328"/>
      <c r="AG113" s="313"/>
      <c r="AH113" s="310"/>
      <c r="AI113" s="328"/>
      <c r="AJ113" s="313"/>
      <c r="AK113" s="310"/>
      <c r="AL113" s="301"/>
      <c r="AM113" s="303"/>
      <c r="AN113" s="310"/>
      <c r="AO113" s="301"/>
      <c r="AP113" s="303"/>
      <c r="AQ113" s="310"/>
      <c r="AR113" s="310"/>
      <c r="AS113" s="310"/>
      <c r="AT113" s="310"/>
      <c r="AU113" s="310"/>
      <c r="BA113" s="345"/>
      <c r="BB113" s="345"/>
    </row>
    <row r="114" spans="1:55">
      <c r="A114" s="297"/>
      <c r="B114" s="328"/>
      <c r="C114" s="303"/>
      <c r="D114" s="310"/>
      <c r="E114" s="328"/>
      <c r="F114" s="328"/>
      <c r="G114" s="310"/>
      <c r="H114" s="328"/>
      <c r="I114" s="328"/>
      <c r="J114" s="310"/>
      <c r="K114" s="328"/>
      <c r="L114" s="328"/>
      <c r="M114" s="309"/>
      <c r="N114" s="301"/>
      <c r="O114" s="328"/>
      <c r="P114" s="309"/>
      <c r="Q114" s="328"/>
      <c r="R114" s="328"/>
      <c r="S114" s="309"/>
      <c r="T114" s="328"/>
      <c r="U114" s="328"/>
      <c r="V114" s="309"/>
      <c r="W114" s="328"/>
      <c r="X114" s="328"/>
      <c r="Y114" s="309"/>
      <c r="Z114" s="328"/>
      <c r="AA114" s="328"/>
      <c r="AB114" s="310"/>
      <c r="AC114" s="328"/>
      <c r="AD114" s="328"/>
      <c r="AE114" s="309"/>
      <c r="AF114" s="328"/>
      <c r="AG114" s="328"/>
      <c r="AH114" s="310"/>
      <c r="AI114" s="328"/>
      <c r="AJ114" s="328"/>
      <c r="AK114" s="310"/>
      <c r="AL114" s="328"/>
      <c r="AM114" s="328"/>
      <c r="AN114" s="310"/>
      <c r="AO114" s="328"/>
      <c r="AP114" s="328"/>
      <c r="AQ114" s="310"/>
      <c r="AR114" s="310"/>
      <c r="AS114" s="310"/>
      <c r="AT114" s="310"/>
      <c r="AU114" s="310"/>
      <c r="AW114" s="291">
        <v>14</v>
      </c>
      <c r="AX114" s="291">
        <v>14</v>
      </c>
      <c r="AY114" s="291">
        <v>14</v>
      </c>
      <c r="AZ114" s="291">
        <v>14</v>
      </c>
      <c r="BA114" s="346">
        <f>SUM(D117:AQ117)/1000</f>
        <v>3.2596999999999996</v>
      </c>
      <c r="BB114" s="346">
        <f>BA114</f>
        <v>3.2596999999999996</v>
      </c>
      <c r="BC114" s="515"/>
    </row>
    <row r="115" spans="1:55">
      <c r="A115" s="297"/>
      <c r="B115" s="738" t="s">
        <v>253</v>
      </c>
      <c r="C115" s="739"/>
      <c r="D115" s="310" t="s">
        <v>0</v>
      </c>
      <c r="E115" s="738" t="s">
        <v>254</v>
      </c>
      <c r="F115" s="739"/>
      <c r="G115" s="310" t="s">
        <v>0</v>
      </c>
      <c r="H115" s="738" t="s">
        <v>255</v>
      </c>
      <c r="I115" s="739"/>
      <c r="J115" s="310" t="s">
        <v>0</v>
      </c>
      <c r="K115" s="772" t="s">
        <v>257</v>
      </c>
      <c r="L115" s="772"/>
      <c r="M115" s="310" t="s">
        <v>0</v>
      </c>
      <c r="N115" s="772" t="s">
        <v>259</v>
      </c>
      <c r="O115" s="772"/>
      <c r="P115" s="310" t="s">
        <v>0</v>
      </c>
      <c r="Q115" s="739" t="s">
        <v>262</v>
      </c>
      <c r="R115" s="739"/>
      <c r="S115" s="310" t="s">
        <v>0</v>
      </c>
      <c r="T115" s="739" t="s">
        <v>264</v>
      </c>
      <c r="U115" s="739"/>
      <c r="V115" s="310" t="s">
        <v>0</v>
      </c>
      <c r="W115" s="739" t="s">
        <v>266</v>
      </c>
      <c r="X115" s="739"/>
      <c r="Y115" s="309" t="s">
        <v>0</v>
      </c>
      <c r="Z115" s="738" t="s">
        <v>267</v>
      </c>
      <c r="AA115" s="739"/>
      <c r="AB115" s="309" t="s">
        <v>0</v>
      </c>
      <c r="AC115" s="738" t="s">
        <v>269</v>
      </c>
      <c r="AD115" s="739"/>
      <c r="AE115" s="310" t="s">
        <v>0</v>
      </c>
      <c r="AF115" s="739" t="s">
        <v>271</v>
      </c>
      <c r="AG115" s="739"/>
      <c r="AH115" s="309" t="s">
        <v>0</v>
      </c>
      <c r="AI115" s="738" t="s">
        <v>273</v>
      </c>
      <c r="AJ115" s="739"/>
      <c r="AK115" s="309" t="s">
        <v>0</v>
      </c>
      <c r="AL115" s="738" t="s">
        <v>274</v>
      </c>
      <c r="AM115" s="739"/>
      <c r="AN115" s="309" t="s">
        <v>0</v>
      </c>
      <c r="AO115" s="738" t="s">
        <v>275</v>
      </c>
      <c r="AP115" s="739"/>
      <c r="AQ115" s="309" t="s">
        <v>0</v>
      </c>
      <c r="AR115" s="309"/>
      <c r="AS115" s="309"/>
      <c r="AT115" s="309"/>
      <c r="AU115" s="309"/>
      <c r="BA115" s="345"/>
      <c r="BB115" s="345"/>
    </row>
    <row r="116" spans="1:55">
      <c r="A116" s="297"/>
      <c r="B116" s="737" t="s">
        <v>42</v>
      </c>
      <c r="C116" s="737"/>
      <c r="D116" s="309"/>
      <c r="E116" s="737" t="s">
        <v>37</v>
      </c>
      <c r="F116" s="737"/>
      <c r="G116" s="309"/>
      <c r="H116" s="737" t="s">
        <v>42</v>
      </c>
      <c r="I116" s="737"/>
      <c r="J116" s="309"/>
      <c r="K116" s="768" t="s">
        <v>54</v>
      </c>
      <c r="L116" s="768"/>
      <c r="M116" s="309"/>
      <c r="N116" s="768" t="s">
        <v>260</v>
      </c>
      <c r="O116" s="768"/>
      <c r="P116" s="309"/>
      <c r="Q116" s="737" t="s">
        <v>260</v>
      </c>
      <c r="R116" s="737"/>
      <c r="S116" s="309"/>
      <c r="T116" s="737" t="s">
        <v>260</v>
      </c>
      <c r="U116" s="737"/>
      <c r="V116" s="309"/>
      <c r="W116" s="737" t="s">
        <v>34</v>
      </c>
      <c r="X116" s="737"/>
      <c r="Y116" s="309"/>
      <c r="Z116" s="737" t="s">
        <v>626</v>
      </c>
      <c r="AA116" s="737"/>
      <c r="AB116" s="309"/>
      <c r="AC116" s="737" t="s">
        <v>626</v>
      </c>
      <c r="AD116" s="737"/>
      <c r="AE116" s="309"/>
      <c r="AF116" s="737" t="s">
        <v>51</v>
      </c>
      <c r="AG116" s="737"/>
      <c r="AH116" s="309"/>
      <c r="AI116" s="737" t="s">
        <v>65</v>
      </c>
      <c r="AJ116" s="737"/>
      <c r="AK116" s="309"/>
      <c r="AL116" s="737" t="s">
        <v>42</v>
      </c>
      <c r="AM116" s="737"/>
      <c r="AN116" s="309"/>
      <c r="AO116" s="737" t="s">
        <v>56</v>
      </c>
      <c r="AP116" s="737"/>
      <c r="AQ116" s="309"/>
      <c r="AR116" s="309"/>
      <c r="AS116" s="309"/>
      <c r="AT116" s="309"/>
      <c r="AU116" s="309"/>
      <c r="BA116" s="345"/>
      <c r="BB116" s="345"/>
    </row>
    <row r="117" spans="1:55">
      <c r="A117" s="297"/>
      <c r="B117" s="308"/>
      <c r="C117" s="308"/>
      <c r="D117" s="309">
        <v>354.9</v>
      </c>
      <c r="E117" s="308"/>
      <c r="F117" s="308"/>
      <c r="G117" s="309">
        <v>320.2</v>
      </c>
      <c r="H117" s="308"/>
      <c r="I117" s="308"/>
      <c r="J117" s="309">
        <v>383.9</v>
      </c>
      <c r="K117" s="320"/>
      <c r="L117" s="320"/>
      <c r="M117" s="309">
        <v>190.5</v>
      </c>
      <c r="N117" s="320"/>
      <c r="O117" s="320"/>
      <c r="P117" s="309">
        <v>178.3</v>
      </c>
      <c r="Q117" s="308"/>
      <c r="R117" s="308"/>
      <c r="S117" s="309">
        <v>148.4</v>
      </c>
      <c r="T117" s="308"/>
      <c r="U117" s="308"/>
      <c r="V117" s="309">
        <v>61.2</v>
      </c>
      <c r="W117" s="308"/>
      <c r="X117" s="308"/>
      <c r="Y117" s="309">
        <v>42.3</v>
      </c>
      <c r="Z117" s="308"/>
      <c r="AA117" s="308"/>
      <c r="AB117" s="309">
        <v>54.6</v>
      </c>
      <c r="AC117" s="308"/>
      <c r="AD117" s="308"/>
      <c r="AE117" s="309">
        <v>41.9</v>
      </c>
      <c r="AF117" s="308"/>
      <c r="AG117" s="308"/>
      <c r="AH117" s="309">
        <v>344.5</v>
      </c>
      <c r="AI117" s="308"/>
      <c r="AJ117" s="308"/>
      <c r="AK117" s="309">
        <v>393</v>
      </c>
      <c r="AL117" s="308"/>
      <c r="AM117" s="308"/>
      <c r="AN117" s="309">
        <v>359</v>
      </c>
      <c r="AO117" s="308"/>
      <c r="AP117" s="308"/>
      <c r="AQ117" s="309">
        <v>387</v>
      </c>
      <c r="AR117" s="309"/>
      <c r="AS117" s="309"/>
      <c r="AT117" s="309"/>
      <c r="AU117" s="309">
        <f>SUM(B117:AQ117)</f>
        <v>3259.7</v>
      </c>
      <c r="BA117" s="343"/>
      <c r="BB117" s="343"/>
    </row>
    <row r="118" spans="1:55">
      <c r="A118" s="297"/>
      <c r="B118" s="331" t="s">
        <v>536</v>
      </c>
      <c r="C118" s="331"/>
      <c r="D118" s="330"/>
      <c r="E118" s="366" t="s">
        <v>569</v>
      </c>
      <c r="F118" s="366"/>
      <c r="G118" s="365"/>
      <c r="H118" s="366" t="s">
        <v>569</v>
      </c>
      <c r="I118" s="366"/>
      <c r="J118" s="365"/>
      <c r="K118" s="366" t="s">
        <v>569</v>
      </c>
      <c r="L118" s="367"/>
      <c r="M118" s="365"/>
      <c r="N118" s="366" t="s">
        <v>569</v>
      </c>
      <c r="O118" s="367"/>
      <c r="P118" s="365"/>
      <c r="Q118" s="366" t="s">
        <v>569</v>
      </c>
      <c r="R118" s="366"/>
      <c r="S118" s="365"/>
      <c r="T118" s="366" t="s">
        <v>569</v>
      </c>
      <c r="U118" s="366"/>
      <c r="V118" s="365"/>
      <c r="W118" s="366" t="s">
        <v>569</v>
      </c>
      <c r="X118" s="366"/>
      <c r="Y118" s="365"/>
      <c r="Z118" s="366" t="s">
        <v>569</v>
      </c>
      <c r="AA118" s="366"/>
      <c r="AB118" s="365"/>
      <c r="AC118" s="366" t="s">
        <v>569</v>
      </c>
      <c r="AD118" s="366"/>
      <c r="AE118" s="365"/>
      <c r="AF118" s="366" t="s">
        <v>569</v>
      </c>
      <c r="AG118" s="366"/>
      <c r="AH118" s="365"/>
      <c r="AI118" s="366" t="s">
        <v>569</v>
      </c>
      <c r="AJ118" s="366"/>
      <c r="AK118" s="365"/>
      <c r="AL118" s="366" t="s">
        <v>569</v>
      </c>
      <c r="AM118" s="366"/>
      <c r="AN118" s="365"/>
      <c r="AO118" s="366" t="s">
        <v>569</v>
      </c>
      <c r="AP118" s="366"/>
      <c r="AQ118" s="309"/>
      <c r="AR118" s="309"/>
      <c r="AS118" s="309"/>
      <c r="AT118" s="309"/>
      <c r="AU118" s="309"/>
      <c r="BA118" s="345"/>
      <c r="BB118" s="345"/>
    </row>
    <row r="119" spans="1:55">
      <c r="A119" s="297"/>
      <c r="B119" s="311"/>
      <c r="C119" s="311"/>
      <c r="D119" s="309"/>
      <c r="E119" s="311"/>
      <c r="F119" s="311"/>
      <c r="G119" s="309"/>
      <c r="H119" s="311"/>
      <c r="I119" s="311"/>
      <c r="J119" s="309"/>
      <c r="K119" s="311"/>
      <c r="L119" s="311"/>
      <c r="M119" s="309"/>
      <c r="N119" s="311"/>
      <c r="O119" s="311"/>
      <c r="P119" s="309"/>
      <c r="Q119" s="311"/>
      <c r="R119" s="311"/>
      <c r="S119" s="309"/>
      <c r="T119" s="311"/>
      <c r="U119" s="311"/>
      <c r="V119" s="309"/>
      <c r="W119" s="311"/>
      <c r="X119" s="311"/>
      <c r="Y119" s="309"/>
      <c r="Z119" s="311"/>
      <c r="AA119" s="311"/>
      <c r="AB119" s="309"/>
      <c r="AC119" s="311"/>
      <c r="AD119" s="311"/>
      <c r="AE119" s="309"/>
      <c r="AF119" s="311"/>
      <c r="AG119" s="311"/>
      <c r="AI119" s="311"/>
      <c r="AL119" s="478"/>
      <c r="AM119" s="478"/>
      <c r="AN119" s="477"/>
      <c r="AO119" s="478"/>
      <c r="AP119" s="478"/>
      <c r="BA119" s="345"/>
      <c r="BB119" s="345"/>
    </row>
    <row r="120" spans="1:55">
      <c r="A120" s="297"/>
      <c r="B120" s="311"/>
      <c r="C120" s="311"/>
      <c r="D120" s="309"/>
      <c r="E120" s="311"/>
      <c r="F120" s="311"/>
      <c r="G120" s="309"/>
      <c r="H120" s="311"/>
      <c r="I120" s="311"/>
      <c r="J120" s="309"/>
      <c r="K120" s="311"/>
      <c r="L120" s="311"/>
      <c r="M120" s="309"/>
      <c r="N120" s="311"/>
      <c r="O120" s="311"/>
      <c r="P120" s="309"/>
      <c r="Q120" s="311"/>
      <c r="R120" s="311"/>
      <c r="S120" s="309"/>
      <c r="T120" s="311"/>
      <c r="U120" s="311"/>
      <c r="V120" s="309"/>
      <c r="W120" s="311"/>
      <c r="X120" s="311"/>
      <c r="Y120" s="309"/>
      <c r="Z120" s="311"/>
      <c r="AA120" s="311"/>
      <c r="AC120" s="311"/>
      <c r="AD120" s="311"/>
      <c r="AE120" s="309"/>
      <c r="AF120" s="311"/>
      <c r="AG120" s="311"/>
      <c r="BA120" s="345"/>
      <c r="BB120" s="345"/>
    </row>
    <row r="121" spans="1:55">
      <c r="A121" s="297"/>
      <c r="B121" s="737"/>
      <c r="C121" s="737"/>
      <c r="D121" s="309"/>
      <c r="E121" s="775"/>
      <c r="F121" s="775"/>
      <c r="G121" s="309"/>
      <c r="H121" s="775"/>
      <c r="I121" s="775"/>
      <c r="J121" s="309"/>
      <c r="K121" s="775"/>
      <c r="L121" s="775"/>
      <c r="M121" s="309"/>
      <c r="N121" s="775"/>
      <c r="O121" s="775"/>
      <c r="P121" s="309"/>
      <c r="Q121" s="775"/>
      <c r="R121" s="775"/>
      <c r="S121" s="309"/>
      <c r="T121" s="775"/>
      <c r="U121" s="775"/>
      <c r="V121" s="309"/>
      <c r="W121" s="775"/>
      <c r="X121" s="775"/>
      <c r="Y121" s="309"/>
      <c r="Z121" s="737"/>
      <c r="AA121" s="737"/>
      <c r="AB121" s="309"/>
      <c r="AC121" s="737"/>
      <c r="AD121" s="737"/>
      <c r="AE121" s="756"/>
      <c r="AF121" s="756"/>
      <c r="AG121" s="756"/>
      <c r="AH121" s="756"/>
      <c r="AI121" s="693"/>
      <c r="AJ121" s="693"/>
      <c r="AL121" s="693"/>
      <c r="AM121" s="693"/>
      <c r="AO121" s="693"/>
      <c r="AP121" s="693"/>
      <c r="BA121" s="345"/>
      <c r="BB121" s="345"/>
    </row>
    <row r="122" spans="1:55">
      <c r="A122" s="297"/>
      <c r="B122" s="301"/>
      <c r="C122" s="303"/>
      <c r="D122" s="310"/>
      <c r="E122" s="301"/>
      <c r="F122" s="303"/>
      <c r="G122" s="310"/>
      <c r="H122" s="301"/>
      <c r="I122" s="303"/>
      <c r="J122" s="310"/>
      <c r="K122" s="301"/>
      <c r="L122" s="303"/>
      <c r="M122" s="310"/>
      <c r="N122" s="301"/>
      <c r="O122" s="303"/>
      <c r="P122" s="310"/>
      <c r="Q122" s="301"/>
      <c r="R122" s="303"/>
      <c r="S122" s="310"/>
      <c r="T122" s="301"/>
      <c r="U122" s="303"/>
      <c r="V122" s="310"/>
      <c r="W122" s="301"/>
      <c r="X122" s="303"/>
      <c r="Y122" s="310"/>
      <c r="Z122" s="301"/>
      <c r="AA122" s="303"/>
      <c r="AB122" s="311"/>
      <c r="AC122" s="301"/>
      <c r="AD122" s="303"/>
      <c r="AE122" s="310"/>
      <c r="AF122" s="301"/>
      <c r="AG122" s="303"/>
      <c r="AH122" s="317"/>
      <c r="AI122" s="301"/>
      <c r="AJ122" s="303"/>
      <c r="AK122" s="317"/>
      <c r="AL122" s="301"/>
      <c r="AM122" s="303"/>
      <c r="AN122" s="317"/>
      <c r="AO122" s="301"/>
      <c r="AP122" s="303"/>
      <c r="AQ122" s="317"/>
      <c r="AR122" s="317"/>
      <c r="AS122" s="317"/>
      <c r="AT122" s="317"/>
      <c r="AU122" s="522"/>
      <c r="BA122" s="345"/>
      <c r="BB122" s="345"/>
    </row>
    <row r="123" spans="1:55">
      <c r="A123" s="297"/>
      <c r="B123" s="328"/>
      <c r="C123" s="328"/>
      <c r="D123" s="310"/>
      <c r="E123" s="328"/>
      <c r="F123" s="328"/>
      <c r="G123" s="310"/>
      <c r="H123" s="328"/>
      <c r="I123" s="328"/>
      <c r="J123" s="310"/>
      <c r="K123" s="328"/>
      <c r="L123" s="328"/>
      <c r="M123" s="310"/>
      <c r="N123" s="328"/>
      <c r="O123" s="328"/>
      <c r="P123" s="310"/>
      <c r="Q123" s="328"/>
      <c r="R123" s="328"/>
      <c r="S123" s="310"/>
      <c r="T123" s="328"/>
      <c r="U123" s="328"/>
      <c r="V123" s="310"/>
      <c r="W123" s="328"/>
      <c r="X123" s="328"/>
      <c r="Y123" s="309"/>
      <c r="Z123" s="328"/>
      <c r="AA123" s="328"/>
      <c r="AB123" s="327"/>
      <c r="AC123" s="328"/>
      <c r="AD123" s="328"/>
      <c r="AE123" s="309"/>
      <c r="AF123" s="328"/>
      <c r="AG123" s="328"/>
      <c r="AH123" s="317"/>
      <c r="AI123" s="328"/>
      <c r="AJ123" s="328"/>
      <c r="AL123" s="328"/>
      <c r="AM123" s="328"/>
      <c r="AO123" s="328"/>
      <c r="AP123" s="328"/>
      <c r="AQ123" s="317"/>
      <c r="AR123" s="317"/>
      <c r="AS123" s="317"/>
      <c r="AT123" s="317"/>
      <c r="AU123" s="522"/>
      <c r="AW123" s="291">
        <v>12</v>
      </c>
      <c r="AX123" s="291">
        <v>12</v>
      </c>
      <c r="AY123" s="291">
        <v>12</v>
      </c>
      <c r="AZ123" s="291">
        <v>12</v>
      </c>
      <c r="BA123" s="346">
        <f>SUM(D126:AB126)/1000</f>
        <v>3.0545</v>
      </c>
      <c r="BB123" s="346">
        <f>BA123</f>
        <v>3.0545</v>
      </c>
      <c r="BC123" s="515"/>
    </row>
    <row r="124" spans="1:55">
      <c r="A124" s="297"/>
      <c r="B124" s="746" t="s">
        <v>276</v>
      </c>
      <c r="C124" s="737"/>
      <c r="D124" s="310"/>
      <c r="E124" s="738" t="s">
        <v>277</v>
      </c>
      <c r="F124" s="739"/>
      <c r="G124" s="310"/>
      <c r="H124" s="739" t="s">
        <v>279</v>
      </c>
      <c r="I124" s="739"/>
      <c r="J124" s="310"/>
      <c r="K124" s="738" t="s">
        <v>280</v>
      </c>
      <c r="L124" s="739"/>
      <c r="M124" s="310"/>
      <c r="N124" s="738" t="s">
        <v>281</v>
      </c>
      <c r="O124" s="739"/>
      <c r="P124" s="310"/>
      <c r="Q124" s="738" t="s">
        <v>282</v>
      </c>
      <c r="R124" s="739"/>
      <c r="S124" s="310"/>
      <c r="T124" s="744" t="s">
        <v>283</v>
      </c>
      <c r="U124" s="739"/>
      <c r="V124" s="310"/>
      <c r="W124" s="744" t="s">
        <v>284</v>
      </c>
      <c r="X124" s="739"/>
      <c r="Y124" s="309"/>
      <c r="Z124" s="746" t="s">
        <v>285</v>
      </c>
      <c r="AA124" s="737"/>
      <c r="AB124" s="327"/>
      <c r="AC124" s="746" t="s">
        <v>665</v>
      </c>
      <c r="AD124" s="746"/>
      <c r="AE124" s="309"/>
      <c r="AF124" s="746" t="s">
        <v>288</v>
      </c>
      <c r="AG124" s="737"/>
      <c r="AH124" s="317"/>
      <c r="AI124" s="803" t="s">
        <v>290</v>
      </c>
      <c r="AJ124" s="693"/>
      <c r="AL124" s="693" t="s">
        <v>291</v>
      </c>
      <c r="AM124" s="693"/>
      <c r="AO124" s="693" t="s">
        <v>292</v>
      </c>
      <c r="AP124" s="693"/>
      <c r="AQ124" s="317"/>
      <c r="AR124" s="317"/>
      <c r="AS124" s="317"/>
      <c r="AT124" s="317"/>
      <c r="AU124" s="522"/>
      <c r="BA124" s="345"/>
      <c r="BB124" s="345"/>
    </row>
    <row r="125" spans="1:55">
      <c r="A125" s="297"/>
      <c r="B125" s="737" t="s">
        <v>56</v>
      </c>
      <c r="C125" s="737"/>
      <c r="D125" s="309"/>
      <c r="E125" s="737" t="s">
        <v>37</v>
      </c>
      <c r="F125" s="737"/>
      <c r="G125" s="309"/>
      <c r="H125" s="737" t="s">
        <v>76</v>
      </c>
      <c r="I125" s="737"/>
      <c r="J125" s="309"/>
      <c r="K125" s="737" t="s">
        <v>42</v>
      </c>
      <c r="L125" s="737"/>
      <c r="M125" s="309"/>
      <c r="N125" s="737" t="s">
        <v>42</v>
      </c>
      <c r="O125" s="737"/>
      <c r="P125" s="309"/>
      <c r="Q125" s="737" t="s">
        <v>42</v>
      </c>
      <c r="R125" s="737"/>
      <c r="S125" s="309"/>
      <c r="T125" s="737" t="s">
        <v>42</v>
      </c>
      <c r="U125" s="737"/>
      <c r="V125" s="309"/>
      <c r="W125" s="768" t="s">
        <v>42</v>
      </c>
      <c r="X125" s="737"/>
      <c r="Y125" s="309"/>
      <c r="Z125" s="737" t="s">
        <v>42</v>
      </c>
      <c r="AA125" s="737"/>
      <c r="AB125" s="309"/>
      <c r="AC125" s="737" t="s">
        <v>76</v>
      </c>
      <c r="AD125" s="737"/>
      <c r="AE125" s="309"/>
      <c r="AF125" s="737" t="s">
        <v>56</v>
      </c>
      <c r="AG125" s="737"/>
      <c r="AI125" s="803" t="s">
        <v>39</v>
      </c>
      <c r="AJ125" s="693"/>
      <c r="AL125" s="693" t="s">
        <v>42</v>
      </c>
      <c r="AM125" s="693"/>
      <c r="AO125" s="693" t="s">
        <v>42</v>
      </c>
      <c r="AP125" s="693"/>
      <c r="BA125" s="345"/>
      <c r="BB125" s="345"/>
    </row>
    <row r="126" spans="1:55">
      <c r="B126" s="308"/>
      <c r="C126" s="308"/>
      <c r="D126" s="309">
        <v>346</v>
      </c>
      <c r="E126" s="308"/>
      <c r="F126" s="308"/>
      <c r="G126" s="309">
        <v>375.6</v>
      </c>
      <c r="H126" s="308"/>
      <c r="I126" s="308"/>
      <c r="J126" s="309">
        <v>341.7</v>
      </c>
      <c r="K126" s="308"/>
      <c r="L126" s="308"/>
      <c r="M126" s="309">
        <v>321.5</v>
      </c>
      <c r="N126" s="308"/>
      <c r="O126" s="308"/>
      <c r="P126" s="309">
        <v>312.39999999999998</v>
      </c>
      <c r="Q126" s="308"/>
      <c r="R126" s="308"/>
      <c r="S126" s="309">
        <v>358.4</v>
      </c>
      <c r="T126" s="308"/>
      <c r="U126" s="308"/>
      <c r="V126" s="309">
        <v>319.2</v>
      </c>
      <c r="W126" s="320"/>
      <c r="X126" s="308"/>
      <c r="Y126" s="309">
        <v>342.4</v>
      </c>
      <c r="Z126" s="308"/>
      <c r="AA126" s="308"/>
      <c r="AB126" s="309">
        <v>337.3</v>
      </c>
      <c r="AC126" s="308"/>
      <c r="AD126" s="308"/>
      <c r="AE126" s="309">
        <v>371.8</v>
      </c>
      <c r="AF126" s="308"/>
      <c r="AG126" s="308"/>
      <c r="AH126" s="285">
        <v>371.5</v>
      </c>
      <c r="AI126" s="319"/>
      <c r="AJ126" s="294"/>
      <c r="AK126" s="285">
        <v>280</v>
      </c>
      <c r="AL126" s="476"/>
      <c r="AM126" s="476"/>
      <c r="AN126" s="477"/>
      <c r="AO126" s="476"/>
      <c r="AP126" s="476"/>
      <c r="AU126" s="521">
        <f>SUM(B126:AK126)</f>
        <v>4077.8</v>
      </c>
      <c r="BA126" s="343"/>
      <c r="BB126" s="343"/>
    </row>
    <row r="127" spans="1:55">
      <c r="B127" s="366" t="s">
        <v>569</v>
      </c>
      <c r="C127" s="366"/>
      <c r="D127" s="365"/>
      <c r="E127" s="366" t="s">
        <v>569</v>
      </c>
      <c r="F127" s="366"/>
      <c r="G127" s="365"/>
      <c r="H127" s="366" t="s">
        <v>569</v>
      </c>
      <c r="I127" s="366"/>
      <c r="J127" s="365"/>
      <c r="K127" s="366" t="s">
        <v>569</v>
      </c>
      <c r="L127" s="366"/>
      <c r="M127" s="365"/>
      <c r="N127" s="366" t="s">
        <v>569</v>
      </c>
      <c r="O127" s="366"/>
      <c r="P127" s="365"/>
      <c r="Q127" s="366" t="s">
        <v>569</v>
      </c>
      <c r="R127" s="366"/>
      <c r="S127" s="365"/>
      <c r="T127" s="366" t="s">
        <v>569</v>
      </c>
      <c r="U127" s="366"/>
      <c r="V127" s="365"/>
      <c r="W127" s="366" t="s">
        <v>569</v>
      </c>
      <c r="X127" s="366"/>
      <c r="Y127" s="365"/>
      <c r="Z127" s="366" t="s">
        <v>569</v>
      </c>
      <c r="AA127" s="366"/>
      <c r="AB127" s="365"/>
      <c r="AC127" s="366" t="s">
        <v>569</v>
      </c>
      <c r="AD127" s="366"/>
      <c r="AE127" s="365"/>
      <c r="AF127" s="366" t="s">
        <v>569</v>
      </c>
      <c r="AG127" s="366"/>
      <c r="AH127" s="368"/>
      <c r="AI127" s="366" t="s">
        <v>569</v>
      </c>
      <c r="AJ127" s="369"/>
      <c r="AK127" s="368"/>
      <c r="AL127" s="366" t="s">
        <v>569</v>
      </c>
      <c r="AM127" s="369"/>
      <c r="AN127" s="368"/>
      <c r="AO127" s="366" t="s">
        <v>569</v>
      </c>
      <c r="AP127" s="369"/>
      <c r="BA127" s="345"/>
      <c r="BB127" s="345"/>
    </row>
    <row r="128" spans="1:55">
      <c r="B128" s="311"/>
      <c r="C128" s="311"/>
      <c r="D128" s="309"/>
      <c r="E128" s="311"/>
      <c r="F128" s="311"/>
      <c r="G128" s="309"/>
      <c r="H128" s="311"/>
      <c r="I128" s="311"/>
      <c r="J128" s="309"/>
      <c r="K128" s="311"/>
      <c r="L128" s="311"/>
      <c r="M128" s="309"/>
      <c r="N128" s="311"/>
      <c r="O128" s="311"/>
      <c r="P128" s="309"/>
      <c r="Q128" s="311"/>
      <c r="R128" s="311"/>
      <c r="S128" s="309"/>
      <c r="T128" s="311"/>
      <c r="U128" s="311"/>
      <c r="V128" s="309"/>
      <c r="W128" s="311"/>
      <c r="X128" s="311"/>
      <c r="Y128" s="309"/>
      <c r="Z128" s="311"/>
      <c r="AA128" s="311"/>
      <c r="AB128" s="309"/>
      <c r="AC128" s="311"/>
      <c r="AD128" s="311"/>
      <c r="AE128" s="309"/>
      <c r="AF128" s="311"/>
      <c r="AG128" s="311"/>
      <c r="AH128" s="309"/>
      <c r="BA128" s="345"/>
      <c r="BB128" s="345"/>
    </row>
    <row r="129" spans="2:55">
      <c r="B129" s="311"/>
      <c r="C129" s="311"/>
      <c r="D129" s="309"/>
      <c r="E129" s="311"/>
      <c r="F129" s="311"/>
      <c r="G129" s="309"/>
      <c r="H129" s="311"/>
      <c r="I129" s="311"/>
      <c r="J129" s="309"/>
      <c r="K129" s="311"/>
      <c r="L129" s="311"/>
      <c r="M129" s="309"/>
      <c r="N129" s="311"/>
      <c r="O129" s="311"/>
      <c r="P129" s="309"/>
      <c r="Q129" s="311"/>
      <c r="R129" s="311"/>
      <c r="S129" s="309"/>
      <c r="T129" s="311"/>
      <c r="U129" s="311"/>
      <c r="V129" s="309"/>
      <c r="W129" s="311"/>
      <c r="X129" s="311"/>
      <c r="Y129" s="309"/>
      <c r="Z129" s="311"/>
      <c r="AA129" s="311"/>
      <c r="AC129" s="311"/>
      <c r="AD129" s="311"/>
      <c r="AE129" s="309"/>
      <c r="AF129" s="311"/>
      <c r="AG129" s="311"/>
      <c r="BA129" s="345"/>
      <c r="BB129" s="345"/>
    </row>
    <row r="130" spans="2:55">
      <c r="B130" s="737"/>
      <c r="C130" s="737"/>
      <c r="D130" s="309"/>
      <c r="E130" s="737"/>
      <c r="F130" s="737"/>
      <c r="G130" s="309"/>
      <c r="H130" s="737"/>
      <c r="I130" s="737"/>
      <c r="J130" s="309"/>
      <c r="K130" s="737"/>
      <c r="L130" s="737"/>
      <c r="M130" s="309"/>
      <c r="N130" s="737"/>
      <c r="O130" s="737"/>
      <c r="P130" s="309"/>
      <c r="Q130" s="737"/>
      <c r="R130" s="737"/>
      <c r="S130" s="309"/>
      <c r="T130" s="737"/>
      <c r="U130" s="737"/>
      <c r="V130" s="309"/>
      <c r="W130" s="737"/>
      <c r="X130" s="737"/>
      <c r="Y130" s="309"/>
      <c r="Z130" s="737"/>
      <c r="AA130" s="737"/>
      <c r="AB130" s="309"/>
      <c r="AC130" s="737"/>
      <c r="AD130" s="737"/>
      <c r="AE130" s="756"/>
      <c r="AF130" s="756"/>
      <c r="AG130" s="756"/>
      <c r="AH130" s="756"/>
      <c r="AI130" s="693"/>
      <c r="AJ130" s="693"/>
      <c r="AL130" s="693"/>
      <c r="AM130" s="693"/>
      <c r="AO130" s="693"/>
      <c r="AP130" s="693"/>
      <c r="BA130" s="345"/>
      <c r="BB130" s="345"/>
    </row>
    <row r="131" spans="2:55">
      <c r="B131" s="313"/>
      <c r="C131" s="313"/>
      <c r="D131" s="310"/>
      <c r="E131" s="328"/>
      <c r="F131" s="313"/>
      <c r="G131" s="311"/>
      <c r="H131" s="328"/>
      <c r="I131" s="313"/>
      <c r="J131" s="310"/>
      <c r="K131" s="372"/>
      <c r="L131" s="314"/>
      <c r="M131" s="310"/>
      <c r="N131" s="311"/>
      <c r="O131" s="311"/>
      <c r="P131" s="310"/>
      <c r="Q131" s="312"/>
      <c r="R131" s="311"/>
      <c r="S131" s="310"/>
      <c r="T131" s="311"/>
      <c r="U131" s="311"/>
      <c r="V131" s="310"/>
      <c r="W131" s="311"/>
      <c r="X131" s="311"/>
      <c r="Y131" s="310"/>
      <c r="Z131" s="311"/>
      <c r="AA131" s="311"/>
      <c r="AB131" s="311"/>
      <c r="AC131" s="311"/>
      <c r="AD131" s="311"/>
      <c r="AE131" s="310"/>
      <c r="AF131" s="311"/>
      <c r="AG131" s="311"/>
      <c r="AH131" s="317"/>
      <c r="AI131" s="311"/>
      <c r="AJ131" s="311"/>
      <c r="AK131" s="317"/>
      <c r="AL131" s="311"/>
      <c r="AM131" s="311"/>
      <c r="AN131" s="317"/>
      <c r="AO131" s="311"/>
      <c r="AP131" s="311"/>
      <c r="AQ131" s="317"/>
      <c r="AR131" s="317"/>
      <c r="AS131" s="317"/>
      <c r="AT131" s="317"/>
      <c r="AU131" s="522"/>
      <c r="BA131" s="345"/>
      <c r="BB131" s="345"/>
    </row>
    <row r="132" spans="2:55">
      <c r="B132" s="313"/>
      <c r="C132" s="313"/>
      <c r="D132" s="310"/>
      <c r="E132" s="328"/>
      <c r="F132" s="313"/>
      <c r="G132" s="311"/>
      <c r="H132" s="328"/>
      <c r="I132" s="313"/>
      <c r="J132" s="310"/>
      <c r="K132" s="372"/>
      <c r="L132" s="314"/>
      <c r="M132" s="310"/>
      <c r="N132" s="323"/>
      <c r="O132" s="322"/>
      <c r="P132" s="310"/>
      <c r="Q132" s="323"/>
      <c r="R132" s="322"/>
      <c r="S132" s="310"/>
      <c r="T132" s="323"/>
      <c r="U132" s="322"/>
      <c r="V132" s="310"/>
      <c r="W132" s="312"/>
      <c r="X132" s="311"/>
      <c r="Y132" s="309"/>
      <c r="Z132" s="312"/>
      <c r="AA132" s="311"/>
      <c r="AB132" s="311"/>
      <c r="AC132" s="312"/>
      <c r="AD132" s="311"/>
      <c r="AE132" s="309"/>
      <c r="AF132" s="312"/>
      <c r="AG132" s="311"/>
      <c r="AI132" s="312"/>
      <c r="AJ132" s="311"/>
      <c r="AL132" s="312"/>
      <c r="AM132" s="311"/>
      <c r="AO132" s="312"/>
      <c r="AP132" s="311"/>
      <c r="AW132" s="291">
        <v>3</v>
      </c>
      <c r="AX132" s="291">
        <v>2</v>
      </c>
      <c r="AY132" s="291">
        <v>2</v>
      </c>
      <c r="AZ132" s="291"/>
      <c r="BA132" s="347"/>
      <c r="BB132" s="347"/>
    </row>
    <row r="133" spans="2:55">
      <c r="B133" s="739" t="s">
        <v>294</v>
      </c>
      <c r="C133" s="739"/>
      <c r="D133" s="310"/>
      <c r="E133" s="800" t="s">
        <v>695</v>
      </c>
      <c r="F133" s="800"/>
      <c r="G133" s="373"/>
      <c r="H133" s="800" t="s">
        <v>295</v>
      </c>
      <c r="I133" s="800"/>
      <c r="J133" s="310"/>
      <c r="K133" s="801" t="s">
        <v>696</v>
      </c>
      <c r="L133" s="801"/>
      <c r="M133" s="310"/>
      <c r="N133" s="323"/>
      <c r="O133" s="322"/>
      <c r="P133" s="310"/>
      <c r="Q133" s="323"/>
      <c r="R133" s="322"/>
      <c r="S133" s="310"/>
      <c r="T133" s="323"/>
      <c r="U133" s="322"/>
      <c r="V133" s="310"/>
      <c r="W133" s="312"/>
      <c r="X133" s="311"/>
      <c r="Y133" s="309"/>
      <c r="Z133" s="312"/>
      <c r="AA133" s="311"/>
      <c r="AB133" s="311"/>
      <c r="AC133" s="312"/>
      <c r="AD133" s="311"/>
      <c r="AE133" s="309"/>
      <c r="AF133" s="312"/>
      <c r="AG133" s="311"/>
      <c r="AI133" s="312"/>
      <c r="AJ133" s="311"/>
      <c r="AL133" s="312"/>
      <c r="AM133" s="311"/>
      <c r="AO133" s="312"/>
      <c r="AP133" s="311"/>
      <c r="AW133" s="285"/>
      <c r="AX133" s="285"/>
      <c r="AY133" s="285"/>
      <c r="AZ133" s="285"/>
      <c r="BA133" s="285"/>
    </row>
    <row r="134" spans="2:55">
      <c r="B134" s="737" t="s">
        <v>81</v>
      </c>
      <c r="C134" s="737"/>
      <c r="D134" s="310"/>
      <c r="E134" s="802" t="s">
        <v>260</v>
      </c>
      <c r="F134" s="802"/>
      <c r="G134" s="311"/>
      <c r="H134" s="802" t="s">
        <v>260</v>
      </c>
      <c r="I134" s="802"/>
      <c r="J134" s="310"/>
      <c r="K134" s="802" t="s">
        <v>260</v>
      </c>
      <c r="L134" s="802"/>
      <c r="M134" s="310"/>
      <c r="N134" s="323"/>
      <c r="O134" s="322"/>
      <c r="P134" s="310"/>
      <c r="Q134" s="323"/>
      <c r="R134" s="322"/>
      <c r="S134" s="310"/>
      <c r="T134" s="323"/>
      <c r="U134" s="322"/>
      <c r="V134" s="310"/>
      <c r="W134" s="312"/>
      <c r="X134" s="311"/>
      <c r="Y134" s="309"/>
      <c r="Z134" s="312"/>
      <c r="AA134" s="311"/>
      <c r="AB134" s="311"/>
      <c r="AC134" s="312"/>
      <c r="AD134" s="311"/>
      <c r="AE134" s="309"/>
      <c r="AF134" s="312"/>
      <c r="AG134" s="311"/>
      <c r="AI134" s="312"/>
      <c r="AJ134" s="311"/>
      <c r="AL134" s="312"/>
      <c r="AM134" s="311"/>
      <c r="AO134" s="312"/>
      <c r="AP134" s="311"/>
      <c r="AW134" s="285"/>
      <c r="AX134" s="285"/>
      <c r="AY134" s="285"/>
      <c r="AZ134" s="285"/>
      <c r="BA134" s="285"/>
    </row>
    <row r="135" spans="2:55">
      <c r="B135" s="308"/>
      <c r="C135" s="308"/>
      <c r="D135" s="309">
        <v>373.16</v>
      </c>
      <c r="E135" s="308"/>
      <c r="F135" s="308">
        <v>159.04</v>
      </c>
      <c r="G135" s="309"/>
      <c r="H135" s="308">
        <v>236.01</v>
      </c>
      <c r="I135" s="308"/>
      <c r="J135" s="309">
        <v>49.95</v>
      </c>
      <c r="K135" s="308"/>
      <c r="L135" s="308"/>
      <c r="M135" s="309"/>
      <c r="N135" s="323"/>
      <c r="O135" s="322"/>
      <c r="P135" s="310"/>
      <c r="Q135" s="323"/>
      <c r="R135" s="322"/>
      <c r="S135" s="310"/>
      <c r="T135" s="323"/>
      <c r="U135" s="322"/>
      <c r="V135" s="310"/>
      <c r="W135" s="312"/>
      <c r="X135" s="311"/>
      <c r="Y135" s="309"/>
      <c r="Z135" s="312"/>
      <c r="AA135" s="311"/>
      <c r="AB135" s="311"/>
      <c r="AC135" s="312"/>
      <c r="AD135" s="311"/>
      <c r="AE135" s="309"/>
      <c r="AF135" s="312"/>
      <c r="AG135" s="311"/>
      <c r="AI135" s="312"/>
      <c r="AJ135" s="311"/>
      <c r="AL135" s="312"/>
      <c r="AM135" s="311"/>
      <c r="AO135" s="312"/>
      <c r="AP135" s="311"/>
      <c r="AU135" s="521">
        <f>SUM(B135:L135)</f>
        <v>818.16000000000008</v>
      </c>
      <c r="AW135" s="285"/>
      <c r="AX135" s="285"/>
      <c r="AY135" s="285"/>
      <c r="AZ135" s="285"/>
      <c r="BA135" s="285"/>
    </row>
    <row r="136" spans="2:55" ht="16.5" thickBot="1">
      <c r="B136" s="370" t="s">
        <v>569</v>
      </c>
      <c r="C136" s="370"/>
      <c r="D136" s="371"/>
      <c r="E136" s="370" t="s">
        <v>569</v>
      </c>
      <c r="F136" s="374"/>
      <c r="G136" s="371"/>
      <c r="H136" s="370" t="s">
        <v>569</v>
      </c>
      <c r="I136" s="370"/>
      <c r="J136" s="371"/>
      <c r="K136" s="370" t="s">
        <v>569</v>
      </c>
      <c r="L136" s="374"/>
      <c r="M136" s="309"/>
      <c r="N136" s="318"/>
      <c r="O136" s="318"/>
      <c r="P136" s="321"/>
      <c r="Q136" s="318"/>
      <c r="R136" s="318"/>
      <c r="S136" s="321"/>
      <c r="T136" s="318"/>
      <c r="U136" s="318"/>
      <c r="V136" s="321"/>
      <c r="W136" s="320"/>
      <c r="X136" s="308"/>
      <c r="Y136" s="309"/>
      <c r="Z136" s="308"/>
      <c r="AA136" s="308"/>
      <c r="AB136" s="309"/>
      <c r="AC136" s="308"/>
      <c r="AD136" s="308"/>
      <c r="AE136" s="309"/>
      <c r="AF136" s="308"/>
      <c r="AG136" s="308"/>
      <c r="AI136" s="319"/>
      <c r="AJ136" s="294"/>
      <c r="AL136" s="294"/>
      <c r="AM136" s="294"/>
      <c r="AO136" s="294"/>
      <c r="AP136" s="294"/>
      <c r="AU136" s="523">
        <f>SUM(AU3:AU135)/1000</f>
        <v>64.033460000000005</v>
      </c>
    </row>
    <row r="137" spans="2:55" ht="15" customHeight="1" thickBot="1">
      <c r="B137" s="781" t="s">
        <v>628</v>
      </c>
      <c r="C137" s="782"/>
      <c r="D137" s="779"/>
      <c r="E137" s="779"/>
      <c r="F137" s="779"/>
      <c r="G137" s="779"/>
      <c r="H137" s="779"/>
      <c r="I137" s="779"/>
      <c r="J137" s="779"/>
      <c r="K137" s="779"/>
      <c r="L137" s="780"/>
      <c r="M137" s="307"/>
      <c r="N137" s="778" t="s">
        <v>629</v>
      </c>
      <c r="O137" s="779"/>
      <c r="P137" s="779"/>
      <c r="Q137" s="779"/>
      <c r="R137" s="779"/>
      <c r="S137" s="779"/>
      <c r="T137" s="779"/>
      <c r="U137" s="779"/>
      <c r="V137" s="780"/>
      <c r="W137" s="715" t="s">
        <v>666</v>
      </c>
      <c r="X137" s="716"/>
      <c r="Y137" s="716"/>
      <c r="Z137" s="716"/>
      <c r="AA137" s="716"/>
      <c r="AB137" s="716"/>
      <c r="AC137" s="716"/>
      <c r="AD137" s="716"/>
      <c r="AE137" s="716"/>
      <c r="AF137" s="716"/>
      <c r="AG137" s="716"/>
      <c r="AH137" s="716"/>
      <c r="AI137" s="716"/>
      <c r="AJ137" s="716"/>
      <c r="AK137" s="716"/>
      <c r="AL137" s="716"/>
      <c r="AM137" s="716"/>
      <c r="AN137" s="758"/>
      <c r="AO137" s="758"/>
      <c r="AP137" s="758"/>
      <c r="AQ137" s="759"/>
      <c r="AR137" s="759"/>
      <c r="AS137" s="759"/>
      <c r="AT137" s="759"/>
      <c r="AU137" s="760"/>
      <c r="AW137" s="291">
        <f t="shared" ref="AW137:BA137" si="0">SUM(AW4:AW132)</f>
        <v>198</v>
      </c>
      <c r="AX137" s="291">
        <f t="shared" si="0"/>
        <v>197</v>
      </c>
      <c r="AY137" s="291">
        <f t="shared" si="0"/>
        <v>197</v>
      </c>
      <c r="AZ137" s="291">
        <f t="shared" si="0"/>
        <v>194</v>
      </c>
      <c r="BA137" s="517">
        <f t="shared" si="0"/>
        <v>61.141999999999996</v>
      </c>
      <c r="BB137" s="291">
        <f>SUM(BB4:BB132)</f>
        <v>61.141999999999996</v>
      </c>
      <c r="BC137" s="516">
        <v>54</v>
      </c>
    </row>
    <row r="138" spans="2:55" ht="15" customHeight="1">
      <c r="B138" s="297"/>
      <c r="O138" s="306"/>
      <c r="P138" s="305"/>
      <c r="V138" s="290"/>
      <c r="W138" s="717"/>
      <c r="X138" s="718"/>
      <c r="Y138" s="718"/>
      <c r="Z138" s="718"/>
      <c r="AA138" s="718"/>
      <c r="AB138" s="718"/>
      <c r="AC138" s="718"/>
      <c r="AD138" s="718"/>
      <c r="AE138" s="718"/>
      <c r="AF138" s="718"/>
      <c r="AG138" s="718"/>
      <c r="AH138" s="718"/>
      <c r="AI138" s="718"/>
      <c r="AJ138" s="718"/>
      <c r="AK138" s="718"/>
      <c r="AL138" s="718"/>
      <c r="AM138" s="718"/>
      <c r="AN138" s="761"/>
      <c r="AO138" s="761"/>
      <c r="AP138" s="761"/>
      <c r="AQ138" s="762"/>
      <c r="AR138" s="762"/>
      <c r="AS138" s="762"/>
      <c r="AT138" s="762"/>
      <c r="AU138" s="763"/>
    </row>
    <row r="139" spans="2:55">
      <c r="B139" s="785" t="s">
        <v>471</v>
      </c>
      <c r="C139" s="786"/>
      <c r="D139" s="787"/>
      <c r="F139" s="725" t="s">
        <v>631</v>
      </c>
      <c r="G139" s="725"/>
      <c r="I139" s="726" t="s">
        <v>632</v>
      </c>
      <c r="J139" s="726"/>
      <c r="N139" s="728" t="s">
        <v>633</v>
      </c>
      <c r="O139" s="728"/>
      <c r="P139" s="701"/>
      <c r="R139" s="703" t="s">
        <v>634</v>
      </c>
      <c r="S139" s="704"/>
      <c r="T139" s="709"/>
      <c r="U139" s="710"/>
      <c r="V139" s="290"/>
      <c r="W139" s="742" t="s">
        <v>2</v>
      </c>
      <c r="X139" s="743"/>
      <c r="Y139" s="732" t="s">
        <v>356</v>
      </c>
      <c r="Z139" s="732"/>
      <c r="AA139" s="732"/>
      <c r="AB139" s="732"/>
      <c r="AC139" s="732" t="s">
        <v>635</v>
      </c>
      <c r="AD139" s="732"/>
      <c r="AE139" s="732" t="s">
        <v>636</v>
      </c>
      <c r="AF139" s="732"/>
      <c r="AG139" s="732"/>
      <c r="AH139" s="732" t="s">
        <v>32</v>
      </c>
      <c r="AI139" s="732"/>
      <c r="AJ139" s="732"/>
      <c r="AK139" s="732" t="s">
        <v>372</v>
      </c>
      <c r="AL139" s="732"/>
      <c r="AM139" s="732"/>
      <c r="AN139" s="732" t="s">
        <v>15</v>
      </c>
      <c r="AO139" s="732"/>
      <c r="AP139" s="732"/>
      <c r="AQ139" s="740"/>
      <c r="AR139" s="740"/>
      <c r="AS139" s="740"/>
      <c r="AT139" s="740"/>
      <c r="AU139" s="741"/>
    </row>
    <row r="140" spans="2:55">
      <c r="B140" s="297"/>
      <c r="N140" s="728"/>
      <c r="O140" s="728"/>
      <c r="P140" s="701"/>
      <c r="R140" s="705"/>
      <c r="S140" s="706"/>
      <c r="T140" s="711"/>
      <c r="U140" s="712"/>
      <c r="V140" s="290"/>
      <c r="W140" s="735">
        <v>1</v>
      </c>
      <c r="X140" s="736"/>
      <c r="Y140" s="719" t="s">
        <v>376</v>
      </c>
      <c r="Z140" s="719"/>
      <c r="AA140" s="719"/>
      <c r="AB140" s="719"/>
      <c r="AC140" s="699" t="s">
        <v>377</v>
      </c>
      <c r="AD140" s="699"/>
      <c r="AE140" s="698">
        <f>AU136</f>
        <v>64.033460000000005</v>
      </c>
      <c r="AF140" s="699"/>
      <c r="AG140" s="699"/>
      <c r="AH140" s="698">
        <f>AU136</f>
        <v>64.033460000000005</v>
      </c>
      <c r="AI140" s="699"/>
      <c r="AJ140" s="699"/>
      <c r="AK140" s="698">
        <f>AE140-AH140</f>
        <v>0</v>
      </c>
      <c r="AL140" s="698"/>
      <c r="AM140" s="698"/>
      <c r="AN140" s="699"/>
      <c r="AO140" s="699"/>
      <c r="AP140" s="699"/>
      <c r="AQ140" s="733"/>
      <c r="AR140" s="733"/>
      <c r="AS140" s="733"/>
      <c r="AT140" s="733"/>
      <c r="AU140" s="734"/>
    </row>
    <row r="141" spans="2:55">
      <c r="B141" s="788" t="s">
        <v>469</v>
      </c>
      <c r="C141" s="789"/>
      <c r="D141" s="790"/>
      <c r="N141" s="728" t="s">
        <v>637</v>
      </c>
      <c r="O141" s="728"/>
      <c r="P141" s="701"/>
      <c r="R141" s="705"/>
      <c r="S141" s="706"/>
      <c r="T141" s="711"/>
      <c r="U141" s="712"/>
      <c r="V141" s="290"/>
      <c r="W141" s="735">
        <v>2</v>
      </c>
      <c r="X141" s="736"/>
      <c r="Y141" s="719" t="s">
        <v>378</v>
      </c>
      <c r="Z141" s="719"/>
      <c r="AA141" s="719"/>
      <c r="AB141" s="719"/>
      <c r="AC141" s="699" t="s">
        <v>377</v>
      </c>
      <c r="AD141" s="699"/>
      <c r="AE141" s="698">
        <f>AU136</f>
        <v>64.033460000000005</v>
      </c>
      <c r="AF141" s="699"/>
      <c r="AG141" s="699"/>
      <c r="AH141" s="698">
        <f>AU136</f>
        <v>64.033460000000005</v>
      </c>
      <c r="AI141" s="699"/>
      <c r="AJ141" s="699"/>
      <c r="AK141" s="698">
        <f t="shared" ref="AK141:AK148" si="1">AE141-AH141</f>
        <v>0</v>
      </c>
      <c r="AL141" s="698"/>
      <c r="AM141" s="698"/>
      <c r="AN141" s="699"/>
      <c r="AO141" s="699"/>
      <c r="AP141" s="699"/>
      <c r="AQ141" s="733"/>
      <c r="AR141" s="733"/>
      <c r="AS141" s="733"/>
      <c r="AT141" s="733"/>
      <c r="AU141" s="734"/>
    </row>
    <row r="142" spans="2:55">
      <c r="B142" s="297"/>
      <c r="F142" s="285"/>
      <c r="G142" s="284"/>
      <c r="N142" s="728"/>
      <c r="O142" s="728"/>
      <c r="P142" s="701"/>
      <c r="R142" s="707"/>
      <c r="S142" s="708"/>
      <c r="T142" s="713"/>
      <c r="U142" s="714"/>
      <c r="V142" s="290"/>
      <c r="W142" s="735">
        <v>3</v>
      </c>
      <c r="X142" s="736"/>
      <c r="Y142" s="719" t="s">
        <v>379</v>
      </c>
      <c r="Z142" s="719"/>
      <c r="AA142" s="719"/>
      <c r="AB142" s="719"/>
      <c r="AC142" s="699" t="s">
        <v>638</v>
      </c>
      <c r="AD142" s="699"/>
      <c r="AE142" s="699">
        <v>199</v>
      </c>
      <c r="AF142" s="699"/>
      <c r="AG142" s="699"/>
      <c r="AH142" s="699">
        <f>+AW137</f>
        <v>198</v>
      </c>
      <c r="AI142" s="699"/>
      <c r="AJ142" s="699"/>
      <c r="AK142" s="698">
        <f t="shared" si="1"/>
        <v>1</v>
      </c>
      <c r="AL142" s="698"/>
      <c r="AM142" s="698"/>
      <c r="AN142" s="699"/>
      <c r="AO142" s="699"/>
      <c r="AP142" s="699"/>
      <c r="AQ142" s="733"/>
      <c r="AR142" s="733"/>
      <c r="AS142" s="733"/>
      <c r="AT142" s="733"/>
      <c r="AU142" s="734"/>
    </row>
    <row r="143" spans="2:55">
      <c r="B143" s="297"/>
      <c r="E143" s="731"/>
      <c r="F143" s="731"/>
      <c r="H143" s="730"/>
      <c r="I143" s="730"/>
      <c r="K143" s="731"/>
      <c r="L143" s="731"/>
      <c r="N143" s="728" t="s">
        <v>639</v>
      </c>
      <c r="O143" s="728"/>
      <c r="P143" s="701"/>
      <c r="R143" s="703" t="s">
        <v>452</v>
      </c>
      <c r="S143" s="704"/>
      <c r="T143" s="709"/>
      <c r="U143" s="710"/>
      <c r="V143" s="290"/>
      <c r="W143" s="735">
        <v>4</v>
      </c>
      <c r="X143" s="736"/>
      <c r="Y143" s="719" t="s">
        <v>381</v>
      </c>
      <c r="Z143" s="719"/>
      <c r="AA143" s="719"/>
      <c r="AB143" s="719"/>
      <c r="AC143" s="699" t="s">
        <v>638</v>
      </c>
      <c r="AD143" s="699"/>
      <c r="AE143" s="699">
        <v>199</v>
      </c>
      <c r="AF143" s="699"/>
      <c r="AG143" s="699"/>
      <c r="AH143" s="699">
        <f>AX137</f>
        <v>197</v>
      </c>
      <c r="AI143" s="699"/>
      <c r="AJ143" s="699"/>
      <c r="AK143" s="698">
        <f t="shared" si="1"/>
        <v>2</v>
      </c>
      <c r="AL143" s="698"/>
      <c r="AM143" s="698"/>
      <c r="AN143" s="699"/>
      <c r="AO143" s="699"/>
      <c r="AP143" s="699"/>
      <c r="AQ143" s="733"/>
      <c r="AR143" s="733"/>
      <c r="AS143" s="733"/>
      <c r="AT143" s="733"/>
      <c r="AU143" s="734"/>
    </row>
    <row r="144" spans="2:55">
      <c r="B144" s="296"/>
      <c r="C144" s="295"/>
      <c r="D144" s="304"/>
      <c r="E144" s="301"/>
      <c r="F144" s="303"/>
      <c r="G144" s="292"/>
      <c r="H144" s="299"/>
      <c r="I144" s="299"/>
      <c r="J144" s="302"/>
      <c r="K144" s="300"/>
      <c r="L144" s="299"/>
      <c r="M144" s="292"/>
      <c r="N144" s="728"/>
      <c r="O144" s="728"/>
      <c r="P144" s="701"/>
      <c r="R144" s="705"/>
      <c r="S144" s="706"/>
      <c r="T144" s="711"/>
      <c r="U144" s="712"/>
      <c r="V144" s="290"/>
      <c r="W144" s="735">
        <v>5</v>
      </c>
      <c r="X144" s="736"/>
      <c r="Y144" s="719" t="s">
        <v>469</v>
      </c>
      <c r="Z144" s="719"/>
      <c r="AA144" s="719"/>
      <c r="AB144" s="719"/>
      <c r="AC144" s="699" t="s">
        <v>638</v>
      </c>
      <c r="AD144" s="699"/>
      <c r="AE144" s="699">
        <v>199</v>
      </c>
      <c r="AF144" s="699"/>
      <c r="AG144" s="699"/>
      <c r="AH144" s="698">
        <f>AY137</f>
        <v>197</v>
      </c>
      <c r="AI144" s="699"/>
      <c r="AJ144" s="699"/>
      <c r="AK144" s="698">
        <f t="shared" si="1"/>
        <v>2</v>
      </c>
      <c r="AL144" s="698"/>
      <c r="AM144" s="698"/>
      <c r="AN144" s="699"/>
      <c r="AO144" s="699"/>
      <c r="AP144" s="699"/>
      <c r="AQ144" s="733"/>
      <c r="AR144" s="733"/>
      <c r="AS144" s="733"/>
      <c r="AT144" s="733"/>
      <c r="AU144" s="734"/>
    </row>
    <row r="145" spans="2:47">
      <c r="B145" s="791" t="s">
        <v>379</v>
      </c>
      <c r="C145" s="792"/>
      <c r="D145" s="793"/>
      <c r="E145" s="301"/>
      <c r="F145" s="301"/>
      <c r="G145" s="292"/>
      <c r="H145" s="299"/>
      <c r="I145" s="299"/>
      <c r="K145" s="300"/>
      <c r="L145" s="299"/>
      <c r="M145" s="292"/>
      <c r="N145" s="728" t="s">
        <v>640</v>
      </c>
      <c r="O145" s="728"/>
      <c r="P145" s="701"/>
      <c r="R145" s="705"/>
      <c r="S145" s="706"/>
      <c r="T145" s="711"/>
      <c r="U145" s="712"/>
      <c r="V145" s="290"/>
      <c r="W145" s="735">
        <v>6</v>
      </c>
      <c r="X145" s="736"/>
      <c r="Y145" s="719" t="s">
        <v>641</v>
      </c>
      <c r="Z145" s="719"/>
      <c r="AA145" s="719"/>
      <c r="AB145" s="719"/>
      <c r="AC145" s="699" t="s">
        <v>638</v>
      </c>
      <c r="AD145" s="699"/>
      <c r="AE145" s="699">
        <v>199</v>
      </c>
      <c r="AF145" s="699"/>
      <c r="AG145" s="699"/>
      <c r="AH145" s="698">
        <f>AZ137</f>
        <v>194</v>
      </c>
      <c r="AI145" s="699"/>
      <c r="AJ145" s="699"/>
      <c r="AK145" s="698">
        <f t="shared" si="1"/>
        <v>5</v>
      </c>
      <c r="AL145" s="698"/>
      <c r="AM145" s="698"/>
      <c r="AN145" s="699"/>
      <c r="AO145" s="699"/>
      <c r="AP145" s="699"/>
      <c r="AQ145" s="733"/>
      <c r="AR145" s="733"/>
      <c r="AS145" s="733"/>
      <c r="AT145" s="733"/>
      <c r="AU145" s="734"/>
    </row>
    <row r="146" spans="2:47">
      <c r="B146" s="296" t="s">
        <v>642</v>
      </c>
      <c r="C146" s="295"/>
      <c r="E146" s="770" t="s">
        <v>38</v>
      </c>
      <c r="F146" s="770"/>
      <c r="G146" s="298">
        <v>293</v>
      </c>
      <c r="H146" s="797" t="s">
        <v>41</v>
      </c>
      <c r="I146" s="770"/>
      <c r="J146" s="293">
        <v>391</v>
      </c>
      <c r="K146" s="798" t="s">
        <v>45</v>
      </c>
      <c r="L146" s="799"/>
      <c r="M146" s="292"/>
      <c r="N146" s="728"/>
      <c r="O146" s="728"/>
      <c r="P146" s="701"/>
      <c r="R146" s="707"/>
      <c r="S146" s="708"/>
      <c r="T146" s="713"/>
      <c r="U146" s="714"/>
      <c r="V146" s="290"/>
      <c r="W146" s="735">
        <v>7</v>
      </c>
      <c r="X146" s="736"/>
      <c r="Y146" s="719" t="s">
        <v>643</v>
      </c>
      <c r="Z146" s="719"/>
      <c r="AA146" s="719"/>
      <c r="AB146" s="719"/>
      <c r="AC146" s="699" t="s">
        <v>377</v>
      </c>
      <c r="AD146" s="699"/>
      <c r="AE146" s="698">
        <f>AU136</f>
        <v>64.033460000000005</v>
      </c>
      <c r="AF146" s="699"/>
      <c r="AG146" s="699"/>
      <c r="AH146" s="720">
        <f>BA137</f>
        <v>61.141999999999996</v>
      </c>
      <c r="AI146" s="720"/>
      <c r="AJ146" s="720"/>
      <c r="AK146" s="720">
        <f t="shared" si="1"/>
        <v>2.8914600000000092</v>
      </c>
      <c r="AL146" s="720"/>
      <c r="AM146" s="720"/>
      <c r="AN146" s="719"/>
      <c r="AO146" s="719"/>
      <c r="AP146" s="719"/>
      <c r="AQ146" s="723"/>
      <c r="AR146" s="723"/>
      <c r="AS146" s="723"/>
      <c r="AT146" s="723"/>
      <c r="AU146" s="724"/>
    </row>
    <row r="147" spans="2:47">
      <c r="B147" s="296" t="s">
        <v>399</v>
      </c>
      <c r="C147" s="295"/>
      <c r="E147" s="693" t="s">
        <v>39</v>
      </c>
      <c r="F147" s="693"/>
      <c r="H147" s="693" t="s">
        <v>37</v>
      </c>
      <c r="I147" s="693"/>
      <c r="J147" s="293"/>
      <c r="K147" s="795" t="s">
        <v>46</v>
      </c>
      <c r="L147" s="796"/>
      <c r="M147" s="292"/>
      <c r="N147" s="728" t="s">
        <v>667</v>
      </c>
      <c r="O147" s="728"/>
      <c r="P147" s="701"/>
      <c r="R147" s="776" t="s">
        <v>668</v>
      </c>
      <c r="S147" s="776"/>
      <c r="T147" s="783"/>
      <c r="U147" s="783"/>
      <c r="V147" s="290"/>
      <c r="W147" s="735">
        <v>8</v>
      </c>
      <c r="X147" s="736"/>
      <c r="Y147" s="719" t="s">
        <v>669</v>
      </c>
      <c r="Z147" s="719"/>
      <c r="AA147" s="719"/>
      <c r="AB147" s="719"/>
      <c r="AC147" s="699" t="s">
        <v>377</v>
      </c>
      <c r="AD147" s="699"/>
      <c r="AE147" s="698">
        <f>AU136</f>
        <v>64.033460000000005</v>
      </c>
      <c r="AF147" s="699"/>
      <c r="AG147" s="699"/>
      <c r="AH147" s="720">
        <f>BB137</f>
        <v>61.141999999999996</v>
      </c>
      <c r="AI147" s="720"/>
      <c r="AJ147" s="720"/>
      <c r="AK147" s="720">
        <f t="shared" si="1"/>
        <v>2.8914600000000092</v>
      </c>
      <c r="AL147" s="720"/>
      <c r="AM147" s="720"/>
      <c r="AN147" s="699"/>
      <c r="AO147" s="699"/>
      <c r="AP147" s="699"/>
      <c r="AQ147" s="733"/>
      <c r="AR147" s="733"/>
      <c r="AS147" s="733"/>
      <c r="AT147" s="733"/>
      <c r="AU147" s="734"/>
    </row>
    <row r="148" spans="2:47" ht="15.75" thickBot="1">
      <c r="B148" s="289"/>
      <c r="C148" s="288"/>
      <c r="D148" s="287"/>
      <c r="E148" s="288"/>
      <c r="F148" s="794" t="s">
        <v>381</v>
      </c>
      <c r="G148" s="794"/>
      <c r="H148" s="288"/>
      <c r="I148" s="288"/>
      <c r="J148" s="727" t="s">
        <v>646</v>
      </c>
      <c r="K148" s="727"/>
      <c r="L148" s="727"/>
      <c r="M148" s="287"/>
      <c r="N148" s="729"/>
      <c r="O148" s="729"/>
      <c r="P148" s="702"/>
      <c r="Q148" s="287"/>
      <c r="R148" s="777"/>
      <c r="S148" s="777"/>
      <c r="T148" s="784"/>
      <c r="U148" s="784"/>
      <c r="V148" s="286"/>
      <c r="W148" s="694">
        <v>9</v>
      </c>
      <c r="X148" s="695"/>
      <c r="Y148" s="696" t="s">
        <v>390</v>
      </c>
      <c r="Z148" s="696"/>
      <c r="AA148" s="696"/>
      <c r="AB148" s="696"/>
      <c r="AC148" s="697" t="s">
        <v>377</v>
      </c>
      <c r="AD148" s="697"/>
      <c r="AE148" s="698">
        <f>AU136</f>
        <v>64.033460000000005</v>
      </c>
      <c r="AF148" s="699"/>
      <c r="AG148" s="699"/>
      <c r="AH148" s="700">
        <f>BC137</f>
        <v>54</v>
      </c>
      <c r="AI148" s="697"/>
      <c r="AJ148" s="697"/>
      <c r="AK148" s="698">
        <f t="shared" si="1"/>
        <v>10.033460000000005</v>
      </c>
      <c r="AL148" s="698"/>
      <c r="AM148" s="698"/>
      <c r="AN148" s="697"/>
      <c r="AO148" s="697"/>
      <c r="AP148" s="697"/>
      <c r="AQ148" s="721"/>
      <c r="AR148" s="721"/>
      <c r="AS148" s="721"/>
      <c r="AT148" s="721"/>
      <c r="AU148" s="722"/>
    </row>
    <row r="151" spans="2:47">
      <c r="AH151" s="692"/>
      <c r="AI151" s="692"/>
    </row>
    <row r="153" spans="2:47">
      <c r="AH153" s="317"/>
    </row>
    <row r="155" spans="2:47">
      <c r="AH155" s="693"/>
      <c r="AI155" s="693"/>
    </row>
  </sheetData>
  <mergeCells count="727">
    <mergeCell ref="K134:L134"/>
    <mergeCell ref="AR31:AS31"/>
    <mergeCell ref="AR34:AS34"/>
    <mergeCell ref="AL130:AM130"/>
    <mergeCell ref="AO130:AP130"/>
    <mergeCell ref="T130:U130"/>
    <mergeCell ref="W130:X130"/>
    <mergeCell ref="Z130:AA130"/>
    <mergeCell ref="AC130:AD130"/>
    <mergeCell ref="AO71:AP71"/>
    <mergeCell ref="AL71:AM71"/>
    <mergeCell ref="W124:X124"/>
    <mergeCell ref="T121:U121"/>
    <mergeCell ref="W121:X121"/>
    <mergeCell ref="Z121:AA121"/>
    <mergeCell ref="AL125:AM125"/>
    <mergeCell ref="AO124:AP124"/>
    <mergeCell ref="AL121:AM121"/>
    <mergeCell ref="AO121:AP121"/>
    <mergeCell ref="T124:U124"/>
    <mergeCell ref="AE121:AH121"/>
    <mergeCell ref="Z124:AA124"/>
    <mergeCell ref="AC124:AD124"/>
    <mergeCell ref="AF124:AG124"/>
    <mergeCell ref="B130:C130"/>
    <mergeCell ref="E130:F130"/>
    <mergeCell ref="H130:I130"/>
    <mergeCell ref="K130:L130"/>
    <mergeCell ref="N130:O130"/>
    <mergeCell ref="Q130:R130"/>
    <mergeCell ref="AO125:AP125"/>
    <mergeCell ref="T125:U125"/>
    <mergeCell ref="W125:X125"/>
    <mergeCell ref="Z125:AA125"/>
    <mergeCell ref="AC125:AD125"/>
    <mergeCell ref="AF125:AG125"/>
    <mergeCell ref="AI125:AJ125"/>
    <mergeCell ref="AE130:AH130"/>
    <mergeCell ref="AI130:AJ130"/>
    <mergeCell ref="AI124:AJ124"/>
    <mergeCell ref="AL124:AM124"/>
    <mergeCell ref="AC121:AD121"/>
    <mergeCell ref="AI121:AJ121"/>
    <mergeCell ref="B125:C125"/>
    <mergeCell ref="E125:F125"/>
    <mergeCell ref="H125:I125"/>
    <mergeCell ref="K125:L125"/>
    <mergeCell ref="N125:O125"/>
    <mergeCell ref="Q125:R125"/>
    <mergeCell ref="B124:C124"/>
    <mergeCell ref="E124:F124"/>
    <mergeCell ref="Q124:R124"/>
    <mergeCell ref="K121:L121"/>
    <mergeCell ref="N121:O121"/>
    <mergeCell ref="Q121:R121"/>
    <mergeCell ref="R147:S148"/>
    <mergeCell ref="B133:C133"/>
    <mergeCell ref="N137:V137"/>
    <mergeCell ref="B137:L137"/>
    <mergeCell ref="T147:U148"/>
    <mergeCell ref="B139:D139"/>
    <mergeCell ref="P141:P142"/>
    <mergeCell ref="P143:P144"/>
    <mergeCell ref="B141:D141"/>
    <mergeCell ref="B145:D145"/>
    <mergeCell ref="F148:G148"/>
    <mergeCell ref="E147:F147"/>
    <mergeCell ref="H147:I147"/>
    <mergeCell ref="K147:L147"/>
    <mergeCell ref="E146:F146"/>
    <mergeCell ref="H146:I146"/>
    <mergeCell ref="K146:L146"/>
    <mergeCell ref="E143:F143"/>
    <mergeCell ref="B134:C134"/>
    <mergeCell ref="E133:F133"/>
    <mergeCell ref="H133:I133"/>
    <mergeCell ref="K133:L133"/>
    <mergeCell ref="E134:F134"/>
    <mergeCell ref="H134:I134"/>
    <mergeCell ref="B107:C107"/>
    <mergeCell ref="E107:F107"/>
    <mergeCell ref="E115:F115"/>
    <mergeCell ref="H115:I115"/>
    <mergeCell ref="K115:L115"/>
    <mergeCell ref="N115:O115"/>
    <mergeCell ref="H124:I124"/>
    <mergeCell ref="K124:L124"/>
    <mergeCell ref="N124:O124"/>
    <mergeCell ref="B121:C121"/>
    <mergeCell ref="E121:F121"/>
    <mergeCell ref="H121:I121"/>
    <mergeCell ref="B112:C112"/>
    <mergeCell ref="B116:C116"/>
    <mergeCell ref="B115:C115"/>
    <mergeCell ref="H107:I107"/>
    <mergeCell ref="K107:L107"/>
    <mergeCell ref="N107:O107"/>
    <mergeCell ref="E112:F112"/>
    <mergeCell ref="H112:I112"/>
    <mergeCell ref="K112:L112"/>
    <mergeCell ref="N112:O112"/>
    <mergeCell ref="W116:X116"/>
    <mergeCell ref="W115:X115"/>
    <mergeCell ref="AO116:AP116"/>
    <mergeCell ref="AL115:AM115"/>
    <mergeCell ref="AO115:AP115"/>
    <mergeCell ref="E116:F116"/>
    <mergeCell ref="H116:I116"/>
    <mergeCell ref="AC115:AD115"/>
    <mergeCell ref="AF115:AG115"/>
    <mergeCell ref="AI115:AJ115"/>
    <mergeCell ref="N116:O116"/>
    <mergeCell ref="AF112:AG112"/>
    <mergeCell ref="AI112:AJ112"/>
    <mergeCell ref="AO112:AP112"/>
    <mergeCell ref="AL107:AM107"/>
    <mergeCell ref="AO107:AP107"/>
    <mergeCell ref="Z107:AA107"/>
    <mergeCell ref="AC107:AD107"/>
    <mergeCell ref="AI107:AJ107"/>
    <mergeCell ref="AF107:AG107"/>
    <mergeCell ref="T112:U112"/>
    <mergeCell ref="AL112:AM112"/>
    <mergeCell ref="AO103:AP103"/>
    <mergeCell ref="B106:C106"/>
    <mergeCell ref="E106:F106"/>
    <mergeCell ref="H106:I106"/>
    <mergeCell ref="AC103:AD103"/>
    <mergeCell ref="AF103:AG103"/>
    <mergeCell ref="AI103:AJ103"/>
    <mergeCell ref="B103:C103"/>
    <mergeCell ref="E103:F103"/>
    <mergeCell ref="Z103:AA103"/>
    <mergeCell ref="T106:U106"/>
    <mergeCell ref="W106:X106"/>
    <mergeCell ref="AO106:AP106"/>
    <mergeCell ref="Q106:R106"/>
    <mergeCell ref="K106:L106"/>
    <mergeCell ref="AF106:AG106"/>
    <mergeCell ref="N106:O106"/>
    <mergeCell ref="Z106:AA106"/>
    <mergeCell ref="H103:I103"/>
    <mergeCell ref="W112:X112"/>
    <mergeCell ref="Z112:AA112"/>
    <mergeCell ref="AC112:AD112"/>
    <mergeCell ref="K103:L103"/>
    <mergeCell ref="N103:O103"/>
    <mergeCell ref="Q103:R103"/>
    <mergeCell ref="T103:U103"/>
    <mergeCell ref="W103:X103"/>
    <mergeCell ref="AI106:AJ106"/>
    <mergeCell ref="AL106:AM106"/>
    <mergeCell ref="Z116:AA116"/>
    <mergeCell ref="AC116:AD116"/>
    <mergeCell ref="AF116:AG116"/>
    <mergeCell ref="Z115:AA115"/>
    <mergeCell ref="Q107:R107"/>
    <mergeCell ref="Q116:R116"/>
    <mergeCell ref="T116:U116"/>
    <mergeCell ref="K116:L116"/>
    <mergeCell ref="Q115:R115"/>
    <mergeCell ref="T115:U115"/>
    <mergeCell ref="AI116:AJ116"/>
    <mergeCell ref="AL116:AM116"/>
    <mergeCell ref="AC106:AD106"/>
    <mergeCell ref="AL103:AM103"/>
    <mergeCell ref="Q112:R112"/>
    <mergeCell ref="T107:U107"/>
    <mergeCell ref="W107:X107"/>
    <mergeCell ref="T98:U98"/>
    <mergeCell ref="Z98:AA98"/>
    <mergeCell ref="H97:I97"/>
    <mergeCell ref="K97:L97"/>
    <mergeCell ref="B85:C85"/>
    <mergeCell ref="E85:F85"/>
    <mergeCell ref="B88:C88"/>
    <mergeCell ref="E88:F88"/>
    <mergeCell ref="H88:I88"/>
    <mergeCell ref="K88:L88"/>
    <mergeCell ref="H85:I85"/>
    <mergeCell ref="K85:L85"/>
    <mergeCell ref="N85:O85"/>
    <mergeCell ref="Q85:R85"/>
    <mergeCell ref="K94:L94"/>
    <mergeCell ref="B94:C94"/>
    <mergeCell ref="E94:F94"/>
    <mergeCell ref="H94:I94"/>
    <mergeCell ref="B89:C89"/>
    <mergeCell ref="E89:F89"/>
    <mergeCell ref="T85:U85"/>
    <mergeCell ref="W85:X85"/>
    <mergeCell ref="T88:U88"/>
    <mergeCell ref="T94:U94"/>
    <mergeCell ref="AO98:AP98"/>
    <mergeCell ref="AL97:AM97"/>
    <mergeCell ref="AO97:AP97"/>
    <mergeCell ref="Z97:AA97"/>
    <mergeCell ref="AC97:AD97"/>
    <mergeCell ref="AC98:AD98"/>
    <mergeCell ref="N97:O97"/>
    <mergeCell ref="Q97:R97"/>
    <mergeCell ref="B97:C97"/>
    <mergeCell ref="E97:F97"/>
    <mergeCell ref="B98:C98"/>
    <mergeCell ref="E98:F98"/>
    <mergeCell ref="H98:I98"/>
    <mergeCell ref="K98:L98"/>
    <mergeCell ref="N98:O98"/>
    <mergeCell ref="Q98:R98"/>
    <mergeCell ref="W98:X98"/>
    <mergeCell ref="AF98:AG98"/>
    <mergeCell ref="AI98:AJ98"/>
    <mergeCell ref="AL98:AM98"/>
    <mergeCell ref="AI97:AJ97"/>
    <mergeCell ref="AF97:AG97"/>
    <mergeCell ref="T97:U97"/>
    <mergeCell ref="W97:X97"/>
    <mergeCell ref="W94:X94"/>
    <mergeCell ref="Z89:AA89"/>
    <mergeCell ref="AC89:AD89"/>
    <mergeCell ref="AF89:AG89"/>
    <mergeCell ref="AI89:AJ89"/>
    <mergeCell ref="AO88:AP88"/>
    <mergeCell ref="AL85:AM85"/>
    <mergeCell ref="AO85:AP85"/>
    <mergeCell ref="Z88:AA88"/>
    <mergeCell ref="AC85:AD85"/>
    <mergeCell ref="AC88:AD88"/>
    <mergeCell ref="AO80:AP80"/>
    <mergeCell ref="H89:I89"/>
    <mergeCell ref="K89:L89"/>
    <mergeCell ref="T89:U89"/>
    <mergeCell ref="AF94:AG94"/>
    <mergeCell ref="AI94:AJ94"/>
    <mergeCell ref="AL94:AM94"/>
    <mergeCell ref="N94:O94"/>
    <mergeCell ref="W89:X89"/>
    <mergeCell ref="Z94:AA94"/>
    <mergeCell ref="AC94:AD94"/>
    <mergeCell ref="Q94:R94"/>
    <mergeCell ref="AO94:AP94"/>
    <mergeCell ref="AL89:AM89"/>
    <mergeCell ref="AO89:AP89"/>
    <mergeCell ref="N89:O89"/>
    <mergeCell ref="Q89:R89"/>
    <mergeCell ref="N88:O88"/>
    <mergeCell ref="Q88:R88"/>
    <mergeCell ref="W88:X88"/>
    <mergeCell ref="AF80:AG80"/>
    <mergeCell ref="AI80:AJ80"/>
    <mergeCell ref="AL80:AM80"/>
    <mergeCell ref="Z85:AA85"/>
    <mergeCell ref="Z80:AA80"/>
    <mergeCell ref="AC80:AD80"/>
    <mergeCell ref="W80:X80"/>
    <mergeCell ref="AF88:AG88"/>
    <mergeCell ref="AI88:AJ88"/>
    <mergeCell ref="AL88:AM88"/>
    <mergeCell ref="AI85:AJ85"/>
    <mergeCell ref="AF85:AG85"/>
    <mergeCell ref="AL76:AM76"/>
    <mergeCell ref="W79:X79"/>
    <mergeCell ref="Z79:AA79"/>
    <mergeCell ref="T76:U76"/>
    <mergeCell ref="W76:X76"/>
    <mergeCell ref="AC76:AD76"/>
    <mergeCell ref="AF76:AG76"/>
    <mergeCell ref="AI76:AJ76"/>
    <mergeCell ref="AO76:AP76"/>
    <mergeCell ref="AC79:AD79"/>
    <mergeCell ref="AF79:AG79"/>
    <mergeCell ref="AI79:AJ79"/>
    <mergeCell ref="AL79:AM79"/>
    <mergeCell ref="AO79:AP79"/>
    <mergeCell ref="Q76:R76"/>
    <mergeCell ref="Z76:AA76"/>
    <mergeCell ref="T71:U71"/>
    <mergeCell ref="W71:X71"/>
    <mergeCell ref="Z71:AA71"/>
    <mergeCell ref="B80:C80"/>
    <mergeCell ref="E80:F80"/>
    <mergeCell ref="H80:I80"/>
    <mergeCell ref="K80:L80"/>
    <mergeCell ref="N80:O80"/>
    <mergeCell ref="B76:C76"/>
    <mergeCell ref="E76:F76"/>
    <mergeCell ref="H76:I76"/>
    <mergeCell ref="K76:L76"/>
    <mergeCell ref="N76:O76"/>
    <mergeCell ref="T79:U79"/>
    <mergeCell ref="B79:C79"/>
    <mergeCell ref="E79:F79"/>
    <mergeCell ref="H79:I79"/>
    <mergeCell ref="K79:L79"/>
    <mergeCell ref="N79:O79"/>
    <mergeCell ref="Q79:R79"/>
    <mergeCell ref="Q80:R80"/>
    <mergeCell ref="T80:U80"/>
    <mergeCell ref="AO70:AP70"/>
    <mergeCell ref="AL67:AM67"/>
    <mergeCell ref="AO67:AP67"/>
    <mergeCell ref="B70:C70"/>
    <mergeCell ref="E70:F70"/>
    <mergeCell ref="H70:I70"/>
    <mergeCell ref="K70:L70"/>
    <mergeCell ref="N70:O70"/>
    <mergeCell ref="B67:C67"/>
    <mergeCell ref="E67:F67"/>
    <mergeCell ref="W70:X70"/>
    <mergeCell ref="T67:U67"/>
    <mergeCell ref="W67:X67"/>
    <mergeCell ref="Z67:AA67"/>
    <mergeCell ref="AI71:AJ71"/>
    <mergeCell ref="B71:C71"/>
    <mergeCell ref="E71:F71"/>
    <mergeCell ref="Z70:AA70"/>
    <mergeCell ref="AC70:AD70"/>
    <mergeCell ref="AF70:AG70"/>
    <mergeCell ref="AI70:AJ70"/>
    <mergeCell ref="Q70:R70"/>
    <mergeCell ref="T70:U70"/>
    <mergeCell ref="AC71:AD71"/>
    <mergeCell ref="AF71:AG71"/>
    <mergeCell ref="H71:I71"/>
    <mergeCell ref="K71:L71"/>
    <mergeCell ref="N71:O71"/>
    <mergeCell ref="Q71:R71"/>
    <mergeCell ref="B62:C62"/>
    <mergeCell ref="E62:F62"/>
    <mergeCell ref="H62:I62"/>
    <mergeCell ref="AC61:AD61"/>
    <mergeCell ref="AL70:AM70"/>
    <mergeCell ref="AC67:AD67"/>
    <mergeCell ref="AF67:AG67"/>
    <mergeCell ref="AI67:AJ67"/>
    <mergeCell ref="Z62:AA62"/>
    <mergeCell ref="AC62:AD62"/>
    <mergeCell ref="H67:I67"/>
    <mergeCell ref="K67:L67"/>
    <mergeCell ref="N67:O67"/>
    <mergeCell ref="Q67:R67"/>
    <mergeCell ref="Q62:R62"/>
    <mergeCell ref="T62:U62"/>
    <mergeCell ref="K62:L62"/>
    <mergeCell ref="N62:O62"/>
    <mergeCell ref="T53:U53"/>
    <mergeCell ref="W53:X53"/>
    <mergeCell ref="Q58:R58"/>
    <mergeCell ref="T58:U58"/>
    <mergeCell ref="W61:X61"/>
    <mergeCell ref="B58:C58"/>
    <mergeCell ref="E58:F58"/>
    <mergeCell ref="H58:I58"/>
    <mergeCell ref="K58:L58"/>
    <mergeCell ref="N58:O58"/>
    <mergeCell ref="B61:C61"/>
    <mergeCell ref="E61:F61"/>
    <mergeCell ref="H61:I61"/>
    <mergeCell ref="K61:L61"/>
    <mergeCell ref="N61:O61"/>
    <mergeCell ref="Q61:R61"/>
    <mergeCell ref="T61:U61"/>
    <mergeCell ref="B53:C53"/>
    <mergeCell ref="E53:F53"/>
    <mergeCell ref="H53:I53"/>
    <mergeCell ref="K53:L53"/>
    <mergeCell ref="N53:O53"/>
    <mergeCell ref="Q53:R53"/>
    <mergeCell ref="AI53:AJ53"/>
    <mergeCell ref="AC53:AD53"/>
    <mergeCell ref="AF53:AG53"/>
    <mergeCell ref="AO58:AP58"/>
    <mergeCell ref="AL53:AM53"/>
    <mergeCell ref="AO53:AP53"/>
    <mergeCell ref="W62:X62"/>
    <mergeCell ref="Z58:AA58"/>
    <mergeCell ref="AC58:AD58"/>
    <mergeCell ref="AF58:AG58"/>
    <mergeCell ref="AI58:AJ58"/>
    <mergeCell ref="AL58:AM58"/>
    <mergeCell ref="AF62:AG62"/>
    <mergeCell ref="AI62:AJ62"/>
    <mergeCell ref="AL62:AM62"/>
    <mergeCell ref="AF61:AG61"/>
    <mergeCell ref="AI61:AJ61"/>
    <mergeCell ref="Z61:AA61"/>
    <mergeCell ref="AO62:AP62"/>
    <mergeCell ref="AL61:AM61"/>
    <mergeCell ref="AO61:AP61"/>
    <mergeCell ref="Z53:AA53"/>
    <mergeCell ref="W58:X58"/>
    <mergeCell ref="K49:L49"/>
    <mergeCell ref="AO44:AP44"/>
    <mergeCell ref="T52:U52"/>
    <mergeCell ref="W52:X52"/>
    <mergeCell ref="K52:L52"/>
    <mergeCell ref="Z49:AA49"/>
    <mergeCell ref="B43:C43"/>
    <mergeCell ref="E43:F43"/>
    <mergeCell ref="B44:C44"/>
    <mergeCell ref="E44:F44"/>
    <mergeCell ref="H44:I44"/>
    <mergeCell ref="H43:I43"/>
    <mergeCell ref="K43:L43"/>
    <mergeCell ref="N43:O43"/>
    <mergeCell ref="Q43:R43"/>
    <mergeCell ref="T43:U43"/>
    <mergeCell ref="W43:X43"/>
    <mergeCell ref="B52:C52"/>
    <mergeCell ref="E52:F52"/>
    <mergeCell ref="H52:I52"/>
    <mergeCell ref="B49:C49"/>
    <mergeCell ref="E49:F49"/>
    <mergeCell ref="H49:I49"/>
    <mergeCell ref="AO43:AP43"/>
    <mergeCell ref="AO52:AP52"/>
    <mergeCell ref="AL49:AM49"/>
    <mergeCell ref="AO49:AP49"/>
    <mergeCell ref="N49:O49"/>
    <mergeCell ref="Q49:R49"/>
    <mergeCell ref="N44:O44"/>
    <mergeCell ref="Q44:R44"/>
    <mergeCell ref="W44:X44"/>
    <mergeCell ref="T44:U44"/>
    <mergeCell ref="AC49:AD49"/>
    <mergeCell ref="AF49:AG49"/>
    <mergeCell ref="AI49:AJ49"/>
    <mergeCell ref="T49:U49"/>
    <mergeCell ref="AF52:AG52"/>
    <mergeCell ref="AI52:AJ52"/>
    <mergeCell ref="AL52:AM52"/>
    <mergeCell ref="N52:O52"/>
    <mergeCell ref="W49:X49"/>
    <mergeCell ref="Z52:AA52"/>
    <mergeCell ref="AC52:AD52"/>
    <mergeCell ref="Q52:R52"/>
    <mergeCell ref="T40:U40"/>
    <mergeCell ref="W40:X40"/>
    <mergeCell ref="K40:L40"/>
    <mergeCell ref="AF44:AG44"/>
    <mergeCell ref="AI44:AJ44"/>
    <mergeCell ref="AL44:AM44"/>
    <mergeCell ref="AI43:AJ43"/>
    <mergeCell ref="AF43:AG43"/>
    <mergeCell ref="B40:C40"/>
    <mergeCell ref="E40:F40"/>
    <mergeCell ref="H40:I40"/>
    <mergeCell ref="N40:O40"/>
    <mergeCell ref="Z40:AA40"/>
    <mergeCell ref="AC40:AD40"/>
    <mergeCell ref="Q40:R40"/>
    <mergeCell ref="AL40:AM40"/>
    <mergeCell ref="AL43:AM43"/>
    <mergeCell ref="K44:L44"/>
    <mergeCell ref="Z44:AA44"/>
    <mergeCell ref="AC44:AD44"/>
    <mergeCell ref="AC35:AD35"/>
    <mergeCell ref="AF35:AG35"/>
    <mergeCell ref="AI35:AJ35"/>
    <mergeCell ref="B35:C35"/>
    <mergeCell ref="T31:U31"/>
    <mergeCell ref="W31:X31"/>
    <mergeCell ref="T34:U34"/>
    <mergeCell ref="Z34:AA34"/>
    <mergeCell ref="H31:I31"/>
    <mergeCell ref="K31:L31"/>
    <mergeCell ref="N31:O31"/>
    <mergeCell ref="Q31:R31"/>
    <mergeCell ref="Z31:AA31"/>
    <mergeCell ref="Z35:AA35"/>
    <mergeCell ref="B31:C31"/>
    <mergeCell ref="E31:F31"/>
    <mergeCell ref="B34:C34"/>
    <mergeCell ref="E34:F34"/>
    <mergeCell ref="H34:I34"/>
    <mergeCell ref="K34:L34"/>
    <mergeCell ref="N34:O34"/>
    <mergeCell ref="W35:X35"/>
    <mergeCell ref="E35:F35"/>
    <mergeCell ref="H35:I35"/>
    <mergeCell ref="K35:L35"/>
    <mergeCell ref="N35:O35"/>
    <mergeCell ref="Q35:R35"/>
    <mergeCell ref="T35:U35"/>
    <mergeCell ref="B17:C17"/>
    <mergeCell ref="E17:F17"/>
    <mergeCell ref="B22:C22"/>
    <mergeCell ref="E22:F22"/>
    <mergeCell ref="H22:I22"/>
    <mergeCell ref="K22:L22"/>
    <mergeCell ref="B26:C26"/>
    <mergeCell ref="E26:F26"/>
    <mergeCell ref="B25:C25"/>
    <mergeCell ref="E25:F25"/>
    <mergeCell ref="H17:I17"/>
    <mergeCell ref="K17:L17"/>
    <mergeCell ref="N17:O17"/>
    <mergeCell ref="Q17:R17"/>
    <mergeCell ref="K26:L26"/>
    <mergeCell ref="H26:I26"/>
    <mergeCell ref="H25:I25"/>
    <mergeCell ref="K25:L25"/>
    <mergeCell ref="T26:U26"/>
    <mergeCell ref="AC26:AD26"/>
    <mergeCell ref="Q26:R26"/>
    <mergeCell ref="AF34:AG34"/>
    <mergeCell ref="AI34:AJ34"/>
    <mergeCell ref="AL34:AM34"/>
    <mergeCell ref="AI31:AJ31"/>
    <mergeCell ref="AF31:AG31"/>
    <mergeCell ref="AL31:AM31"/>
    <mergeCell ref="Q34:R34"/>
    <mergeCell ref="W34:X34"/>
    <mergeCell ref="W26:X26"/>
    <mergeCell ref="AF16:AG16"/>
    <mergeCell ref="W13:X13"/>
    <mergeCell ref="AO26:AP26"/>
    <mergeCell ref="AL25:AM25"/>
    <mergeCell ref="AO25:AP25"/>
    <mergeCell ref="N25:O25"/>
    <mergeCell ref="Q25:R25"/>
    <mergeCell ref="N22:O22"/>
    <mergeCell ref="Q22:R22"/>
    <mergeCell ref="W22:X22"/>
    <mergeCell ref="T17:U17"/>
    <mergeCell ref="W17:X17"/>
    <mergeCell ref="T22:U22"/>
    <mergeCell ref="Z25:AA25"/>
    <mergeCell ref="AC25:AD25"/>
    <mergeCell ref="AF25:AG25"/>
    <mergeCell ref="AI25:AJ25"/>
    <mergeCell ref="T25:U25"/>
    <mergeCell ref="AF26:AG26"/>
    <mergeCell ref="AI26:AJ26"/>
    <mergeCell ref="AL26:AM26"/>
    <mergeCell ref="N26:O26"/>
    <mergeCell ref="W25:X25"/>
    <mergeCell ref="Z26:AA26"/>
    <mergeCell ref="B8:C8"/>
    <mergeCell ref="AN137:AU137"/>
    <mergeCell ref="AN138:AU138"/>
    <mergeCell ref="AO16:AP16"/>
    <mergeCell ref="AL13:AM13"/>
    <mergeCell ref="AO13:AP13"/>
    <mergeCell ref="AL16:AM16"/>
    <mergeCell ref="AF22:AG22"/>
    <mergeCell ref="E8:F8"/>
    <mergeCell ref="AO8:AP8"/>
    <mergeCell ref="B13:C13"/>
    <mergeCell ref="E13:F13"/>
    <mergeCell ref="H13:I13"/>
    <mergeCell ref="K13:L13"/>
    <mergeCell ref="N13:O13"/>
    <mergeCell ref="Q13:R13"/>
    <mergeCell ref="B16:C16"/>
    <mergeCell ref="E16:F16"/>
    <mergeCell ref="H16:I16"/>
    <mergeCell ref="K16:L16"/>
    <mergeCell ref="N16:O16"/>
    <mergeCell ref="Q16:R16"/>
    <mergeCell ref="Z17:AA17"/>
    <mergeCell ref="AC17:AD17"/>
    <mergeCell ref="B7:C7"/>
    <mergeCell ref="E7:F7"/>
    <mergeCell ref="H7:I7"/>
    <mergeCell ref="K7:L7"/>
    <mergeCell ref="N7:O7"/>
    <mergeCell ref="A1:AU1"/>
    <mergeCell ref="AW1:BA1"/>
    <mergeCell ref="B4:C4"/>
    <mergeCell ref="E4:F4"/>
    <mergeCell ref="H4:I4"/>
    <mergeCell ref="K4:L4"/>
    <mergeCell ref="N4:O4"/>
    <mergeCell ref="Q4:R4"/>
    <mergeCell ref="T4:U4"/>
    <mergeCell ref="W4:X4"/>
    <mergeCell ref="Q7:R7"/>
    <mergeCell ref="T7:U7"/>
    <mergeCell ref="W7:X7"/>
    <mergeCell ref="BA2:BB2"/>
    <mergeCell ref="AK2:AM2"/>
    <mergeCell ref="AN2:AP2"/>
    <mergeCell ref="AI4:AJ4"/>
    <mergeCell ref="AL4:AM4"/>
    <mergeCell ref="AO4:AP4"/>
    <mergeCell ref="T2:AD2"/>
    <mergeCell ref="AN141:AU141"/>
    <mergeCell ref="AK140:AM140"/>
    <mergeCell ref="AI7:AJ7"/>
    <mergeCell ref="AL7:AM7"/>
    <mergeCell ref="AO7:AP7"/>
    <mergeCell ref="Z4:AA4"/>
    <mergeCell ref="AC4:AD4"/>
    <mergeCell ref="AF4:AG4"/>
    <mergeCell ref="Z7:AA7"/>
    <mergeCell ref="AC7:AD7"/>
    <mergeCell ref="AF7:AG7"/>
    <mergeCell ref="AC22:AD22"/>
    <mergeCell ref="AC31:AD31"/>
    <mergeCell ref="AC34:AD34"/>
    <mergeCell ref="AO34:AP34"/>
    <mergeCell ref="AO31:AP31"/>
    <mergeCell ref="AF40:AG40"/>
    <mergeCell ref="AI40:AJ40"/>
    <mergeCell ref="T16:U16"/>
    <mergeCell ref="W16:X16"/>
    <mergeCell ref="T13:U13"/>
    <mergeCell ref="AL22:AM22"/>
    <mergeCell ref="AI17:AJ17"/>
    <mergeCell ref="AE140:AG140"/>
    <mergeCell ref="AH140:AJ140"/>
    <mergeCell ref="W139:X139"/>
    <mergeCell ref="Y139:AB139"/>
    <mergeCell ref="AC139:AD139"/>
    <mergeCell ref="AN140:AU140"/>
    <mergeCell ref="Z8:AA8"/>
    <mergeCell ref="AC8:AD8"/>
    <mergeCell ref="AF8:AG8"/>
    <mergeCell ref="AI8:AJ8"/>
    <mergeCell ref="AL8:AM8"/>
    <mergeCell ref="AF17:AG17"/>
    <mergeCell ref="AO22:AP22"/>
    <mergeCell ref="AL17:AM17"/>
    <mergeCell ref="AO17:AP17"/>
    <mergeCell ref="AI22:AJ22"/>
    <mergeCell ref="Z22:AA22"/>
    <mergeCell ref="AC13:AD13"/>
    <mergeCell ref="AF13:AG13"/>
    <mergeCell ref="AI13:AJ13"/>
    <mergeCell ref="AI16:AJ16"/>
    <mergeCell ref="Z16:AA16"/>
    <mergeCell ref="Z13:AA13"/>
    <mergeCell ref="AC16:AD16"/>
    <mergeCell ref="W147:X147"/>
    <mergeCell ref="W145:X145"/>
    <mergeCell ref="Y145:AB145"/>
    <mergeCell ref="AC145:AD145"/>
    <mergeCell ref="AE145:AG145"/>
    <mergeCell ref="AH145:AJ145"/>
    <mergeCell ref="AO40:AP40"/>
    <mergeCell ref="AL35:AM35"/>
    <mergeCell ref="AO35:AP35"/>
    <mergeCell ref="Z43:AA43"/>
    <mergeCell ref="AC43:AD43"/>
    <mergeCell ref="AN147:AU147"/>
    <mergeCell ref="W144:X144"/>
    <mergeCell ref="Y144:AB144"/>
    <mergeCell ref="AC144:AD144"/>
    <mergeCell ref="AE144:AG144"/>
    <mergeCell ref="AH144:AJ144"/>
    <mergeCell ref="AK144:AM144"/>
    <mergeCell ref="AN144:AU144"/>
    <mergeCell ref="AK139:AM139"/>
    <mergeCell ref="AN139:AU139"/>
    <mergeCell ref="W140:X140"/>
    <mergeCell ref="Y140:AB140"/>
    <mergeCell ref="AC140:AD140"/>
    <mergeCell ref="AN145:AU145"/>
    <mergeCell ref="W146:X146"/>
    <mergeCell ref="Y146:AB146"/>
    <mergeCell ref="AC146:AD146"/>
    <mergeCell ref="W141:X141"/>
    <mergeCell ref="Y141:AB141"/>
    <mergeCell ref="AC141:AD141"/>
    <mergeCell ref="AE141:AG141"/>
    <mergeCell ref="AH141:AJ141"/>
    <mergeCell ref="AH146:AJ146"/>
    <mergeCell ref="AC143:AD143"/>
    <mergeCell ref="AE143:AG143"/>
    <mergeCell ref="AH143:AJ143"/>
    <mergeCell ref="AK143:AM143"/>
    <mergeCell ref="AN143:AU143"/>
    <mergeCell ref="W142:X142"/>
    <mergeCell ref="Y142:AB142"/>
    <mergeCell ref="AC142:AD142"/>
    <mergeCell ref="AE142:AG142"/>
    <mergeCell ref="AH142:AJ142"/>
    <mergeCell ref="AK142:AM142"/>
    <mergeCell ref="AN148:AU148"/>
    <mergeCell ref="AK146:AM146"/>
    <mergeCell ref="AN146:AU146"/>
    <mergeCell ref="AE146:AG146"/>
    <mergeCell ref="F139:G139"/>
    <mergeCell ref="I139:J139"/>
    <mergeCell ref="J148:L148"/>
    <mergeCell ref="N139:O140"/>
    <mergeCell ref="N141:O142"/>
    <mergeCell ref="N143:O144"/>
    <mergeCell ref="N145:O146"/>
    <mergeCell ref="N147:O148"/>
    <mergeCell ref="P139:P140"/>
    <mergeCell ref="H143:I143"/>
    <mergeCell ref="K143:L143"/>
    <mergeCell ref="AK145:AM145"/>
    <mergeCell ref="AE139:AG139"/>
    <mergeCell ref="AH139:AJ139"/>
    <mergeCell ref="AK141:AM141"/>
    <mergeCell ref="AK148:AM148"/>
    <mergeCell ref="AK147:AM147"/>
    <mergeCell ref="AN142:AU142"/>
    <mergeCell ref="W143:X143"/>
    <mergeCell ref="Y143:AB143"/>
    <mergeCell ref="H8:I8"/>
    <mergeCell ref="K8:L8"/>
    <mergeCell ref="N8:O8"/>
    <mergeCell ref="Q8:R8"/>
    <mergeCell ref="T8:U8"/>
    <mergeCell ref="W8:X8"/>
    <mergeCell ref="AH151:AI151"/>
    <mergeCell ref="AH155:AI155"/>
    <mergeCell ref="W148:X148"/>
    <mergeCell ref="Y148:AB148"/>
    <mergeCell ref="AC148:AD148"/>
    <mergeCell ref="AE148:AG148"/>
    <mergeCell ref="AH148:AJ148"/>
    <mergeCell ref="P145:P146"/>
    <mergeCell ref="P147:P148"/>
    <mergeCell ref="R139:S142"/>
    <mergeCell ref="T139:U142"/>
    <mergeCell ref="R143:S146"/>
    <mergeCell ref="T143:U146"/>
    <mergeCell ref="W137:AM138"/>
    <mergeCell ref="Y147:AB147"/>
    <mergeCell ref="AC147:AD147"/>
    <mergeCell ref="AE147:AG147"/>
    <mergeCell ref="AH147:AJ147"/>
  </mergeCells>
  <conditionalFormatting sqref="B5:B6">
    <cfRule type="containsText" dxfId="1411" priority="281" operator="containsText" text="Str">
      <formula>NOT(ISERROR(SEARCH("Str",B5)))</formula>
    </cfRule>
    <cfRule type="containsText" dxfId="1410" priority="284" operator="containsText" text="fnd">
      <formula>NOT(ISERROR(SEARCH("fnd",B5)))</formula>
    </cfRule>
    <cfRule type="containsText" dxfId="1409" priority="283" operator="containsText" text="Ear">
      <formula>NOT(ISERROR(SEARCH("Ear",B5)))</formula>
    </cfRule>
    <cfRule type="containsText" dxfId="1408" priority="282" operator="containsText" text="Ere">
      <formula>NOT(ISERROR(SEARCH("Ere",B5)))</formula>
    </cfRule>
  </conditionalFormatting>
  <conditionalFormatting sqref="B14:B15">
    <cfRule type="containsText" dxfId="1407" priority="396" operator="containsText" text="fnd">
      <formula>NOT(ISERROR(SEARCH("fnd",B14)))</formula>
    </cfRule>
    <cfRule type="containsText" dxfId="1406" priority="393" operator="containsText" text="Str">
      <formula>NOT(ISERROR(SEARCH("Str",B14)))</formula>
    </cfRule>
    <cfRule type="containsText" dxfId="1405" priority="395" operator="containsText" text="Ear">
      <formula>NOT(ISERROR(SEARCH("Ear",B14)))</formula>
    </cfRule>
    <cfRule type="containsText" dxfId="1404" priority="394" operator="containsText" text="Ere">
      <formula>NOT(ISERROR(SEARCH("Ere",B14)))</formula>
    </cfRule>
  </conditionalFormatting>
  <conditionalFormatting sqref="B23:B24">
    <cfRule type="containsText" dxfId="1403" priority="113" operator="containsText" text="Str">
      <formula>NOT(ISERROR(SEARCH("Str",B23)))</formula>
    </cfRule>
    <cfRule type="containsText" dxfId="1402" priority="114" operator="containsText" text="Ere">
      <formula>NOT(ISERROR(SEARCH("Ere",B23)))</formula>
    </cfRule>
    <cfRule type="containsText" dxfId="1401" priority="115" operator="containsText" text="Ear">
      <formula>NOT(ISERROR(SEARCH("Ear",B23)))</formula>
    </cfRule>
    <cfRule type="containsText" dxfId="1400" priority="116" operator="containsText" text="fnd">
      <formula>NOT(ISERROR(SEARCH("fnd",B23)))</formula>
    </cfRule>
  </conditionalFormatting>
  <conditionalFormatting sqref="B32 AL32 AO32 H41 K41">
    <cfRule type="containsText" dxfId="1399" priority="1364" operator="containsText" text="fnd">
      <formula>NOT(ISERROR(SEARCH("fnd",B32)))</formula>
    </cfRule>
    <cfRule type="containsText" dxfId="1398" priority="1363" operator="containsText" text="Ear">
      <formula>NOT(ISERROR(SEARCH("Ear",B32)))</formula>
    </cfRule>
    <cfRule type="containsText" dxfId="1397" priority="1362" operator="containsText" text="Ere">
      <formula>NOT(ISERROR(SEARCH("Ere",B32)))</formula>
    </cfRule>
    <cfRule type="containsText" dxfId="1396" priority="1361" operator="containsText" text="Str">
      <formula>NOT(ISERROR(SEARCH("Str",B32)))</formula>
    </cfRule>
  </conditionalFormatting>
  <conditionalFormatting sqref="B50:B51">
    <cfRule type="containsText" dxfId="1395" priority="998" operator="containsText" text="Ere">
      <formula>NOT(ISERROR(SEARCH("Ere",B50)))</formula>
    </cfRule>
    <cfRule type="containsText" dxfId="1394" priority="999" operator="containsText" text="Ear">
      <formula>NOT(ISERROR(SEARCH("Ear",B50)))</formula>
    </cfRule>
    <cfRule type="containsText" dxfId="1393" priority="1000" operator="containsText" text="fnd">
      <formula>NOT(ISERROR(SEARCH("fnd",B50)))</formula>
    </cfRule>
    <cfRule type="containsText" dxfId="1392" priority="997" operator="containsText" text="Str">
      <formula>NOT(ISERROR(SEARCH("Str",B50)))</formula>
    </cfRule>
  </conditionalFormatting>
  <conditionalFormatting sqref="B68">
    <cfRule type="containsText" dxfId="1391" priority="48" operator="containsText" text="fnd">
      <formula>NOT(ISERROR(SEARCH("fnd",B68)))</formula>
    </cfRule>
    <cfRule type="containsText" dxfId="1390" priority="47" operator="containsText" text="Ear">
      <formula>NOT(ISERROR(SEARCH("Ear",B68)))</formula>
    </cfRule>
    <cfRule type="containsText" dxfId="1389" priority="46" operator="containsText" text="Ere">
      <formula>NOT(ISERROR(SEARCH("Ere",B68)))</formula>
    </cfRule>
    <cfRule type="containsText" dxfId="1388" priority="45" operator="containsText" text="Str">
      <formula>NOT(ISERROR(SEARCH("Str",B68)))</formula>
    </cfRule>
  </conditionalFormatting>
  <conditionalFormatting sqref="B77">
    <cfRule type="containsText" dxfId="1387" priority="828" operator="containsText" text="fnd">
      <formula>NOT(ISERROR(SEARCH("fnd",B77)))</formula>
    </cfRule>
    <cfRule type="containsText" dxfId="1386" priority="826" operator="containsText" text="Ere">
      <formula>NOT(ISERROR(SEARCH("Ere",B77)))</formula>
    </cfRule>
    <cfRule type="containsText" dxfId="1385" priority="827" operator="containsText" text="Ear">
      <formula>NOT(ISERROR(SEARCH("Ear",B77)))</formula>
    </cfRule>
    <cfRule type="containsText" dxfId="1384" priority="825" operator="containsText" text="Str">
      <formula>NOT(ISERROR(SEARCH("Str",B77)))</formula>
    </cfRule>
  </conditionalFormatting>
  <conditionalFormatting sqref="B96">
    <cfRule type="containsText" dxfId="1383" priority="854" operator="containsText" text="Ere">
      <formula>NOT(ISERROR(SEARCH("Ere",B96)))</formula>
    </cfRule>
    <cfRule type="containsText" dxfId="1382" priority="855" operator="containsText" text="Ear">
      <formula>NOT(ISERROR(SEARCH("Ear",B96)))</formula>
    </cfRule>
    <cfRule type="containsText" dxfId="1381" priority="856" operator="containsText" text="fnd">
      <formula>NOT(ISERROR(SEARCH("fnd",B96)))</formula>
    </cfRule>
    <cfRule type="containsText" dxfId="1380" priority="853" operator="containsText" text="Str">
      <formula>NOT(ISERROR(SEARCH("Str",B96)))</formula>
    </cfRule>
  </conditionalFormatting>
  <conditionalFormatting sqref="B113:B114">
    <cfRule type="containsText" dxfId="1379" priority="240" operator="containsText" text="fnd">
      <formula>NOT(ISERROR(SEARCH("fnd",B113)))</formula>
    </cfRule>
    <cfRule type="containsText" dxfId="1378" priority="237" operator="containsText" text="Str">
      <formula>NOT(ISERROR(SEARCH("Str",B113)))</formula>
    </cfRule>
    <cfRule type="containsText" dxfId="1377" priority="238" operator="containsText" text="Ere">
      <formula>NOT(ISERROR(SEARCH("Ere",B113)))</formula>
    </cfRule>
    <cfRule type="containsText" dxfId="1376" priority="239" operator="containsText" text="Ear">
      <formula>NOT(ISERROR(SEARCH("Ear",B113)))</formula>
    </cfRule>
  </conditionalFormatting>
  <conditionalFormatting sqref="B122">
    <cfRule type="containsText" dxfId="1375" priority="636" operator="containsText" text="fnd">
      <formula>NOT(ISERROR(SEARCH("fnd",B122)))</formula>
    </cfRule>
    <cfRule type="containsText" dxfId="1374" priority="635" operator="containsText" text="Ear">
      <formula>NOT(ISERROR(SEARCH("Ear",B122)))</formula>
    </cfRule>
    <cfRule type="containsText" dxfId="1373" priority="634" operator="containsText" text="Ere">
      <formula>NOT(ISERROR(SEARCH("Ere",B122)))</formula>
    </cfRule>
    <cfRule type="containsText" dxfId="1372" priority="633" operator="containsText" text="Str">
      <formula>NOT(ISERROR(SEARCH("Str",B122)))</formula>
    </cfRule>
  </conditionalFormatting>
  <conditionalFormatting sqref="B33:C33">
    <cfRule type="containsText" dxfId="1371" priority="1372" operator="containsText" text="fnd">
      <formula>NOT(ISERROR(SEARCH("fnd",B33)))</formula>
    </cfRule>
    <cfRule type="containsText" dxfId="1370" priority="1369" operator="containsText" text="Str">
      <formula>NOT(ISERROR(SEARCH("Str",B33)))</formula>
    </cfRule>
    <cfRule type="containsText" dxfId="1369" priority="1370" operator="containsText" text="Ere">
      <formula>NOT(ISERROR(SEARCH("Ere",B33)))</formula>
    </cfRule>
    <cfRule type="containsText" dxfId="1368" priority="1371" operator="containsText" text="Ear">
      <formula>NOT(ISERROR(SEARCH("Ear",B33)))</formula>
    </cfRule>
  </conditionalFormatting>
  <conditionalFormatting sqref="B42:C42">
    <cfRule type="containsText" dxfId="1367" priority="1004" operator="containsText" text="fnd">
      <formula>NOT(ISERROR(SEARCH("fnd",B42)))</formula>
    </cfRule>
    <cfRule type="containsText" dxfId="1366" priority="1003" operator="containsText" text="Ear">
      <formula>NOT(ISERROR(SEARCH("Ear",B42)))</formula>
    </cfRule>
    <cfRule type="containsText" dxfId="1365" priority="1002" operator="containsText" text="Ere">
      <formula>NOT(ISERROR(SEARCH("Ere",B42)))</formula>
    </cfRule>
    <cfRule type="containsText" dxfId="1364" priority="1001" operator="containsText" text="Str">
      <formula>NOT(ISERROR(SEARCH("Str",B42)))</formula>
    </cfRule>
  </conditionalFormatting>
  <conditionalFormatting sqref="B60:C60">
    <cfRule type="containsText" dxfId="1363" priority="993" operator="containsText" text="Str">
      <formula>NOT(ISERROR(SEARCH("Str",B60)))</formula>
    </cfRule>
    <cfRule type="containsText" dxfId="1362" priority="996" operator="containsText" text="fnd">
      <formula>NOT(ISERROR(SEARCH("fnd",B60)))</formula>
    </cfRule>
    <cfRule type="containsText" dxfId="1361" priority="995" operator="containsText" text="Ear">
      <formula>NOT(ISERROR(SEARCH("Ear",B60)))</formula>
    </cfRule>
    <cfRule type="containsText" dxfId="1360" priority="994" operator="containsText" text="Ere">
      <formula>NOT(ISERROR(SEARCH("Ere",B60)))</formula>
    </cfRule>
  </conditionalFormatting>
  <conditionalFormatting sqref="B69:C69">
    <cfRule type="containsText" dxfId="1359" priority="49" operator="containsText" text="Str">
      <formula>NOT(ISERROR(SEARCH("Str",B69)))</formula>
    </cfRule>
    <cfRule type="containsText" dxfId="1358" priority="51" operator="containsText" text="Ear">
      <formula>NOT(ISERROR(SEARCH("Ear",B69)))</formula>
    </cfRule>
    <cfRule type="containsText" dxfId="1357" priority="52" operator="containsText" text="fnd">
      <formula>NOT(ISERROR(SEARCH("fnd",B69)))</formula>
    </cfRule>
    <cfRule type="containsText" dxfId="1356" priority="50" operator="containsText" text="Ere">
      <formula>NOT(ISERROR(SEARCH("Ere",B69)))</formula>
    </cfRule>
  </conditionalFormatting>
  <conditionalFormatting sqref="B105:C105">
    <cfRule type="containsText" dxfId="1355" priority="988" operator="containsText" text="fnd">
      <formula>NOT(ISERROR(SEARCH("fnd",B105)))</formula>
    </cfRule>
    <cfRule type="containsText" dxfId="1354" priority="987" operator="containsText" text="Ear">
      <formula>NOT(ISERROR(SEARCH("Ear",B105)))</formula>
    </cfRule>
    <cfRule type="containsText" dxfId="1353" priority="986" operator="containsText" text="Ere">
      <formula>NOT(ISERROR(SEARCH("Ere",B105)))</formula>
    </cfRule>
    <cfRule type="containsText" dxfId="1352" priority="985" operator="containsText" text="Str">
      <formula>NOT(ISERROR(SEARCH("Str",B105)))</formula>
    </cfRule>
  </conditionalFormatting>
  <conditionalFormatting sqref="B123:C123">
    <cfRule type="containsText" dxfId="1351" priority="637" operator="containsText" text="Str">
      <formula>NOT(ISERROR(SEARCH("Str",B123)))</formula>
    </cfRule>
    <cfRule type="containsText" dxfId="1350" priority="638" operator="containsText" text="Ere">
      <formula>NOT(ISERROR(SEARCH("Ere",B123)))</formula>
    </cfRule>
    <cfRule type="containsText" dxfId="1349" priority="639" operator="containsText" text="Ear">
      <formula>NOT(ISERROR(SEARCH("Ear",B123)))</formula>
    </cfRule>
    <cfRule type="containsText" dxfId="1348" priority="640" operator="containsText" text="fnd">
      <formula>NOT(ISERROR(SEARCH("fnd",B123)))</formula>
    </cfRule>
  </conditionalFormatting>
  <conditionalFormatting sqref="B136:C136">
    <cfRule type="containsText" dxfId="1347" priority="486" operator="containsText" text="Ere">
      <formula>NOT(ISERROR(SEARCH("Ere",B136)))</formula>
    </cfRule>
    <cfRule type="containsText" dxfId="1346" priority="485" operator="containsText" text="Str">
      <formula>NOT(ISERROR(SEARCH("Str",B136)))</formula>
    </cfRule>
    <cfRule type="containsText" dxfId="1345" priority="488" operator="containsText" text="fnd">
      <formula>NOT(ISERROR(SEARCH("fnd",B136)))</formula>
    </cfRule>
    <cfRule type="containsText" dxfId="1344" priority="487" operator="containsText" text="Ear">
      <formula>NOT(ISERROR(SEARCH("Ear",B136)))</formula>
    </cfRule>
  </conditionalFormatting>
  <conditionalFormatting sqref="C6">
    <cfRule type="containsText" dxfId="1343" priority="278" operator="containsText" text="Ere">
      <formula>NOT(ISERROR(SEARCH("Ere",C6)))</formula>
    </cfRule>
    <cfRule type="containsText" dxfId="1342" priority="279" operator="containsText" text="Ear">
      <formula>NOT(ISERROR(SEARCH("Ear",C6)))</formula>
    </cfRule>
    <cfRule type="containsText" dxfId="1341" priority="280" operator="containsText" text="fnd">
      <formula>NOT(ISERROR(SEARCH("fnd",C6)))</formula>
    </cfRule>
    <cfRule type="containsText" dxfId="1340" priority="277" operator="containsText" text="Str">
      <formula>NOT(ISERROR(SEARCH("Str",C6)))</formula>
    </cfRule>
  </conditionalFormatting>
  <conditionalFormatting sqref="C15">
    <cfRule type="containsText" dxfId="1339" priority="392" operator="containsText" text="fnd">
      <formula>NOT(ISERROR(SEARCH("fnd",C15)))</formula>
    </cfRule>
    <cfRule type="containsText" dxfId="1338" priority="389" operator="containsText" text="Str">
      <formula>NOT(ISERROR(SEARCH("Str",C15)))</formula>
    </cfRule>
    <cfRule type="containsText" dxfId="1337" priority="390" operator="containsText" text="Ere">
      <formula>NOT(ISERROR(SEARCH("Ere",C15)))</formula>
    </cfRule>
    <cfRule type="containsText" dxfId="1336" priority="391" operator="containsText" text="Ear">
      <formula>NOT(ISERROR(SEARCH("Ear",C15)))</formula>
    </cfRule>
  </conditionalFormatting>
  <conditionalFormatting sqref="C24">
    <cfRule type="containsText" dxfId="1335" priority="109" operator="containsText" text="Str">
      <formula>NOT(ISERROR(SEARCH("Str",C24)))</formula>
    </cfRule>
    <cfRule type="containsText" dxfId="1334" priority="110" operator="containsText" text="Ere">
      <formula>NOT(ISERROR(SEARCH("Ere",C24)))</formula>
    </cfRule>
    <cfRule type="containsText" dxfId="1333" priority="111" operator="containsText" text="Ear">
      <formula>NOT(ISERROR(SEARCH("Ear",C24)))</formula>
    </cfRule>
    <cfRule type="containsText" dxfId="1332" priority="112" operator="containsText" text="fnd">
      <formula>NOT(ISERROR(SEARCH("fnd",C24)))</formula>
    </cfRule>
  </conditionalFormatting>
  <conditionalFormatting sqref="C51">
    <cfRule type="containsText" dxfId="1331" priority="1008" operator="containsText" text="fnd">
      <formula>NOT(ISERROR(SEARCH("fnd",C51)))</formula>
    </cfRule>
    <cfRule type="containsText" dxfId="1330" priority="1007" operator="containsText" text="Ear">
      <formula>NOT(ISERROR(SEARCH("Ear",C51)))</formula>
    </cfRule>
    <cfRule type="containsText" dxfId="1329" priority="1005" operator="containsText" text="Str">
      <formula>NOT(ISERROR(SEARCH("Str",C51)))</formula>
    </cfRule>
    <cfRule type="containsText" dxfId="1328" priority="1006" operator="containsText" text="Ere">
      <formula>NOT(ISERROR(SEARCH("Ere",C51)))</formula>
    </cfRule>
  </conditionalFormatting>
  <conditionalFormatting sqref="C87">
    <cfRule type="containsText" dxfId="1327" priority="991" operator="containsText" text="Ear">
      <formula>NOT(ISERROR(SEARCH("Ear",C87)))</formula>
    </cfRule>
    <cfRule type="containsText" dxfId="1326" priority="989" operator="containsText" text="Str">
      <formula>NOT(ISERROR(SEARCH("Str",C87)))</formula>
    </cfRule>
    <cfRule type="containsText" dxfId="1325" priority="990" operator="containsText" text="Ere">
      <formula>NOT(ISERROR(SEARCH("Ere",C87)))</formula>
    </cfRule>
    <cfRule type="containsText" dxfId="1324" priority="992" operator="containsText" text="fnd">
      <formula>NOT(ISERROR(SEARCH("fnd",C87)))</formula>
    </cfRule>
  </conditionalFormatting>
  <conditionalFormatting sqref="E5:E6">
    <cfRule type="containsText" dxfId="1323" priority="349" operator="containsText" text="Str">
      <formula>NOT(ISERROR(SEARCH("Str",E5)))</formula>
    </cfRule>
    <cfRule type="containsText" dxfId="1322" priority="350" operator="containsText" text="Ere">
      <formula>NOT(ISERROR(SEARCH("Ere",E5)))</formula>
    </cfRule>
    <cfRule type="containsText" dxfId="1321" priority="352" operator="containsText" text="fnd">
      <formula>NOT(ISERROR(SEARCH("fnd",E5)))</formula>
    </cfRule>
    <cfRule type="containsText" dxfId="1320" priority="351" operator="containsText" text="Ear">
      <formula>NOT(ISERROR(SEARCH("Ear",E5)))</formula>
    </cfRule>
  </conditionalFormatting>
  <conditionalFormatting sqref="E14:E15">
    <cfRule type="containsText" dxfId="1319" priority="300" operator="containsText" text="fnd">
      <formula>NOT(ISERROR(SEARCH("fnd",E14)))</formula>
    </cfRule>
    <cfRule type="containsText" dxfId="1318" priority="297" operator="containsText" text="Str">
      <formula>NOT(ISERROR(SEARCH("Str",E14)))</formula>
    </cfRule>
    <cfRule type="containsText" dxfId="1317" priority="298" operator="containsText" text="Ere">
      <formula>NOT(ISERROR(SEARCH("Ere",E14)))</formula>
    </cfRule>
    <cfRule type="containsText" dxfId="1316" priority="299" operator="containsText" text="Ear">
      <formula>NOT(ISERROR(SEARCH("Ear",E14)))</formula>
    </cfRule>
  </conditionalFormatting>
  <conditionalFormatting sqref="E23:E24">
    <cfRule type="containsText" dxfId="1315" priority="700" operator="containsText" text="fnd">
      <formula>NOT(ISERROR(SEARCH("fnd",E23)))</formula>
    </cfRule>
    <cfRule type="containsText" dxfId="1314" priority="699" operator="containsText" text="Ear">
      <formula>NOT(ISERROR(SEARCH("Ear",E23)))</formula>
    </cfRule>
    <cfRule type="containsText" dxfId="1313" priority="698" operator="containsText" text="Ere">
      <formula>NOT(ISERROR(SEARCH("Ere",E23)))</formula>
    </cfRule>
    <cfRule type="containsText" dxfId="1312" priority="697" operator="containsText" text="Str">
      <formula>NOT(ISERROR(SEARCH("Str",E23)))</formula>
    </cfRule>
  </conditionalFormatting>
  <conditionalFormatting sqref="E32">
    <cfRule type="containsText" dxfId="1311" priority="206" operator="containsText" text="Ere">
      <formula>NOT(ISERROR(SEARCH("Ere",E32)))</formula>
    </cfRule>
    <cfRule type="containsText" dxfId="1310" priority="208" operator="containsText" text="fnd">
      <formula>NOT(ISERROR(SEARCH("fnd",E32)))</formula>
    </cfRule>
    <cfRule type="containsText" dxfId="1309" priority="207" operator="containsText" text="Ear">
      <formula>NOT(ISERROR(SEARCH("Ear",E32)))</formula>
    </cfRule>
    <cfRule type="containsText" dxfId="1308" priority="205" operator="containsText" text="Str">
      <formula>NOT(ISERROR(SEARCH("Str",E32)))</formula>
    </cfRule>
  </conditionalFormatting>
  <conditionalFormatting sqref="E41:E42">
    <cfRule type="containsText" dxfId="1307" priority="1021" operator="containsText" text="Str">
      <formula>NOT(ISERROR(SEARCH("Str",E41)))</formula>
    </cfRule>
    <cfRule type="containsText" dxfId="1306" priority="1022" operator="containsText" text="Ere">
      <formula>NOT(ISERROR(SEARCH("Ere",E41)))</formula>
    </cfRule>
    <cfRule type="containsText" dxfId="1305" priority="1023" operator="containsText" text="Ear">
      <formula>NOT(ISERROR(SEARCH("Ear",E41)))</formula>
    </cfRule>
    <cfRule type="containsText" dxfId="1304" priority="1024" operator="containsText" text="fnd">
      <formula>NOT(ISERROR(SEARCH("fnd",E41)))</formula>
    </cfRule>
  </conditionalFormatting>
  <conditionalFormatting sqref="E50">
    <cfRule type="containsText" dxfId="1303" priority="1192" operator="containsText" text="fnd">
      <formula>NOT(ISERROR(SEARCH("fnd",E50)))</formula>
    </cfRule>
    <cfRule type="containsText" dxfId="1302" priority="1191" operator="containsText" text="Ear">
      <formula>NOT(ISERROR(SEARCH("Ear",E50)))</formula>
    </cfRule>
    <cfRule type="containsText" dxfId="1301" priority="1189" operator="containsText" text="Str">
      <formula>NOT(ISERROR(SEARCH("Str",E50)))</formula>
    </cfRule>
    <cfRule type="containsText" dxfId="1300" priority="1190" operator="containsText" text="Ere">
      <formula>NOT(ISERROR(SEARCH("Ere",E50)))</formula>
    </cfRule>
  </conditionalFormatting>
  <conditionalFormatting sqref="E59:E60">
    <cfRule type="containsText" dxfId="1299" priority="807" operator="containsText" text="Ear">
      <formula>NOT(ISERROR(SEARCH("Ear",E59)))</formula>
    </cfRule>
    <cfRule type="containsText" dxfId="1298" priority="805" operator="containsText" text="Str">
      <formula>NOT(ISERROR(SEARCH("Str",E59)))</formula>
    </cfRule>
    <cfRule type="containsText" dxfId="1297" priority="808" operator="containsText" text="fnd">
      <formula>NOT(ISERROR(SEARCH("fnd",E59)))</formula>
    </cfRule>
    <cfRule type="containsText" dxfId="1296" priority="806" operator="containsText" text="Ere">
      <formula>NOT(ISERROR(SEARCH("Ere",E59)))</formula>
    </cfRule>
  </conditionalFormatting>
  <conditionalFormatting sqref="E68">
    <cfRule type="containsText" dxfId="1295" priority="24" operator="containsText" text="fnd">
      <formula>NOT(ISERROR(SEARCH("fnd",E68)))</formula>
    </cfRule>
    <cfRule type="containsText" dxfId="1294" priority="22" operator="containsText" text="Ere">
      <formula>NOT(ISERROR(SEARCH("Ere",E68)))</formula>
    </cfRule>
    <cfRule type="containsText" dxfId="1293" priority="21" operator="containsText" text="Str">
      <formula>NOT(ISERROR(SEARCH("Str",E68)))</formula>
    </cfRule>
    <cfRule type="containsText" dxfId="1292" priority="23" operator="containsText" text="Ear">
      <formula>NOT(ISERROR(SEARCH("Ear",E68)))</formula>
    </cfRule>
  </conditionalFormatting>
  <conditionalFormatting sqref="E77">
    <cfRule type="containsText" dxfId="1291" priority="944" operator="containsText" text="fnd">
      <formula>NOT(ISERROR(SEARCH("fnd",E77)))</formula>
    </cfRule>
    <cfRule type="containsText" dxfId="1290" priority="943" operator="containsText" text="Ear">
      <formula>NOT(ISERROR(SEARCH("Ear",E77)))</formula>
    </cfRule>
    <cfRule type="containsText" dxfId="1289" priority="942" operator="containsText" text="Ere">
      <formula>NOT(ISERROR(SEARCH("Ere",E77)))</formula>
    </cfRule>
    <cfRule type="containsText" dxfId="1288" priority="941" operator="containsText" text="Str">
      <formula>NOT(ISERROR(SEARCH("Str",E77)))</formula>
    </cfRule>
  </conditionalFormatting>
  <conditionalFormatting sqref="E96">
    <cfRule type="containsText" dxfId="1287" priority="865" operator="containsText" text="Str">
      <formula>NOT(ISERROR(SEARCH("Str",E96)))</formula>
    </cfRule>
    <cfRule type="containsText" dxfId="1286" priority="866" operator="containsText" text="Ere">
      <formula>NOT(ISERROR(SEARCH("Ere",E96)))</formula>
    </cfRule>
    <cfRule type="containsText" dxfId="1285" priority="867" operator="containsText" text="Ear">
      <formula>NOT(ISERROR(SEARCH("Ear",E96)))</formula>
    </cfRule>
    <cfRule type="containsText" dxfId="1284" priority="868" operator="containsText" text="fnd">
      <formula>NOT(ISERROR(SEARCH("fnd",E96)))</formula>
    </cfRule>
  </conditionalFormatting>
  <conditionalFormatting sqref="E104">
    <cfRule type="containsText" dxfId="1283" priority="883" operator="containsText" text="Ear">
      <formula>NOT(ISERROR(SEARCH("Ear",E104)))</formula>
    </cfRule>
    <cfRule type="containsText" dxfId="1282" priority="881" operator="containsText" text="Str">
      <formula>NOT(ISERROR(SEARCH("Str",E104)))</formula>
    </cfRule>
    <cfRule type="containsText" dxfId="1281" priority="882" operator="containsText" text="Ere">
      <formula>NOT(ISERROR(SEARCH("Ere",E104)))</formula>
    </cfRule>
    <cfRule type="containsText" dxfId="1280" priority="884" operator="containsText" text="fnd">
      <formula>NOT(ISERROR(SEARCH("fnd",E104)))</formula>
    </cfRule>
  </conditionalFormatting>
  <conditionalFormatting sqref="E113">
    <cfRule type="containsText" dxfId="1279" priority="717" operator="containsText" text="Str">
      <formula>NOT(ISERROR(SEARCH("Str",E113)))</formula>
    </cfRule>
    <cfRule type="containsText" dxfId="1278" priority="718" operator="containsText" text="Ere">
      <formula>NOT(ISERROR(SEARCH("Ere",E113)))</formula>
    </cfRule>
    <cfRule type="containsText" dxfId="1277" priority="719" operator="containsText" text="Ear">
      <formula>NOT(ISERROR(SEARCH("Ear",E113)))</formula>
    </cfRule>
    <cfRule type="containsText" dxfId="1276" priority="720" operator="containsText" text="fnd">
      <formula>NOT(ISERROR(SEARCH("fnd",E113)))</formula>
    </cfRule>
  </conditionalFormatting>
  <conditionalFormatting sqref="E122">
    <cfRule type="containsText" dxfId="1275" priority="461" operator="containsText" text="Str">
      <formula>NOT(ISERROR(SEARCH("Str",E122)))</formula>
    </cfRule>
    <cfRule type="containsText" dxfId="1274" priority="463" operator="containsText" text="Ear">
      <formula>NOT(ISERROR(SEARCH("Ear",E122)))</formula>
    </cfRule>
    <cfRule type="containsText" dxfId="1273" priority="464" operator="containsText" text="fnd">
      <formula>NOT(ISERROR(SEARCH("fnd",E122)))</formula>
    </cfRule>
    <cfRule type="containsText" dxfId="1272" priority="462" operator="containsText" text="Ere">
      <formula>NOT(ISERROR(SEARCH("Ere",E122)))</formula>
    </cfRule>
  </conditionalFormatting>
  <conditionalFormatting sqref="E131:E134">
    <cfRule type="containsText" dxfId="1271" priority="915" operator="containsText" text="Ear">
      <formula>NOT(ISERROR(SEARCH("Ear",E131)))</formula>
    </cfRule>
    <cfRule type="containsText" dxfId="1270" priority="914" operator="containsText" text="Ere">
      <formula>NOT(ISERROR(SEARCH("Ere",E131)))</formula>
    </cfRule>
    <cfRule type="containsText" dxfId="1269" priority="913" operator="containsText" text="Str">
      <formula>NOT(ISERROR(SEARCH("Str",E131)))</formula>
    </cfRule>
    <cfRule type="containsText" dxfId="1268" priority="916" operator="containsText" text="fnd">
      <formula>NOT(ISERROR(SEARCH("fnd",E131)))</formula>
    </cfRule>
  </conditionalFormatting>
  <conditionalFormatting sqref="E136">
    <cfRule type="containsText" dxfId="1267" priority="276" operator="containsText" text="fnd">
      <formula>NOT(ISERROR(SEARCH("fnd",E136)))</formula>
    </cfRule>
    <cfRule type="containsText" dxfId="1266" priority="273" operator="containsText" text="Str">
      <formula>NOT(ISERROR(SEARCH("Str",E136)))</formula>
    </cfRule>
    <cfRule type="containsText" dxfId="1265" priority="274" operator="containsText" text="Ere">
      <formula>NOT(ISERROR(SEARCH("Ere",E136)))</formula>
    </cfRule>
    <cfRule type="containsText" dxfId="1264" priority="275" operator="containsText" text="Ear">
      <formula>NOT(ISERROR(SEARCH("Ear",E136)))</formula>
    </cfRule>
  </conditionalFormatting>
  <conditionalFormatting sqref="E144">
    <cfRule type="containsText" dxfId="1263" priority="1053" operator="containsText" text="Str">
      <formula>NOT(ISERROR(SEARCH("Str",E144)))</formula>
    </cfRule>
    <cfRule type="containsText" dxfId="1262" priority="1054" operator="containsText" text="Ere">
      <formula>NOT(ISERROR(SEARCH("Ere",E144)))</formula>
    </cfRule>
    <cfRule type="containsText" dxfId="1261" priority="1055" operator="containsText" text="Ear">
      <formula>NOT(ISERROR(SEARCH("Ear",E144)))</formula>
    </cfRule>
    <cfRule type="containsText" dxfId="1260" priority="1056" operator="containsText" text="fnd">
      <formula>NOT(ISERROR(SEARCH("fnd",E144)))</formula>
    </cfRule>
  </conditionalFormatting>
  <conditionalFormatting sqref="E33:F33">
    <cfRule type="containsText" dxfId="1259" priority="209" operator="containsText" text="Str">
      <formula>NOT(ISERROR(SEARCH("Str",E33)))</formula>
    </cfRule>
    <cfRule type="containsText" dxfId="1258" priority="210" operator="containsText" text="Ere">
      <formula>NOT(ISERROR(SEARCH("Ere",E33)))</formula>
    </cfRule>
    <cfRule type="containsText" dxfId="1257" priority="212" operator="containsText" text="fnd">
      <formula>NOT(ISERROR(SEARCH("fnd",E33)))</formula>
    </cfRule>
    <cfRule type="containsText" dxfId="1256" priority="211" operator="containsText" text="Ear">
      <formula>NOT(ISERROR(SEARCH("Ear",E33)))</formula>
    </cfRule>
  </conditionalFormatting>
  <conditionalFormatting sqref="E51:F51">
    <cfRule type="containsText" dxfId="1255" priority="1308" operator="containsText" text="fnd">
      <formula>NOT(ISERROR(SEARCH("fnd",E51)))</formula>
    </cfRule>
    <cfRule type="containsText" dxfId="1254" priority="1307" operator="containsText" text="Ear">
      <formula>NOT(ISERROR(SEARCH("Ear",E51)))</formula>
    </cfRule>
    <cfRule type="containsText" dxfId="1253" priority="1306" operator="containsText" text="Ere">
      <formula>NOT(ISERROR(SEARCH("Ere",E51)))</formula>
    </cfRule>
    <cfRule type="containsText" dxfId="1252" priority="1305" operator="containsText" text="Str">
      <formula>NOT(ISERROR(SEARCH("Str",E51)))</formula>
    </cfRule>
  </conditionalFormatting>
  <conditionalFormatting sqref="E69:F69">
    <cfRule type="containsText" dxfId="1251" priority="27" operator="containsText" text="Ear">
      <formula>NOT(ISERROR(SEARCH("Ear",E69)))</formula>
    </cfRule>
    <cfRule type="containsText" dxfId="1250" priority="26" operator="containsText" text="Ere">
      <formula>NOT(ISERROR(SEARCH("Ere",E69)))</formula>
    </cfRule>
    <cfRule type="containsText" dxfId="1249" priority="25" operator="containsText" text="Str">
      <formula>NOT(ISERROR(SEARCH("Str",E69)))</formula>
    </cfRule>
    <cfRule type="containsText" dxfId="1248" priority="28" operator="containsText" text="fnd">
      <formula>NOT(ISERROR(SEARCH("fnd",E69)))</formula>
    </cfRule>
  </conditionalFormatting>
  <conditionalFormatting sqref="E105:F105">
    <cfRule type="containsText" dxfId="1247" priority="887" operator="containsText" text="Ear">
      <formula>NOT(ISERROR(SEARCH("Ear",E105)))</formula>
    </cfRule>
    <cfRule type="containsText" dxfId="1246" priority="886" operator="containsText" text="Ere">
      <formula>NOT(ISERROR(SEARCH("Ere",E105)))</formula>
    </cfRule>
    <cfRule type="containsText" dxfId="1245" priority="885" operator="containsText" text="Str">
      <formula>NOT(ISERROR(SEARCH("Str",E105)))</formula>
    </cfRule>
    <cfRule type="containsText" dxfId="1244" priority="888" operator="containsText" text="fnd">
      <formula>NOT(ISERROR(SEARCH("fnd",E105)))</formula>
    </cfRule>
  </conditionalFormatting>
  <conditionalFormatting sqref="E114:F114">
    <cfRule type="containsText" dxfId="1243" priority="721" operator="containsText" text="Str">
      <formula>NOT(ISERROR(SEARCH("Str",E114)))</formula>
    </cfRule>
    <cfRule type="containsText" dxfId="1242" priority="724" operator="containsText" text="fnd">
      <formula>NOT(ISERROR(SEARCH("fnd",E114)))</formula>
    </cfRule>
    <cfRule type="containsText" dxfId="1241" priority="723" operator="containsText" text="Ear">
      <formula>NOT(ISERROR(SEARCH("Ear",E114)))</formula>
    </cfRule>
    <cfRule type="containsText" dxfId="1240" priority="722" operator="containsText" text="Ere">
      <formula>NOT(ISERROR(SEARCH("Ere",E114)))</formula>
    </cfRule>
  </conditionalFormatting>
  <conditionalFormatting sqref="E123:F123">
    <cfRule type="containsText" dxfId="1239" priority="467" operator="containsText" text="Ear">
      <formula>NOT(ISERROR(SEARCH("Ear",E123)))</formula>
    </cfRule>
    <cfRule type="containsText" dxfId="1238" priority="466" operator="containsText" text="Ere">
      <formula>NOT(ISERROR(SEARCH("Ere",E123)))</formula>
    </cfRule>
    <cfRule type="containsText" dxfId="1237" priority="465" operator="containsText" text="Str">
      <formula>NOT(ISERROR(SEARCH("Str",E123)))</formula>
    </cfRule>
    <cfRule type="containsText" dxfId="1236" priority="468" operator="containsText" text="fnd">
      <formula>NOT(ISERROR(SEARCH("fnd",E123)))</formula>
    </cfRule>
  </conditionalFormatting>
  <conditionalFormatting sqref="E145:F145">
    <cfRule type="containsText" dxfId="1235" priority="1059" operator="containsText" text="Ear">
      <formula>NOT(ISERROR(SEARCH("Ear",E145)))</formula>
    </cfRule>
    <cfRule type="containsText" dxfId="1234" priority="1060" operator="containsText" text="fnd">
      <formula>NOT(ISERROR(SEARCH("fnd",E145)))</formula>
    </cfRule>
    <cfRule type="containsText" dxfId="1233" priority="1058" operator="containsText" text="Ere">
      <formula>NOT(ISERROR(SEARCH("Ere",E145)))</formula>
    </cfRule>
    <cfRule type="containsText" dxfId="1232" priority="1057" operator="containsText" text="Str">
      <formula>NOT(ISERROR(SEARCH("Str",E145)))</formula>
    </cfRule>
  </conditionalFormatting>
  <conditionalFormatting sqref="F6">
    <cfRule type="containsText" dxfId="1231" priority="347" operator="containsText" text="Ear">
      <formula>NOT(ISERROR(SEARCH("Ear",F6)))</formula>
    </cfRule>
    <cfRule type="containsText" dxfId="1230" priority="346" operator="containsText" text="Ere">
      <formula>NOT(ISERROR(SEARCH("Ere",F6)))</formula>
    </cfRule>
    <cfRule type="containsText" dxfId="1229" priority="345" operator="containsText" text="Str">
      <formula>NOT(ISERROR(SEARCH("Str",F6)))</formula>
    </cfRule>
    <cfRule type="containsText" dxfId="1228" priority="348" operator="containsText" text="fnd">
      <formula>NOT(ISERROR(SEARCH("fnd",F6)))</formula>
    </cfRule>
  </conditionalFormatting>
  <conditionalFormatting sqref="F15">
    <cfRule type="containsText" dxfId="1227" priority="296" operator="containsText" text="fnd">
      <formula>NOT(ISERROR(SEARCH("fnd",F15)))</formula>
    </cfRule>
    <cfRule type="containsText" dxfId="1226" priority="294" operator="containsText" text="Ere">
      <formula>NOT(ISERROR(SEARCH("Ere",F15)))</formula>
    </cfRule>
    <cfRule type="containsText" dxfId="1225" priority="293" operator="containsText" text="Str">
      <formula>NOT(ISERROR(SEARCH("Str",F15)))</formula>
    </cfRule>
    <cfRule type="containsText" dxfId="1224" priority="295" operator="containsText" text="Ear">
      <formula>NOT(ISERROR(SEARCH("Ear",F15)))</formula>
    </cfRule>
  </conditionalFormatting>
  <conditionalFormatting sqref="F24">
    <cfRule type="containsText" dxfId="1223" priority="696" operator="containsText" text="fnd">
      <formula>NOT(ISERROR(SEARCH("fnd",F24)))</formula>
    </cfRule>
    <cfRule type="containsText" dxfId="1222" priority="695" operator="containsText" text="Ear">
      <formula>NOT(ISERROR(SEARCH("Ear",F24)))</formula>
    </cfRule>
    <cfRule type="containsText" dxfId="1221" priority="693" operator="containsText" text="Str">
      <formula>NOT(ISERROR(SEARCH("Str",F24)))</formula>
    </cfRule>
    <cfRule type="containsText" dxfId="1220" priority="694" operator="containsText" text="Ere">
      <formula>NOT(ISERROR(SEARCH("Ere",F24)))</formula>
    </cfRule>
  </conditionalFormatting>
  <conditionalFormatting sqref="F42">
    <cfRule type="containsText" dxfId="1219" priority="1019" operator="containsText" text="Ear">
      <formula>NOT(ISERROR(SEARCH("Ear",F42)))</formula>
    </cfRule>
    <cfRule type="containsText" dxfId="1218" priority="1018" operator="containsText" text="Ere">
      <formula>NOT(ISERROR(SEARCH("Ere",F42)))</formula>
    </cfRule>
    <cfRule type="containsText" dxfId="1217" priority="1017" operator="containsText" text="Str">
      <formula>NOT(ISERROR(SEARCH("Str",F42)))</formula>
    </cfRule>
    <cfRule type="containsText" dxfId="1216" priority="1020" operator="containsText" text="fnd">
      <formula>NOT(ISERROR(SEARCH("fnd",F42)))</formula>
    </cfRule>
  </conditionalFormatting>
  <conditionalFormatting sqref="F60">
    <cfRule type="containsText" dxfId="1215" priority="802" operator="containsText" text="Ere">
      <formula>NOT(ISERROR(SEARCH("Ere",F60)))</formula>
    </cfRule>
    <cfRule type="containsText" dxfId="1214" priority="804" operator="containsText" text="fnd">
      <formula>NOT(ISERROR(SEARCH("fnd",F60)))</formula>
    </cfRule>
    <cfRule type="containsText" dxfId="1213" priority="803" operator="containsText" text="Ear">
      <formula>NOT(ISERROR(SEARCH("Ear",F60)))</formula>
    </cfRule>
    <cfRule type="containsText" dxfId="1212" priority="801" operator="containsText" text="Str">
      <formula>NOT(ISERROR(SEARCH("Str",F60)))</formula>
    </cfRule>
  </conditionalFormatting>
  <conditionalFormatting sqref="F87">
    <cfRule type="containsText" dxfId="1211" priority="813" operator="containsText" text="Str">
      <formula>NOT(ISERROR(SEARCH("Str",F87)))</formula>
    </cfRule>
    <cfRule type="containsText" dxfId="1210" priority="814" operator="containsText" text="Ere">
      <formula>NOT(ISERROR(SEARCH("Ere",F87)))</formula>
    </cfRule>
    <cfRule type="containsText" dxfId="1209" priority="816" operator="containsText" text="fnd">
      <formula>NOT(ISERROR(SEARCH("fnd",F87)))</formula>
    </cfRule>
    <cfRule type="containsText" dxfId="1208" priority="815" operator="containsText" text="Ear">
      <formula>NOT(ISERROR(SEARCH("Ear",F87)))</formula>
    </cfRule>
  </conditionalFormatting>
  <conditionalFormatting sqref="H5:H6">
    <cfRule type="containsText" dxfId="1207" priority="177" operator="containsText" text="Str">
      <formula>NOT(ISERROR(SEARCH("Str",H5)))</formula>
    </cfRule>
    <cfRule type="containsText" dxfId="1206" priority="178" operator="containsText" text="Ere">
      <formula>NOT(ISERROR(SEARCH("Ere",H5)))</formula>
    </cfRule>
    <cfRule type="containsText" dxfId="1205" priority="179" operator="containsText" text="Ear">
      <formula>NOT(ISERROR(SEARCH("Ear",H5)))</formula>
    </cfRule>
    <cfRule type="containsText" dxfId="1204" priority="180" operator="containsText" text="fnd">
      <formula>NOT(ISERROR(SEARCH("fnd",H5)))</formula>
    </cfRule>
  </conditionalFormatting>
  <conditionalFormatting sqref="H14:H15">
    <cfRule type="containsText" dxfId="1203" priority="372" operator="containsText" text="fnd">
      <formula>NOT(ISERROR(SEARCH("fnd",H14)))</formula>
    </cfRule>
    <cfRule type="containsText" dxfId="1202" priority="371" operator="containsText" text="Ear">
      <formula>NOT(ISERROR(SEARCH("Ear",H14)))</formula>
    </cfRule>
    <cfRule type="containsText" dxfId="1201" priority="370" operator="containsText" text="Ere">
      <formula>NOT(ISERROR(SEARCH("Ere",H14)))</formula>
    </cfRule>
    <cfRule type="containsText" dxfId="1200" priority="369" operator="containsText" text="Str">
      <formula>NOT(ISERROR(SEARCH("Str",H14)))</formula>
    </cfRule>
  </conditionalFormatting>
  <conditionalFormatting sqref="H23:H24">
    <cfRule type="containsText" dxfId="1199" priority="691" operator="containsText" text="Ear">
      <formula>NOT(ISERROR(SEARCH("Ear",H23)))</formula>
    </cfRule>
    <cfRule type="containsText" dxfId="1198" priority="690" operator="containsText" text="Ere">
      <formula>NOT(ISERROR(SEARCH("Ere",H23)))</formula>
    </cfRule>
    <cfRule type="containsText" dxfId="1197" priority="689" operator="containsText" text="Str">
      <formula>NOT(ISERROR(SEARCH("Str",H23)))</formula>
    </cfRule>
    <cfRule type="containsText" dxfId="1196" priority="692" operator="containsText" text="fnd">
      <formula>NOT(ISERROR(SEARCH("fnd",H23)))</formula>
    </cfRule>
  </conditionalFormatting>
  <conditionalFormatting sqref="H32">
    <cfRule type="containsText" dxfId="1195" priority="221" operator="containsText" text="Str">
      <formula>NOT(ISERROR(SEARCH("Str",H32)))</formula>
    </cfRule>
    <cfRule type="containsText" dxfId="1194" priority="222" operator="containsText" text="Ere">
      <formula>NOT(ISERROR(SEARCH("Ere",H32)))</formula>
    </cfRule>
    <cfRule type="containsText" dxfId="1193" priority="223" operator="containsText" text="Ear">
      <formula>NOT(ISERROR(SEARCH("Ear",H32)))</formula>
    </cfRule>
    <cfRule type="containsText" dxfId="1192" priority="224" operator="containsText" text="fnd">
      <formula>NOT(ISERROR(SEARCH("fnd",H32)))</formula>
    </cfRule>
  </conditionalFormatting>
  <conditionalFormatting sqref="H50">
    <cfRule type="containsText" dxfId="1191" priority="1213" operator="containsText" text="Str">
      <formula>NOT(ISERROR(SEARCH("Str",H50)))</formula>
    </cfRule>
    <cfRule type="containsText" dxfId="1190" priority="1216" operator="containsText" text="fnd">
      <formula>NOT(ISERROR(SEARCH("fnd",H50)))</formula>
    </cfRule>
    <cfRule type="containsText" dxfId="1189" priority="1215" operator="containsText" text="Ear">
      <formula>NOT(ISERROR(SEARCH("Ear",H50)))</formula>
    </cfRule>
    <cfRule type="containsText" dxfId="1188" priority="1214" operator="containsText" text="Ere">
      <formula>NOT(ISERROR(SEARCH("Ere",H50)))</formula>
    </cfRule>
  </conditionalFormatting>
  <conditionalFormatting sqref="H68">
    <cfRule type="containsText" dxfId="1187" priority="642" operator="containsText" text="Ere">
      <formula>NOT(ISERROR(SEARCH("Ere",H68)))</formula>
    </cfRule>
    <cfRule type="containsText" dxfId="1186" priority="643" operator="containsText" text="Ear">
      <formula>NOT(ISERROR(SEARCH("Ear",H68)))</formula>
    </cfRule>
    <cfRule type="containsText" dxfId="1185" priority="641" operator="containsText" text="Str">
      <formula>NOT(ISERROR(SEARCH("Str",H68)))</formula>
    </cfRule>
    <cfRule type="containsText" dxfId="1184" priority="644" operator="containsText" text="fnd">
      <formula>NOT(ISERROR(SEARCH("fnd",H68)))</formula>
    </cfRule>
  </conditionalFormatting>
  <conditionalFormatting sqref="H77">
    <cfRule type="containsText" dxfId="1183" priority="1169" operator="containsText" text="Str">
      <formula>NOT(ISERROR(SEARCH("Str",H77)))</formula>
    </cfRule>
    <cfRule type="containsText" dxfId="1182" priority="1172" operator="containsText" text="fnd">
      <formula>NOT(ISERROR(SEARCH("fnd",H77)))</formula>
    </cfRule>
    <cfRule type="containsText" dxfId="1181" priority="1171" operator="containsText" text="Ear">
      <formula>NOT(ISERROR(SEARCH("Ear",H77)))</formula>
    </cfRule>
    <cfRule type="containsText" dxfId="1180" priority="1170" operator="containsText" text="Ere">
      <formula>NOT(ISERROR(SEARCH("Ere",H77)))</formula>
    </cfRule>
  </conditionalFormatting>
  <conditionalFormatting sqref="H96 K96:L96 N96:O96">
    <cfRule type="containsText" dxfId="1179" priority="1273" operator="containsText" text="Str">
      <formula>NOT(ISERROR(SEARCH("Str",H96)))</formula>
    </cfRule>
    <cfRule type="containsText" dxfId="1178" priority="1275" operator="containsText" text="Ear">
      <formula>NOT(ISERROR(SEARCH("Ear",H96)))</formula>
    </cfRule>
    <cfRule type="containsText" dxfId="1177" priority="1276" operator="containsText" text="fnd">
      <formula>NOT(ISERROR(SEARCH("fnd",H96)))</formula>
    </cfRule>
    <cfRule type="containsText" dxfId="1176" priority="1274" operator="containsText" text="Ere">
      <formula>NOT(ISERROR(SEARCH("Ere",H96)))</formula>
    </cfRule>
  </conditionalFormatting>
  <conditionalFormatting sqref="H104">
    <cfRule type="containsText" dxfId="1175" priority="785" operator="containsText" text="Str">
      <formula>NOT(ISERROR(SEARCH("Str",H104)))</formula>
    </cfRule>
    <cfRule type="containsText" dxfId="1174" priority="788" operator="containsText" text="fnd">
      <formula>NOT(ISERROR(SEARCH("fnd",H104)))</formula>
    </cfRule>
    <cfRule type="containsText" dxfId="1173" priority="787" operator="containsText" text="Ear">
      <formula>NOT(ISERROR(SEARCH("Ear",H104)))</formula>
    </cfRule>
    <cfRule type="containsText" dxfId="1172" priority="786" operator="containsText" text="Ere">
      <formula>NOT(ISERROR(SEARCH("Ere",H104)))</formula>
    </cfRule>
  </conditionalFormatting>
  <conditionalFormatting sqref="H113">
    <cfRule type="containsText" dxfId="1171" priority="135" operator="containsText" text="Ear">
      <formula>NOT(ISERROR(SEARCH("Ear",H113)))</formula>
    </cfRule>
    <cfRule type="containsText" dxfId="1170" priority="136" operator="containsText" text="fnd">
      <formula>NOT(ISERROR(SEARCH("fnd",H113)))</formula>
    </cfRule>
    <cfRule type="containsText" dxfId="1169" priority="133" operator="containsText" text="Str">
      <formula>NOT(ISERROR(SEARCH("Str",H113)))</formula>
    </cfRule>
    <cfRule type="containsText" dxfId="1168" priority="134" operator="containsText" text="Ere">
      <formula>NOT(ISERROR(SEARCH("Ere",H113)))</formula>
    </cfRule>
  </conditionalFormatting>
  <conditionalFormatting sqref="H122">
    <cfRule type="containsText" dxfId="1167" priority="610" operator="containsText" text="Ere">
      <formula>NOT(ISERROR(SEARCH("Ere",H122)))</formula>
    </cfRule>
    <cfRule type="containsText" dxfId="1166" priority="609" operator="containsText" text="Str">
      <formula>NOT(ISERROR(SEARCH("Str",H122)))</formula>
    </cfRule>
    <cfRule type="containsText" dxfId="1165" priority="611" operator="containsText" text="Ear">
      <formula>NOT(ISERROR(SEARCH("Ear",H122)))</formula>
    </cfRule>
    <cfRule type="containsText" dxfId="1164" priority="612" operator="containsText" text="fnd">
      <formula>NOT(ISERROR(SEARCH("fnd",H122)))</formula>
    </cfRule>
  </conditionalFormatting>
  <conditionalFormatting sqref="H131:H134">
    <cfRule type="containsText" dxfId="1163" priority="14" operator="containsText" text="Ere">
      <formula>NOT(ISERROR(SEARCH("Ere",H131)))</formula>
    </cfRule>
    <cfRule type="containsText" dxfId="1162" priority="15" operator="containsText" text="Ear">
      <formula>NOT(ISERROR(SEARCH("Ear",H131)))</formula>
    </cfRule>
    <cfRule type="containsText" dxfId="1161" priority="13" operator="containsText" text="Str">
      <formula>NOT(ISERROR(SEARCH("Str",H131)))</formula>
    </cfRule>
    <cfRule type="containsText" dxfId="1160" priority="16" operator="containsText" text="fnd">
      <formula>NOT(ISERROR(SEARCH("fnd",H131)))</formula>
    </cfRule>
  </conditionalFormatting>
  <conditionalFormatting sqref="H33:I33">
    <cfRule type="containsText" dxfId="1159" priority="225" operator="containsText" text="Str">
      <formula>NOT(ISERROR(SEARCH("Str",H33)))</formula>
    </cfRule>
    <cfRule type="containsText" dxfId="1158" priority="226" operator="containsText" text="Ere">
      <formula>NOT(ISERROR(SEARCH("Ere",H33)))</formula>
    </cfRule>
    <cfRule type="containsText" dxfId="1157" priority="227" operator="containsText" text="Ear">
      <formula>NOT(ISERROR(SEARCH("Ear",H33)))</formula>
    </cfRule>
    <cfRule type="containsText" dxfId="1156" priority="228" operator="containsText" text="fnd">
      <formula>NOT(ISERROR(SEARCH("fnd",H33)))</formula>
    </cfRule>
  </conditionalFormatting>
  <conditionalFormatting sqref="H42:I42">
    <cfRule type="containsText" dxfId="1155" priority="1377" operator="containsText" text="Str">
      <formula>NOT(ISERROR(SEARCH("Str",H42)))</formula>
    </cfRule>
    <cfRule type="containsText" dxfId="1154" priority="1378" operator="containsText" text="Ere">
      <formula>NOT(ISERROR(SEARCH("Ere",H42)))</formula>
    </cfRule>
    <cfRule type="containsText" dxfId="1153" priority="1379" operator="containsText" text="Ear">
      <formula>NOT(ISERROR(SEARCH("Ear",H42)))</formula>
    </cfRule>
    <cfRule type="containsText" dxfId="1152" priority="1380" operator="containsText" text="fnd">
      <formula>NOT(ISERROR(SEARCH("fnd",H42)))</formula>
    </cfRule>
  </conditionalFormatting>
  <conditionalFormatting sqref="H51:I51">
    <cfRule type="containsText" dxfId="1151" priority="1310" operator="containsText" text="Ere">
      <formula>NOT(ISERROR(SEARCH("Ere",H51)))</formula>
    </cfRule>
    <cfRule type="containsText" dxfId="1150" priority="1311" operator="containsText" text="Ear">
      <formula>NOT(ISERROR(SEARCH("Ear",H51)))</formula>
    </cfRule>
    <cfRule type="containsText" dxfId="1149" priority="1312" operator="containsText" text="fnd">
      <formula>NOT(ISERROR(SEARCH("fnd",H51)))</formula>
    </cfRule>
    <cfRule type="containsText" dxfId="1148" priority="1309" operator="containsText" text="Str">
      <formula>NOT(ISERROR(SEARCH("Str",H51)))</formula>
    </cfRule>
  </conditionalFormatting>
  <conditionalFormatting sqref="H69:I69">
    <cfRule type="containsText" dxfId="1147" priority="647" operator="containsText" text="Ear">
      <formula>NOT(ISERROR(SEARCH("Ear",H69)))</formula>
    </cfRule>
    <cfRule type="containsText" dxfId="1146" priority="648" operator="containsText" text="fnd">
      <formula>NOT(ISERROR(SEARCH("fnd",H69)))</formula>
    </cfRule>
    <cfRule type="containsText" dxfId="1145" priority="645" operator="containsText" text="Str">
      <formula>NOT(ISERROR(SEARCH("Str",H69)))</formula>
    </cfRule>
    <cfRule type="containsText" dxfId="1144" priority="646" operator="containsText" text="Ere">
      <formula>NOT(ISERROR(SEARCH("Ere",H69)))</formula>
    </cfRule>
  </conditionalFormatting>
  <conditionalFormatting sqref="H105:I105">
    <cfRule type="containsText" dxfId="1143" priority="790" operator="containsText" text="Ere">
      <formula>NOT(ISERROR(SEARCH("Ere",H105)))</formula>
    </cfRule>
    <cfRule type="containsText" dxfId="1142" priority="792" operator="containsText" text="fnd">
      <formula>NOT(ISERROR(SEARCH("fnd",H105)))</formula>
    </cfRule>
    <cfRule type="containsText" dxfId="1141" priority="789" operator="containsText" text="Str">
      <formula>NOT(ISERROR(SEARCH("Str",H105)))</formula>
    </cfRule>
    <cfRule type="containsText" dxfId="1140" priority="791" operator="containsText" text="Ear">
      <formula>NOT(ISERROR(SEARCH("Ear",H105)))</formula>
    </cfRule>
  </conditionalFormatting>
  <conditionalFormatting sqref="H114:I114">
    <cfRule type="containsText" dxfId="1139" priority="137" operator="containsText" text="Str">
      <formula>NOT(ISERROR(SEARCH("Str",H114)))</formula>
    </cfRule>
    <cfRule type="containsText" dxfId="1138" priority="138" operator="containsText" text="Ere">
      <formula>NOT(ISERROR(SEARCH("Ere",H114)))</formula>
    </cfRule>
    <cfRule type="containsText" dxfId="1137" priority="140" operator="containsText" text="fnd">
      <formula>NOT(ISERROR(SEARCH("fnd",H114)))</formula>
    </cfRule>
    <cfRule type="containsText" dxfId="1136" priority="139" operator="containsText" text="Ear">
      <formula>NOT(ISERROR(SEARCH("Ear",H114)))</formula>
    </cfRule>
  </conditionalFormatting>
  <conditionalFormatting sqref="H123:I123">
    <cfRule type="containsText" dxfId="1135" priority="614" operator="containsText" text="Ere">
      <formula>NOT(ISERROR(SEARCH("Ere",H123)))</formula>
    </cfRule>
    <cfRule type="containsText" dxfId="1134" priority="613" operator="containsText" text="Str">
      <formula>NOT(ISERROR(SEARCH("Str",H123)))</formula>
    </cfRule>
    <cfRule type="containsText" dxfId="1133" priority="615" operator="containsText" text="Ear">
      <formula>NOT(ISERROR(SEARCH("Ear",H123)))</formula>
    </cfRule>
    <cfRule type="containsText" dxfId="1132" priority="616" operator="containsText" text="fnd">
      <formula>NOT(ISERROR(SEARCH("fnd",H123)))</formula>
    </cfRule>
  </conditionalFormatting>
  <conditionalFormatting sqref="H136:I136">
    <cfRule type="containsText" dxfId="1131" priority="8" operator="containsText" text="fnd">
      <formula>NOT(ISERROR(SEARCH("fnd",H136)))</formula>
    </cfRule>
    <cfRule type="containsText" dxfId="1130" priority="7" operator="containsText" text="Ear">
      <formula>NOT(ISERROR(SEARCH("Ear",H136)))</formula>
    </cfRule>
    <cfRule type="containsText" dxfId="1129" priority="6" operator="containsText" text="Ere">
      <formula>NOT(ISERROR(SEARCH("Ere",H136)))</formula>
    </cfRule>
    <cfRule type="containsText" dxfId="1128" priority="5" operator="containsText" text="Str">
      <formula>NOT(ISERROR(SEARCH("Str",H136)))</formula>
    </cfRule>
  </conditionalFormatting>
  <conditionalFormatting sqref="I6">
    <cfRule type="containsText" dxfId="1127" priority="174" operator="containsText" text="Ere">
      <formula>NOT(ISERROR(SEARCH("Ere",I6)))</formula>
    </cfRule>
    <cfRule type="containsText" dxfId="1126" priority="175" operator="containsText" text="Ear">
      <formula>NOT(ISERROR(SEARCH("Ear",I6)))</formula>
    </cfRule>
    <cfRule type="containsText" dxfId="1125" priority="176" operator="containsText" text="fnd">
      <formula>NOT(ISERROR(SEARCH("fnd",I6)))</formula>
    </cfRule>
    <cfRule type="containsText" dxfId="1124" priority="173" operator="containsText" text="Str">
      <formula>NOT(ISERROR(SEARCH("Str",I6)))</formula>
    </cfRule>
  </conditionalFormatting>
  <conditionalFormatting sqref="I15">
    <cfRule type="containsText" dxfId="1123" priority="366" operator="containsText" text="Ere">
      <formula>NOT(ISERROR(SEARCH("Ere",I15)))</formula>
    </cfRule>
    <cfRule type="containsText" dxfId="1122" priority="365" operator="containsText" text="Str">
      <formula>NOT(ISERROR(SEARCH("Str",I15)))</formula>
    </cfRule>
    <cfRule type="containsText" dxfId="1121" priority="368" operator="containsText" text="fnd">
      <formula>NOT(ISERROR(SEARCH("fnd",I15)))</formula>
    </cfRule>
    <cfRule type="containsText" dxfId="1120" priority="367" operator="containsText" text="Ear">
      <formula>NOT(ISERROR(SEARCH("Ear",I15)))</formula>
    </cfRule>
  </conditionalFormatting>
  <conditionalFormatting sqref="I24">
    <cfRule type="containsText" dxfId="1119" priority="685" operator="containsText" text="Str">
      <formula>NOT(ISERROR(SEARCH("Str",I24)))</formula>
    </cfRule>
    <cfRule type="containsText" dxfId="1118" priority="686" operator="containsText" text="Ere">
      <formula>NOT(ISERROR(SEARCH("Ere",I24)))</formula>
    </cfRule>
    <cfRule type="containsText" dxfId="1117" priority="687" operator="containsText" text="Ear">
      <formula>NOT(ISERROR(SEARCH("Ear",I24)))</formula>
    </cfRule>
    <cfRule type="containsText" dxfId="1116" priority="688" operator="containsText" text="fnd">
      <formula>NOT(ISERROR(SEARCH("fnd",I24)))</formula>
    </cfRule>
  </conditionalFormatting>
  <conditionalFormatting sqref="I60">
    <cfRule type="containsText" dxfId="1115" priority="958" operator="containsText" text="Ere">
      <formula>NOT(ISERROR(SEARCH("Ere",I60)))</formula>
    </cfRule>
    <cfRule type="containsText" dxfId="1114" priority="960" operator="containsText" text="fnd">
      <formula>NOT(ISERROR(SEARCH("fnd",I60)))</formula>
    </cfRule>
    <cfRule type="containsText" dxfId="1113" priority="959" operator="containsText" text="Ear">
      <formula>NOT(ISERROR(SEARCH("Ear",I60)))</formula>
    </cfRule>
    <cfRule type="containsText" dxfId="1112" priority="957" operator="containsText" text="Str">
      <formula>NOT(ISERROR(SEARCH("Str",I60)))</formula>
    </cfRule>
  </conditionalFormatting>
  <conditionalFormatting sqref="I87">
    <cfRule type="containsText" dxfId="1111" priority="784" operator="containsText" text="fnd">
      <formula>NOT(ISERROR(SEARCH("fnd",I87)))</formula>
    </cfRule>
    <cfRule type="containsText" dxfId="1110" priority="782" operator="containsText" text="Ere">
      <formula>NOT(ISERROR(SEARCH("Ere",I87)))</formula>
    </cfRule>
    <cfRule type="containsText" dxfId="1109" priority="783" operator="containsText" text="Ear">
      <formula>NOT(ISERROR(SEARCH("Ear",I87)))</formula>
    </cfRule>
    <cfRule type="containsText" dxfId="1108" priority="781" operator="containsText" text="Str">
      <formula>NOT(ISERROR(SEARCH("Str",I87)))</formula>
    </cfRule>
  </conditionalFormatting>
  <conditionalFormatting sqref="K5:K6">
    <cfRule type="containsText" dxfId="1107" priority="269" operator="containsText" text="Str">
      <formula>NOT(ISERROR(SEARCH("Str",K5)))</formula>
    </cfRule>
    <cfRule type="containsText" dxfId="1106" priority="270" operator="containsText" text="Ere">
      <formula>NOT(ISERROR(SEARCH("Ere",K5)))</formula>
    </cfRule>
    <cfRule type="containsText" dxfId="1105" priority="271" operator="containsText" text="Ear">
      <formula>NOT(ISERROR(SEARCH("Ear",K5)))</formula>
    </cfRule>
    <cfRule type="containsText" dxfId="1104" priority="272" operator="containsText" text="fnd">
      <formula>NOT(ISERROR(SEARCH("fnd",K5)))</formula>
    </cfRule>
  </conditionalFormatting>
  <conditionalFormatting sqref="K14:K15">
    <cfRule type="containsText" dxfId="1103" priority="434" operator="containsText" text="Ere">
      <formula>NOT(ISERROR(SEARCH("Ere",K14)))</formula>
    </cfRule>
    <cfRule type="containsText" dxfId="1102" priority="433" operator="containsText" text="Str">
      <formula>NOT(ISERROR(SEARCH("Str",K14)))</formula>
    </cfRule>
    <cfRule type="containsText" dxfId="1101" priority="436" operator="containsText" text="fnd">
      <formula>NOT(ISERROR(SEARCH("fnd",K14)))</formula>
    </cfRule>
    <cfRule type="containsText" dxfId="1100" priority="435" operator="containsText" text="Ear">
      <formula>NOT(ISERROR(SEARCH("Ear",K14)))</formula>
    </cfRule>
  </conditionalFormatting>
  <conditionalFormatting sqref="K23:K24">
    <cfRule type="containsText" dxfId="1099" priority="631" operator="containsText" text="Ear">
      <formula>NOT(ISERROR(SEARCH("Ear",K23)))</formula>
    </cfRule>
    <cfRule type="containsText" dxfId="1098" priority="632" operator="containsText" text="fnd">
      <formula>NOT(ISERROR(SEARCH("fnd",K23)))</formula>
    </cfRule>
    <cfRule type="containsText" dxfId="1097" priority="629" operator="containsText" text="Str">
      <formula>NOT(ISERROR(SEARCH("Str",K23)))</formula>
    </cfRule>
    <cfRule type="containsText" dxfId="1096" priority="630" operator="containsText" text="Ere">
      <formula>NOT(ISERROR(SEARCH("Ere",K23)))</formula>
    </cfRule>
  </conditionalFormatting>
  <conditionalFormatting sqref="K32">
    <cfRule type="containsText" dxfId="1095" priority="199" operator="containsText" text="Ear">
      <formula>NOT(ISERROR(SEARCH("Ear",K32)))</formula>
    </cfRule>
    <cfRule type="containsText" dxfId="1094" priority="200" operator="containsText" text="fnd">
      <formula>NOT(ISERROR(SEARCH("fnd",K32)))</formula>
    </cfRule>
    <cfRule type="containsText" dxfId="1093" priority="197" operator="containsText" text="Str">
      <formula>NOT(ISERROR(SEARCH("Str",K32)))</formula>
    </cfRule>
    <cfRule type="containsText" dxfId="1092" priority="198" operator="containsText" text="Ere">
      <formula>NOT(ISERROR(SEARCH("Ere",K32)))</formula>
    </cfRule>
  </conditionalFormatting>
  <conditionalFormatting sqref="K50:K51">
    <cfRule type="containsText" dxfId="1091" priority="967" operator="containsText" text="Ear">
      <formula>NOT(ISERROR(SEARCH("Ear",K50)))</formula>
    </cfRule>
    <cfRule type="containsText" dxfId="1090" priority="965" operator="containsText" text="Str">
      <formula>NOT(ISERROR(SEARCH("Str",K50)))</formula>
    </cfRule>
    <cfRule type="containsText" dxfId="1089" priority="966" operator="containsText" text="Ere">
      <formula>NOT(ISERROR(SEARCH("Ere",K50)))</formula>
    </cfRule>
    <cfRule type="containsText" dxfId="1088" priority="968" operator="containsText" text="fnd">
      <formula>NOT(ISERROR(SEARCH("fnd",K50)))</formula>
    </cfRule>
  </conditionalFormatting>
  <conditionalFormatting sqref="K68">
    <cfRule type="containsText" dxfId="1087" priority="577" operator="containsText" text="Str">
      <formula>NOT(ISERROR(SEARCH("Str",K68)))</formula>
    </cfRule>
    <cfRule type="containsText" dxfId="1086" priority="579" operator="containsText" text="Ear">
      <formula>NOT(ISERROR(SEARCH("Ear",K68)))</formula>
    </cfRule>
    <cfRule type="containsText" dxfId="1085" priority="578" operator="containsText" text="Ere">
      <formula>NOT(ISERROR(SEARCH("Ere",K68)))</formula>
    </cfRule>
    <cfRule type="containsText" dxfId="1084" priority="580" operator="containsText" text="fnd">
      <formula>NOT(ISERROR(SEARCH("fnd",K68)))</formula>
    </cfRule>
  </conditionalFormatting>
  <conditionalFormatting sqref="K86 T86 AC86:AC87 AF86:AF87 AI86:AI87 AL86:AL87">
    <cfRule type="containsText" dxfId="1083" priority="1280" operator="containsText" text="fnd">
      <formula>NOT(ISERROR(SEARCH("fnd",K86)))</formula>
    </cfRule>
    <cfRule type="containsText" dxfId="1082" priority="1279" operator="containsText" text="Ear">
      <formula>NOT(ISERROR(SEARCH("Ear",K86)))</formula>
    </cfRule>
    <cfRule type="containsText" dxfId="1081" priority="1278" operator="containsText" text="Ere">
      <formula>NOT(ISERROR(SEARCH("Ere",K86)))</formula>
    </cfRule>
    <cfRule type="containsText" dxfId="1080" priority="1277" operator="containsText" text="Str">
      <formula>NOT(ISERROR(SEARCH("Str",K86)))</formula>
    </cfRule>
  </conditionalFormatting>
  <conditionalFormatting sqref="K95 N95">
    <cfRule type="containsText" dxfId="1079" priority="1269" operator="containsText" text="Str">
      <formula>NOT(ISERROR(SEARCH("Str",K95)))</formula>
    </cfRule>
    <cfRule type="containsText" dxfId="1078" priority="1271" operator="containsText" text="Ear">
      <formula>NOT(ISERROR(SEARCH("Ear",K95)))</formula>
    </cfRule>
    <cfRule type="containsText" dxfId="1077" priority="1272" operator="containsText" text="fnd">
      <formula>NOT(ISERROR(SEARCH("fnd",K95)))</formula>
    </cfRule>
    <cfRule type="containsText" dxfId="1076" priority="1270" operator="containsText" text="Ere">
      <formula>NOT(ISERROR(SEARCH("Ere",K95)))</formula>
    </cfRule>
  </conditionalFormatting>
  <conditionalFormatting sqref="K104">
    <cfRule type="containsText" dxfId="1075" priority="1233" operator="containsText" text="Str">
      <formula>NOT(ISERROR(SEARCH("Str",K104)))</formula>
    </cfRule>
    <cfRule type="containsText" dxfId="1074" priority="1234" operator="containsText" text="Ere">
      <formula>NOT(ISERROR(SEARCH("Ere",K104)))</formula>
    </cfRule>
    <cfRule type="containsText" dxfId="1073" priority="1235" operator="containsText" text="Ear">
      <formula>NOT(ISERROR(SEARCH("Ear",K104)))</formula>
    </cfRule>
    <cfRule type="containsText" dxfId="1072" priority="1236" operator="containsText" text="fnd">
      <formula>NOT(ISERROR(SEARCH("fnd",K104)))</formula>
    </cfRule>
  </conditionalFormatting>
  <conditionalFormatting sqref="K113">
    <cfRule type="containsText" dxfId="1071" priority="127" operator="containsText" text="Ear">
      <formula>NOT(ISERROR(SEARCH("Ear",K113)))</formula>
    </cfRule>
    <cfRule type="containsText" dxfId="1070" priority="125" operator="containsText" text="Str">
      <formula>NOT(ISERROR(SEARCH("Str",K113)))</formula>
    </cfRule>
    <cfRule type="containsText" dxfId="1069" priority="128" operator="containsText" text="fnd">
      <formula>NOT(ISERROR(SEARCH("fnd",K113)))</formula>
    </cfRule>
    <cfRule type="containsText" dxfId="1068" priority="126" operator="containsText" text="Ere">
      <formula>NOT(ISERROR(SEARCH("Ere",K113)))</formula>
    </cfRule>
  </conditionalFormatting>
  <conditionalFormatting sqref="K122">
    <cfRule type="containsText" dxfId="1067" priority="603" operator="containsText" text="Ear">
      <formula>NOT(ISERROR(SEARCH("Ear",K122)))</formula>
    </cfRule>
    <cfRule type="containsText" dxfId="1066" priority="604" operator="containsText" text="fnd">
      <formula>NOT(ISERROR(SEARCH("fnd",K122)))</formula>
    </cfRule>
    <cfRule type="containsText" dxfId="1065" priority="602" operator="containsText" text="Ere">
      <formula>NOT(ISERROR(SEARCH("Ere",K122)))</formula>
    </cfRule>
    <cfRule type="containsText" dxfId="1064" priority="601" operator="containsText" text="Str">
      <formula>NOT(ISERROR(SEARCH("Str",K122)))</formula>
    </cfRule>
  </conditionalFormatting>
  <conditionalFormatting sqref="K131:K134">
    <cfRule type="containsText" dxfId="1063" priority="12" operator="containsText" text="fnd">
      <formula>NOT(ISERROR(SEARCH("fnd",K131)))</formula>
    </cfRule>
    <cfRule type="containsText" dxfId="1062" priority="11" operator="containsText" text="Ear">
      <formula>NOT(ISERROR(SEARCH("Ear",K131)))</formula>
    </cfRule>
    <cfRule type="containsText" dxfId="1061" priority="10" operator="containsText" text="Ere">
      <formula>NOT(ISERROR(SEARCH("Ere",K131)))</formula>
    </cfRule>
    <cfRule type="containsText" dxfId="1060" priority="9" operator="containsText" text="Str">
      <formula>NOT(ISERROR(SEARCH("Str",K131)))</formula>
    </cfRule>
  </conditionalFormatting>
  <conditionalFormatting sqref="K136">
    <cfRule type="containsText" dxfId="1059" priority="2" operator="containsText" text="Ere">
      <formula>NOT(ISERROR(SEARCH("Ere",K136)))</formula>
    </cfRule>
    <cfRule type="containsText" dxfId="1058" priority="3" operator="containsText" text="Ear">
      <formula>NOT(ISERROR(SEARCH("Ear",K136)))</formula>
    </cfRule>
    <cfRule type="containsText" dxfId="1057" priority="1" operator="containsText" text="Str">
      <formula>NOT(ISERROR(SEARCH("Str",K136)))</formula>
    </cfRule>
    <cfRule type="containsText" dxfId="1056" priority="4" operator="containsText" text="fnd">
      <formula>NOT(ISERROR(SEARCH("fnd",K136)))</formula>
    </cfRule>
  </conditionalFormatting>
  <conditionalFormatting sqref="K144:K145">
    <cfRule type="containsText" dxfId="1055" priority="1064" operator="containsText" text="fnd">
      <formula>NOT(ISERROR(SEARCH("fnd",K144)))</formula>
    </cfRule>
    <cfRule type="containsText" dxfId="1054" priority="1063" operator="containsText" text="Ear">
      <formula>NOT(ISERROR(SEARCH("Ear",K144)))</formula>
    </cfRule>
    <cfRule type="containsText" dxfId="1053" priority="1062" operator="containsText" text="Ere">
      <formula>NOT(ISERROR(SEARCH("Ere",K144)))</formula>
    </cfRule>
    <cfRule type="containsText" dxfId="1052" priority="1061" operator="containsText" text="Str">
      <formula>NOT(ISERROR(SEARCH("Str",K144)))</formula>
    </cfRule>
  </conditionalFormatting>
  <conditionalFormatting sqref="K33:L33">
    <cfRule type="containsText" dxfId="1051" priority="201" operator="containsText" text="Str">
      <formula>NOT(ISERROR(SEARCH("Str",K33)))</formula>
    </cfRule>
    <cfRule type="containsText" dxfId="1050" priority="202" operator="containsText" text="Ere">
      <formula>NOT(ISERROR(SEARCH("Ere",K33)))</formula>
    </cfRule>
    <cfRule type="containsText" dxfId="1049" priority="203" operator="containsText" text="Ear">
      <formula>NOT(ISERROR(SEARCH("Ear",K33)))</formula>
    </cfRule>
    <cfRule type="containsText" dxfId="1048" priority="204" operator="containsText" text="fnd">
      <formula>NOT(ISERROR(SEARCH("fnd",K33)))</formula>
    </cfRule>
  </conditionalFormatting>
  <conditionalFormatting sqref="K42:L42">
    <cfRule type="containsText" dxfId="1047" priority="1376" operator="containsText" text="fnd">
      <formula>NOT(ISERROR(SEARCH("fnd",K42)))</formula>
    </cfRule>
    <cfRule type="containsText" dxfId="1046" priority="1375" operator="containsText" text="Ear">
      <formula>NOT(ISERROR(SEARCH("Ear",K42)))</formula>
    </cfRule>
    <cfRule type="containsText" dxfId="1045" priority="1373" operator="containsText" text="Str">
      <formula>NOT(ISERROR(SEARCH("Str",K42)))</formula>
    </cfRule>
    <cfRule type="containsText" dxfId="1044" priority="1374" operator="containsText" text="Ere">
      <formula>NOT(ISERROR(SEARCH("Ere",K42)))</formula>
    </cfRule>
  </conditionalFormatting>
  <conditionalFormatting sqref="K60:L60">
    <cfRule type="containsText" dxfId="1043" priority="1337" operator="containsText" text="Str">
      <formula>NOT(ISERROR(SEARCH("Str",K60)))</formula>
    </cfRule>
    <cfRule type="containsText" dxfId="1042" priority="1338" operator="containsText" text="Ere">
      <formula>NOT(ISERROR(SEARCH("Ere",K60)))</formula>
    </cfRule>
    <cfRule type="containsText" dxfId="1041" priority="1339" operator="containsText" text="Ear">
      <formula>NOT(ISERROR(SEARCH("Ear",K60)))</formula>
    </cfRule>
    <cfRule type="containsText" dxfId="1040" priority="1340" operator="containsText" text="fnd">
      <formula>NOT(ISERROR(SEARCH("fnd",K60)))</formula>
    </cfRule>
  </conditionalFormatting>
  <conditionalFormatting sqref="K69:L69">
    <cfRule type="containsText" dxfId="1039" priority="584" operator="containsText" text="fnd">
      <formula>NOT(ISERROR(SEARCH("fnd",K69)))</formula>
    </cfRule>
    <cfRule type="containsText" dxfId="1038" priority="583" operator="containsText" text="Ear">
      <formula>NOT(ISERROR(SEARCH("Ear",K69)))</formula>
    </cfRule>
    <cfRule type="containsText" dxfId="1037" priority="582" operator="containsText" text="Ere">
      <formula>NOT(ISERROR(SEARCH("Ere",K69)))</formula>
    </cfRule>
    <cfRule type="containsText" dxfId="1036" priority="581" operator="containsText" text="Str">
      <formula>NOT(ISERROR(SEARCH("Str",K69)))</formula>
    </cfRule>
  </conditionalFormatting>
  <conditionalFormatting sqref="K87:L87 T87:U87">
    <cfRule type="containsText" dxfId="1035" priority="1285" operator="containsText" text="Str">
      <formula>NOT(ISERROR(SEARCH("Str",K87)))</formula>
    </cfRule>
    <cfRule type="containsText" dxfId="1034" priority="1286" operator="containsText" text="Ere">
      <formula>NOT(ISERROR(SEARCH("Ere",K87)))</formula>
    </cfRule>
    <cfRule type="containsText" dxfId="1033" priority="1287" operator="containsText" text="Ear">
      <formula>NOT(ISERROR(SEARCH("Ear",K87)))</formula>
    </cfRule>
    <cfRule type="containsText" dxfId="1032" priority="1288" operator="containsText" text="fnd">
      <formula>NOT(ISERROR(SEARCH("fnd",K87)))</formula>
    </cfRule>
  </conditionalFormatting>
  <conditionalFormatting sqref="K105:L105">
    <cfRule type="containsText" dxfId="1031" priority="1246" operator="containsText" text="Ere">
      <formula>NOT(ISERROR(SEARCH("Ere",K105)))</formula>
    </cfRule>
    <cfRule type="containsText" dxfId="1030" priority="1245" operator="containsText" text="Str">
      <formula>NOT(ISERROR(SEARCH("Str",K105)))</formula>
    </cfRule>
    <cfRule type="containsText" dxfId="1029" priority="1247" operator="containsText" text="Ear">
      <formula>NOT(ISERROR(SEARCH("Ear",K105)))</formula>
    </cfRule>
    <cfRule type="containsText" dxfId="1028" priority="1248" operator="containsText" text="fnd">
      <formula>NOT(ISERROR(SEARCH("fnd",K105)))</formula>
    </cfRule>
  </conditionalFormatting>
  <conditionalFormatting sqref="K114:L114">
    <cfRule type="containsText" dxfId="1027" priority="132" operator="containsText" text="fnd">
      <formula>NOT(ISERROR(SEARCH("fnd",K114)))</formula>
    </cfRule>
    <cfRule type="containsText" dxfId="1026" priority="131" operator="containsText" text="Ear">
      <formula>NOT(ISERROR(SEARCH("Ear",K114)))</formula>
    </cfRule>
    <cfRule type="containsText" dxfId="1025" priority="129" operator="containsText" text="Str">
      <formula>NOT(ISERROR(SEARCH("Str",K114)))</formula>
    </cfRule>
    <cfRule type="containsText" dxfId="1024" priority="130" operator="containsText" text="Ere">
      <formula>NOT(ISERROR(SEARCH("Ere",K114)))</formula>
    </cfRule>
  </conditionalFormatting>
  <conditionalFormatting sqref="K123:L123">
    <cfRule type="containsText" dxfId="1023" priority="606" operator="containsText" text="Ere">
      <formula>NOT(ISERROR(SEARCH("Ere",K123)))</formula>
    </cfRule>
    <cfRule type="containsText" dxfId="1022" priority="605" operator="containsText" text="Str">
      <formula>NOT(ISERROR(SEARCH("Str",K123)))</formula>
    </cfRule>
    <cfRule type="containsText" dxfId="1021" priority="607" operator="containsText" text="Ear">
      <formula>NOT(ISERROR(SEARCH("Ear",K123)))</formula>
    </cfRule>
    <cfRule type="containsText" dxfId="1020" priority="608" operator="containsText" text="fnd">
      <formula>NOT(ISERROR(SEARCH("fnd",K123)))</formula>
    </cfRule>
  </conditionalFormatting>
  <conditionalFormatting sqref="L6">
    <cfRule type="containsText" dxfId="1019" priority="266" operator="containsText" text="Ere">
      <formula>NOT(ISERROR(SEARCH("Ere",L6)))</formula>
    </cfRule>
    <cfRule type="containsText" dxfId="1018" priority="267" operator="containsText" text="Ear">
      <formula>NOT(ISERROR(SEARCH("Ear",L6)))</formula>
    </cfRule>
    <cfRule type="containsText" dxfId="1017" priority="265" operator="containsText" text="Str">
      <formula>NOT(ISERROR(SEARCH("Str",L6)))</formula>
    </cfRule>
    <cfRule type="containsText" dxfId="1016" priority="268" operator="containsText" text="fnd">
      <formula>NOT(ISERROR(SEARCH("fnd",L6)))</formula>
    </cfRule>
  </conditionalFormatting>
  <conditionalFormatting sqref="L15">
    <cfRule type="containsText" dxfId="1015" priority="430" operator="containsText" text="Ere">
      <formula>NOT(ISERROR(SEARCH("Ere",L15)))</formula>
    </cfRule>
    <cfRule type="containsText" dxfId="1014" priority="432" operator="containsText" text="fnd">
      <formula>NOT(ISERROR(SEARCH("fnd",L15)))</formula>
    </cfRule>
    <cfRule type="containsText" dxfId="1013" priority="431" operator="containsText" text="Ear">
      <formula>NOT(ISERROR(SEARCH("Ear",L15)))</formula>
    </cfRule>
    <cfRule type="containsText" dxfId="1012" priority="429" operator="containsText" text="Str">
      <formula>NOT(ISERROR(SEARCH("Str",L15)))</formula>
    </cfRule>
  </conditionalFormatting>
  <conditionalFormatting sqref="L24">
    <cfRule type="containsText" dxfId="1011" priority="628" operator="containsText" text="fnd">
      <formula>NOT(ISERROR(SEARCH("fnd",L24)))</formula>
    </cfRule>
    <cfRule type="containsText" dxfId="1010" priority="627" operator="containsText" text="Ear">
      <formula>NOT(ISERROR(SEARCH("Ear",L24)))</formula>
    </cfRule>
    <cfRule type="containsText" dxfId="1009" priority="626" operator="containsText" text="Ere">
      <formula>NOT(ISERROR(SEARCH("Ere",L24)))</formula>
    </cfRule>
    <cfRule type="containsText" dxfId="1008" priority="625" operator="containsText" text="Str">
      <formula>NOT(ISERROR(SEARCH("Str",L24)))</formula>
    </cfRule>
  </conditionalFormatting>
  <conditionalFormatting sqref="N5:N6">
    <cfRule type="containsText" dxfId="1007" priority="358" operator="containsText" text="Ere">
      <formula>NOT(ISERROR(SEARCH("Ere",N5)))</formula>
    </cfRule>
    <cfRule type="containsText" dxfId="1006" priority="359" operator="containsText" text="Ear">
      <formula>NOT(ISERROR(SEARCH("Ear",N5)))</formula>
    </cfRule>
    <cfRule type="containsText" dxfId="1005" priority="360" operator="containsText" text="fnd">
      <formula>NOT(ISERROR(SEARCH("fnd",N5)))</formula>
    </cfRule>
    <cfRule type="containsText" dxfId="1004" priority="357" operator="containsText" text="Str">
      <formula>NOT(ISERROR(SEARCH("Str",N5)))</formula>
    </cfRule>
  </conditionalFormatting>
  <conditionalFormatting sqref="N14:N15">
    <cfRule type="containsText" dxfId="1003" priority="451" operator="containsText" text="Ear">
      <formula>NOT(ISERROR(SEARCH("Ear",N14)))</formula>
    </cfRule>
    <cfRule type="containsText" dxfId="1002" priority="452" operator="containsText" text="fnd">
      <formula>NOT(ISERROR(SEARCH("fnd",N14)))</formula>
    </cfRule>
    <cfRule type="containsText" dxfId="1001" priority="450" operator="containsText" text="Ere">
      <formula>NOT(ISERROR(SEARCH("Ere",N14)))</formula>
    </cfRule>
    <cfRule type="containsText" dxfId="1000" priority="449" operator="containsText" text="Str">
      <formula>NOT(ISERROR(SEARCH("Str",N14)))</formula>
    </cfRule>
  </conditionalFormatting>
  <conditionalFormatting sqref="N23:N24">
    <cfRule type="containsText" dxfId="999" priority="330" operator="containsText" text="Ere">
      <formula>NOT(ISERROR(SEARCH("Ere",N23)))</formula>
    </cfRule>
    <cfRule type="containsText" dxfId="998" priority="332" operator="containsText" text="fnd">
      <formula>NOT(ISERROR(SEARCH("fnd",N23)))</formula>
    </cfRule>
    <cfRule type="containsText" dxfId="997" priority="331" operator="containsText" text="Ear">
      <formula>NOT(ISERROR(SEARCH("Ear",N23)))</formula>
    </cfRule>
    <cfRule type="containsText" dxfId="996" priority="329" operator="containsText" text="Str">
      <formula>NOT(ISERROR(SEARCH("Str",N23)))</formula>
    </cfRule>
  </conditionalFormatting>
  <conditionalFormatting sqref="N32">
    <cfRule type="containsText" dxfId="995" priority="183" operator="containsText" text="Ear">
      <formula>NOT(ISERROR(SEARCH("Ear",N32)))</formula>
    </cfRule>
    <cfRule type="containsText" dxfId="994" priority="181" operator="containsText" text="Str">
      <formula>NOT(ISERROR(SEARCH("Str",N32)))</formula>
    </cfRule>
    <cfRule type="containsText" dxfId="993" priority="182" operator="containsText" text="Ere">
      <formula>NOT(ISERROR(SEARCH("Ere",N32)))</formula>
    </cfRule>
    <cfRule type="containsText" dxfId="992" priority="184" operator="containsText" text="fnd">
      <formula>NOT(ISERROR(SEARCH("fnd",N32)))</formula>
    </cfRule>
  </conditionalFormatting>
  <conditionalFormatting sqref="N41">
    <cfRule type="containsText" dxfId="991" priority="1367" operator="containsText" text="Ear">
      <formula>NOT(ISERROR(SEARCH("Ear",N41)))</formula>
    </cfRule>
    <cfRule type="containsText" dxfId="990" priority="1366" operator="containsText" text="Ere">
      <formula>NOT(ISERROR(SEARCH("Ere",N41)))</formula>
    </cfRule>
    <cfRule type="containsText" dxfId="989" priority="1365" operator="containsText" text="Str">
      <formula>NOT(ISERROR(SEARCH("Str",N41)))</formula>
    </cfRule>
    <cfRule type="containsText" dxfId="988" priority="1368" operator="containsText" text="fnd">
      <formula>NOT(ISERROR(SEARCH("fnd",N41)))</formula>
    </cfRule>
  </conditionalFormatting>
  <conditionalFormatting sqref="N50 Q50 T50 W50">
    <cfRule type="containsText" dxfId="987" priority="1298" operator="containsText" text="Ere">
      <formula>NOT(ISERROR(SEARCH("Ere",N50)))</formula>
    </cfRule>
    <cfRule type="containsText" dxfId="986" priority="1297" operator="containsText" text="Str">
      <formula>NOT(ISERROR(SEARCH("Str",N50)))</formula>
    </cfRule>
    <cfRule type="containsText" dxfId="985" priority="1300" operator="containsText" text="fnd">
      <formula>NOT(ISERROR(SEARCH("fnd",N50)))</formula>
    </cfRule>
    <cfRule type="containsText" dxfId="984" priority="1299" operator="containsText" text="Ear">
      <formula>NOT(ISERROR(SEARCH("Ear",N50)))</formula>
    </cfRule>
  </conditionalFormatting>
  <conditionalFormatting sqref="N59">
    <cfRule type="containsText" dxfId="983" priority="1222" operator="containsText" text="Ere">
      <formula>NOT(ISERROR(SEARCH("Ere",N59)))</formula>
    </cfRule>
    <cfRule type="containsText" dxfId="982" priority="1224" operator="containsText" text="fnd">
      <formula>NOT(ISERROR(SEARCH("fnd",N59)))</formula>
    </cfRule>
    <cfRule type="containsText" dxfId="981" priority="1221" operator="containsText" text="Str">
      <formula>NOT(ISERROR(SEARCH("Str",N59)))</formula>
    </cfRule>
    <cfRule type="containsText" dxfId="980" priority="1223" operator="containsText" text="Ear">
      <formula>NOT(ISERROR(SEARCH("Ear",N59)))</formula>
    </cfRule>
  </conditionalFormatting>
  <conditionalFormatting sqref="N68">
    <cfRule type="containsText" dxfId="979" priority="677" operator="containsText" text="Str">
      <formula>NOT(ISERROR(SEARCH("Str",N68)))</formula>
    </cfRule>
    <cfRule type="containsText" dxfId="978" priority="678" operator="containsText" text="Ere">
      <formula>NOT(ISERROR(SEARCH("Ere",N68)))</formula>
    </cfRule>
    <cfRule type="containsText" dxfId="977" priority="679" operator="containsText" text="Ear">
      <formula>NOT(ISERROR(SEARCH("Ear",N68)))</formula>
    </cfRule>
    <cfRule type="containsText" dxfId="976" priority="680" operator="containsText" text="fnd">
      <formula>NOT(ISERROR(SEARCH("fnd",N68)))</formula>
    </cfRule>
  </conditionalFormatting>
  <conditionalFormatting sqref="N104">
    <cfRule type="containsText" dxfId="975" priority="794" operator="containsText" text="Ere">
      <formula>NOT(ISERROR(SEARCH("Ere",N104)))</formula>
    </cfRule>
    <cfRule type="containsText" dxfId="974" priority="796" operator="containsText" text="fnd">
      <formula>NOT(ISERROR(SEARCH("fnd",N104)))</formula>
    </cfRule>
    <cfRule type="containsText" dxfId="973" priority="793" operator="containsText" text="Str">
      <formula>NOT(ISERROR(SEARCH("Str",N104)))</formula>
    </cfRule>
    <cfRule type="containsText" dxfId="972" priority="795" operator="containsText" text="Ear">
      <formula>NOT(ISERROR(SEARCH("Ear",N104)))</formula>
    </cfRule>
  </conditionalFormatting>
  <conditionalFormatting sqref="N113:N114">
    <cfRule type="containsText" dxfId="971" priority="984" operator="containsText" text="fnd">
      <formula>NOT(ISERROR(SEARCH("fnd",N113)))</formula>
    </cfRule>
    <cfRule type="containsText" dxfId="970" priority="981" operator="containsText" text="Str">
      <formula>NOT(ISERROR(SEARCH("Str",N113)))</formula>
    </cfRule>
    <cfRule type="containsText" dxfId="969" priority="982" operator="containsText" text="Ere">
      <formula>NOT(ISERROR(SEARCH("Ere",N113)))</formula>
    </cfRule>
    <cfRule type="containsText" dxfId="968" priority="983" operator="containsText" text="Ear">
      <formula>NOT(ISERROR(SEARCH("Ear",N113)))</formula>
    </cfRule>
  </conditionalFormatting>
  <conditionalFormatting sqref="N122">
    <cfRule type="containsText" dxfId="967" priority="539" operator="containsText" text="Ear">
      <formula>NOT(ISERROR(SEARCH("Ear",N122)))</formula>
    </cfRule>
    <cfRule type="containsText" dxfId="966" priority="538" operator="containsText" text="Ere">
      <formula>NOT(ISERROR(SEARCH("Ere",N122)))</formula>
    </cfRule>
    <cfRule type="containsText" dxfId="965" priority="537" operator="containsText" text="Str">
      <formula>NOT(ISERROR(SEARCH("Str",N122)))</formula>
    </cfRule>
    <cfRule type="containsText" dxfId="964" priority="540" operator="containsText" text="fnd">
      <formula>NOT(ISERROR(SEARCH("fnd",N122)))</formula>
    </cfRule>
  </conditionalFormatting>
  <conditionalFormatting sqref="N132:N135">
    <cfRule type="containsText" dxfId="963" priority="932" operator="containsText" text="fnd">
      <formula>NOT(ISERROR(SEARCH("fnd",N132)))</formula>
    </cfRule>
    <cfRule type="containsText" dxfId="962" priority="930" operator="containsText" text="Ere">
      <formula>NOT(ISERROR(SEARCH("Ere",N132)))</formula>
    </cfRule>
    <cfRule type="containsText" dxfId="961" priority="929" operator="containsText" text="Str">
      <formula>NOT(ISERROR(SEARCH("Str",N132)))</formula>
    </cfRule>
    <cfRule type="containsText" dxfId="960" priority="931" operator="containsText" text="Ear">
      <formula>NOT(ISERROR(SEARCH("Ear",N132)))</formula>
    </cfRule>
  </conditionalFormatting>
  <conditionalFormatting sqref="N33:O33">
    <cfRule type="containsText" dxfId="959" priority="187" operator="containsText" text="Ear">
      <formula>NOT(ISERROR(SEARCH("Ear",N33)))</formula>
    </cfRule>
    <cfRule type="containsText" dxfId="958" priority="188" operator="containsText" text="fnd">
      <formula>NOT(ISERROR(SEARCH("fnd",N33)))</formula>
    </cfRule>
    <cfRule type="containsText" dxfId="957" priority="185" operator="containsText" text="Str">
      <formula>NOT(ISERROR(SEARCH("Str",N33)))</formula>
    </cfRule>
    <cfRule type="containsText" dxfId="956" priority="186" operator="containsText" text="Ere">
      <formula>NOT(ISERROR(SEARCH("Ere",N33)))</formula>
    </cfRule>
  </conditionalFormatting>
  <conditionalFormatting sqref="N42:O42">
    <cfRule type="containsText" dxfId="955" priority="1389" operator="containsText" text="Str">
      <formula>NOT(ISERROR(SEARCH("Str",N42)))</formula>
    </cfRule>
    <cfRule type="containsText" dxfId="954" priority="1392" operator="containsText" text="fnd">
      <formula>NOT(ISERROR(SEARCH("fnd",N42)))</formula>
    </cfRule>
    <cfRule type="containsText" dxfId="953" priority="1391" operator="containsText" text="Ear">
      <formula>NOT(ISERROR(SEARCH("Ear",N42)))</formula>
    </cfRule>
    <cfRule type="containsText" dxfId="952" priority="1390" operator="containsText" text="Ere">
      <formula>NOT(ISERROR(SEARCH("Ere",N42)))</formula>
    </cfRule>
  </conditionalFormatting>
  <conditionalFormatting sqref="N51:O51">
    <cfRule type="containsText" dxfId="951" priority="1313" operator="containsText" text="Str">
      <formula>NOT(ISERROR(SEARCH("Str",N51)))</formula>
    </cfRule>
    <cfRule type="containsText" dxfId="950" priority="1314" operator="containsText" text="Ere">
      <formula>NOT(ISERROR(SEARCH("Ere",N51)))</formula>
    </cfRule>
    <cfRule type="containsText" dxfId="949" priority="1315" operator="containsText" text="Ear">
      <formula>NOT(ISERROR(SEARCH("Ear",N51)))</formula>
    </cfRule>
    <cfRule type="containsText" dxfId="948" priority="1316" operator="containsText" text="fnd">
      <formula>NOT(ISERROR(SEARCH("fnd",N51)))</formula>
    </cfRule>
  </conditionalFormatting>
  <conditionalFormatting sqref="N60:O60">
    <cfRule type="containsText" dxfId="947" priority="1336" operator="containsText" text="fnd">
      <formula>NOT(ISERROR(SEARCH("fnd",N60)))</formula>
    </cfRule>
    <cfRule type="containsText" dxfId="946" priority="1335" operator="containsText" text="Ear">
      <formula>NOT(ISERROR(SEARCH("Ear",N60)))</formula>
    </cfRule>
    <cfRule type="containsText" dxfId="945" priority="1334" operator="containsText" text="Ere">
      <formula>NOT(ISERROR(SEARCH("Ere",N60)))</formula>
    </cfRule>
    <cfRule type="containsText" dxfId="944" priority="1333" operator="containsText" text="Str">
      <formula>NOT(ISERROR(SEARCH("Str",N60)))</formula>
    </cfRule>
  </conditionalFormatting>
  <conditionalFormatting sqref="N69:O69">
    <cfRule type="containsText" dxfId="943" priority="682" operator="containsText" text="Ere">
      <formula>NOT(ISERROR(SEARCH("Ere",N69)))</formula>
    </cfRule>
    <cfRule type="containsText" dxfId="942" priority="681" operator="containsText" text="Str">
      <formula>NOT(ISERROR(SEARCH("Str",N69)))</formula>
    </cfRule>
    <cfRule type="containsText" dxfId="941" priority="683" operator="containsText" text="Ear">
      <formula>NOT(ISERROR(SEARCH("Ear",N69)))</formula>
    </cfRule>
    <cfRule type="containsText" dxfId="940" priority="684" operator="containsText" text="fnd">
      <formula>NOT(ISERROR(SEARCH("fnd",N69)))</formula>
    </cfRule>
  </conditionalFormatting>
  <conditionalFormatting sqref="N105:O105">
    <cfRule type="containsText" dxfId="939" priority="800" operator="containsText" text="fnd">
      <formula>NOT(ISERROR(SEARCH("fnd",N105)))</formula>
    </cfRule>
    <cfRule type="containsText" dxfId="938" priority="797" operator="containsText" text="Str">
      <formula>NOT(ISERROR(SEARCH("Str",N105)))</formula>
    </cfRule>
    <cfRule type="containsText" dxfId="937" priority="798" operator="containsText" text="Ere">
      <formula>NOT(ISERROR(SEARCH("Ere",N105)))</formula>
    </cfRule>
    <cfRule type="containsText" dxfId="936" priority="799" operator="containsText" text="Ear">
      <formula>NOT(ISERROR(SEARCH("Ear",N105)))</formula>
    </cfRule>
  </conditionalFormatting>
  <conditionalFormatting sqref="N123:O123">
    <cfRule type="containsText" dxfId="935" priority="541" operator="containsText" text="Str">
      <formula>NOT(ISERROR(SEARCH("Str",N123)))</formula>
    </cfRule>
    <cfRule type="containsText" dxfId="934" priority="542" operator="containsText" text="Ere">
      <formula>NOT(ISERROR(SEARCH("Ere",N123)))</formula>
    </cfRule>
    <cfRule type="containsText" dxfId="933" priority="543" operator="containsText" text="Ear">
      <formula>NOT(ISERROR(SEARCH("Ear",N123)))</formula>
    </cfRule>
    <cfRule type="containsText" dxfId="932" priority="544" operator="containsText" text="fnd">
      <formula>NOT(ISERROR(SEARCH("fnd",N123)))</formula>
    </cfRule>
  </conditionalFormatting>
  <conditionalFormatting sqref="O6">
    <cfRule type="containsText" dxfId="931" priority="356" operator="containsText" text="fnd">
      <formula>NOT(ISERROR(SEARCH("fnd",O6)))</formula>
    </cfRule>
    <cfRule type="containsText" dxfId="930" priority="353" operator="containsText" text="Str">
      <formula>NOT(ISERROR(SEARCH("Str",O6)))</formula>
    </cfRule>
    <cfRule type="containsText" dxfId="929" priority="354" operator="containsText" text="Ere">
      <formula>NOT(ISERROR(SEARCH("Ere",O6)))</formula>
    </cfRule>
    <cfRule type="containsText" dxfId="928" priority="355" operator="containsText" text="Ear">
      <formula>NOT(ISERROR(SEARCH("Ear",O6)))</formula>
    </cfRule>
  </conditionalFormatting>
  <conditionalFormatting sqref="O15">
    <cfRule type="containsText" dxfId="927" priority="445" operator="containsText" text="Str">
      <formula>NOT(ISERROR(SEARCH("Str",O15)))</formula>
    </cfRule>
    <cfRule type="containsText" dxfId="926" priority="447" operator="containsText" text="Ear">
      <formula>NOT(ISERROR(SEARCH("Ear",O15)))</formula>
    </cfRule>
    <cfRule type="containsText" dxfId="925" priority="448" operator="containsText" text="fnd">
      <formula>NOT(ISERROR(SEARCH("fnd",O15)))</formula>
    </cfRule>
    <cfRule type="containsText" dxfId="924" priority="446" operator="containsText" text="Ere">
      <formula>NOT(ISERROR(SEARCH("Ere",O15)))</formula>
    </cfRule>
  </conditionalFormatting>
  <conditionalFormatting sqref="O24">
    <cfRule type="containsText" dxfId="923" priority="326" operator="containsText" text="Ere">
      <formula>NOT(ISERROR(SEARCH("Ere",O24)))</formula>
    </cfRule>
    <cfRule type="containsText" dxfId="922" priority="325" operator="containsText" text="Str">
      <formula>NOT(ISERROR(SEARCH("Str",O24)))</formula>
    </cfRule>
    <cfRule type="containsText" dxfId="921" priority="328" operator="containsText" text="fnd">
      <formula>NOT(ISERROR(SEARCH("fnd",O24)))</formula>
    </cfRule>
    <cfRule type="containsText" dxfId="920" priority="327" operator="containsText" text="Ear">
      <formula>NOT(ISERROR(SEARCH("Ear",O24)))</formula>
    </cfRule>
  </conditionalFormatting>
  <conditionalFormatting sqref="O87">
    <cfRule type="containsText" dxfId="919" priority="780" operator="containsText" text="fnd">
      <formula>NOT(ISERROR(SEARCH("fnd",O87)))</formula>
    </cfRule>
    <cfRule type="containsText" dxfId="918" priority="779" operator="containsText" text="Ear">
      <formula>NOT(ISERROR(SEARCH("Ear",O87)))</formula>
    </cfRule>
    <cfRule type="containsText" dxfId="917" priority="778" operator="containsText" text="Ere">
      <formula>NOT(ISERROR(SEARCH("Ere",O87)))</formula>
    </cfRule>
    <cfRule type="containsText" dxfId="916" priority="777" operator="containsText" text="Str">
      <formula>NOT(ISERROR(SEARCH("Str",O87)))</formula>
    </cfRule>
  </conditionalFormatting>
  <conditionalFormatting sqref="O114">
    <cfRule type="containsText" dxfId="915" priority="1255" operator="containsText" text="Ear">
      <formula>NOT(ISERROR(SEARCH("Ear",O114)))</formula>
    </cfRule>
    <cfRule type="containsText" dxfId="914" priority="1256" operator="containsText" text="fnd">
      <formula>NOT(ISERROR(SEARCH("fnd",O114)))</formula>
    </cfRule>
    <cfRule type="containsText" dxfId="913" priority="1254" operator="containsText" text="Ere">
      <formula>NOT(ISERROR(SEARCH("Ere",O114)))</formula>
    </cfRule>
    <cfRule type="containsText" dxfId="912" priority="1253" operator="containsText" text="Str">
      <formula>NOT(ISERROR(SEARCH("Str",O114)))</formula>
    </cfRule>
  </conditionalFormatting>
  <conditionalFormatting sqref="O138">
    <cfRule type="containsText" dxfId="911" priority="1050" operator="containsText" text="Ere">
      <formula>NOT(ISERROR(SEARCH("Ere",O138)))</formula>
    </cfRule>
    <cfRule type="containsText" dxfId="910" priority="1049" operator="containsText" text="Str">
      <formula>NOT(ISERROR(SEARCH("Str",O138)))</formula>
    </cfRule>
    <cfRule type="containsText" dxfId="909" priority="1051" operator="containsText" text="Ear">
      <formula>NOT(ISERROR(SEARCH("Ear",O138)))</formula>
    </cfRule>
    <cfRule type="containsText" dxfId="908" priority="1052" operator="containsText" text="fnd">
      <formula>NOT(ISERROR(SEARCH("fnd",O138)))</formula>
    </cfRule>
  </conditionalFormatting>
  <conditionalFormatting sqref="Q5:Q6">
    <cfRule type="containsText" dxfId="907" priority="308" operator="containsText" text="fnd">
      <formula>NOT(ISERROR(SEARCH("fnd",Q5)))</formula>
    </cfRule>
    <cfRule type="containsText" dxfId="906" priority="307" operator="containsText" text="Ear">
      <formula>NOT(ISERROR(SEARCH("Ear",Q5)))</formula>
    </cfRule>
    <cfRule type="containsText" dxfId="905" priority="306" operator="containsText" text="Ere">
      <formula>NOT(ISERROR(SEARCH("Ere",Q5)))</formula>
    </cfRule>
    <cfRule type="containsText" dxfId="904" priority="305" operator="containsText" text="Str">
      <formula>NOT(ISERROR(SEARCH("Str",Q5)))</formula>
    </cfRule>
  </conditionalFormatting>
  <conditionalFormatting sqref="Q14:Q15">
    <cfRule type="containsText" dxfId="903" priority="504" operator="containsText" text="fnd">
      <formula>NOT(ISERROR(SEARCH("fnd",Q14)))</formula>
    </cfRule>
    <cfRule type="containsText" dxfId="902" priority="503" operator="containsText" text="Ear">
      <formula>NOT(ISERROR(SEARCH("Ear",Q14)))</formula>
    </cfRule>
    <cfRule type="containsText" dxfId="901" priority="501" operator="containsText" text="Str">
      <formula>NOT(ISERROR(SEARCH("Str",Q14)))</formula>
    </cfRule>
    <cfRule type="containsText" dxfId="900" priority="502" operator="containsText" text="Ere">
      <formula>NOT(ISERROR(SEARCH("Ere",Q14)))</formula>
    </cfRule>
  </conditionalFormatting>
  <conditionalFormatting sqref="Q23:Q24">
    <cfRule type="containsText" dxfId="899" priority="324" operator="containsText" text="fnd">
      <formula>NOT(ISERROR(SEARCH("fnd",Q23)))</formula>
    </cfRule>
    <cfRule type="containsText" dxfId="898" priority="323" operator="containsText" text="Ear">
      <formula>NOT(ISERROR(SEARCH("Ear",Q23)))</formula>
    </cfRule>
    <cfRule type="containsText" dxfId="897" priority="322" operator="containsText" text="Ere">
      <formula>NOT(ISERROR(SEARCH("Ere",Q23)))</formula>
    </cfRule>
    <cfRule type="containsText" dxfId="896" priority="321" operator="containsText" text="Str">
      <formula>NOT(ISERROR(SEARCH("Str",Q23)))</formula>
    </cfRule>
  </conditionalFormatting>
  <conditionalFormatting sqref="Q32:Q33">
    <cfRule type="containsText" dxfId="895" priority="1045" operator="containsText" text="Str">
      <formula>NOT(ISERROR(SEARCH("Str",Q32)))</formula>
    </cfRule>
    <cfRule type="containsText" dxfId="894" priority="1046" operator="containsText" text="Ere">
      <formula>NOT(ISERROR(SEARCH("Ere",Q32)))</formula>
    </cfRule>
    <cfRule type="containsText" dxfId="893" priority="1047" operator="containsText" text="Ear">
      <formula>NOT(ISERROR(SEARCH("Ear",Q32)))</formula>
    </cfRule>
    <cfRule type="containsText" dxfId="892" priority="1048" operator="containsText" text="fnd">
      <formula>NOT(ISERROR(SEARCH("fnd",Q32)))</formula>
    </cfRule>
  </conditionalFormatting>
  <conditionalFormatting sqref="Q41:Q42">
    <cfRule type="containsText" dxfId="891" priority="1070" operator="containsText" text="Ere">
      <formula>NOT(ISERROR(SEARCH("Ere",Q41)))</formula>
    </cfRule>
    <cfRule type="containsText" dxfId="890" priority="1069" operator="containsText" text="Str">
      <formula>NOT(ISERROR(SEARCH("Str",Q41)))</formula>
    </cfRule>
    <cfRule type="containsText" dxfId="889" priority="1071" operator="containsText" text="Ear">
      <formula>NOT(ISERROR(SEARCH("Ear",Q41)))</formula>
    </cfRule>
    <cfRule type="containsText" dxfId="888" priority="1072" operator="containsText" text="fnd">
      <formula>NOT(ISERROR(SEARCH("fnd",Q41)))</formula>
    </cfRule>
  </conditionalFormatting>
  <conditionalFormatting sqref="Q59">
    <cfRule type="containsText" dxfId="887" priority="1136" operator="containsText" text="fnd">
      <formula>NOT(ISERROR(SEARCH("fnd",Q59)))</formula>
    </cfRule>
    <cfRule type="containsText" dxfId="886" priority="1135" operator="containsText" text="Ear">
      <formula>NOT(ISERROR(SEARCH("Ear",Q59)))</formula>
    </cfRule>
    <cfRule type="containsText" dxfId="885" priority="1133" operator="containsText" text="Str">
      <formula>NOT(ISERROR(SEARCH("Str",Q59)))</formula>
    </cfRule>
    <cfRule type="containsText" dxfId="884" priority="1134" operator="containsText" text="Ere">
      <formula>NOT(ISERROR(SEARCH("Ere",Q59)))</formula>
    </cfRule>
  </conditionalFormatting>
  <conditionalFormatting sqref="Q68">
    <cfRule type="containsText" dxfId="883" priority="710" operator="containsText" text="Ere">
      <formula>NOT(ISERROR(SEARCH("Ere",Q68)))</formula>
    </cfRule>
    <cfRule type="containsText" dxfId="882" priority="709" operator="containsText" text="Str">
      <formula>NOT(ISERROR(SEARCH("Str",Q68)))</formula>
    </cfRule>
    <cfRule type="containsText" dxfId="881" priority="711" operator="containsText" text="Ear">
      <formula>NOT(ISERROR(SEARCH("Ear",Q68)))</formula>
    </cfRule>
    <cfRule type="containsText" dxfId="880" priority="712" operator="containsText" text="fnd">
      <formula>NOT(ISERROR(SEARCH("fnd",Q68)))</formula>
    </cfRule>
  </conditionalFormatting>
  <conditionalFormatting sqref="Q95">
    <cfRule type="containsText" dxfId="879" priority="1092" operator="containsText" text="fnd">
      <formula>NOT(ISERROR(SEARCH("fnd",Q95)))</formula>
    </cfRule>
    <cfRule type="containsText" dxfId="878" priority="1090" operator="containsText" text="Ere">
      <formula>NOT(ISERROR(SEARCH("Ere",Q95)))</formula>
    </cfRule>
    <cfRule type="containsText" dxfId="877" priority="1091" operator="containsText" text="Ear">
      <formula>NOT(ISERROR(SEARCH("Ear",Q95)))</formula>
    </cfRule>
    <cfRule type="containsText" dxfId="876" priority="1089" operator="containsText" text="Str">
      <formula>NOT(ISERROR(SEARCH("Str",Q95)))</formula>
    </cfRule>
  </conditionalFormatting>
  <conditionalFormatting sqref="Q104">
    <cfRule type="containsText" dxfId="875" priority="287" operator="containsText" text="Ear">
      <formula>NOT(ISERROR(SEARCH("Ear",Q104)))</formula>
    </cfRule>
    <cfRule type="containsText" dxfId="874" priority="288" operator="containsText" text="fnd">
      <formula>NOT(ISERROR(SEARCH("fnd",Q104)))</formula>
    </cfRule>
    <cfRule type="containsText" dxfId="873" priority="285" operator="containsText" text="Str">
      <formula>NOT(ISERROR(SEARCH("Str",Q104)))</formula>
    </cfRule>
    <cfRule type="containsText" dxfId="872" priority="286" operator="containsText" text="Ere">
      <formula>NOT(ISERROR(SEARCH("Ere",Q104)))</formula>
    </cfRule>
  </conditionalFormatting>
  <conditionalFormatting sqref="Q113">
    <cfRule type="containsText" dxfId="871" priority="213" operator="containsText" text="Str">
      <formula>NOT(ISERROR(SEARCH("Str",Q113)))</formula>
    </cfRule>
    <cfRule type="containsText" dxfId="870" priority="214" operator="containsText" text="Ere">
      <formula>NOT(ISERROR(SEARCH("Ere",Q113)))</formula>
    </cfRule>
    <cfRule type="containsText" dxfId="869" priority="215" operator="containsText" text="Ear">
      <formula>NOT(ISERROR(SEARCH("Ear",Q113)))</formula>
    </cfRule>
    <cfRule type="containsText" dxfId="868" priority="216" operator="containsText" text="fnd">
      <formula>NOT(ISERROR(SEARCH("fnd",Q113)))</formula>
    </cfRule>
  </conditionalFormatting>
  <conditionalFormatting sqref="Q122">
    <cfRule type="containsText" dxfId="867" priority="569" operator="containsText" text="Str">
      <formula>NOT(ISERROR(SEARCH("Str",Q122)))</formula>
    </cfRule>
    <cfRule type="containsText" dxfId="866" priority="570" operator="containsText" text="Ere">
      <formula>NOT(ISERROR(SEARCH("Ere",Q122)))</formula>
    </cfRule>
    <cfRule type="containsText" dxfId="865" priority="571" operator="containsText" text="Ear">
      <formula>NOT(ISERROR(SEARCH("Ear",Q122)))</formula>
    </cfRule>
    <cfRule type="containsText" dxfId="864" priority="572" operator="containsText" text="fnd">
      <formula>NOT(ISERROR(SEARCH("fnd",Q122)))</formula>
    </cfRule>
  </conditionalFormatting>
  <conditionalFormatting sqref="Q131:Q135">
    <cfRule type="containsText" dxfId="863" priority="937" operator="containsText" text="Str">
      <formula>NOT(ISERROR(SEARCH("Str",Q131)))</formula>
    </cfRule>
    <cfRule type="containsText" dxfId="862" priority="938" operator="containsText" text="Ere">
      <formula>NOT(ISERROR(SEARCH("Ere",Q131)))</formula>
    </cfRule>
    <cfRule type="containsText" dxfId="861" priority="940" operator="containsText" text="fnd">
      <formula>NOT(ISERROR(SEARCH("fnd",Q131)))</formula>
    </cfRule>
    <cfRule type="containsText" dxfId="860" priority="939" operator="containsText" text="Ear">
      <formula>NOT(ISERROR(SEARCH("Ear",Q131)))</formula>
    </cfRule>
  </conditionalFormatting>
  <conditionalFormatting sqref="Q51:R51">
    <cfRule type="containsText" dxfId="859" priority="1301" operator="containsText" text="Str">
      <formula>NOT(ISERROR(SEARCH("Str",Q51)))</formula>
    </cfRule>
    <cfRule type="containsText" dxfId="858" priority="1303" operator="containsText" text="Ear">
      <formula>NOT(ISERROR(SEARCH("Ear",Q51)))</formula>
    </cfRule>
    <cfRule type="containsText" dxfId="857" priority="1302" operator="containsText" text="Ere">
      <formula>NOT(ISERROR(SEARCH("Ere",Q51)))</formula>
    </cfRule>
    <cfRule type="containsText" dxfId="856" priority="1304" operator="containsText" text="fnd">
      <formula>NOT(ISERROR(SEARCH("fnd",Q51)))</formula>
    </cfRule>
  </conditionalFormatting>
  <conditionalFormatting sqref="Q60:R60">
    <cfRule type="containsText" dxfId="855" priority="1329" operator="containsText" text="Str">
      <formula>NOT(ISERROR(SEARCH("Str",Q60)))</formula>
    </cfRule>
    <cfRule type="containsText" dxfId="854" priority="1330" operator="containsText" text="Ere">
      <formula>NOT(ISERROR(SEARCH("Ere",Q60)))</formula>
    </cfRule>
    <cfRule type="containsText" dxfId="853" priority="1332" operator="containsText" text="fnd">
      <formula>NOT(ISERROR(SEARCH("fnd",Q60)))</formula>
    </cfRule>
    <cfRule type="containsText" dxfId="852" priority="1331" operator="containsText" text="Ear">
      <formula>NOT(ISERROR(SEARCH("Ear",Q60)))</formula>
    </cfRule>
  </conditionalFormatting>
  <conditionalFormatting sqref="Q69:R69">
    <cfRule type="containsText" dxfId="851" priority="716" operator="containsText" text="fnd">
      <formula>NOT(ISERROR(SEARCH("fnd",Q69)))</formula>
    </cfRule>
    <cfRule type="containsText" dxfId="850" priority="715" operator="containsText" text="Ear">
      <formula>NOT(ISERROR(SEARCH("Ear",Q69)))</formula>
    </cfRule>
    <cfRule type="containsText" dxfId="849" priority="713" operator="containsText" text="Str">
      <formula>NOT(ISERROR(SEARCH("Str",Q69)))</formula>
    </cfRule>
    <cfRule type="containsText" dxfId="848" priority="714" operator="containsText" text="Ere">
      <formula>NOT(ISERROR(SEARCH("Ere",Q69)))</formula>
    </cfRule>
  </conditionalFormatting>
  <conditionalFormatting sqref="Q86:R87">
    <cfRule type="containsText" dxfId="847" priority="975" operator="containsText" text="Ear">
      <formula>NOT(ISERROR(SEARCH("Ear",Q86)))</formula>
    </cfRule>
    <cfRule type="containsText" dxfId="846" priority="976" operator="containsText" text="fnd">
      <formula>NOT(ISERROR(SEARCH("fnd",Q86)))</formula>
    </cfRule>
    <cfRule type="containsText" dxfId="845" priority="974" operator="containsText" text="Ere">
      <formula>NOT(ISERROR(SEARCH("Ere",Q86)))</formula>
    </cfRule>
    <cfRule type="containsText" dxfId="844" priority="973" operator="containsText" text="Str">
      <formula>NOT(ISERROR(SEARCH("Str",Q86)))</formula>
    </cfRule>
  </conditionalFormatting>
  <conditionalFormatting sqref="Q96:R96">
    <cfRule type="containsText" dxfId="843" priority="1168" operator="containsText" text="fnd">
      <formula>NOT(ISERROR(SEARCH("fnd",Q96)))</formula>
    </cfRule>
    <cfRule type="containsText" dxfId="842" priority="1166" operator="containsText" text="Ere">
      <formula>NOT(ISERROR(SEARCH("Ere",Q96)))</formula>
    </cfRule>
    <cfRule type="containsText" dxfId="841" priority="1165" operator="containsText" text="Str">
      <formula>NOT(ISERROR(SEARCH("Str",Q96)))</formula>
    </cfRule>
    <cfRule type="containsText" dxfId="840" priority="1167" operator="containsText" text="Ear">
      <formula>NOT(ISERROR(SEARCH("Ear",Q96)))</formula>
    </cfRule>
  </conditionalFormatting>
  <conditionalFormatting sqref="Q105:R105">
    <cfRule type="containsText" dxfId="839" priority="290" operator="containsText" text="Ere">
      <formula>NOT(ISERROR(SEARCH("Ere",Q105)))</formula>
    </cfRule>
    <cfRule type="containsText" dxfId="838" priority="289" operator="containsText" text="Str">
      <formula>NOT(ISERROR(SEARCH("Str",Q105)))</formula>
    </cfRule>
    <cfRule type="containsText" dxfId="837" priority="292" operator="containsText" text="fnd">
      <formula>NOT(ISERROR(SEARCH("fnd",Q105)))</formula>
    </cfRule>
    <cfRule type="containsText" dxfId="836" priority="291" operator="containsText" text="Ear">
      <formula>NOT(ISERROR(SEARCH("Ear",Q105)))</formula>
    </cfRule>
  </conditionalFormatting>
  <conditionalFormatting sqref="Q114:R114">
    <cfRule type="containsText" dxfId="835" priority="219" operator="containsText" text="Ear">
      <formula>NOT(ISERROR(SEARCH("Ear",Q114)))</formula>
    </cfRule>
    <cfRule type="containsText" dxfId="834" priority="217" operator="containsText" text="Str">
      <formula>NOT(ISERROR(SEARCH("Str",Q114)))</formula>
    </cfRule>
    <cfRule type="containsText" dxfId="833" priority="218" operator="containsText" text="Ere">
      <formula>NOT(ISERROR(SEARCH("Ere",Q114)))</formula>
    </cfRule>
    <cfRule type="containsText" dxfId="832" priority="220" operator="containsText" text="fnd">
      <formula>NOT(ISERROR(SEARCH("fnd",Q114)))</formula>
    </cfRule>
  </conditionalFormatting>
  <conditionalFormatting sqref="Q123:R123">
    <cfRule type="containsText" dxfId="831" priority="573" operator="containsText" text="Str">
      <formula>NOT(ISERROR(SEARCH("Str",Q123)))</formula>
    </cfRule>
    <cfRule type="containsText" dxfId="830" priority="575" operator="containsText" text="Ear">
      <formula>NOT(ISERROR(SEARCH("Ear",Q123)))</formula>
    </cfRule>
    <cfRule type="containsText" dxfId="829" priority="574" operator="containsText" text="Ere">
      <formula>NOT(ISERROR(SEARCH("Ere",Q123)))</formula>
    </cfRule>
    <cfRule type="containsText" dxfId="828" priority="576" operator="containsText" text="fnd">
      <formula>NOT(ISERROR(SEARCH("fnd",Q123)))</formula>
    </cfRule>
  </conditionalFormatting>
  <conditionalFormatting sqref="R6">
    <cfRule type="containsText" dxfId="827" priority="301" operator="containsText" text="Str">
      <formula>NOT(ISERROR(SEARCH("Str",R6)))</formula>
    </cfRule>
    <cfRule type="containsText" dxfId="826" priority="303" operator="containsText" text="Ear">
      <formula>NOT(ISERROR(SEARCH("Ear",R6)))</formula>
    </cfRule>
    <cfRule type="containsText" dxfId="825" priority="302" operator="containsText" text="Ere">
      <formula>NOT(ISERROR(SEARCH("Ere",R6)))</formula>
    </cfRule>
    <cfRule type="containsText" dxfId="824" priority="304" operator="containsText" text="fnd">
      <formula>NOT(ISERROR(SEARCH("fnd",R6)))</formula>
    </cfRule>
  </conditionalFormatting>
  <conditionalFormatting sqref="R15">
    <cfRule type="containsText" dxfId="823" priority="500" operator="containsText" text="fnd">
      <formula>NOT(ISERROR(SEARCH("fnd",R15)))</formula>
    </cfRule>
    <cfRule type="containsText" dxfId="822" priority="499" operator="containsText" text="Ear">
      <formula>NOT(ISERROR(SEARCH("Ear",R15)))</formula>
    </cfRule>
    <cfRule type="containsText" dxfId="821" priority="498" operator="containsText" text="Ere">
      <formula>NOT(ISERROR(SEARCH("Ere",R15)))</formula>
    </cfRule>
    <cfRule type="containsText" dxfId="820" priority="497" operator="containsText" text="Str">
      <formula>NOT(ISERROR(SEARCH("Str",R15)))</formula>
    </cfRule>
  </conditionalFormatting>
  <conditionalFormatting sqref="R24">
    <cfRule type="containsText" dxfId="819" priority="319" operator="containsText" text="Ear">
      <formula>NOT(ISERROR(SEARCH("Ear",R24)))</formula>
    </cfRule>
    <cfRule type="containsText" dxfId="818" priority="317" operator="containsText" text="Str">
      <formula>NOT(ISERROR(SEARCH("Str",R24)))</formula>
    </cfRule>
    <cfRule type="containsText" dxfId="817" priority="318" operator="containsText" text="Ere">
      <formula>NOT(ISERROR(SEARCH("Ere",R24)))</formula>
    </cfRule>
    <cfRule type="containsText" dxfId="816" priority="320" operator="containsText" text="fnd">
      <formula>NOT(ISERROR(SEARCH("fnd",R24)))</formula>
    </cfRule>
  </conditionalFormatting>
  <conditionalFormatting sqref="R33">
    <cfRule type="containsText" dxfId="815" priority="1033" operator="containsText" text="Str">
      <formula>NOT(ISERROR(SEARCH("Str",R33)))</formula>
    </cfRule>
    <cfRule type="containsText" dxfId="814" priority="1034" operator="containsText" text="Ere">
      <formula>NOT(ISERROR(SEARCH("Ere",R33)))</formula>
    </cfRule>
    <cfRule type="containsText" dxfId="813" priority="1035" operator="containsText" text="Ear">
      <formula>NOT(ISERROR(SEARCH("Ear",R33)))</formula>
    </cfRule>
    <cfRule type="containsText" dxfId="812" priority="1036" operator="containsText" text="fnd">
      <formula>NOT(ISERROR(SEARCH("fnd",R33)))</formula>
    </cfRule>
  </conditionalFormatting>
  <conditionalFormatting sqref="R42">
    <cfRule type="containsText" dxfId="811" priority="977" operator="containsText" text="Str">
      <formula>NOT(ISERROR(SEARCH("Str",R42)))</formula>
    </cfRule>
    <cfRule type="containsText" dxfId="810" priority="978" operator="containsText" text="Ere">
      <formula>NOT(ISERROR(SEARCH("Ere",R42)))</formula>
    </cfRule>
    <cfRule type="containsText" dxfId="809" priority="979" operator="containsText" text="Ear">
      <formula>NOT(ISERROR(SEARCH("Ear",R42)))</formula>
    </cfRule>
    <cfRule type="containsText" dxfId="808" priority="980" operator="containsText" text="fnd">
      <formula>NOT(ISERROR(SEARCH("fnd",R42)))</formula>
    </cfRule>
  </conditionalFormatting>
  <conditionalFormatting sqref="T5:T6">
    <cfRule type="containsText" dxfId="807" priority="380" operator="containsText" text="fnd">
      <formula>NOT(ISERROR(SEARCH("fnd",T5)))</formula>
    </cfRule>
    <cfRule type="containsText" dxfId="806" priority="379" operator="containsText" text="Ear">
      <formula>NOT(ISERROR(SEARCH("Ear",T5)))</formula>
    </cfRule>
    <cfRule type="containsText" dxfId="805" priority="378" operator="containsText" text="Ere">
      <formula>NOT(ISERROR(SEARCH("Ere",T5)))</formula>
    </cfRule>
    <cfRule type="containsText" dxfId="804" priority="377" operator="containsText" text="Str">
      <formula>NOT(ISERROR(SEARCH("Str",T5)))</formula>
    </cfRule>
  </conditionalFormatting>
  <conditionalFormatting sqref="T14:T15">
    <cfRule type="containsText" dxfId="803" priority="535" operator="containsText" text="Ear">
      <formula>NOT(ISERROR(SEARCH("Ear",T14)))</formula>
    </cfRule>
    <cfRule type="containsText" dxfId="802" priority="534" operator="containsText" text="Ere">
      <formula>NOT(ISERROR(SEARCH("Ere",T14)))</formula>
    </cfRule>
    <cfRule type="containsText" dxfId="801" priority="536" operator="containsText" text="fnd">
      <formula>NOT(ISERROR(SEARCH("fnd",T14)))</formula>
    </cfRule>
    <cfRule type="containsText" dxfId="800" priority="533" operator="containsText" text="Str">
      <formula>NOT(ISERROR(SEARCH("Str",T14)))</formula>
    </cfRule>
  </conditionalFormatting>
  <conditionalFormatting sqref="T23:T24">
    <cfRule type="containsText" dxfId="799" priority="169" operator="containsText" text="Str">
      <formula>NOT(ISERROR(SEARCH("Str",T23)))</formula>
    </cfRule>
    <cfRule type="containsText" dxfId="798" priority="170" operator="containsText" text="Ere">
      <formula>NOT(ISERROR(SEARCH("Ere",T23)))</formula>
    </cfRule>
    <cfRule type="containsText" dxfId="797" priority="172" operator="containsText" text="fnd">
      <formula>NOT(ISERROR(SEARCH("fnd",T23)))</formula>
    </cfRule>
    <cfRule type="containsText" dxfId="796" priority="171" operator="containsText" text="Ear">
      <formula>NOT(ISERROR(SEARCH("Ear",T23)))</formula>
    </cfRule>
  </conditionalFormatting>
  <conditionalFormatting sqref="T32">
    <cfRule type="containsText" dxfId="795" priority="545" operator="containsText" text="Str">
      <formula>NOT(ISERROR(SEARCH("Str",T32)))</formula>
    </cfRule>
    <cfRule type="containsText" dxfId="794" priority="547" operator="containsText" text="Ear">
      <formula>NOT(ISERROR(SEARCH("Ear",T32)))</formula>
    </cfRule>
    <cfRule type="containsText" dxfId="793" priority="546" operator="containsText" text="Ere">
      <formula>NOT(ISERROR(SEARCH("Ere",T32)))</formula>
    </cfRule>
    <cfRule type="containsText" dxfId="792" priority="548" operator="containsText" text="fnd">
      <formula>NOT(ISERROR(SEARCH("fnd",T32)))</formula>
    </cfRule>
  </conditionalFormatting>
  <conditionalFormatting sqref="T41">
    <cfRule type="containsText" dxfId="791" priority="424" operator="containsText" text="fnd">
      <formula>NOT(ISERROR(SEARCH("fnd",T41)))</formula>
    </cfRule>
    <cfRule type="containsText" dxfId="790" priority="423" operator="containsText" text="Ear">
      <formula>NOT(ISERROR(SEARCH("Ear",T41)))</formula>
    </cfRule>
    <cfRule type="containsText" dxfId="789" priority="422" operator="containsText" text="Ere">
      <formula>NOT(ISERROR(SEARCH("Ere",T41)))</formula>
    </cfRule>
    <cfRule type="containsText" dxfId="788" priority="421" operator="containsText" text="Str">
      <formula>NOT(ISERROR(SEARCH("Str",T41)))</formula>
    </cfRule>
  </conditionalFormatting>
  <conditionalFormatting sqref="T59">
    <cfRule type="containsText" dxfId="787" priority="1100" operator="containsText" text="fnd">
      <formula>NOT(ISERROR(SEARCH("fnd",T59)))</formula>
    </cfRule>
    <cfRule type="containsText" dxfId="786" priority="1097" operator="containsText" text="Str">
      <formula>NOT(ISERROR(SEARCH("Str",T59)))</formula>
    </cfRule>
    <cfRule type="containsText" dxfId="785" priority="1098" operator="containsText" text="Ere">
      <formula>NOT(ISERROR(SEARCH("Ere",T59)))</formula>
    </cfRule>
    <cfRule type="containsText" dxfId="784" priority="1099" operator="containsText" text="Ear">
      <formula>NOT(ISERROR(SEARCH("Ear",T59)))</formula>
    </cfRule>
  </conditionalFormatting>
  <conditionalFormatting sqref="T68">
    <cfRule type="containsText" dxfId="783" priority="949" operator="containsText" text="Str">
      <formula>NOT(ISERROR(SEARCH("Str",T68)))</formula>
    </cfRule>
    <cfRule type="containsText" dxfId="782" priority="950" operator="containsText" text="Ere">
      <formula>NOT(ISERROR(SEARCH("Ere",T68)))</formula>
    </cfRule>
    <cfRule type="containsText" dxfId="781" priority="952" operator="containsText" text="fnd">
      <formula>NOT(ISERROR(SEARCH("fnd",T68)))</formula>
    </cfRule>
    <cfRule type="containsText" dxfId="780" priority="951" operator="containsText" text="Ear">
      <formula>NOT(ISERROR(SEARCH("Ear",T68)))</formula>
    </cfRule>
  </conditionalFormatting>
  <conditionalFormatting sqref="T95">
    <cfRule type="containsText" dxfId="779" priority="1088" operator="containsText" text="fnd">
      <formula>NOT(ISERROR(SEARCH("fnd",T95)))</formula>
    </cfRule>
    <cfRule type="containsText" dxfId="778" priority="1085" operator="containsText" text="Str">
      <formula>NOT(ISERROR(SEARCH("Str",T95)))</formula>
    </cfRule>
    <cfRule type="containsText" dxfId="777" priority="1086" operator="containsText" text="Ere">
      <formula>NOT(ISERROR(SEARCH("Ere",T95)))</formula>
    </cfRule>
    <cfRule type="containsText" dxfId="776" priority="1087" operator="containsText" text="Ear">
      <formula>NOT(ISERROR(SEARCH("Ear",T95)))</formula>
    </cfRule>
  </conditionalFormatting>
  <conditionalFormatting sqref="T104">
    <cfRule type="containsText" dxfId="775" priority="1230" operator="containsText" text="Ere">
      <formula>NOT(ISERROR(SEARCH("Ere",T104)))</formula>
    </cfRule>
    <cfRule type="containsText" dxfId="774" priority="1232" operator="containsText" text="fnd">
      <formula>NOT(ISERROR(SEARCH("fnd",T104)))</formula>
    </cfRule>
    <cfRule type="containsText" dxfId="773" priority="1231" operator="containsText" text="Ear">
      <formula>NOT(ISERROR(SEARCH("Ear",T104)))</formula>
    </cfRule>
    <cfRule type="containsText" dxfId="772" priority="1229" operator="containsText" text="Str">
      <formula>NOT(ISERROR(SEARCH("Str",T104)))</formula>
    </cfRule>
  </conditionalFormatting>
  <conditionalFormatting sqref="T113">
    <cfRule type="containsText" dxfId="771" priority="1196" operator="containsText" text="fnd">
      <formula>NOT(ISERROR(SEARCH("fnd",T113)))</formula>
    </cfRule>
    <cfRule type="containsText" dxfId="770" priority="1194" operator="containsText" text="Ere">
      <formula>NOT(ISERROR(SEARCH("Ere",T113)))</formula>
    </cfRule>
    <cfRule type="containsText" dxfId="769" priority="1195" operator="containsText" text="Ear">
      <formula>NOT(ISERROR(SEARCH("Ear",T113)))</formula>
    </cfRule>
    <cfRule type="containsText" dxfId="768" priority="1193" operator="containsText" text="Str">
      <formula>NOT(ISERROR(SEARCH("Str",T113)))</formula>
    </cfRule>
  </conditionalFormatting>
  <conditionalFormatting sqref="T122">
    <cfRule type="containsText" dxfId="767" priority="553" operator="containsText" text="Str">
      <formula>NOT(ISERROR(SEARCH("Str",T122)))</formula>
    </cfRule>
    <cfRule type="containsText" dxfId="766" priority="555" operator="containsText" text="Ear">
      <formula>NOT(ISERROR(SEARCH("Ear",T122)))</formula>
    </cfRule>
    <cfRule type="containsText" dxfId="765" priority="554" operator="containsText" text="Ere">
      <formula>NOT(ISERROR(SEARCH("Ere",T122)))</formula>
    </cfRule>
    <cfRule type="containsText" dxfId="764" priority="556" operator="containsText" text="fnd">
      <formula>NOT(ISERROR(SEARCH("fnd",T122)))</formula>
    </cfRule>
  </conditionalFormatting>
  <conditionalFormatting sqref="T132:T135">
    <cfRule type="containsText" dxfId="763" priority="924" operator="containsText" text="fnd">
      <formula>NOT(ISERROR(SEARCH("fnd",T132)))</formula>
    </cfRule>
    <cfRule type="containsText" dxfId="762" priority="923" operator="containsText" text="Ear">
      <formula>NOT(ISERROR(SEARCH("Ear",T132)))</formula>
    </cfRule>
    <cfRule type="containsText" dxfId="761" priority="922" operator="containsText" text="Ere">
      <formula>NOT(ISERROR(SEARCH("Ere",T132)))</formula>
    </cfRule>
    <cfRule type="containsText" dxfId="760" priority="921" operator="containsText" text="Str">
      <formula>NOT(ISERROR(SEARCH("Str",T132)))</formula>
    </cfRule>
  </conditionalFormatting>
  <conditionalFormatting sqref="T33:U33">
    <cfRule type="containsText" dxfId="759" priority="551" operator="containsText" text="Ear">
      <formula>NOT(ISERROR(SEARCH("Ear",T33)))</formula>
    </cfRule>
    <cfRule type="containsText" dxfId="758" priority="550" operator="containsText" text="Ere">
      <formula>NOT(ISERROR(SEARCH("Ere",T33)))</formula>
    </cfRule>
    <cfRule type="containsText" dxfId="757" priority="552" operator="containsText" text="fnd">
      <formula>NOT(ISERROR(SEARCH("fnd",T33)))</formula>
    </cfRule>
    <cfRule type="containsText" dxfId="756" priority="549" operator="containsText" text="Str">
      <formula>NOT(ISERROR(SEARCH("Str",T33)))</formula>
    </cfRule>
  </conditionalFormatting>
  <conditionalFormatting sqref="T42:U42">
    <cfRule type="containsText" dxfId="755" priority="427" operator="containsText" text="Ear">
      <formula>NOT(ISERROR(SEARCH("Ear",T42)))</formula>
    </cfRule>
    <cfRule type="containsText" dxfId="754" priority="425" operator="containsText" text="Str">
      <formula>NOT(ISERROR(SEARCH("Str",T42)))</formula>
    </cfRule>
    <cfRule type="containsText" dxfId="753" priority="426" operator="containsText" text="Ere">
      <formula>NOT(ISERROR(SEARCH("Ere",T42)))</formula>
    </cfRule>
    <cfRule type="containsText" dxfId="752" priority="428" operator="containsText" text="fnd">
      <formula>NOT(ISERROR(SEARCH("fnd",T42)))</formula>
    </cfRule>
  </conditionalFormatting>
  <conditionalFormatting sqref="T51:U51">
    <cfRule type="containsText" dxfId="751" priority="108" operator="containsText" text="fnd">
      <formula>NOT(ISERROR(SEARCH("fnd",T51)))</formula>
    </cfRule>
    <cfRule type="containsText" dxfId="750" priority="107" operator="containsText" text="Ear">
      <formula>NOT(ISERROR(SEARCH("Ear",T51)))</formula>
    </cfRule>
    <cfRule type="containsText" dxfId="749" priority="105" operator="containsText" text="Str">
      <formula>NOT(ISERROR(SEARCH("Str",T51)))</formula>
    </cfRule>
    <cfRule type="containsText" dxfId="748" priority="106" operator="containsText" text="Ere">
      <formula>NOT(ISERROR(SEARCH("Ere",T51)))</formula>
    </cfRule>
  </conditionalFormatting>
  <conditionalFormatting sqref="T60:U60">
    <cfRule type="containsText" dxfId="747" priority="1325" operator="containsText" text="Str">
      <formula>NOT(ISERROR(SEARCH("Str",T60)))</formula>
    </cfRule>
    <cfRule type="containsText" dxfId="746" priority="1326" operator="containsText" text="Ere">
      <formula>NOT(ISERROR(SEARCH("Ere",T60)))</formula>
    </cfRule>
    <cfRule type="containsText" dxfId="745" priority="1327" operator="containsText" text="Ear">
      <formula>NOT(ISERROR(SEARCH("Ear",T60)))</formula>
    </cfRule>
    <cfRule type="containsText" dxfId="744" priority="1328" operator="containsText" text="fnd">
      <formula>NOT(ISERROR(SEARCH("fnd",T60)))</formula>
    </cfRule>
  </conditionalFormatting>
  <conditionalFormatting sqref="T69:U69">
    <cfRule type="containsText" dxfId="743" priority="954" operator="containsText" text="Ere">
      <formula>NOT(ISERROR(SEARCH("Ere",T69)))</formula>
    </cfRule>
    <cfRule type="containsText" dxfId="742" priority="955" operator="containsText" text="Ear">
      <formula>NOT(ISERROR(SEARCH("Ear",T69)))</formula>
    </cfRule>
    <cfRule type="containsText" dxfId="741" priority="956" operator="containsText" text="fnd">
      <formula>NOT(ISERROR(SEARCH("fnd",T69)))</formula>
    </cfRule>
    <cfRule type="containsText" dxfId="740" priority="953" operator="containsText" text="Str">
      <formula>NOT(ISERROR(SEARCH("Str",T69)))</formula>
    </cfRule>
  </conditionalFormatting>
  <conditionalFormatting sqref="T78:U78">
    <cfRule type="containsText" dxfId="739" priority="1153" operator="containsText" text="Str">
      <formula>NOT(ISERROR(SEARCH("Str",T78)))</formula>
    </cfRule>
    <cfRule type="containsText" dxfId="738" priority="1154" operator="containsText" text="Ere">
      <formula>NOT(ISERROR(SEARCH("Ere",T78)))</formula>
    </cfRule>
    <cfRule type="containsText" dxfId="737" priority="1155" operator="containsText" text="Ear">
      <formula>NOT(ISERROR(SEARCH("Ear",T78)))</formula>
    </cfRule>
    <cfRule type="containsText" dxfId="736" priority="1156" operator="containsText" text="fnd">
      <formula>NOT(ISERROR(SEARCH("fnd",T78)))</formula>
    </cfRule>
  </conditionalFormatting>
  <conditionalFormatting sqref="T96:U96">
    <cfRule type="containsText" dxfId="735" priority="1164" operator="containsText" text="fnd">
      <formula>NOT(ISERROR(SEARCH("fnd",T96)))</formula>
    </cfRule>
    <cfRule type="containsText" dxfId="734" priority="1163" operator="containsText" text="Ear">
      <formula>NOT(ISERROR(SEARCH("Ear",T96)))</formula>
    </cfRule>
    <cfRule type="containsText" dxfId="733" priority="1161" operator="containsText" text="Str">
      <formula>NOT(ISERROR(SEARCH("Str",T96)))</formula>
    </cfRule>
    <cfRule type="containsText" dxfId="732" priority="1162" operator="containsText" text="Ere">
      <formula>NOT(ISERROR(SEARCH("Ere",T96)))</formula>
    </cfRule>
  </conditionalFormatting>
  <conditionalFormatting sqref="T105:U105">
    <cfRule type="containsText" dxfId="731" priority="1243" operator="containsText" text="Ear">
      <formula>NOT(ISERROR(SEARCH("Ear",T105)))</formula>
    </cfRule>
    <cfRule type="containsText" dxfId="730" priority="1242" operator="containsText" text="Ere">
      <formula>NOT(ISERROR(SEARCH("Ere",T105)))</formula>
    </cfRule>
    <cfRule type="containsText" dxfId="729" priority="1241" operator="containsText" text="Str">
      <formula>NOT(ISERROR(SEARCH("Str",T105)))</formula>
    </cfRule>
    <cfRule type="containsText" dxfId="728" priority="1244" operator="containsText" text="fnd">
      <formula>NOT(ISERROR(SEARCH("fnd",T105)))</formula>
    </cfRule>
  </conditionalFormatting>
  <conditionalFormatting sqref="T114:U114 W114:X114">
    <cfRule type="containsText" dxfId="727" priority="1251" operator="containsText" text="Ear">
      <formula>NOT(ISERROR(SEARCH("Ear",T114)))</formula>
    </cfRule>
    <cfRule type="containsText" dxfId="726" priority="1252" operator="containsText" text="fnd">
      <formula>NOT(ISERROR(SEARCH("fnd",T114)))</formula>
    </cfRule>
    <cfRule type="containsText" dxfId="725" priority="1249" operator="containsText" text="Str">
      <formula>NOT(ISERROR(SEARCH("Str",T114)))</formula>
    </cfRule>
    <cfRule type="containsText" dxfId="724" priority="1250" operator="containsText" text="Ere">
      <formula>NOT(ISERROR(SEARCH("Ere",T114)))</formula>
    </cfRule>
  </conditionalFormatting>
  <conditionalFormatting sqref="T123:U123">
    <cfRule type="containsText" dxfId="723" priority="558" operator="containsText" text="Ere">
      <formula>NOT(ISERROR(SEARCH("Ere",T123)))</formula>
    </cfRule>
    <cfRule type="containsText" dxfId="722" priority="559" operator="containsText" text="Ear">
      <formula>NOT(ISERROR(SEARCH("Ear",T123)))</formula>
    </cfRule>
    <cfRule type="containsText" dxfId="721" priority="560" operator="containsText" text="fnd">
      <formula>NOT(ISERROR(SEARCH("fnd",T123)))</formula>
    </cfRule>
    <cfRule type="containsText" dxfId="720" priority="557" operator="containsText" text="Str">
      <formula>NOT(ISERROR(SEARCH("Str",T123)))</formula>
    </cfRule>
  </conditionalFormatting>
  <conditionalFormatting sqref="U6">
    <cfRule type="containsText" dxfId="719" priority="374" operator="containsText" text="Ere">
      <formula>NOT(ISERROR(SEARCH("Ere",U6)))</formula>
    </cfRule>
    <cfRule type="containsText" dxfId="718" priority="375" operator="containsText" text="Ear">
      <formula>NOT(ISERROR(SEARCH("Ear",U6)))</formula>
    </cfRule>
    <cfRule type="containsText" dxfId="717" priority="373" operator="containsText" text="Str">
      <formula>NOT(ISERROR(SEARCH("Str",U6)))</formula>
    </cfRule>
    <cfRule type="containsText" dxfId="716" priority="376" operator="containsText" text="fnd">
      <formula>NOT(ISERROR(SEARCH("fnd",U6)))</formula>
    </cfRule>
  </conditionalFormatting>
  <conditionalFormatting sqref="U15">
    <cfRule type="containsText" dxfId="715" priority="532" operator="containsText" text="fnd">
      <formula>NOT(ISERROR(SEARCH("fnd",U15)))</formula>
    </cfRule>
    <cfRule type="containsText" dxfId="714" priority="531" operator="containsText" text="Ear">
      <formula>NOT(ISERROR(SEARCH("Ear",U15)))</formula>
    </cfRule>
    <cfRule type="containsText" dxfId="713" priority="530" operator="containsText" text="Ere">
      <formula>NOT(ISERROR(SEARCH("Ere",U15)))</formula>
    </cfRule>
    <cfRule type="containsText" dxfId="712" priority="529" operator="containsText" text="Str">
      <formula>NOT(ISERROR(SEARCH("Str",U15)))</formula>
    </cfRule>
  </conditionalFormatting>
  <conditionalFormatting sqref="U24">
    <cfRule type="containsText" dxfId="711" priority="167" operator="containsText" text="Ear">
      <formula>NOT(ISERROR(SEARCH("Ear",U24)))</formula>
    </cfRule>
    <cfRule type="containsText" dxfId="710" priority="168" operator="containsText" text="fnd">
      <formula>NOT(ISERROR(SEARCH("fnd",U24)))</formula>
    </cfRule>
    <cfRule type="containsText" dxfId="709" priority="165" operator="containsText" text="Str">
      <formula>NOT(ISERROR(SEARCH("Str",U24)))</formula>
    </cfRule>
    <cfRule type="containsText" dxfId="708" priority="166" operator="containsText" text="Ere">
      <formula>NOT(ISERROR(SEARCH("Ere",U24)))</formula>
    </cfRule>
  </conditionalFormatting>
  <conditionalFormatting sqref="W5:W6">
    <cfRule type="containsText" dxfId="707" priority="409" operator="containsText" text="Str">
      <formula>NOT(ISERROR(SEARCH("Str",W5)))</formula>
    </cfRule>
    <cfRule type="containsText" dxfId="706" priority="410" operator="containsText" text="Ere">
      <formula>NOT(ISERROR(SEARCH("Ere",W5)))</formula>
    </cfRule>
    <cfRule type="containsText" dxfId="705" priority="411" operator="containsText" text="Ear">
      <formula>NOT(ISERROR(SEARCH("Ear",W5)))</formula>
    </cfRule>
    <cfRule type="containsText" dxfId="704" priority="412" operator="containsText" text="fnd">
      <formula>NOT(ISERROR(SEARCH("fnd",W5)))</formula>
    </cfRule>
  </conditionalFormatting>
  <conditionalFormatting sqref="W14:W15">
    <cfRule type="containsText" dxfId="703" priority="460" operator="containsText" text="fnd">
      <formula>NOT(ISERROR(SEARCH("fnd",W14)))</formula>
    </cfRule>
    <cfRule type="containsText" dxfId="702" priority="457" operator="containsText" text="Str">
      <formula>NOT(ISERROR(SEARCH("Str",W14)))</formula>
    </cfRule>
    <cfRule type="containsText" dxfId="701" priority="459" operator="containsText" text="Ear">
      <formula>NOT(ISERROR(SEARCH("Ear",W14)))</formula>
    </cfRule>
    <cfRule type="containsText" dxfId="700" priority="458" operator="containsText" text="Ere">
      <formula>NOT(ISERROR(SEARCH("Ere",W14)))</formula>
    </cfRule>
  </conditionalFormatting>
  <conditionalFormatting sqref="W23:W24">
    <cfRule type="containsText" dxfId="699" priority="567" operator="containsText" text="Ear">
      <formula>NOT(ISERROR(SEARCH("Ear",W23)))</formula>
    </cfRule>
    <cfRule type="containsText" dxfId="698" priority="568" operator="containsText" text="fnd">
      <formula>NOT(ISERROR(SEARCH("fnd",W23)))</formula>
    </cfRule>
    <cfRule type="containsText" dxfId="697" priority="565" operator="containsText" text="Str">
      <formula>NOT(ISERROR(SEARCH("Str",W23)))</formula>
    </cfRule>
    <cfRule type="containsText" dxfId="696" priority="566" operator="containsText" text="Ere">
      <formula>NOT(ISERROR(SEARCH("Ere",W23)))</formula>
    </cfRule>
  </conditionalFormatting>
  <conditionalFormatting sqref="W32">
    <cfRule type="containsText" dxfId="695" priority="725" operator="containsText" text="Str">
      <formula>NOT(ISERROR(SEARCH("Str",W32)))</formula>
    </cfRule>
    <cfRule type="containsText" dxfId="694" priority="726" operator="containsText" text="Ere">
      <formula>NOT(ISERROR(SEARCH("Ere",W32)))</formula>
    </cfRule>
    <cfRule type="containsText" dxfId="693" priority="727" operator="containsText" text="Ear">
      <formula>NOT(ISERROR(SEARCH("Ear",W32)))</formula>
    </cfRule>
    <cfRule type="containsText" dxfId="692" priority="728" operator="containsText" text="fnd">
      <formula>NOT(ISERROR(SEARCH("fnd",W32)))</formula>
    </cfRule>
  </conditionalFormatting>
  <conditionalFormatting sqref="W41:W42">
    <cfRule type="containsText" dxfId="691" priority="1038" operator="containsText" text="Ere">
      <formula>NOT(ISERROR(SEARCH("Ere",W41)))</formula>
    </cfRule>
    <cfRule type="containsText" dxfId="690" priority="1040" operator="containsText" text="fnd">
      <formula>NOT(ISERROR(SEARCH("fnd",W41)))</formula>
    </cfRule>
    <cfRule type="containsText" dxfId="689" priority="1039" operator="containsText" text="Ear">
      <formula>NOT(ISERROR(SEARCH("Ear",W41)))</formula>
    </cfRule>
    <cfRule type="containsText" dxfId="688" priority="1037" operator="containsText" text="Str">
      <formula>NOT(ISERROR(SEARCH("Str",W41)))</formula>
    </cfRule>
  </conditionalFormatting>
  <conditionalFormatting sqref="W59">
    <cfRule type="containsText" dxfId="687" priority="1184" operator="containsText" text="fnd">
      <formula>NOT(ISERROR(SEARCH("fnd",W59)))</formula>
    </cfRule>
    <cfRule type="containsText" dxfId="686" priority="1183" operator="containsText" text="Ear">
      <formula>NOT(ISERROR(SEARCH("Ear",W59)))</formula>
    </cfRule>
    <cfRule type="containsText" dxfId="685" priority="1182" operator="containsText" text="Ere">
      <formula>NOT(ISERROR(SEARCH("Ere",W59)))</formula>
    </cfRule>
    <cfRule type="containsText" dxfId="684" priority="1181" operator="containsText" text="Str">
      <formula>NOT(ISERROR(SEARCH("Str",W59)))</formula>
    </cfRule>
  </conditionalFormatting>
  <conditionalFormatting sqref="W68:W69">
    <cfRule type="containsText" dxfId="683" priority="1187" operator="containsText" text="Ear">
      <formula>NOT(ISERROR(SEARCH("Ear",W68)))</formula>
    </cfRule>
    <cfRule type="containsText" dxfId="682" priority="1186" operator="containsText" text="Ere">
      <formula>NOT(ISERROR(SEARCH("Ere",W68)))</formula>
    </cfRule>
    <cfRule type="containsText" dxfId="681" priority="1185" operator="containsText" text="Str">
      <formula>NOT(ISERROR(SEARCH("Str",W68)))</formula>
    </cfRule>
    <cfRule type="containsText" dxfId="680" priority="1188" operator="containsText" text="fnd">
      <formula>NOT(ISERROR(SEARCH("fnd",W68)))</formula>
    </cfRule>
  </conditionalFormatting>
  <conditionalFormatting sqref="W77">
    <cfRule type="containsText" dxfId="679" priority="1095" operator="containsText" text="Ear">
      <formula>NOT(ISERROR(SEARCH("Ear",W77)))</formula>
    </cfRule>
    <cfRule type="containsText" dxfId="678" priority="1096" operator="containsText" text="fnd">
      <formula>NOT(ISERROR(SEARCH("fnd",W77)))</formula>
    </cfRule>
    <cfRule type="containsText" dxfId="677" priority="1094" operator="containsText" text="Ere">
      <formula>NOT(ISERROR(SEARCH("Ere",W77)))</formula>
    </cfRule>
    <cfRule type="containsText" dxfId="676" priority="1093" operator="containsText" text="Str">
      <formula>NOT(ISERROR(SEARCH("Str",W77)))</formula>
    </cfRule>
  </conditionalFormatting>
  <conditionalFormatting sqref="W95">
    <cfRule type="containsText" dxfId="675" priority="251" operator="containsText" text="Ear">
      <formula>NOT(ISERROR(SEARCH("Ear",W95)))</formula>
    </cfRule>
    <cfRule type="containsText" dxfId="674" priority="250" operator="containsText" text="Ere">
      <formula>NOT(ISERROR(SEARCH("Ere",W95)))</formula>
    </cfRule>
    <cfRule type="containsText" dxfId="673" priority="249" operator="containsText" text="Str">
      <formula>NOT(ISERROR(SEARCH("Str",W95)))</formula>
    </cfRule>
    <cfRule type="containsText" dxfId="672" priority="252" operator="containsText" text="fnd">
      <formula>NOT(ISERROR(SEARCH("fnd",W95)))</formula>
    </cfRule>
  </conditionalFormatting>
  <conditionalFormatting sqref="W104">
    <cfRule type="containsText" dxfId="671" priority="159" operator="containsText" text="Ear">
      <formula>NOT(ISERROR(SEARCH("Ear",W104)))</formula>
    </cfRule>
    <cfRule type="containsText" dxfId="670" priority="158" operator="containsText" text="Ere">
      <formula>NOT(ISERROR(SEARCH("Ere",W104)))</formula>
    </cfRule>
    <cfRule type="containsText" dxfId="669" priority="157" operator="containsText" text="Str">
      <formula>NOT(ISERROR(SEARCH("Str",W104)))</formula>
    </cfRule>
    <cfRule type="containsText" dxfId="668" priority="160" operator="containsText" text="fnd">
      <formula>NOT(ISERROR(SEARCH("fnd",W104)))</formula>
    </cfRule>
  </conditionalFormatting>
  <conditionalFormatting sqref="W113">
    <cfRule type="containsText" dxfId="667" priority="1204" operator="containsText" text="fnd">
      <formula>NOT(ISERROR(SEARCH("fnd",W113)))</formula>
    </cfRule>
    <cfRule type="containsText" dxfId="666" priority="1203" operator="containsText" text="Ear">
      <formula>NOT(ISERROR(SEARCH("Ear",W113)))</formula>
    </cfRule>
    <cfRule type="containsText" dxfId="665" priority="1202" operator="containsText" text="Ere">
      <formula>NOT(ISERROR(SEARCH("Ere",W113)))</formula>
    </cfRule>
    <cfRule type="containsText" dxfId="664" priority="1201" operator="containsText" text="Str">
      <formula>NOT(ISERROR(SEARCH("Str",W113)))</formula>
    </cfRule>
  </conditionalFormatting>
  <conditionalFormatting sqref="W122">
    <cfRule type="containsText" dxfId="663" priority="505" operator="containsText" text="Str">
      <formula>NOT(ISERROR(SEARCH("Str",W122)))</formula>
    </cfRule>
    <cfRule type="containsText" dxfId="662" priority="507" operator="containsText" text="Ear">
      <formula>NOT(ISERROR(SEARCH("Ear",W122)))</formula>
    </cfRule>
    <cfRule type="containsText" dxfId="661" priority="508" operator="containsText" text="fnd">
      <formula>NOT(ISERROR(SEARCH("fnd",W122)))</formula>
    </cfRule>
    <cfRule type="containsText" dxfId="660" priority="506" operator="containsText" text="Ere">
      <formula>NOT(ISERROR(SEARCH("Ere",W122)))</formula>
    </cfRule>
  </conditionalFormatting>
  <conditionalFormatting sqref="W132:W135">
    <cfRule type="containsText" dxfId="659" priority="918" operator="containsText" text="Ere">
      <formula>NOT(ISERROR(SEARCH("Ere",W132)))</formula>
    </cfRule>
    <cfRule type="containsText" dxfId="658" priority="919" operator="containsText" text="Ear">
      <formula>NOT(ISERROR(SEARCH("Ear",W132)))</formula>
    </cfRule>
    <cfRule type="containsText" dxfId="657" priority="920" operator="containsText" text="fnd">
      <formula>NOT(ISERROR(SEARCH("fnd",W132)))</formula>
    </cfRule>
    <cfRule type="containsText" dxfId="656" priority="917" operator="containsText" text="Str">
      <formula>NOT(ISERROR(SEARCH("Str",W132)))</formula>
    </cfRule>
  </conditionalFormatting>
  <conditionalFormatting sqref="W33:X33">
    <cfRule type="containsText" dxfId="655" priority="732" operator="containsText" text="fnd">
      <formula>NOT(ISERROR(SEARCH("fnd",W33)))</formula>
    </cfRule>
    <cfRule type="containsText" dxfId="654" priority="729" operator="containsText" text="Str">
      <formula>NOT(ISERROR(SEARCH("Str",W33)))</formula>
    </cfRule>
    <cfRule type="containsText" dxfId="653" priority="730" operator="containsText" text="Ere">
      <formula>NOT(ISERROR(SEARCH("Ere",W33)))</formula>
    </cfRule>
    <cfRule type="containsText" dxfId="652" priority="731" operator="containsText" text="Ear">
      <formula>NOT(ISERROR(SEARCH("Ear",W33)))</formula>
    </cfRule>
  </conditionalFormatting>
  <conditionalFormatting sqref="W51:X51">
    <cfRule type="containsText" dxfId="651" priority="103" operator="containsText" text="Ear">
      <formula>NOT(ISERROR(SEARCH("Ear",W51)))</formula>
    </cfRule>
    <cfRule type="containsText" dxfId="650" priority="102" operator="containsText" text="Ere">
      <formula>NOT(ISERROR(SEARCH("Ere",W51)))</formula>
    </cfRule>
    <cfRule type="containsText" dxfId="649" priority="104" operator="containsText" text="fnd">
      <formula>NOT(ISERROR(SEARCH("fnd",W51)))</formula>
    </cfRule>
    <cfRule type="containsText" dxfId="648" priority="101" operator="containsText" text="Str">
      <formula>NOT(ISERROR(SEARCH("Str",W51)))</formula>
    </cfRule>
  </conditionalFormatting>
  <conditionalFormatting sqref="W60:X60">
    <cfRule type="containsText" dxfId="647" priority="1324" operator="containsText" text="fnd">
      <formula>NOT(ISERROR(SEARCH("fnd",W60)))</formula>
    </cfRule>
    <cfRule type="containsText" dxfId="646" priority="1323" operator="containsText" text="Ear">
      <formula>NOT(ISERROR(SEARCH("Ear",W60)))</formula>
    </cfRule>
    <cfRule type="containsText" dxfId="645" priority="1321" operator="containsText" text="Str">
      <formula>NOT(ISERROR(SEARCH("Str",W60)))</formula>
    </cfRule>
    <cfRule type="containsText" dxfId="644" priority="1322" operator="containsText" text="Ere">
      <formula>NOT(ISERROR(SEARCH("Ere",W60)))</formula>
    </cfRule>
  </conditionalFormatting>
  <conditionalFormatting sqref="W78:X78">
    <cfRule type="containsText" dxfId="643" priority="1152" operator="containsText" text="fnd">
      <formula>NOT(ISERROR(SEARCH("fnd",W78)))</formula>
    </cfRule>
    <cfRule type="containsText" dxfId="642" priority="1149" operator="containsText" text="Str">
      <formula>NOT(ISERROR(SEARCH("Str",W78)))</formula>
    </cfRule>
    <cfRule type="containsText" dxfId="641" priority="1150" operator="containsText" text="Ere">
      <formula>NOT(ISERROR(SEARCH("Ere",W78)))</formula>
    </cfRule>
    <cfRule type="containsText" dxfId="640" priority="1151" operator="containsText" text="Ear">
      <formula>NOT(ISERROR(SEARCH("Ear",W78)))</formula>
    </cfRule>
  </conditionalFormatting>
  <conditionalFormatting sqref="W86:X87">
    <cfRule type="containsText" dxfId="639" priority="1125" operator="containsText" text="Str">
      <formula>NOT(ISERROR(SEARCH("Str",W86)))</formula>
    </cfRule>
    <cfRule type="containsText" dxfId="638" priority="1126" operator="containsText" text="Ere">
      <formula>NOT(ISERROR(SEARCH("Ere",W86)))</formula>
    </cfRule>
    <cfRule type="containsText" dxfId="637" priority="1127" operator="containsText" text="Ear">
      <formula>NOT(ISERROR(SEARCH("Ear",W86)))</formula>
    </cfRule>
    <cfRule type="containsText" dxfId="636" priority="1128" operator="containsText" text="fnd">
      <formula>NOT(ISERROR(SEARCH("fnd",W86)))</formula>
    </cfRule>
  </conditionalFormatting>
  <conditionalFormatting sqref="W96:X96">
    <cfRule type="containsText" dxfId="635" priority="256" operator="containsText" text="fnd">
      <formula>NOT(ISERROR(SEARCH("fnd",W96)))</formula>
    </cfRule>
    <cfRule type="containsText" dxfId="634" priority="254" operator="containsText" text="Ere">
      <formula>NOT(ISERROR(SEARCH("Ere",W96)))</formula>
    </cfRule>
    <cfRule type="containsText" dxfId="633" priority="253" operator="containsText" text="Str">
      <formula>NOT(ISERROR(SEARCH("Str",W96)))</formula>
    </cfRule>
    <cfRule type="containsText" dxfId="632" priority="255" operator="containsText" text="Ear">
      <formula>NOT(ISERROR(SEARCH("Ear",W96)))</formula>
    </cfRule>
  </conditionalFormatting>
  <conditionalFormatting sqref="W105:X105">
    <cfRule type="containsText" dxfId="631" priority="163" operator="containsText" text="Ear">
      <formula>NOT(ISERROR(SEARCH("Ear",W105)))</formula>
    </cfRule>
    <cfRule type="containsText" dxfId="630" priority="164" operator="containsText" text="fnd">
      <formula>NOT(ISERROR(SEARCH("fnd",W105)))</formula>
    </cfRule>
    <cfRule type="containsText" dxfId="629" priority="162" operator="containsText" text="Ere">
      <formula>NOT(ISERROR(SEARCH("Ere",W105)))</formula>
    </cfRule>
    <cfRule type="containsText" dxfId="628" priority="161" operator="containsText" text="Str">
      <formula>NOT(ISERROR(SEARCH("Str",W105)))</formula>
    </cfRule>
  </conditionalFormatting>
  <conditionalFormatting sqref="W123:X123">
    <cfRule type="containsText" dxfId="627" priority="512" operator="containsText" text="fnd">
      <formula>NOT(ISERROR(SEARCH("fnd",W123)))</formula>
    </cfRule>
    <cfRule type="containsText" dxfId="626" priority="511" operator="containsText" text="Ear">
      <formula>NOT(ISERROR(SEARCH("Ear",W123)))</formula>
    </cfRule>
    <cfRule type="containsText" dxfId="625" priority="510" operator="containsText" text="Ere">
      <formula>NOT(ISERROR(SEARCH("Ere",W123)))</formula>
    </cfRule>
    <cfRule type="containsText" dxfId="624" priority="509" operator="containsText" text="Str">
      <formula>NOT(ISERROR(SEARCH("Str",W123)))</formula>
    </cfRule>
  </conditionalFormatting>
  <conditionalFormatting sqref="X6">
    <cfRule type="containsText" dxfId="623" priority="406" operator="containsText" text="Ere">
      <formula>NOT(ISERROR(SEARCH("Ere",X6)))</formula>
    </cfRule>
    <cfRule type="containsText" dxfId="622" priority="405" operator="containsText" text="Str">
      <formula>NOT(ISERROR(SEARCH("Str",X6)))</formula>
    </cfRule>
    <cfRule type="containsText" dxfId="621" priority="408" operator="containsText" text="fnd">
      <formula>NOT(ISERROR(SEARCH("fnd",X6)))</formula>
    </cfRule>
    <cfRule type="containsText" dxfId="620" priority="407" operator="containsText" text="Ear">
      <formula>NOT(ISERROR(SEARCH("Ear",X6)))</formula>
    </cfRule>
  </conditionalFormatting>
  <conditionalFormatting sqref="X15">
    <cfRule type="containsText" dxfId="619" priority="453" operator="containsText" text="Str">
      <formula>NOT(ISERROR(SEARCH("Str",X15)))</formula>
    </cfRule>
    <cfRule type="containsText" dxfId="618" priority="454" operator="containsText" text="Ere">
      <formula>NOT(ISERROR(SEARCH("Ere",X15)))</formula>
    </cfRule>
    <cfRule type="containsText" dxfId="617" priority="455" operator="containsText" text="Ear">
      <formula>NOT(ISERROR(SEARCH("Ear",X15)))</formula>
    </cfRule>
    <cfRule type="containsText" dxfId="616" priority="456" operator="containsText" text="fnd">
      <formula>NOT(ISERROR(SEARCH("fnd",X15)))</formula>
    </cfRule>
  </conditionalFormatting>
  <conditionalFormatting sqref="X24">
    <cfRule type="containsText" dxfId="615" priority="561" operator="containsText" text="Str">
      <formula>NOT(ISERROR(SEARCH("Str",X24)))</formula>
    </cfRule>
    <cfRule type="containsText" dxfId="614" priority="562" operator="containsText" text="Ere">
      <formula>NOT(ISERROR(SEARCH("Ere",X24)))</formula>
    </cfRule>
    <cfRule type="containsText" dxfId="613" priority="564" operator="containsText" text="fnd">
      <formula>NOT(ISERROR(SEARCH("fnd",X24)))</formula>
    </cfRule>
    <cfRule type="containsText" dxfId="612" priority="563" operator="containsText" text="Ear">
      <formula>NOT(ISERROR(SEARCH("Ear",X24)))</formula>
    </cfRule>
  </conditionalFormatting>
  <conditionalFormatting sqref="X42">
    <cfRule type="containsText" dxfId="611" priority="1015" operator="containsText" text="Ear">
      <formula>NOT(ISERROR(SEARCH("Ear",X42)))</formula>
    </cfRule>
    <cfRule type="containsText" dxfId="610" priority="1014" operator="containsText" text="Ere">
      <formula>NOT(ISERROR(SEARCH("Ere",X42)))</formula>
    </cfRule>
    <cfRule type="containsText" dxfId="609" priority="1013" operator="containsText" text="Str">
      <formula>NOT(ISERROR(SEARCH("Str",X42)))</formula>
    </cfRule>
    <cfRule type="containsText" dxfId="608" priority="1016" operator="containsText" text="fnd">
      <formula>NOT(ISERROR(SEARCH("fnd",X42)))</formula>
    </cfRule>
  </conditionalFormatting>
  <conditionalFormatting sqref="X69 Z69:AA69 AC69:AD69 AM69">
    <cfRule type="containsText" dxfId="607" priority="1290" operator="containsText" text="Ere">
      <formula>NOT(ISERROR(SEARCH("Ere",X69)))</formula>
    </cfRule>
    <cfRule type="containsText" dxfId="606" priority="1291" operator="containsText" text="Ear">
      <formula>NOT(ISERROR(SEARCH("Ear",X69)))</formula>
    </cfRule>
    <cfRule type="containsText" dxfId="605" priority="1292" operator="containsText" text="fnd">
      <formula>NOT(ISERROR(SEARCH("fnd",X69)))</formula>
    </cfRule>
    <cfRule type="containsText" dxfId="604" priority="1289" operator="containsText" text="Str">
      <formula>NOT(ISERROR(SEARCH("Str",X69)))</formula>
    </cfRule>
  </conditionalFormatting>
  <conditionalFormatting sqref="Z5:Z6">
    <cfRule type="containsText" dxfId="603" priority="236" operator="containsText" text="fnd">
      <formula>NOT(ISERROR(SEARCH("fnd",Z5)))</formula>
    </cfRule>
    <cfRule type="containsText" dxfId="602" priority="235" operator="containsText" text="Ear">
      <formula>NOT(ISERROR(SEARCH("Ear",Z5)))</formula>
    </cfRule>
    <cfRule type="containsText" dxfId="601" priority="234" operator="containsText" text="Ere">
      <formula>NOT(ISERROR(SEARCH("Ere",Z5)))</formula>
    </cfRule>
    <cfRule type="containsText" dxfId="600" priority="233" operator="containsText" text="Str">
      <formula>NOT(ISERROR(SEARCH("Str",Z5)))</formula>
    </cfRule>
  </conditionalFormatting>
  <conditionalFormatting sqref="Z14:Z15">
    <cfRule type="containsText" dxfId="599" priority="494" operator="containsText" text="Ere">
      <formula>NOT(ISERROR(SEARCH("Ere",Z14)))</formula>
    </cfRule>
    <cfRule type="containsText" dxfId="598" priority="493" operator="containsText" text="Str">
      <formula>NOT(ISERROR(SEARCH("Str",Z14)))</formula>
    </cfRule>
    <cfRule type="containsText" dxfId="597" priority="495" operator="containsText" text="Ear">
      <formula>NOT(ISERROR(SEARCH("Ear",Z14)))</formula>
    </cfRule>
    <cfRule type="containsText" dxfId="596" priority="496" operator="containsText" text="fnd">
      <formula>NOT(ISERROR(SEARCH("fnd",Z14)))</formula>
    </cfRule>
  </conditionalFormatting>
  <conditionalFormatting sqref="Z23:Z24">
    <cfRule type="containsText" dxfId="595" priority="771" operator="containsText" text="Ear">
      <formula>NOT(ISERROR(SEARCH("Ear",Z23)))</formula>
    </cfRule>
    <cfRule type="containsText" dxfId="594" priority="772" operator="containsText" text="fnd">
      <formula>NOT(ISERROR(SEARCH("fnd",Z23)))</formula>
    </cfRule>
    <cfRule type="containsText" dxfId="593" priority="770" operator="containsText" text="Ere">
      <formula>NOT(ISERROR(SEARCH("Ere",Z23)))</formula>
    </cfRule>
    <cfRule type="containsText" dxfId="592" priority="769" operator="containsText" text="Str">
      <formula>NOT(ISERROR(SEARCH("Str",Z23)))</formula>
    </cfRule>
  </conditionalFormatting>
  <conditionalFormatting sqref="Z32">
    <cfRule type="containsText" dxfId="591" priority="704" operator="containsText" text="fnd">
      <formula>NOT(ISERROR(SEARCH("fnd",Z32)))</formula>
    </cfRule>
    <cfRule type="containsText" dxfId="590" priority="703" operator="containsText" text="Ear">
      <formula>NOT(ISERROR(SEARCH("Ear",Z32)))</formula>
    </cfRule>
    <cfRule type="containsText" dxfId="589" priority="702" operator="containsText" text="Ere">
      <formula>NOT(ISERROR(SEARCH("Ere",Z32)))</formula>
    </cfRule>
    <cfRule type="containsText" dxfId="588" priority="701" operator="containsText" text="Str">
      <formula>NOT(ISERROR(SEARCH("Str",Z32)))</formula>
    </cfRule>
  </conditionalFormatting>
  <conditionalFormatting sqref="Z41">
    <cfRule type="containsText" dxfId="587" priority="151" operator="containsText" text="Ear">
      <formula>NOT(ISERROR(SEARCH("Ear",Z41)))</formula>
    </cfRule>
    <cfRule type="containsText" dxfId="586" priority="149" operator="containsText" text="Str">
      <formula>NOT(ISERROR(SEARCH("Str",Z41)))</formula>
    </cfRule>
    <cfRule type="containsText" dxfId="585" priority="152" operator="containsText" text="fnd">
      <formula>NOT(ISERROR(SEARCH("fnd",Z41)))</formula>
    </cfRule>
    <cfRule type="containsText" dxfId="584" priority="150" operator="containsText" text="Ere">
      <formula>NOT(ISERROR(SEARCH("Ere",Z41)))</formula>
    </cfRule>
  </conditionalFormatting>
  <conditionalFormatting sqref="Z50">
    <cfRule type="containsText" dxfId="583" priority="969" operator="containsText" text="Str">
      <formula>NOT(ISERROR(SEARCH("Str",Z50)))</formula>
    </cfRule>
    <cfRule type="containsText" dxfId="582" priority="972" operator="containsText" text="fnd">
      <formula>NOT(ISERROR(SEARCH("fnd",Z50)))</formula>
    </cfRule>
    <cfRule type="containsText" dxfId="581" priority="970" operator="containsText" text="Ere">
      <formula>NOT(ISERROR(SEARCH("Ere",Z50)))</formula>
    </cfRule>
    <cfRule type="containsText" dxfId="580" priority="971" operator="containsText" text="Ear">
      <formula>NOT(ISERROR(SEARCH("Ear",Z50)))</formula>
    </cfRule>
  </conditionalFormatting>
  <conditionalFormatting sqref="Z59">
    <cfRule type="containsText" dxfId="579" priority="1200" operator="containsText" text="fnd">
      <formula>NOT(ISERROR(SEARCH("fnd",Z59)))</formula>
    </cfRule>
    <cfRule type="containsText" dxfId="578" priority="1199" operator="containsText" text="Ear">
      <formula>NOT(ISERROR(SEARCH("Ear",Z59)))</formula>
    </cfRule>
    <cfRule type="containsText" dxfId="577" priority="1198" operator="containsText" text="Ere">
      <formula>NOT(ISERROR(SEARCH("Ere",Z59)))</formula>
    </cfRule>
    <cfRule type="containsText" dxfId="576" priority="1197" operator="containsText" text="Str">
      <formula>NOT(ISERROR(SEARCH("Str",Z59)))</formula>
    </cfRule>
  </conditionalFormatting>
  <conditionalFormatting sqref="Z68">
    <cfRule type="containsText" dxfId="575" priority="947" operator="containsText" text="Ear">
      <formula>NOT(ISERROR(SEARCH("Ear",Z68)))</formula>
    </cfRule>
    <cfRule type="containsText" dxfId="574" priority="946" operator="containsText" text="Ere">
      <formula>NOT(ISERROR(SEARCH("Ere",Z68)))</formula>
    </cfRule>
    <cfRule type="containsText" dxfId="573" priority="945" operator="containsText" text="Str">
      <formula>NOT(ISERROR(SEARCH("Str",Z68)))</formula>
    </cfRule>
    <cfRule type="containsText" dxfId="572" priority="948" operator="containsText" text="fnd">
      <formula>NOT(ISERROR(SEARCH("fnd",Z68)))</formula>
    </cfRule>
  </conditionalFormatting>
  <conditionalFormatting sqref="Z95">
    <cfRule type="containsText" dxfId="571" priority="839" operator="containsText" text="Ear">
      <formula>NOT(ISERROR(SEARCH("Ear",Z95)))</formula>
    </cfRule>
    <cfRule type="containsText" dxfId="570" priority="837" operator="containsText" text="Str">
      <formula>NOT(ISERROR(SEARCH("Str",Z95)))</formula>
    </cfRule>
    <cfRule type="containsText" dxfId="569" priority="838" operator="containsText" text="Ere">
      <formula>NOT(ISERROR(SEARCH("Ere",Z95)))</formula>
    </cfRule>
    <cfRule type="containsText" dxfId="568" priority="840" operator="containsText" text="fnd">
      <formula>NOT(ISERROR(SEARCH("fnd",Z95)))</formula>
    </cfRule>
  </conditionalFormatting>
  <conditionalFormatting sqref="Z104">
    <cfRule type="containsText" dxfId="567" priority="736" operator="containsText" text="fnd">
      <formula>NOT(ISERROR(SEARCH("fnd",Z104)))</formula>
    </cfRule>
    <cfRule type="containsText" dxfId="566" priority="733" operator="containsText" text="Str">
      <formula>NOT(ISERROR(SEARCH("Str",Z104)))</formula>
    </cfRule>
    <cfRule type="containsText" dxfId="565" priority="735" operator="containsText" text="Ear">
      <formula>NOT(ISERROR(SEARCH("Ear",Z104)))</formula>
    </cfRule>
    <cfRule type="containsText" dxfId="564" priority="734" operator="containsText" text="Ere">
      <formula>NOT(ISERROR(SEARCH("Ere",Z104)))</formula>
    </cfRule>
  </conditionalFormatting>
  <conditionalFormatting sqref="Z113">
    <cfRule type="containsText" dxfId="563" priority="79" operator="containsText" text="Ear">
      <formula>NOT(ISERROR(SEARCH("Ear",Z113)))</formula>
    </cfRule>
    <cfRule type="containsText" dxfId="562" priority="78" operator="containsText" text="Ere">
      <formula>NOT(ISERROR(SEARCH("Ere",Z113)))</formula>
    </cfRule>
    <cfRule type="containsText" dxfId="561" priority="80" operator="containsText" text="fnd">
      <formula>NOT(ISERROR(SEARCH("fnd",Z113)))</formula>
    </cfRule>
    <cfRule type="containsText" dxfId="560" priority="77" operator="containsText" text="Str">
      <formula>NOT(ISERROR(SEARCH("Str",Z113)))</formula>
    </cfRule>
  </conditionalFormatting>
  <conditionalFormatting sqref="Z122">
    <cfRule type="containsText" dxfId="559" priority="585" operator="containsText" text="Str">
      <formula>NOT(ISERROR(SEARCH("Str",Z122)))</formula>
    </cfRule>
    <cfRule type="containsText" dxfId="558" priority="588" operator="containsText" text="fnd">
      <formula>NOT(ISERROR(SEARCH("fnd",Z122)))</formula>
    </cfRule>
    <cfRule type="containsText" dxfId="557" priority="587" operator="containsText" text="Ear">
      <formula>NOT(ISERROR(SEARCH("Ear",Z122)))</formula>
    </cfRule>
    <cfRule type="containsText" dxfId="556" priority="586" operator="containsText" text="Ere">
      <formula>NOT(ISERROR(SEARCH("Ere",Z122)))</formula>
    </cfRule>
  </conditionalFormatting>
  <conditionalFormatting sqref="Z132:Z135">
    <cfRule type="containsText" dxfId="555" priority="909" operator="containsText" text="Str">
      <formula>NOT(ISERROR(SEARCH("Str",Z132)))</formula>
    </cfRule>
    <cfRule type="containsText" dxfId="554" priority="912" operator="containsText" text="fnd">
      <formula>NOT(ISERROR(SEARCH("fnd",Z132)))</formula>
    </cfRule>
    <cfRule type="containsText" dxfId="553" priority="910" operator="containsText" text="Ere">
      <formula>NOT(ISERROR(SEARCH("Ere",Z132)))</formula>
    </cfRule>
    <cfRule type="containsText" dxfId="552" priority="911" operator="containsText" text="Ear">
      <formula>NOT(ISERROR(SEARCH("Ear",Z132)))</formula>
    </cfRule>
  </conditionalFormatting>
  <conditionalFormatting sqref="Z33:AA33">
    <cfRule type="containsText" dxfId="551" priority="707" operator="containsText" text="Ear">
      <formula>NOT(ISERROR(SEARCH("Ear",Z33)))</formula>
    </cfRule>
    <cfRule type="containsText" dxfId="550" priority="708" operator="containsText" text="fnd">
      <formula>NOT(ISERROR(SEARCH("fnd",Z33)))</formula>
    </cfRule>
    <cfRule type="containsText" dxfId="549" priority="705" operator="containsText" text="Str">
      <formula>NOT(ISERROR(SEARCH("Str",Z33)))</formula>
    </cfRule>
    <cfRule type="containsText" dxfId="548" priority="706" operator="containsText" text="Ere">
      <formula>NOT(ISERROR(SEARCH("Ere",Z33)))</formula>
    </cfRule>
  </conditionalFormatting>
  <conditionalFormatting sqref="Z42:AA42">
    <cfRule type="containsText" dxfId="547" priority="153" operator="containsText" text="Str">
      <formula>NOT(ISERROR(SEARCH("Str",Z42)))</formula>
    </cfRule>
    <cfRule type="containsText" dxfId="546" priority="156" operator="containsText" text="fnd">
      <formula>NOT(ISERROR(SEARCH("fnd",Z42)))</formula>
    </cfRule>
    <cfRule type="containsText" dxfId="545" priority="155" operator="containsText" text="Ear">
      <formula>NOT(ISERROR(SEARCH("Ear",Z42)))</formula>
    </cfRule>
    <cfRule type="containsText" dxfId="544" priority="154" operator="containsText" text="Ere">
      <formula>NOT(ISERROR(SEARCH("Ere",Z42)))</formula>
    </cfRule>
  </conditionalFormatting>
  <conditionalFormatting sqref="Z51:AA51">
    <cfRule type="containsText" dxfId="543" priority="1351" operator="containsText" text="Ear">
      <formula>NOT(ISERROR(SEARCH("Ear",Z51)))</formula>
    </cfRule>
    <cfRule type="containsText" dxfId="542" priority="1350" operator="containsText" text="Ere">
      <formula>NOT(ISERROR(SEARCH("Ere",Z51)))</formula>
    </cfRule>
    <cfRule type="containsText" dxfId="541" priority="1349" operator="containsText" text="Str">
      <formula>NOT(ISERROR(SEARCH("Str",Z51)))</formula>
    </cfRule>
    <cfRule type="containsText" dxfId="540" priority="1352" operator="containsText" text="fnd">
      <formula>NOT(ISERROR(SEARCH("fnd",Z51)))</formula>
    </cfRule>
  </conditionalFormatting>
  <conditionalFormatting sqref="Z60:AA60">
    <cfRule type="containsText" dxfId="539" priority="1319" operator="containsText" text="Ear">
      <formula>NOT(ISERROR(SEARCH("Ear",Z60)))</formula>
    </cfRule>
    <cfRule type="containsText" dxfId="538" priority="1318" operator="containsText" text="Ere">
      <formula>NOT(ISERROR(SEARCH("Ere",Z60)))</formula>
    </cfRule>
    <cfRule type="containsText" dxfId="537" priority="1320" operator="containsText" text="fnd">
      <formula>NOT(ISERROR(SEARCH("fnd",Z60)))</formula>
    </cfRule>
    <cfRule type="containsText" dxfId="536" priority="1317" operator="containsText" text="Str">
      <formula>NOT(ISERROR(SEARCH("Str",Z60)))</formula>
    </cfRule>
  </conditionalFormatting>
  <conditionalFormatting sqref="Z77:AA78">
    <cfRule type="containsText" dxfId="535" priority="1073" operator="containsText" text="Str">
      <formula>NOT(ISERROR(SEARCH("Str",Z77)))</formula>
    </cfRule>
    <cfRule type="containsText" dxfId="534" priority="1074" operator="containsText" text="Ere">
      <formula>NOT(ISERROR(SEARCH("Ere",Z77)))</formula>
    </cfRule>
    <cfRule type="containsText" dxfId="533" priority="1076" operator="containsText" text="fnd">
      <formula>NOT(ISERROR(SEARCH("fnd",Z77)))</formula>
    </cfRule>
    <cfRule type="containsText" dxfId="532" priority="1075" operator="containsText" text="Ear">
      <formula>NOT(ISERROR(SEARCH("Ear",Z77)))</formula>
    </cfRule>
  </conditionalFormatting>
  <conditionalFormatting sqref="Z86:AA87">
    <cfRule type="containsText" dxfId="531" priority="775" operator="containsText" text="Ear">
      <formula>NOT(ISERROR(SEARCH("Ear",Z86)))</formula>
    </cfRule>
    <cfRule type="containsText" dxfId="530" priority="774" operator="containsText" text="Ere">
      <formula>NOT(ISERROR(SEARCH("Ere",Z86)))</formula>
    </cfRule>
    <cfRule type="containsText" dxfId="529" priority="773" operator="containsText" text="Str">
      <formula>NOT(ISERROR(SEARCH("Str",Z86)))</formula>
    </cfRule>
    <cfRule type="containsText" dxfId="528" priority="776" operator="containsText" text="fnd">
      <formula>NOT(ISERROR(SEARCH("fnd",Z86)))</formula>
    </cfRule>
  </conditionalFormatting>
  <conditionalFormatting sqref="Z96:AA96">
    <cfRule type="containsText" dxfId="527" priority="843" operator="containsText" text="Ear">
      <formula>NOT(ISERROR(SEARCH("Ear",Z96)))</formula>
    </cfRule>
    <cfRule type="containsText" dxfId="526" priority="842" operator="containsText" text="Ere">
      <formula>NOT(ISERROR(SEARCH("Ere",Z96)))</formula>
    </cfRule>
    <cfRule type="containsText" dxfId="525" priority="841" operator="containsText" text="Str">
      <formula>NOT(ISERROR(SEARCH("Str",Z96)))</formula>
    </cfRule>
    <cfRule type="containsText" dxfId="524" priority="844" operator="containsText" text="fnd">
      <formula>NOT(ISERROR(SEARCH("fnd",Z96)))</formula>
    </cfRule>
  </conditionalFormatting>
  <conditionalFormatting sqref="Z105:AA105">
    <cfRule type="containsText" dxfId="523" priority="737" operator="containsText" text="Str">
      <formula>NOT(ISERROR(SEARCH("Str",Z105)))</formula>
    </cfRule>
    <cfRule type="containsText" dxfId="522" priority="738" operator="containsText" text="Ere">
      <formula>NOT(ISERROR(SEARCH("Ere",Z105)))</formula>
    </cfRule>
    <cfRule type="containsText" dxfId="521" priority="739" operator="containsText" text="Ear">
      <formula>NOT(ISERROR(SEARCH("Ear",Z105)))</formula>
    </cfRule>
    <cfRule type="containsText" dxfId="520" priority="740" operator="containsText" text="fnd">
      <formula>NOT(ISERROR(SEARCH("fnd",Z105)))</formula>
    </cfRule>
  </conditionalFormatting>
  <conditionalFormatting sqref="Z114:AA114">
    <cfRule type="containsText" dxfId="519" priority="83" operator="containsText" text="Ear">
      <formula>NOT(ISERROR(SEARCH("Ear",Z114)))</formula>
    </cfRule>
    <cfRule type="containsText" dxfId="518" priority="82" operator="containsText" text="Ere">
      <formula>NOT(ISERROR(SEARCH("Ere",Z114)))</formula>
    </cfRule>
    <cfRule type="containsText" dxfId="517" priority="81" operator="containsText" text="Str">
      <formula>NOT(ISERROR(SEARCH("Str",Z114)))</formula>
    </cfRule>
    <cfRule type="containsText" dxfId="516" priority="84" operator="containsText" text="fnd">
      <formula>NOT(ISERROR(SEARCH("fnd",Z114)))</formula>
    </cfRule>
  </conditionalFormatting>
  <conditionalFormatting sqref="Z123:AA123">
    <cfRule type="containsText" dxfId="515" priority="589" operator="containsText" text="Str">
      <formula>NOT(ISERROR(SEARCH("Str",Z123)))</formula>
    </cfRule>
    <cfRule type="containsText" dxfId="514" priority="590" operator="containsText" text="Ere">
      <formula>NOT(ISERROR(SEARCH("Ere",Z123)))</formula>
    </cfRule>
    <cfRule type="containsText" dxfId="513" priority="591" operator="containsText" text="Ear">
      <formula>NOT(ISERROR(SEARCH("Ear",Z123)))</formula>
    </cfRule>
    <cfRule type="containsText" dxfId="512" priority="592" operator="containsText" text="fnd">
      <formula>NOT(ISERROR(SEARCH("fnd",Z123)))</formula>
    </cfRule>
  </conditionalFormatting>
  <conditionalFormatting sqref="AA6">
    <cfRule type="containsText" dxfId="511" priority="232" operator="containsText" text="fnd">
      <formula>NOT(ISERROR(SEARCH("fnd",AA6)))</formula>
    </cfRule>
    <cfRule type="containsText" dxfId="510" priority="231" operator="containsText" text="Ear">
      <formula>NOT(ISERROR(SEARCH("Ear",AA6)))</formula>
    </cfRule>
    <cfRule type="containsText" dxfId="509" priority="229" operator="containsText" text="Str">
      <formula>NOT(ISERROR(SEARCH("Str",AA6)))</formula>
    </cfRule>
    <cfRule type="containsText" dxfId="508" priority="230" operator="containsText" text="Ere">
      <formula>NOT(ISERROR(SEARCH("Ere",AA6)))</formula>
    </cfRule>
  </conditionalFormatting>
  <conditionalFormatting sqref="AA15">
    <cfRule type="containsText" dxfId="507" priority="492" operator="containsText" text="fnd">
      <formula>NOT(ISERROR(SEARCH("fnd",AA15)))</formula>
    </cfRule>
    <cfRule type="containsText" dxfId="506" priority="491" operator="containsText" text="Ear">
      <formula>NOT(ISERROR(SEARCH("Ear",AA15)))</formula>
    </cfRule>
    <cfRule type="containsText" dxfId="505" priority="490" operator="containsText" text="Ere">
      <formula>NOT(ISERROR(SEARCH("Ere",AA15)))</formula>
    </cfRule>
    <cfRule type="containsText" dxfId="504" priority="489" operator="containsText" text="Str">
      <formula>NOT(ISERROR(SEARCH("Str",AA15)))</formula>
    </cfRule>
  </conditionalFormatting>
  <conditionalFormatting sqref="AA24">
    <cfRule type="containsText" dxfId="503" priority="763" operator="containsText" text="Ear">
      <formula>NOT(ISERROR(SEARCH("Ear",AA24)))</formula>
    </cfRule>
    <cfRule type="containsText" dxfId="502" priority="764" operator="containsText" text="fnd">
      <formula>NOT(ISERROR(SEARCH("fnd",AA24)))</formula>
    </cfRule>
    <cfRule type="containsText" dxfId="501" priority="761" operator="containsText" text="Str">
      <formula>NOT(ISERROR(SEARCH("Str",AA24)))</formula>
    </cfRule>
    <cfRule type="containsText" dxfId="500" priority="762" operator="containsText" text="Ere">
      <formula>NOT(ISERROR(SEARCH("Ere",AA24)))</formula>
    </cfRule>
  </conditionalFormatting>
  <conditionalFormatting sqref="AC5:AC6">
    <cfRule type="containsText" dxfId="499" priority="1067" operator="containsText" text="Ear">
      <formula>NOT(ISERROR(SEARCH("Ear",AC5)))</formula>
    </cfRule>
    <cfRule type="containsText" dxfId="498" priority="1068" operator="containsText" text="fnd">
      <formula>NOT(ISERROR(SEARCH("fnd",AC5)))</formula>
    </cfRule>
    <cfRule type="containsText" dxfId="497" priority="1065" operator="containsText" text="Str">
      <formula>NOT(ISERROR(SEARCH("Str",AC5)))</formula>
    </cfRule>
    <cfRule type="containsText" dxfId="496" priority="1066" operator="containsText" text="Ere">
      <formula>NOT(ISERROR(SEARCH("Ere",AC5)))</formula>
    </cfRule>
  </conditionalFormatting>
  <conditionalFormatting sqref="AC14:AC15">
    <cfRule type="containsText" dxfId="495" priority="73" operator="containsText" text="Str">
      <formula>NOT(ISERROR(SEARCH("Str",AC14)))</formula>
    </cfRule>
    <cfRule type="containsText" dxfId="494" priority="74" operator="containsText" text="Ere">
      <formula>NOT(ISERROR(SEARCH("Ere",AC14)))</formula>
    </cfRule>
    <cfRule type="containsText" dxfId="493" priority="75" operator="containsText" text="Ear">
      <formula>NOT(ISERROR(SEARCH("Ear",AC14)))</formula>
    </cfRule>
    <cfRule type="containsText" dxfId="492" priority="76" operator="containsText" text="fnd">
      <formula>NOT(ISERROR(SEARCH("fnd",AC14)))</formula>
    </cfRule>
  </conditionalFormatting>
  <conditionalFormatting sqref="AC23:AC24">
    <cfRule type="containsText" dxfId="491" priority="765" operator="containsText" text="Str">
      <formula>NOT(ISERROR(SEARCH("Str",AC23)))</formula>
    </cfRule>
    <cfRule type="containsText" dxfId="490" priority="766" operator="containsText" text="Ere">
      <formula>NOT(ISERROR(SEARCH("Ere",AC23)))</formula>
    </cfRule>
    <cfRule type="containsText" dxfId="489" priority="767" operator="containsText" text="Ear">
      <formula>NOT(ISERROR(SEARCH("Ear",AC23)))</formula>
    </cfRule>
    <cfRule type="containsText" dxfId="488" priority="768" operator="containsText" text="fnd">
      <formula>NOT(ISERROR(SEARCH("fnd",AC23)))</formula>
    </cfRule>
  </conditionalFormatting>
  <conditionalFormatting sqref="AC32">
    <cfRule type="containsText" dxfId="487" priority="618" operator="containsText" text="Ere">
      <formula>NOT(ISERROR(SEARCH("Ere",AC32)))</formula>
    </cfRule>
    <cfRule type="containsText" dxfId="486" priority="617" operator="containsText" text="Str">
      <formula>NOT(ISERROR(SEARCH("Str",AC32)))</formula>
    </cfRule>
    <cfRule type="containsText" dxfId="485" priority="620" operator="containsText" text="fnd">
      <formula>NOT(ISERROR(SEARCH("fnd",AC32)))</formula>
    </cfRule>
    <cfRule type="containsText" dxfId="484" priority="619" operator="containsText" text="Ear">
      <formula>NOT(ISERROR(SEARCH("Ear",AC32)))</formula>
    </cfRule>
  </conditionalFormatting>
  <conditionalFormatting sqref="AC41">
    <cfRule type="containsText" dxfId="483" priority="142" operator="containsText" text="Ere">
      <formula>NOT(ISERROR(SEARCH("Ere",AC41)))</formula>
    </cfRule>
    <cfRule type="containsText" dxfId="482" priority="143" operator="containsText" text="Ear">
      <formula>NOT(ISERROR(SEARCH("Ear",AC41)))</formula>
    </cfRule>
    <cfRule type="containsText" dxfId="481" priority="144" operator="containsText" text="fnd">
      <formula>NOT(ISERROR(SEARCH("fnd",AC41)))</formula>
    </cfRule>
    <cfRule type="containsText" dxfId="480" priority="141" operator="containsText" text="Str">
      <formula>NOT(ISERROR(SEARCH("Str",AC41)))</formula>
    </cfRule>
  </conditionalFormatting>
  <conditionalFormatting sqref="AC50:AC51 AF50:AG51 K59 H59:H60">
    <cfRule type="containsText" dxfId="479" priority="1294" operator="containsText" text="Ere">
      <formula>NOT(ISERROR(SEARCH("Ere",H50)))</formula>
    </cfRule>
    <cfRule type="containsText" dxfId="478" priority="1295" operator="containsText" text="Ear">
      <formula>NOT(ISERROR(SEARCH("Ear",H50)))</formula>
    </cfRule>
    <cfRule type="containsText" dxfId="477" priority="1293" operator="containsText" text="Str">
      <formula>NOT(ISERROR(SEARCH("Str",H50)))</formula>
    </cfRule>
    <cfRule type="containsText" dxfId="476" priority="1296" operator="containsText" text="fnd">
      <formula>NOT(ISERROR(SEARCH("fnd",H50)))</formula>
    </cfRule>
  </conditionalFormatting>
  <conditionalFormatting sqref="AC59">
    <cfRule type="containsText" dxfId="475" priority="848" operator="containsText" text="fnd">
      <formula>NOT(ISERROR(SEARCH("fnd",AC59)))</formula>
    </cfRule>
    <cfRule type="containsText" dxfId="474" priority="847" operator="containsText" text="Ear">
      <formula>NOT(ISERROR(SEARCH("Ear",AC59)))</formula>
    </cfRule>
    <cfRule type="containsText" dxfId="473" priority="846" operator="containsText" text="Ere">
      <formula>NOT(ISERROR(SEARCH("Ere",AC59)))</formula>
    </cfRule>
    <cfRule type="containsText" dxfId="472" priority="845" operator="containsText" text="Str">
      <formula>NOT(ISERROR(SEARCH("Str",AC59)))</formula>
    </cfRule>
  </conditionalFormatting>
  <conditionalFormatting sqref="AC68">
    <cfRule type="containsText" dxfId="471" priority="1208" operator="containsText" text="fnd">
      <formula>NOT(ISERROR(SEARCH("fnd",AC68)))</formula>
    </cfRule>
    <cfRule type="containsText" dxfId="470" priority="1207" operator="containsText" text="Ear">
      <formula>NOT(ISERROR(SEARCH("Ear",AC68)))</formula>
    </cfRule>
    <cfRule type="containsText" dxfId="469" priority="1206" operator="containsText" text="Ere">
      <formula>NOT(ISERROR(SEARCH("Ere",AC68)))</formula>
    </cfRule>
    <cfRule type="containsText" dxfId="468" priority="1205" operator="containsText" text="Str">
      <formula>NOT(ISERROR(SEARCH("Str",AC68)))</formula>
    </cfRule>
  </conditionalFormatting>
  <conditionalFormatting sqref="AC78">
    <cfRule type="containsText" dxfId="467" priority="1138" operator="containsText" text="Ere">
      <formula>NOT(ISERROR(SEARCH("Ere",AC78)))</formula>
    </cfRule>
    <cfRule type="containsText" dxfId="466" priority="1140" operator="containsText" text="fnd">
      <formula>NOT(ISERROR(SEARCH("fnd",AC78)))</formula>
    </cfRule>
    <cfRule type="containsText" dxfId="465" priority="1139" operator="containsText" text="Ear">
      <formula>NOT(ISERROR(SEARCH("Ear",AC78)))</formula>
    </cfRule>
    <cfRule type="containsText" dxfId="464" priority="1137" operator="containsText" text="Str">
      <formula>NOT(ISERROR(SEARCH("Str",AC78)))</formula>
    </cfRule>
  </conditionalFormatting>
  <conditionalFormatting sqref="AC95:AC96">
    <cfRule type="containsText" dxfId="463" priority="1132" operator="containsText" text="fnd">
      <formula>NOT(ISERROR(SEARCH("fnd",AC95)))</formula>
    </cfRule>
    <cfRule type="containsText" dxfId="462" priority="1131" operator="containsText" text="Ear">
      <formula>NOT(ISERROR(SEARCH("Ear",AC95)))</formula>
    </cfRule>
    <cfRule type="containsText" dxfId="461" priority="1129" operator="containsText" text="Str">
      <formula>NOT(ISERROR(SEARCH("Str",AC95)))</formula>
    </cfRule>
    <cfRule type="containsText" dxfId="460" priority="1130" operator="containsText" text="Ere">
      <formula>NOT(ISERROR(SEARCH("Ere",AC95)))</formula>
    </cfRule>
  </conditionalFormatting>
  <conditionalFormatting sqref="AC104:AC105">
    <cfRule type="containsText" dxfId="459" priority="669" operator="containsText" text="Str">
      <formula>NOT(ISERROR(SEARCH("Str",AC104)))</formula>
    </cfRule>
    <cfRule type="containsText" dxfId="458" priority="672" operator="containsText" text="fnd">
      <formula>NOT(ISERROR(SEARCH("fnd",AC104)))</formula>
    </cfRule>
    <cfRule type="containsText" dxfId="457" priority="671" operator="containsText" text="Ear">
      <formula>NOT(ISERROR(SEARCH("Ear",AC104)))</formula>
    </cfRule>
    <cfRule type="containsText" dxfId="456" priority="670" operator="containsText" text="Ere">
      <formula>NOT(ISERROR(SEARCH("Ere",AC104)))</formula>
    </cfRule>
  </conditionalFormatting>
  <conditionalFormatting sqref="AC113">
    <cfRule type="containsText" dxfId="455" priority="95" operator="containsText" text="Ear">
      <formula>NOT(ISERROR(SEARCH("Ear",AC113)))</formula>
    </cfRule>
    <cfRule type="containsText" dxfId="454" priority="94" operator="containsText" text="Ere">
      <formula>NOT(ISERROR(SEARCH("Ere",AC113)))</formula>
    </cfRule>
    <cfRule type="containsText" dxfId="453" priority="93" operator="containsText" text="Str">
      <formula>NOT(ISERROR(SEARCH("Str",AC113)))</formula>
    </cfRule>
    <cfRule type="containsText" dxfId="452" priority="96" operator="containsText" text="fnd">
      <formula>NOT(ISERROR(SEARCH("fnd",AC113)))</formula>
    </cfRule>
  </conditionalFormatting>
  <conditionalFormatting sqref="AC122">
    <cfRule type="containsText" dxfId="451" priority="523" operator="containsText" text="Ear">
      <formula>NOT(ISERROR(SEARCH("Ear",AC122)))</formula>
    </cfRule>
    <cfRule type="containsText" dxfId="450" priority="522" operator="containsText" text="Ere">
      <formula>NOT(ISERROR(SEARCH("Ere",AC122)))</formula>
    </cfRule>
    <cfRule type="containsText" dxfId="449" priority="521" operator="containsText" text="Str">
      <formula>NOT(ISERROR(SEARCH("Str",AC122)))</formula>
    </cfRule>
    <cfRule type="containsText" dxfId="448" priority="524" operator="containsText" text="fnd">
      <formula>NOT(ISERROR(SEARCH("fnd",AC122)))</formula>
    </cfRule>
  </conditionalFormatting>
  <conditionalFormatting sqref="AC132:AC135">
    <cfRule type="containsText" dxfId="447" priority="907" operator="containsText" text="Ear">
      <formula>NOT(ISERROR(SEARCH("Ear",AC132)))</formula>
    </cfRule>
    <cfRule type="containsText" dxfId="446" priority="908" operator="containsText" text="fnd">
      <formula>NOT(ISERROR(SEARCH("fnd",AC132)))</formula>
    </cfRule>
    <cfRule type="containsText" dxfId="445" priority="906" operator="containsText" text="Ere">
      <formula>NOT(ISERROR(SEARCH("Ere",AC132)))</formula>
    </cfRule>
    <cfRule type="containsText" dxfId="444" priority="905" operator="containsText" text="Str">
      <formula>NOT(ISERROR(SEARCH("Str",AC132)))</formula>
    </cfRule>
  </conditionalFormatting>
  <conditionalFormatting sqref="AC33:AD33">
    <cfRule type="containsText" dxfId="443" priority="622" operator="containsText" text="Ere">
      <formula>NOT(ISERROR(SEARCH("Ere",AC33)))</formula>
    </cfRule>
    <cfRule type="containsText" dxfId="442" priority="621" operator="containsText" text="Str">
      <formula>NOT(ISERROR(SEARCH("Str",AC33)))</formula>
    </cfRule>
    <cfRule type="containsText" dxfId="441" priority="623" operator="containsText" text="Ear">
      <formula>NOT(ISERROR(SEARCH("Ear",AC33)))</formula>
    </cfRule>
    <cfRule type="containsText" dxfId="440" priority="624" operator="containsText" text="fnd">
      <formula>NOT(ISERROR(SEARCH("fnd",AC33)))</formula>
    </cfRule>
  </conditionalFormatting>
  <conditionalFormatting sqref="AC42:AD42">
    <cfRule type="containsText" dxfId="439" priority="146" operator="containsText" text="Ere">
      <formula>NOT(ISERROR(SEARCH("Ere",AC42)))</formula>
    </cfRule>
    <cfRule type="containsText" dxfId="438" priority="145" operator="containsText" text="Str">
      <formula>NOT(ISERROR(SEARCH("Str",AC42)))</formula>
    </cfRule>
    <cfRule type="containsText" dxfId="437" priority="148" operator="containsText" text="fnd">
      <formula>NOT(ISERROR(SEARCH("fnd",AC42)))</formula>
    </cfRule>
    <cfRule type="containsText" dxfId="436" priority="147" operator="containsText" text="Ear">
      <formula>NOT(ISERROR(SEARCH("Ear",AC42)))</formula>
    </cfRule>
  </conditionalFormatting>
  <conditionalFormatting sqref="AC60:AD60">
    <cfRule type="containsText" dxfId="435" priority="849" operator="containsText" text="Str">
      <formula>NOT(ISERROR(SEARCH("Str",AC60)))</formula>
    </cfRule>
    <cfRule type="containsText" dxfId="434" priority="850" operator="containsText" text="Ere">
      <formula>NOT(ISERROR(SEARCH("Ere",AC60)))</formula>
    </cfRule>
    <cfRule type="containsText" dxfId="433" priority="851" operator="containsText" text="Ear">
      <formula>NOT(ISERROR(SEARCH("Ear",AC60)))</formula>
    </cfRule>
    <cfRule type="containsText" dxfId="432" priority="852" operator="containsText" text="fnd">
      <formula>NOT(ISERROR(SEARCH("fnd",AC60)))</formula>
    </cfRule>
  </conditionalFormatting>
  <conditionalFormatting sqref="AC114:AD114">
    <cfRule type="containsText" dxfId="431" priority="100" operator="containsText" text="fnd">
      <formula>NOT(ISERROR(SEARCH("fnd",AC114)))</formula>
    </cfRule>
    <cfRule type="containsText" dxfId="430" priority="98" operator="containsText" text="Ere">
      <formula>NOT(ISERROR(SEARCH("Ere",AC114)))</formula>
    </cfRule>
    <cfRule type="containsText" dxfId="429" priority="99" operator="containsText" text="Ear">
      <formula>NOT(ISERROR(SEARCH("Ear",AC114)))</formula>
    </cfRule>
    <cfRule type="containsText" dxfId="428" priority="97" operator="containsText" text="Str">
      <formula>NOT(ISERROR(SEARCH("Str",AC114)))</formula>
    </cfRule>
  </conditionalFormatting>
  <conditionalFormatting sqref="AC123:AD123">
    <cfRule type="containsText" dxfId="427" priority="526" operator="containsText" text="Ere">
      <formula>NOT(ISERROR(SEARCH("Ere",AC123)))</formula>
    </cfRule>
    <cfRule type="containsText" dxfId="426" priority="527" operator="containsText" text="Ear">
      <formula>NOT(ISERROR(SEARCH("Ear",AC123)))</formula>
    </cfRule>
    <cfRule type="containsText" dxfId="425" priority="528" operator="containsText" text="fnd">
      <formula>NOT(ISERROR(SEARCH("fnd",AC123)))</formula>
    </cfRule>
    <cfRule type="containsText" dxfId="424" priority="525" operator="containsText" text="Str">
      <formula>NOT(ISERROR(SEARCH("Str",AC123)))</formula>
    </cfRule>
  </conditionalFormatting>
  <conditionalFormatting sqref="AD6">
    <cfRule type="containsText" dxfId="423" priority="963" operator="containsText" text="Ear">
      <formula>NOT(ISERROR(SEARCH("Ear",AD6)))</formula>
    </cfRule>
    <cfRule type="containsText" dxfId="422" priority="964" operator="containsText" text="fnd">
      <formula>NOT(ISERROR(SEARCH("fnd",AD6)))</formula>
    </cfRule>
    <cfRule type="containsText" dxfId="421" priority="962" operator="containsText" text="Ere">
      <formula>NOT(ISERROR(SEARCH("Ere",AD6)))</formula>
    </cfRule>
    <cfRule type="containsText" dxfId="420" priority="961" operator="containsText" text="Str">
      <formula>NOT(ISERROR(SEARCH("Str",AD6)))</formula>
    </cfRule>
  </conditionalFormatting>
  <conditionalFormatting sqref="AD15">
    <cfRule type="containsText" dxfId="419" priority="69" operator="containsText" text="Str">
      <formula>NOT(ISERROR(SEARCH("Str",AD15)))</formula>
    </cfRule>
    <cfRule type="containsText" dxfId="418" priority="70" operator="containsText" text="Ere">
      <formula>NOT(ISERROR(SEARCH("Ere",AD15)))</formula>
    </cfRule>
    <cfRule type="containsText" dxfId="417" priority="71" operator="containsText" text="Ear">
      <formula>NOT(ISERROR(SEARCH("Ear",AD15)))</formula>
    </cfRule>
    <cfRule type="containsText" dxfId="416" priority="72" operator="containsText" text="fnd">
      <formula>NOT(ISERROR(SEARCH("fnd",AD15)))</formula>
    </cfRule>
  </conditionalFormatting>
  <conditionalFormatting sqref="AD24">
    <cfRule type="containsText" dxfId="415" priority="758" operator="containsText" text="Ere">
      <formula>NOT(ISERROR(SEARCH("Ere",AD24)))</formula>
    </cfRule>
    <cfRule type="containsText" dxfId="414" priority="757" operator="containsText" text="Str">
      <formula>NOT(ISERROR(SEARCH("Str",AD24)))</formula>
    </cfRule>
    <cfRule type="containsText" dxfId="413" priority="759" operator="containsText" text="Ear">
      <formula>NOT(ISERROR(SEARCH("Ear",AD24)))</formula>
    </cfRule>
    <cfRule type="containsText" dxfId="412" priority="760" operator="containsText" text="fnd">
      <formula>NOT(ISERROR(SEARCH("fnd",AD24)))</formula>
    </cfRule>
  </conditionalFormatting>
  <conditionalFormatting sqref="AD51">
    <cfRule type="containsText" dxfId="411" priority="1346" operator="containsText" text="Ere">
      <formula>NOT(ISERROR(SEARCH("Ere",AD51)))</formula>
    </cfRule>
    <cfRule type="containsText" dxfId="410" priority="1348" operator="containsText" text="fnd">
      <formula>NOT(ISERROR(SEARCH("fnd",AD51)))</formula>
    </cfRule>
    <cfRule type="containsText" dxfId="409" priority="1345" operator="containsText" text="Str">
      <formula>NOT(ISERROR(SEARCH("Str",AD51)))</formula>
    </cfRule>
    <cfRule type="containsText" dxfId="408" priority="1347" operator="containsText" text="Ear">
      <formula>NOT(ISERROR(SEARCH("Ear",AD51)))</formula>
    </cfRule>
  </conditionalFormatting>
  <conditionalFormatting sqref="AD87 AG87 AJ87 AM87">
    <cfRule type="containsText" dxfId="407" priority="1284" operator="containsText" text="fnd">
      <formula>NOT(ISERROR(SEARCH("fnd",AD87)))</formula>
    </cfRule>
    <cfRule type="containsText" dxfId="406" priority="1283" operator="containsText" text="Ear">
      <formula>NOT(ISERROR(SEARCH("Ear",AD87)))</formula>
    </cfRule>
    <cfRule type="containsText" dxfId="405" priority="1282" operator="containsText" text="Ere">
      <formula>NOT(ISERROR(SEARCH("Ere",AD87)))</formula>
    </cfRule>
    <cfRule type="containsText" dxfId="404" priority="1281" operator="containsText" text="Str">
      <formula>NOT(ISERROR(SEARCH("Str",AD87)))</formula>
    </cfRule>
  </conditionalFormatting>
  <conditionalFormatting sqref="AD105">
    <cfRule type="containsText" dxfId="403" priority="676" operator="containsText" text="fnd">
      <formula>NOT(ISERROR(SEARCH("fnd",AD105)))</formula>
    </cfRule>
    <cfRule type="containsText" dxfId="402" priority="674" operator="containsText" text="Ere">
      <formula>NOT(ISERROR(SEARCH("Ere",AD105)))</formula>
    </cfRule>
    <cfRule type="containsText" dxfId="401" priority="673" operator="containsText" text="Str">
      <formula>NOT(ISERROR(SEARCH("Str",AD105)))</formula>
    </cfRule>
    <cfRule type="containsText" dxfId="400" priority="675" operator="containsText" text="Ear">
      <formula>NOT(ISERROR(SEARCH("Ear",AD105)))</formula>
    </cfRule>
  </conditionalFormatting>
  <conditionalFormatting sqref="AF5:AF6">
    <cfRule type="containsText" dxfId="399" priority="246" operator="containsText" text="Ere">
      <formula>NOT(ISERROR(SEARCH("Ere",AF5)))</formula>
    </cfRule>
    <cfRule type="containsText" dxfId="398" priority="245" operator="containsText" text="Str">
      <formula>NOT(ISERROR(SEARCH("Str",AF5)))</formula>
    </cfRule>
    <cfRule type="containsText" dxfId="397" priority="247" operator="containsText" text="Ear">
      <formula>NOT(ISERROR(SEARCH("Ear",AF5)))</formula>
    </cfRule>
    <cfRule type="containsText" dxfId="396" priority="248" operator="containsText" text="fnd">
      <formula>NOT(ISERROR(SEARCH("fnd",AF5)))</formula>
    </cfRule>
  </conditionalFormatting>
  <conditionalFormatting sqref="AF14:AF15">
    <cfRule type="containsText" dxfId="395" priority="1114" operator="containsText" text="Ere">
      <formula>NOT(ISERROR(SEARCH("Ere",AF14)))</formula>
    </cfRule>
    <cfRule type="containsText" dxfId="394" priority="1116" operator="containsText" text="fnd">
      <formula>NOT(ISERROR(SEARCH("fnd",AF14)))</formula>
    </cfRule>
    <cfRule type="containsText" dxfId="393" priority="1113" operator="containsText" text="Str">
      <formula>NOT(ISERROR(SEARCH("Str",AF14)))</formula>
    </cfRule>
    <cfRule type="containsText" dxfId="392" priority="1115" operator="containsText" text="Ear">
      <formula>NOT(ISERROR(SEARCH("Ear",AF14)))</formula>
    </cfRule>
  </conditionalFormatting>
  <conditionalFormatting sqref="AF23:AF24">
    <cfRule type="containsText" dxfId="391" priority="598" operator="containsText" text="Ere">
      <formula>NOT(ISERROR(SEARCH("Ere",AF23)))</formula>
    </cfRule>
    <cfRule type="containsText" dxfId="390" priority="597" operator="containsText" text="Str">
      <formula>NOT(ISERROR(SEARCH("Str",AF23)))</formula>
    </cfRule>
    <cfRule type="containsText" dxfId="389" priority="600" operator="containsText" text="fnd">
      <formula>NOT(ISERROR(SEARCH("fnd",AF23)))</formula>
    </cfRule>
    <cfRule type="containsText" dxfId="388" priority="599" operator="containsText" text="Ear">
      <formula>NOT(ISERROR(SEARCH("Ear",AF23)))</formula>
    </cfRule>
  </conditionalFormatting>
  <conditionalFormatting sqref="AF32">
    <cfRule type="containsText" dxfId="387" priority="119" operator="containsText" text="Ear">
      <formula>NOT(ISERROR(SEARCH("Ear",AF32)))</formula>
    </cfRule>
    <cfRule type="containsText" dxfId="386" priority="120" operator="containsText" text="fnd">
      <formula>NOT(ISERROR(SEARCH("fnd",AF32)))</formula>
    </cfRule>
    <cfRule type="containsText" dxfId="385" priority="117" operator="containsText" text="Str">
      <formula>NOT(ISERROR(SEARCH("Str",AF32)))</formula>
    </cfRule>
    <cfRule type="containsText" dxfId="384" priority="118" operator="containsText" text="Ere">
      <formula>NOT(ISERROR(SEARCH("Ere",AF32)))</formula>
    </cfRule>
  </conditionalFormatting>
  <conditionalFormatting sqref="AF41">
    <cfRule type="containsText" dxfId="383" priority="1227" operator="containsText" text="Ear">
      <formula>NOT(ISERROR(SEARCH("Ear",AF41)))</formula>
    </cfRule>
    <cfRule type="containsText" dxfId="382" priority="1228" operator="containsText" text="fnd">
      <formula>NOT(ISERROR(SEARCH("fnd",AF41)))</formula>
    </cfRule>
    <cfRule type="containsText" dxfId="381" priority="1225" operator="containsText" text="Str">
      <formula>NOT(ISERROR(SEARCH("Str",AF41)))</formula>
    </cfRule>
    <cfRule type="containsText" dxfId="380" priority="1226" operator="containsText" text="Ere">
      <formula>NOT(ISERROR(SEARCH("Ere",AF41)))</formula>
    </cfRule>
  </conditionalFormatting>
  <conditionalFormatting sqref="AF59">
    <cfRule type="containsText" dxfId="379" priority="1084" operator="containsText" text="fnd">
      <formula>NOT(ISERROR(SEARCH("fnd",AF59)))</formula>
    </cfRule>
    <cfRule type="containsText" dxfId="378" priority="1083" operator="containsText" text="Ear">
      <formula>NOT(ISERROR(SEARCH("Ear",AF59)))</formula>
    </cfRule>
    <cfRule type="containsText" dxfId="377" priority="1082" operator="containsText" text="Ere">
      <formula>NOT(ISERROR(SEARCH("Ere",AF59)))</formula>
    </cfRule>
    <cfRule type="containsText" dxfId="376" priority="1081" operator="containsText" text="Str">
      <formula>NOT(ISERROR(SEARCH("Str",AF59)))</formula>
    </cfRule>
  </conditionalFormatting>
  <conditionalFormatting sqref="AF68">
    <cfRule type="containsText" dxfId="375" priority="743" operator="containsText" text="Ear">
      <formula>NOT(ISERROR(SEARCH("Ear",AF68)))</formula>
    </cfRule>
    <cfRule type="containsText" dxfId="374" priority="744" operator="containsText" text="fnd">
      <formula>NOT(ISERROR(SEARCH("fnd",AF68)))</formula>
    </cfRule>
    <cfRule type="containsText" dxfId="373" priority="741" operator="containsText" text="Str">
      <formula>NOT(ISERROR(SEARCH("Str",AF68)))</formula>
    </cfRule>
    <cfRule type="containsText" dxfId="372" priority="742" operator="containsText" text="Ere">
      <formula>NOT(ISERROR(SEARCH("Ere",AF68)))</formula>
    </cfRule>
  </conditionalFormatting>
  <conditionalFormatting sqref="AF77">
    <cfRule type="containsText" dxfId="371" priority="1120" operator="containsText" text="fnd">
      <formula>NOT(ISERROR(SEARCH("fnd",AF77)))</formula>
    </cfRule>
    <cfRule type="containsText" dxfId="370" priority="1119" operator="containsText" text="Ear">
      <formula>NOT(ISERROR(SEARCH("Ear",AF77)))</formula>
    </cfRule>
    <cfRule type="containsText" dxfId="369" priority="1118" operator="containsText" text="Ere">
      <formula>NOT(ISERROR(SEARCH("Ere",AF77)))</formula>
    </cfRule>
    <cfRule type="containsText" dxfId="368" priority="1117" operator="containsText" text="Str">
      <formula>NOT(ISERROR(SEARCH("Str",AF77)))</formula>
    </cfRule>
  </conditionalFormatting>
  <conditionalFormatting sqref="AF95 AI95 AL95">
    <cfRule type="containsText" dxfId="367" priority="1240" operator="containsText" text="fnd">
      <formula>NOT(ISERROR(SEARCH("fnd",AF95)))</formula>
    </cfRule>
    <cfRule type="containsText" dxfId="366" priority="1237" operator="containsText" text="Str">
      <formula>NOT(ISERROR(SEARCH("Str",AF95)))</formula>
    </cfRule>
    <cfRule type="containsText" dxfId="365" priority="1238" operator="containsText" text="Ere">
      <formula>NOT(ISERROR(SEARCH("Ere",AF95)))</formula>
    </cfRule>
    <cfRule type="containsText" dxfId="364" priority="1239" operator="containsText" text="Ear">
      <formula>NOT(ISERROR(SEARCH("Ear",AF95)))</formula>
    </cfRule>
  </conditionalFormatting>
  <conditionalFormatting sqref="AF104:AF105">
    <cfRule type="containsText" dxfId="363" priority="1212" operator="containsText" text="fnd">
      <formula>NOT(ISERROR(SEARCH("fnd",AF104)))</formula>
    </cfRule>
    <cfRule type="containsText" dxfId="362" priority="1211" operator="containsText" text="Ear">
      <formula>NOT(ISERROR(SEARCH("Ear",AF104)))</formula>
    </cfRule>
    <cfRule type="containsText" dxfId="361" priority="1210" operator="containsText" text="Ere">
      <formula>NOT(ISERROR(SEARCH("Ere",AF104)))</formula>
    </cfRule>
    <cfRule type="containsText" dxfId="360" priority="1209" operator="containsText" text="Str">
      <formula>NOT(ISERROR(SEARCH("Str",AF104)))</formula>
    </cfRule>
  </conditionalFormatting>
  <conditionalFormatting sqref="AF113">
    <cfRule type="containsText" dxfId="359" priority="1180" operator="containsText" text="fnd">
      <formula>NOT(ISERROR(SEARCH("fnd",AF113)))</formula>
    </cfRule>
    <cfRule type="containsText" dxfId="358" priority="1177" operator="containsText" text="Str">
      <formula>NOT(ISERROR(SEARCH("Str",AF113)))</formula>
    </cfRule>
    <cfRule type="containsText" dxfId="357" priority="1179" operator="containsText" text="Ear">
      <formula>NOT(ISERROR(SEARCH("Ear",AF113)))</formula>
    </cfRule>
    <cfRule type="containsText" dxfId="356" priority="1178" operator="containsText" text="Ere">
      <formula>NOT(ISERROR(SEARCH("Ere",AF113)))</formula>
    </cfRule>
  </conditionalFormatting>
  <conditionalFormatting sqref="AF122">
    <cfRule type="containsText" dxfId="355" priority="470" operator="containsText" text="Ere">
      <formula>NOT(ISERROR(SEARCH("Ere",AF122)))</formula>
    </cfRule>
    <cfRule type="containsText" dxfId="354" priority="472" operator="containsText" text="fnd">
      <formula>NOT(ISERROR(SEARCH("fnd",AF122)))</formula>
    </cfRule>
    <cfRule type="containsText" dxfId="353" priority="471" operator="containsText" text="Ear">
      <formula>NOT(ISERROR(SEARCH("Ear",AF122)))</formula>
    </cfRule>
    <cfRule type="containsText" dxfId="352" priority="469" operator="containsText" text="Str">
      <formula>NOT(ISERROR(SEARCH("Str",AF122)))</formula>
    </cfRule>
  </conditionalFormatting>
  <conditionalFormatting sqref="AF132:AF135">
    <cfRule type="containsText" dxfId="351" priority="904" operator="containsText" text="fnd">
      <formula>NOT(ISERROR(SEARCH("fnd",AF132)))</formula>
    </cfRule>
    <cfRule type="containsText" dxfId="350" priority="903" operator="containsText" text="Ear">
      <formula>NOT(ISERROR(SEARCH("Ear",AF132)))</formula>
    </cfRule>
    <cfRule type="containsText" dxfId="349" priority="902" operator="containsText" text="Ere">
      <formula>NOT(ISERROR(SEARCH("Ere",AF132)))</formula>
    </cfRule>
    <cfRule type="containsText" dxfId="348" priority="901" operator="containsText" text="Str">
      <formula>NOT(ISERROR(SEARCH("Str",AF132)))</formula>
    </cfRule>
  </conditionalFormatting>
  <conditionalFormatting sqref="AF33:AG33">
    <cfRule type="containsText" dxfId="347" priority="123" operator="containsText" text="Ear">
      <formula>NOT(ISERROR(SEARCH("Ear",AF33)))</formula>
    </cfRule>
    <cfRule type="containsText" dxfId="346" priority="121" operator="containsText" text="Str">
      <formula>NOT(ISERROR(SEARCH("Str",AF33)))</formula>
    </cfRule>
    <cfRule type="containsText" dxfId="345" priority="122" operator="containsText" text="Ere">
      <formula>NOT(ISERROR(SEARCH("Ere",AF33)))</formula>
    </cfRule>
    <cfRule type="containsText" dxfId="344" priority="124" operator="containsText" text="fnd">
      <formula>NOT(ISERROR(SEARCH("fnd",AF33)))</formula>
    </cfRule>
  </conditionalFormatting>
  <conditionalFormatting sqref="AF42:AG42">
    <cfRule type="containsText" dxfId="343" priority="1359" operator="containsText" text="Ear">
      <formula>NOT(ISERROR(SEARCH("Ear",AF42)))</formula>
    </cfRule>
    <cfRule type="containsText" dxfId="342" priority="1358" operator="containsText" text="Ere">
      <formula>NOT(ISERROR(SEARCH("Ere",AF42)))</formula>
    </cfRule>
    <cfRule type="containsText" dxfId="341" priority="1360" operator="containsText" text="fnd">
      <formula>NOT(ISERROR(SEARCH("fnd",AF42)))</formula>
    </cfRule>
    <cfRule type="containsText" dxfId="340" priority="1357" operator="containsText" text="Str">
      <formula>NOT(ISERROR(SEARCH("Str",AF42)))</formula>
    </cfRule>
  </conditionalFormatting>
  <conditionalFormatting sqref="AF60:AG60">
    <cfRule type="containsText" dxfId="339" priority="1109" operator="containsText" text="Str">
      <formula>NOT(ISERROR(SEARCH("Str",AF60)))</formula>
    </cfRule>
    <cfRule type="containsText" dxfId="338" priority="1110" operator="containsText" text="Ere">
      <formula>NOT(ISERROR(SEARCH("Ere",AF60)))</formula>
    </cfRule>
    <cfRule type="containsText" dxfId="337" priority="1111" operator="containsText" text="Ear">
      <formula>NOT(ISERROR(SEARCH("Ear",AF60)))</formula>
    </cfRule>
    <cfRule type="containsText" dxfId="336" priority="1112" operator="containsText" text="fnd">
      <formula>NOT(ISERROR(SEARCH("fnd",AF60)))</formula>
    </cfRule>
  </conditionalFormatting>
  <conditionalFormatting sqref="AF69:AG69">
    <cfRule type="containsText" dxfId="335" priority="746" operator="containsText" text="Ere">
      <formula>NOT(ISERROR(SEARCH("Ere",AF69)))</formula>
    </cfRule>
    <cfRule type="containsText" dxfId="334" priority="748" operator="containsText" text="fnd">
      <formula>NOT(ISERROR(SEARCH("fnd",AF69)))</formula>
    </cfRule>
    <cfRule type="containsText" dxfId="333" priority="745" operator="containsText" text="Str">
      <formula>NOT(ISERROR(SEARCH("Str",AF69)))</formula>
    </cfRule>
    <cfRule type="containsText" dxfId="332" priority="747" operator="containsText" text="Ear">
      <formula>NOT(ISERROR(SEARCH("Ear",AF69)))</formula>
    </cfRule>
  </conditionalFormatting>
  <conditionalFormatting sqref="AF78:AG78">
    <cfRule type="containsText" dxfId="331" priority="1148" operator="containsText" text="fnd">
      <formula>NOT(ISERROR(SEARCH("fnd",AF78)))</formula>
    </cfRule>
    <cfRule type="containsText" dxfId="330" priority="1145" operator="containsText" text="Str">
      <formula>NOT(ISERROR(SEARCH("Str",AF78)))</formula>
    </cfRule>
    <cfRule type="containsText" dxfId="329" priority="1147" operator="containsText" text="Ear">
      <formula>NOT(ISERROR(SEARCH("Ear",AF78)))</formula>
    </cfRule>
    <cfRule type="containsText" dxfId="328" priority="1146" operator="containsText" text="Ere">
      <formula>NOT(ISERROR(SEARCH("Ere",AF78)))</formula>
    </cfRule>
  </conditionalFormatting>
  <conditionalFormatting sqref="AF96:AG96">
    <cfRule type="containsText" dxfId="327" priority="1268" operator="containsText" text="fnd">
      <formula>NOT(ISERROR(SEARCH("fnd",AF96)))</formula>
    </cfRule>
    <cfRule type="containsText" dxfId="326" priority="1267" operator="containsText" text="Ear">
      <formula>NOT(ISERROR(SEARCH("Ear",AF96)))</formula>
    </cfRule>
    <cfRule type="containsText" dxfId="325" priority="1266" operator="containsText" text="Ere">
      <formula>NOT(ISERROR(SEARCH("Ere",AF96)))</formula>
    </cfRule>
    <cfRule type="containsText" dxfId="324" priority="1265" operator="containsText" text="Str">
      <formula>NOT(ISERROR(SEARCH("Str",AF96)))</formula>
    </cfRule>
  </conditionalFormatting>
  <conditionalFormatting sqref="AF114:AG114 AI114:AJ114">
    <cfRule type="containsText" dxfId="323" priority="1260" operator="containsText" text="fnd">
      <formula>NOT(ISERROR(SEARCH("fnd",AF114)))</formula>
    </cfRule>
    <cfRule type="containsText" dxfId="322" priority="1259" operator="containsText" text="Ear">
      <formula>NOT(ISERROR(SEARCH("Ear",AF114)))</formula>
    </cfRule>
    <cfRule type="containsText" dxfId="321" priority="1258" operator="containsText" text="Ere">
      <formula>NOT(ISERROR(SEARCH("Ere",AF114)))</formula>
    </cfRule>
    <cfRule type="containsText" dxfId="320" priority="1257" operator="containsText" text="Str">
      <formula>NOT(ISERROR(SEARCH("Str",AF114)))</formula>
    </cfRule>
  </conditionalFormatting>
  <conditionalFormatting sqref="AF123:AG123">
    <cfRule type="containsText" dxfId="319" priority="476" operator="containsText" text="fnd">
      <formula>NOT(ISERROR(SEARCH("fnd",AF123)))</formula>
    </cfRule>
    <cfRule type="containsText" dxfId="318" priority="475" operator="containsText" text="Ear">
      <formula>NOT(ISERROR(SEARCH("Ear",AF123)))</formula>
    </cfRule>
    <cfRule type="containsText" dxfId="317" priority="474" operator="containsText" text="Ere">
      <formula>NOT(ISERROR(SEARCH("Ere",AF123)))</formula>
    </cfRule>
    <cfRule type="containsText" dxfId="316" priority="473" operator="containsText" text="Str">
      <formula>NOT(ISERROR(SEARCH("Str",AF123)))</formula>
    </cfRule>
  </conditionalFormatting>
  <conditionalFormatting sqref="AG6">
    <cfRule type="containsText" dxfId="315" priority="244" operator="containsText" text="fnd">
      <formula>NOT(ISERROR(SEARCH("fnd",AG6)))</formula>
    </cfRule>
    <cfRule type="containsText" dxfId="314" priority="241" operator="containsText" text="Str">
      <formula>NOT(ISERROR(SEARCH("Str",AG6)))</formula>
    </cfRule>
    <cfRule type="containsText" dxfId="313" priority="242" operator="containsText" text="Ere">
      <formula>NOT(ISERROR(SEARCH("Ere",AG6)))</formula>
    </cfRule>
    <cfRule type="containsText" dxfId="312" priority="243" operator="containsText" text="Ear">
      <formula>NOT(ISERROR(SEARCH("Ear",AG6)))</formula>
    </cfRule>
  </conditionalFormatting>
  <conditionalFormatting sqref="AG24">
    <cfRule type="containsText" dxfId="311" priority="596" operator="containsText" text="fnd">
      <formula>NOT(ISERROR(SEARCH("fnd",AG24)))</formula>
    </cfRule>
    <cfRule type="containsText" dxfId="310" priority="595" operator="containsText" text="Ear">
      <formula>NOT(ISERROR(SEARCH("Ear",AG24)))</formula>
    </cfRule>
    <cfRule type="containsText" dxfId="309" priority="593" operator="containsText" text="Str">
      <formula>NOT(ISERROR(SEARCH("Str",AG24)))</formula>
    </cfRule>
    <cfRule type="containsText" dxfId="308" priority="594" operator="containsText" text="Ere">
      <formula>NOT(ISERROR(SEARCH("Ere",AG24)))</formula>
    </cfRule>
  </conditionalFormatting>
  <conditionalFormatting sqref="AI5:AI6">
    <cfRule type="containsText" dxfId="307" priority="401" operator="containsText" text="Str">
      <formula>NOT(ISERROR(SEARCH("Str",AI5)))</formula>
    </cfRule>
    <cfRule type="containsText" dxfId="306" priority="404" operator="containsText" text="fnd">
      <formula>NOT(ISERROR(SEARCH("fnd",AI5)))</formula>
    </cfRule>
    <cfRule type="containsText" dxfId="305" priority="403" operator="containsText" text="Ear">
      <formula>NOT(ISERROR(SEARCH("Ear",AI5)))</formula>
    </cfRule>
    <cfRule type="containsText" dxfId="304" priority="402" operator="containsText" text="Ere">
      <formula>NOT(ISERROR(SEARCH("Ere",AI5)))</formula>
    </cfRule>
  </conditionalFormatting>
  <conditionalFormatting sqref="AI14:AI15">
    <cfRule type="containsText" dxfId="303" priority="385" operator="containsText" text="Str">
      <formula>NOT(ISERROR(SEARCH("Str",AI14)))</formula>
    </cfRule>
    <cfRule type="containsText" dxfId="302" priority="386" operator="containsText" text="Ere">
      <formula>NOT(ISERROR(SEARCH("Ere",AI14)))</formula>
    </cfRule>
    <cfRule type="containsText" dxfId="301" priority="387" operator="containsText" text="Ear">
      <formula>NOT(ISERROR(SEARCH("Ear",AI14)))</formula>
    </cfRule>
    <cfRule type="containsText" dxfId="300" priority="388" operator="containsText" text="fnd">
      <formula>NOT(ISERROR(SEARCH("fnd",AI14)))</formula>
    </cfRule>
  </conditionalFormatting>
  <conditionalFormatting sqref="AI23:AI24">
    <cfRule type="containsText" dxfId="299" priority="60" operator="containsText" text="fnd">
      <formula>NOT(ISERROR(SEARCH("fnd",AI23)))</formula>
    </cfRule>
    <cfRule type="containsText" dxfId="298" priority="57" operator="containsText" text="Str">
      <formula>NOT(ISERROR(SEARCH("Str",AI23)))</formula>
    </cfRule>
    <cfRule type="containsText" dxfId="297" priority="58" operator="containsText" text="Ere">
      <formula>NOT(ISERROR(SEARCH("Ere",AI23)))</formula>
    </cfRule>
    <cfRule type="containsText" dxfId="296" priority="59" operator="containsText" text="Ear">
      <formula>NOT(ISERROR(SEARCH("Ear",AI23)))</formula>
    </cfRule>
  </conditionalFormatting>
  <conditionalFormatting sqref="AI32">
    <cfRule type="containsText" dxfId="295" priority="477" operator="containsText" text="Str">
      <formula>NOT(ISERROR(SEARCH("Str",AI32)))</formula>
    </cfRule>
    <cfRule type="containsText" dxfId="294" priority="480" operator="containsText" text="fnd">
      <formula>NOT(ISERROR(SEARCH("fnd",AI32)))</formula>
    </cfRule>
    <cfRule type="containsText" dxfId="293" priority="478" operator="containsText" text="Ere">
      <formula>NOT(ISERROR(SEARCH("Ere",AI32)))</formula>
    </cfRule>
    <cfRule type="containsText" dxfId="292" priority="479" operator="containsText" text="Ear">
      <formula>NOT(ISERROR(SEARCH("Ear",AI32)))</formula>
    </cfRule>
  </conditionalFormatting>
  <conditionalFormatting sqref="AI41:AI42">
    <cfRule type="containsText" dxfId="291" priority="1027" operator="containsText" text="Ear">
      <formula>NOT(ISERROR(SEARCH("Ear",AI41)))</formula>
    </cfRule>
    <cfRule type="containsText" dxfId="290" priority="1028" operator="containsText" text="fnd">
      <formula>NOT(ISERROR(SEARCH("fnd",AI41)))</formula>
    </cfRule>
    <cfRule type="containsText" dxfId="289" priority="1026" operator="containsText" text="Ere">
      <formula>NOT(ISERROR(SEARCH("Ere",AI41)))</formula>
    </cfRule>
    <cfRule type="containsText" dxfId="288" priority="1025" operator="containsText" text="Str">
      <formula>NOT(ISERROR(SEARCH("Str",AI41)))</formula>
    </cfRule>
  </conditionalFormatting>
  <conditionalFormatting sqref="AI59:AI60">
    <cfRule type="containsText" dxfId="287" priority="1121" operator="containsText" text="Str">
      <formula>NOT(ISERROR(SEARCH("Str",AI59)))</formula>
    </cfRule>
    <cfRule type="containsText" dxfId="286" priority="1122" operator="containsText" text="Ere">
      <formula>NOT(ISERROR(SEARCH("Ere",AI59)))</formula>
    </cfRule>
    <cfRule type="containsText" dxfId="285" priority="1123" operator="containsText" text="Ear">
      <formula>NOT(ISERROR(SEARCH("Ear",AI59)))</formula>
    </cfRule>
    <cfRule type="containsText" dxfId="284" priority="1124" operator="containsText" text="fnd">
      <formula>NOT(ISERROR(SEARCH("fnd",AI59)))</formula>
    </cfRule>
  </conditionalFormatting>
  <conditionalFormatting sqref="AI68">
    <cfRule type="containsText" dxfId="283" priority="860" operator="containsText" text="fnd">
      <formula>NOT(ISERROR(SEARCH("fnd",AI68)))</formula>
    </cfRule>
    <cfRule type="containsText" dxfId="282" priority="859" operator="containsText" text="Ear">
      <formula>NOT(ISERROR(SEARCH("Ear",AI68)))</formula>
    </cfRule>
    <cfRule type="containsText" dxfId="281" priority="857" operator="containsText" text="Str">
      <formula>NOT(ISERROR(SEARCH("Str",AI68)))</formula>
    </cfRule>
    <cfRule type="containsText" dxfId="280" priority="858" operator="containsText" text="Ere">
      <formula>NOT(ISERROR(SEARCH("Ere",AI68)))</formula>
    </cfRule>
  </conditionalFormatting>
  <conditionalFormatting sqref="AI77">
    <cfRule type="containsText" dxfId="279" priority="750" operator="containsText" text="Ere">
      <formula>NOT(ISERROR(SEARCH("Ere",AI77)))</formula>
    </cfRule>
    <cfRule type="containsText" dxfId="278" priority="751" operator="containsText" text="Ear">
      <formula>NOT(ISERROR(SEARCH("Ear",AI77)))</formula>
    </cfRule>
    <cfRule type="containsText" dxfId="277" priority="752" operator="containsText" text="fnd">
      <formula>NOT(ISERROR(SEARCH("fnd",AI77)))</formula>
    </cfRule>
    <cfRule type="containsText" dxfId="276" priority="749" operator="containsText" text="Str">
      <formula>NOT(ISERROR(SEARCH("Str",AI77)))</formula>
    </cfRule>
  </conditionalFormatting>
  <conditionalFormatting sqref="AI104:AI105">
    <cfRule type="containsText" dxfId="275" priority="364" operator="containsText" text="fnd">
      <formula>NOT(ISERROR(SEARCH("fnd",AI104)))</formula>
    </cfRule>
    <cfRule type="containsText" dxfId="274" priority="361" operator="containsText" text="Str">
      <formula>NOT(ISERROR(SEARCH("Str",AI104)))</formula>
    </cfRule>
    <cfRule type="containsText" dxfId="273" priority="362" operator="containsText" text="Ere">
      <formula>NOT(ISERROR(SEARCH("Ere",AI104)))</formula>
    </cfRule>
    <cfRule type="containsText" dxfId="272" priority="363" operator="containsText" text="Ear">
      <formula>NOT(ISERROR(SEARCH("Ear",AI104)))</formula>
    </cfRule>
  </conditionalFormatting>
  <conditionalFormatting sqref="AI113">
    <cfRule type="containsText" dxfId="271" priority="1173" operator="containsText" text="Str">
      <formula>NOT(ISERROR(SEARCH("Str",AI113)))</formula>
    </cfRule>
    <cfRule type="containsText" dxfId="270" priority="1174" operator="containsText" text="Ere">
      <formula>NOT(ISERROR(SEARCH("Ere",AI113)))</formula>
    </cfRule>
    <cfRule type="containsText" dxfId="269" priority="1175" operator="containsText" text="Ear">
      <formula>NOT(ISERROR(SEARCH("Ear",AI113)))</formula>
    </cfRule>
    <cfRule type="containsText" dxfId="268" priority="1176" operator="containsText" text="fnd">
      <formula>NOT(ISERROR(SEARCH("fnd",AI113)))</formula>
    </cfRule>
  </conditionalFormatting>
  <conditionalFormatting sqref="AI122">
    <cfRule type="containsText" dxfId="267" priority="416" operator="containsText" text="fnd">
      <formula>NOT(ISERROR(SEARCH("fnd",AI122)))</formula>
    </cfRule>
    <cfRule type="containsText" dxfId="266" priority="414" operator="containsText" text="Ere">
      <formula>NOT(ISERROR(SEARCH("Ere",AI122)))</formula>
    </cfRule>
    <cfRule type="containsText" dxfId="265" priority="415" operator="containsText" text="Ear">
      <formula>NOT(ISERROR(SEARCH("Ear",AI122)))</formula>
    </cfRule>
    <cfRule type="containsText" dxfId="264" priority="413" operator="containsText" text="Str">
      <formula>NOT(ISERROR(SEARCH("Str",AI122)))</formula>
    </cfRule>
  </conditionalFormatting>
  <conditionalFormatting sqref="AI132:AI135">
    <cfRule type="containsText" dxfId="263" priority="900" operator="containsText" text="fnd">
      <formula>NOT(ISERROR(SEARCH("fnd",AI132)))</formula>
    </cfRule>
    <cfRule type="containsText" dxfId="262" priority="899" operator="containsText" text="Ear">
      <formula>NOT(ISERROR(SEARCH("Ear",AI132)))</formula>
    </cfRule>
    <cfRule type="containsText" dxfId="261" priority="898" operator="containsText" text="Ere">
      <formula>NOT(ISERROR(SEARCH("Ere",AI132)))</formula>
    </cfRule>
    <cfRule type="containsText" dxfId="260" priority="897" operator="containsText" text="Str">
      <formula>NOT(ISERROR(SEARCH("Str",AI132)))</formula>
    </cfRule>
  </conditionalFormatting>
  <conditionalFormatting sqref="AI33:AJ33">
    <cfRule type="containsText" dxfId="259" priority="484" operator="containsText" text="fnd">
      <formula>NOT(ISERROR(SEARCH("fnd",AI33)))</formula>
    </cfRule>
    <cfRule type="containsText" dxfId="258" priority="481" operator="containsText" text="Str">
      <formula>NOT(ISERROR(SEARCH("Str",AI33)))</formula>
    </cfRule>
    <cfRule type="containsText" dxfId="257" priority="482" operator="containsText" text="Ere">
      <formula>NOT(ISERROR(SEARCH("Ere",AI33)))</formula>
    </cfRule>
    <cfRule type="containsText" dxfId="256" priority="483" operator="containsText" text="Ear">
      <formula>NOT(ISERROR(SEARCH("Ear",AI33)))</formula>
    </cfRule>
  </conditionalFormatting>
  <conditionalFormatting sqref="AI51:AJ51">
    <cfRule type="containsText" dxfId="255" priority="1343" operator="containsText" text="Ear">
      <formula>NOT(ISERROR(SEARCH("Ear",AI51)))</formula>
    </cfRule>
    <cfRule type="containsText" dxfId="254" priority="1342" operator="containsText" text="Ere">
      <formula>NOT(ISERROR(SEARCH("Ere",AI51)))</formula>
    </cfRule>
    <cfRule type="containsText" dxfId="253" priority="1341" operator="containsText" text="Str">
      <formula>NOT(ISERROR(SEARCH("Str",AI51)))</formula>
    </cfRule>
    <cfRule type="containsText" dxfId="252" priority="1344" operator="containsText" text="fnd">
      <formula>NOT(ISERROR(SEARCH("fnd",AI51)))</formula>
    </cfRule>
  </conditionalFormatting>
  <conditionalFormatting sqref="AI69:AJ69">
    <cfRule type="containsText" dxfId="251" priority="861" operator="containsText" text="Str">
      <formula>NOT(ISERROR(SEARCH("Str",AI69)))</formula>
    </cfRule>
    <cfRule type="containsText" dxfId="250" priority="864" operator="containsText" text="fnd">
      <formula>NOT(ISERROR(SEARCH("fnd",AI69)))</formula>
    </cfRule>
    <cfRule type="containsText" dxfId="249" priority="862" operator="containsText" text="Ere">
      <formula>NOT(ISERROR(SEARCH("Ere",AI69)))</formula>
    </cfRule>
    <cfRule type="containsText" dxfId="248" priority="863" operator="containsText" text="Ear">
      <formula>NOT(ISERROR(SEARCH("Ear",AI69)))</formula>
    </cfRule>
  </conditionalFormatting>
  <conditionalFormatting sqref="AI78:AJ78">
    <cfRule type="containsText" dxfId="247" priority="755" operator="containsText" text="Ear">
      <formula>NOT(ISERROR(SEARCH("Ear",AI78)))</formula>
    </cfRule>
    <cfRule type="containsText" dxfId="246" priority="753" operator="containsText" text="Str">
      <formula>NOT(ISERROR(SEARCH("Str",AI78)))</formula>
    </cfRule>
    <cfRule type="containsText" dxfId="245" priority="756" operator="containsText" text="fnd">
      <formula>NOT(ISERROR(SEARCH("fnd",AI78)))</formula>
    </cfRule>
    <cfRule type="containsText" dxfId="244" priority="754" operator="containsText" text="Ere">
      <formula>NOT(ISERROR(SEARCH("Ere",AI78)))</formula>
    </cfRule>
  </conditionalFormatting>
  <conditionalFormatting sqref="AI96:AJ96 AL96:AM96 AO96:AP96">
    <cfRule type="containsText" dxfId="243" priority="1263" operator="containsText" text="Ear">
      <formula>NOT(ISERROR(SEARCH("Ear",AI96)))</formula>
    </cfRule>
    <cfRule type="containsText" dxfId="242" priority="1264" operator="containsText" text="fnd">
      <formula>NOT(ISERROR(SEARCH("fnd",AI96)))</formula>
    </cfRule>
    <cfRule type="containsText" dxfId="241" priority="1261" operator="containsText" text="Str">
      <formula>NOT(ISERROR(SEARCH("Str",AI96)))</formula>
    </cfRule>
    <cfRule type="containsText" dxfId="240" priority="1262" operator="containsText" text="Ere">
      <formula>NOT(ISERROR(SEARCH("Ere",AI96)))</formula>
    </cfRule>
  </conditionalFormatting>
  <conditionalFormatting sqref="AI123:AJ123">
    <cfRule type="containsText" dxfId="239" priority="420" operator="containsText" text="fnd">
      <formula>NOT(ISERROR(SEARCH("fnd",AI123)))</formula>
    </cfRule>
    <cfRule type="containsText" dxfId="238" priority="419" operator="containsText" text="Ear">
      <formula>NOT(ISERROR(SEARCH("Ear",AI123)))</formula>
    </cfRule>
    <cfRule type="containsText" dxfId="237" priority="418" operator="containsText" text="Ere">
      <formula>NOT(ISERROR(SEARCH("Ere",AI123)))</formula>
    </cfRule>
    <cfRule type="containsText" dxfId="236" priority="417" operator="containsText" text="Str">
      <formula>NOT(ISERROR(SEARCH("Str",AI123)))</formula>
    </cfRule>
  </conditionalFormatting>
  <conditionalFormatting sqref="AJ6">
    <cfRule type="containsText" dxfId="235" priority="399" operator="containsText" text="Ear">
      <formula>NOT(ISERROR(SEARCH("Ear",AJ6)))</formula>
    </cfRule>
    <cfRule type="containsText" dxfId="234" priority="397" operator="containsText" text="Str">
      <formula>NOT(ISERROR(SEARCH("Str",AJ6)))</formula>
    </cfRule>
    <cfRule type="containsText" dxfId="233" priority="400" operator="containsText" text="fnd">
      <formula>NOT(ISERROR(SEARCH("fnd",AJ6)))</formula>
    </cfRule>
    <cfRule type="containsText" dxfId="232" priority="398" operator="containsText" text="Ere">
      <formula>NOT(ISERROR(SEARCH("Ere",AJ6)))</formula>
    </cfRule>
  </conditionalFormatting>
  <conditionalFormatting sqref="AJ15">
    <cfRule type="containsText" dxfId="231" priority="382" operator="containsText" text="Ere">
      <formula>NOT(ISERROR(SEARCH("Ere",AJ15)))</formula>
    </cfRule>
    <cfRule type="containsText" dxfId="230" priority="381" operator="containsText" text="Str">
      <formula>NOT(ISERROR(SEARCH("Str",AJ15)))</formula>
    </cfRule>
    <cfRule type="containsText" dxfId="229" priority="384" operator="containsText" text="fnd">
      <formula>NOT(ISERROR(SEARCH("fnd",AJ15)))</formula>
    </cfRule>
    <cfRule type="containsText" dxfId="228" priority="383" operator="containsText" text="Ear">
      <formula>NOT(ISERROR(SEARCH("Ear",AJ15)))</formula>
    </cfRule>
  </conditionalFormatting>
  <conditionalFormatting sqref="AJ24">
    <cfRule type="containsText" dxfId="227" priority="55" operator="containsText" text="Ear">
      <formula>NOT(ISERROR(SEARCH("Ear",AJ24)))</formula>
    </cfRule>
    <cfRule type="containsText" dxfId="226" priority="53" operator="containsText" text="Str">
      <formula>NOT(ISERROR(SEARCH("Str",AJ24)))</formula>
    </cfRule>
    <cfRule type="containsText" dxfId="225" priority="54" operator="containsText" text="Ere">
      <formula>NOT(ISERROR(SEARCH("Ere",AJ24)))</formula>
    </cfRule>
    <cfRule type="containsText" dxfId="224" priority="56" operator="containsText" text="fnd">
      <formula>NOT(ISERROR(SEARCH("fnd",AJ24)))</formula>
    </cfRule>
  </conditionalFormatting>
  <conditionalFormatting sqref="AJ42">
    <cfRule type="containsText" dxfId="223" priority="1030" operator="containsText" text="Ere">
      <formula>NOT(ISERROR(SEARCH("Ere",AJ42)))</formula>
    </cfRule>
    <cfRule type="containsText" dxfId="222" priority="1031" operator="containsText" text="Ear">
      <formula>NOT(ISERROR(SEARCH("Ear",AJ42)))</formula>
    </cfRule>
    <cfRule type="containsText" dxfId="221" priority="1032" operator="containsText" text="fnd">
      <formula>NOT(ISERROR(SEARCH("fnd",AJ42)))</formula>
    </cfRule>
    <cfRule type="containsText" dxfId="220" priority="1029" operator="containsText" text="Str">
      <formula>NOT(ISERROR(SEARCH("Str",AJ42)))</formula>
    </cfRule>
  </conditionalFormatting>
  <conditionalFormatting sqref="AJ60">
    <cfRule type="containsText" dxfId="219" priority="1108" operator="containsText" text="fnd">
      <formula>NOT(ISERROR(SEARCH("fnd",AJ60)))</formula>
    </cfRule>
    <cfRule type="containsText" dxfId="218" priority="1107" operator="containsText" text="Ear">
      <formula>NOT(ISERROR(SEARCH("Ear",AJ60)))</formula>
    </cfRule>
    <cfRule type="containsText" dxfId="217" priority="1106" operator="containsText" text="Ere">
      <formula>NOT(ISERROR(SEARCH("Ere",AJ60)))</formula>
    </cfRule>
    <cfRule type="containsText" dxfId="216" priority="1105" operator="containsText" text="Str">
      <formula>NOT(ISERROR(SEARCH("Str",AJ60)))</formula>
    </cfRule>
  </conditionalFormatting>
  <conditionalFormatting sqref="AL5:AL6">
    <cfRule type="containsText" dxfId="215" priority="263" operator="containsText" text="Ear">
      <formula>NOT(ISERROR(SEARCH("Ear",AL5)))</formula>
    </cfRule>
    <cfRule type="containsText" dxfId="214" priority="262" operator="containsText" text="Ere">
      <formula>NOT(ISERROR(SEARCH("Ere",AL5)))</formula>
    </cfRule>
    <cfRule type="containsText" dxfId="213" priority="261" operator="containsText" text="Str">
      <formula>NOT(ISERROR(SEARCH("Str",AL5)))</formula>
    </cfRule>
    <cfRule type="containsText" dxfId="212" priority="264" operator="containsText" text="fnd">
      <formula>NOT(ISERROR(SEARCH("fnd",AL5)))</formula>
    </cfRule>
  </conditionalFormatting>
  <conditionalFormatting sqref="AL14:AL15">
    <cfRule type="containsText" dxfId="211" priority="344" operator="containsText" text="fnd">
      <formula>NOT(ISERROR(SEARCH("fnd",AL14)))</formula>
    </cfRule>
    <cfRule type="containsText" dxfId="210" priority="342" operator="containsText" text="Ere">
      <formula>NOT(ISERROR(SEARCH("Ere",AL14)))</formula>
    </cfRule>
    <cfRule type="containsText" dxfId="209" priority="343" operator="containsText" text="Ear">
      <formula>NOT(ISERROR(SEARCH("Ear",AL14)))</formula>
    </cfRule>
    <cfRule type="containsText" dxfId="208" priority="341" operator="containsText" text="Str">
      <formula>NOT(ISERROR(SEARCH("Str",AL14)))</formula>
    </cfRule>
  </conditionalFormatting>
  <conditionalFormatting sqref="AL23:AL24">
    <cfRule type="containsText" dxfId="207" priority="41" operator="containsText" text="Str">
      <formula>NOT(ISERROR(SEARCH("Str",AL23)))</formula>
    </cfRule>
    <cfRule type="containsText" dxfId="206" priority="42" operator="containsText" text="Ere">
      <formula>NOT(ISERROR(SEARCH("Ere",AL23)))</formula>
    </cfRule>
    <cfRule type="containsText" dxfId="205" priority="43" operator="containsText" text="Ear">
      <formula>NOT(ISERROR(SEARCH("Ear",AL23)))</formula>
    </cfRule>
    <cfRule type="containsText" dxfId="204" priority="44" operator="containsText" text="fnd">
      <formula>NOT(ISERROR(SEARCH("fnd",AL23)))</formula>
    </cfRule>
  </conditionalFormatting>
  <conditionalFormatting sqref="AL41:AL42">
    <cfRule type="containsText" dxfId="203" priority="1220" operator="containsText" text="fnd">
      <formula>NOT(ISERROR(SEARCH("fnd",AL41)))</formula>
    </cfRule>
    <cfRule type="containsText" dxfId="202" priority="1219" operator="containsText" text="Ear">
      <formula>NOT(ISERROR(SEARCH("Ear",AL41)))</formula>
    </cfRule>
    <cfRule type="containsText" dxfId="201" priority="1218" operator="containsText" text="Ere">
      <formula>NOT(ISERROR(SEARCH("Ere",AL41)))</formula>
    </cfRule>
    <cfRule type="containsText" dxfId="200" priority="1217" operator="containsText" text="Str">
      <formula>NOT(ISERROR(SEARCH("Str",AL41)))</formula>
    </cfRule>
  </conditionalFormatting>
  <conditionalFormatting sqref="AL59">
    <cfRule type="containsText" dxfId="199" priority="1078" operator="containsText" text="Ere">
      <formula>NOT(ISERROR(SEARCH("Ere",AL59)))</formula>
    </cfRule>
    <cfRule type="containsText" dxfId="198" priority="1077" operator="containsText" text="Str">
      <formula>NOT(ISERROR(SEARCH("Str",AL59)))</formula>
    </cfRule>
    <cfRule type="containsText" dxfId="197" priority="1080" operator="containsText" text="fnd">
      <formula>NOT(ISERROR(SEARCH("fnd",AL59)))</formula>
    </cfRule>
    <cfRule type="containsText" dxfId="196" priority="1079" operator="containsText" text="Ear">
      <formula>NOT(ISERROR(SEARCH("Ear",AL59)))</formula>
    </cfRule>
  </conditionalFormatting>
  <conditionalFormatting sqref="AL68:AL69">
    <cfRule type="containsText" dxfId="195" priority="878" operator="containsText" text="Ere">
      <formula>NOT(ISERROR(SEARCH("Ere",AL68)))</formula>
    </cfRule>
    <cfRule type="containsText" dxfId="194" priority="879" operator="containsText" text="Ear">
      <formula>NOT(ISERROR(SEARCH("Ear",AL68)))</formula>
    </cfRule>
    <cfRule type="containsText" dxfId="193" priority="877" operator="containsText" text="Str">
      <formula>NOT(ISERROR(SEARCH("Str",AL68)))</formula>
    </cfRule>
    <cfRule type="containsText" dxfId="192" priority="880" operator="containsText" text="fnd">
      <formula>NOT(ISERROR(SEARCH("fnd",AL68)))</formula>
    </cfRule>
  </conditionalFormatting>
  <conditionalFormatting sqref="AL77">
    <cfRule type="containsText" dxfId="191" priority="1142" operator="containsText" text="Ere">
      <formula>NOT(ISERROR(SEARCH("Ere",AL77)))</formula>
    </cfRule>
    <cfRule type="containsText" dxfId="190" priority="1143" operator="containsText" text="Ear">
      <formula>NOT(ISERROR(SEARCH("Ear",AL77)))</formula>
    </cfRule>
    <cfRule type="containsText" dxfId="189" priority="1141" operator="containsText" text="Str">
      <formula>NOT(ISERROR(SEARCH("Str",AL77)))</formula>
    </cfRule>
    <cfRule type="containsText" dxfId="188" priority="1144" operator="containsText" text="fnd">
      <formula>NOT(ISERROR(SEARCH("fnd",AL77)))</formula>
    </cfRule>
  </conditionalFormatting>
  <conditionalFormatting sqref="AL104:AL105">
    <cfRule type="containsText" dxfId="187" priority="333" operator="containsText" text="Str">
      <formula>NOT(ISERROR(SEARCH("Str",AL104)))</formula>
    </cfRule>
    <cfRule type="containsText" dxfId="186" priority="334" operator="containsText" text="Ere">
      <formula>NOT(ISERROR(SEARCH("Ere",AL104)))</formula>
    </cfRule>
    <cfRule type="containsText" dxfId="185" priority="335" operator="containsText" text="Ear">
      <formula>NOT(ISERROR(SEARCH("Ear",AL104)))</formula>
    </cfRule>
    <cfRule type="containsText" dxfId="184" priority="336" operator="containsText" text="fnd">
      <formula>NOT(ISERROR(SEARCH("fnd",AL104)))</formula>
    </cfRule>
  </conditionalFormatting>
  <conditionalFormatting sqref="AL113">
    <cfRule type="containsText" dxfId="183" priority="649" operator="containsText" text="Str">
      <formula>NOT(ISERROR(SEARCH("Str",AL113)))</formula>
    </cfRule>
    <cfRule type="containsText" dxfId="182" priority="651" operator="containsText" text="Ear">
      <formula>NOT(ISERROR(SEARCH("Ear",AL113)))</formula>
    </cfRule>
    <cfRule type="containsText" dxfId="181" priority="650" operator="containsText" text="Ere">
      <formula>NOT(ISERROR(SEARCH("Ere",AL113)))</formula>
    </cfRule>
    <cfRule type="containsText" dxfId="180" priority="652" operator="containsText" text="fnd">
      <formula>NOT(ISERROR(SEARCH("fnd",AL113)))</formula>
    </cfRule>
  </conditionalFormatting>
  <conditionalFormatting sqref="AL122">
    <cfRule type="containsText" dxfId="179" priority="437" operator="containsText" text="Str">
      <formula>NOT(ISERROR(SEARCH("Str",AL122)))</formula>
    </cfRule>
    <cfRule type="containsText" dxfId="178" priority="438" operator="containsText" text="Ere">
      <formula>NOT(ISERROR(SEARCH("Ere",AL122)))</formula>
    </cfRule>
    <cfRule type="containsText" dxfId="177" priority="439" operator="containsText" text="Ear">
      <formula>NOT(ISERROR(SEARCH("Ear",AL122)))</formula>
    </cfRule>
    <cfRule type="containsText" dxfId="176" priority="440" operator="containsText" text="fnd">
      <formula>NOT(ISERROR(SEARCH("fnd",AL122)))</formula>
    </cfRule>
  </conditionalFormatting>
  <conditionalFormatting sqref="AL132:AL135">
    <cfRule type="containsText" dxfId="175" priority="895" operator="containsText" text="Ear">
      <formula>NOT(ISERROR(SEARCH("Ear",AL132)))</formula>
    </cfRule>
    <cfRule type="containsText" dxfId="174" priority="893" operator="containsText" text="Str">
      <formula>NOT(ISERROR(SEARCH("Str",AL132)))</formula>
    </cfRule>
    <cfRule type="containsText" dxfId="173" priority="896" operator="containsText" text="fnd">
      <formula>NOT(ISERROR(SEARCH("fnd",AL132)))</formula>
    </cfRule>
    <cfRule type="containsText" dxfId="172" priority="894" operator="containsText" text="Ere">
      <formula>NOT(ISERROR(SEARCH("Ere",AL132)))</formula>
    </cfRule>
  </conditionalFormatting>
  <conditionalFormatting sqref="AL33:AM33">
    <cfRule type="containsText" dxfId="171" priority="1388" operator="containsText" text="fnd">
      <formula>NOT(ISERROR(SEARCH("fnd",AL33)))</formula>
    </cfRule>
    <cfRule type="containsText" dxfId="170" priority="1387" operator="containsText" text="Ear">
      <formula>NOT(ISERROR(SEARCH("Ear",AL33)))</formula>
    </cfRule>
    <cfRule type="containsText" dxfId="169" priority="1386" operator="containsText" text="Ere">
      <formula>NOT(ISERROR(SEARCH("Ere",AL33)))</formula>
    </cfRule>
    <cfRule type="containsText" dxfId="168" priority="1385" operator="containsText" text="Str">
      <formula>NOT(ISERROR(SEARCH("Str",AL33)))</formula>
    </cfRule>
  </conditionalFormatting>
  <conditionalFormatting sqref="AL60:AM60">
    <cfRule type="containsText" dxfId="167" priority="1101" operator="containsText" text="Str">
      <formula>NOT(ISERROR(SEARCH("Str",AL60)))</formula>
    </cfRule>
    <cfRule type="containsText" dxfId="166" priority="1102" operator="containsText" text="Ere">
      <formula>NOT(ISERROR(SEARCH("Ere",AL60)))</formula>
    </cfRule>
    <cfRule type="containsText" dxfId="165" priority="1104" operator="containsText" text="fnd">
      <formula>NOT(ISERROR(SEARCH("fnd",AL60)))</formula>
    </cfRule>
    <cfRule type="containsText" dxfId="164" priority="1103" operator="containsText" text="Ear">
      <formula>NOT(ISERROR(SEARCH("Ear",AL60)))</formula>
    </cfRule>
  </conditionalFormatting>
  <conditionalFormatting sqref="AL78:AM78">
    <cfRule type="containsText" dxfId="163" priority="1157" operator="containsText" text="Str">
      <formula>NOT(ISERROR(SEARCH("Str",AL78)))</formula>
    </cfRule>
    <cfRule type="containsText" dxfId="162" priority="1158" operator="containsText" text="Ere">
      <formula>NOT(ISERROR(SEARCH("Ere",AL78)))</formula>
    </cfRule>
    <cfRule type="containsText" dxfId="161" priority="1159" operator="containsText" text="Ear">
      <formula>NOT(ISERROR(SEARCH("Ear",AL78)))</formula>
    </cfRule>
    <cfRule type="containsText" dxfId="160" priority="1160" operator="containsText" text="fnd">
      <formula>NOT(ISERROR(SEARCH("fnd",AL78)))</formula>
    </cfRule>
  </conditionalFormatting>
  <conditionalFormatting sqref="AL114:AM114">
    <cfRule type="containsText" dxfId="159" priority="653" operator="containsText" text="Str">
      <formula>NOT(ISERROR(SEARCH("Str",AL114)))</formula>
    </cfRule>
    <cfRule type="containsText" dxfId="158" priority="654" operator="containsText" text="Ere">
      <formula>NOT(ISERROR(SEARCH("Ere",AL114)))</formula>
    </cfRule>
    <cfRule type="containsText" dxfId="157" priority="655" operator="containsText" text="Ear">
      <formula>NOT(ISERROR(SEARCH("Ear",AL114)))</formula>
    </cfRule>
    <cfRule type="containsText" dxfId="156" priority="656" operator="containsText" text="fnd">
      <formula>NOT(ISERROR(SEARCH("fnd",AL114)))</formula>
    </cfRule>
  </conditionalFormatting>
  <conditionalFormatting sqref="AL123:AM123">
    <cfRule type="containsText" dxfId="155" priority="444" operator="containsText" text="fnd">
      <formula>NOT(ISERROR(SEARCH("fnd",AL123)))</formula>
    </cfRule>
    <cfRule type="containsText" dxfId="154" priority="441" operator="containsText" text="Str">
      <formula>NOT(ISERROR(SEARCH("Str",AL123)))</formula>
    </cfRule>
    <cfRule type="containsText" dxfId="153" priority="442" operator="containsText" text="Ere">
      <formula>NOT(ISERROR(SEARCH("Ere",AL123)))</formula>
    </cfRule>
    <cfRule type="containsText" dxfId="152" priority="443" operator="containsText" text="Ear">
      <formula>NOT(ISERROR(SEARCH("Ear",AL123)))</formula>
    </cfRule>
  </conditionalFormatting>
  <conditionalFormatting sqref="AM6">
    <cfRule type="containsText" dxfId="151" priority="260" operator="containsText" text="fnd">
      <formula>NOT(ISERROR(SEARCH("fnd",AM6)))</formula>
    </cfRule>
    <cfRule type="containsText" dxfId="150" priority="257" operator="containsText" text="Str">
      <formula>NOT(ISERROR(SEARCH("Str",AM6)))</formula>
    </cfRule>
    <cfRule type="containsText" dxfId="149" priority="258" operator="containsText" text="Ere">
      <formula>NOT(ISERROR(SEARCH("Ere",AM6)))</formula>
    </cfRule>
    <cfRule type="containsText" dxfId="148" priority="259" operator="containsText" text="Ear">
      <formula>NOT(ISERROR(SEARCH("Ear",AM6)))</formula>
    </cfRule>
  </conditionalFormatting>
  <conditionalFormatting sqref="AM15">
    <cfRule type="containsText" dxfId="147" priority="337" operator="containsText" text="Str">
      <formula>NOT(ISERROR(SEARCH("Str",AM15)))</formula>
    </cfRule>
    <cfRule type="containsText" dxfId="146" priority="338" operator="containsText" text="Ere">
      <formula>NOT(ISERROR(SEARCH("Ere",AM15)))</formula>
    </cfRule>
    <cfRule type="containsText" dxfId="145" priority="339" operator="containsText" text="Ear">
      <formula>NOT(ISERROR(SEARCH("Ear",AM15)))</formula>
    </cfRule>
    <cfRule type="containsText" dxfId="144" priority="340" operator="containsText" text="fnd">
      <formula>NOT(ISERROR(SEARCH("fnd",AM15)))</formula>
    </cfRule>
  </conditionalFormatting>
  <conditionalFormatting sqref="AM24">
    <cfRule type="containsText" dxfId="143" priority="39" operator="containsText" text="Ear">
      <formula>NOT(ISERROR(SEARCH("Ear",AM24)))</formula>
    </cfRule>
    <cfRule type="containsText" dxfId="142" priority="37" operator="containsText" text="Str">
      <formula>NOT(ISERROR(SEARCH("Str",AM24)))</formula>
    </cfRule>
    <cfRule type="containsText" dxfId="141" priority="38" operator="containsText" text="Ere">
      <formula>NOT(ISERROR(SEARCH("Ere",AM24)))</formula>
    </cfRule>
    <cfRule type="containsText" dxfId="140" priority="40" operator="containsText" text="fnd">
      <formula>NOT(ISERROR(SEARCH("fnd",AM24)))</formula>
    </cfRule>
  </conditionalFormatting>
  <conditionalFormatting sqref="AM42">
    <cfRule type="containsText" dxfId="139" priority="1353" operator="containsText" text="Str">
      <formula>NOT(ISERROR(SEARCH("Str",AM42)))</formula>
    </cfRule>
    <cfRule type="containsText" dxfId="138" priority="1354" operator="containsText" text="Ere">
      <formula>NOT(ISERROR(SEARCH("Ere",AM42)))</formula>
    </cfRule>
    <cfRule type="containsText" dxfId="137" priority="1355" operator="containsText" text="Ear">
      <formula>NOT(ISERROR(SEARCH("Ear",AM42)))</formula>
    </cfRule>
    <cfRule type="containsText" dxfId="136" priority="1356" operator="containsText" text="fnd">
      <formula>NOT(ISERROR(SEARCH("fnd",AM42)))</formula>
    </cfRule>
  </conditionalFormatting>
  <conditionalFormatting sqref="AO5:AO6">
    <cfRule type="containsText" dxfId="135" priority="193" operator="containsText" text="Str">
      <formula>NOT(ISERROR(SEARCH("Str",AO5)))</formula>
    </cfRule>
    <cfRule type="containsText" dxfId="134" priority="195" operator="containsText" text="Ear">
      <formula>NOT(ISERROR(SEARCH("Ear",AO5)))</formula>
    </cfRule>
    <cfRule type="containsText" dxfId="133" priority="194" operator="containsText" text="Ere">
      <formula>NOT(ISERROR(SEARCH("Ere",AO5)))</formula>
    </cfRule>
    <cfRule type="containsText" dxfId="132" priority="196" operator="containsText" text="fnd">
      <formula>NOT(ISERROR(SEARCH("fnd",AO5)))</formula>
    </cfRule>
  </conditionalFormatting>
  <conditionalFormatting sqref="AO14:AO15">
    <cfRule type="containsText" dxfId="131" priority="518" operator="containsText" text="Ere">
      <formula>NOT(ISERROR(SEARCH("Ere",AO14)))</formula>
    </cfRule>
    <cfRule type="containsText" dxfId="130" priority="520" operator="containsText" text="fnd">
      <formula>NOT(ISERROR(SEARCH("fnd",AO14)))</formula>
    </cfRule>
    <cfRule type="containsText" dxfId="129" priority="517" operator="containsText" text="Str">
      <formula>NOT(ISERROR(SEARCH("Str",AO14)))</formula>
    </cfRule>
    <cfRule type="containsText" dxfId="128" priority="519" operator="containsText" text="Ear">
      <formula>NOT(ISERROR(SEARCH("Ear",AO14)))</formula>
    </cfRule>
  </conditionalFormatting>
  <conditionalFormatting sqref="AO23:AO24">
    <cfRule type="containsText" dxfId="127" priority="34" operator="containsText" text="Ere">
      <formula>NOT(ISERROR(SEARCH("Ere",AO23)))</formula>
    </cfRule>
    <cfRule type="containsText" dxfId="126" priority="36" operator="containsText" text="fnd">
      <formula>NOT(ISERROR(SEARCH("fnd",AO23)))</formula>
    </cfRule>
    <cfRule type="containsText" dxfId="125" priority="35" operator="containsText" text="Ear">
      <formula>NOT(ISERROR(SEARCH("Ear",AO23)))</formula>
    </cfRule>
    <cfRule type="containsText" dxfId="124" priority="33" operator="containsText" text="Str">
      <formula>NOT(ISERROR(SEARCH("Str",AO23)))</formula>
    </cfRule>
  </conditionalFormatting>
  <conditionalFormatting sqref="AO41:AO42">
    <cfRule type="containsText" dxfId="123" priority="1044" operator="containsText" text="fnd">
      <formula>NOT(ISERROR(SEARCH("fnd",AO41)))</formula>
    </cfRule>
    <cfRule type="containsText" dxfId="122" priority="1041" operator="containsText" text="Str">
      <formula>NOT(ISERROR(SEARCH("Str",AO41)))</formula>
    </cfRule>
    <cfRule type="containsText" dxfId="121" priority="1042" operator="containsText" text="Ere">
      <formula>NOT(ISERROR(SEARCH("Ere",AO41)))</formula>
    </cfRule>
    <cfRule type="containsText" dxfId="120" priority="1043" operator="containsText" text="Ear">
      <formula>NOT(ISERROR(SEARCH("Ear",AO41)))</formula>
    </cfRule>
  </conditionalFormatting>
  <conditionalFormatting sqref="AO59">
    <cfRule type="containsText" dxfId="119" priority="64" operator="containsText" text="fnd">
      <formula>NOT(ISERROR(SEARCH("fnd",AO59)))</formula>
    </cfRule>
    <cfRule type="containsText" dxfId="118" priority="63" operator="containsText" text="Ear">
      <formula>NOT(ISERROR(SEARCH("Ear",AO59)))</formula>
    </cfRule>
    <cfRule type="containsText" dxfId="117" priority="62" operator="containsText" text="Ere">
      <formula>NOT(ISERROR(SEARCH("Ere",AO59)))</formula>
    </cfRule>
    <cfRule type="containsText" dxfId="116" priority="61" operator="containsText" text="Str">
      <formula>NOT(ISERROR(SEARCH("Str",AO59)))</formula>
    </cfRule>
  </conditionalFormatting>
  <conditionalFormatting sqref="AO68:AO69">
    <cfRule type="containsText" dxfId="115" priority="829" operator="containsText" text="Str">
      <formula>NOT(ISERROR(SEARCH("Str",AO68)))</formula>
    </cfRule>
    <cfRule type="containsText" dxfId="114" priority="830" operator="containsText" text="Ere">
      <formula>NOT(ISERROR(SEARCH("Ere",AO68)))</formula>
    </cfRule>
    <cfRule type="containsText" dxfId="113" priority="831" operator="containsText" text="Ear">
      <formula>NOT(ISERROR(SEARCH("Ear",AO68)))</formula>
    </cfRule>
    <cfRule type="containsText" dxfId="112" priority="832" operator="containsText" text="fnd">
      <formula>NOT(ISERROR(SEARCH("fnd",AO68)))</formula>
    </cfRule>
  </conditionalFormatting>
  <conditionalFormatting sqref="AO77">
    <cfRule type="containsText" dxfId="111" priority="872" operator="containsText" text="fnd">
      <formula>NOT(ISERROR(SEARCH("fnd",AO77)))</formula>
    </cfRule>
    <cfRule type="containsText" dxfId="110" priority="871" operator="containsText" text="Ear">
      <formula>NOT(ISERROR(SEARCH("Ear",AO77)))</formula>
    </cfRule>
    <cfRule type="containsText" dxfId="109" priority="870" operator="containsText" text="Ere">
      <formula>NOT(ISERROR(SEARCH("Ere",AO77)))</formula>
    </cfRule>
    <cfRule type="containsText" dxfId="108" priority="869" operator="containsText" text="Str">
      <formula>NOT(ISERROR(SEARCH("Str",AO77)))</formula>
    </cfRule>
  </conditionalFormatting>
  <conditionalFormatting sqref="AO86">
    <cfRule type="containsText" dxfId="107" priority="819" operator="containsText" text="Ear">
      <formula>NOT(ISERROR(SEARCH("Ear",AO86)))</formula>
    </cfRule>
    <cfRule type="containsText" dxfId="106" priority="817" operator="containsText" text="Str">
      <formula>NOT(ISERROR(SEARCH("Str",AO86)))</formula>
    </cfRule>
    <cfRule type="containsText" dxfId="105" priority="818" operator="containsText" text="Ere">
      <formula>NOT(ISERROR(SEARCH("Ere",AO86)))</formula>
    </cfRule>
    <cfRule type="containsText" dxfId="104" priority="820" operator="containsText" text="fnd">
      <formula>NOT(ISERROR(SEARCH("fnd",AO86)))</formula>
    </cfRule>
  </conditionalFormatting>
  <conditionalFormatting sqref="AO95">
    <cfRule type="containsText" dxfId="103" priority="809" operator="containsText" text="Str">
      <formula>NOT(ISERROR(SEARCH("Str",AO95)))</formula>
    </cfRule>
    <cfRule type="containsText" dxfId="102" priority="812" operator="containsText" text="fnd">
      <formula>NOT(ISERROR(SEARCH("fnd",AO95)))</formula>
    </cfRule>
    <cfRule type="containsText" dxfId="101" priority="811" operator="containsText" text="Ear">
      <formula>NOT(ISERROR(SEARCH("Ear",AO95)))</formula>
    </cfRule>
    <cfRule type="containsText" dxfId="100" priority="810" operator="containsText" text="Ere">
      <formula>NOT(ISERROR(SEARCH("Ere",AO95)))</formula>
    </cfRule>
  </conditionalFormatting>
  <conditionalFormatting sqref="AO104:AO105">
    <cfRule type="containsText" dxfId="99" priority="660" operator="containsText" text="fnd">
      <formula>NOT(ISERROR(SEARCH("fnd",AO104)))</formula>
    </cfRule>
    <cfRule type="containsText" dxfId="98" priority="659" operator="containsText" text="Ear">
      <formula>NOT(ISERROR(SEARCH("Ear",AO104)))</formula>
    </cfRule>
    <cfRule type="containsText" dxfId="97" priority="657" operator="containsText" text="Str">
      <formula>NOT(ISERROR(SEARCH("Str",AO104)))</formula>
    </cfRule>
    <cfRule type="containsText" dxfId="96" priority="658" operator="containsText" text="Ere">
      <formula>NOT(ISERROR(SEARCH("Ere",AO104)))</formula>
    </cfRule>
  </conditionalFormatting>
  <conditionalFormatting sqref="AO113">
    <cfRule type="containsText" dxfId="95" priority="661" operator="containsText" text="Str">
      <formula>NOT(ISERROR(SEARCH("Str",AO113)))</formula>
    </cfRule>
    <cfRule type="containsText" dxfId="94" priority="662" operator="containsText" text="Ere">
      <formula>NOT(ISERROR(SEARCH("Ere",AO113)))</formula>
    </cfRule>
    <cfRule type="containsText" dxfId="93" priority="664" operator="containsText" text="fnd">
      <formula>NOT(ISERROR(SEARCH("fnd",AO113)))</formula>
    </cfRule>
    <cfRule type="containsText" dxfId="92" priority="663" operator="containsText" text="Ear">
      <formula>NOT(ISERROR(SEARCH("Ear",AO113)))</formula>
    </cfRule>
  </conditionalFormatting>
  <conditionalFormatting sqref="AO122">
    <cfRule type="containsText" dxfId="91" priority="309" operator="containsText" text="Str">
      <formula>NOT(ISERROR(SEARCH("Str",AO122)))</formula>
    </cfRule>
    <cfRule type="containsText" dxfId="90" priority="312" operator="containsText" text="fnd">
      <formula>NOT(ISERROR(SEARCH("fnd",AO122)))</formula>
    </cfRule>
    <cfRule type="containsText" dxfId="89" priority="311" operator="containsText" text="Ear">
      <formula>NOT(ISERROR(SEARCH("Ear",AO122)))</formula>
    </cfRule>
    <cfRule type="containsText" dxfId="88" priority="310" operator="containsText" text="Ere">
      <formula>NOT(ISERROR(SEARCH("Ere",AO122)))</formula>
    </cfRule>
  </conditionalFormatting>
  <conditionalFormatting sqref="AO132:AO135">
    <cfRule type="containsText" dxfId="87" priority="892" operator="containsText" text="fnd">
      <formula>NOT(ISERROR(SEARCH("fnd",AO132)))</formula>
    </cfRule>
    <cfRule type="containsText" dxfId="86" priority="891" operator="containsText" text="Ear">
      <formula>NOT(ISERROR(SEARCH("Ear",AO132)))</formula>
    </cfRule>
    <cfRule type="containsText" dxfId="85" priority="890" operator="containsText" text="Ere">
      <formula>NOT(ISERROR(SEARCH("Ere",AO132)))</formula>
    </cfRule>
    <cfRule type="containsText" dxfId="84" priority="889" operator="containsText" text="Str">
      <formula>NOT(ISERROR(SEARCH("Str",AO132)))</formula>
    </cfRule>
  </conditionalFormatting>
  <conditionalFormatting sqref="AO33:AP33">
    <cfRule type="containsText" dxfId="83" priority="1382" operator="containsText" text="Ere">
      <formula>NOT(ISERROR(SEARCH("Ere",AO33)))</formula>
    </cfRule>
    <cfRule type="containsText" dxfId="82" priority="1381" operator="containsText" text="Str">
      <formula>NOT(ISERROR(SEARCH("Str",AO33)))</formula>
    </cfRule>
    <cfRule type="containsText" dxfId="81" priority="1383" operator="containsText" text="Ear">
      <formula>NOT(ISERROR(SEARCH("Ear",AO33)))</formula>
    </cfRule>
    <cfRule type="containsText" dxfId="80" priority="1384" operator="containsText" text="fnd">
      <formula>NOT(ISERROR(SEARCH("fnd",AO33)))</formula>
    </cfRule>
  </conditionalFormatting>
  <conditionalFormatting sqref="AO60:AP60">
    <cfRule type="containsText" dxfId="79" priority="66" operator="containsText" text="Ere">
      <formula>NOT(ISERROR(SEARCH("Ere",AO60)))</formula>
    </cfRule>
    <cfRule type="containsText" dxfId="78" priority="65" operator="containsText" text="Str">
      <formula>NOT(ISERROR(SEARCH("Str",AO60)))</formula>
    </cfRule>
    <cfRule type="containsText" dxfId="77" priority="68" operator="containsText" text="fnd">
      <formula>NOT(ISERROR(SEARCH("fnd",AO60)))</formula>
    </cfRule>
    <cfRule type="containsText" dxfId="76" priority="67" operator="containsText" text="Ear">
      <formula>NOT(ISERROR(SEARCH("Ear",AO60)))</formula>
    </cfRule>
  </conditionalFormatting>
  <conditionalFormatting sqref="AO78:AP78">
    <cfRule type="containsText" dxfId="75" priority="873" operator="containsText" text="Str">
      <formula>NOT(ISERROR(SEARCH("Str",AO78)))</formula>
    </cfRule>
    <cfRule type="containsText" dxfId="74" priority="875" operator="containsText" text="Ear">
      <formula>NOT(ISERROR(SEARCH("Ear",AO78)))</formula>
    </cfRule>
    <cfRule type="containsText" dxfId="73" priority="876" operator="containsText" text="fnd">
      <formula>NOT(ISERROR(SEARCH("fnd",AO78)))</formula>
    </cfRule>
    <cfRule type="containsText" dxfId="72" priority="874" operator="containsText" text="Ere">
      <formula>NOT(ISERROR(SEARCH("Ere",AO78)))</formula>
    </cfRule>
  </conditionalFormatting>
  <conditionalFormatting sqref="AO87:AP87">
    <cfRule type="containsText" dxfId="71" priority="823" operator="containsText" text="Ear">
      <formula>NOT(ISERROR(SEARCH("Ear",AO87)))</formula>
    </cfRule>
    <cfRule type="containsText" dxfId="70" priority="821" operator="containsText" text="Str">
      <formula>NOT(ISERROR(SEARCH("Str",AO87)))</formula>
    </cfRule>
    <cfRule type="containsText" dxfId="69" priority="822" operator="containsText" text="Ere">
      <formula>NOT(ISERROR(SEARCH("Ere",AO87)))</formula>
    </cfRule>
    <cfRule type="containsText" dxfId="68" priority="824" operator="containsText" text="fnd">
      <formula>NOT(ISERROR(SEARCH("fnd",AO87)))</formula>
    </cfRule>
  </conditionalFormatting>
  <conditionalFormatting sqref="AO114:AP114">
    <cfRule type="containsText" dxfId="67" priority="668" operator="containsText" text="fnd">
      <formula>NOT(ISERROR(SEARCH("fnd",AO114)))</formula>
    </cfRule>
    <cfRule type="containsText" dxfId="66" priority="667" operator="containsText" text="Ear">
      <formula>NOT(ISERROR(SEARCH("Ear",AO114)))</formula>
    </cfRule>
    <cfRule type="containsText" dxfId="65" priority="666" operator="containsText" text="Ere">
      <formula>NOT(ISERROR(SEARCH("Ere",AO114)))</formula>
    </cfRule>
    <cfRule type="containsText" dxfId="64" priority="665" operator="containsText" text="Str">
      <formula>NOT(ISERROR(SEARCH("Str",AO114)))</formula>
    </cfRule>
  </conditionalFormatting>
  <conditionalFormatting sqref="AO123:AP123">
    <cfRule type="containsText" dxfId="63" priority="314" operator="containsText" text="Ere">
      <formula>NOT(ISERROR(SEARCH("Ere",AO123)))</formula>
    </cfRule>
    <cfRule type="containsText" dxfId="62" priority="313" operator="containsText" text="Str">
      <formula>NOT(ISERROR(SEARCH("Str",AO123)))</formula>
    </cfRule>
    <cfRule type="containsText" dxfId="61" priority="316" operator="containsText" text="fnd">
      <formula>NOT(ISERROR(SEARCH("fnd",AO123)))</formula>
    </cfRule>
    <cfRule type="containsText" dxfId="60" priority="315" operator="containsText" text="Ear">
      <formula>NOT(ISERROR(SEARCH("Ear",AO123)))</formula>
    </cfRule>
  </conditionalFormatting>
  <conditionalFormatting sqref="AP6">
    <cfRule type="containsText" dxfId="59" priority="192" operator="containsText" text="fnd">
      <formula>NOT(ISERROR(SEARCH("fnd",AP6)))</formula>
    </cfRule>
    <cfRule type="containsText" dxfId="58" priority="191" operator="containsText" text="Ear">
      <formula>NOT(ISERROR(SEARCH("Ear",AP6)))</formula>
    </cfRule>
    <cfRule type="containsText" dxfId="57" priority="190" operator="containsText" text="Ere">
      <formula>NOT(ISERROR(SEARCH("Ere",AP6)))</formula>
    </cfRule>
    <cfRule type="containsText" dxfId="56" priority="189" operator="containsText" text="Str">
      <formula>NOT(ISERROR(SEARCH("Str",AP6)))</formula>
    </cfRule>
  </conditionalFormatting>
  <conditionalFormatting sqref="AP15">
    <cfRule type="containsText" dxfId="55" priority="513" operator="containsText" text="Str">
      <formula>NOT(ISERROR(SEARCH("Str",AP15)))</formula>
    </cfRule>
    <cfRule type="containsText" dxfId="54" priority="514" operator="containsText" text="Ere">
      <formula>NOT(ISERROR(SEARCH("Ere",AP15)))</formula>
    </cfRule>
    <cfRule type="containsText" dxfId="53" priority="515" operator="containsText" text="Ear">
      <formula>NOT(ISERROR(SEARCH("Ear",AP15)))</formula>
    </cfRule>
    <cfRule type="containsText" dxfId="52" priority="516" operator="containsText" text="fnd">
      <formula>NOT(ISERROR(SEARCH("fnd",AP15)))</formula>
    </cfRule>
  </conditionalFormatting>
  <conditionalFormatting sqref="AP24">
    <cfRule type="containsText" dxfId="51" priority="30" operator="containsText" text="Ere">
      <formula>NOT(ISERROR(SEARCH("Ere",AP24)))</formula>
    </cfRule>
    <cfRule type="containsText" dxfId="50" priority="31" operator="containsText" text="Ear">
      <formula>NOT(ISERROR(SEARCH("Ear",AP24)))</formula>
    </cfRule>
    <cfRule type="containsText" dxfId="49" priority="32" operator="containsText" text="fnd">
      <formula>NOT(ISERROR(SEARCH("fnd",AP24)))</formula>
    </cfRule>
    <cfRule type="containsText" dxfId="48" priority="29" operator="containsText" text="Str">
      <formula>NOT(ISERROR(SEARCH("Str",AP24)))</formula>
    </cfRule>
  </conditionalFormatting>
  <conditionalFormatting sqref="AP42">
    <cfRule type="containsText" dxfId="47" priority="1011" operator="containsText" text="Ear">
      <formula>NOT(ISERROR(SEARCH("Ear",AP42)))</formula>
    </cfRule>
    <cfRule type="containsText" dxfId="46" priority="1012" operator="containsText" text="fnd">
      <formula>NOT(ISERROR(SEARCH("fnd",AP42)))</formula>
    </cfRule>
    <cfRule type="containsText" dxfId="45" priority="1009" operator="containsText" text="Str">
      <formula>NOT(ISERROR(SEARCH("Str",AP42)))</formula>
    </cfRule>
    <cfRule type="containsText" dxfId="44" priority="1010" operator="containsText" text="Ere">
      <formula>NOT(ISERROR(SEARCH("Ere",AP42)))</formula>
    </cfRule>
  </conditionalFormatting>
  <conditionalFormatting sqref="AP69">
    <cfRule type="containsText" dxfId="43" priority="836" operator="containsText" text="fnd">
      <formula>NOT(ISERROR(SEARCH("fnd",AP69)))</formula>
    </cfRule>
    <cfRule type="containsText" dxfId="42" priority="835" operator="containsText" text="Ear">
      <formula>NOT(ISERROR(SEARCH("Ear",AP69)))</formula>
    </cfRule>
    <cfRule type="containsText" dxfId="41" priority="834" operator="containsText" text="Ere">
      <formula>NOT(ISERROR(SEARCH("Ere",AP69)))</formula>
    </cfRule>
    <cfRule type="containsText" dxfId="40" priority="833" operator="containsText" text="Str">
      <formula>NOT(ISERROR(SEARCH("Str",AP69)))</formula>
    </cfRule>
  </conditionalFormatting>
  <conditionalFormatting sqref="AR32">
    <cfRule type="containsText" dxfId="39" priority="85" operator="containsText" text="Str">
      <formula>NOT(ISERROR(SEARCH("Str",AR32)))</formula>
    </cfRule>
    <cfRule type="containsText" dxfId="38" priority="86" operator="containsText" text="Ere">
      <formula>NOT(ISERROR(SEARCH("Ere",AR32)))</formula>
    </cfRule>
    <cfRule type="containsText" dxfId="37" priority="87" operator="containsText" text="Ear">
      <formula>NOT(ISERROR(SEARCH("Ear",AR32)))</formula>
    </cfRule>
    <cfRule type="containsText" dxfId="36" priority="88" operator="containsText" text="fnd">
      <formula>NOT(ISERROR(SEARCH("fnd",AR32)))</formula>
    </cfRule>
  </conditionalFormatting>
  <conditionalFormatting sqref="AR33:AT33">
    <cfRule type="containsText" dxfId="35" priority="92" operator="containsText" text="fnd">
      <formula>NOT(ISERROR(SEARCH("fnd",AR33)))</formula>
    </cfRule>
    <cfRule type="containsText" dxfId="34" priority="91" operator="containsText" text="Ear">
      <formula>NOT(ISERROR(SEARCH("Ear",AR33)))</formula>
    </cfRule>
    <cfRule type="containsText" dxfId="33" priority="90" operator="containsText" text="Ere">
      <formula>NOT(ISERROR(SEARCH("Ere",AR33)))</formula>
    </cfRule>
    <cfRule type="containsText" dxfId="32" priority="89" operator="containsText" text="Str">
      <formula>NOT(ISERROR(SEARCH("Str",AR33)))</formula>
    </cfRule>
  </conditionalFormatting>
  <conditionalFormatting sqref="BA2 AW2:AY3 AZ3:BA3">
    <cfRule type="containsText" dxfId="31" priority="1393" operator="containsText" text="Str">
      <formula>NOT(ISERROR(SEARCH("Str",AW2)))</formula>
    </cfRule>
    <cfRule type="containsText" dxfId="30" priority="1394" operator="containsText" text="Ere">
      <formula>NOT(ISERROR(SEARCH("Ere",AW2)))</formula>
    </cfRule>
    <cfRule type="containsText" dxfId="29" priority="1395" operator="containsText" text="Ear">
      <formula>NOT(ISERROR(SEARCH("Ear",AW2)))</formula>
    </cfRule>
    <cfRule type="containsText" dxfId="28" priority="1396" operator="containsText" text="fnd">
      <formula>NOT(ISERROR(SEARCH("fnd",AW2)))</formula>
    </cfRule>
  </conditionalFormatting>
  <printOptions horizontalCentered="1" verticalCentered="1"/>
  <pageMargins left="0" right="0" top="0" bottom="0" header="0.31496062992126" footer="0.31496062992126"/>
  <pageSetup paperSize="8" scale="79" fitToHeight="0" orientation="landscape" verticalDpi="300" r:id="rId1"/>
  <rowBreaks count="2" manualBreakCount="2">
    <brk id="64" max="53" man="1"/>
    <brk id="118" max="5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8888-3E3F-4FA9-9343-FDEB30AB99F8}">
  <sheetPr>
    <pageSetUpPr fitToPage="1"/>
  </sheetPr>
  <dimension ref="A1:BH52"/>
  <sheetViews>
    <sheetView view="pageBreakPreview" zoomScale="63" zoomScaleNormal="80" zoomScaleSheetLayoutView="63" workbookViewId="0">
      <pane ySplit="2" topLeftCell="A8" activePane="bottomLeft" state="frozen"/>
      <selection sqref="A1:H1"/>
      <selection pane="bottomLeft" activeCell="AV28" sqref="AV28"/>
    </sheetView>
  </sheetViews>
  <sheetFormatPr defaultColWidth="8.7109375" defaultRowHeight="15"/>
  <cols>
    <col min="1" max="1" width="1.42578125" style="285" customWidth="1"/>
    <col min="2" max="3" width="4" style="285" customWidth="1"/>
    <col min="4" max="4" width="6.140625" style="386" customWidth="1"/>
    <col min="5" max="6" width="4" style="285" customWidth="1"/>
    <col min="7" max="7" width="6.140625" style="386" customWidth="1"/>
    <col min="8" max="9" width="4" style="285" customWidth="1"/>
    <col min="10" max="10" width="6.140625" style="386" customWidth="1"/>
    <col min="11" max="12" width="4" style="285" customWidth="1"/>
    <col min="13" max="13" width="6.140625" style="386" customWidth="1"/>
    <col min="14" max="15" width="4" style="285" customWidth="1"/>
    <col min="16" max="16" width="6.140625" style="386" customWidth="1"/>
    <col min="17" max="18" width="4" style="285" customWidth="1"/>
    <col min="19" max="19" width="6.140625" style="386" customWidth="1"/>
    <col min="20" max="21" width="4" style="285" customWidth="1"/>
    <col min="22" max="22" width="6.140625" style="386" customWidth="1"/>
    <col min="23" max="24" width="4" style="285" customWidth="1"/>
    <col min="25" max="25" width="6.140625" style="386" customWidth="1"/>
    <col min="26" max="27" width="4" style="285" customWidth="1"/>
    <col min="28" max="28" width="6.140625" style="386" customWidth="1"/>
    <col min="29" max="30" width="4" style="285" customWidth="1"/>
    <col min="31" max="31" width="6.28515625" style="285" customWidth="1"/>
    <col min="32" max="33" width="4" style="285" customWidth="1"/>
    <col min="34" max="34" width="6.140625" style="386" customWidth="1"/>
    <col min="35" max="36" width="4" style="285" customWidth="1"/>
    <col min="37" max="37" width="6.140625" style="386" customWidth="1"/>
    <col min="38" max="39" width="4" style="285" customWidth="1"/>
    <col min="40" max="40" width="6.140625" style="386" customWidth="1"/>
    <col min="41" max="41" width="4" style="285" customWidth="1"/>
    <col min="42" max="42" width="3.42578125" style="285" customWidth="1"/>
    <col min="43" max="43" width="6.140625" style="386" customWidth="1"/>
    <col min="44" max="44" width="6" style="285" customWidth="1"/>
    <col min="45" max="45" width="6.140625" style="285" customWidth="1"/>
    <col min="46" max="46" width="6" style="285" customWidth="1"/>
    <col min="47" max="48" width="5.7109375" style="285" customWidth="1"/>
    <col min="49" max="50" width="7.140625" style="285" customWidth="1"/>
    <col min="51" max="16384" width="8.7109375" style="285"/>
  </cols>
  <sheetData>
    <row r="1" spans="1:60" ht="15.75" customHeight="1" thickBot="1">
      <c r="A1" s="813" t="str">
        <f>+[1]Summary!A2</f>
        <v>Name of the Line: 220KV DC AL59 line from Neemuch - Chanderiya + 132KV DC ACSS Line from Chanderiya to Hindustan Zinc</v>
      </c>
      <c r="B1" s="814"/>
      <c r="C1" s="814"/>
      <c r="D1" s="814"/>
      <c r="E1" s="814"/>
      <c r="F1" s="814"/>
      <c r="G1" s="814"/>
      <c r="H1" s="814"/>
      <c r="I1" s="814"/>
      <c r="J1" s="814"/>
      <c r="K1" s="814"/>
      <c r="L1" s="814"/>
      <c r="M1" s="814"/>
      <c r="N1" s="814"/>
      <c r="O1" s="814"/>
      <c r="P1" s="814"/>
      <c r="Q1" s="814"/>
      <c r="R1" s="814"/>
      <c r="S1" s="814"/>
      <c r="T1" s="814"/>
      <c r="U1" s="814"/>
      <c r="V1" s="814"/>
      <c r="W1" s="814"/>
      <c r="X1" s="814"/>
      <c r="Y1" s="814"/>
      <c r="Z1" s="814"/>
      <c r="AA1" s="814"/>
      <c r="AB1" s="814"/>
      <c r="AC1" s="814"/>
      <c r="AD1" s="814"/>
      <c r="AE1" s="814"/>
      <c r="AF1" s="814"/>
      <c r="AG1" s="814"/>
      <c r="AH1" s="814"/>
      <c r="AI1" s="814"/>
      <c r="AJ1" s="814"/>
      <c r="AK1" s="814"/>
      <c r="AL1" s="814"/>
      <c r="AM1" s="814"/>
      <c r="AN1" s="814"/>
      <c r="AO1" s="814"/>
      <c r="AP1" s="814"/>
      <c r="AQ1" s="815"/>
      <c r="AS1" s="751">
        <f>Summary!R5</f>
        <v>46162</v>
      </c>
      <c r="AT1" s="751"/>
      <c r="AU1" s="751"/>
      <c r="AV1" s="751"/>
      <c r="AW1" s="751"/>
      <c r="AX1" s="751"/>
    </row>
    <row r="2" spans="1:60" ht="19.5" thickBot="1">
      <c r="A2" s="377"/>
      <c r="B2" s="307"/>
      <c r="C2" s="307"/>
      <c r="D2" s="480"/>
      <c r="E2" s="307"/>
      <c r="F2" s="307"/>
      <c r="G2" s="480"/>
      <c r="H2" s="307"/>
      <c r="I2" s="307"/>
      <c r="J2" s="480"/>
      <c r="K2" s="307"/>
      <c r="L2" s="307"/>
      <c r="M2" s="480"/>
      <c r="N2" s="307"/>
      <c r="O2" s="307"/>
      <c r="P2" s="480"/>
      <c r="Q2" s="816" t="s">
        <v>620</v>
      </c>
      <c r="R2" s="816"/>
      <c r="S2" s="816"/>
      <c r="T2" s="816"/>
      <c r="U2" s="816"/>
      <c r="V2" s="816"/>
      <c r="W2" s="816"/>
      <c r="X2" s="816"/>
      <c r="Y2" s="816"/>
      <c r="Z2" s="816"/>
      <c r="AA2" s="816"/>
      <c r="AB2" s="480"/>
      <c r="AC2" s="307"/>
      <c r="AD2" s="307"/>
      <c r="AE2" s="307"/>
      <c r="AF2" s="307"/>
      <c r="AG2" s="307"/>
      <c r="AH2" s="480"/>
      <c r="AI2" s="307"/>
      <c r="AJ2" s="307"/>
      <c r="AK2" s="817" t="s">
        <v>26</v>
      </c>
      <c r="AL2" s="817"/>
      <c r="AM2" s="817"/>
      <c r="AN2" s="824">
        <f>AS1</f>
        <v>46162</v>
      </c>
      <c r="AO2" s="824"/>
      <c r="AP2" s="824"/>
      <c r="AQ2" s="825"/>
      <c r="AS2" s="378" t="s">
        <v>621</v>
      </c>
      <c r="AT2" s="378" t="s">
        <v>622</v>
      </c>
      <c r="AU2" s="378" t="s">
        <v>623</v>
      </c>
      <c r="AV2" s="316" t="s">
        <v>624</v>
      </c>
      <c r="AW2" s="379" t="s">
        <v>625</v>
      </c>
      <c r="AX2" s="379" t="s">
        <v>625</v>
      </c>
    </row>
    <row r="3" spans="1:60" ht="15.75" thickBot="1">
      <c r="A3" s="380"/>
      <c r="B3" s="309"/>
      <c r="C3" s="309"/>
      <c r="D3" s="481"/>
      <c r="E3" s="309"/>
      <c r="F3" s="309"/>
      <c r="G3" s="544"/>
      <c r="H3" s="545"/>
      <c r="I3" s="545"/>
      <c r="J3" s="546"/>
      <c r="K3" s="545"/>
      <c r="L3" s="545"/>
      <c r="M3" s="546"/>
      <c r="N3" s="545"/>
      <c r="O3" s="545"/>
      <c r="P3" s="546"/>
      <c r="Q3" s="545"/>
      <c r="R3" s="545"/>
      <c r="S3" s="546"/>
      <c r="T3" s="545"/>
      <c r="U3" s="545"/>
      <c r="V3" s="546"/>
      <c r="W3" s="545"/>
      <c r="X3" s="545"/>
      <c r="Y3" s="546"/>
      <c r="Z3" s="545"/>
      <c r="AA3" s="545"/>
      <c r="AB3" s="546"/>
      <c r="AC3" s="545"/>
      <c r="AD3" s="545"/>
      <c r="AE3" s="545"/>
      <c r="AF3" s="545"/>
      <c r="AG3" s="545"/>
      <c r="AH3" s="547"/>
      <c r="AI3" s="548"/>
      <c r="AJ3" s="548"/>
      <c r="AK3" s="547"/>
      <c r="AL3" s="548"/>
      <c r="AM3" s="548"/>
      <c r="AN3" s="547"/>
      <c r="AO3" s="548"/>
      <c r="AP3" s="548"/>
      <c r="AQ3" s="549"/>
    </row>
    <row r="4" spans="1:60">
      <c r="A4" s="380"/>
      <c r="G4" s="550"/>
      <c r="H4" s="818" t="s">
        <v>759</v>
      </c>
      <c r="I4" s="819"/>
      <c r="J4" s="551"/>
      <c r="K4" s="552"/>
      <c r="L4" s="552"/>
      <c r="M4" s="553"/>
      <c r="N4" s="552"/>
      <c r="O4" s="552"/>
      <c r="P4" s="551"/>
      <c r="Q4" s="552"/>
      <c r="R4" s="552"/>
      <c r="S4" s="551"/>
      <c r="T4" s="552"/>
      <c r="U4" s="552"/>
      <c r="V4" s="551"/>
      <c r="W4" s="552"/>
      <c r="X4" s="552"/>
      <c r="Y4" s="551"/>
      <c r="Z4" s="552"/>
      <c r="AA4" s="552"/>
      <c r="AB4" s="551"/>
      <c r="AC4" s="552"/>
      <c r="AD4" s="552"/>
      <c r="AE4" s="552"/>
      <c r="AF4" s="552"/>
      <c r="AG4" s="552"/>
      <c r="AH4" s="551"/>
      <c r="AI4" s="552"/>
      <c r="AJ4" s="552"/>
      <c r="AK4" s="551"/>
      <c r="AL4" s="552"/>
      <c r="AM4" s="552"/>
      <c r="AN4" s="551"/>
      <c r="AO4" s="552"/>
      <c r="AP4" s="552"/>
      <c r="AQ4" s="554"/>
    </row>
    <row r="5" spans="1:60" ht="14.45" customHeight="1">
      <c r="A5" s="381"/>
      <c r="B5" s="579"/>
      <c r="C5" s="579"/>
      <c r="D5" s="579"/>
      <c r="G5" s="555"/>
      <c r="H5" s="820"/>
      <c r="I5" s="821"/>
      <c r="J5" s="553"/>
      <c r="K5" s="809"/>
      <c r="L5" s="809"/>
      <c r="M5" s="553"/>
      <c r="N5" s="809"/>
      <c r="O5" s="809"/>
      <c r="P5" s="553"/>
      <c r="Q5" s="809"/>
      <c r="R5" s="809"/>
      <c r="S5" s="553"/>
      <c r="T5" s="809"/>
      <c r="U5" s="809"/>
      <c r="V5" s="553"/>
      <c r="W5" s="809"/>
      <c r="X5" s="809"/>
      <c r="Y5" s="553"/>
      <c r="Z5" s="810"/>
      <c r="AA5" s="810"/>
      <c r="AB5" s="553"/>
      <c r="AC5" s="809"/>
      <c r="AD5" s="809"/>
      <c r="AE5" s="556"/>
      <c r="AF5" s="809"/>
      <c r="AG5" s="809"/>
      <c r="AH5" s="553"/>
      <c r="AI5" s="809"/>
      <c r="AJ5" s="809"/>
      <c r="AK5" s="553"/>
      <c r="AL5" s="809"/>
      <c r="AM5" s="809"/>
      <c r="AN5" s="553"/>
      <c r="AO5" s="809"/>
      <c r="AP5" s="809"/>
      <c r="AQ5" s="557"/>
    </row>
    <row r="6" spans="1:60" ht="15.75" customHeight="1">
      <c r="A6" s="381"/>
      <c r="B6" s="579"/>
      <c r="C6" s="579"/>
      <c r="D6" s="579"/>
      <c r="G6" s="558"/>
      <c r="H6" s="820"/>
      <c r="I6" s="821"/>
      <c r="J6" s="559"/>
      <c r="K6" s="543"/>
      <c r="L6" s="543"/>
      <c r="M6" s="559"/>
      <c r="N6" s="543"/>
      <c r="O6" s="543"/>
      <c r="P6" s="559"/>
      <c r="Q6" s="543"/>
      <c r="R6" s="543"/>
      <c r="S6" s="559"/>
      <c r="T6" s="543"/>
      <c r="U6" s="543"/>
      <c r="V6" s="559"/>
      <c r="W6" s="543"/>
      <c r="X6" s="543"/>
      <c r="Y6" s="559"/>
      <c r="Z6" s="543"/>
      <c r="AA6" s="543"/>
      <c r="AB6" s="559"/>
      <c r="AC6" s="543"/>
      <c r="AD6" s="543"/>
      <c r="AE6" s="560"/>
      <c r="AF6" s="533"/>
      <c r="AG6" s="533"/>
      <c r="AH6" s="559"/>
      <c r="AI6" s="533"/>
      <c r="AJ6" s="533"/>
      <c r="AK6" s="559"/>
      <c r="AL6" s="533"/>
      <c r="AM6" s="533"/>
      <c r="AN6" s="559"/>
      <c r="AO6" s="533"/>
      <c r="AP6" s="533"/>
      <c r="AQ6" s="561"/>
      <c r="AS6" s="291"/>
      <c r="AT6" s="291"/>
      <c r="AU6" s="291"/>
      <c r="AV6" s="291"/>
      <c r="AW6" s="291"/>
      <c r="AX6" s="291"/>
    </row>
    <row r="7" spans="1:60" ht="15.75" thickBot="1">
      <c r="A7" s="381"/>
      <c r="B7" s="579"/>
      <c r="C7" s="579"/>
      <c r="D7" s="579"/>
      <c r="G7" s="558"/>
      <c r="H7" s="822"/>
      <c r="I7" s="823"/>
      <c r="J7" s="559"/>
      <c r="K7" s="543"/>
      <c r="L7" s="543"/>
      <c r="M7" s="559"/>
      <c r="N7" s="543"/>
      <c r="O7" s="543"/>
      <c r="P7" s="559"/>
      <c r="Q7" s="543"/>
      <c r="R7" s="543"/>
      <c r="S7" s="559"/>
      <c r="T7" s="543"/>
      <c r="U7" s="543"/>
      <c r="V7" s="559"/>
      <c r="W7" s="543"/>
      <c r="X7" s="543"/>
      <c r="Y7" s="559"/>
      <c r="Z7" s="543"/>
      <c r="AA7" s="543"/>
      <c r="AB7" s="559"/>
      <c r="AC7" s="543"/>
      <c r="AD7" s="543"/>
      <c r="AE7" s="560"/>
      <c r="AF7" s="533"/>
      <c r="AG7" s="533"/>
      <c r="AH7" s="559"/>
      <c r="AI7" s="533"/>
      <c r="AJ7" s="533"/>
      <c r="AK7" s="559"/>
      <c r="AL7" s="533"/>
      <c r="AM7" s="533"/>
      <c r="AN7" s="559"/>
      <c r="AO7" s="533"/>
      <c r="AP7" s="533"/>
      <c r="AQ7" s="557"/>
    </row>
    <row r="8" spans="1:60" s="309" customFormat="1">
      <c r="A8" s="381"/>
      <c r="B8" s="756"/>
      <c r="C8" s="756"/>
      <c r="D8" s="482"/>
      <c r="E8" s="756"/>
      <c r="F8" s="756"/>
      <c r="G8" s="558"/>
      <c r="H8" s="556"/>
      <c r="I8" s="556"/>
      <c r="J8" s="562">
        <v>58.79</v>
      </c>
      <c r="K8" s="562"/>
      <c r="L8" s="553"/>
      <c r="M8" s="562">
        <v>149.12</v>
      </c>
      <c r="N8" s="553"/>
      <c r="O8" s="562"/>
      <c r="P8" s="562">
        <v>128.1</v>
      </c>
      <c r="Q8" s="562"/>
      <c r="R8" s="553"/>
      <c r="S8" s="562">
        <v>252.72</v>
      </c>
      <c r="T8" s="553"/>
      <c r="U8" s="562"/>
      <c r="V8" s="562">
        <v>146.74</v>
      </c>
      <c r="W8" s="562"/>
      <c r="X8" s="553"/>
      <c r="Y8" s="562">
        <v>190.05</v>
      </c>
      <c r="Z8" s="553"/>
      <c r="AA8" s="553"/>
      <c r="AB8" s="562">
        <v>83.39</v>
      </c>
      <c r="AC8" s="553"/>
      <c r="AD8" s="553"/>
      <c r="AE8" s="563">
        <v>120.53</v>
      </c>
      <c r="AF8" s="810"/>
      <c r="AG8" s="810"/>
      <c r="AH8" s="562">
        <v>259.51</v>
      </c>
      <c r="AI8" s="562"/>
      <c r="AJ8" s="556"/>
      <c r="AK8" s="562">
        <v>256.61</v>
      </c>
      <c r="AL8" s="556"/>
      <c r="AM8" s="562"/>
      <c r="AN8" s="562">
        <v>277.95</v>
      </c>
      <c r="AO8" s="562"/>
      <c r="AP8" s="556"/>
      <c r="AQ8" s="564">
        <v>202.25</v>
      </c>
    </row>
    <row r="9" spans="1:60" ht="14.45" customHeight="1">
      <c r="A9" s="381"/>
      <c r="B9" s="756"/>
      <c r="C9" s="756"/>
      <c r="D9" s="481"/>
      <c r="E9" s="756"/>
      <c r="F9" s="756"/>
      <c r="G9" s="555"/>
      <c r="H9" s="806"/>
      <c r="I9" s="806"/>
      <c r="J9" s="551"/>
      <c r="K9" s="806" t="s">
        <v>758</v>
      </c>
      <c r="L9" s="806"/>
      <c r="M9" s="551"/>
      <c r="N9" s="806" t="s">
        <v>757</v>
      </c>
      <c r="O9" s="806"/>
      <c r="P9" s="551"/>
      <c r="Q9" s="806" t="s">
        <v>756</v>
      </c>
      <c r="R9" s="806"/>
      <c r="S9" s="551"/>
      <c r="T9" s="806" t="s">
        <v>755</v>
      </c>
      <c r="U9" s="806"/>
      <c r="V9" s="551"/>
      <c r="W9" s="806" t="s">
        <v>754</v>
      </c>
      <c r="X9" s="806"/>
      <c r="Y9" s="551"/>
      <c r="Z9" s="806" t="s">
        <v>753</v>
      </c>
      <c r="AA9" s="806"/>
      <c r="AB9" s="551"/>
      <c r="AC9" s="806" t="s">
        <v>752</v>
      </c>
      <c r="AD9" s="806"/>
      <c r="AE9" s="552"/>
      <c r="AF9" s="810" t="s">
        <v>735</v>
      </c>
      <c r="AG9" s="810"/>
      <c r="AH9" s="556"/>
      <c r="AI9" s="810" t="s">
        <v>711</v>
      </c>
      <c r="AJ9" s="810"/>
      <c r="AK9" s="556"/>
      <c r="AL9" s="810" t="s">
        <v>751</v>
      </c>
      <c r="AM9" s="810"/>
      <c r="AN9" s="556"/>
      <c r="AO9" s="810" t="s">
        <v>715</v>
      </c>
      <c r="AP9" s="810"/>
      <c r="AQ9" s="554"/>
    </row>
    <row r="10" spans="1:60" ht="14.45" customHeight="1" thickBot="1">
      <c r="A10" s="381"/>
      <c r="B10" s="309"/>
      <c r="C10" s="309"/>
      <c r="D10" s="481"/>
      <c r="E10" s="309"/>
      <c r="F10" s="309"/>
      <c r="G10" s="565"/>
      <c r="H10" s="807"/>
      <c r="I10" s="807"/>
      <c r="J10" s="566"/>
      <c r="K10" s="807"/>
      <c r="L10" s="807"/>
      <c r="M10" s="566"/>
      <c r="N10" s="807"/>
      <c r="O10" s="807"/>
      <c r="P10" s="566"/>
      <c r="Q10" s="807"/>
      <c r="R10" s="807"/>
      <c r="S10" s="566"/>
      <c r="T10" s="807"/>
      <c r="U10" s="807"/>
      <c r="V10" s="566"/>
      <c r="W10" s="807"/>
      <c r="X10" s="807"/>
      <c r="Y10" s="566"/>
      <c r="Z10" s="807"/>
      <c r="AA10" s="807"/>
      <c r="AB10" s="566"/>
      <c r="AC10" s="807"/>
      <c r="AD10" s="807"/>
      <c r="AE10" s="567"/>
      <c r="AF10" s="805" t="s">
        <v>54</v>
      </c>
      <c r="AG10" s="805"/>
      <c r="AH10" s="566"/>
      <c r="AI10" s="805" t="s">
        <v>54</v>
      </c>
      <c r="AJ10" s="805"/>
      <c r="AK10" s="566"/>
      <c r="AL10" s="805" t="s">
        <v>54</v>
      </c>
      <c r="AM10" s="805"/>
      <c r="AN10" s="566"/>
      <c r="AO10" s="805" t="s">
        <v>34</v>
      </c>
      <c r="AP10" s="805"/>
      <c r="AQ10" s="569"/>
    </row>
    <row r="11" spans="1:60" ht="15.75" thickBot="1">
      <c r="A11" s="381"/>
      <c r="B11" s="309"/>
      <c r="C11" s="309"/>
      <c r="E11" s="375"/>
      <c r="G11" s="485"/>
      <c r="I11" s="375"/>
      <c r="K11" s="375"/>
      <c r="M11" s="485"/>
      <c r="O11" s="375"/>
      <c r="Q11" s="375"/>
      <c r="S11" s="485"/>
      <c r="U11" s="375"/>
      <c r="W11" s="375"/>
      <c r="Y11" s="485"/>
      <c r="AA11" s="375"/>
      <c r="AC11" s="542"/>
      <c r="AD11" s="542"/>
      <c r="AE11" s="375"/>
      <c r="AH11" s="285"/>
      <c r="AK11" s="285"/>
      <c r="AN11" s="285"/>
      <c r="AQ11" s="493"/>
      <c r="AS11" s="375"/>
      <c r="AU11" s="375"/>
      <c r="AW11" s="375"/>
      <c r="AX11" s="375"/>
      <c r="AZ11" s="375"/>
      <c r="BB11" s="375"/>
      <c r="BD11" s="375"/>
      <c r="BF11" s="375"/>
      <c r="BH11" s="375"/>
    </row>
    <row r="12" spans="1:60">
      <c r="A12" s="381"/>
      <c r="B12" s="574"/>
      <c r="C12" s="545"/>
      <c r="D12" s="546"/>
      <c r="E12" s="883" t="s">
        <v>750</v>
      </c>
      <c r="F12" s="884"/>
      <c r="G12" s="546"/>
      <c r="H12" s="545"/>
      <c r="I12" s="545"/>
      <c r="J12" s="546"/>
      <c r="K12" s="545"/>
      <c r="L12" s="545"/>
      <c r="M12" s="546"/>
      <c r="N12" s="545"/>
      <c r="O12" s="545"/>
      <c r="P12" s="575"/>
      <c r="Q12" s="309"/>
      <c r="R12" s="309"/>
      <c r="S12" s="481"/>
      <c r="T12" s="309"/>
      <c r="U12" s="309"/>
      <c r="V12" s="481"/>
      <c r="W12" s="309"/>
      <c r="X12" s="309"/>
      <c r="Y12" s="481"/>
      <c r="Z12" s="309"/>
      <c r="AA12" s="309"/>
      <c r="AC12" s="309"/>
      <c r="AD12" s="309"/>
      <c r="AF12" s="309"/>
      <c r="AG12" s="309"/>
      <c r="AH12" s="481"/>
      <c r="AI12" s="309"/>
      <c r="AJ12" s="309"/>
      <c r="AK12" s="481"/>
      <c r="AL12" s="309"/>
      <c r="AM12" s="309"/>
      <c r="AN12" s="481"/>
      <c r="AO12" s="309"/>
      <c r="AP12" s="309"/>
      <c r="AQ12" s="490"/>
    </row>
    <row r="13" spans="1:60">
      <c r="A13" s="381"/>
      <c r="B13" s="828"/>
      <c r="C13" s="809"/>
      <c r="D13" s="553"/>
      <c r="E13" s="885"/>
      <c r="F13" s="886"/>
      <c r="G13" s="553"/>
      <c r="H13" s="809"/>
      <c r="I13" s="809"/>
      <c r="J13" s="553"/>
      <c r="K13" s="809"/>
      <c r="L13" s="809"/>
      <c r="M13" s="553"/>
      <c r="N13" s="809"/>
      <c r="O13" s="809"/>
      <c r="P13" s="557"/>
      <c r="Q13" s="808"/>
      <c r="R13" s="808"/>
      <c r="S13" s="481"/>
      <c r="T13" s="808"/>
      <c r="U13" s="808"/>
      <c r="V13" s="481"/>
      <c r="W13" s="808"/>
      <c r="X13" s="808"/>
      <c r="Y13" s="481"/>
      <c r="Z13" s="808"/>
      <c r="AA13" s="808"/>
      <c r="AB13" s="481"/>
      <c r="AC13" s="756"/>
      <c r="AD13" s="756"/>
      <c r="AE13" s="309"/>
      <c r="AF13" s="808"/>
      <c r="AG13" s="808"/>
      <c r="AH13" s="481"/>
      <c r="AI13" s="808"/>
      <c r="AJ13" s="808"/>
      <c r="AK13" s="481"/>
      <c r="AL13" s="808"/>
      <c r="AM13" s="808"/>
      <c r="AN13" s="481"/>
      <c r="AO13" s="808"/>
      <c r="AP13" s="808"/>
      <c r="AQ13" s="490"/>
    </row>
    <row r="14" spans="1:60">
      <c r="A14" s="381"/>
      <c r="B14" s="534"/>
      <c r="C14" s="533"/>
      <c r="D14" s="559"/>
      <c r="E14" s="885"/>
      <c r="F14" s="886"/>
      <c r="G14" s="559"/>
      <c r="H14" s="382"/>
      <c r="I14" s="382"/>
      <c r="J14" s="559"/>
      <c r="K14" s="382"/>
      <c r="L14" s="382"/>
      <c r="M14" s="559"/>
      <c r="N14" s="382"/>
      <c r="O14" s="382"/>
      <c r="P14" s="561"/>
      <c r="Q14" s="573"/>
      <c r="R14" s="382"/>
      <c r="S14" s="482"/>
      <c r="T14" s="382"/>
      <c r="U14" s="382"/>
      <c r="V14" s="482"/>
      <c r="W14" s="382"/>
      <c r="X14" s="382"/>
      <c r="Y14" s="482"/>
      <c r="Z14" s="382"/>
      <c r="AA14" s="382"/>
      <c r="AB14" s="482"/>
      <c r="AC14" s="382"/>
      <c r="AD14" s="382"/>
      <c r="AE14" s="310"/>
      <c r="AF14" s="382"/>
      <c r="AG14" s="382"/>
      <c r="AH14" s="482"/>
      <c r="AI14" s="382"/>
      <c r="AJ14" s="382"/>
      <c r="AK14" s="482"/>
      <c r="AL14" s="382"/>
      <c r="AM14" s="382"/>
      <c r="AN14" s="482"/>
      <c r="AO14" s="382"/>
      <c r="AP14" s="382"/>
      <c r="AQ14" s="491"/>
      <c r="AS14" s="291">
        <v>12</v>
      </c>
      <c r="AT14" s="291">
        <v>12</v>
      </c>
      <c r="AU14" s="291">
        <v>9</v>
      </c>
      <c r="AV14" s="291">
        <v>7</v>
      </c>
      <c r="AW14" s="291">
        <f>(SUM(S16:AQ16))/1000</f>
        <v>1.8536400000000002</v>
      </c>
      <c r="AX14" s="291">
        <f>(SUM(S16:AQ16))/1000</f>
        <v>1.8536400000000002</v>
      </c>
    </row>
    <row r="15" spans="1:60" ht="15.75" thickBot="1">
      <c r="A15" s="381"/>
      <c r="B15" s="534"/>
      <c r="C15" s="533"/>
      <c r="D15" s="553"/>
      <c r="E15" s="887"/>
      <c r="F15" s="888"/>
      <c r="G15" s="559"/>
      <c r="H15" s="382"/>
      <c r="I15" s="382"/>
      <c r="J15" s="559"/>
      <c r="K15" s="382"/>
      <c r="L15" s="382"/>
      <c r="M15" s="553"/>
      <c r="N15" s="382"/>
      <c r="O15" s="382"/>
      <c r="P15" s="561"/>
      <c r="Q15" s="573"/>
      <c r="R15" s="382"/>
      <c r="S15" s="482"/>
      <c r="T15" s="382"/>
      <c r="U15" s="382"/>
      <c r="V15" s="482"/>
      <c r="W15" s="390"/>
      <c r="X15" s="390"/>
      <c r="Y15" s="482"/>
      <c r="Z15" s="382"/>
      <c r="AA15" s="382"/>
      <c r="AB15" s="482"/>
      <c r="AC15" s="382"/>
      <c r="AD15" s="382"/>
      <c r="AE15" s="310"/>
      <c r="AF15" s="382"/>
      <c r="AG15" s="382"/>
      <c r="AH15" s="482"/>
      <c r="AI15" s="382"/>
      <c r="AJ15" s="382"/>
      <c r="AK15" s="481"/>
      <c r="AL15" s="382"/>
      <c r="AM15" s="382"/>
      <c r="AN15" s="482"/>
      <c r="AO15" s="382"/>
      <c r="AP15" s="382"/>
      <c r="AQ15" s="490"/>
      <c r="BE15" s="423"/>
    </row>
    <row r="16" spans="1:60" s="309" customFormat="1">
      <c r="A16" s="381"/>
      <c r="B16" s="570"/>
      <c r="C16" s="556"/>
      <c r="D16" s="571">
        <v>62.76</v>
      </c>
      <c r="E16" s="556"/>
      <c r="F16" s="556"/>
      <c r="G16" s="556">
        <v>48</v>
      </c>
      <c r="H16" s="556"/>
      <c r="I16" s="556"/>
      <c r="J16" s="572">
        <v>230.15</v>
      </c>
      <c r="K16" s="556"/>
      <c r="L16" s="556"/>
      <c r="M16" s="572">
        <v>234.56</v>
      </c>
      <c r="N16" s="556"/>
      <c r="O16" s="556"/>
      <c r="P16" s="576">
        <v>249.04</v>
      </c>
      <c r="S16" s="483">
        <v>256</v>
      </c>
      <c r="V16" s="483">
        <v>226.52</v>
      </c>
      <c r="Y16" s="483">
        <v>43.62</v>
      </c>
      <c r="AB16" s="483">
        <v>52</v>
      </c>
      <c r="AE16" s="376">
        <v>47.06</v>
      </c>
      <c r="AH16" s="483">
        <v>286.44</v>
      </c>
      <c r="AK16" s="483">
        <v>317</v>
      </c>
      <c r="AN16" s="483">
        <v>328</v>
      </c>
      <c r="AQ16" s="492">
        <v>297</v>
      </c>
    </row>
    <row r="17" spans="1:50">
      <c r="A17" s="381"/>
      <c r="B17" s="889" t="s">
        <v>716</v>
      </c>
      <c r="C17" s="810"/>
      <c r="D17" s="551"/>
      <c r="E17" s="552"/>
      <c r="F17" s="552"/>
      <c r="G17" s="551"/>
      <c r="H17" s="826" t="s">
        <v>38</v>
      </c>
      <c r="I17" s="826"/>
      <c r="J17" s="551"/>
      <c r="K17" s="810" t="s">
        <v>64</v>
      </c>
      <c r="L17" s="810"/>
      <c r="M17" s="551"/>
      <c r="N17" s="811" t="s">
        <v>344</v>
      </c>
      <c r="O17" s="811"/>
      <c r="P17" s="554"/>
      <c r="Q17" s="756" t="s">
        <v>67</v>
      </c>
      <c r="R17" s="756"/>
      <c r="T17" s="764" t="s">
        <v>310</v>
      </c>
      <c r="U17" s="764"/>
      <c r="W17" s="756" t="s">
        <v>69</v>
      </c>
      <c r="X17" s="756"/>
      <c r="Z17" s="812" t="s">
        <v>71</v>
      </c>
      <c r="AA17" s="764"/>
      <c r="AC17" s="812" t="s">
        <v>72</v>
      </c>
      <c r="AD17" s="764"/>
      <c r="AF17" s="812" t="s">
        <v>93</v>
      </c>
      <c r="AG17" s="756"/>
      <c r="AI17" s="764" t="s">
        <v>104</v>
      </c>
      <c r="AJ17" s="756"/>
      <c r="AL17" s="812" t="s">
        <v>697</v>
      </c>
      <c r="AM17" s="756"/>
      <c r="AO17" s="764" t="s">
        <v>698</v>
      </c>
      <c r="AP17" s="756"/>
    </row>
    <row r="18" spans="1:50" ht="15.75" thickBot="1">
      <c r="A18" s="381"/>
      <c r="B18" s="890" t="s">
        <v>34</v>
      </c>
      <c r="C18" s="805"/>
      <c r="D18" s="577"/>
      <c r="E18" s="568"/>
      <c r="F18" s="568"/>
      <c r="G18" s="577"/>
      <c r="H18" s="805" t="s">
        <v>34</v>
      </c>
      <c r="I18" s="805"/>
      <c r="J18" s="577"/>
      <c r="K18" s="805" t="s">
        <v>34</v>
      </c>
      <c r="L18" s="805"/>
      <c r="M18" s="577"/>
      <c r="N18" s="805" t="s">
        <v>62</v>
      </c>
      <c r="O18" s="805"/>
      <c r="P18" s="578"/>
      <c r="Q18" s="756" t="s">
        <v>34</v>
      </c>
      <c r="R18" s="756"/>
      <c r="S18" s="481"/>
      <c r="T18" s="756" t="s">
        <v>37</v>
      </c>
      <c r="U18" s="756"/>
      <c r="V18" s="481"/>
      <c r="W18" s="756" t="s">
        <v>34</v>
      </c>
      <c r="X18" s="756"/>
      <c r="Y18" s="481"/>
      <c r="Z18" s="756" t="s">
        <v>626</v>
      </c>
      <c r="AA18" s="756"/>
      <c r="AB18" s="481"/>
      <c r="AC18" s="756" t="s">
        <v>626</v>
      </c>
      <c r="AD18" s="756"/>
      <c r="AE18" s="309"/>
      <c r="AF18" s="756" t="s">
        <v>34</v>
      </c>
      <c r="AG18" s="756"/>
      <c r="AH18" s="481"/>
      <c r="AI18" s="756" t="s">
        <v>51</v>
      </c>
      <c r="AJ18" s="756"/>
      <c r="AK18" s="481"/>
      <c r="AL18" s="756" t="s">
        <v>56</v>
      </c>
      <c r="AM18" s="756"/>
      <c r="AN18" s="481"/>
      <c r="AO18" s="756" t="s">
        <v>56</v>
      </c>
      <c r="AP18" s="756"/>
      <c r="AQ18" s="490"/>
    </row>
    <row r="19" spans="1:50">
      <c r="A19" s="381"/>
      <c r="B19" s="309"/>
      <c r="C19" s="309"/>
      <c r="D19" s="481"/>
      <c r="E19" s="309"/>
      <c r="F19" s="309"/>
      <c r="G19" s="481"/>
      <c r="H19" s="309"/>
      <c r="I19" s="309"/>
      <c r="J19" s="481"/>
      <c r="K19" s="309"/>
      <c r="L19" s="309"/>
      <c r="M19" s="481"/>
      <c r="N19" s="309"/>
      <c r="O19" s="309"/>
      <c r="P19" s="481"/>
      <c r="Q19" s="309"/>
      <c r="R19" s="309"/>
      <c r="S19" s="481"/>
      <c r="T19" s="309"/>
      <c r="U19" s="309"/>
      <c r="V19" s="481"/>
      <c r="W19" s="309"/>
      <c r="X19" s="309"/>
      <c r="Y19" s="481"/>
      <c r="Z19" s="309"/>
      <c r="AA19" s="309"/>
      <c r="AB19" s="481"/>
      <c r="AC19" s="309"/>
      <c r="AD19" s="309"/>
      <c r="AE19" s="309"/>
      <c r="AF19" s="309"/>
      <c r="AG19" s="309"/>
      <c r="AH19" s="481"/>
      <c r="AI19" s="309"/>
      <c r="AJ19" s="309"/>
      <c r="AK19" s="481"/>
      <c r="AL19" s="309"/>
      <c r="AM19" s="309"/>
      <c r="AN19" s="481"/>
      <c r="AO19" s="309"/>
      <c r="AP19" s="309"/>
      <c r="AQ19" s="490"/>
    </row>
    <row r="20" spans="1:50">
      <c r="A20" s="381"/>
      <c r="B20" s="309"/>
      <c r="C20" s="309"/>
      <c r="D20" s="481"/>
      <c r="E20" s="309"/>
      <c r="F20" s="309"/>
      <c r="G20" s="481"/>
      <c r="H20" s="309"/>
      <c r="I20" s="309"/>
      <c r="J20" s="481"/>
      <c r="K20" s="309"/>
      <c r="L20" s="309"/>
      <c r="M20" s="481"/>
      <c r="N20" s="309"/>
      <c r="O20" s="309"/>
      <c r="P20" s="481"/>
      <c r="Q20" s="309"/>
      <c r="R20" s="309"/>
      <c r="S20" s="481"/>
      <c r="T20" s="309"/>
      <c r="U20" s="309"/>
      <c r="V20" s="481"/>
      <c r="W20" s="309"/>
      <c r="X20" s="309"/>
      <c r="Y20" s="481"/>
      <c r="Z20" s="309"/>
      <c r="AA20" s="309"/>
      <c r="AB20" s="481"/>
      <c r="AC20" s="309"/>
      <c r="AD20" s="309"/>
      <c r="AE20" s="309"/>
      <c r="AF20" s="309"/>
      <c r="AG20" s="309"/>
      <c r="AI20" s="309"/>
      <c r="AJ20" s="309"/>
      <c r="AK20" s="481"/>
      <c r="AL20" s="309"/>
      <c r="AM20" s="309"/>
      <c r="AN20" s="481"/>
      <c r="AO20" s="309"/>
      <c r="AP20" s="309"/>
      <c r="AQ20" s="490"/>
    </row>
    <row r="21" spans="1:50">
      <c r="A21" s="381"/>
      <c r="B21" s="808"/>
      <c r="C21" s="808"/>
      <c r="D21" s="481"/>
      <c r="E21" s="808"/>
      <c r="F21" s="808"/>
      <c r="G21" s="481"/>
      <c r="H21" s="808"/>
      <c r="I21" s="808"/>
      <c r="J21" s="481"/>
      <c r="K21" s="808"/>
      <c r="L21" s="808"/>
      <c r="M21" s="481"/>
      <c r="N21" s="808"/>
      <c r="O21" s="808"/>
      <c r="P21" s="481"/>
      <c r="Q21" s="808"/>
      <c r="R21" s="808"/>
      <c r="S21" s="481"/>
      <c r="T21" s="808"/>
      <c r="U21" s="808"/>
      <c r="V21" s="481"/>
      <c r="W21" s="808"/>
      <c r="X21" s="808"/>
      <c r="Y21" s="481"/>
      <c r="Z21" s="756"/>
      <c r="AA21" s="756"/>
      <c r="AB21" s="481"/>
      <c r="AC21" s="756"/>
      <c r="AD21" s="756"/>
      <c r="AE21" s="309"/>
      <c r="AF21" s="756"/>
      <c r="AG21" s="756"/>
      <c r="AH21" s="481"/>
      <c r="AI21" s="756"/>
      <c r="AJ21" s="756"/>
      <c r="AK21" s="481"/>
      <c r="AL21" s="756"/>
      <c r="AM21" s="756"/>
      <c r="AN21" s="481"/>
      <c r="AO21" s="756"/>
      <c r="AP21" s="756"/>
      <c r="AQ21" s="490"/>
    </row>
    <row r="22" spans="1:50">
      <c r="A22" s="381"/>
      <c r="B22" s="382"/>
      <c r="C22" s="382"/>
      <c r="D22" s="482"/>
      <c r="E22" s="383"/>
      <c r="F22" s="383"/>
      <c r="G22" s="482"/>
      <c r="H22" s="382"/>
      <c r="I22" s="382"/>
      <c r="J22" s="482"/>
      <c r="K22" s="383"/>
      <c r="L22" s="383"/>
      <c r="M22" s="482"/>
      <c r="N22" s="382"/>
      <c r="O22" s="382"/>
      <c r="P22" s="482"/>
      <c r="Q22" s="382"/>
      <c r="R22" s="382"/>
      <c r="S22" s="482"/>
      <c r="T22" s="382"/>
      <c r="U22" s="382"/>
      <c r="V22" s="482"/>
      <c r="W22" s="382"/>
      <c r="X22" s="382"/>
      <c r="Y22" s="482"/>
      <c r="Z22" s="535"/>
      <c r="AA22" s="535"/>
      <c r="AB22" s="482"/>
      <c r="AC22" s="382"/>
      <c r="AD22" s="382"/>
      <c r="AE22" s="310"/>
      <c r="AF22" s="382"/>
      <c r="AG22" s="382"/>
      <c r="AH22" s="482"/>
      <c r="AI22" s="382"/>
      <c r="AJ22" s="382"/>
      <c r="AK22" s="482"/>
      <c r="AL22" s="382"/>
      <c r="AM22" s="382"/>
      <c r="AN22" s="482"/>
      <c r="AO22" s="382"/>
      <c r="AP22" s="382"/>
      <c r="AQ22" s="491"/>
      <c r="AS22" s="291">
        <v>14</v>
      </c>
      <c r="AT22" s="291">
        <v>14</v>
      </c>
      <c r="AU22" s="291">
        <v>14</v>
      </c>
      <c r="AV22" s="291">
        <v>14</v>
      </c>
      <c r="AW22" s="291">
        <f>((SUM(D24:AQ24))-(S24))/1000</f>
        <v>3.0270999999999995</v>
      </c>
      <c r="AX22" s="291">
        <f>((SUM(D24:AQ24))-(S24))/1000</f>
        <v>3.0270999999999995</v>
      </c>
    </row>
    <row r="23" spans="1:50">
      <c r="A23" s="381"/>
      <c r="B23" s="382"/>
      <c r="C23" s="382"/>
      <c r="D23" s="482"/>
      <c r="E23" s="383"/>
      <c r="F23" s="383"/>
      <c r="G23" s="482"/>
      <c r="H23" s="382"/>
      <c r="I23" s="382"/>
      <c r="J23" s="482"/>
      <c r="K23" s="383"/>
      <c r="L23" s="383"/>
      <c r="M23" s="482"/>
      <c r="N23" s="382"/>
      <c r="O23" s="382"/>
      <c r="P23" s="481"/>
      <c r="Q23" s="382"/>
      <c r="R23" s="382"/>
      <c r="S23" s="481"/>
      <c r="T23" s="382"/>
      <c r="U23" s="382"/>
      <c r="V23" s="482"/>
      <c r="W23" s="382"/>
      <c r="X23" s="382"/>
      <c r="Y23" s="482"/>
      <c r="Z23" s="535"/>
      <c r="AA23" s="535"/>
      <c r="AB23" s="482"/>
      <c r="AC23" s="382"/>
      <c r="AD23" s="382"/>
      <c r="AF23" s="382"/>
      <c r="AG23" s="382"/>
      <c r="AH23" s="481"/>
      <c r="AI23" s="382"/>
      <c r="AJ23" s="382"/>
      <c r="AK23" s="482"/>
      <c r="AL23" s="382"/>
      <c r="AM23" s="382"/>
      <c r="AN23" s="482"/>
      <c r="AO23" s="390"/>
      <c r="AP23" s="382"/>
      <c r="AQ23" s="491"/>
    </row>
    <row r="24" spans="1:50" s="309" customFormat="1">
      <c r="A24" s="381"/>
      <c r="D24" s="483">
        <v>251</v>
      </c>
      <c r="G24" s="483">
        <v>308.23</v>
      </c>
      <c r="J24" s="483">
        <v>278.12</v>
      </c>
      <c r="M24" s="483">
        <v>385.96</v>
      </c>
      <c r="P24" s="483">
        <v>259.92</v>
      </c>
      <c r="S24" s="483">
        <v>215.13</v>
      </c>
      <c r="V24" s="483">
        <v>316.14999999999998</v>
      </c>
      <c r="Y24" s="483">
        <v>274</v>
      </c>
      <c r="AB24" s="483">
        <v>293.27999999999997</v>
      </c>
      <c r="AC24" s="829"/>
      <c r="AD24" s="829"/>
      <c r="AE24" s="376">
        <v>48.42</v>
      </c>
      <c r="AF24" s="829"/>
      <c r="AG24" s="829"/>
      <c r="AH24" s="483">
        <v>58.24</v>
      </c>
      <c r="AI24" s="829"/>
      <c r="AJ24" s="829"/>
      <c r="AK24" s="483">
        <v>70.13</v>
      </c>
      <c r="AL24" s="829"/>
      <c r="AM24" s="829"/>
      <c r="AN24" s="483">
        <v>220.7</v>
      </c>
      <c r="AO24" s="829"/>
      <c r="AP24" s="829"/>
      <c r="AQ24" s="492">
        <v>262.95</v>
      </c>
    </row>
    <row r="25" spans="1:50">
      <c r="A25" s="381"/>
      <c r="B25" s="764" t="s">
        <v>699</v>
      </c>
      <c r="C25" s="756"/>
      <c r="E25" s="764" t="s">
        <v>700</v>
      </c>
      <c r="F25" s="756"/>
      <c r="H25" s="764" t="s">
        <v>106</v>
      </c>
      <c r="I25" s="756"/>
      <c r="K25" s="827" t="s">
        <v>111</v>
      </c>
      <c r="L25" s="756"/>
      <c r="N25" s="764" t="s">
        <v>320</v>
      </c>
      <c r="O25" s="756"/>
      <c r="Q25" s="756" t="s">
        <v>322</v>
      </c>
      <c r="R25" s="756"/>
      <c r="T25" s="309" t="s">
        <v>324</v>
      </c>
      <c r="U25" s="309"/>
      <c r="W25" s="764" t="s">
        <v>326</v>
      </c>
      <c r="X25" s="764"/>
      <c r="Z25" s="764" t="s">
        <v>328</v>
      </c>
      <c r="AA25" s="764"/>
      <c r="AC25" s="756" t="s">
        <v>329</v>
      </c>
      <c r="AD25" s="756"/>
      <c r="AF25" s="764" t="s">
        <v>167</v>
      </c>
      <c r="AG25" s="764"/>
      <c r="AI25" s="764" t="s">
        <v>331</v>
      </c>
      <c r="AJ25" s="764"/>
      <c r="AL25" s="756" t="s">
        <v>332</v>
      </c>
      <c r="AM25" s="756"/>
      <c r="AO25" s="756" t="s">
        <v>334</v>
      </c>
      <c r="AP25" s="756"/>
    </row>
    <row r="26" spans="1:50">
      <c r="A26" s="381"/>
      <c r="B26" s="756" t="s">
        <v>37</v>
      </c>
      <c r="C26" s="756"/>
      <c r="D26" s="481"/>
      <c r="E26" s="756" t="s">
        <v>42</v>
      </c>
      <c r="F26" s="756"/>
      <c r="G26" s="481"/>
      <c r="H26" s="756" t="s">
        <v>34</v>
      </c>
      <c r="I26" s="756"/>
      <c r="J26" s="481"/>
      <c r="K26" s="756" t="s">
        <v>51</v>
      </c>
      <c r="L26" s="756"/>
      <c r="M26" s="481"/>
      <c r="N26" s="756" t="s">
        <v>51</v>
      </c>
      <c r="O26" s="756"/>
      <c r="P26" s="481"/>
      <c r="Q26" s="756" t="s">
        <v>62</v>
      </c>
      <c r="R26" s="756"/>
      <c r="S26" s="481"/>
      <c r="T26" s="756" t="s">
        <v>62</v>
      </c>
      <c r="U26" s="756"/>
      <c r="V26" s="481"/>
      <c r="W26" s="756" t="s">
        <v>34</v>
      </c>
      <c r="X26" s="756"/>
      <c r="Y26" s="481"/>
      <c r="Z26" s="756" t="s">
        <v>37</v>
      </c>
      <c r="AA26" s="756"/>
      <c r="AB26" s="481"/>
      <c r="AC26" s="756" t="s">
        <v>34</v>
      </c>
      <c r="AD26" s="756"/>
      <c r="AE26" s="309"/>
      <c r="AF26" s="756" t="s">
        <v>626</v>
      </c>
      <c r="AG26" s="756"/>
      <c r="AH26" s="481"/>
      <c r="AI26" s="756" t="s">
        <v>626</v>
      </c>
      <c r="AJ26" s="756"/>
      <c r="AK26" s="481"/>
      <c r="AL26" s="756" t="s">
        <v>62</v>
      </c>
      <c r="AM26" s="756"/>
      <c r="AN26" s="481"/>
      <c r="AO26" s="756" t="s">
        <v>51</v>
      </c>
      <c r="AP26" s="756"/>
      <c r="AQ26" s="490"/>
    </row>
    <row r="28" spans="1:50" ht="15.75" thickBot="1">
      <c r="A28" s="381"/>
      <c r="B28" s="309"/>
      <c r="C28" s="309"/>
      <c r="D28" s="481"/>
      <c r="E28" s="309"/>
      <c r="F28" s="309"/>
      <c r="G28" s="481"/>
      <c r="H28" s="309"/>
      <c r="I28" s="309"/>
      <c r="J28" s="481"/>
      <c r="K28" s="309"/>
      <c r="L28" s="309"/>
      <c r="M28" s="481"/>
      <c r="N28" s="309"/>
      <c r="O28" s="309"/>
      <c r="P28" s="481"/>
      <c r="Q28" s="309"/>
      <c r="R28" s="309"/>
      <c r="S28" s="481"/>
      <c r="T28" s="309"/>
      <c r="W28" s="309"/>
      <c r="X28" s="309"/>
      <c r="Y28" s="481"/>
      <c r="Z28" s="309"/>
      <c r="AA28" s="309"/>
      <c r="AB28" s="481"/>
      <c r="AC28" s="309"/>
      <c r="AD28" s="309"/>
      <c r="AE28" s="309"/>
      <c r="AF28" s="309"/>
      <c r="AG28" s="309"/>
      <c r="AH28" s="481"/>
      <c r="AI28" s="309"/>
      <c r="AJ28" s="309"/>
      <c r="AK28" s="481"/>
      <c r="AL28" s="309"/>
      <c r="AM28" s="309"/>
      <c r="AN28" s="481"/>
      <c r="AO28" s="309"/>
      <c r="AP28" s="309"/>
      <c r="AQ28" s="490"/>
    </row>
    <row r="29" spans="1:50" ht="16.5" customHeight="1">
      <c r="A29" s="381"/>
      <c r="B29" s="309"/>
      <c r="C29" s="309"/>
      <c r="D29" s="481"/>
      <c r="E29" s="309"/>
      <c r="F29" s="309"/>
      <c r="G29" s="481"/>
      <c r="H29" s="309"/>
      <c r="I29" s="309"/>
      <c r="J29" s="481"/>
      <c r="K29" s="309"/>
      <c r="L29" s="309"/>
      <c r="M29" s="481"/>
      <c r="N29" s="309"/>
      <c r="O29" s="309"/>
      <c r="P29" s="481"/>
      <c r="Q29" s="309"/>
      <c r="R29" s="309"/>
      <c r="S29" s="481"/>
      <c r="T29" s="309"/>
      <c r="U29" s="309"/>
      <c r="V29" s="481"/>
      <c r="W29" s="309"/>
      <c r="X29" s="309"/>
      <c r="Y29" s="481"/>
      <c r="Z29" s="874" t="s">
        <v>745</v>
      </c>
      <c r="AA29" s="875"/>
      <c r="AB29" s="876"/>
      <c r="AC29" s="309"/>
      <c r="AD29" s="309"/>
      <c r="AE29" s="309"/>
      <c r="AF29" s="309"/>
      <c r="AG29" s="309"/>
      <c r="AH29" s="481"/>
      <c r="AI29" s="309"/>
      <c r="AJ29" s="309"/>
      <c r="AK29" s="481"/>
      <c r="AL29" s="309"/>
      <c r="AM29" s="309"/>
      <c r="AN29" s="481"/>
      <c r="AO29" s="309"/>
      <c r="AP29" s="309"/>
      <c r="AQ29" s="490"/>
    </row>
    <row r="30" spans="1:50" ht="14.45" customHeight="1">
      <c r="A30" s="381"/>
      <c r="B30" s="382"/>
      <c r="C30" s="382"/>
      <c r="D30" s="481"/>
      <c r="E30" s="382"/>
      <c r="F30" s="382"/>
      <c r="G30" s="481"/>
      <c r="H30" s="382"/>
      <c r="I30" s="382"/>
      <c r="J30" s="481"/>
      <c r="K30" s="382"/>
      <c r="L30" s="382"/>
      <c r="M30" s="481"/>
      <c r="N30" s="382"/>
      <c r="O30" s="382"/>
      <c r="P30" s="481"/>
      <c r="Q30" s="382"/>
      <c r="R30" s="382"/>
      <c r="S30" s="481"/>
      <c r="T30" s="382"/>
      <c r="U30" s="382"/>
      <c r="V30" s="481"/>
      <c r="W30" s="382"/>
      <c r="X30" s="382"/>
      <c r="Y30" s="481"/>
      <c r="Z30" s="877"/>
      <c r="AA30" s="878"/>
      <c r="AB30" s="879"/>
      <c r="AC30" s="309"/>
      <c r="AD30" s="309"/>
      <c r="AE30" s="309"/>
      <c r="AF30" s="309"/>
      <c r="AG30" s="309"/>
      <c r="AH30" s="481"/>
      <c r="AI30" s="309"/>
      <c r="AJ30" s="309"/>
      <c r="AK30" s="481"/>
      <c r="AL30" s="309"/>
      <c r="AM30" s="309"/>
      <c r="AN30" s="481"/>
      <c r="AO30" s="309"/>
      <c r="AP30" s="309"/>
      <c r="AQ30" s="490"/>
    </row>
    <row r="31" spans="1:50" ht="15.75" thickBot="1">
      <c r="A31" s="381"/>
      <c r="B31" s="382"/>
      <c r="C31" s="382"/>
      <c r="D31" s="481"/>
      <c r="E31" s="382"/>
      <c r="F31" s="382"/>
      <c r="G31" s="481"/>
      <c r="H31" s="382"/>
      <c r="I31" s="382"/>
      <c r="J31" s="481"/>
      <c r="K31" s="382"/>
      <c r="L31" s="382"/>
      <c r="M31" s="481"/>
      <c r="N31" s="382"/>
      <c r="O31" s="382"/>
      <c r="P31" s="481"/>
      <c r="Q31" s="382"/>
      <c r="R31" s="382"/>
      <c r="S31" s="481"/>
      <c r="T31" s="382"/>
      <c r="U31" s="382"/>
      <c r="V31" s="481"/>
      <c r="W31" s="382"/>
      <c r="X31" s="382"/>
      <c r="Y31" s="481"/>
      <c r="Z31" s="880"/>
      <c r="AA31" s="881"/>
      <c r="AB31" s="882"/>
      <c r="AC31" s="309"/>
      <c r="AD31" s="309"/>
      <c r="AE31" s="309"/>
      <c r="AF31" s="309"/>
      <c r="AG31" s="309"/>
      <c r="AH31" s="481"/>
      <c r="AI31" s="309"/>
      <c r="AJ31" s="309"/>
      <c r="AK31" s="481"/>
      <c r="AL31" s="309"/>
      <c r="AM31" s="309"/>
      <c r="AN31" s="481"/>
      <c r="AO31" s="309"/>
      <c r="AP31" s="309"/>
      <c r="AQ31" s="490"/>
      <c r="AS31" s="291">
        <v>8</v>
      </c>
      <c r="AT31" s="291">
        <v>8</v>
      </c>
      <c r="AU31" s="291">
        <v>8</v>
      </c>
      <c r="AV31" s="291">
        <v>8</v>
      </c>
      <c r="AW31" s="496">
        <f>(SUM(D32:Y32))/1000</f>
        <v>1.1354559999999998</v>
      </c>
      <c r="AX31" s="496">
        <f>(SUM(D32:Y32))/1000</f>
        <v>1.1354559999999998</v>
      </c>
    </row>
    <row r="32" spans="1:50">
      <c r="A32" s="381"/>
      <c r="B32" s="309"/>
      <c r="C32" s="309"/>
      <c r="D32" s="483">
        <v>251.57</v>
      </c>
      <c r="E32" s="309"/>
      <c r="F32" s="309"/>
      <c r="G32" s="483">
        <v>271.76</v>
      </c>
      <c r="H32" s="309"/>
      <c r="I32" s="309"/>
      <c r="J32" s="483">
        <v>261.04000000000002</v>
      </c>
      <c r="K32" s="309"/>
      <c r="L32" s="309"/>
      <c r="M32" s="483">
        <v>37.42</v>
      </c>
      <c r="N32" s="309"/>
      <c r="O32" s="309"/>
      <c r="P32" s="486">
        <v>71</v>
      </c>
      <c r="Q32" s="309"/>
      <c r="R32" s="309"/>
      <c r="S32" s="486">
        <v>37.520000000000003</v>
      </c>
      <c r="T32" s="309"/>
      <c r="U32" s="309"/>
      <c r="V32" s="486">
        <v>165.14699999999999</v>
      </c>
      <c r="W32" s="309"/>
      <c r="X32" s="309"/>
      <c r="Y32" s="489">
        <v>39.999000000000002</v>
      </c>
      <c r="Z32" s="309"/>
      <c r="AA32" s="309"/>
      <c r="AB32" s="481"/>
      <c r="AC32" s="309"/>
      <c r="AD32" s="309"/>
      <c r="AE32" s="309"/>
      <c r="AF32" s="309"/>
      <c r="AG32" s="309"/>
      <c r="AH32" s="481"/>
      <c r="AI32" s="309"/>
      <c r="AJ32" s="309"/>
      <c r="AK32" s="481"/>
      <c r="AL32" s="309"/>
      <c r="AM32" s="309"/>
      <c r="AN32" s="481"/>
      <c r="AO32" s="309"/>
      <c r="AP32" s="309"/>
      <c r="AQ32" s="490"/>
    </row>
    <row r="33" spans="1:50">
      <c r="A33" s="309"/>
      <c r="B33" s="812" t="s">
        <v>181</v>
      </c>
      <c r="C33" s="812"/>
      <c r="D33" s="285"/>
      <c r="E33" s="764" t="s">
        <v>182</v>
      </c>
      <c r="F33" s="764"/>
      <c r="G33" s="285"/>
      <c r="H33" s="764" t="s">
        <v>183</v>
      </c>
      <c r="I33" s="764"/>
      <c r="J33" s="285"/>
      <c r="K33" s="764" t="s">
        <v>336</v>
      </c>
      <c r="L33" s="764"/>
      <c r="M33" s="285"/>
      <c r="N33" s="764" t="s">
        <v>192</v>
      </c>
      <c r="O33" s="764"/>
      <c r="P33" s="285"/>
      <c r="Q33" s="764" t="s">
        <v>193</v>
      </c>
      <c r="R33" s="764"/>
      <c r="S33" s="285"/>
      <c r="T33" s="756" t="s">
        <v>338</v>
      </c>
      <c r="U33" s="756"/>
      <c r="V33" s="285"/>
      <c r="W33" s="756" t="s">
        <v>340</v>
      </c>
      <c r="X33" s="756"/>
      <c r="Y33" s="285"/>
      <c r="Z33" s="309"/>
      <c r="AA33" s="309"/>
      <c r="AB33" s="481"/>
      <c r="AC33" s="309"/>
      <c r="AD33" s="309"/>
      <c r="AE33" s="309"/>
      <c r="AF33" s="309"/>
      <c r="AG33" s="309"/>
      <c r="AH33" s="481"/>
      <c r="AI33" s="309"/>
      <c r="AJ33" s="309"/>
      <c r="AK33" s="481"/>
      <c r="AL33" s="309"/>
      <c r="AM33" s="309"/>
      <c r="AN33" s="481"/>
      <c r="AO33" s="309"/>
      <c r="AP33" s="309"/>
      <c r="AQ33" s="481"/>
    </row>
    <row r="34" spans="1:50">
      <c r="A34" s="380"/>
      <c r="B34" s="756" t="s">
        <v>42</v>
      </c>
      <c r="C34" s="756"/>
      <c r="D34" s="481"/>
      <c r="E34" s="756" t="s">
        <v>42</v>
      </c>
      <c r="F34" s="756"/>
      <c r="G34" s="481"/>
      <c r="H34" s="309" t="s">
        <v>42</v>
      </c>
      <c r="I34" s="309"/>
      <c r="J34" s="481"/>
      <c r="K34" s="756" t="s">
        <v>34</v>
      </c>
      <c r="L34" s="756"/>
      <c r="M34" s="481"/>
      <c r="N34" s="756" t="s">
        <v>626</v>
      </c>
      <c r="O34" s="756"/>
      <c r="P34" s="481"/>
      <c r="Q34" s="756" t="s">
        <v>626</v>
      </c>
      <c r="R34" s="756"/>
      <c r="S34" s="481"/>
      <c r="T34" s="756" t="s">
        <v>34</v>
      </c>
      <c r="U34" s="756"/>
      <c r="V34" s="481"/>
      <c r="W34" s="756" t="s">
        <v>627</v>
      </c>
      <c r="X34" s="756"/>
      <c r="Y34" s="481"/>
      <c r="AQ34" s="487"/>
    </row>
    <row r="35" spans="1:50" ht="15.75" thickBot="1">
      <c r="A35" s="380"/>
      <c r="B35" s="309"/>
      <c r="C35" s="309"/>
      <c r="D35" s="481"/>
      <c r="E35" s="309"/>
      <c r="F35" s="309"/>
      <c r="G35" s="481"/>
      <c r="H35" s="309"/>
      <c r="I35" s="309"/>
      <c r="J35" s="481"/>
      <c r="K35" s="309"/>
      <c r="L35" s="309"/>
      <c r="M35" s="481"/>
      <c r="N35" s="309"/>
      <c r="O35" s="309"/>
      <c r="P35" s="481"/>
      <c r="Q35" s="309"/>
      <c r="R35" s="309"/>
      <c r="S35" s="481"/>
      <c r="T35" s="309"/>
      <c r="U35" s="309"/>
      <c r="V35" s="481"/>
      <c r="W35" s="309"/>
      <c r="X35" s="309"/>
      <c r="Y35" s="481"/>
      <c r="AQ35" s="487"/>
      <c r="AW35" s="292"/>
      <c r="AX35" s="292"/>
    </row>
    <row r="36" spans="1:50">
      <c r="A36" s="377"/>
      <c r="B36" s="532"/>
      <c r="C36" s="532"/>
      <c r="D36" s="536"/>
      <c r="E36" s="532"/>
      <c r="F36" s="532"/>
      <c r="G36" s="536"/>
      <c r="H36" s="532"/>
      <c r="I36" s="532"/>
      <c r="J36" s="536"/>
      <c r="K36" s="532"/>
      <c r="L36" s="532"/>
      <c r="M36" s="536"/>
      <c r="N36" s="532"/>
      <c r="O36" s="532"/>
      <c r="P36" s="536"/>
      <c r="Q36" s="532"/>
      <c r="R36" s="532"/>
      <c r="S36" s="536"/>
      <c r="T36" s="532"/>
      <c r="U36" s="532"/>
      <c r="V36" s="536"/>
      <c r="W36" s="532"/>
      <c r="X36" s="532"/>
      <c r="Y36" s="536"/>
      <c r="Z36" s="307"/>
      <c r="AA36" s="307"/>
      <c r="AB36" s="480"/>
      <c r="AC36" s="307"/>
      <c r="AD36" s="307"/>
      <c r="AE36" s="307"/>
      <c r="AF36" s="307"/>
      <c r="AG36" s="307"/>
      <c r="AH36" s="480"/>
      <c r="AI36" s="307"/>
      <c r="AJ36" s="307"/>
      <c r="AK36" s="480"/>
      <c r="AL36" s="307"/>
      <c r="AM36" s="307"/>
      <c r="AN36" s="480"/>
      <c r="AO36" s="307"/>
      <c r="AP36" s="307"/>
      <c r="AQ36" s="537"/>
      <c r="AS36" s="291">
        <f t="shared" ref="AS36:AX36" si="0">+AS14+AS22+AS31</f>
        <v>34</v>
      </c>
      <c r="AT36" s="291">
        <f t="shared" si="0"/>
        <v>34</v>
      </c>
      <c r="AU36" s="291">
        <f t="shared" si="0"/>
        <v>31</v>
      </c>
      <c r="AV36" s="291">
        <f t="shared" si="0"/>
        <v>29</v>
      </c>
      <c r="AW36" s="496">
        <f t="shared" si="0"/>
        <v>6.016195999999999</v>
      </c>
      <c r="AX36" s="496">
        <f t="shared" si="0"/>
        <v>6.016195999999999</v>
      </c>
    </row>
    <row r="37" spans="1:50" ht="15.75" customHeight="1" thickBot="1">
      <c r="A37" s="380"/>
      <c r="B37" s="830" t="s">
        <v>628</v>
      </c>
      <c r="C37" s="831"/>
      <c r="D37" s="831"/>
      <c r="E37" s="831"/>
      <c r="F37" s="831"/>
      <c r="G37" s="831"/>
      <c r="H37" s="831"/>
      <c r="I37" s="831"/>
      <c r="J37" s="831"/>
      <c r="K37" s="831"/>
      <c r="L37" s="832"/>
      <c r="N37" s="830" t="s">
        <v>629</v>
      </c>
      <c r="O37" s="831"/>
      <c r="P37" s="831"/>
      <c r="Q37" s="831"/>
      <c r="R37" s="831"/>
      <c r="S37" s="831"/>
      <c r="T37" s="831"/>
      <c r="U37" s="831"/>
      <c r="V37" s="832"/>
      <c r="W37" s="846" t="s">
        <v>630</v>
      </c>
      <c r="X37" s="847"/>
      <c r="Y37" s="847"/>
      <c r="Z37" s="847"/>
      <c r="AA37" s="847"/>
      <c r="AB37" s="847"/>
      <c r="AC37" s="847"/>
      <c r="AD37" s="847"/>
      <c r="AE37" s="847"/>
      <c r="AF37" s="847"/>
      <c r="AG37" s="847"/>
      <c r="AH37" s="847"/>
      <c r="AI37" s="847"/>
      <c r="AJ37" s="847"/>
      <c r="AK37" s="847"/>
      <c r="AL37" s="847"/>
      <c r="AM37" s="847"/>
      <c r="AN37" s="850" t="s">
        <v>354</v>
      </c>
      <c r="AO37" s="850"/>
      <c r="AP37" s="850"/>
      <c r="AQ37" s="851"/>
    </row>
    <row r="38" spans="1:50" ht="15" customHeight="1">
      <c r="A38" s="380"/>
      <c r="B38" s="380"/>
      <c r="O38" s="538"/>
      <c r="V38" s="487"/>
      <c r="W38" s="848"/>
      <c r="X38" s="849"/>
      <c r="Y38" s="849"/>
      <c r="Z38" s="849"/>
      <c r="AA38" s="849"/>
      <c r="AB38" s="849"/>
      <c r="AC38" s="849"/>
      <c r="AD38" s="849"/>
      <c r="AE38" s="849"/>
      <c r="AF38" s="849"/>
      <c r="AG38" s="849"/>
      <c r="AH38" s="849"/>
      <c r="AI38" s="849"/>
      <c r="AJ38" s="849"/>
      <c r="AK38" s="849"/>
      <c r="AL38" s="849"/>
      <c r="AM38" s="849"/>
      <c r="AN38" s="852">
        <f>AS1</f>
        <v>46162</v>
      </c>
      <c r="AO38" s="852"/>
      <c r="AP38" s="852"/>
      <c r="AQ38" s="853"/>
    </row>
    <row r="39" spans="1:50">
      <c r="A39" s="380"/>
      <c r="B39" s="833" t="s">
        <v>471</v>
      </c>
      <c r="C39" s="834"/>
      <c r="D39" s="835"/>
      <c r="F39" s="726" t="s">
        <v>631</v>
      </c>
      <c r="G39" s="726"/>
      <c r="I39" s="726" t="s">
        <v>632</v>
      </c>
      <c r="J39" s="726"/>
      <c r="N39" s="728" t="s">
        <v>633</v>
      </c>
      <c r="O39" s="728"/>
      <c r="P39" s="836"/>
      <c r="R39" s="703" t="s">
        <v>634</v>
      </c>
      <c r="S39" s="704"/>
      <c r="T39" s="703"/>
      <c r="U39" s="704"/>
      <c r="V39" s="487"/>
      <c r="W39" s="854" t="s">
        <v>2</v>
      </c>
      <c r="X39" s="732"/>
      <c r="Y39" s="732" t="s">
        <v>356</v>
      </c>
      <c r="Z39" s="732"/>
      <c r="AA39" s="732"/>
      <c r="AB39" s="732"/>
      <c r="AC39" s="732" t="s">
        <v>635</v>
      </c>
      <c r="AD39" s="732"/>
      <c r="AE39" s="732" t="s">
        <v>636</v>
      </c>
      <c r="AF39" s="732"/>
      <c r="AG39" s="732"/>
      <c r="AH39" s="732" t="s">
        <v>32</v>
      </c>
      <c r="AI39" s="732"/>
      <c r="AJ39" s="732"/>
      <c r="AK39" s="732" t="s">
        <v>372</v>
      </c>
      <c r="AL39" s="732"/>
      <c r="AM39" s="732"/>
      <c r="AN39" s="732" t="s">
        <v>15</v>
      </c>
      <c r="AO39" s="732"/>
      <c r="AP39" s="732"/>
      <c r="AQ39" s="741"/>
    </row>
    <row r="40" spans="1:50">
      <c r="A40" s="380"/>
      <c r="B40" s="380"/>
      <c r="N40" s="728"/>
      <c r="O40" s="728"/>
      <c r="P40" s="836"/>
      <c r="R40" s="705"/>
      <c r="S40" s="706"/>
      <c r="T40" s="705"/>
      <c r="U40" s="706"/>
      <c r="V40" s="487"/>
      <c r="W40" s="840">
        <v>1</v>
      </c>
      <c r="X40" s="699"/>
      <c r="Y40" s="699" t="s">
        <v>376</v>
      </c>
      <c r="Z40" s="699"/>
      <c r="AA40" s="699"/>
      <c r="AB40" s="699"/>
      <c r="AC40" s="699" t="s">
        <v>377</v>
      </c>
      <c r="AD40" s="699"/>
      <c r="AE40" s="855">
        <v>9.23</v>
      </c>
      <c r="AF40" s="856"/>
      <c r="AG40" s="857"/>
      <c r="AH40" s="855">
        <v>9.23</v>
      </c>
      <c r="AI40" s="856"/>
      <c r="AJ40" s="857"/>
      <c r="AK40" s="699">
        <f t="shared" ref="AK40:AK48" si="1">AE40-AH40</f>
        <v>0</v>
      </c>
      <c r="AL40" s="699"/>
      <c r="AM40" s="699"/>
      <c r="AN40" s="699"/>
      <c r="AO40" s="699"/>
      <c r="AP40" s="699"/>
      <c r="AQ40" s="734"/>
    </row>
    <row r="41" spans="1:50">
      <c r="A41" s="380"/>
      <c r="B41" s="842" t="s">
        <v>469</v>
      </c>
      <c r="C41" s="843"/>
      <c r="D41" s="844"/>
      <c r="N41" s="728" t="s">
        <v>637</v>
      </c>
      <c r="O41" s="728"/>
      <c r="P41" s="836"/>
      <c r="R41" s="705"/>
      <c r="S41" s="706"/>
      <c r="T41" s="705"/>
      <c r="U41" s="706"/>
      <c r="V41" s="487"/>
      <c r="W41" s="840">
        <v>2</v>
      </c>
      <c r="X41" s="699"/>
      <c r="Y41" s="699" t="s">
        <v>378</v>
      </c>
      <c r="Z41" s="699"/>
      <c r="AA41" s="699"/>
      <c r="AB41" s="699"/>
      <c r="AC41" s="699" t="s">
        <v>377</v>
      </c>
      <c r="AD41" s="699"/>
      <c r="AE41" s="855">
        <v>9.23</v>
      </c>
      <c r="AF41" s="856"/>
      <c r="AG41" s="857"/>
      <c r="AH41" s="855">
        <v>9.23</v>
      </c>
      <c r="AI41" s="856"/>
      <c r="AJ41" s="857"/>
      <c r="AK41" s="699">
        <f t="shared" si="1"/>
        <v>0</v>
      </c>
      <c r="AL41" s="699"/>
      <c r="AM41" s="699"/>
      <c r="AN41" s="699"/>
      <c r="AO41" s="699"/>
      <c r="AP41" s="699"/>
      <c r="AQ41" s="734"/>
    </row>
    <row r="42" spans="1:50">
      <c r="A42" s="380"/>
      <c r="B42" s="380"/>
      <c r="N42" s="728"/>
      <c r="O42" s="728"/>
      <c r="P42" s="836"/>
      <c r="R42" s="707"/>
      <c r="S42" s="708"/>
      <c r="T42" s="707"/>
      <c r="U42" s="708"/>
      <c r="V42" s="487"/>
      <c r="W42" s="840">
        <v>3</v>
      </c>
      <c r="X42" s="699"/>
      <c r="Y42" s="699" t="s">
        <v>379</v>
      </c>
      <c r="Z42" s="699"/>
      <c r="AA42" s="699"/>
      <c r="AB42" s="699"/>
      <c r="AC42" s="699" t="s">
        <v>638</v>
      </c>
      <c r="AD42" s="699"/>
      <c r="AE42" s="699">
        <v>39</v>
      </c>
      <c r="AF42" s="699"/>
      <c r="AG42" s="699"/>
      <c r="AH42" s="699">
        <f>+AS36</f>
        <v>34</v>
      </c>
      <c r="AI42" s="699"/>
      <c r="AJ42" s="699"/>
      <c r="AK42" s="699">
        <f t="shared" si="1"/>
        <v>5</v>
      </c>
      <c r="AL42" s="699"/>
      <c r="AM42" s="699"/>
      <c r="AN42" s="699"/>
      <c r="AO42" s="699"/>
      <c r="AP42" s="699"/>
      <c r="AQ42" s="734"/>
    </row>
    <row r="43" spans="1:50">
      <c r="A43" s="380"/>
      <c r="B43" s="380"/>
      <c r="E43" s="841"/>
      <c r="F43" s="841"/>
      <c r="H43" s="845"/>
      <c r="I43" s="845"/>
      <c r="K43" s="841"/>
      <c r="L43" s="841"/>
      <c r="N43" s="728" t="s">
        <v>639</v>
      </c>
      <c r="O43" s="728"/>
      <c r="P43" s="836"/>
      <c r="R43" s="703" t="s">
        <v>452</v>
      </c>
      <c r="S43" s="704"/>
      <c r="T43" s="703"/>
      <c r="U43" s="704"/>
      <c r="V43" s="487"/>
      <c r="W43" s="840">
        <v>4</v>
      </c>
      <c r="X43" s="699"/>
      <c r="Y43" s="699" t="s">
        <v>381</v>
      </c>
      <c r="Z43" s="699"/>
      <c r="AA43" s="699"/>
      <c r="AB43" s="699"/>
      <c r="AC43" s="699" t="s">
        <v>638</v>
      </c>
      <c r="AD43" s="699"/>
      <c r="AE43" s="699">
        <v>39</v>
      </c>
      <c r="AF43" s="699"/>
      <c r="AG43" s="699"/>
      <c r="AH43" s="699">
        <f>+AT36</f>
        <v>34</v>
      </c>
      <c r="AI43" s="699"/>
      <c r="AJ43" s="699"/>
      <c r="AK43" s="699">
        <f t="shared" si="1"/>
        <v>5</v>
      </c>
      <c r="AL43" s="699"/>
      <c r="AM43" s="699"/>
      <c r="AN43" s="699"/>
      <c r="AO43" s="699"/>
      <c r="AP43" s="699"/>
      <c r="AQ43" s="734"/>
    </row>
    <row r="44" spans="1:50">
      <c r="A44" s="380"/>
      <c r="B44" s="385"/>
      <c r="C44" s="386"/>
      <c r="D44" s="387"/>
      <c r="E44" s="388"/>
      <c r="F44" s="303"/>
      <c r="G44" s="539"/>
      <c r="H44" s="291"/>
      <c r="I44" s="291"/>
      <c r="J44" s="539"/>
      <c r="K44" s="378"/>
      <c r="L44" s="291"/>
      <c r="M44" s="539"/>
      <c r="N44" s="728"/>
      <c r="O44" s="728"/>
      <c r="P44" s="836"/>
      <c r="R44" s="705"/>
      <c r="S44" s="706"/>
      <c r="T44" s="705"/>
      <c r="U44" s="706"/>
      <c r="V44" s="487"/>
      <c r="W44" s="840">
        <v>5</v>
      </c>
      <c r="X44" s="699"/>
      <c r="Y44" s="699" t="s">
        <v>469</v>
      </c>
      <c r="Z44" s="699"/>
      <c r="AA44" s="699"/>
      <c r="AB44" s="699"/>
      <c r="AC44" s="699" t="s">
        <v>638</v>
      </c>
      <c r="AD44" s="699"/>
      <c r="AE44" s="699">
        <v>39</v>
      </c>
      <c r="AF44" s="699"/>
      <c r="AG44" s="699"/>
      <c r="AH44" s="699">
        <f>+AU36</f>
        <v>31</v>
      </c>
      <c r="AI44" s="699"/>
      <c r="AJ44" s="699"/>
      <c r="AK44" s="699">
        <f t="shared" si="1"/>
        <v>8</v>
      </c>
      <c r="AL44" s="699"/>
      <c r="AM44" s="699"/>
      <c r="AN44" s="699"/>
      <c r="AO44" s="699"/>
      <c r="AP44" s="699"/>
      <c r="AQ44" s="734"/>
    </row>
    <row r="45" spans="1:50">
      <c r="A45" s="380"/>
      <c r="B45" s="837" t="s">
        <v>379</v>
      </c>
      <c r="C45" s="838"/>
      <c r="D45" s="839"/>
      <c r="E45" s="388"/>
      <c r="F45" s="388"/>
      <c r="G45" s="539"/>
      <c r="H45" s="291"/>
      <c r="I45" s="291"/>
      <c r="K45" s="378"/>
      <c r="L45" s="291"/>
      <c r="M45" s="539"/>
      <c r="N45" s="728" t="s">
        <v>640</v>
      </c>
      <c r="O45" s="728"/>
      <c r="P45" s="836"/>
      <c r="R45" s="705"/>
      <c r="S45" s="706"/>
      <c r="T45" s="705"/>
      <c r="U45" s="706"/>
      <c r="V45" s="487"/>
      <c r="W45" s="840">
        <v>6</v>
      </c>
      <c r="X45" s="699"/>
      <c r="Y45" s="699" t="s">
        <v>641</v>
      </c>
      <c r="Z45" s="699"/>
      <c r="AA45" s="699"/>
      <c r="AB45" s="699"/>
      <c r="AC45" s="699" t="s">
        <v>638</v>
      </c>
      <c r="AD45" s="699"/>
      <c r="AE45" s="699">
        <v>39</v>
      </c>
      <c r="AF45" s="699"/>
      <c r="AG45" s="699"/>
      <c r="AH45" s="699">
        <f>+AV36</f>
        <v>29</v>
      </c>
      <c r="AI45" s="699"/>
      <c r="AJ45" s="699"/>
      <c r="AK45" s="699">
        <f t="shared" si="1"/>
        <v>10</v>
      </c>
      <c r="AL45" s="699"/>
      <c r="AM45" s="699"/>
      <c r="AN45" s="733"/>
      <c r="AO45" s="858"/>
      <c r="AP45" s="858"/>
      <c r="AQ45" s="859"/>
    </row>
    <row r="46" spans="1:50">
      <c r="A46" s="380"/>
      <c r="B46" s="385" t="s">
        <v>642</v>
      </c>
      <c r="C46" s="386"/>
      <c r="E46" s="865" t="s">
        <v>38</v>
      </c>
      <c r="F46" s="865"/>
      <c r="G46" s="540">
        <v>293</v>
      </c>
      <c r="H46" s="866" t="s">
        <v>41</v>
      </c>
      <c r="I46" s="865"/>
      <c r="J46" s="541">
        <v>391</v>
      </c>
      <c r="K46" s="867" t="s">
        <v>45</v>
      </c>
      <c r="L46" s="868"/>
      <c r="M46" s="539"/>
      <c r="N46" s="728"/>
      <c r="O46" s="728"/>
      <c r="P46" s="836"/>
      <c r="R46" s="707"/>
      <c r="S46" s="708"/>
      <c r="T46" s="707"/>
      <c r="U46" s="708"/>
      <c r="V46" s="487"/>
      <c r="W46" s="840">
        <v>7</v>
      </c>
      <c r="X46" s="699"/>
      <c r="Y46" s="699" t="s">
        <v>643</v>
      </c>
      <c r="Z46" s="699"/>
      <c r="AA46" s="699"/>
      <c r="AB46" s="699"/>
      <c r="AC46" s="699" t="s">
        <v>377</v>
      </c>
      <c r="AD46" s="699"/>
      <c r="AE46" s="855">
        <v>9.23</v>
      </c>
      <c r="AF46" s="856"/>
      <c r="AG46" s="857"/>
      <c r="AH46" s="860">
        <f>+AX36</f>
        <v>6.016195999999999</v>
      </c>
      <c r="AI46" s="860"/>
      <c r="AJ46" s="860"/>
      <c r="AK46" s="720">
        <f t="shared" si="1"/>
        <v>3.2138040000000014</v>
      </c>
      <c r="AL46" s="720"/>
      <c r="AM46" s="720"/>
      <c r="AN46" s="699"/>
      <c r="AO46" s="699"/>
      <c r="AP46" s="699"/>
      <c r="AQ46" s="734"/>
    </row>
    <row r="47" spans="1:50">
      <c r="A47" s="380"/>
      <c r="B47" s="385" t="s">
        <v>399</v>
      </c>
      <c r="C47" s="386"/>
      <c r="E47" s="870" t="s">
        <v>39</v>
      </c>
      <c r="F47" s="870"/>
      <c r="H47" s="870" t="s">
        <v>37</v>
      </c>
      <c r="I47" s="870"/>
      <c r="J47" s="541"/>
      <c r="K47" s="871" t="s">
        <v>46</v>
      </c>
      <c r="L47" s="872"/>
      <c r="M47" s="539"/>
      <c r="N47" s="728" t="s">
        <v>644</v>
      </c>
      <c r="O47" s="728"/>
      <c r="P47" s="836"/>
      <c r="R47" s="776" t="s">
        <v>438</v>
      </c>
      <c r="S47" s="776"/>
      <c r="T47" s="701"/>
      <c r="U47" s="701"/>
      <c r="V47" s="487"/>
      <c r="W47" s="840">
        <v>8</v>
      </c>
      <c r="X47" s="699"/>
      <c r="Y47" s="699" t="s">
        <v>645</v>
      </c>
      <c r="Z47" s="699"/>
      <c r="AA47" s="699"/>
      <c r="AB47" s="699"/>
      <c r="AC47" s="699" t="s">
        <v>377</v>
      </c>
      <c r="AD47" s="699"/>
      <c r="AE47" s="855">
        <v>9.23</v>
      </c>
      <c r="AF47" s="856"/>
      <c r="AG47" s="857"/>
      <c r="AH47" s="698">
        <f>AX36</f>
        <v>6.016195999999999</v>
      </c>
      <c r="AI47" s="699"/>
      <c r="AJ47" s="699"/>
      <c r="AK47" s="720">
        <f t="shared" si="1"/>
        <v>3.2138040000000014</v>
      </c>
      <c r="AL47" s="720"/>
      <c r="AM47" s="720"/>
      <c r="AN47" s="699"/>
      <c r="AO47" s="699"/>
      <c r="AP47" s="699"/>
      <c r="AQ47" s="734"/>
    </row>
    <row r="48" spans="1:50" ht="15.75" thickBot="1">
      <c r="A48" s="389"/>
      <c r="B48" s="389"/>
      <c r="C48" s="287"/>
      <c r="D48" s="484"/>
      <c r="E48" s="287"/>
      <c r="F48" s="727" t="s">
        <v>381</v>
      </c>
      <c r="G48" s="727"/>
      <c r="H48" s="287"/>
      <c r="I48" s="287"/>
      <c r="J48" s="727" t="s">
        <v>646</v>
      </c>
      <c r="K48" s="727"/>
      <c r="L48" s="727"/>
      <c r="M48" s="484"/>
      <c r="N48" s="729"/>
      <c r="O48" s="729"/>
      <c r="P48" s="873"/>
      <c r="Q48" s="287"/>
      <c r="R48" s="777"/>
      <c r="S48" s="777"/>
      <c r="T48" s="702"/>
      <c r="U48" s="702"/>
      <c r="V48" s="488"/>
      <c r="W48" s="869">
        <v>9</v>
      </c>
      <c r="X48" s="697"/>
      <c r="Y48" s="697" t="s">
        <v>390</v>
      </c>
      <c r="Z48" s="697"/>
      <c r="AA48" s="697"/>
      <c r="AB48" s="697"/>
      <c r="AC48" s="697" t="s">
        <v>377</v>
      </c>
      <c r="AD48" s="697"/>
      <c r="AE48" s="862">
        <v>9.23</v>
      </c>
      <c r="AF48" s="863"/>
      <c r="AG48" s="864"/>
      <c r="AH48" s="700">
        <f>+[1]Summary!M31</f>
        <v>0</v>
      </c>
      <c r="AI48" s="697"/>
      <c r="AJ48" s="697"/>
      <c r="AK48" s="697">
        <f t="shared" si="1"/>
        <v>9.23</v>
      </c>
      <c r="AL48" s="697"/>
      <c r="AM48" s="697"/>
      <c r="AN48" s="697"/>
      <c r="AO48" s="697"/>
      <c r="AP48" s="697"/>
      <c r="AQ48" s="722"/>
    </row>
    <row r="52" spans="34:35">
      <c r="AH52" s="861"/>
      <c r="AI52" s="861"/>
    </row>
  </sheetData>
  <mergeCells count="248">
    <mergeCell ref="Z29:AB31"/>
    <mergeCell ref="E12:F15"/>
    <mergeCell ref="B17:C17"/>
    <mergeCell ref="B18:C18"/>
    <mergeCell ref="AO9:AP9"/>
    <mergeCell ref="AL9:AM9"/>
    <mergeCell ref="AI9:AJ9"/>
    <mergeCell ref="AF8:AG8"/>
    <mergeCell ref="AF9:AG9"/>
    <mergeCell ref="AF10:AG10"/>
    <mergeCell ref="AI10:AJ10"/>
    <mergeCell ref="AL10:AM10"/>
    <mergeCell ref="AO10:AP10"/>
    <mergeCell ref="AC9:AD10"/>
    <mergeCell ref="Z9:AA10"/>
    <mergeCell ref="W9:X10"/>
    <mergeCell ref="T9:U10"/>
    <mergeCell ref="AF24:AG24"/>
    <mergeCell ref="AC24:AD24"/>
    <mergeCell ref="AI24:AJ24"/>
    <mergeCell ref="W26:X26"/>
    <mergeCell ref="Z26:AA26"/>
    <mergeCell ref="H26:I26"/>
    <mergeCell ref="AL13:AM13"/>
    <mergeCell ref="E46:F46"/>
    <mergeCell ref="H46:I46"/>
    <mergeCell ref="K46:L46"/>
    <mergeCell ref="N45:O46"/>
    <mergeCell ref="P45:P46"/>
    <mergeCell ref="W46:X46"/>
    <mergeCell ref="Y46:AB46"/>
    <mergeCell ref="AC46:AD46"/>
    <mergeCell ref="F48:G48"/>
    <mergeCell ref="W48:X48"/>
    <mergeCell ref="Y48:AB48"/>
    <mergeCell ref="AC48:AD48"/>
    <mergeCell ref="E47:F47"/>
    <mergeCell ref="H47:I47"/>
    <mergeCell ref="K47:L47"/>
    <mergeCell ref="W47:X47"/>
    <mergeCell ref="J48:L48"/>
    <mergeCell ref="N47:O48"/>
    <mergeCell ref="AC47:AD47"/>
    <mergeCell ref="P47:P48"/>
    <mergeCell ref="R47:S48"/>
    <mergeCell ref="T47:U48"/>
    <mergeCell ref="Y47:AB47"/>
    <mergeCell ref="P43:P44"/>
    <mergeCell ref="AH52:AI52"/>
    <mergeCell ref="AE48:AG48"/>
    <mergeCell ref="AH48:AJ48"/>
    <mergeCell ref="AK48:AM48"/>
    <mergeCell ref="R39:S42"/>
    <mergeCell ref="T39:U42"/>
    <mergeCell ref="W40:X40"/>
    <mergeCell ref="Y40:AB40"/>
    <mergeCell ref="AC40:AD40"/>
    <mergeCell ref="R43:S46"/>
    <mergeCell ref="T43:U46"/>
    <mergeCell ref="AN44:AQ44"/>
    <mergeCell ref="W43:X43"/>
    <mergeCell ref="Y43:AB43"/>
    <mergeCell ref="AC43:AD43"/>
    <mergeCell ref="W41:X41"/>
    <mergeCell ref="Y41:AB41"/>
    <mergeCell ref="AC41:AD41"/>
    <mergeCell ref="AN48:AQ48"/>
    <mergeCell ref="AE47:AG47"/>
    <mergeCell ref="AH47:AJ47"/>
    <mergeCell ref="AK47:AM47"/>
    <mergeCell ref="AN47:AQ47"/>
    <mergeCell ref="AK46:AM46"/>
    <mergeCell ref="AN46:AQ46"/>
    <mergeCell ref="AN45:AQ45"/>
    <mergeCell ref="AE46:AG46"/>
    <mergeCell ref="AH46:AJ46"/>
    <mergeCell ref="AK45:AM45"/>
    <mergeCell ref="W37:AM38"/>
    <mergeCell ref="AN37:AQ37"/>
    <mergeCell ref="AN38:AQ38"/>
    <mergeCell ref="W39:X39"/>
    <mergeCell ref="Y39:AB39"/>
    <mergeCell ref="AC39:AD39"/>
    <mergeCell ref="AE45:AG45"/>
    <mergeCell ref="AH45:AJ45"/>
    <mergeCell ref="AH43:AJ43"/>
    <mergeCell ref="AK43:AM43"/>
    <mergeCell ref="AN41:AQ41"/>
    <mergeCell ref="AE40:AG40"/>
    <mergeCell ref="AH40:AJ40"/>
    <mergeCell ref="AK40:AM40"/>
    <mergeCell ref="AN42:AQ42"/>
    <mergeCell ref="AE43:AG43"/>
    <mergeCell ref="AN40:AQ40"/>
    <mergeCell ref="AE41:AG41"/>
    <mergeCell ref="AH41:AJ41"/>
    <mergeCell ref="AK41:AM41"/>
    <mergeCell ref="AN39:AQ39"/>
    <mergeCell ref="AN43:AQ43"/>
    <mergeCell ref="W44:X44"/>
    <mergeCell ref="Y44:AB44"/>
    <mergeCell ref="B45:D45"/>
    <mergeCell ref="AE39:AG39"/>
    <mergeCell ref="AH39:AJ39"/>
    <mergeCell ref="AK39:AM39"/>
    <mergeCell ref="W42:X42"/>
    <mergeCell ref="Y42:AB42"/>
    <mergeCell ref="AC42:AD42"/>
    <mergeCell ref="AE42:AG42"/>
    <mergeCell ref="AH42:AJ42"/>
    <mergeCell ref="AK42:AM42"/>
    <mergeCell ref="N41:O42"/>
    <mergeCell ref="P41:P42"/>
    <mergeCell ref="W45:X45"/>
    <mergeCell ref="Y45:AB45"/>
    <mergeCell ref="AC45:AD45"/>
    <mergeCell ref="E43:F43"/>
    <mergeCell ref="AC44:AD44"/>
    <mergeCell ref="AE44:AG44"/>
    <mergeCell ref="AH44:AJ44"/>
    <mergeCell ref="AK44:AM44"/>
    <mergeCell ref="B41:D41"/>
    <mergeCell ref="H43:I43"/>
    <mergeCell ref="K43:L43"/>
    <mergeCell ref="N43:O44"/>
    <mergeCell ref="B37:L37"/>
    <mergeCell ref="N37:V37"/>
    <mergeCell ref="B39:D39"/>
    <mergeCell ref="F39:G39"/>
    <mergeCell ref="I39:J39"/>
    <mergeCell ref="N39:O40"/>
    <mergeCell ref="P39:P40"/>
    <mergeCell ref="N33:O33"/>
    <mergeCell ref="T33:U33"/>
    <mergeCell ref="W33:X33"/>
    <mergeCell ref="W34:X34"/>
    <mergeCell ref="AO26:AP26"/>
    <mergeCell ref="B21:C21"/>
    <mergeCell ref="E21:F21"/>
    <mergeCell ref="H21:I21"/>
    <mergeCell ref="K21:L21"/>
    <mergeCell ref="N21:O21"/>
    <mergeCell ref="AL24:AM24"/>
    <mergeCell ref="AO24:AP24"/>
    <mergeCell ref="B34:C34"/>
    <mergeCell ref="E34:F34"/>
    <mergeCell ref="K34:L34"/>
    <mergeCell ref="N34:O34"/>
    <mergeCell ref="Q34:R34"/>
    <mergeCell ref="T34:U34"/>
    <mergeCell ref="Q33:R33"/>
    <mergeCell ref="B33:C33"/>
    <mergeCell ref="E33:F33"/>
    <mergeCell ref="H33:I33"/>
    <mergeCell ref="K33:L33"/>
    <mergeCell ref="AO21:AP21"/>
    <mergeCell ref="B26:C26"/>
    <mergeCell ref="E26:F26"/>
    <mergeCell ref="AO13:AP13"/>
    <mergeCell ref="B25:C25"/>
    <mergeCell ref="E25:F25"/>
    <mergeCell ref="H25:I25"/>
    <mergeCell ref="K25:L25"/>
    <mergeCell ref="AC26:AD26"/>
    <mergeCell ref="AF26:AG26"/>
    <mergeCell ref="AI26:AJ26"/>
    <mergeCell ref="AL26:AM26"/>
    <mergeCell ref="B13:C13"/>
    <mergeCell ref="H13:I13"/>
    <mergeCell ref="K13:L13"/>
    <mergeCell ref="N13:O13"/>
    <mergeCell ref="Q13:R13"/>
    <mergeCell ref="N25:O25"/>
    <mergeCell ref="AI25:AJ25"/>
    <mergeCell ref="AL25:AM25"/>
    <mergeCell ref="W25:X25"/>
    <mergeCell ref="Z25:AA25"/>
    <mergeCell ref="T13:U13"/>
    <mergeCell ref="AC21:AD21"/>
    <mergeCell ref="AF21:AG21"/>
    <mergeCell ref="AI21:AJ21"/>
    <mergeCell ref="AL21:AM21"/>
    <mergeCell ref="AO25:AP25"/>
    <mergeCell ref="A1:AQ1"/>
    <mergeCell ref="AS1:AX1"/>
    <mergeCell ref="Q2:AA2"/>
    <mergeCell ref="AK2:AM2"/>
    <mergeCell ref="K5:L5"/>
    <mergeCell ref="N5:O5"/>
    <mergeCell ref="AI5:AJ5"/>
    <mergeCell ref="H4:I7"/>
    <mergeCell ref="B8:C8"/>
    <mergeCell ref="E8:F8"/>
    <mergeCell ref="B9:C9"/>
    <mergeCell ref="E9:F9"/>
    <mergeCell ref="AN2:AQ2"/>
    <mergeCell ref="Q5:R5"/>
    <mergeCell ref="T5:U5"/>
    <mergeCell ref="H17:I17"/>
    <mergeCell ref="Z18:AA18"/>
    <mergeCell ref="Q21:R21"/>
    <mergeCell ref="T21:U21"/>
    <mergeCell ref="W21:X21"/>
    <mergeCell ref="Z21:AA21"/>
    <mergeCell ref="AC25:AD25"/>
    <mergeCell ref="AF25:AG25"/>
    <mergeCell ref="AL5:AM5"/>
    <mergeCell ref="AO5:AP5"/>
    <mergeCell ref="W5:X5"/>
    <mergeCell ref="Z5:AA5"/>
    <mergeCell ref="AC5:AD5"/>
    <mergeCell ref="AF5:AG5"/>
    <mergeCell ref="K18:L18"/>
    <mergeCell ref="N18:O18"/>
    <mergeCell ref="Q18:R18"/>
    <mergeCell ref="T18:U18"/>
    <mergeCell ref="Q17:R17"/>
    <mergeCell ref="T17:U17"/>
    <mergeCell ref="K17:L17"/>
    <mergeCell ref="N17:O17"/>
    <mergeCell ref="AF17:AG17"/>
    <mergeCell ref="AO18:AP18"/>
    <mergeCell ref="W18:X18"/>
    <mergeCell ref="AI17:AJ17"/>
    <mergeCell ref="AL17:AM17"/>
    <mergeCell ref="AO17:AP17"/>
    <mergeCell ref="W17:X17"/>
    <mergeCell ref="Z17:AA17"/>
    <mergeCell ref="AC17:AD17"/>
    <mergeCell ref="AI13:AJ13"/>
    <mergeCell ref="AI18:AJ18"/>
    <mergeCell ref="AL18:AM18"/>
    <mergeCell ref="H18:I18"/>
    <mergeCell ref="Q9:R10"/>
    <mergeCell ref="N9:O10"/>
    <mergeCell ref="K9:L10"/>
    <mergeCell ref="H9:I10"/>
    <mergeCell ref="K26:L26"/>
    <mergeCell ref="N26:O26"/>
    <mergeCell ref="Q26:R26"/>
    <mergeCell ref="T26:U26"/>
    <mergeCell ref="AC13:AD13"/>
    <mergeCell ref="AF13:AG13"/>
    <mergeCell ref="W13:X13"/>
    <mergeCell ref="Z13:AA13"/>
    <mergeCell ref="Q25:R25"/>
    <mergeCell ref="AC18:AD18"/>
    <mergeCell ref="AF18:AG18"/>
  </mergeCells>
  <conditionalFormatting sqref="E44">
    <cfRule type="containsText" dxfId="27" priority="5" operator="containsText" text="Str">
      <formula>NOT(ISERROR(SEARCH("Str",E44)))</formula>
    </cfRule>
    <cfRule type="containsText" dxfId="26" priority="6" operator="containsText" text="Ere">
      <formula>NOT(ISERROR(SEARCH("Ere",E44)))</formula>
    </cfRule>
    <cfRule type="containsText" dxfId="25" priority="7" operator="containsText" text="Ear">
      <formula>NOT(ISERROR(SEARCH("Ear",E44)))</formula>
    </cfRule>
    <cfRule type="containsText" dxfId="24" priority="8" operator="containsText" text="fnd">
      <formula>NOT(ISERROR(SEARCH("fnd",E44)))</formula>
    </cfRule>
  </conditionalFormatting>
  <conditionalFormatting sqref="E45:F45">
    <cfRule type="containsText" dxfId="23" priority="9" operator="containsText" text="Str">
      <formula>NOT(ISERROR(SEARCH("Str",E45)))</formula>
    </cfRule>
    <cfRule type="containsText" dxfId="22" priority="10" operator="containsText" text="Ere">
      <formula>NOT(ISERROR(SEARCH("Ere",E45)))</formula>
    </cfRule>
    <cfRule type="containsText" dxfId="21" priority="11" operator="containsText" text="Ear">
      <formula>NOT(ISERROR(SEARCH("Ear",E45)))</formula>
    </cfRule>
    <cfRule type="containsText" dxfId="20" priority="12" operator="containsText" text="fnd">
      <formula>NOT(ISERROR(SEARCH("fnd",E45)))</formula>
    </cfRule>
  </conditionalFormatting>
  <conditionalFormatting sqref="K44:K45">
    <cfRule type="containsText" dxfId="19" priority="13" operator="containsText" text="Str">
      <formula>NOT(ISERROR(SEARCH("Str",K44)))</formula>
    </cfRule>
    <cfRule type="containsText" dxfId="18" priority="14" operator="containsText" text="Ere">
      <formula>NOT(ISERROR(SEARCH("Ere",K44)))</formula>
    </cfRule>
    <cfRule type="containsText" dxfId="17" priority="15" operator="containsText" text="Ear">
      <formula>NOT(ISERROR(SEARCH("Ear",K44)))</formula>
    </cfRule>
    <cfRule type="containsText" dxfId="16" priority="16" operator="containsText" text="fnd">
      <formula>NOT(ISERROR(SEARCH("fnd",K44)))</formula>
    </cfRule>
  </conditionalFormatting>
  <conditionalFormatting sqref="O38">
    <cfRule type="containsText" dxfId="15" priority="1" operator="containsText" text="Str">
      <formula>NOT(ISERROR(SEARCH("Str",O38)))</formula>
    </cfRule>
    <cfRule type="containsText" dxfId="14" priority="2" operator="containsText" text="Ere">
      <formula>NOT(ISERROR(SEARCH("Ere",O38)))</formula>
    </cfRule>
    <cfRule type="containsText" dxfId="13" priority="3" operator="containsText" text="Ear">
      <formula>NOT(ISERROR(SEARCH("Ear",O38)))</formula>
    </cfRule>
    <cfRule type="containsText" dxfId="12" priority="4" operator="containsText" text="fnd">
      <formula>NOT(ISERROR(SEARCH("fnd",O38)))</formula>
    </cfRule>
  </conditionalFormatting>
  <conditionalFormatting sqref="W15:X15">
    <cfRule type="containsText" dxfId="11" priority="17" operator="containsText" text="Str">
      <formula>NOT(ISERROR(SEARCH("Str",W15)))</formula>
    </cfRule>
    <cfRule type="containsText" dxfId="10" priority="18" operator="containsText" text="Ere">
      <formula>NOT(ISERROR(SEARCH("Ere",W15)))</formula>
    </cfRule>
    <cfRule type="containsText" dxfId="9" priority="19" operator="containsText" text="Ear">
      <formula>NOT(ISERROR(SEARCH("Ear",W15)))</formula>
    </cfRule>
    <cfRule type="containsText" dxfId="8" priority="20" operator="containsText" text="fnd">
      <formula>NOT(ISERROR(SEARCH("fnd",W15)))</formula>
    </cfRule>
  </conditionalFormatting>
  <conditionalFormatting sqref="AO23">
    <cfRule type="containsText" dxfId="7" priority="21" operator="containsText" text="Str">
      <formula>NOT(ISERROR(SEARCH("Str",AO23)))</formula>
    </cfRule>
    <cfRule type="containsText" dxfId="6" priority="22" operator="containsText" text="Ere">
      <formula>NOT(ISERROR(SEARCH("Ere",AO23)))</formula>
    </cfRule>
    <cfRule type="containsText" dxfId="5" priority="23" operator="containsText" text="Ear">
      <formula>NOT(ISERROR(SEARCH("Ear",AO23)))</formula>
    </cfRule>
    <cfRule type="containsText" dxfId="4" priority="24" operator="containsText" text="fnd">
      <formula>NOT(ISERROR(SEARCH("fnd",AO23)))</formula>
    </cfRule>
  </conditionalFormatting>
  <conditionalFormatting sqref="AS2:AU2 AW2:AX2">
    <cfRule type="containsText" dxfId="3" priority="25" operator="containsText" text="Str">
      <formula>NOT(ISERROR(SEARCH("Str",AS2)))</formula>
    </cfRule>
    <cfRule type="containsText" dxfId="2" priority="26" operator="containsText" text="Ere">
      <formula>NOT(ISERROR(SEARCH("Ere",AS2)))</formula>
    </cfRule>
    <cfRule type="containsText" dxfId="1" priority="27" operator="containsText" text="Ear">
      <formula>NOT(ISERROR(SEARCH("Ear",AS2)))</formula>
    </cfRule>
    <cfRule type="containsText" dxfId="0" priority="28" operator="containsText" text="fnd">
      <formula>NOT(ISERROR(SEARCH("fnd",AS2)))</formula>
    </cfRule>
  </conditionalFormatting>
  <pageMargins left="0.196850393700787" right="0.118110236220472" top="0.35433070866141703" bottom="0.35433070866141703" header="0.31496062992126" footer="0.31496062992126"/>
  <pageSetup paperSize="8" scale="81" fitToHeight="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6"/>
  <sheetViews>
    <sheetView topLeftCell="A21" workbookViewId="0">
      <selection activeCell="H22" sqref="H22"/>
    </sheetView>
  </sheetViews>
  <sheetFormatPr defaultColWidth="14.42578125" defaultRowHeight="15" customHeight="1"/>
  <cols>
    <col min="1" max="1" width="6.7109375" customWidth="1"/>
    <col min="2" max="2" width="16.7109375" customWidth="1"/>
    <col min="3" max="4" width="8.7109375" customWidth="1"/>
    <col min="5" max="5" width="10.7109375" customWidth="1"/>
    <col min="6" max="6" width="8.7109375" customWidth="1"/>
    <col min="7" max="7" width="9.140625" customWidth="1"/>
    <col min="8" max="8" width="18" customWidth="1"/>
    <col min="9" max="26" width="8.7109375" customWidth="1"/>
  </cols>
  <sheetData>
    <row r="1" spans="1:8" ht="18" customHeight="1">
      <c r="A1" s="895" t="str">
        <f>+Summary!A2</f>
        <v>Name of the Line: 220KV DC AL59 line from Neemuch - Chanderiya + 132KV DC ACSS Line from Chanderiya to Hindustan Zinc</v>
      </c>
      <c r="B1" s="585"/>
      <c r="C1" s="585"/>
      <c r="D1" s="585"/>
      <c r="E1" s="585"/>
      <c r="F1" s="585"/>
      <c r="G1" s="585"/>
      <c r="H1" s="896"/>
    </row>
    <row r="2" spans="1:8" ht="14.25" customHeight="1">
      <c r="A2" s="897" t="s">
        <v>647</v>
      </c>
      <c r="B2" s="593"/>
      <c r="C2" s="593"/>
      <c r="D2" s="593"/>
      <c r="E2" s="593"/>
      <c r="F2" s="593"/>
      <c r="G2" s="592"/>
      <c r="H2" s="234">
        <f>+Summary!R5</f>
        <v>46162</v>
      </c>
    </row>
    <row r="3" spans="1:8" ht="14.25" customHeight="1">
      <c r="A3" s="235" t="s">
        <v>2</v>
      </c>
      <c r="B3" s="9" t="s">
        <v>648</v>
      </c>
      <c r="C3" s="9" t="s">
        <v>357</v>
      </c>
      <c r="D3" s="9" t="s">
        <v>649</v>
      </c>
      <c r="E3" s="9" t="s">
        <v>650</v>
      </c>
      <c r="F3" s="9" t="s">
        <v>651</v>
      </c>
      <c r="G3" s="9" t="s">
        <v>372</v>
      </c>
      <c r="H3" s="236" t="s">
        <v>15</v>
      </c>
    </row>
    <row r="4" spans="1:8" ht="14.25" customHeight="1">
      <c r="A4" s="237">
        <v>1</v>
      </c>
      <c r="B4" s="214" t="s">
        <v>652</v>
      </c>
      <c r="C4" s="5" t="s">
        <v>380</v>
      </c>
      <c r="D4" s="5">
        <v>199</v>
      </c>
      <c r="E4" s="5">
        <v>202</v>
      </c>
      <c r="F4" s="5">
        <v>202</v>
      </c>
      <c r="G4" s="5">
        <f>E4-F4</f>
        <v>0</v>
      </c>
      <c r="H4" s="894"/>
    </row>
    <row r="5" spans="1:8" ht="14.25" customHeight="1">
      <c r="A5" s="237"/>
      <c r="B5" s="5" t="s">
        <v>653</v>
      </c>
      <c r="C5" s="5" t="s">
        <v>380</v>
      </c>
      <c r="D5" s="15"/>
      <c r="E5" s="15">
        <v>117</v>
      </c>
      <c r="F5" s="15">
        <v>117</v>
      </c>
      <c r="G5" s="5">
        <f t="shared" ref="G5:G17" si="0">E5-F5</f>
        <v>0</v>
      </c>
      <c r="H5" s="892"/>
    </row>
    <row r="6" spans="1:8" ht="14.25" customHeight="1">
      <c r="A6" s="237"/>
      <c r="B6" s="5" t="s">
        <v>654</v>
      </c>
      <c r="C6" s="5" t="s">
        <v>380</v>
      </c>
      <c r="D6" s="15"/>
      <c r="E6" s="15">
        <v>39</v>
      </c>
      <c r="F6" s="15">
        <v>39</v>
      </c>
      <c r="G6" s="5">
        <f t="shared" si="0"/>
        <v>0</v>
      </c>
      <c r="H6" s="892"/>
    </row>
    <row r="7" spans="1:8" ht="14.25" customHeight="1">
      <c r="A7" s="237"/>
      <c r="B7" s="5" t="s">
        <v>655</v>
      </c>
      <c r="C7" s="5" t="s">
        <v>380</v>
      </c>
      <c r="D7" s="15"/>
      <c r="E7" s="15">
        <v>20</v>
      </c>
      <c r="F7" s="15">
        <v>20</v>
      </c>
      <c r="G7" s="5">
        <f t="shared" si="0"/>
        <v>0</v>
      </c>
      <c r="H7" s="892"/>
    </row>
    <row r="8" spans="1:8" ht="14.25" customHeight="1">
      <c r="A8" s="237"/>
      <c r="B8" s="5" t="s">
        <v>656</v>
      </c>
      <c r="C8" s="5" t="s">
        <v>380</v>
      </c>
      <c r="D8" s="15"/>
      <c r="E8" s="15">
        <v>18</v>
      </c>
      <c r="F8" s="15">
        <v>18</v>
      </c>
      <c r="G8" s="5">
        <f t="shared" si="0"/>
        <v>0</v>
      </c>
      <c r="H8" s="892"/>
    </row>
    <row r="9" spans="1:8" ht="14.25" customHeight="1">
      <c r="A9" s="237"/>
      <c r="B9" s="5" t="s">
        <v>260</v>
      </c>
      <c r="C9" s="5" t="s">
        <v>380</v>
      </c>
      <c r="D9" s="15"/>
      <c r="E9" s="15">
        <v>6</v>
      </c>
      <c r="F9" s="15">
        <v>6</v>
      </c>
      <c r="G9" s="5">
        <f t="shared" si="0"/>
        <v>0</v>
      </c>
      <c r="H9" s="892"/>
    </row>
    <row r="10" spans="1:8" ht="14.25" customHeight="1">
      <c r="A10" s="237"/>
      <c r="B10" s="5" t="s">
        <v>657</v>
      </c>
      <c r="C10" s="5" t="s">
        <v>380</v>
      </c>
      <c r="D10" s="15"/>
      <c r="E10" s="15">
        <v>2</v>
      </c>
      <c r="F10" s="15">
        <v>2</v>
      </c>
      <c r="G10" s="5">
        <f t="shared" si="0"/>
        <v>0</v>
      </c>
      <c r="H10" s="893"/>
    </row>
    <row r="11" spans="1:8" ht="14.25" customHeight="1">
      <c r="A11" s="237">
        <v>2</v>
      </c>
      <c r="B11" s="214" t="s">
        <v>658</v>
      </c>
      <c r="C11" s="5" t="s">
        <v>380</v>
      </c>
      <c r="D11" s="5">
        <v>199</v>
      </c>
      <c r="E11" s="5">
        <v>202</v>
      </c>
      <c r="F11" s="5">
        <v>202</v>
      </c>
      <c r="G11" s="5">
        <f t="shared" si="0"/>
        <v>0</v>
      </c>
      <c r="H11" s="894"/>
    </row>
    <row r="12" spans="1:8" ht="14.25" customHeight="1">
      <c r="A12" s="237"/>
      <c r="B12" s="5" t="s">
        <v>653</v>
      </c>
      <c r="C12" s="5" t="s">
        <v>380</v>
      </c>
      <c r="D12" s="15"/>
      <c r="E12" s="15">
        <v>117</v>
      </c>
      <c r="F12" s="15">
        <v>117</v>
      </c>
      <c r="G12" s="5">
        <f t="shared" si="0"/>
        <v>0</v>
      </c>
      <c r="H12" s="892"/>
    </row>
    <row r="13" spans="1:8" ht="14.25" customHeight="1">
      <c r="A13" s="237"/>
      <c r="B13" s="5" t="s">
        <v>654</v>
      </c>
      <c r="C13" s="5" t="s">
        <v>380</v>
      </c>
      <c r="D13" s="15"/>
      <c r="E13" s="15">
        <v>39</v>
      </c>
      <c r="F13" s="15">
        <v>39</v>
      </c>
      <c r="G13" s="5">
        <f t="shared" si="0"/>
        <v>0</v>
      </c>
      <c r="H13" s="892"/>
    </row>
    <row r="14" spans="1:8" ht="14.25" customHeight="1">
      <c r="A14" s="237"/>
      <c r="B14" s="5" t="s">
        <v>655</v>
      </c>
      <c r="C14" s="5" t="s">
        <v>380</v>
      </c>
      <c r="D14" s="15"/>
      <c r="E14" s="15">
        <v>20</v>
      </c>
      <c r="F14" s="15">
        <v>20</v>
      </c>
      <c r="G14" s="5">
        <f t="shared" si="0"/>
        <v>0</v>
      </c>
      <c r="H14" s="892"/>
    </row>
    <row r="15" spans="1:8" ht="14.25" customHeight="1">
      <c r="A15" s="238"/>
      <c r="B15" s="5" t="s">
        <v>656</v>
      </c>
      <c r="C15" s="5" t="s">
        <v>380</v>
      </c>
      <c r="D15" s="15"/>
      <c r="E15" s="15">
        <v>18</v>
      </c>
      <c r="F15" s="15">
        <v>18</v>
      </c>
      <c r="G15" s="5">
        <f t="shared" si="0"/>
        <v>0</v>
      </c>
      <c r="H15" s="893"/>
    </row>
    <row r="16" spans="1:8" ht="14.25" customHeight="1">
      <c r="A16" s="238"/>
      <c r="B16" s="5" t="s">
        <v>260</v>
      </c>
      <c r="C16" s="5" t="s">
        <v>380</v>
      </c>
      <c r="D16" s="15"/>
      <c r="E16" s="15">
        <v>6</v>
      </c>
      <c r="F16" s="15">
        <v>6</v>
      </c>
      <c r="G16" s="5">
        <f t="shared" si="0"/>
        <v>0</v>
      </c>
    </row>
    <row r="17" spans="1:8" ht="14.25" customHeight="1">
      <c r="A17" s="238"/>
      <c r="B17" s="5" t="s">
        <v>657</v>
      </c>
      <c r="C17" s="5" t="s">
        <v>380</v>
      </c>
      <c r="D17" s="15"/>
      <c r="E17" s="15">
        <v>2</v>
      </c>
      <c r="F17" s="15">
        <v>2</v>
      </c>
      <c r="G17" s="5">
        <f t="shared" si="0"/>
        <v>0</v>
      </c>
      <c r="H17" s="239"/>
    </row>
    <row r="18" spans="1:8" ht="14.25" customHeight="1">
      <c r="A18" s="237">
        <v>3</v>
      </c>
      <c r="B18" s="214" t="s">
        <v>659</v>
      </c>
      <c r="C18" s="5" t="s">
        <v>660</v>
      </c>
      <c r="D18" s="240">
        <v>1</v>
      </c>
      <c r="E18" s="240"/>
      <c r="F18" s="240">
        <v>1</v>
      </c>
      <c r="G18" s="240">
        <f>+D18-F18</f>
        <v>0</v>
      </c>
      <c r="H18" s="241"/>
    </row>
    <row r="19" spans="1:8" ht="14.25" customHeight="1">
      <c r="A19" s="242">
        <v>4</v>
      </c>
      <c r="B19" s="214" t="s">
        <v>661</v>
      </c>
      <c r="C19" s="5" t="s">
        <v>660</v>
      </c>
      <c r="D19" s="240">
        <v>1</v>
      </c>
      <c r="E19" s="240"/>
      <c r="F19" s="240">
        <v>1</v>
      </c>
      <c r="G19" s="240">
        <f t="shared" ref="G19:G20" si="1">+D19-F19</f>
        <v>0</v>
      </c>
      <c r="H19" s="241"/>
    </row>
    <row r="20" spans="1:8" ht="14.25" customHeight="1">
      <c r="A20" s="243">
        <v>5</v>
      </c>
      <c r="B20" s="244" t="s">
        <v>390</v>
      </c>
      <c r="C20" s="245" t="s">
        <v>660</v>
      </c>
      <c r="D20" s="246">
        <v>1</v>
      </c>
      <c r="E20" s="246"/>
      <c r="F20" s="246">
        <v>1</v>
      </c>
      <c r="G20" s="246">
        <f t="shared" si="1"/>
        <v>0</v>
      </c>
      <c r="H20" s="247"/>
    </row>
    <row r="21" spans="1:8" ht="14.25" customHeight="1"/>
    <row r="22" spans="1:8" ht="14.25" customHeight="1">
      <c r="A22" s="897" t="s">
        <v>662</v>
      </c>
      <c r="B22" s="593"/>
      <c r="C22" s="593"/>
      <c r="D22" s="593"/>
      <c r="E22" s="593"/>
      <c r="F22" s="593"/>
      <c r="G22" s="592"/>
      <c r="H22" s="234">
        <f>+Summary!R5</f>
        <v>46162</v>
      </c>
    </row>
    <row r="23" spans="1:8" ht="14.25" customHeight="1">
      <c r="A23" s="235" t="s">
        <v>2</v>
      </c>
      <c r="B23" s="9" t="s">
        <v>648</v>
      </c>
      <c r="C23" s="9" t="s">
        <v>357</v>
      </c>
      <c r="D23" s="9" t="s">
        <v>649</v>
      </c>
      <c r="E23" s="9" t="s">
        <v>650</v>
      </c>
      <c r="F23" s="9" t="s">
        <v>651</v>
      </c>
      <c r="G23" s="9" t="s">
        <v>372</v>
      </c>
      <c r="H23" s="236" t="s">
        <v>15</v>
      </c>
    </row>
    <row r="24" spans="1:8" ht="14.25" customHeight="1">
      <c r="A24" s="237">
        <v>1</v>
      </c>
      <c r="B24" s="214" t="s">
        <v>652</v>
      </c>
      <c r="C24" s="5" t="s">
        <v>380</v>
      </c>
      <c r="D24" s="5">
        <v>36</v>
      </c>
      <c r="E24" s="5">
        <v>36</v>
      </c>
      <c r="F24" s="5">
        <v>36</v>
      </c>
      <c r="G24" s="5">
        <f>+D24-F24</f>
        <v>0</v>
      </c>
      <c r="H24" s="891"/>
    </row>
    <row r="25" spans="1:8" ht="14.25" customHeight="1">
      <c r="A25" s="237"/>
      <c r="B25" s="5" t="s">
        <v>18</v>
      </c>
      <c r="C25" s="5" t="s">
        <v>380</v>
      </c>
      <c r="D25" s="15">
        <v>9</v>
      </c>
      <c r="E25" s="15">
        <v>9</v>
      </c>
      <c r="F25" s="15">
        <v>9</v>
      </c>
      <c r="G25" s="5">
        <f>+D25-F25</f>
        <v>0</v>
      </c>
      <c r="H25" s="892"/>
    </row>
    <row r="26" spans="1:8" ht="14.25" customHeight="1">
      <c r="A26" s="237"/>
      <c r="B26" s="5" t="s">
        <v>21</v>
      </c>
      <c r="C26" s="5" t="s">
        <v>380</v>
      </c>
      <c r="D26" s="15">
        <v>20</v>
      </c>
      <c r="E26" s="15">
        <v>20</v>
      </c>
      <c r="F26" s="15">
        <v>20</v>
      </c>
      <c r="G26" s="5">
        <v>0</v>
      </c>
      <c r="H26" s="893"/>
    </row>
    <row r="27" spans="1:8" ht="14.25" customHeight="1">
      <c r="A27" s="237"/>
      <c r="B27" s="5" t="s">
        <v>626</v>
      </c>
      <c r="C27" s="5" t="s">
        <v>380</v>
      </c>
      <c r="D27" s="15">
        <v>6</v>
      </c>
      <c r="E27" s="15">
        <v>6</v>
      </c>
      <c r="F27" s="15">
        <v>6</v>
      </c>
      <c r="G27" s="5">
        <f t="shared" ref="G27:G28" si="2">+D27-F27</f>
        <v>0</v>
      </c>
      <c r="H27" s="248"/>
    </row>
    <row r="28" spans="1:8" ht="14.25" customHeight="1">
      <c r="A28" s="237"/>
      <c r="B28" s="5" t="s">
        <v>663</v>
      </c>
      <c r="C28" s="5" t="s">
        <v>380</v>
      </c>
      <c r="D28" s="15">
        <v>1</v>
      </c>
      <c r="E28" s="15">
        <v>1</v>
      </c>
      <c r="F28" s="15">
        <v>1</v>
      </c>
      <c r="G28" s="5">
        <f t="shared" si="2"/>
        <v>0</v>
      </c>
      <c r="H28" s="248"/>
    </row>
    <row r="29" spans="1:8" ht="14.25" customHeight="1">
      <c r="A29" s="237">
        <v>2</v>
      </c>
      <c r="B29" s="214" t="s">
        <v>658</v>
      </c>
      <c r="C29" s="5" t="s">
        <v>380</v>
      </c>
      <c r="D29" s="5">
        <v>36</v>
      </c>
      <c r="E29" s="5">
        <v>36</v>
      </c>
      <c r="F29" s="5">
        <v>36</v>
      </c>
      <c r="G29" s="5">
        <f>+D29-F29</f>
        <v>0</v>
      </c>
      <c r="H29" s="894"/>
    </row>
    <row r="30" spans="1:8" ht="14.25" customHeight="1">
      <c r="A30" s="237"/>
      <c r="B30" s="5" t="s">
        <v>18</v>
      </c>
      <c r="C30" s="5" t="s">
        <v>380</v>
      </c>
      <c r="D30" s="15">
        <v>9</v>
      </c>
      <c r="E30" s="15">
        <v>9</v>
      </c>
      <c r="F30" s="15">
        <v>9</v>
      </c>
      <c r="G30" s="5">
        <f>+D30-F30</f>
        <v>0</v>
      </c>
      <c r="H30" s="892"/>
    </row>
    <row r="31" spans="1:8" ht="14.25" customHeight="1">
      <c r="A31" s="238"/>
      <c r="B31" s="5" t="s">
        <v>21</v>
      </c>
      <c r="C31" s="5" t="s">
        <v>380</v>
      </c>
      <c r="D31" s="15">
        <v>20</v>
      </c>
      <c r="E31" s="15">
        <v>20</v>
      </c>
      <c r="F31" s="15">
        <v>20</v>
      </c>
      <c r="G31" s="5">
        <f t="shared" ref="G31:G33" si="3">+D31-F31</f>
        <v>0</v>
      </c>
      <c r="H31" s="893"/>
    </row>
    <row r="32" spans="1:8" ht="14.25" customHeight="1">
      <c r="A32" s="238"/>
      <c r="B32" s="5" t="s">
        <v>626</v>
      </c>
      <c r="C32" s="5" t="s">
        <v>380</v>
      </c>
      <c r="D32" s="15">
        <v>6</v>
      </c>
      <c r="E32" s="15">
        <v>6</v>
      </c>
      <c r="F32" s="15">
        <v>6</v>
      </c>
      <c r="G32" s="5">
        <f t="shared" si="3"/>
        <v>0</v>
      </c>
      <c r="H32" s="241"/>
    </row>
    <row r="33" spans="1:8" ht="14.25" customHeight="1">
      <c r="A33" s="238"/>
      <c r="B33" s="5" t="s">
        <v>663</v>
      </c>
      <c r="C33" s="5" t="s">
        <v>380</v>
      </c>
      <c r="D33" s="15">
        <v>1</v>
      </c>
      <c r="E33" s="15">
        <v>1</v>
      </c>
      <c r="F33" s="15">
        <v>1</v>
      </c>
      <c r="G33" s="5">
        <f t="shared" si="3"/>
        <v>0</v>
      </c>
      <c r="H33" s="249"/>
    </row>
    <row r="34" spans="1:8" ht="14.25" customHeight="1">
      <c r="A34" s="237">
        <v>3</v>
      </c>
      <c r="B34" s="214" t="s">
        <v>659</v>
      </c>
      <c r="C34" s="5" t="s">
        <v>660</v>
      </c>
      <c r="D34" s="240">
        <v>1</v>
      </c>
      <c r="E34" s="240"/>
      <c r="F34" s="240">
        <v>1</v>
      </c>
      <c r="G34" s="240">
        <f t="shared" ref="G34:G36" si="4">+D34-F34</f>
        <v>0</v>
      </c>
      <c r="H34" s="241"/>
    </row>
    <row r="35" spans="1:8" ht="14.25" customHeight="1">
      <c r="A35" s="242">
        <v>4</v>
      </c>
      <c r="B35" s="214" t="s">
        <v>661</v>
      </c>
      <c r="C35" s="5" t="s">
        <v>660</v>
      </c>
      <c r="D35" s="240">
        <v>1</v>
      </c>
      <c r="E35" s="240"/>
      <c r="F35" s="240">
        <v>1</v>
      </c>
      <c r="G35" s="240">
        <f t="shared" si="4"/>
        <v>0</v>
      </c>
      <c r="H35" s="241"/>
    </row>
    <row r="36" spans="1:8" ht="14.25" customHeight="1">
      <c r="A36" s="243">
        <v>5</v>
      </c>
      <c r="B36" s="244" t="s">
        <v>390</v>
      </c>
      <c r="C36" s="245" t="s">
        <v>660</v>
      </c>
      <c r="D36" s="246">
        <v>1</v>
      </c>
      <c r="E36" s="246"/>
      <c r="F36" s="246">
        <v>1</v>
      </c>
      <c r="G36" s="246">
        <f t="shared" si="4"/>
        <v>0</v>
      </c>
      <c r="H36" s="247"/>
    </row>
  </sheetData>
  <mergeCells count="7">
    <mergeCell ref="H24:H26"/>
    <mergeCell ref="H29:H31"/>
    <mergeCell ref="A1:H1"/>
    <mergeCell ref="A2:G2"/>
    <mergeCell ref="H4:H10"/>
    <mergeCell ref="H11:H15"/>
    <mergeCell ref="A22:G22"/>
  </mergeCells>
  <pageMargins left="0.7" right="0.7" top="0.75" bottom="0.75" header="0" footer="0"/>
  <pageSetup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pageSetUpPr fitToPage="1"/>
  </sheetPr>
  <dimension ref="A1:R27"/>
  <sheetViews>
    <sheetView tabSelected="1" workbookViewId="0">
      <selection sqref="A1:P27"/>
    </sheetView>
  </sheetViews>
  <sheetFormatPr defaultColWidth="14.42578125" defaultRowHeight="15" customHeight="1"/>
  <cols>
    <col min="1" max="1" width="5" customWidth="1"/>
    <col min="2" max="2" width="15.7109375" customWidth="1"/>
    <col min="3" max="3" width="7.28515625" customWidth="1"/>
    <col min="4" max="4" width="7.5703125" customWidth="1"/>
    <col min="5" max="6" width="11.5703125" customWidth="1"/>
    <col min="7" max="7" width="9.42578125" customWidth="1"/>
    <col min="8" max="8" width="9" customWidth="1"/>
    <col min="9" max="9" width="8.7109375" customWidth="1"/>
    <col min="10" max="11" width="10.5703125" customWidth="1"/>
    <col min="12" max="12" width="7.85546875" customWidth="1"/>
    <col min="13" max="13" width="8.85546875" customWidth="1"/>
    <col min="14" max="15" width="9.28515625" customWidth="1"/>
    <col min="16" max="16" width="42.42578125" style="391" customWidth="1"/>
    <col min="17" max="26" width="9.140625" customWidth="1"/>
  </cols>
  <sheetData>
    <row r="1" spans="1:18" ht="20.25" customHeight="1">
      <c r="A1" s="584" t="str">
        <f>+Summary!A5</f>
        <v>Progress of 220kV Line</v>
      </c>
      <c r="B1" s="585"/>
      <c r="C1" s="585"/>
      <c r="D1" s="585"/>
      <c r="E1" s="585"/>
      <c r="F1" s="585"/>
      <c r="G1" s="585"/>
      <c r="H1" s="585"/>
      <c r="I1" s="585"/>
      <c r="J1" s="585"/>
      <c r="K1" s="585"/>
      <c r="L1" s="585"/>
      <c r="M1" s="585"/>
      <c r="N1" s="585"/>
      <c r="O1" s="250" t="s">
        <v>670</v>
      </c>
      <c r="P1" s="251">
        <f>+Summary!R5</f>
        <v>46162</v>
      </c>
      <c r="Q1" s="252"/>
      <c r="R1" s="252" t="s">
        <v>0</v>
      </c>
    </row>
    <row r="2" spans="1:18" ht="29.25" customHeight="1">
      <c r="A2" s="586" t="s">
        <v>355</v>
      </c>
      <c r="B2" s="588" t="s">
        <v>671</v>
      </c>
      <c r="C2" s="588" t="s">
        <v>357</v>
      </c>
      <c r="D2" s="590" t="s">
        <v>672</v>
      </c>
      <c r="E2" s="591" t="s">
        <v>673</v>
      </c>
      <c r="F2" s="592"/>
      <c r="G2" s="591" t="str">
        <f>+Summary!I6</f>
        <v>Progress of Current Month (May'26)</v>
      </c>
      <c r="H2" s="593"/>
      <c r="I2" s="592"/>
      <c r="J2" s="591" t="s">
        <v>361</v>
      </c>
      <c r="K2" s="593"/>
      <c r="L2" s="592"/>
      <c r="M2" s="591" t="str">
        <f>+Summary!O6</f>
        <v>Resources Status</v>
      </c>
      <c r="N2" s="593"/>
      <c r="O2" s="592"/>
      <c r="P2" s="594" t="s">
        <v>15</v>
      </c>
      <c r="Q2" s="252"/>
      <c r="R2" s="252"/>
    </row>
    <row r="3" spans="1:18" ht="12.75" customHeight="1">
      <c r="A3" s="587"/>
      <c r="B3" s="589"/>
      <c r="C3" s="589"/>
      <c r="D3" s="589"/>
      <c r="E3" s="253" t="s">
        <v>674</v>
      </c>
      <c r="F3" s="253" t="s">
        <v>675</v>
      </c>
      <c r="G3" s="253" t="s">
        <v>676</v>
      </c>
      <c r="H3" s="253" t="s">
        <v>677</v>
      </c>
      <c r="I3" s="253" t="s">
        <v>678</v>
      </c>
      <c r="J3" s="253" t="s">
        <v>676</v>
      </c>
      <c r="K3" s="253" t="s">
        <v>32</v>
      </c>
      <c r="L3" s="253" t="s">
        <v>372</v>
      </c>
      <c r="M3" s="254" t="str">
        <f>+Summary!O7</f>
        <v>Targeted Gang</v>
      </c>
      <c r="N3" s="254" t="str">
        <f>+Summary!P7</f>
        <v>Available Gang</v>
      </c>
      <c r="O3" s="254" t="str">
        <f>+Summary!Q7</f>
        <v>Shortfall
Gang</v>
      </c>
      <c r="P3" s="595"/>
      <c r="Q3" s="252"/>
      <c r="R3" s="252"/>
    </row>
    <row r="4" spans="1:18" ht="12.75" customHeight="1">
      <c r="A4" s="255">
        <v>1</v>
      </c>
      <c r="B4" s="256" t="s">
        <v>376</v>
      </c>
      <c r="C4" s="257" t="s">
        <v>679</v>
      </c>
      <c r="D4" s="258">
        <f>+Summary!D8</f>
        <v>64</v>
      </c>
      <c r="E4" s="258">
        <f>+Summary!G8</f>
        <v>64</v>
      </c>
      <c r="F4" s="258">
        <v>64.177999999999997</v>
      </c>
      <c r="G4" s="259">
        <f>+Summary!I8</f>
        <v>0</v>
      </c>
      <c r="H4" s="260">
        <f>+Summary!J8</f>
        <v>0</v>
      </c>
      <c r="I4" s="259" t="s">
        <v>416</v>
      </c>
      <c r="J4" s="259">
        <f>+Summary!L8</f>
        <v>64</v>
      </c>
      <c r="K4" s="259">
        <v>64.177999999999997</v>
      </c>
      <c r="L4" s="259">
        <f>+Summary!N8</f>
        <v>-0.17799999999999727</v>
      </c>
      <c r="M4" s="261" t="s">
        <v>416</v>
      </c>
      <c r="N4" s="261" t="s">
        <v>416</v>
      </c>
      <c r="O4" s="261">
        <f>+Summary!Q8</f>
        <v>0</v>
      </c>
      <c r="P4" s="404"/>
      <c r="Q4" s="252"/>
      <c r="R4" s="252"/>
    </row>
    <row r="5" spans="1:18" ht="32.25" customHeight="1">
      <c r="A5" s="255">
        <v>2</v>
      </c>
      <c r="B5" s="256" t="s">
        <v>378</v>
      </c>
      <c r="C5" s="257" t="s">
        <v>679</v>
      </c>
      <c r="D5" s="258">
        <f>+Summary!D9</f>
        <v>64</v>
      </c>
      <c r="E5" s="258">
        <f>+Summary!G9</f>
        <v>64</v>
      </c>
      <c r="F5" s="258">
        <v>62.39</v>
      </c>
      <c r="G5" s="258">
        <f>+Summary!I9</f>
        <v>0</v>
      </c>
      <c r="H5" s="260">
        <f>+Summary!J9</f>
        <v>0</v>
      </c>
      <c r="I5" s="258">
        <v>0</v>
      </c>
      <c r="J5" s="259">
        <f>+Summary!L9</f>
        <v>64</v>
      </c>
      <c r="K5" s="258">
        <f t="shared" ref="K5:K7" si="0">+F5+I5</f>
        <v>62.39</v>
      </c>
      <c r="L5" s="258">
        <f>+Summary!N9</f>
        <v>-0.17799999999999727</v>
      </c>
      <c r="M5" s="261">
        <f>+Summary!O9</f>
        <v>0</v>
      </c>
      <c r="N5" s="261">
        <f>+Summary!P9</f>
        <v>0</v>
      </c>
      <c r="O5" s="261">
        <f>+Summary!Q9</f>
        <v>0</v>
      </c>
      <c r="P5" s="404"/>
      <c r="Q5" s="252"/>
      <c r="R5" s="252"/>
    </row>
    <row r="6" spans="1:18" ht="12.75" customHeight="1">
      <c r="A6" s="255">
        <v>3</v>
      </c>
      <c r="B6" s="262" t="s">
        <v>379</v>
      </c>
      <c r="C6" s="257" t="s">
        <v>638</v>
      </c>
      <c r="D6" s="263">
        <f>+Summary!D10</f>
        <v>199</v>
      </c>
      <c r="E6" s="263">
        <f>+Summary!G10</f>
        <v>199</v>
      </c>
      <c r="F6" s="258">
        <f>+Summary!H10</f>
        <v>198</v>
      </c>
      <c r="G6" s="258">
        <f>+Summary!I10</f>
        <v>1</v>
      </c>
      <c r="H6" s="260">
        <v>0</v>
      </c>
      <c r="I6" s="258">
        <f>+Summary!K10</f>
        <v>1</v>
      </c>
      <c r="J6" s="259">
        <f>+Summary!L10</f>
        <v>199</v>
      </c>
      <c r="K6" s="258">
        <f t="shared" si="0"/>
        <v>199</v>
      </c>
      <c r="L6" s="258">
        <f>+Summary!N10</f>
        <v>0</v>
      </c>
      <c r="M6" s="596">
        <f>Summary!O10</f>
        <v>1</v>
      </c>
      <c r="N6" s="596">
        <f>Summary!P10</f>
        <v>1</v>
      </c>
      <c r="O6" s="596">
        <f>Summary!Q10</f>
        <v>0</v>
      </c>
      <c r="P6" s="597">
        <f>+Summary!R10</f>
        <v>0</v>
      </c>
      <c r="Q6" s="252"/>
      <c r="R6" s="252"/>
    </row>
    <row r="7" spans="1:18" ht="12.75" customHeight="1">
      <c r="A7" s="255">
        <v>4</v>
      </c>
      <c r="B7" s="262" t="s">
        <v>381</v>
      </c>
      <c r="C7" s="257" t="s">
        <v>638</v>
      </c>
      <c r="D7" s="263">
        <f>+Summary!D11</f>
        <v>199</v>
      </c>
      <c r="E7" s="263">
        <f>+Summary!G11</f>
        <v>199</v>
      </c>
      <c r="F7" s="258">
        <f>+Summary!H11</f>
        <v>198</v>
      </c>
      <c r="G7" s="258">
        <f>+Summary!I11</f>
        <v>1</v>
      </c>
      <c r="H7" s="260">
        <f>+Summary!J11</f>
        <v>0</v>
      </c>
      <c r="I7" s="258">
        <f>+Summary!K11</f>
        <v>1</v>
      </c>
      <c r="J7" s="259">
        <f>+Summary!L11</f>
        <v>199</v>
      </c>
      <c r="K7" s="258">
        <f t="shared" si="0"/>
        <v>199</v>
      </c>
      <c r="L7" s="258">
        <f>+Summary!N11</f>
        <v>0</v>
      </c>
      <c r="M7" s="589"/>
      <c r="N7" s="589"/>
      <c r="O7" s="589"/>
      <c r="P7" s="598"/>
      <c r="Q7" s="252"/>
      <c r="R7" s="264"/>
    </row>
    <row r="8" spans="1:18" ht="12.75" customHeight="1">
      <c r="A8" s="255">
        <v>5</v>
      </c>
      <c r="B8" s="262" t="s">
        <v>382</v>
      </c>
      <c r="C8" s="257" t="s">
        <v>638</v>
      </c>
      <c r="D8" s="263">
        <f>+Summary!D12</f>
        <v>199</v>
      </c>
      <c r="E8" s="258">
        <f>Summary!G12</f>
        <v>199</v>
      </c>
      <c r="F8" s="258">
        <f>Summary!H12</f>
        <v>195</v>
      </c>
      <c r="G8" s="259">
        <f>Summary!I12</f>
        <v>4</v>
      </c>
      <c r="H8" s="260">
        <f>+Summary!J12</f>
        <v>0</v>
      </c>
      <c r="I8" s="259">
        <f>Summary!K12</f>
        <v>2</v>
      </c>
      <c r="J8" s="259">
        <f>+Summary!L12</f>
        <v>199</v>
      </c>
      <c r="K8" s="259">
        <f>+Summary!M12</f>
        <v>197</v>
      </c>
      <c r="L8" s="259">
        <f>+Summary!N12</f>
        <v>2</v>
      </c>
      <c r="M8" s="257">
        <f>+Summary!O12</f>
        <v>2</v>
      </c>
      <c r="N8" s="257">
        <f>+Summary!P12</f>
        <v>0</v>
      </c>
      <c r="O8" s="257">
        <f>+Summary!Q12</f>
        <v>2</v>
      </c>
      <c r="P8" s="265" t="str">
        <f>+Summary!R12</f>
        <v xml:space="preserve">34/0 erection under progress </v>
      </c>
      <c r="Q8" s="252"/>
      <c r="R8" s="252"/>
    </row>
    <row r="9" spans="1:18" ht="12.75" customHeight="1">
      <c r="A9" s="255">
        <v>6</v>
      </c>
      <c r="B9" s="262" t="s">
        <v>471</v>
      </c>
      <c r="C9" s="257" t="s">
        <v>638</v>
      </c>
      <c r="D9" s="263">
        <f>Summary!D13</f>
        <v>199</v>
      </c>
      <c r="E9" s="258">
        <f>Summary!G13</f>
        <v>199</v>
      </c>
      <c r="F9" s="258">
        <f>Summary!H13</f>
        <v>194</v>
      </c>
      <c r="G9" s="259">
        <f>Summary!I13</f>
        <v>5</v>
      </c>
      <c r="H9" s="260">
        <f>+Summary!J13</f>
        <v>0</v>
      </c>
      <c r="I9" s="259">
        <f>+Summary!K13</f>
        <v>0</v>
      </c>
      <c r="J9" s="259">
        <f>+Summary!L13</f>
        <v>199</v>
      </c>
      <c r="K9" s="259">
        <f>+Summary!M13</f>
        <v>194</v>
      </c>
      <c r="L9" s="259">
        <f>+Summary!N13</f>
        <v>5</v>
      </c>
      <c r="M9" s="257">
        <f>+Summary!O13</f>
        <v>0</v>
      </c>
      <c r="N9" s="257">
        <f>+Summary!P13</f>
        <v>0</v>
      </c>
      <c r="O9" s="257">
        <f>+Summary!Q13</f>
        <v>0</v>
      </c>
      <c r="P9" s="265">
        <f>+Summary!R13</f>
        <v>0</v>
      </c>
      <c r="Q9" s="252"/>
      <c r="R9" s="252"/>
    </row>
    <row r="10" spans="1:18" ht="12.75" customHeight="1">
      <c r="A10" s="255">
        <v>7</v>
      </c>
      <c r="B10" s="262" t="s">
        <v>384</v>
      </c>
      <c r="C10" s="257"/>
      <c r="D10" s="258"/>
      <c r="E10" s="258"/>
      <c r="F10" s="258"/>
      <c r="G10" s="258"/>
      <c r="H10" s="258"/>
      <c r="I10" s="258"/>
      <c r="J10" s="258"/>
      <c r="K10" s="258"/>
      <c r="L10" s="258"/>
      <c r="M10" s="257"/>
      <c r="N10" s="257"/>
      <c r="O10" s="257"/>
      <c r="P10" s="599">
        <f>Summary!R14</f>
        <v>0</v>
      </c>
      <c r="Q10" s="252"/>
      <c r="R10" s="252"/>
    </row>
    <row r="11" spans="1:18" ht="29.45" customHeight="1">
      <c r="A11" s="255" t="s">
        <v>385</v>
      </c>
      <c r="B11" s="266" t="s">
        <v>386</v>
      </c>
      <c r="C11" s="257" t="s">
        <v>680</v>
      </c>
      <c r="D11" s="258">
        <f>+Summary!D14</f>
        <v>0</v>
      </c>
      <c r="E11" s="258">
        <f>+Summary!G15</f>
        <v>64</v>
      </c>
      <c r="F11" s="497">
        <f>+Summary!H15</f>
        <v>61.2</v>
      </c>
      <c r="G11" s="258">
        <f>+Summary!I15</f>
        <v>2.7999999999999972</v>
      </c>
      <c r="H11" s="260">
        <f>+Summary!J15</f>
        <v>0</v>
      </c>
      <c r="I11" s="258">
        <f>+Summary!K15</f>
        <v>-7.3700000000798127E-4</v>
      </c>
      <c r="J11" s="258">
        <f t="shared" ref="J11:J12" si="1">J10</f>
        <v>0</v>
      </c>
      <c r="K11" s="258">
        <f>+Summary!M15</f>
        <v>61.199262999999995</v>
      </c>
      <c r="L11" s="497">
        <f>+Summary!N15</f>
        <v>2.8007370000000051</v>
      </c>
      <c r="M11" s="261">
        <f>+Summary!O15</f>
        <v>1</v>
      </c>
      <c r="N11" s="261">
        <f>+Summary!P15</f>
        <v>0</v>
      </c>
      <c r="O11" s="261">
        <f>+Summary!Q15</f>
        <v>1</v>
      </c>
      <c r="P11" s="601"/>
      <c r="Q11" s="252"/>
      <c r="R11" s="252"/>
    </row>
    <row r="12" spans="1:18" ht="12.75" customHeight="1">
      <c r="A12" s="255" t="s">
        <v>387</v>
      </c>
      <c r="B12" s="266" t="s">
        <v>388</v>
      </c>
      <c r="C12" s="257" t="s">
        <v>680</v>
      </c>
      <c r="D12" s="258">
        <f>+Summary!D16</f>
        <v>64</v>
      </c>
      <c r="E12" s="258">
        <f>+Summary!G16</f>
        <v>64</v>
      </c>
      <c r="F12" s="497">
        <f>+Summary!H16</f>
        <v>61.2</v>
      </c>
      <c r="G12" s="258">
        <f>+Summary!I16</f>
        <v>2.7999999999999972</v>
      </c>
      <c r="H12" s="260">
        <f>+Summary!J16</f>
        <v>0</v>
      </c>
      <c r="I12" s="258">
        <f>+Summary!K16</f>
        <v>-7.3700000000798127E-4</v>
      </c>
      <c r="J12" s="258">
        <f t="shared" si="1"/>
        <v>0</v>
      </c>
      <c r="K12" s="258">
        <f>+Summary!M16</f>
        <v>61.199262999999995</v>
      </c>
      <c r="L12" s="497">
        <f>+Summary!N16</f>
        <v>2.8007370000000051</v>
      </c>
      <c r="M12" s="261">
        <f>+Summary!O16</f>
        <v>0</v>
      </c>
      <c r="N12" s="261">
        <f>+Summary!P16</f>
        <v>0</v>
      </c>
      <c r="O12" s="261">
        <f>+Summary!Q16</f>
        <v>0</v>
      </c>
      <c r="P12" s="600"/>
      <c r="Q12" s="252"/>
      <c r="R12" s="252"/>
    </row>
    <row r="13" spans="1:18" ht="12.75" customHeight="1">
      <c r="A13" s="267" t="s">
        <v>389</v>
      </c>
      <c r="B13" s="268" t="s">
        <v>390</v>
      </c>
      <c r="C13" s="269" t="s">
        <v>680</v>
      </c>
      <c r="D13" s="270">
        <f>Summary!D17</f>
        <v>64</v>
      </c>
      <c r="E13" s="270">
        <f>+Summary!G17</f>
        <v>64</v>
      </c>
      <c r="F13" s="270">
        <f>+Summary!H17</f>
        <v>53.721834999999999</v>
      </c>
      <c r="G13" s="270">
        <f>+Summary!I17</f>
        <v>10.278165000000001</v>
      </c>
      <c r="H13" s="270">
        <f>+Summary!J17</f>
        <v>0</v>
      </c>
      <c r="I13" s="270">
        <f>+Summary!K17</f>
        <v>8.5273809999999841</v>
      </c>
      <c r="J13" s="270">
        <f>+Summary!L17</f>
        <v>64</v>
      </c>
      <c r="K13" s="498">
        <f>+Summary!M17</f>
        <v>62.249215999999983</v>
      </c>
      <c r="L13" s="270">
        <f>+Summary!N17</f>
        <v>1.7507840000000172</v>
      </c>
      <c r="M13" s="270">
        <f>+Summary!O17</f>
        <v>1</v>
      </c>
      <c r="N13" s="270">
        <f>+Summary!P17</f>
        <v>0</v>
      </c>
      <c r="O13" s="270">
        <f>+Summary!Q17</f>
        <v>1</v>
      </c>
      <c r="P13" s="405"/>
      <c r="Q13" s="252"/>
      <c r="R13" s="252"/>
    </row>
    <row r="14" spans="1:18" ht="12.75" customHeight="1">
      <c r="A14" s="252"/>
      <c r="B14" s="252"/>
      <c r="C14" s="252"/>
      <c r="D14" s="252"/>
      <c r="E14" s="252"/>
      <c r="F14" s="252"/>
      <c r="G14" s="252"/>
      <c r="H14" s="252"/>
      <c r="I14" s="252"/>
      <c r="J14" s="252"/>
      <c r="K14" s="252"/>
      <c r="L14" s="252"/>
      <c r="M14" s="252"/>
      <c r="N14" s="252"/>
      <c r="O14" s="252"/>
      <c r="P14" s="406"/>
      <c r="Q14" s="252"/>
      <c r="R14" s="252"/>
    </row>
    <row r="15" spans="1:18" ht="12.75" customHeight="1">
      <c r="A15" s="584" t="str">
        <f>+Summary!A19</f>
        <v>Progress of 132kV Line</v>
      </c>
      <c r="B15" s="585"/>
      <c r="C15" s="585"/>
      <c r="D15" s="585"/>
      <c r="E15" s="585"/>
      <c r="F15" s="585"/>
      <c r="G15" s="585"/>
      <c r="H15" s="585"/>
      <c r="I15" s="585"/>
      <c r="J15" s="585"/>
      <c r="K15" s="585"/>
      <c r="L15" s="585"/>
      <c r="M15" s="585"/>
      <c r="N15" s="585"/>
      <c r="O15" s="250" t="s">
        <v>670</v>
      </c>
      <c r="P15" s="251">
        <f>+Summary!R19</f>
        <v>46162</v>
      </c>
      <c r="Q15" s="252"/>
      <c r="R15" s="252"/>
    </row>
    <row r="16" spans="1:18" ht="28.5" customHeight="1">
      <c r="A16" s="586" t="s">
        <v>355</v>
      </c>
      <c r="B16" s="588" t="s">
        <v>671</v>
      </c>
      <c r="C16" s="588" t="s">
        <v>357</v>
      </c>
      <c r="D16" s="590" t="s">
        <v>672</v>
      </c>
      <c r="E16" s="591" t="s">
        <v>673</v>
      </c>
      <c r="F16" s="592"/>
      <c r="G16" s="591" t="str">
        <f>+Summary!I20</f>
        <v>Progress of Current Month (May'26)</v>
      </c>
      <c r="H16" s="593"/>
      <c r="I16" s="592"/>
      <c r="J16" s="591" t="s">
        <v>361</v>
      </c>
      <c r="K16" s="593"/>
      <c r="L16" s="592"/>
      <c r="M16" s="591" t="str">
        <f>+Summary!O20</f>
        <v>Resources Status</v>
      </c>
      <c r="N16" s="593"/>
      <c r="O16" s="592"/>
      <c r="P16" s="594" t="s">
        <v>15</v>
      </c>
      <c r="Q16" s="252"/>
      <c r="R16" s="252"/>
    </row>
    <row r="17" spans="1:16" ht="12.75" customHeight="1">
      <c r="A17" s="587"/>
      <c r="B17" s="589"/>
      <c r="C17" s="589"/>
      <c r="D17" s="589"/>
      <c r="E17" s="253" t="s">
        <v>674</v>
      </c>
      <c r="F17" s="253" t="s">
        <v>675</v>
      </c>
      <c r="G17" s="253" t="s">
        <v>676</v>
      </c>
      <c r="H17" s="253" t="s">
        <v>677</v>
      </c>
      <c r="I17" s="253" t="s">
        <v>678</v>
      </c>
      <c r="J17" s="253" t="s">
        <v>676</v>
      </c>
      <c r="K17" s="253" t="s">
        <v>32</v>
      </c>
      <c r="L17" s="253" t="s">
        <v>372</v>
      </c>
      <c r="M17" s="254" t="str">
        <f>+Summary!O21</f>
        <v>Targeted Gang</v>
      </c>
      <c r="N17" s="254" t="str">
        <f>+Summary!P21</f>
        <v>Available Gang</v>
      </c>
      <c r="O17" s="254" t="str">
        <f>+Summary!Q21</f>
        <v>Shortfall
Gang</v>
      </c>
      <c r="P17" s="595"/>
    </row>
    <row r="18" spans="1:16" ht="12.75" customHeight="1">
      <c r="A18" s="255">
        <v>1</v>
      </c>
      <c r="B18" s="256" t="s">
        <v>376</v>
      </c>
      <c r="C18" s="257" t="s">
        <v>679</v>
      </c>
      <c r="D18" s="258">
        <f>+Summary!D22</f>
        <v>9</v>
      </c>
      <c r="E18" s="258">
        <f>+Summary!G22</f>
        <v>9</v>
      </c>
      <c r="F18" s="258">
        <f>+Summary!H22</f>
        <v>9</v>
      </c>
      <c r="G18" s="258">
        <f>+Summary!I22</f>
        <v>0</v>
      </c>
      <c r="H18" s="260">
        <f>+Summary!J22</f>
        <v>0</v>
      </c>
      <c r="I18" s="271">
        <f>+Summary!K22</f>
        <v>0</v>
      </c>
      <c r="J18" s="259">
        <f>+Summary!L22</f>
        <v>9</v>
      </c>
      <c r="K18" s="259">
        <f>+Summary!M22</f>
        <v>9</v>
      </c>
      <c r="L18" s="259">
        <f>+Summary!N22</f>
        <v>0</v>
      </c>
      <c r="M18" s="261">
        <f>+Summary!O22</f>
        <v>0</v>
      </c>
      <c r="N18" s="261">
        <f>+Summary!P22</f>
        <v>0</v>
      </c>
      <c r="O18" s="261">
        <f>+Summary!Q22</f>
        <v>0</v>
      </c>
      <c r="P18" s="272">
        <f>+Summary!R22</f>
        <v>0</v>
      </c>
    </row>
    <row r="19" spans="1:16" ht="12.75" customHeight="1">
      <c r="A19" s="255">
        <v>2</v>
      </c>
      <c r="B19" s="256" t="s">
        <v>378</v>
      </c>
      <c r="C19" s="257" t="s">
        <v>679</v>
      </c>
      <c r="D19" s="258">
        <f>+Summary!D23</f>
        <v>9</v>
      </c>
      <c r="E19" s="258">
        <f>+Summary!G23</f>
        <v>9</v>
      </c>
      <c r="F19" s="258">
        <f>+Summary!H23</f>
        <v>9</v>
      </c>
      <c r="G19" s="258">
        <f>+Summary!I23</f>
        <v>0</v>
      </c>
      <c r="H19" s="260">
        <f>+Summary!J23</f>
        <v>0</v>
      </c>
      <c r="I19" s="273">
        <f>+Summary!K23</f>
        <v>0</v>
      </c>
      <c r="J19" s="259">
        <f>+Summary!L23</f>
        <v>9</v>
      </c>
      <c r="K19" s="258">
        <f t="shared" ref="K19:K21" si="2">+F19+I19</f>
        <v>9</v>
      </c>
      <c r="L19" s="258">
        <f>+Summary!N23</f>
        <v>0</v>
      </c>
      <c r="M19" s="261">
        <f>+Summary!O23</f>
        <v>0</v>
      </c>
      <c r="N19" s="261">
        <f>+Summary!P23</f>
        <v>0</v>
      </c>
      <c r="O19" s="261">
        <f>+Summary!Q23</f>
        <v>0</v>
      </c>
      <c r="P19" s="265">
        <f>+Summary!R23</f>
        <v>0</v>
      </c>
    </row>
    <row r="20" spans="1:16" ht="39.6" customHeight="1">
      <c r="A20" s="255">
        <v>3</v>
      </c>
      <c r="B20" s="262" t="s">
        <v>379</v>
      </c>
      <c r="C20" s="257" t="s">
        <v>638</v>
      </c>
      <c r="D20" s="263">
        <f>+Summary!D24</f>
        <v>39</v>
      </c>
      <c r="E20" s="263">
        <f>+Summary!G24</f>
        <v>39</v>
      </c>
      <c r="F20" s="258">
        <f>+Summary!H24</f>
        <v>34</v>
      </c>
      <c r="G20" s="258">
        <f>+Summary!I24</f>
        <v>5</v>
      </c>
      <c r="H20" s="260">
        <f>+Summary!J24</f>
        <v>0</v>
      </c>
      <c r="I20" s="274">
        <f>+Summary!K24</f>
        <v>2</v>
      </c>
      <c r="J20" s="259">
        <f>+Summary!L24</f>
        <v>39</v>
      </c>
      <c r="K20" s="258">
        <f t="shared" si="2"/>
        <v>36</v>
      </c>
      <c r="L20" s="258">
        <f>+Summary!N24</f>
        <v>3</v>
      </c>
      <c r="M20" s="602">
        <f>Summary!O24</f>
        <v>1</v>
      </c>
      <c r="N20" s="602">
        <f>Summary!P24</f>
        <v>1</v>
      </c>
      <c r="O20" s="602">
        <f>Summary!Q24</f>
        <v>0</v>
      </c>
      <c r="P20" s="597" t="str">
        <f>+Summary!R24</f>
        <v xml:space="preserve">
SC-2 Excavation Under Progress
</v>
      </c>
    </row>
    <row r="21" spans="1:16" ht="39.6" customHeight="1">
      <c r="A21" s="255">
        <v>4</v>
      </c>
      <c r="B21" s="262" t="s">
        <v>381</v>
      </c>
      <c r="C21" s="257" t="s">
        <v>638</v>
      </c>
      <c r="D21" s="263">
        <f>+Summary!D25</f>
        <v>39</v>
      </c>
      <c r="E21" s="263">
        <f>+Summary!G25</f>
        <v>39</v>
      </c>
      <c r="F21" s="258">
        <f>+Summary!H25</f>
        <v>34</v>
      </c>
      <c r="G21" s="258">
        <f>+Summary!I25</f>
        <v>5</v>
      </c>
      <c r="H21" s="260">
        <f>+Summary!J25</f>
        <v>0</v>
      </c>
      <c r="I21" s="274">
        <f>+Summary!K25</f>
        <v>2</v>
      </c>
      <c r="J21" s="259">
        <f>+Summary!L25</f>
        <v>39</v>
      </c>
      <c r="K21" s="258">
        <f t="shared" si="2"/>
        <v>36</v>
      </c>
      <c r="L21" s="258">
        <f>+Summary!N25</f>
        <v>3</v>
      </c>
      <c r="M21" s="589"/>
      <c r="N21" s="589"/>
      <c r="O21" s="589"/>
      <c r="P21" s="598"/>
    </row>
    <row r="22" spans="1:16" ht="12.75" customHeight="1">
      <c r="A22" s="255">
        <v>5</v>
      </c>
      <c r="B22" s="262" t="s">
        <v>382</v>
      </c>
      <c r="C22" s="257" t="s">
        <v>638</v>
      </c>
      <c r="D22" s="263">
        <f>+Summary!D26</f>
        <v>39</v>
      </c>
      <c r="E22" s="258">
        <f>Summary!G26</f>
        <v>39</v>
      </c>
      <c r="F22" s="258">
        <f>Summary!H26</f>
        <v>31</v>
      </c>
      <c r="G22" s="258">
        <f>Summary!I26</f>
        <v>5</v>
      </c>
      <c r="H22" s="260">
        <f>Summary!J26</f>
        <v>0</v>
      </c>
      <c r="I22" s="258">
        <f>Summary!K26</f>
        <v>0</v>
      </c>
      <c r="J22" s="259">
        <f>+Summary!L26</f>
        <v>39</v>
      </c>
      <c r="K22" s="259">
        <f>+Summary!M26</f>
        <v>31</v>
      </c>
      <c r="L22" s="259">
        <f>+Summary!N26</f>
        <v>8</v>
      </c>
      <c r="M22" s="257">
        <f>+Summary!O26</f>
        <v>1</v>
      </c>
      <c r="N22" s="257">
        <f>+Summary!P26</f>
        <v>1</v>
      </c>
      <c r="O22" s="257">
        <f>+Summary!Q26</f>
        <v>0</v>
      </c>
      <c r="P22" s="362">
        <f>Summary!R26</f>
        <v>0</v>
      </c>
    </row>
    <row r="23" spans="1:16" ht="12.75" customHeight="1">
      <c r="A23" s="255">
        <v>6</v>
      </c>
      <c r="B23" s="262" t="s">
        <v>471</v>
      </c>
      <c r="C23" s="257" t="s">
        <v>638</v>
      </c>
      <c r="D23" s="263">
        <f>Summary!D27</f>
        <v>39</v>
      </c>
      <c r="E23" s="258">
        <f>Summary!G27</f>
        <v>39</v>
      </c>
      <c r="F23" s="258">
        <f>Summary!H27</f>
        <v>29</v>
      </c>
      <c r="G23" s="258">
        <f>Summary!I27</f>
        <v>0</v>
      </c>
      <c r="H23" s="260">
        <f>+Summary!J27</f>
        <v>0</v>
      </c>
      <c r="I23" s="258">
        <f>+Summary!K27</f>
        <v>0</v>
      </c>
      <c r="J23" s="259">
        <f>+Summary!L27</f>
        <v>39</v>
      </c>
      <c r="K23" s="259">
        <f>+Summary!M27</f>
        <v>29</v>
      </c>
      <c r="L23" s="259">
        <f>+Summary!N27</f>
        <v>10</v>
      </c>
      <c r="M23" s="257">
        <f>+Summary!O27</f>
        <v>1</v>
      </c>
      <c r="N23" s="257">
        <f>+Summary!P27</f>
        <v>0</v>
      </c>
      <c r="O23" s="257">
        <f>+Summary!Q27</f>
        <v>0</v>
      </c>
      <c r="P23" s="265"/>
    </row>
    <row r="24" spans="1:16" ht="12.75" customHeight="1">
      <c r="A24" s="255">
        <v>7</v>
      </c>
      <c r="B24" s="262" t="s">
        <v>384</v>
      </c>
      <c r="C24" s="257"/>
      <c r="D24" s="258"/>
      <c r="E24" s="258"/>
      <c r="F24" s="258"/>
      <c r="G24" s="258"/>
      <c r="H24" s="258"/>
      <c r="I24" s="258"/>
      <c r="J24" s="258"/>
      <c r="K24" s="258"/>
      <c r="L24" s="258"/>
      <c r="M24" s="257"/>
      <c r="N24" s="257"/>
      <c r="O24" s="257"/>
      <c r="P24" s="265">
        <f>+Summary!R28</f>
        <v>0</v>
      </c>
    </row>
    <row r="25" spans="1:16" ht="20.100000000000001" customHeight="1">
      <c r="A25" s="255" t="s">
        <v>385</v>
      </c>
      <c r="B25" s="266" t="s">
        <v>386</v>
      </c>
      <c r="C25" s="257" t="s">
        <v>680</v>
      </c>
      <c r="D25" s="258">
        <v>9</v>
      </c>
      <c r="E25" s="258">
        <f>+Summary!G29</f>
        <v>9</v>
      </c>
      <c r="F25" s="258">
        <f>+Summary!H29</f>
        <v>5</v>
      </c>
      <c r="G25" s="258">
        <f>+Summary!I29</f>
        <v>4</v>
      </c>
      <c r="H25" s="260">
        <f>+Summary!J29</f>
        <v>0</v>
      </c>
      <c r="I25" s="258">
        <f>+Summary!K29</f>
        <v>1.2313260000000001</v>
      </c>
      <c r="J25" s="497">
        <f>E25</f>
        <v>9</v>
      </c>
      <c r="K25" s="497">
        <f>+Summary!M29</f>
        <v>6.2313260000000001</v>
      </c>
      <c r="L25" s="258">
        <f>+Summary!N29</f>
        <v>2.7686739999999999</v>
      </c>
      <c r="M25" s="257">
        <f>+Summary!O29</f>
        <v>1</v>
      </c>
      <c r="N25" s="257">
        <f>+Summary!P29</f>
        <v>1</v>
      </c>
      <c r="O25" s="257">
        <f>+Summary!Q29</f>
        <v>0</v>
      </c>
      <c r="P25" s="599" t="str">
        <f>+Summary!R29</f>
        <v>10/0, 11/0 Jumper work done</v>
      </c>
    </row>
    <row r="26" spans="1:16" ht="20.100000000000001" customHeight="1">
      <c r="A26" s="255" t="s">
        <v>387</v>
      </c>
      <c r="B26" s="266" t="s">
        <v>388</v>
      </c>
      <c r="C26" s="257" t="s">
        <v>680</v>
      </c>
      <c r="D26" s="258">
        <f>+Summary!D30</f>
        <v>9</v>
      </c>
      <c r="E26" s="258">
        <f>+Summary!G30</f>
        <v>9</v>
      </c>
      <c r="F26" s="258">
        <f>+Summary!H30</f>
        <v>5</v>
      </c>
      <c r="G26" s="258">
        <f>+Summary!I30</f>
        <v>4</v>
      </c>
      <c r="H26" s="260">
        <f>+Summary!J30</f>
        <v>0</v>
      </c>
      <c r="I26" s="258">
        <f>+Summary!K30</f>
        <v>1.2313260000000001</v>
      </c>
      <c r="J26" s="497">
        <f>E26</f>
        <v>9</v>
      </c>
      <c r="K26" s="497">
        <f>+Summary!M30</f>
        <v>6.2313260000000001</v>
      </c>
      <c r="L26" s="258">
        <f>+Summary!N30</f>
        <v>2.7686739999999999</v>
      </c>
      <c r="M26" s="257">
        <f>+Summary!O30</f>
        <v>0</v>
      </c>
      <c r="N26" s="257">
        <f>+Summary!P30</f>
        <v>0</v>
      </c>
      <c r="O26" s="257">
        <f>+Summary!Q30</f>
        <v>0</v>
      </c>
      <c r="P26" s="600"/>
    </row>
    <row r="27" spans="1:16" ht="27" customHeight="1">
      <c r="A27" s="267" t="s">
        <v>389</v>
      </c>
      <c r="B27" s="268" t="s">
        <v>390</v>
      </c>
      <c r="C27" s="269" t="s">
        <v>680</v>
      </c>
      <c r="D27" s="270">
        <f>Summary!D31</f>
        <v>9</v>
      </c>
      <c r="E27" s="270">
        <f>+Summary!G31</f>
        <v>9</v>
      </c>
      <c r="F27" s="270">
        <f>+Summary!H31</f>
        <v>0</v>
      </c>
      <c r="G27" s="270">
        <f>+Summary!I31</f>
        <v>9</v>
      </c>
      <c r="H27" s="275">
        <f>+Summary!J31</f>
        <v>0</v>
      </c>
      <c r="I27" s="270">
        <f>+Summary!K31</f>
        <v>6.2313260000000001</v>
      </c>
      <c r="J27" s="498">
        <f>+Summary!L31</f>
        <v>9</v>
      </c>
      <c r="K27" s="498">
        <f>+Summary!M31</f>
        <v>6.2313260000000001</v>
      </c>
      <c r="L27" s="270">
        <f>+Summary!N31</f>
        <v>2.7686739999999999</v>
      </c>
      <c r="M27" s="270">
        <f>+Summary!O31</f>
        <v>1</v>
      </c>
      <c r="N27" s="270">
        <f>+Summary!P31</f>
        <v>0</v>
      </c>
      <c r="O27" s="270">
        <f>+Summary!Q31</f>
        <v>1</v>
      </c>
      <c r="P27" s="405">
        <f>+Summary!R31</f>
        <v>0</v>
      </c>
    </row>
  </sheetData>
  <mergeCells count="30">
    <mergeCell ref="P25:P26"/>
    <mergeCell ref="P10:P12"/>
    <mergeCell ref="A15:N15"/>
    <mergeCell ref="M16:O16"/>
    <mergeCell ref="P16:P17"/>
    <mergeCell ref="M20:M21"/>
    <mergeCell ref="N20:N21"/>
    <mergeCell ref="O20:O21"/>
    <mergeCell ref="P20:P21"/>
    <mergeCell ref="A16:A17"/>
    <mergeCell ref="B16:B17"/>
    <mergeCell ref="C16:C17"/>
    <mergeCell ref="D16:D17"/>
    <mergeCell ref="E16:F16"/>
    <mergeCell ref="G16:I16"/>
    <mergeCell ref="J16:L16"/>
    <mergeCell ref="P2:P3"/>
    <mergeCell ref="J2:L2"/>
    <mergeCell ref="M2:O2"/>
    <mergeCell ref="M6:M7"/>
    <mergeCell ref="N6:N7"/>
    <mergeCell ref="O6:O7"/>
    <mergeCell ref="P6:P7"/>
    <mergeCell ref="A1:N1"/>
    <mergeCell ref="A2:A3"/>
    <mergeCell ref="B2:B3"/>
    <mergeCell ref="C2:C3"/>
    <mergeCell ref="D2:D3"/>
    <mergeCell ref="E2:F2"/>
    <mergeCell ref="G2:I2"/>
  </mergeCells>
  <pageMargins left="0.70866141732283472" right="0.70866141732283472" top="0.74803149606299213" bottom="0.74803149606299213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Detail Survey-220kV</vt:lpstr>
      <vt:lpstr>Check Survey-220kV</vt:lpstr>
      <vt:lpstr>Detail Survey-132kV</vt:lpstr>
      <vt:lpstr>Check Survey-132kV</vt:lpstr>
      <vt:lpstr>Summary</vt:lpstr>
      <vt:lpstr>Statutory</vt:lpstr>
      <vt:lpstr>Progress-132kV</vt:lpstr>
      <vt:lpstr>Progress-220kV</vt:lpstr>
      <vt:lpstr>Stringing-220kV</vt:lpstr>
      <vt:lpstr>Stringing-132KV</vt:lpstr>
      <vt:lpstr>VC-220kV</vt:lpstr>
      <vt:lpstr>VC-132kV</vt:lpstr>
      <vt:lpstr>Supply</vt:lpstr>
      <vt:lpstr>Mail Body</vt:lpstr>
      <vt:lpstr>'VC-132kV'!Print_Area</vt:lpstr>
      <vt:lpstr>'VC-220kV'!Print_Area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Kadir</dc:creator>
  <cp:lastModifiedBy>Saksham Singh</cp:lastModifiedBy>
  <cp:lastPrinted>2026-03-21T05:33:41Z</cp:lastPrinted>
  <dcterms:created xsi:type="dcterms:W3CDTF">2024-04-23T13:04:27Z</dcterms:created>
  <dcterms:modified xsi:type="dcterms:W3CDTF">2026-05-21T04:12:54Z</dcterms:modified>
</cp:coreProperties>
</file>