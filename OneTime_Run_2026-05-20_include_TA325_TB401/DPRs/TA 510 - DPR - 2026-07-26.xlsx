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317" documentId="8_{B28E2191-7C54-4325-9FF5-47C842D50063}" xr6:coauthVersionLast="47" xr6:coauthVersionMax="47" xr10:uidLastSave="{D80B7C72-BE5E-4CF8-A404-4455746B913D}"/>
  <bookViews>
    <workbookView xWindow="-120" yWindow="-120" windowWidth="20730" windowHeight="11040" tabRatio="888" firstSheet="1" activeTab="12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9" l="1"/>
  <c r="D12" i="19"/>
  <c r="D9" i="19"/>
  <c r="AE5" i="6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<sst xmlns="http://schemas.openxmlformats.org/spreadsheetml/2006/main" count="5674" uniqueCount="1184">
  <si>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</si>
  <si>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</si>
  <si>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</si>
  <si>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</si>
  <si>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</si>
  <si>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</si>
  <si>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</si>
  <si>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</si>
  <si>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</si>
  <si>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</si>
  <si>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</si>
  <si>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</si>
  <si>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</si>
  <si>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</si>
  <si>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</si>
  <si>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</si>
  <si>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</si>
  <si>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</si>
  <si>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</si>
  <si>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</si>
  <si>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</si>
  <si>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</si>
  <si>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</si>
  <si>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</si>
  <si>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</si>
  <si>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</si>
  <si>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</si>
  <si>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</si>
  <si>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</si>
  <si>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</si>
  <si>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</si>
  <si>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</si>
  <si>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</si>
  <si>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</si>
  <si>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</si>
  <si>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</si>
  <si>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</si>
  <si>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</si>
  <si>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</si>
  <si>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</si>
  <si>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</si>
  <si>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</si>
  <si>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</si>
  <si>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</si>
  <si>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</si>
  <si>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</si>
  <si>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</si>
  <si>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</si>
  <si>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</si>
  <si>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</si>
  <si>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</si>
  <si>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</si>
  <si>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</si>
  <si>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</si>
  <si>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</si>
  <si>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</si>
  <si>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</si>
  <si>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</si>
  <si>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</si>
  <si>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</si>
  <si>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</si>
  <si>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</si>
  <si>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</si>
  <si>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</si>
  <si>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</si>
  <si>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</si>
  <si>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</si>
  <si>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</si>
  <si>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</si>
  <si>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</si>
  <si>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</si>
  <si>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</si>
  <si>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</si>
  <si>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</si>
  <si>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</si>
  <si>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</si>
  <si>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</si>
  <si>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</si>
  <si>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</si>
  <si>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</si>
  <si>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</si>
  <si>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</si>
  <si>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</si>
  <si>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</si>
  <si>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</si>
  <si>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</si>
  <si>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</si>
  <si>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</si>
  <si>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</si>
  <si>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</si>
  <si>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</si>
  <si>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</si>
  <si>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</si>
  <si>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</si>
  <si>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</si>
  <si>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</si>
  <si>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</si>
  <si>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</si>
  <si>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</si>
  <si>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</si>
  <si>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</si>
  <si>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</si>
  <si>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</si>
  <si>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</si>
  <si>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</si>
  <si>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</si>
  <si>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</si>
  <si>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</si>
  <si>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</si>
  <si>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</si>
  <si>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</si>
  <si>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</si>
  <si>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</si>
  <si>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</si>
  <si>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</si>
  <si>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</si>
  <si>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</si>
  <si>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</si>
  <si>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</si>
  <si>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</si>
  <si>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</si>
  <si>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</si>
  <si>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</si>
  <si>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</si>
  <si>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</si>
  <si>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</si>
  <si>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</si>
  <si>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</si>
  <si>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</si>
  <si>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</si>
  <si>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</si>
  <si>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</si>
  <si>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</si>
  <si>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</si>
  <si>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</si>
  <si>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</si>
  <si>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</si>
  <si>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</si>
  <si>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</si>
  <si>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</si>
  <si>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</si>
  <si>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</si>
  <si>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</si>
  <si>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</si>
  <si>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</si>
  <si>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</si>
  <si>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</si>
  <si>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</si>
  <si>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</si>
  <si>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</si>
  <si>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</si>
  <si>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</si>
  <si>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</si>
  <si>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</si>
  <si>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</si>
  <si>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</si>
  <si>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</si>
  <si>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</si>
  <si>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</si>
  <si>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</si>
  <si>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</si>
  <si>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</si>
  <si>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</si>
  <si>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</si>
  <si>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</si>
  <si>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</si>
  <si>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</si>
  <si>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</si>
  <si>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</si>
  <si>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</si>
  <si>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</si>
  <si>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</si>
  <si>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</si>
  <si>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</si>
  <si>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</si>
  <si>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</si>
  <si>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</si>
  <si>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</si>
  <si>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</si>
  <si>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</si>
  <si>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</si>
  <si>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</si>
  <si>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</si>
  <si>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</si>
  <si>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</si>
  <si>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</si>
  <si>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</si>
  <si>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</si>
  <si>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</si>
  <si>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</si>
  <si>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</si>
  <si>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</si>
  <si>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</si>
  <si>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</si>
  <si>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</si>
  <si>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</si>
  <si>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</si>
  <si>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</si>
  <si>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</si>
  <si>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</si>
  <si>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</si>
  <si>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</si>
  <si>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</si>
  <si>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</si>
  <si>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</si>
  <si>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</si>
  <si>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</si>
  <si>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</si>
  <si>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</si>
  <si>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</si>
  <si>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</si>
  <si>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</si>
  <si>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</si>
  <si>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</si>
  <si>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</si>
  <si>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</si>
  <si>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</si>
  <si>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</si>
  <si>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</si>
  <si>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</si>
  <si>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</si>
  <si>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</si>
  <si>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</si>
  <si>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</si>
  <si>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</si>
  <si>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</si>
  <si>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</si>
  <si>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</si>
  <si>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</si>
  <si>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</si>
  <si>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</si>
  <si>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</si>
  <si>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</si>
  <si>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</si>
  <si>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</si>
  <si>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</si>
  <si>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</si>
  <si>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</si>
  <si>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</si>
  <si>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</si>
  <si>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</si>
  <si>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</si>
  <si>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</si>
  <si>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</si>
  <si>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</si>
  <si>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</si>
  <si>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</si>
  <si>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</si>
  <si>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</si>
  <si>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</si>
  <si>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</si>
  <si>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</si>
  <si>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</si>
  <si>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</si>
  <si>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</si>
  <si>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</si>
  <si>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</si>
  <si>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</si>
  <si>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</si>
  <si>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</si>
  <si>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</si>
  <si>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</si>
  <si>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</si>
  <si>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</si>
  <si>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</si>
  <si>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</si>
  <si>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</si>
  <si>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</si>
  <si>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</si>
  <si>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</si>
  <si>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</si>
  <si>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</si>
  <si>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</si>
  <si>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</si>
  <si>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</si>
  <si>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</si>
  <si>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</si>
  <si>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</si>
  <si>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</si>
  <si>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</si>
  <si>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</si>
  <si>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</si>
  <si>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</si>
  <si>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</si>
  <si>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</si>
  <si>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</si>
  <si>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</si>
  <si>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</si>
  <si>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</si>
  <si>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</si>
  <si>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</si>
  <si>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</si>
  <si>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</si>
  <si>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</si>
  <si>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</si>
  <si>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</si>
  <si>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</si>
  <si>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</si>
  <si>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</si>
  <si>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</si>
  <si>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</si>
  <si>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</si>
  <si>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</si>
  <si>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</si>
  <si>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</si>
  <si>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</si>
  <si>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</si>
  <si>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</si>
  <si>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</si>
  <si>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</si>
  <si>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</si>
  <si>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</si>
  <si>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</si>
  <si>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</si>
  <si>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</si>
  <si>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</si>
  <si>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</si>
  <si>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</si>
  <si>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</si>
  <si>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</si>
  <si>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</si>
  <si>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</si>
  <si>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</si>
  <si>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</si>
  <si>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</si>
  <si>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</si>
  <si>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</si>
  <si>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</si>
  <si>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</si>
  <si>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</si>
  <si>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</si>
  <si>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</si>
  <si>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</si>
  <si>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</si>
  <si>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</si>
  <si>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</si>
  <si>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</si>
  <si>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</si>
  <si>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</si>
  <si>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</si>
  <si>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</si>
  <si>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</si>
  <si>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</si>
  <si>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</si>
  <si>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</si>
  <si>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</si>
  <si>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</si>
  <si>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</si>
  <si>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</si>
  <si>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</si>
  <si>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</si>
  <si>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</si>
  <si>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</si>
  <si>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</si>
  <si>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</si>
  <si>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</si>
  <si>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</si>
  <si>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</si>
  <si>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</si>
  <si>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</si>
  <si>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</si>
  <si>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</si>
  <si>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</si>
  <si>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</si>
  <si>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</si>
  <si>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</si>
  <si>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</si>
  <si>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</si>
  <si>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</si>
  <si>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</si>
  <si>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</si>
  <si>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</si>
  <si>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</si>
  <si>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</si>
  <si>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</si>
  <si>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</si>
  <si>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</si>
  <si>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</si>
  <si>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</si>
  <si>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</si>
  <si>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</si>
  <si>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</si>
  <si>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</si>
  <si>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</si>
  <si>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</si>
  <si>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</si>
  <si>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</si>
  <si>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</si>
  <si>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</si>
  <si>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</si>
  <si>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</si>
  <si>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</si>
  <si>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</si>
  <si>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</si>
  <si>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</si>
  <si>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</si>
  <si>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</si>
  <si>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</si>
  <si>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</si>
  <si>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</si>
  <si>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</si>
  <si>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</si>
  <si>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</si>
  <si>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</si>
  <si>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</si>
  <si>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</si>
  <si>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</si>
  <si>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</si>
  <si>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</si>
  <si>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</si>
  <si>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</si>
  <si>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</si>
  <si>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</si>
  <si>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</si>
  <si>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</si>
  <si>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</si>
  <si>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</si>
  <si>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</si>
  <si>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</si>
  <si>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</si>
  <si>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</si>
  <si>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</si>
  <si>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</si>
  <si>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</si>
  <si>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</si>
  <si>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</si>
  <si>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</si>
  <si>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</si>
  <si>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</si>
  <si>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</si>
  <si>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</si>
  <si>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</si>
  <si>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</si>
  <si>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</si>
  <si>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</si>
  <si>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</si>
  <si>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</si>
  <si>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</si>
  <si>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</si>
  <si>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</si>
  <si>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</si>
  <si>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</si>
  <si>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</si>
  <si>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</si>
  <si>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</si>
  <si>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</si>
  <si>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</si>
  <si>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</si>
  <si>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</si>
  <si>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</si>
  <si>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</si>
  <si>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</si>
  <si>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</si>
  <si>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</si>
  <si>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</si>
  <si>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</si>
  <si>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</si>
  <si>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</si>
  <si>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</si>
  <si>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</si>
  <si>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</si>
  <si>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</si>
  <si>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</si>
  <si>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</si>
  <si>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</si>
  <si>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</si>
  <si>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</si>
  <si>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</si>
  <si>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</si>
  <si>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</si>
  <si>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</si>
  <si>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</si>
  <si>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</si>
  <si>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</si>
  <si>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</si>
  <si>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</si>
  <si>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</si>
  <si>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</si>
  <si>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</si>
  <si>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</si>
  <si>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</si>
  <si>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</si>
  <si>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</si>
  <si>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</si>
  <si>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</si>
  <si>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</si>
  <si>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</si>
  <si>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</si>
  <si>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</si>
  <si>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</si>
  <si>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</si>
  <si>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</si>
  <si>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</si>
  <si>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</si>
  <si>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</si>
  <si>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</si>
  <si>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</si>
  <si>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</si>
  <si>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</si>
  <si>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</si>
  <si>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</si>
  <si>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</si>
  <si>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</si>
  <si>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</si>
  <si>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</si>
  <si>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</si>
  <si>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</si>
  <si>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</si>
  <si>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</si>
  <si>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</si>
  <si>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</si>
  <si>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</si>
  <si>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</si>
  <si>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</si>
  <si>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</si>
  <si>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</si>
  <si>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</si>
  <si>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</si>
  <si>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</si>
  <si>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</si>
  <si>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</si>
  <si>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</si>
  <si>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</si>
  <si>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</si>
  <si>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</si>
  <si>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</si>
  <si>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</si>
  <si>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</si>
  <si>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</si>
  <si>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</si>
  <si>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</si>
  <si>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</si>
  <si>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</si>
  <si>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</si>
  <si>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</si>
  <si>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</si>
  <si>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</si>
  <si>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</si>
  <si>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</si>
  <si>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</si>
  <si>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</si>
  <si>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</si>
  <si>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</si>
  <si>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</si>
  <si>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</si>
  <si>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</si>
  <si>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</si>
  <si>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</si>
  <si>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</si>
  <si>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</si>
  <si>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</si>
  <si>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</si>
  <si>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</si>
  <si>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</si>
  <si>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</si>
  <si>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</si>
  <si>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</si>
  <si>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</si>
  <si>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</si>
  <si>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</si>
  <si>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</si>
  <si>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</si>
  <si>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</si>
  <si>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</si>
  <si>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</si>
  <si>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</si>
  <si>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</si>
  <si>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</si>
  <si>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</si>
  <si>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</si>
  <si>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</si>
  <si>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</si>
  <si>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</si>
  <si>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</si>
  <si>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</si>
  <si>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</si>
  <si>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</si>
  <si>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</si>
  <si>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</si>
  <si>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</si>
  <si>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</si>
  <si>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</si>
  <si>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</si>
  <si>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</si>
  <si>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</si>
  <si>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</si>
  <si>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</si>
  <si>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</si>
  <si>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</si>
  <si>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</si>
  <si>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</si>
  <si>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</si>
  <si>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</si>
  <si>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</si>
  <si>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</si>
  <si>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</si>
  <si>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</si>
  <si>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</si>
  <si>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</si>
  <si>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</si>
  <si>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</si>
  <si>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</si>
  <si>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</si>
  <si>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</si>
  <si>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</si>
  <si>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</si>
  <si>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</si>
  <si>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</si>
  <si>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</si>
  <si>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</si>
  <si>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</si>
  <si>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</si>
  <si>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</si>
  <si>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</si>
  <si>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</si>
  <si>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</si>
  <si>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</si>
  <si>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</si>
  <si>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</si>
  <si>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</si>
  <si>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</si>
  <si>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</si>
  <si>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</si>
  <si>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</si>
  <si>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</si>
  <si>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</si>
  <si>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</si>
  <si>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</si>
  <si>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</si>
  <si>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</si>
  <si>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</si>
  <si>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</si>
  <si>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</si>
  <si>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</si>
  <si>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</si>
  <si>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</si>
  <si>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</si>
  <si>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</si>
  <si>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</si>
  <si>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</si>
  <si>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</si>
  <si>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</si>
  <si>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</si>
  <si>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</si>
  <si>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</si>
  <si>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</si>
  <si>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</si>
  <si>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</si>
  <si>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</si>
  <si>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</si>
  <si>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</si>
  <si>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</si>
  <si>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</si>
  <si>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</si>
  <si>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</si>
  <si>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</si>
  <si>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</si>
  <si>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</si>
  <si>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</si>
  <si>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</si>
  <si>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</si>
  <si>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</si>
  <si>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</si>
  <si>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</si>
  <si>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</si>
  <si>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</si>
  <si>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</si>
  <si>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</si>
  <si>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</si>
  <si>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</si>
  <si>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</si>
  <si>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</si>
  <si>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</si>
  <si>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</si>
  <si>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</si>
  <si>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</si>
  <si>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</si>
  <si>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</si>
  <si>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</si>
  <si>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</si>
  <si>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</si>
  <si>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</si>
  <si>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</si>
  <si>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</si>
  <si>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</si>
  <si>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</si>
  <si>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</si>
  <si>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</si>
  <si>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</si>
  <si>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</si>
  <si>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</si>
  <si>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</si>
  <si>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</si>
  <si>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</si>
  <si>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</si>
  <si>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</si>
  <si>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</si>
  <si>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</si>
  <si>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</si>
  <si>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</si>
  <si>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</si>
  <si>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</si>
  <si>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</si>
  <si>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</si>
  <si>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</si>
  <si>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</si>
  <si>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</si>
  <si>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</si>
  <si>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</si>
  <si>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</si>
  <si>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</si>
  <si>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</si>
  <si>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</si>
  <si>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</si>
  <si>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</si>
  <si>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</si>
  <si>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</si>
  <si>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</si>
  <si>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</si>
  <si>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</si>
  <si>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</si>
  <si>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</si>
  <si>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</si>
  <si>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</si>
  <si>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</si>
  <si>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</si>
  <si>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</si>
  <si>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</si>
  <si>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</si>
  <si>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</si>
  <si>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</si>
  <si>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</si>
  <si>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</si>
  <si>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</si>
  <si>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</si>
  <si>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</si>
  <si>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</si>
  <si>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</si>
  <si>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</si>
  <si>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</si>
  <si>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</si>
  <si>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</si>
  <si>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</si>
  <si>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</si>
  <si>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</si>
  <si>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</si>
  <si>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</si>
  <si>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</si>
  <si>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</si>
  <si>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</si>
  <si>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</si>
  <si>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</si>
  <si>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</si>
  <si>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</si>
  <si>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</si>
  <si>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</si>
  <si>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</si>
  <si>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</si>
  <si>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</si>
  <si>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</si>
  <si>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</si>
  <si>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</si>
  <si>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</si>
  <si>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</si>
  <si>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</si>
  <si>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</si>
  <si>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</si>
  <si>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</si>
  <si>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</si>
  <si>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</si>
  <si>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</si>
  <si>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</si>
  <si>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</si>
  <si>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</si>
  <si>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</si>
  <si>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</si>
  <si>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</si>
  <si>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</si>
  <si>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</si>
  <si>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</si>
  <si>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</si>
  <si>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</si>
  <si>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</si>
  <si>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</si>
  <si>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</si>
  <si>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</si>
  <si>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</si>
  <si>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</si>
  <si>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</si>
  <si>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</si>
  <si>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</si>
  <si>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</si>
  <si>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</si>
  <si>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</si>
  <si>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</si>
  <si>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</si>
  <si>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</si>
  <si>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</si>
  <si>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</si>
  <si>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</si>
  <si>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</si>
  <si>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</si>
  <si>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</si>
  <si>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</si>
  <si>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</si>
  <si>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</si>
  <si>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</si>
  <si>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</si>
  <si>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</si>
  <si>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</si>
  <si>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</si>
  <si>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</si>
  <si>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</si>
  <si>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</si>
  <si>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</si>
  <si>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</si>
  <si>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</si>
  <si>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</si>
  <si>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</si>
  <si>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</si>
  <si>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</si>
  <si>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</si>
  <si>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</si>
  <si>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</si>
  <si>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</si>
  <si>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</si>
  <si>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</si>
  <si>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</si>
  <si>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</si>
  <si>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</si>
  <si>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</si>
  <si>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</si>
  <si>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</si>
  <si>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</si>
  <si>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</si>
  <si>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</si>
  <si>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</si>
  <si>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</si>
  <si>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</si>
  <si>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</si>
  <si>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</si>
  <si>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</si>
  <si>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</si>
  <si>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</si>
  <si>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</si>
  <si>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</si>
  <si>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</si>
  <si>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</si>
  <si>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</si>
  <si>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</si>
  <si>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</si>
  <si>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</si>
  <si>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</si>
  <si>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</si>
  <si>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</si>
  <si>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</si>
  <si>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</si>
  <si>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</si>
  <si>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</si>
  <si>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</si>
  <si>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</si>
  <si>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</si>
  <si>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</si>
  <si>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</si>
  <si>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</si>
  <si>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</si>
  <si>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</si>
  <si>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</si>
  <si>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</si>
  <si>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</si>
  <si>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</si>
  <si>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</si>
  <si>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</si>
  <si>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</si>
  <si>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</si>
  <si>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</si>
  <si>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</si>
  <si>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</si>
  <si>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</si>
  <si>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</si>
  <si>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</si>
  <si>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</si>
  <si>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</si>
  <si>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</si>
  <si>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</si>
  <si>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</si>
  <si>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</si>
  <si>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</si>
  <si>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</si>
  <si>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</si>
  <si>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</si>
  <si>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</si>
  <si>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</si>
  <si>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</si>
  <si>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</si>
  <si>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</si>
  <si>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</si>
  <si>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</si>
  <si>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</si>
  <si>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</si>
  <si>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</si>
  <si>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</si>
  <si>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</si>
  <si>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</si>
  <si>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</si>
  <si>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</si>
  <si>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</si>
  <si>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</si>
  <si>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</si>
  <si>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</si>
  <si>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</si>
  <si>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</si>
  <si>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</si>
  <si>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</si>
  <si>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</si>
  <si>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</si>
  <si>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</si>
  <si>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</si>
  <si>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</si>
  <si>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</si>
  <si>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</si>
  <si>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</si>
  <si>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</si>
  <si>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</si>
  <si>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</si>
  <si>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</si>
  <si>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</si>
  <si>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</si>
  <si>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</si>
  <si>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</si>
  <si>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</si>
  <si>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</si>
  <si>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</si>
  <si>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</si>
  <si>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</si>
  <si>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</si>
  <si>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</si>
  <si>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</si>
  <si>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</si>
  <si>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</si>
  <si>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</si>
  <si>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</si>
  <si>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</si>
  <si>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</si>
  <si>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</si>
  <si>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</si>
  <si>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</si>
  <si>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</si>
  <si>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</si>
  <si>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</si>
  <si>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</si>
  <si>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</si>
  <si>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</si>
  <si>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</si>
  <si>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</si>
  <si>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</si>
  <si>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</si>
  <si>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</si>
  <si>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</si>
  <si>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</si>
  <si>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</si>
  <si>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</si>
  <si>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</si>
  <si>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</si>
  <si>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</si>
  <si>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</si>
  <si>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</si>
  <si>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</si>
  <si>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</si>
  <si>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</si>
  <si>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</si>
  <si>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</si>
  <si>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</si>
  <si>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</si>
  <si>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</si>
  <si>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</si>
  <si>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</si>
  <si>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</si>
  <si>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</si>
  <si>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</si>
  <si>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</si>
  <si>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</si>
  <si>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</si>
  <si>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</si>
  <si>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</si>
  <si>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</si>
  <si>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</si>
  <si>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</si>
  <si>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</si>
  <si>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</si>
  <si>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</si>
  <si>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</si>
  <si>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</si>
  <si>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</si>
  <si>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</si>
  <si>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</si>
  <si>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</si>
  <si>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</si>
  <si>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</si>
  <si>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</si>
  <si>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</si>
  <si>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</si>
  <si>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</si>
  <si>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</si>
  <si>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</si>
  <si>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</si>
  <si>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</si>
  <si>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</si>
  <si>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</si>
  <si>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</si>
  <si>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</si>
  <si>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</si>
  <si>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</si>
  <si>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</si>
  <si>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</si>
  <si>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</si>
  <si>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</si>
  <si>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</si>
  <si>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</si>
  <si>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</si>
  <si>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</si>
  <si>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</si>
  <si>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</si>
  <si>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</si>
  <si>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</si>
  <si>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</si>
  <si>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</si>
  <si>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</si>
  <si>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</si>
  <si>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</si>
  <si>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</si>
  <si>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</si>
  <si>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</si>
  <si>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</si>
  <si>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</si>
  <si>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</si>
  <si>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</si>
  <si>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</si>
  <si>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</si>
  <si>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</si>
  <si>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</si>
  <si>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</si>
  <si>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</si>
  <si>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</si>
  <si>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</si>
  <si>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</si>
  <si>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</si>
  <si>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</si>
  <si>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</si>
  <si>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</si>
  <si>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</si>
  <si>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</si>
  <si>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</si>
  <si>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</si>
  <si>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</si>
  <si>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</si>
  <si>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</si>
  <si>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</si>
  <si>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</si>
  <si>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</si>
  <si>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</si>
  <si>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</si>
  <si>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</si>
  <si>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</si>
  <si>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</si>
  <si>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</si>
  <si>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</si>
  <si>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</si>
  <si>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</si>
  <si>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</si>
  <si>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</si>
  <si>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</si>
  <si>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</si>
  <si>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</si>
  <si>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</si>
  <si>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</si>
  <si>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</si>
  <si>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</si>
  <si>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</si>
  <si>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</si>
  <si>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</si>
  <si>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</si>
  <si>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</si>
  <si>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</si>
  <si>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</si>
  <si>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</si>
  <si>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</si>
  <si>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</si>
  <si>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</si>
  <si>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</si>
  <si>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</si>
  <si>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</si>
  <si>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</si>
  <si>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</si>
  <si>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</si>
  <si>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</si>
  <si>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</si>
  <si>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</si>
  <si>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</si>
  <si>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</si>
  <si>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</si>
  <si>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</si>
  <si>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</si>
  <si>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</si>
  <si>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</si>
  <si>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</si>
  <si>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</si>
  <si>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</si>
  <si>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</si>
  <si>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</si>
  <si>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</si>
  <si>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</si>
  <si>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</si>
  <si>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</si>
  <si>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</si>
  <si>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</si>
  <si>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</si>
  <si>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</si>
  <si>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</si>
  <si>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</si>
  <si>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</si>
  <si>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</si>
  <si>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</si>
  <si>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</si>
  <si>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</si>
  <si>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</si>
  <si>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</si>
  <si>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</si>
  <si>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</si>
  <si>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</si>
  <si>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</si>
  <si>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</si>
  <si>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</si>
  <si>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</si>
  <si>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</si>
  <si>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</si>
  <si>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</si>
  <si>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</si>
  <si>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</si>
  <si>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</si>
  <si>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</si>
  <si>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</si>
  <si>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</si>
  <si>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</si>
  <si>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</si>
  <si>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</si>
  <si>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</si>
  <si>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</si>
  <si>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</si>
  <si>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</si>
  <si>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</si>
  <si>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</si>
  <si>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</si>
  <si>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</si>
  <si>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</si>
  <si>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</si>
  <si>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</si>
  <si>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</si>
  <si>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</si>
  <si>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</si>
  <si>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</si>
  <si>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</si>
  <si>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</si>
  <si>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</si>
  <si>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</si>
  <si>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</si>
  <si>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</si>
  <si>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</si>
  <si>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</si>
  <si>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</si>
  <si>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</si>
  <si>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</si>
  <si>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</si>
  <si>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</si>
  <si>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</si>
  <si>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</si>
  <si>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</si>
  <si>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</si>
  <si>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</si>
  <si>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</si>
  <si>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</si>
  <si>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</si>
  <si>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work hampered due to continues heavy rain</t>
  </si>
  <si>
    <t>3rd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</si>
</sst>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20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14" fontId="7" fillId="5" borderId="9" xfId="0" applyNumberFormat="1" applyFont="1" applyFill="1" applyBorder="1" applyAlignment="1">
      <alignment horizontal="center" vertic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  <xf numFmtId="0" fontId="123" fillId="5" borderId="9" xfId="0" applyFont="1" applyFill="1" applyBorder="1" applyAlignment="1">
      <alignment horizontal="center" vertical="center" wrapText="1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FFFF66"/>
      <color rgb="FF66FFFF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2"/>
      <c r="B1" s="69" t="s">
        <v>0</v>
      </c>
      <c r="C1" s="70" t="s">
        <v>1</v>
      </c>
      <c r="D1" s="71" t="s">
        <v>2</v>
      </c>
      <c r="E1" s="72"/>
      <c r="F1" s="73">
        <f ca="1">TODAY()-1</f>
        <v>46228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3"/>
      <c r="B2" s="80" t="s">
        <v>5</v>
      </c>
      <c r="C2" s="645" t="s">
        <v>6</v>
      </c>
      <c r="D2" s="646"/>
      <c r="E2" s="647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3"/>
      <c r="B3" s="80" t="s">
        <v>10</v>
      </c>
      <c r="C3" s="645" t="s">
        <v>11</v>
      </c>
      <c r="D3" s="646"/>
      <c r="E3" s="647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4"/>
      <c r="B4" s="80" t="s">
        <v>15</v>
      </c>
      <c r="C4" s="648">
        <v>46153</v>
      </c>
      <c r="D4" s="648"/>
      <c r="E4" s="649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0" t="s">
        <v>20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/>
    </row>
    <row r="6" spans="1:15" ht="28.5">
      <c r="A6" s="641" t="s">
        <v>21</v>
      </c>
      <c r="B6" s="641"/>
      <c r="C6" s="641"/>
      <c r="D6" s="641"/>
      <c r="E6" s="641"/>
      <c r="F6" s="641"/>
      <c r="G6" s="641"/>
      <c r="H6" s="641"/>
      <c r="I6" s="641"/>
      <c r="J6" s="641"/>
      <c r="K6" s="641"/>
      <c r="L6" s="641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8" t="s">
        <v>39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638"/>
      <c r="O12" s="638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9" t="s">
        <v>33</v>
      </c>
      <c r="O13" s="639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0" t="s">
        <v>53</v>
      </c>
      <c r="O14" s="640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2"/>
      <c r="O15" s="632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2"/>
      <c r="O16" s="632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32"/>
      <c r="O17" s="632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2"/>
      <c r="O18" s="632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3"/>
      <c r="O19" s="633"/>
    </row>
    <row r="20" spans="1:15" ht="24" customHeight="1">
      <c r="N20" s="634"/>
      <c r="O20" s="634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27"/>
      <c r="B1" s="270" t="s">
        <v>0</v>
      </c>
      <c r="C1" s="631" t="s">
        <v>59</v>
      </c>
      <c r="D1" s="631"/>
      <c r="E1" s="631"/>
      <c r="F1" s="270" t="s">
        <v>2</v>
      </c>
      <c r="G1" s="274">
        <v>46229</v>
      </c>
      <c r="H1" s="270" t="s">
        <v>3</v>
      </c>
      <c r="I1" s="275" t="s">
        <v>4</v>
      </c>
      <c r="J1" s="77"/>
      <c r="K1" s="78"/>
      <c r="L1" s="79"/>
    </row>
    <row r="2" spans="1:15" ht="21">
      <c r="A2" s="627"/>
      <c r="B2" s="270" t="s">
        <v>5</v>
      </c>
      <c r="C2" s="628" t="s">
        <v>60</v>
      </c>
      <c r="D2" s="628"/>
      <c r="E2" s="628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27"/>
      <c r="B3" s="270" t="s">
        <v>10</v>
      </c>
      <c r="C3" s="628" t="s">
        <v>61</v>
      </c>
      <c r="D3" s="628"/>
      <c r="E3" s="628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27"/>
      <c r="B4" s="270" t="s">
        <v>15</v>
      </c>
      <c r="C4" s="629"/>
      <c r="D4" s="629"/>
      <c r="E4" s="629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0"/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/>
    </row>
    <row r="6" spans="1:15" ht="28.5">
      <c r="A6" s="626" t="s">
        <v>65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35" t="s">
        <v>39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5"/>
      <c r="N12" s="635"/>
      <c r="O12" s="635"/>
    </row>
    <row r="13" spans="1:15" ht="93">
      <c r="A13" s="269" t="s">
        <v>22</v>
      </c>
      <c r="B13" s="269" t="s">
        <v>40</v>
      </c>
      <c r="C13" s="269" t="s">
        <v>1119</v>
      </c>
      <c r="D13" s="269" t="s">
        <v>1120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6" t="s">
        <v>33</v>
      </c>
      <c r="O13" s="636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37"/>
      <c r="O14" s="637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7" t="s">
        <v>67</v>
      </c>
      <c r="O15" s="637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37"/>
      <c r="O16" s="637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37" t="s">
        <v>67</v>
      </c>
      <c r="O17" s="637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32"/>
      <c r="O18" s="632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3"/>
      <c r="O19" s="633"/>
    </row>
    <row r="20" spans="1:15" ht="40.35" customHeight="1">
      <c r="N20" s="634"/>
      <c r="O20" s="634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50" t="s">
        <v>86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246">
        <f>'765KV ASOTL'!G1</f>
        <v>46229</v>
      </c>
    </row>
    <row r="2" spans="1:15" s="209" customFormat="1">
      <c r="A2" s="235" t="s">
        <v>87</v>
      </c>
      <c r="B2" s="236"/>
      <c r="C2" s="651" t="s">
        <v>72</v>
      </c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15" s="209" customFormat="1">
      <c r="A3" s="235" t="s">
        <v>88</v>
      </c>
      <c r="B3" s="236"/>
      <c r="C3" s="651" t="s">
        <v>89</v>
      </c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15" s="209" customFormat="1">
      <c r="A4" s="237" t="s">
        <v>90</v>
      </c>
      <c r="B4" s="237"/>
      <c r="C4" s="652" t="s">
        <v>91</v>
      </c>
      <c r="D4" s="652"/>
      <c r="E4" s="652"/>
      <c r="F4" s="652"/>
      <c r="G4" s="652"/>
      <c r="H4" s="652"/>
      <c r="I4" s="652"/>
      <c r="J4" s="652"/>
      <c r="K4" s="652"/>
      <c r="L4" s="652"/>
      <c r="M4" s="652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1121</v>
      </c>
      <c r="E5" s="238" t="s">
        <v>1122</v>
      </c>
      <c r="F5" s="238" t="s">
        <v>1123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3" t="s">
        <v>1117</v>
      </c>
      <c r="N12" s="653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54" t="s">
        <v>86</v>
      </c>
      <c r="C2" s="655"/>
      <c r="D2" s="655"/>
      <c r="E2" s="655"/>
      <c r="F2" s="655"/>
      <c r="G2" s="656"/>
    </row>
    <row r="3" spans="2:11" ht="16.5" thickBot="1">
      <c r="B3" s="657" t="s">
        <v>116</v>
      </c>
      <c r="C3" s="658"/>
      <c r="D3" s="658"/>
      <c r="E3" s="658"/>
      <c r="F3" s="658"/>
      <c r="G3" s="248">
        <f>+'AOTL - KEC'!M1</f>
        <v>46229</v>
      </c>
    </row>
    <row r="4" spans="2:11" ht="16.5" thickBot="1">
      <c r="B4" s="659" t="s">
        <v>117</v>
      </c>
      <c r="C4" s="660"/>
      <c r="D4" s="664" t="s">
        <v>89</v>
      </c>
      <c r="E4" s="665"/>
      <c r="F4" s="665"/>
      <c r="G4" s="666"/>
    </row>
    <row r="5" spans="2:11" ht="16.5" thickBot="1">
      <c r="B5" s="659" t="s">
        <v>118</v>
      </c>
      <c r="C5" s="660"/>
      <c r="D5" s="661" t="s">
        <v>119</v>
      </c>
      <c r="E5" s="662"/>
      <c r="F5" s="662"/>
      <c r="G5" s="663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2" t="s">
        <v>120</v>
      </c>
      <c r="C7" s="673"/>
      <c r="D7" s="673"/>
      <c r="E7" s="673"/>
      <c r="F7" s="673"/>
      <c r="G7" s="67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5" t="s">
        <v>125</v>
      </c>
      <c r="G8" s="67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7">
        <f>'AOTL - KEC'!J6</f>
        <v>0</v>
      </c>
      <c r="G9" s="668"/>
    </row>
    <row r="10" spans="2:11" ht="15.75" thickBot="1">
      <c r="B10" s="669" t="s">
        <v>126</v>
      </c>
      <c r="C10" s="670"/>
      <c r="D10" s="670"/>
      <c r="E10" s="670"/>
      <c r="F10" s="670"/>
      <c r="G10" s="67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5" t="s">
        <v>125</v>
      </c>
      <c r="G11" s="67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7">
        <f>B12-E12</f>
        <v>0</v>
      </c>
      <c r="G12" s="678"/>
    </row>
    <row r="13" spans="2:11" ht="15.75" thickBot="1">
      <c r="B13" s="669" t="s">
        <v>127</v>
      </c>
      <c r="C13" s="670"/>
      <c r="D13" s="670"/>
      <c r="E13" s="670"/>
      <c r="F13" s="670"/>
      <c r="G13" s="67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5" t="s">
        <v>125</v>
      </c>
      <c r="G14" s="676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7">
        <f>B15-E15</f>
        <v>6.5450000000000159</v>
      </c>
      <c r="G15" s="668"/>
      <c r="K15" s="6"/>
    </row>
    <row r="16" spans="2:11" ht="15.75" thickBot="1">
      <c r="B16" s="669" t="s">
        <v>128</v>
      </c>
      <c r="C16" s="670"/>
      <c r="D16" s="670"/>
      <c r="E16" s="670"/>
      <c r="F16" s="670"/>
      <c r="G16" s="67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5" t="s">
        <v>125</v>
      </c>
      <c r="G17" s="676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67">
        <f>B18-E18</f>
        <v>19.996999999999986</v>
      </c>
      <c r="G18" s="668"/>
      <c r="K18" s="13"/>
    </row>
    <row r="19" spans="2:11" ht="15.75" thickBot="1">
      <c r="B19" s="669" t="s">
        <v>129</v>
      </c>
      <c r="C19" s="670"/>
      <c r="D19" s="670"/>
      <c r="E19" s="670"/>
      <c r="F19" s="670"/>
      <c r="G19" s="67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5" t="s">
        <v>125</v>
      </c>
      <c r="G20" s="676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7">
        <f>B21-E21</f>
        <v>198</v>
      </c>
      <c r="G21" s="678"/>
    </row>
    <row r="22" spans="2:11" ht="15.75" thickBot="1">
      <c r="B22" s="669" t="s">
        <v>1096</v>
      </c>
      <c r="C22" s="670"/>
      <c r="D22" s="670"/>
      <c r="E22" s="670"/>
      <c r="F22" s="670"/>
      <c r="G22" s="67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5" t="s">
        <v>125</v>
      </c>
      <c r="G23" s="676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7">
        <f>B24-E24</f>
        <v>204</v>
      </c>
      <c r="G24" s="678"/>
    </row>
    <row r="25" spans="2:11" ht="15.75" thickBot="1">
      <c r="B25" s="669" t="s">
        <v>131</v>
      </c>
      <c r="C25" s="670"/>
      <c r="D25" s="670"/>
      <c r="E25" s="670"/>
      <c r="F25" s="670"/>
      <c r="G25" s="67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5" t="s">
        <v>125</v>
      </c>
      <c r="G26" s="676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77">
        <f>B27-E27</f>
        <v>247</v>
      </c>
      <c r="G27" s="678"/>
    </row>
    <row r="28" spans="2:11" ht="15.75" thickBot="1">
      <c r="B28" s="669" t="s">
        <v>132</v>
      </c>
      <c r="C28" s="670"/>
      <c r="D28" s="670"/>
      <c r="E28" s="670"/>
      <c r="F28" s="670"/>
      <c r="G28" s="67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5" t="s">
        <v>133</v>
      </c>
      <c r="G29" s="67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7">
        <f>B30-E30</f>
        <v>114.51600000000001</v>
      </c>
      <c r="G30" s="668"/>
    </row>
    <row r="31" spans="2:11" ht="15.75" thickBot="1">
      <c r="B31" s="669" t="s">
        <v>134</v>
      </c>
      <c r="C31" s="670"/>
      <c r="D31" s="670"/>
      <c r="E31" s="670"/>
      <c r="F31" s="670"/>
      <c r="G31" s="67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5" t="s">
        <v>125</v>
      </c>
      <c r="G32" s="67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7">
        <f>B33-E33</f>
        <v>114.51600000000001</v>
      </c>
      <c r="G33" s="668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679" t="s">
        <v>257</v>
      </c>
      <c r="B1" s="679"/>
      <c r="C1" s="679"/>
      <c r="D1" s="679"/>
      <c r="E1" s="679"/>
      <c r="F1" s="679"/>
      <c r="G1" s="679"/>
      <c r="H1" s="679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S32" sqref="S32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00000000000001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00000000000001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00000000000001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00000000000001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00000000000001" hidden="1" customHeight="1">
      <c r="E42" s="528" t="s">
        <v>1102</v>
      </c>
      <c r="F42" s="527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F12" sqref="F12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71"/>
      <c r="B1" s="472"/>
      <c r="C1" s="472"/>
      <c r="D1" s="473" t="s">
        <v>2</v>
      </c>
      <c r="E1" s="474">
        <f>+'AOTL - KEC'!M1</f>
        <v>46229</v>
      </c>
    </row>
    <row r="2" spans="1:6">
      <c r="A2" s="475"/>
      <c r="E2" s="476"/>
    </row>
    <row r="3" spans="1:6" ht="15.75">
      <c r="A3" s="685" t="s">
        <v>243</v>
      </c>
      <c r="B3" s="686"/>
      <c r="C3" s="686"/>
      <c r="D3" s="686"/>
      <c r="E3" s="687"/>
    </row>
    <row r="4" spans="1:6" s="346" customFormat="1" ht="22.35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8" activePane="bottomLeft" state="frozen"/>
      <selection pane="bottomLeft" activeCell="G98" sqref="G98"/>
    </sheetView>
  </sheetViews>
  <sheetFormatPr defaultColWidth="9.42578125" defaultRowHeight="15"/>
  <cols>
    <col min="1" max="4" width="13.140625" style="350" customWidth="1"/>
    <col min="5" max="5" width="13.140625" style="351" customWidth="1"/>
    <col min="6" max="6" width="13.140625" style="350" customWidth="1"/>
    <col min="7" max="7" width="13.140625" style="420" customWidth="1"/>
    <col min="8" max="8" width="13.140625" style="387" customWidth="1"/>
    <col min="9" max="10" width="13.140625" style="350" customWidth="1"/>
    <col min="11" max="11" width="13.140625" style="393" customWidth="1"/>
    <col min="12" max="14" width="13.140625" style="350" customWidth="1"/>
    <col min="15" max="16384" width="9.42578125" style="383"/>
  </cols>
  <sheetData>
    <row r="1" spans="1:16" s="395" customFormat="1" ht="15.75">
      <c r="A1" s="688" t="s">
        <v>336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90"/>
      <c r="N1" s="407">
        <f>'765KV ASOTL'!G1</f>
        <v>46229</v>
      </c>
      <c r="P1" s="395" t="s">
        <v>337</v>
      </c>
    </row>
    <row r="2" spans="1:16" s="346" customFormat="1" ht="50.2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76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45.6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1181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35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3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abSelected="1" topLeftCell="A48" zoomScale="55" zoomScaleNormal="55" zoomScaleSheetLayoutView="72" workbookViewId="0">
      <selection activeCell="G58" sqref="G58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691" t="s">
        <v>465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430">
        <f>FDN!N1</f>
        <v>46229</v>
      </c>
    </row>
    <row r="3" spans="1:16" ht="47.25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1118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1124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453" customFormat="1" ht="64.5" customHeight="1">
      <c r="A51" s="456">
        <v>48</v>
      </c>
      <c r="B51" s="449" t="s">
        <v>378</v>
      </c>
      <c r="C51" s="449" t="s">
        <v>350</v>
      </c>
      <c r="D51" s="457">
        <v>46218</v>
      </c>
      <c r="E51" s="452">
        <v>37.795999999999999</v>
      </c>
      <c r="F51" s="819" t="s">
        <v>1183</v>
      </c>
      <c r="G51" s="625"/>
      <c r="H51" s="451" t="s">
        <v>1124</v>
      </c>
      <c r="I51" s="451"/>
      <c r="J51" s="450">
        <v>35</v>
      </c>
      <c r="K51" s="451"/>
      <c r="L51" s="451"/>
      <c r="M51" s="451"/>
      <c r="N51" s="451"/>
      <c r="O51" s="451"/>
      <c r="P51" s="451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1118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25.15" customHeight="1">
      <c r="A53" s="456"/>
      <c r="B53" s="449"/>
      <c r="C53" s="449"/>
      <c r="D53" s="457"/>
      <c r="E53" s="455"/>
      <c r="F53" s="458"/>
      <c r="G53" s="250"/>
      <c r="H53" s="451"/>
      <c r="I53" s="451"/>
      <c r="J53" s="450"/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G57" s="250"/>
      <c r="H57" s="454"/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38" zoomScale="60" zoomScaleNormal="40" workbookViewId="0">
      <selection activeCell="AF37" sqref="AF37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693" t="s">
        <v>480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  <c r="AB1" s="694"/>
      <c r="AC1" s="694"/>
      <c r="AD1" s="694"/>
      <c r="AE1" s="694"/>
      <c r="AF1" s="695"/>
      <c r="AG1" s="170"/>
      <c r="AH1" s="170"/>
      <c r="AI1" s="170"/>
      <c r="AJ1" s="170"/>
      <c r="AK1" s="170"/>
      <c r="AL1" s="170"/>
      <c r="AM1" s="761"/>
      <c r="AN1" s="761"/>
      <c r="AO1" s="762"/>
    </row>
    <row r="2" spans="1:41" s="159" customFormat="1" ht="17.25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3"/>
      <c r="AH2" s="763"/>
      <c r="AI2" s="763"/>
      <c r="AJ2" s="763"/>
      <c r="AK2" s="763"/>
      <c r="AL2" s="763"/>
      <c r="AM2" s="763"/>
      <c r="AN2" s="763"/>
      <c r="AO2" s="764"/>
    </row>
    <row r="3" spans="1:41" s="159" customFormat="1" ht="17.100000000000001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5" t="s">
        <v>485</v>
      </c>
      <c r="AH3" s="766"/>
      <c r="AI3" s="766"/>
      <c r="AJ3" s="171" t="s">
        <v>486</v>
      </c>
      <c r="AK3" s="171"/>
      <c r="AL3" s="171"/>
      <c r="AM3" s="767" t="s">
        <v>487</v>
      </c>
      <c r="AN3" s="767" t="s">
        <v>488</v>
      </c>
      <c r="AO3" s="770" t="s">
        <v>489</v>
      </c>
    </row>
    <row r="4" spans="1:41" s="159" customFormat="1" ht="17.100000000000001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5" t="s">
        <v>491</v>
      </c>
      <c r="AH4" s="766" t="s">
        <v>492</v>
      </c>
      <c r="AI4" s="766" t="s">
        <v>493</v>
      </c>
      <c r="AJ4" s="766" t="s">
        <v>491</v>
      </c>
      <c r="AK4" s="766" t="s">
        <v>492</v>
      </c>
      <c r="AL4" s="766" t="s">
        <v>493</v>
      </c>
      <c r="AM4" s="768"/>
      <c r="AN4" s="768"/>
      <c r="AO4" s="771"/>
    </row>
    <row r="5" spans="1:41" s="159" customFormat="1" ht="17.4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4">
        <f>'765KV ASOTL'!G1</f>
        <v>46229</v>
      </c>
      <c r="AF5" s="715"/>
      <c r="AG5" s="765"/>
      <c r="AH5" s="766"/>
      <c r="AI5" s="766"/>
      <c r="AJ5" s="766"/>
      <c r="AK5" s="766"/>
      <c r="AL5" s="766"/>
      <c r="AM5" s="769"/>
      <c r="AN5" s="769"/>
      <c r="AO5" s="772"/>
    </row>
    <row r="6" spans="1:41" s="159" customFormat="1" ht="13.35" customHeight="1">
      <c r="A6" s="700" t="s">
        <v>494</v>
      </c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16" t="s">
        <v>495</v>
      </c>
      <c r="M6" s="717"/>
      <c r="N6" s="717"/>
      <c r="O6" s="717"/>
      <c r="P6" s="717"/>
      <c r="Q6" s="717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02"/>
      <c r="B7" s="703"/>
      <c r="C7" s="703"/>
      <c r="D7" s="703"/>
      <c r="E7" s="703"/>
      <c r="F7" s="703"/>
      <c r="G7" s="703"/>
      <c r="H7" s="703"/>
      <c r="I7" s="703"/>
      <c r="J7" s="703"/>
      <c r="K7" s="703"/>
      <c r="L7" s="718"/>
      <c r="M7" s="719"/>
      <c r="N7" s="719"/>
      <c r="O7" s="719"/>
      <c r="P7" s="719"/>
      <c r="Q7" s="719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04" t="s">
        <v>244</v>
      </c>
      <c r="B8" s="706" t="s">
        <v>22</v>
      </c>
      <c r="C8" s="707"/>
      <c r="D8" s="708"/>
      <c r="E8" s="712" t="s">
        <v>246</v>
      </c>
      <c r="F8" s="706" t="s">
        <v>496</v>
      </c>
      <c r="G8" s="708"/>
      <c r="H8" s="706" t="s">
        <v>497</v>
      </c>
      <c r="I8" s="708"/>
      <c r="J8" s="706" t="s">
        <v>498</v>
      </c>
      <c r="K8" s="708"/>
      <c r="L8" s="727" t="s">
        <v>244</v>
      </c>
      <c r="M8" s="729" t="s">
        <v>499</v>
      </c>
      <c r="N8" s="730"/>
      <c r="O8" s="733" t="s">
        <v>500</v>
      </c>
      <c r="P8" s="727" t="s">
        <v>501</v>
      </c>
      <c r="Q8" s="696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05"/>
      <c r="B9" s="709"/>
      <c r="C9" s="710"/>
      <c r="D9" s="711"/>
      <c r="E9" s="713"/>
      <c r="F9" s="709"/>
      <c r="G9" s="711"/>
      <c r="H9" s="709"/>
      <c r="I9" s="711"/>
      <c r="J9" s="709"/>
      <c r="K9" s="711"/>
      <c r="L9" s="728"/>
      <c r="M9" s="731"/>
      <c r="N9" s="732"/>
      <c r="O9" s="734"/>
      <c r="P9" s="728"/>
      <c r="Q9" s="697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61">
        <v>1</v>
      </c>
      <c r="B10" s="720" t="s">
        <v>37</v>
      </c>
      <c r="C10" s="721"/>
      <c r="D10" s="722"/>
      <c r="E10" s="177" t="s">
        <v>503</v>
      </c>
      <c r="F10" s="723">
        <v>114.51600000000001</v>
      </c>
      <c r="G10" s="724"/>
      <c r="H10" s="725">
        <f>'Survey Anx'!F39</f>
        <v>107.97099999999999</v>
      </c>
      <c r="I10" s="726"/>
      <c r="J10" s="723">
        <f t="shared" ref="J10:J19" si="0">F10-H10</f>
        <v>6.5450000000000159</v>
      </c>
      <c r="K10" s="724"/>
      <c r="L10" s="177">
        <v>1</v>
      </c>
      <c r="M10" s="698" t="s">
        <v>504</v>
      </c>
      <c r="N10" s="699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3"/>
      <c r="AH10" s="773"/>
      <c r="AI10" s="773"/>
      <c r="AJ10" s="773"/>
      <c r="AK10" s="773"/>
      <c r="AL10" s="773"/>
      <c r="AM10" s="774"/>
      <c r="AN10" s="774"/>
      <c r="AO10" s="776"/>
    </row>
    <row r="11" spans="1:41" s="159" customFormat="1" ht="17.25">
      <c r="A11" s="564">
        <v>2</v>
      </c>
      <c r="B11" s="735" t="s">
        <v>21</v>
      </c>
      <c r="C11" s="736"/>
      <c r="D11" s="737"/>
      <c r="E11" s="179" t="s">
        <v>503</v>
      </c>
      <c r="F11" s="742">
        <v>114.51600000000001</v>
      </c>
      <c r="G11" s="743"/>
      <c r="H11" s="744">
        <f>'Survey Anx'!I39</f>
        <v>94.51900000000002</v>
      </c>
      <c r="I11" s="745"/>
      <c r="J11" s="742">
        <f t="shared" si="0"/>
        <v>19.996999999999986</v>
      </c>
      <c r="K11" s="743"/>
      <c r="L11" s="204">
        <f t="shared" ref="L11:L18" si="1">L10+1</f>
        <v>2</v>
      </c>
      <c r="M11" s="778" t="s">
        <v>505</v>
      </c>
      <c r="N11" s="779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3"/>
      <c r="AH11" s="773"/>
      <c r="AI11" s="773"/>
      <c r="AJ11" s="773"/>
      <c r="AK11" s="773"/>
      <c r="AL11" s="773"/>
      <c r="AM11" s="774"/>
      <c r="AN11" s="774"/>
      <c r="AO11" s="776"/>
    </row>
    <row r="12" spans="1:41" s="159" customFormat="1" ht="17.45" customHeight="1">
      <c r="A12" s="564">
        <v>3</v>
      </c>
      <c r="B12" s="735" t="s">
        <v>52</v>
      </c>
      <c r="C12" s="736"/>
      <c r="D12" s="737"/>
      <c r="E12" s="179" t="s">
        <v>506</v>
      </c>
      <c r="F12" s="738">
        <v>30</v>
      </c>
      <c r="G12" s="739"/>
      <c r="H12" s="740">
        <v>30</v>
      </c>
      <c r="I12" s="741"/>
      <c r="J12" s="738">
        <f t="shared" si="0"/>
        <v>0</v>
      </c>
      <c r="K12" s="739"/>
      <c r="L12" s="204">
        <f t="shared" si="1"/>
        <v>3</v>
      </c>
      <c r="M12" s="778" t="s">
        <v>507</v>
      </c>
      <c r="N12" s="779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4"/>
      <c r="AH12" s="774"/>
      <c r="AI12" s="774"/>
      <c r="AJ12" s="774"/>
      <c r="AK12" s="774"/>
      <c r="AL12" s="774"/>
      <c r="AM12" s="774"/>
      <c r="AN12" s="774"/>
      <c r="AO12" s="776"/>
    </row>
    <row r="13" spans="1:41" s="159" customFormat="1" ht="17.45" customHeight="1">
      <c r="A13" s="564">
        <v>4</v>
      </c>
      <c r="B13" s="735" t="s">
        <v>54</v>
      </c>
      <c r="C13" s="736"/>
      <c r="D13" s="737"/>
      <c r="E13" s="179" t="s">
        <v>506</v>
      </c>
      <c r="F13" s="738">
        <v>293</v>
      </c>
      <c r="G13" s="739"/>
      <c r="H13" s="740">
        <f>BV20</f>
        <v>95</v>
      </c>
      <c r="I13" s="741"/>
      <c r="J13" s="738">
        <f t="shared" si="0"/>
        <v>198</v>
      </c>
      <c r="K13" s="739"/>
      <c r="L13" s="204">
        <f t="shared" si="1"/>
        <v>4</v>
      </c>
      <c r="M13" s="778" t="s">
        <v>508</v>
      </c>
      <c r="N13" s="779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4"/>
      <c r="AH13" s="774"/>
      <c r="AI13" s="774"/>
      <c r="AJ13" s="774"/>
      <c r="AK13" s="774"/>
      <c r="AL13" s="774"/>
      <c r="AM13" s="774"/>
      <c r="AN13" s="774"/>
      <c r="AO13" s="776"/>
    </row>
    <row r="14" spans="1:41" s="159" customFormat="1" ht="17.45" customHeight="1">
      <c r="A14" s="564">
        <v>5</v>
      </c>
      <c r="B14" s="735" t="s">
        <v>55</v>
      </c>
      <c r="C14" s="736"/>
      <c r="D14" s="737"/>
      <c r="E14" s="179" t="s">
        <v>506</v>
      </c>
      <c r="F14" s="738">
        <v>293</v>
      </c>
      <c r="G14" s="739"/>
      <c r="H14" s="740">
        <v>89</v>
      </c>
      <c r="I14" s="741"/>
      <c r="J14" s="738">
        <f t="shared" si="0"/>
        <v>204</v>
      </c>
      <c r="K14" s="739"/>
      <c r="L14" s="204">
        <f t="shared" si="1"/>
        <v>5</v>
      </c>
      <c r="M14" s="778" t="s">
        <v>509</v>
      </c>
      <c r="N14" s="779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4"/>
      <c r="AH14" s="774"/>
      <c r="AI14" s="774"/>
      <c r="AJ14" s="774"/>
      <c r="AK14" s="774"/>
      <c r="AL14" s="774"/>
      <c r="AM14" s="774"/>
      <c r="AN14" s="774"/>
      <c r="AO14" s="776"/>
    </row>
    <row r="15" spans="1:41" s="159" customFormat="1" ht="17.100000000000001" customHeight="1">
      <c r="A15" s="564">
        <v>6</v>
      </c>
      <c r="B15" s="735" t="s">
        <v>510</v>
      </c>
      <c r="C15" s="736"/>
      <c r="D15" s="737"/>
      <c r="E15" s="179" t="s">
        <v>506</v>
      </c>
      <c r="F15" s="738">
        <v>293</v>
      </c>
      <c r="G15" s="739"/>
      <c r="H15" s="740">
        <f>BW20</f>
        <v>47</v>
      </c>
      <c r="I15" s="741"/>
      <c r="J15" s="738">
        <f t="shared" si="0"/>
        <v>246</v>
      </c>
      <c r="K15" s="739"/>
      <c r="L15" s="204">
        <f t="shared" si="1"/>
        <v>6</v>
      </c>
      <c r="M15" s="778" t="s">
        <v>511</v>
      </c>
      <c r="N15" s="779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4"/>
      <c r="AH15" s="774"/>
      <c r="AI15" s="774"/>
      <c r="AJ15" s="774"/>
      <c r="AK15" s="774"/>
      <c r="AL15" s="774"/>
      <c r="AM15" s="774"/>
      <c r="AN15" s="774"/>
      <c r="AO15" s="776"/>
    </row>
    <row r="16" spans="1:41" s="159" customFormat="1" ht="17.45" customHeight="1">
      <c r="A16" s="564">
        <v>7</v>
      </c>
      <c r="B16" s="735" t="s">
        <v>512</v>
      </c>
      <c r="C16" s="736"/>
      <c r="D16" s="737"/>
      <c r="E16" s="179" t="s">
        <v>506</v>
      </c>
      <c r="F16" s="738">
        <v>293</v>
      </c>
      <c r="G16" s="739"/>
      <c r="H16" s="740">
        <v>13</v>
      </c>
      <c r="I16" s="741"/>
      <c r="J16" s="738">
        <f t="shared" si="0"/>
        <v>280</v>
      </c>
      <c r="K16" s="739"/>
      <c r="L16" s="204">
        <f t="shared" si="1"/>
        <v>7</v>
      </c>
      <c r="M16" s="778" t="s">
        <v>67</v>
      </c>
      <c r="N16" s="779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4"/>
      <c r="AH16" s="774"/>
      <c r="AI16" s="774"/>
      <c r="AJ16" s="774"/>
      <c r="AK16" s="774"/>
      <c r="AL16" s="774"/>
      <c r="AM16" s="774"/>
      <c r="AN16" s="774"/>
      <c r="AO16" s="776"/>
    </row>
    <row r="17" spans="1:75" s="159" customFormat="1" ht="17.45" customHeight="1">
      <c r="A17" s="564">
        <v>8</v>
      </c>
      <c r="B17" s="735" t="s">
        <v>513</v>
      </c>
      <c r="C17" s="736"/>
      <c r="D17" s="737"/>
      <c r="E17" s="179" t="s">
        <v>503</v>
      </c>
      <c r="F17" s="742">
        <v>114.51600000000001</v>
      </c>
      <c r="G17" s="743"/>
      <c r="H17" s="744">
        <v>0</v>
      </c>
      <c r="I17" s="745"/>
      <c r="J17" s="742">
        <f t="shared" si="0"/>
        <v>114.51600000000001</v>
      </c>
      <c r="K17" s="743"/>
      <c r="L17" s="204">
        <f t="shared" si="1"/>
        <v>8</v>
      </c>
      <c r="M17" s="778" t="s">
        <v>67</v>
      </c>
      <c r="N17" s="779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4"/>
      <c r="AH17" s="774"/>
      <c r="AI17" s="774"/>
      <c r="AJ17" s="774"/>
      <c r="AK17" s="774"/>
      <c r="AL17" s="774"/>
      <c r="AM17" s="774"/>
      <c r="AN17" s="774"/>
      <c r="AO17" s="776"/>
    </row>
    <row r="18" spans="1:75" s="159" customFormat="1" ht="17.45" customHeight="1">
      <c r="A18" s="564">
        <v>9</v>
      </c>
      <c r="B18" s="735" t="s">
        <v>514</v>
      </c>
      <c r="C18" s="736"/>
      <c r="D18" s="737"/>
      <c r="E18" s="179" t="s">
        <v>503</v>
      </c>
      <c r="F18" s="742">
        <v>114.51600000000001</v>
      </c>
      <c r="G18" s="743"/>
      <c r="H18" s="744">
        <v>0</v>
      </c>
      <c r="I18" s="745"/>
      <c r="J18" s="742">
        <f t="shared" si="0"/>
        <v>114.51600000000001</v>
      </c>
      <c r="K18" s="743"/>
      <c r="L18" s="204">
        <f t="shared" si="1"/>
        <v>9</v>
      </c>
      <c r="M18" s="778" t="s">
        <v>67</v>
      </c>
      <c r="N18" s="779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4"/>
      <c r="AH18" s="774"/>
      <c r="AI18" s="774"/>
      <c r="AJ18" s="774"/>
      <c r="AK18" s="774"/>
      <c r="AL18" s="774"/>
      <c r="AM18" s="774"/>
      <c r="AN18" s="774"/>
      <c r="AO18" s="776"/>
    </row>
    <row r="19" spans="1:75" s="159" customFormat="1" ht="18" customHeight="1" thickBot="1">
      <c r="A19" s="565">
        <v>10</v>
      </c>
      <c r="B19" s="746" t="s">
        <v>515</v>
      </c>
      <c r="C19" s="747"/>
      <c r="D19" s="748"/>
      <c r="E19" s="180" t="s">
        <v>503</v>
      </c>
      <c r="F19" s="749">
        <v>114.51600000000001</v>
      </c>
      <c r="G19" s="750"/>
      <c r="H19" s="751">
        <v>0</v>
      </c>
      <c r="I19" s="752"/>
      <c r="J19" s="749">
        <f t="shared" si="0"/>
        <v>114.51600000000001</v>
      </c>
      <c r="K19" s="750"/>
      <c r="L19" s="204">
        <f>L18+1</f>
        <v>10</v>
      </c>
      <c r="M19" s="780" t="s">
        <v>67</v>
      </c>
      <c r="N19" s="781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5"/>
      <c r="AH19" s="775"/>
      <c r="AI19" s="775"/>
      <c r="AJ19" s="775"/>
      <c r="AK19" s="775"/>
      <c r="AL19" s="775"/>
      <c r="AM19" s="775"/>
      <c r="AN19" s="775"/>
      <c r="AO19" s="777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2.95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6" t="s">
        <v>531</v>
      </c>
      <c r="O27" s="579"/>
      <c r="P27" s="796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7"/>
      <c r="O28" s="581">
        <v>164.96</v>
      </c>
      <c r="P28" s="797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98"/>
      <c r="O29" s="200"/>
      <c r="P29" s="798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2.95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2.95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2.95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2.95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92" t="s">
        <v>548</v>
      </c>
      <c r="I42" s="792"/>
      <c r="J42" s="792"/>
      <c r="K42" s="792"/>
      <c r="L42" s="792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574"/>
      <c r="AG44" s="755">
        <v>10</v>
      </c>
      <c r="AH44" s="756">
        <v>2</v>
      </c>
      <c r="AI44" s="756">
        <f>AG44-AH44</f>
        <v>8</v>
      </c>
      <c r="AJ44" s="756">
        <f>AG44</f>
        <v>10</v>
      </c>
      <c r="AK44" s="756">
        <v>1</v>
      </c>
      <c r="AL44" s="756">
        <f>AJ44-AK44</f>
        <v>9</v>
      </c>
      <c r="AM44" s="756"/>
      <c r="AN44" s="756"/>
      <c r="AO44" s="786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574"/>
      <c r="AG45" s="753"/>
      <c r="AH45" s="757"/>
      <c r="AI45" s="757"/>
      <c r="AJ45" s="757"/>
      <c r="AK45" s="757"/>
      <c r="AL45" s="757"/>
      <c r="AM45" s="757"/>
      <c r="AN45" s="757"/>
      <c r="AO45" s="784"/>
    </row>
    <row r="46" spans="1:75" s="193" customFormat="1" ht="12.95" customHeight="1">
      <c r="A46" s="587"/>
      <c r="B46" s="529" t="s">
        <v>136</v>
      </c>
      <c r="C46" s="258"/>
      <c r="D46" s="529" t="s">
        <v>370</v>
      </c>
      <c r="E46" s="258"/>
      <c r="F46" s="529" t="s">
        <v>368</v>
      </c>
      <c r="G46" s="258"/>
      <c r="H46" s="529" t="s">
        <v>369</v>
      </c>
      <c r="I46" s="258"/>
      <c r="J46" s="529" t="s">
        <v>367</v>
      </c>
      <c r="K46" s="258"/>
      <c r="L46" s="529" t="s">
        <v>380</v>
      </c>
      <c r="M46" s="588"/>
      <c r="N46" s="529" t="s">
        <v>395</v>
      </c>
      <c r="O46" s="258"/>
      <c r="P46" s="529" t="s">
        <v>174</v>
      </c>
      <c r="Q46" s="258"/>
      <c r="R46" s="529" t="s">
        <v>137</v>
      </c>
      <c r="S46" s="258"/>
      <c r="T46" s="529" t="s">
        <v>138</v>
      </c>
      <c r="U46" s="258"/>
      <c r="V46" s="529" t="s">
        <v>139</v>
      </c>
      <c r="W46" s="258"/>
      <c r="X46" s="529" t="s">
        <v>365</v>
      </c>
      <c r="Y46" s="258"/>
      <c r="Z46" s="529" t="s">
        <v>364</v>
      </c>
      <c r="AA46" s="258"/>
      <c r="AB46" s="529" t="s">
        <v>140</v>
      </c>
      <c r="AC46" s="258"/>
      <c r="AD46" s="529" t="s">
        <v>382</v>
      </c>
      <c r="AE46" s="258"/>
      <c r="AF46" s="589"/>
      <c r="AG46" s="753"/>
      <c r="AH46" s="757"/>
      <c r="AI46" s="757"/>
      <c r="AJ46" s="757"/>
      <c r="AK46" s="757"/>
      <c r="AL46" s="757"/>
      <c r="AM46" s="757"/>
      <c r="AN46" s="757"/>
      <c r="AO46" s="784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574"/>
      <c r="AG47" s="753"/>
      <c r="AH47" s="757"/>
      <c r="AI47" s="757"/>
      <c r="AJ47" s="757"/>
      <c r="AK47" s="757"/>
      <c r="AL47" s="757"/>
      <c r="AM47" s="757"/>
      <c r="AN47" s="757"/>
      <c r="AO47" s="784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3"/>
      <c r="AH48" s="757"/>
      <c r="AI48" s="757"/>
      <c r="AJ48" s="757"/>
      <c r="AK48" s="757"/>
      <c r="AL48" s="757"/>
      <c r="AM48" s="757"/>
      <c r="AN48" s="757"/>
      <c r="AO48" s="784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574"/>
      <c r="AG49" s="753"/>
      <c r="AH49" s="757"/>
      <c r="AI49" s="757"/>
      <c r="AJ49" s="757"/>
      <c r="AK49" s="757"/>
      <c r="AL49" s="757"/>
      <c r="AM49" s="757"/>
      <c r="AN49" s="757"/>
      <c r="AO49" s="784"/>
    </row>
    <row r="50" spans="1:75" s="166" customFormat="1" ht="12.6" customHeight="1">
      <c r="A50" s="594"/>
      <c r="B50" s="202"/>
      <c r="C50" s="591"/>
      <c r="D50" s="184"/>
      <c r="E50" s="591"/>
      <c r="F50" s="184"/>
      <c r="G50" s="591"/>
      <c r="H50" s="184"/>
      <c r="I50" s="591"/>
      <c r="J50" s="184"/>
      <c r="K50" s="591"/>
      <c r="L50" s="184"/>
      <c r="M50" s="591"/>
      <c r="N50" s="184"/>
      <c r="O50" s="591"/>
      <c r="P50" s="184"/>
      <c r="Q50" s="591"/>
      <c r="R50" s="184"/>
      <c r="S50" s="591"/>
      <c r="T50" s="184"/>
      <c r="U50" s="591"/>
      <c r="V50" s="184"/>
      <c r="W50" s="591"/>
      <c r="X50" s="184"/>
      <c r="Y50" s="591"/>
      <c r="Z50" s="184"/>
      <c r="AA50" s="591"/>
      <c r="AB50" s="788"/>
      <c r="AC50" s="591"/>
      <c r="AD50" s="184"/>
      <c r="AE50" s="591"/>
      <c r="AF50" s="574"/>
      <c r="AG50" s="753"/>
      <c r="AH50" s="757"/>
      <c r="AI50" s="757"/>
      <c r="AJ50" s="757"/>
      <c r="AK50" s="757"/>
      <c r="AL50" s="757"/>
      <c r="AM50" s="757"/>
      <c r="AN50" s="757"/>
      <c r="AO50" s="784"/>
      <c r="BV50" s="500">
        <f>15</f>
        <v>15</v>
      </c>
      <c r="BW50" s="500">
        <v>10</v>
      </c>
    </row>
    <row r="51" spans="1:75" s="166" customFormat="1" ht="13.5" customHeight="1">
      <c r="A51" s="594"/>
      <c r="B51" s="187"/>
      <c r="C51" s="592">
        <v>421.99400000000003</v>
      </c>
      <c r="D51" s="187"/>
      <c r="E51" s="592">
        <v>232.608</v>
      </c>
      <c r="F51" s="187"/>
      <c r="G51" s="592">
        <v>216.64099999999999</v>
      </c>
      <c r="H51" s="187"/>
      <c r="I51" s="592">
        <v>355.99799999999999</v>
      </c>
      <c r="J51" s="187"/>
      <c r="K51" s="592">
        <v>384</v>
      </c>
      <c r="L51" s="187"/>
      <c r="M51" s="592">
        <v>362</v>
      </c>
      <c r="N51" s="191"/>
      <c r="O51" s="592">
        <v>307.02800000000002</v>
      </c>
      <c r="P51" s="191"/>
      <c r="Q51" s="592">
        <v>379.00200000000001</v>
      </c>
      <c r="R51" s="187"/>
      <c r="S51" s="592">
        <v>412</v>
      </c>
      <c r="T51" s="187"/>
      <c r="U51" s="592">
        <v>429</v>
      </c>
      <c r="V51" s="187"/>
      <c r="W51" s="592">
        <v>408</v>
      </c>
      <c r="X51" s="191"/>
      <c r="Y51" s="592">
        <v>395</v>
      </c>
      <c r="Z51" s="187"/>
      <c r="AA51" s="592">
        <v>380.68599999999998</v>
      </c>
      <c r="AB51" s="789"/>
      <c r="AC51" s="592">
        <v>410.99700000000001</v>
      </c>
      <c r="AD51" s="187"/>
      <c r="AE51" s="592">
        <v>413</v>
      </c>
      <c r="AF51" s="574"/>
      <c r="AG51" s="753"/>
      <c r="AH51" s="757"/>
      <c r="AI51" s="757"/>
      <c r="AJ51" s="757"/>
      <c r="AK51" s="757"/>
      <c r="AL51" s="757"/>
      <c r="AM51" s="757"/>
      <c r="AN51" s="757"/>
      <c r="AO51" s="784"/>
    </row>
    <row r="52" spans="1:75" s="166" customFormat="1" ht="13.5" customHeight="1" thickBot="1">
      <c r="A52" s="59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90"/>
      <c r="AD52" s="189"/>
      <c r="AF52" s="574"/>
      <c r="AG52" s="753"/>
      <c r="AH52" s="757"/>
      <c r="AI52" s="757"/>
      <c r="AJ52" s="757"/>
      <c r="AK52" s="757"/>
      <c r="AL52" s="757"/>
      <c r="AM52" s="757"/>
      <c r="AN52" s="757"/>
      <c r="AO52" s="784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59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574"/>
      <c r="AG53" s="753"/>
      <c r="AH53" s="757"/>
      <c r="AI53" s="757"/>
      <c r="AJ53" s="757"/>
      <c r="AK53" s="757"/>
      <c r="AL53" s="757"/>
      <c r="AM53" s="757"/>
      <c r="AN53" s="757"/>
      <c r="AO53" s="784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596"/>
      <c r="P54" s="200"/>
      <c r="Q54" s="596"/>
      <c r="R54" s="200"/>
      <c r="S54" s="596"/>
      <c r="T54" s="200"/>
      <c r="U54" s="596"/>
      <c r="V54" s="200"/>
      <c r="W54" s="596"/>
      <c r="X54" s="200"/>
      <c r="Y54" s="596"/>
      <c r="Z54" s="200"/>
      <c r="AA54" s="597"/>
      <c r="AB54" s="200"/>
      <c r="AC54" s="596"/>
      <c r="AD54" s="200"/>
      <c r="AE54" s="596"/>
      <c r="AF54" s="574"/>
      <c r="AG54" s="754"/>
      <c r="AH54" s="758"/>
      <c r="AI54" s="758"/>
      <c r="AJ54" s="758"/>
      <c r="AK54" s="758"/>
      <c r="AL54" s="758"/>
      <c r="AM54" s="758"/>
      <c r="AN54" s="758"/>
      <c r="AO54" s="787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598"/>
      <c r="K55" s="58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574"/>
      <c r="AG55" s="760">
        <v>10</v>
      </c>
      <c r="AH55" s="759">
        <v>10</v>
      </c>
      <c r="AI55" s="759">
        <f>AG55-AH55</f>
        <v>0</v>
      </c>
      <c r="AJ55" s="759">
        <f>AG55</f>
        <v>10</v>
      </c>
      <c r="AK55" s="759">
        <v>10</v>
      </c>
      <c r="AL55" s="759">
        <f>AJ55-AK55</f>
        <v>0</v>
      </c>
      <c r="AM55" s="759">
        <v>1.2729999999999999</v>
      </c>
      <c r="AN55" s="759">
        <v>1.2729999999999999</v>
      </c>
      <c r="AO55" s="783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585"/>
      <c r="AF56" s="574"/>
      <c r="AG56" s="753"/>
      <c r="AH56" s="757"/>
      <c r="AI56" s="757"/>
      <c r="AJ56" s="757"/>
      <c r="AK56" s="757"/>
      <c r="AL56" s="757"/>
      <c r="AM56" s="757"/>
      <c r="AN56" s="757"/>
      <c r="AO56" s="784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574"/>
      <c r="AG57" s="753"/>
      <c r="AH57" s="757"/>
      <c r="AI57" s="757"/>
      <c r="AJ57" s="757"/>
      <c r="AK57" s="757"/>
      <c r="AL57" s="757"/>
      <c r="AM57" s="757"/>
      <c r="AN57" s="757"/>
      <c r="AO57" s="784"/>
    </row>
    <row r="58" spans="1:75" s="193" customFormat="1" ht="14.1" customHeight="1">
      <c r="A58" s="587"/>
      <c r="B58" s="529" t="s">
        <v>390</v>
      </c>
      <c r="C58" s="588"/>
      <c r="D58" s="529" t="s">
        <v>168</v>
      </c>
      <c r="E58" s="258"/>
      <c r="F58" s="529" t="s">
        <v>176</v>
      </c>
      <c r="G58" s="258"/>
      <c r="H58" s="529" t="s">
        <v>177</v>
      </c>
      <c r="I58" s="258"/>
      <c r="J58" s="529" t="s">
        <v>418</v>
      </c>
      <c r="K58" s="258"/>
      <c r="L58" s="529" t="s">
        <v>400</v>
      </c>
      <c r="M58" s="258"/>
      <c r="N58" s="529" t="s">
        <v>376</v>
      </c>
      <c r="O58" s="258"/>
      <c r="P58" s="529" t="s">
        <v>377</v>
      </c>
      <c r="Q58" s="258"/>
      <c r="R58" s="529" t="s">
        <v>374</v>
      </c>
      <c r="S58" s="258"/>
      <c r="T58" s="529" t="s">
        <v>388</v>
      </c>
      <c r="U58" s="258"/>
      <c r="V58" s="529" t="s">
        <v>392</v>
      </c>
      <c r="W58" s="258"/>
      <c r="X58" s="529" t="s">
        <v>549</v>
      </c>
      <c r="Y58" s="258"/>
      <c r="Z58" s="529" t="s">
        <v>404</v>
      </c>
      <c r="AA58" s="258"/>
      <c r="AB58" s="529" t="s">
        <v>407</v>
      </c>
      <c r="AC58" s="258"/>
      <c r="AD58" s="529" t="s">
        <v>178</v>
      </c>
      <c r="AE58" s="258"/>
      <c r="AF58" s="589"/>
      <c r="AG58" s="753"/>
      <c r="AH58" s="757"/>
      <c r="AI58" s="757"/>
      <c r="AJ58" s="757"/>
      <c r="AK58" s="757"/>
      <c r="AL58" s="757"/>
      <c r="AM58" s="757"/>
      <c r="AN58" s="757"/>
      <c r="AO58" s="784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574"/>
      <c r="AG59" s="753"/>
      <c r="AH59" s="757"/>
      <c r="AI59" s="757"/>
      <c r="AJ59" s="757"/>
      <c r="AK59" s="757"/>
      <c r="AL59" s="757"/>
      <c r="AM59" s="757"/>
      <c r="AN59" s="757"/>
      <c r="AO59" s="784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3"/>
      <c r="AH60" s="757"/>
      <c r="AI60" s="757"/>
      <c r="AJ60" s="757"/>
      <c r="AK60" s="757"/>
      <c r="AL60" s="757"/>
      <c r="AM60" s="757"/>
      <c r="AN60" s="757"/>
      <c r="AO60" s="784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574"/>
      <c r="AG61" s="753"/>
      <c r="AH61" s="757"/>
      <c r="AI61" s="757"/>
      <c r="AJ61" s="757"/>
      <c r="AK61" s="757"/>
      <c r="AL61" s="757"/>
      <c r="AM61" s="757"/>
      <c r="AN61" s="757"/>
      <c r="AO61" s="784"/>
    </row>
    <row r="62" spans="1:75" s="166" customFormat="1" ht="13.5" customHeight="1">
      <c r="A62" s="206"/>
      <c r="B62" s="184"/>
      <c r="C62" s="591"/>
      <c r="D62" s="184"/>
      <c r="E62" s="591"/>
      <c r="F62" s="184"/>
      <c r="G62" s="591"/>
      <c r="H62" s="184"/>
      <c r="I62" s="591"/>
      <c r="J62" s="184"/>
      <c r="K62" s="591"/>
      <c r="L62" s="184"/>
      <c r="M62" s="591"/>
      <c r="N62" s="184"/>
      <c r="O62" s="591"/>
      <c r="P62" s="184"/>
      <c r="Q62" s="591"/>
      <c r="R62" s="184"/>
      <c r="S62" s="591"/>
      <c r="T62" s="184"/>
      <c r="U62" s="591"/>
      <c r="V62" s="788"/>
      <c r="W62" s="591"/>
      <c r="X62" s="799" t="s">
        <v>550</v>
      </c>
      <c r="Y62" s="591"/>
      <c r="Z62" s="788"/>
      <c r="AA62" s="591"/>
      <c r="AB62" s="788"/>
      <c r="AC62" s="591"/>
      <c r="AD62" s="788"/>
      <c r="AE62" s="591"/>
      <c r="AF62" s="574"/>
      <c r="AG62" s="753"/>
      <c r="AH62" s="757"/>
      <c r="AI62" s="757"/>
      <c r="AJ62" s="757"/>
      <c r="AK62" s="757"/>
      <c r="AL62" s="757"/>
      <c r="AM62" s="757"/>
      <c r="AN62" s="757"/>
      <c r="AO62" s="784"/>
      <c r="BV62" s="500">
        <f>14</f>
        <v>14</v>
      </c>
      <c r="BW62" s="500">
        <v>14</v>
      </c>
    </row>
    <row r="63" spans="1:75" s="166" customFormat="1" ht="13.5" customHeight="1">
      <c r="A63" s="206"/>
      <c r="B63" s="191"/>
      <c r="C63" s="592">
        <v>386.81599999999997</v>
      </c>
      <c r="D63" s="187"/>
      <c r="E63" s="592">
        <v>324.00400000000002</v>
      </c>
      <c r="F63" s="187"/>
      <c r="G63" s="592">
        <v>416</v>
      </c>
      <c r="H63" s="191"/>
      <c r="I63" s="592">
        <v>404.53</v>
      </c>
      <c r="J63" s="191"/>
      <c r="K63" s="592">
        <v>374.07600000000002</v>
      </c>
      <c r="L63" s="191"/>
      <c r="M63" s="592">
        <v>423.00299999999999</v>
      </c>
      <c r="N63" s="187"/>
      <c r="O63" s="592">
        <v>420</v>
      </c>
      <c r="P63" s="187"/>
      <c r="Q63" s="592">
        <v>375.06400000000002</v>
      </c>
      <c r="R63" s="187"/>
      <c r="S63" s="592">
        <v>417.21499999999997</v>
      </c>
      <c r="T63" s="187"/>
      <c r="U63" s="592">
        <v>498.00099999999998</v>
      </c>
      <c r="V63" s="789"/>
      <c r="W63" s="592">
        <v>448</v>
      </c>
      <c r="X63" s="800"/>
      <c r="Y63" s="592">
        <v>394</v>
      </c>
      <c r="Z63" s="789"/>
      <c r="AA63" s="592">
        <v>383</v>
      </c>
      <c r="AB63" s="789"/>
      <c r="AC63" s="592">
        <v>379</v>
      </c>
      <c r="AD63" s="789"/>
      <c r="AE63" s="592">
        <v>380.83699999999999</v>
      </c>
      <c r="AF63" s="574"/>
      <c r="AG63" s="753"/>
      <c r="AH63" s="757"/>
      <c r="AI63" s="757"/>
      <c r="AJ63" s="757"/>
      <c r="AK63" s="757"/>
      <c r="AL63" s="757"/>
      <c r="AM63" s="757"/>
      <c r="AN63" s="757"/>
      <c r="AO63" s="784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90"/>
      <c r="X64" s="801"/>
      <c r="Z64" s="790"/>
      <c r="AB64" s="790"/>
      <c r="AD64" s="790"/>
      <c r="AF64" s="574"/>
      <c r="AG64" s="753"/>
      <c r="AH64" s="757"/>
      <c r="AI64" s="757"/>
      <c r="AJ64" s="757"/>
      <c r="AK64" s="757"/>
      <c r="AL64" s="757"/>
      <c r="AM64" s="757"/>
      <c r="AN64" s="757"/>
      <c r="AO64" s="784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574"/>
      <c r="AG65" s="753"/>
      <c r="AH65" s="757"/>
      <c r="AI65" s="757"/>
      <c r="AJ65" s="757"/>
      <c r="AK65" s="757"/>
      <c r="AL65" s="757"/>
      <c r="AM65" s="757"/>
      <c r="AN65" s="757"/>
      <c r="AO65" s="784"/>
    </row>
    <row r="66" spans="1:75" s="166" customFormat="1" ht="14.1" customHeight="1">
      <c r="A66" s="206"/>
      <c r="B66" s="200"/>
      <c r="C66" s="200"/>
      <c r="D66" s="200"/>
      <c r="E66" s="596"/>
      <c r="F66" s="200"/>
      <c r="G66" s="596"/>
      <c r="H66" s="200"/>
      <c r="I66" s="200"/>
      <c r="J66" s="200"/>
      <c r="K66" s="596"/>
      <c r="L66" s="200"/>
      <c r="M66" s="596"/>
      <c r="N66" s="200"/>
      <c r="O66" s="596"/>
      <c r="P66" s="200"/>
      <c r="Q66" s="200"/>
      <c r="R66" s="200"/>
      <c r="S66" s="200"/>
      <c r="T66" s="200"/>
      <c r="U66" s="596"/>
      <c r="V66" s="200"/>
      <c r="W66" s="585"/>
      <c r="X66" s="200"/>
      <c r="Y66" s="200"/>
      <c r="Z66" s="200"/>
      <c r="AA66" s="200"/>
      <c r="AB66" s="200"/>
      <c r="AC66" s="599"/>
      <c r="AD66" s="200"/>
      <c r="AE66" s="599"/>
      <c r="AF66" s="574"/>
      <c r="AG66" s="754"/>
      <c r="AH66" s="758"/>
      <c r="AI66" s="758"/>
      <c r="AJ66" s="758"/>
      <c r="AK66" s="758"/>
      <c r="AL66" s="758"/>
      <c r="AM66" s="758"/>
      <c r="AN66" s="758"/>
      <c r="AO66" s="787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597"/>
      <c r="J67" s="200"/>
      <c r="K67" s="200"/>
      <c r="L67" s="200"/>
      <c r="M67" s="200"/>
      <c r="N67" s="200"/>
      <c r="O67" s="200"/>
      <c r="P67" s="200"/>
      <c r="Q67" s="200"/>
      <c r="R67" s="200"/>
      <c r="S67" s="584" t="s">
        <v>1107</v>
      </c>
      <c r="T67" s="200"/>
      <c r="U67" s="200"/>
      <c r="V67" s="200"/>
      <c r="W67" s="584" t="s">
        <v>1108</v>
      </c>
      <c r="X67" s="200"/>
      <c r="Y67" s="200"/>
      <c r="Z67" s="200"/>
      <c r="AA67" s="584" t="s">
        <v>1107</v>
      </c>
      <c r="AB67" s="200"/>
      <c r="AC67" s="200"/>
      <c r="AD67" s="200"/>
      <c r="AE67" s="200"/>
      <c r="AF67" s="574"/>
      <c r="AG67" s="760">
        <v>10</v>
      </c>
      <c r="AH67" s="759">
        <v>9</v>
      </c>
      <c r="AI67" s="759">
        <f>AG67-AH67</f>
        <v>1</v>
      </c>
      <c r="AJ67" s="759">
        <f>COUNTA($D$58:$V$58)</f>
        <v>10</v>
      </c>
      <c r="AK67" s="759">
        <v>7</v>
      </c>
      <c r="AL67" s="759">
        <f>AJ67-AK67</f>
        <v>3</v>
      </c>
      <c r="AM67" s="759">
        <v>0.91500000000000004</v>
      </c>
      <c r="AN67" s="759">
        <f>0.672+0.243</f>
        <v>0.91500000000000004</v>
      </c>
      <c r="AO67" s="783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574"/>
      <c r="AG68" s="754"/>
      <c r="AH68" s="758"/>
      <c r="AI68" s="758"/>
      <c r="AJ68" s="758"/>
      <c r="AK68" s="758"/>
      <c r="AL68" s="758"/>
      <c r="AM68" s="758"/>
      <c r="AN68" s="758"/>
      <c r="AO68" s="787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59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574"/>
      <c r="AG69" s="760">
        <v>10</v>
      </c>
      <c r="AH69" s="759">
        <v>10</v>
      </c>
      <c r="AI69" s="759">
        <f>AG69-AH69</f>
        <v>0</v>
      </c>
      <c r="AJ69" s="759">
        <f>COUNTA($B$71:$L$71)</f>
        <v>6</v>
      </c>
      <c r="AK69" s="759">
        <v>9</v>
      </c>
      <c r="AL69" s="759">
        <f>AJ69-AK69</f>
        <v>-3</v>
      </c>
      <c r="AM69" s="759"/>
      <c r="AN69" s="759"/>
      <c r="AO69" s="783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574"/>
      <c r="AG70" s="753"/>
      <c r="AH70" s="757"/>
      <c r="AI70" s="757"/>
      <c r="AJ70" s="757"/>
      <c r="AK70" s="757"/>
      <c r="AL70" s="757"/>
      <c r="AM70" s="757"/>
      <c r="AN70" s="757"/>
      <c r="AO70" s="784"/>
    </row>
    <row r="71" spans="1:75" s="193" customFormat="1" ht="13.5" customHeight="1">
      <c r="A71" s="587"/>
      <c r="B71" s="529" t="s">
        <v>419</v>
      </c>
      <c r="C71" s="258"/>
      <c r="D71" s="529" t="s">
        <v>405</v>
      </c>
      <c r="E71" s="258"/>
      <c r="F71" s="529" t="s">
        <v>430</v>
      </c>
      <c r="G71" s="258"/>
      <c r="H71" s="529" t="s">
        <v>406</v>
      </c>
      <c r="I71" s="258"/>
      <c r="J71" s="529" t="s">
        <v>411</v>
      </c>
      <c r="K71" s="258"/>
      <c r="L71" s="529" t="s">
        <v>422</v>
      </c>
      <c r="M71" s="258"/>
      <c r="N71" s="529" t="s">
        <v>551</v>
      </c>
      <c r="O71" s="258"/>
      <c r="P71" s="529" t="s">
        <v>417</v>
      </c>
      <c r="Q71" s="258"/>
      <c r="R71" s="529" t="s">
        <v>410</v>
      </c>
      <c r="S71" s="258"/>
      <c r="T71" s="529" t="s">
        <v>425</v>
      </c>
      <c r="U71" s="258"/>
      <c r="V71" s="529" t="s">
        <v>423</v>
      </c>
      <c r="W71" s="258"/>
      <c r="X71" s="529" t="s">
        <v>385</v>
      </c>
      <c r="Y71" s="258"/>
      <c r="Z71" s="529" t="s">
        <v>180</v>
      </c>
      <c r="AA71" s="258"/>
      <c r="AB71" s="529" t="s">
        <v>371</v>
      </c>
      <c r="AC71" s="258"/>
      <c r="AD71" s="529" t="s">
        <v>383</v>
      </c>
      <c r="AE71" s="258"/>
      <c r="AF71" s="589"/>
      <c r="AG71" s="753"/>
      <c r="AH71" s="757"/>
      <c r="AI71" s="757"/>
      <c r="AJ71" s="757"/>
      <c r="AK71" s="757"/>
      <c r="AL71" s="757"/>
      <c r="AM71" s="757"/>
      <c r="AN71" s="757"/>
      <c r="AO71" s="784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574"/>
      <c r="AG72" s="753"/>
      <c r="AH72" s="757"/>
      <c r="AI72" s="757"/>
      <c r="AJ72" s="757"/>
      <c r="AK72" s="757"/>
      <c r="AL72" s="757"/>
      <c r="AM72" s="757"/>
      <c r="AN72" s="757"/>
      <c r="AO72" s="784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3"/>
      <c r="AH73" s="757"/>
      <c r="AI73" s="757"/>
      <c r="AJ73" s="757"/>
      <c r="AK73" s="757"/>
      <c r="AL73" s="757"/>
      <c r="AM73" s="757"/>
      <c r="AN73" s="757"/>
      <c r="AO73" s="784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574"/>
      <c r="AG74" s="753"/>
      <c r="AH74" s="757"/>
      <c r="AI74" s="757"/>
      <c r="AJ74" s="757"/>
      <c r="AK74" s="757"/>
      <c r="AL74" s="757"/>
      <c r="AM74" s="757"/>
      <c r="AN74" s="757"/>
      <c r="AO74" s="784"/>
      <c r="BV74" s="500">
        <v>14</v>
      </c>
      <c r="BW74" s="500">
        <v>14</v>
      </c>
    </row>
    <row r="75" spans="1:75" s="166" customFormat="1" ht="13.5" customHeight="1">
      <c r="A75" s="594"/>
      <c r="B75" s="184"/>
      <c r="C75" s="591"/>
      <c r="D75" s="184"/>
      <c r="E75" s="591"/>
      <c r="F75" s="184"/>
      <c r="G75" s="591"/>
      <c r="H75" s="184"/>
      <c r="I75" s="591"/>
      <c r="J75" s="184"/>
      <c r="K75" s="591"/>
      <c r="L75" s="184"/>
      <c r="M75" s="591"/>
      <c r="N75" s="194"/>
      <c r="O75" s="591"/>
      <c r="P75" s="184"/>
      <c r="Q75" s="591"/>
      <c r="R75" s="788"/>
      <c r="S75" s="591"/>
      <c r="T75" s="788"/>
      <c r="U75" s="591"/>
      <c r="V75" s="788"/>
      <c r="W75" s="591"/>
      <c r="X75" s="184"/>
      <c r="Y75" s="591"/>
      <c r="Z75" s="184"/>
      <c r="AA75" s="591"/>
      <c r="AB75" s="184"/>
      <c r="AC75" s="591"/>
      <c r="AD75" s="184"/>
      <c r="AE75" s="591"/>
      <c r="AF75" s="574"/>
      <c r="AG75" s="753"/>
      <c r="AH75" s="757"/>
      <c r="AI75" s="757"/>
      <c r="AJ75" s="757"/>
      <c r="AK75" s="757"/>
      <c r="AL75" s="757"/>
      <c r="AM75" s="757"/>
      <c r="AN75" s="757"/>
      <c r="AO75" s="784"/>
    </row>
    <row r="76" spans="1:75" s="166" customFormat="1" ht="13.5" customHeight="1">
      <c r="A76" s="594"/>
      <c r="B76" s="187"/>
      <c r="C76" s="592">
        <v>366.00299999999999</v>
      </c>
      <c r="D76" s="187"/>
      <c r="E76" s="592">
        <v>376</v>
      </c>
      <c r="F76" s="187"/>
      <c r="G76" s="592">
        <v>368</v>
      </c>
      <c r="H76" s="191"/>
      <c r="I76" s="592">
        <v>373.96499999999997</v>
      </c>
      <c r="J76" s="191"/>
      <c r="K76" s="592">
        <v>373.005</v>
      </c>
      <c r="L76" s="191"/>
      <c r="M76" s="592">
        <v>362.45</v>
      </c>
      <c r="N76" s="195"/>
      <c r="O76" s="592">
        <v>323</v>
      </c>
      <c r="P76" s="191"/>
      <c r="Q76" s="592">
        <v>299</v>
      </c>
      <c r="R76" s="789"/>
      <c r="S76" s="592">
        <v>350.38099999999997</v>
      </c>
      <c r="T76" s="789"/>
      <c r="U76" s="592">
        <v>333.99700000000001</v>
      </c>
      <c r="V76" s="789"/>
      <c r="W76" s="592">
        <v>394</v>
      </c>
      <c r="X76" s="191"/>
      <c r="Y76" s="592">
        <v>363</v>
      </c>
      <c r="Z76" s="187"/>
      <c r="AA76" s="592">
        <v>413</v>
      </c>
      <c r="AB76" s="187"/>
      <c r="AC76" s="592">
        <v>376</v>
      </c>
      <c r="AD76" s="187"/>
      <c r="AE76" s="592">
        <v>388</v>
      </c>
      <c r="AF76" s="574"/>
      <c r="AG76" s="753"/>
      <c r="AH76" s="757"/>
      <c r="AI76" s="757"/>
      <c r="AJ76" s="757"/>
      <c r="AK76" s="757"/>
      <c r="AL76" s="757"/>
      <c r="AM76" s="757"/>
      <c r="AN76" s="757"/>
      <c r="AO76" s="784"/>
    </row>
    <row r="77" spans="1:75" s="166" customFormat="1" ht="13.5" customHeight="1" thickBot="1">
      <c r="A77" s="594"/>
      <c r="B77" s="189"/>
      <c r="D77" s="189"/>
      <c r="F77" s="189"/>
      <c r="H77" s="189"/>
      <c r="J77" s="189"/>
      <c r="L77" s="189"/>
      <c r="N77" s="196"/>
      <c r="P77" s="189"/>
      <c r="R77" s="790"/>
      <c r="T77" s="790"/>
      <c r="V77" s="790"/>
      <c r="X77" s="189"/>
      <c r="Z77" s="189"/>
      <c r="AB77" s="189"/>
      <c r="AD77" s="189"/>
      <c r="AF77" s="574"/>
      <c r="AG77" s="753"/>
      <c r="AH77" s="757"/>
      <c r="AI77" s="757"/>
      <c r="AJ77" s="757"/>
      <c r="AK77" s="757"/>
      <c r="AL77" s="757"/>
      <c r="AM77" s="757"/>
      <c r="AN77" s="757"/>
      <c r="AO77" s="784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574"/>
      <c r="AG78" s="753"/>
      <c r="AH78" s="757"/>
      <c r="AI78" s="757"/>
      <c r="AJ78" s="757"/>
      <c r="AK78" s="757"/>
      <c r="AL78" s="757"/>
      <c r="AM78" s="757"/>
      <c r="AN78" s="757"/>
      <c r="AO78" s="784"/>
    </row>
    <row r="79" spans="1:75" s="200" customFormat="1" ht="14.1" customHeight="1" thickBot="1">
      <c r="A79" s="206"/>
      <c r="C79" s="596"/>
      <c r="G79" s="585"/>
      <c r="I79" s="600"/>
      <c r="O79" s="601" t="s">
        <v>1109</v>
      </c>
      <c r="Q79" s="597"/>
      <c r="W79" s="254"/>
      <c r="AA79" s="254"/>
      <c r="AC79" s="254"/>
      <c r="AE79" s="254"/>
      <c r="AF79" s="574"/>
      <c r="AG79" s="791"/>
      <c r="AH79" s="782"/>
      <c r="AI79" s="782"/>
      <c r="AJ79" s="782"/>
      <c r="AK79" s="782"/>
      <c r="AL79" s="782"/>
      <c r="AM79" s="782"/>
      <c r="AN79" s="782"/>
      <c r="AO79" s="785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574"/>
      <c r="AG80" s="753"/>
      <c r="AH80" s="757"/>
      <c r="AI80" s="757"/>
      <c r="AJ80" s="757"/>
      <c r="AK80" s="757"/>
      <c r="AL80" s="757"/>
      <c r="AM80" s="757"/>
      <c r="AN80" s="757"/>
      <c r="AO80" s="784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574"/>
      <c r="AG81" s="753"/>
      <c r="AH81" s="757"/>
      <c r="AI81" s="757"/>
      <c r="AJ81" s="757"/>
      <c r="AK81" s="757"/>
      <c r="AL81" s="757"/>
      <c r="AM81" s="757"/>
      <c r="AN81" s="757"/>
      <c r="AO81" s="784"/>
    </row>
    <row r="82" spans="1:75" s="193" customFormat="1" ht="13.5" customHeight="1">
      <c r="A82" s="58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588" t="s">
        <v>559</v>
      </c>
      <c r="AC82" s="588"/>
      <c r="AD82" s="258" t="s">
        <v>445</v>
      </c>
      <c r="AE82" s="258"/>
      <c r="AF82" s="589"/>
      <c r="AG82" s="753"/>
      <c r="AH82" s="757"/>
      <c r="AI82" s="757"/>
      <c r="AJ82" s="757"/>
      <c r="AK82" s="757"/>
      <c r="AL82" s="757"/>
      <c r="AM82" s="757"/>
      <c r="AN82" s="757"/>
      <c r="AO82" s="784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574"/>
      <c r="AG83" s="753"/>
      <c r="AH83" s="757"/>
      <c r="AI83" s="757"/>
      <c r="AJ83" s="757"/>
      <c r="AK83" s="757"/>
      <c r="AL83" s="757"/>
      <c r="AM83" s="757"/>
      <c r="AN83" s="757"/>
      <c r="AO83" s="784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3"/>
      <c r="AH84" s="757"/>
      <c r="AI84" s="757"/>
      <c r="AJ84" s="757"/>
      <c r="AK84" s="757"/>
      <c r="AL84" s="757"/>
      <c r="AM84" s="757"/>
      <c r="AN84" s="757"/>
      <c r="AO84" s="784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574"/>
      <c r="AG85" s="753"/>
      <c r="AH85" s="757"/>
      <c r="AI85" s="757"/>
      <c r="AJ85" s="757"/>
      <c r="AK85" s="757"/>
      <c r="AL85" s="757"/>
      <c r="AM85" s="757"/>
      <c r="AN85" s="757"/>
      <c r="AO85" s="784"/>
    </row>
    <row r="86" spans="1:75" s="166" customFormat="1" ht="14.1" customHeight="1">
      <c r="A86" s="594"/>
      <c r="B86" s="184"/>
      <c r="C86" s="591"/>
      <c r="D86" s="184"/>
      <c r="E86" s="591"/>
      <c r="F86" s="184"/>
      <c r="G86" s="591"/>
      <c r="H86" s="183"/>
      <c r="I86" s="591"/>
      <c r="J86" s="183"/>
      <c r="K86" s="591"/>
      <c r="L86" s="183"/>
      <c r="M86" s="591"/>
      <c r="N86" s="793" t="s">
        <v>67</v>
      </c>
      <c r="O86" s="591"/>
      <c r="P86" s="184"/>
      <c r="Q86" s="591"/>
      <c r="R86" s="184"/>
      <c r="S86" s="591"/>
      <c r="T86" s="184"/>
      <c r="U86" s="591"/>
      <c r="V86" s="183"/>
      <c r="W86" s="591"/>
      <c r="X86" s="255"/>
      <c r="Y86" s="591"/>
      <c r="Z86" s="183"/>
      <c r="AA86" s="591"/>
      <c r="AB86" s="184"/>
      <c r="AC86" s="591"/>
      <c r="AD86" s="184"/>
      <c r="AE86" s="591"/>
      <c r="AF86" s="574"/>
      <c r="AG86" s="753"/>
      <c r="AH86" s="757"/>
      <c r="AI86" s="757"/>
      <c r="AJ86" s="757"/>
      <c r="AK86" s="757"/>
      <c r="AL86" s="757"/>
      <c r="AM86" s="757"/>
      <c r="AN86" s="757"/>
      <c r="AO86" s="784"/>
      <c r="BV86" s="500">
        <v>9</v>
      </c>
      <c r="BW86" s="500">
        <v>2</v>
      </c>
    </row>
    <row r="87" spans="1:75" s="166" customFormat="1" ht="14.1" customHeight="1">
      <c r="A87" s="594"/>
      <c r="B87" s="187"/>
      <c r="C87" s="592">
        <v>378</v>
      </c>
      <c r="D87" s="187"/>
      <c r="E87" s="592">
        <v>342.70600000000002</v>
      </c>
      <c r="F87" s="187" t="s">
        <v>67</v>
      </c>
      <c r="G87" s="592">
        <v>259.34199999999998</v>
      </c>
      <c r="H87" s="186"/>
      <c r="I87" s="592">
        <v>268</v>
      </c>
      <c r="J87" s="186"/>
      <c r="K87" s="592">
        <v>276.41000000000003</v>
      </c>
      <c r="L87" s="186"/>
      <c r="M87" s="592">
        <v>438.12599999999998</v>
      </c>
      <c r="N87" s="794"/>
      <c r="O87" s="592">
        <v>399.67099999999999</v>
      </c>
      <c r="P87" s="187"/>
      <c r="Q87" s="592">
        <v>438.27600000000001</v>
      </c>
      <c r="R87" s="187" t="s">
        <v>67</v>
      </c>
      <c r="S87" s="592">
        <v>400</v>
      </c>
      <c r="T87" s="187"/>
      <c r="U87" s="592">
        <v>440</v>
      </c>
      <c r="V87" s="186"/>
      <c r="W87" s="592">
        <v>375</v>
      </c>
      <c r="X87" s="256"/>
      <c r="Y87" s="592">
        <v>298.19299999999998</v>
      </c>
      <c r="Z87" s="186"/>
      <c r="AA87" s="592">
        <v>348</v>
      </c>
      <c r="AB87" s="187" t="s">
        <v>67</v>
      </c>
      <c r="AC87" s="592">
        <v>422</v>
      </c>
      <c r="AD87" s="187"/>
      <c r="AE87" s="592">
        <v>242.87700000000001</v>
      </c>
      <c r="AF87" s="574"/>
      <c r="AG87" s="754"/>
      <c r="AH87" s="758"/>
      <c r="AI87" s="758"/>
      <c r="AJ87" s="758"/>
      <c r="AK87" s="758"/>
      <c r="AL87" s="758"/>
      <c r="AM87" s="758"/>
      <c r="AN87" s="758"/>
      <c r="AO87" s="787"/>
    </row>
    <row r="88" spans="1:75" s="166" customFormat="1" ht="13.5" customHeight="1" thickBot="1">
      <c r="A88" s="594"/>
      <c r="B88" s="189"/>
      <c r="D88" s="189"/>
      <c r="F88" s="189"/>
      <c r="H88" s="188"/>
      <c r="J88" s="188"/>
      <c r="L88" s="188"/>
      <c r="N88" s="795"/>
      <c r="P88" s="189"/>
      <c r="R88" s="189"/>
      <c r="T88" s="189"/>
      <c r="V88" s="188"/>
      <c r="X88" s="257"/>
      <c r="Z88" s="188"/>
      <c r="AB88" s="189"/>
      <c r="AD88" s="189"/>
      <c r="AF88" s="574"/>
      <c r="AG88" s="760">
        <v>10</v>
      </c>
      <c r="AH88" s="759">
        <v>7</v>
      </c>
      <c r="AI88" s="759">
        <f>AG88-AH88</f>
        <v>3</v>
      </c>
      <c r="AJ88" s="759">
        <f>COUNTA(#REF!)</f>
        <v>1</v>
      </c>
      <c r="AK88" s="759">
        <v>5</v>
      </c>
      <c r="AL88" s="759">
        <v>5</v>
      </c>
      <c r="AM88" s="759"/>
      <c r="AN88" s="759"/>
      <c r="AO88" s="783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574"/>
      <c r="AG89" s="753"/>
      <c r="AH89" s="757"/>
      <c r="AI89" s="757"/>
      <c r="AJ89" s="757"/>
      <c r="AK89" s="757"/>
      <c r="AL89" s="757"/>
      <c r="AM89" s="757"/>
      <c r="AN89" s="757"/>
      <c r="AO89" s="784"/>
    </row>
    <row r="90" spans="1:75" s="166" customFormat="1" ht="13.5" customHeight="1">
      <c r="A90" s="206"/>
      <c r="B90" s="200"/>
      <c r="C90" s="585"/>
      <c r="D90" s="200"/>
      <c r="E90" s="254"/>
      <c r="F90" s="200"/>
      <c r="G90" s="584" t="s">
        <v>1110</v>
      </c>
      <c r="H90" s="200"/>
      <c r="I90" s="254"/>
      <c r="J90" s="200"/>
      <c r="K90" s="602" t="s">
        <v>1112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584" t="s">
        <v>1113</v>
      </c>
      <c r="Z90" s="200"/>
      <c r="AA90" s="200"/>
      <c r="AB90" s="200"/>
      <c r="AC90" s="585"/>
      <c r="AD90" s="200"/>
      <c r="AE90" s="200"/>
      <c r="AF90" s="574"/>
      <c r="AG90" s="753"/>
      <c r="AH90" s="757"/>
      <c r="AI90" s="757"/>
      <c r="AJ90" s="757"/>
      <c r="AK90" s="757"/>
      <c r="AL90" s="757"/>
      <c r="AM90" s="757"/>
      <c r="AN90" s="757"/>
      <c r="AO90" s="784"/>
    </row>
    <row r="91" spans="1:75" s="166" customFormat="1" ht="13.5" customHeight="1">
      <c r="A91" s="206"/>
      <c r="B91" s="200"/>
      <c r="C91" s="200"/>
      <c r="D91" s="200"/>
      <c r="E91" s="200"/>
      <c r="F91" s="200"/>
      <c r="G91" s="584" t="s">
        <v>1111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574"/>
      <c r="AG91" s="753"/>
      <c r="AH91" s="757"/>
      <c r="AI91" s="757"/>
      <c r="AJ91" s="757"/>
      <c r="AK91" s="757"/>
      <c r="AL91" s="757"/>
      <c r="AM91" s="757"/>
      <c r="AN91" s="757"/>
      <c r="AO91" s="784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574"/>
      <c r="AG92" s="753"/>
      <c r="AH92" s="757"/>
      <c r="AI92" s="757"/>
      <c r="AJ92" s="757"/>
      <c r="AK92" s="757"/>
      <c r="AL92" s="757"/>
      <c r="AM92" s="757"/>
      <c r="AN92" s="757"/>
      <c r="AO92" s="784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574"/>
      <c r="AG93" s="753"/>
      <c r="AH93" s="757"/>
      <c r="AI93" s="757"/>
      <c r="AJ93" s="757"/>
      <c r="AK93" s="757"/>
      <c r="AL93" s="757"/>
      <c r="AM93" s="757"/>
      <c r="AN93" s="757"/>
      <c r="AO93" s="784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574"/>
      <c r="AG94" s="753"/>
      <c r="AH94" s="757"/>
      <c r="AI94" s="757"/>
      <c r="AJ94" s="757"/>
      <c r="AK94" s="757"/>
      <c r="AL94" s="757"/>
      <c r="AM94" s="757"/>
      <c r="AN94" s="757"/>
      <c r="AO94" s="784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3"/>
      <c r="AH95" s="757"/>
      <c r="AI95" s="757"/>
      <c r="AJ95" s="757"/>
      <c r="AK95" s="757"/>
      <c r="AL95" s="757"/>
      <c r="AM95" s="757"/>
      <c r="AN95" s="757"/>
      <c r="AO95" s="784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574"/>
      <c r="AG96" s="753"/>
      <c r="AH96" s="757"/>
      <c r="AI96" s="757"/>
      <c r="AJ96" s="757"/>
      <c r="AK96" s="757"/>
      <c r="AL96" s="757"/>
      <c r="AM96" s="757"/>
      <c r="AN96" s="757"/>
      <c r="AO96" s="784"/>
    </row>
    <row r="97" spans="1:75" s="166" customFormat="1" ht="13.5" customHeight="1">
      <c r="A97" s="594"/>
      <c r="B97" s="184"/>
      <c r="C97" s="591"/>
      <c r="D97" s="184"/>
      <c r="E97" s="591"/>
      <c r="F97" s="184"/>
      <c r="G97" s="591"/>
      <c r="H97" s="202"/>
      <c r="I97" s="591"/>
      <c r="J97" s="202"/>
      <c r="K97" s="591"/>
      <c r="L97" s="184"/>
      <c r="M97" s="591"/>
      <c r="N97" s="184"/>
      <c r="O97" s="591"/>
      <c r="P97" s="184"/>
      <c r="Q97" s="591"/>
      <c r="R97" s="184"/>
      <c r="S97" s="591"/>
      <c r="T97" s="184"/>
      <c r="U97" s="591"/>
      <c r="V97" s="184"/>
      <c r="W97" s="591"/>
      <c r="X97" s="184"/>
      <c r="Y97" s="591"/>
      <c r="Z97" s="184"/>
      <c r="AA97" s="591"/>
      <c r="AB97" s="184"/>
      <c r="AC97" s="591"/>
      <c r="AD97" s="184"/>
      <c r="AE97" s="591"/>
      <c r="AF97" s="574"/>
      <c r="AG97" s="753"/>
      <c r="AH97" s="757"/>
      <c r="AI97" s="757"/>
      <c r="AJ97" s="757"/>
      <c r="AK97" s="757"/>
      <c r="AL97" s="757"/>
      <c r="AM97" s="757"/>
      <c r="AN97" s="757"/>
      <c r="AO97" s="784"/>
      <c r="BV97" s="500">
        <v>15</v>
      </c>
      <c r="BW97" s="500">
        <v>1</v>
      </c>
    </row>
    <row r="98" spans="1:75" s="166" customFormat="1" ht="13.5" customHeight="1">
      <c r="A98" s="594"/>
      <c r="B98" s="187"/>
      <c r="C98" s="592">
        <v>234.98</v>
      </c>
      <c r="D98" s="187" t="s">
        <v>67</v>
      </c>
      <c r="E98" s="592">
        <v>375.72</v>
      </c>
      <c r="F98" s="187" t="s">
        <v>67</v>
      </c>
      <c r="G98" s="592">
        <v>348</v>
      </c>
      <c r="H98" s="187"/>
      <c r="I98" s="592">
        <v>355.50400000000002</v>
      </c>
      <c r="J98" s="187"/>
      <c r="K98" s="592">
        <v>380.67899999999997</v>
      </c>
      <c r="L98" s="187"/>
      <c r="M98" s="592">
        <v>408</v>
      </c>
      <c r="N98" s="187"/>
      <c r="O98" s="592">
        <v>413</v>
      </c>
      <c r="P98" s="187"/>
      <c r="Q98" s="592">
        <v>381</v>
      </c>
      <c r="R98" s="187"/>
      <c r="S98" s="592">
        <v>364</v>
      </c>
      <c r="T98" s="187"/>
      <c r="U98" s="592">
        <v>404.71</v>
      </c>
      <c r="V98" s="187"/>
      <c r="W98" s="592">
        <v>406.00099999999998</v>
      </c>
      <c r="X98" s="191"/>
      <c r="Y98" s="592">
        <v>402</v>
      </c>
      <c r="Z98" s="187"/>
      <c r="AA98" s="592">
        <v>365</v>
      </c>
      <c r="AB98" s="187"/>
      <c r="AC98" s="592">
        <v>420</v>
      </c>
      <c r="AD98" s="187"/>
      <c r="AE98" s="592">
        <v>408.99900000000002</v>
      </c>
      <c r="AF98" s="574"/>
      <c r="AG98" s="753"/>
      <c r="AH98" s="757"/>
      <c r="AI98" s="757"/>
      <c r="AJ98" s="757"/>
      <c r="AK98" s="757"/>
      <c r="AL98" s="757"/>
      <c r="AM98" s="757"/>
      <c r="AN98" s="757"/>
      <c r="AO98" s="784"/>
    </row>
    <row r="99" spans="1:75" s="166" customFormat="1" ht="13.5" customHeight="1" thickBot="1">
      <c r="A99" s="59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574"/>
      <c r="AG99" s="753"/>
      <c r="AH99" s="757"/>
      <c r="AI99" s="757"/>
      <c r="AJ99" s="757"/>
      <c r="AK99" s="757"/>
      <c r="AL99" s="757"/>
      <c r="AM99" s="757"/>
      <c r="AN99" s="757"/>
      <c r="AO99" s="784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574"/>
      <c r="AG100" s="753"/>
      <c r="AH100" s="757"/>
      <c r="AI100" s="757"/>
      <c r="AJ100" s="757"/>
      <c r="AK100" s="757"/>
      <c r="AL100" s="757"/>
      <c r="AM100" s="757"/>
      <c r="AN100" s="757"/>
      <c r="AO100" s="784"/>
    </row>
    <row r="101" spans="1:75" s="166" customFormat="1" ht="14.1" customHeight="1">
      <c r="A101" s="206"/>
      <c r="B101" s="200"/>
      <c r="C101" s="603" t="s">
        <v>1010</v>
      </c>
      <c r="D101" s="200"/>
      <c r="E101" s="603" t="s">
        <v>1114</v>
      </c>
      <c r="F101" s="200" t="s">
        <v>565</v>
      </c>
      <c r="G101" s="254"/>
      <c r="H101" s="200"/>
      <c r="I101" s="593" t="s">
        <v>1116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585"/>
      <c r="AF101" s="574"/>
      <c r="AG101" s="754"/>
      <c r="AH101" s="758"/>
      <c r="AI101" s="758"/>
      <c r="AJ101" s="758"/>
      <c r="AK101" s="758"/>
      <c r="AL101" s="758"/>
      <c r="AM101" s="758"/>
      <c r="AN101" s="758"/>
      <c r="AO101" s="787"/>
    </row>
    <row r="102" spans="1:75" s="166" customFormat="1" ht="13.5" customHeight="1">
      <c r="A102" s="206"/>
      <c r="B102" s="200"/>
      <c r="C102" s="603" t="s">
        <v>1115</v>
      </c>
      <c r="D102" s="200"/>
      <c r="E102" s="603" t="s">
        <v>1115</v>
      </c>
      <c r="F102" s="200"/>
      <c r="G102" s="58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584" t="s">
        <v>1125</v>
      </c>
      <c r="Z102" s="200"/>
      <c r="AA102" s="200"/>
      <c r="AB102" s="200"/>
      <c r="AC102" s="200"/>
      <c r="AD102" s="200"/>
      <c r="AE102" s="200"/>
      <c r="AF102" s="574"/>
      <c r="AG102" s="753"/>
      <c r="AH102" s="757"/>
      <c r="AI102" s="757"/>
      <c r="AJ102" s="757"/>
      <c r="AK102" s="757"/>
      <c r="AL102" s="757"/>
      <c r="AM102" s="757"/>
      <c r="AN102" s="757"/>
      <c r="AO102" s="784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574"/>
      <c r="AG103" s="753"/>
      <c r="AH103" s="757"/>
      <c r="AI103" s="757"/>
      <c r="AJ103" s="757"/>
      <c r="AK103" s="757"/>
      <c r="AL103" s="757"/>
      <c r="AM103" s="757"/>
      <c r="AN103" s="757"/>
      <c r="AO103" s="784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574"/>
      <c r="AG104" s="753"/>
      <c r="AH104" s="757"/>
      <c r="AI104" s="757"/>
      <c r="AJ104" s="757"/>
      <c r="AK104" s="757"/>
      <c r="AL104" s="757"/>
      <c r="AM104" s="757"/>
      <c r="AN104" s="757"/>
      <c r="AO104" s="784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574"/>
      <c r="AG105" s="753"/>
      <c r="AH105" s="757"/>
      <c r="AI105" s="757"/>
      <c r="AJ105" s="757"/>
      <c r="AK105" s="757"/>
      <c r="AL105" s="757"/>
      <c r="AM105" s="757"/>
      <c r="AN105" s="757"/>
      <c r="AO105" s="784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3"/>
      <c r="AH106" s="757"/>
      <c r="AI106" s="757"/>
      <c r="AJ106" s="757"/>
      <c r="AK106" s="757"/>
      <c r="AL106" s="757"/>
      <c r="AM106" s="757"/>
      <c r="AN106" s="757"/>
      <c r="AO106" s="784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574"/>
      <c r="AG107" s="753"/>
      <c r="AH107" s="757"/>
      <c r="AI107" s="757"/>
      <c r="AJ107" s="757"/>
      <c r="AK107" s="757"/>
      <c r="AL107" s="757"/>
      <c r="AM107" s="757"/>
      <c r="AN107" s="757"/>
      <c r="AO107" s="784"/>
    </row>
    <row r="108" spans="1:75" s="166" customFormat="1" ht="13.5" customHeight="1">
      <c r="A108" s="594"/>
      <c r="B108" s="194"/>
      <c r="C108" s="591"/>
      <c r="D108" s="521"/>
      <c r="E108" s="591"/>
      <c r="F108" s="487"/>
      <c r="G108" s="591"/>
      <c r="H108" s="183"/>
      <c r="I108" s="591"/>
      <c r="J108" s="184"/>
      <c r="K108" s="591"/>
      <c r="L108" s="183"/>
      <c r="M108" s="591"/>
      <c r="N108" s="184"/>
      <c r="O108" s="591"/>
      <c r="P108" s="184"/>
      <c r="Q108" s="591"/>
      <c r="R108" s="184"/>
      <c r="S108" s="591"/>
      <c r="T108" s="183"/>
      <c r="U108" s="591"/>
      <c r="V108" s="183"/>
      <c r="W108" s="591"/>
      <c r="X108" s="261"/>
      <c r="Y108" s="579"/>
      <c r="Z108" s="261"/>
      <c r="AA108" s="579"/>
      <c r="AB108" s="261"/>
      <c r="AC108" s="579"/>
      <c r="AD108" s="261"/>
      <c r="AE108" s="579"/>
      <c r="AF108" s="574"/>
      <c r="AG108" s="753"/>
      <c r="AH108" s="757"/>
      <c r="AI108" s="757"/>
      <c r="AJ108" s="757"/>
      <c r="AK108" s="757"/>
      <c r="AL108" s="757"/>
      <c r="AM108" s="757"/>
      <c r="AN108" s="757"/>
      <c r="AO108" s="784"/>
      <c r="BV108" s="500">
        <f>4</f>
        <v>4</v>
      </c>
      <c r="BW108" s="500">
        <v>0</v>
      </c>
    </row>
    <row r="109" spans="1:75" s="166" customFormat="1" ht="13.5" customHeight="1">
      <c r="A109" s="594"/>
      <c r="B109" s="195" t="s">
        <v>550</v>
      </c>
      <c r="C109" s="592">
        <v>388.00099999999998</v>
      </c>
      <c r="D109" s="523" t="s">
        <v>550</v>
      </c>
      <c r="E109" s="592">
        <v>348.62799999999999</v>
      </c>
      <c r="F109" s="201" t="s">
        <v>97</v>
      </c>
      <c r="G109" s="592">
        <v>424.14</v>
      </c>
      <c r="H109" s="186"/>
      <c r="I109" s="592">
        <v>412</v>
      </c>
      <c r="J109" s="191"/>
      <c r="K109" s="592">
        <v>406</v>
      </c>
      <c r="L109" s="186"/>
      <c r="M109" s="592">
        <v>370.19200000000001</v>
      </c>
      <c r="N109" s="191"/>
      <c r="O109" s="592">
        <v>378.53399999999999</v>
      </c>
      <c r="P109" s="191"/>
      <c r="Q109" s="592">
        <v>408.00400000000002</v>
      </c>
      <c r="R109" s="187"/>
      <c r="S109" s="592">
        <v>405.55099999999999</v>
      </c>
      <c r="T109" s="186"/>
      <c r="U109" s="592">
        <v>405.99900000000002</v>
      </c>
      <c r="V109" s="186"/>
      <c r="W109" s="592">
        <v>386</v>
      </c>
      <c r="X109" s="262"/>
      <c r="Y109" s="581">
        <v>408.363</v>
      </c>
      <c r="Z109" s="263"/>
      <c r="AA109" s="581">
        <v>380.99700000000001</v>
      </c>
      <c r="AB109" s="263"/>
      <c r="AC109" s="581">
        <v>426.00099999999998</v>
      </c>
      <c r="AD109" s="263"/>
      <c r="AE109" s="581">
        <v>394.47500000000002</v>
      </c>
      <c r="AF109" s="574"/>
      <c r="AG109" s="753"/>
      <c r="AH109" s="757"/>
      <c r="AI109" s="757"/>
      <c r="AJ109" s="757"/>
      <c r="AK109" s="757"/>
      <c r="AL109" s="757"/>
      <c r="AM109" s="757"/>
      <c r="AN109" s="757"/>
      <c r="AO109" s="784"/>
    </row>
    <row r="110" spans="1:75" s="166" customFormat="1" ht="13.5" customHeight="1" thickBot="1">
      <c r="A110" s="594"/>
      <c r="B110" s="196"/>
      <c r="D110" s="522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574"/>
      <c r="AG110" s="753"/>
      <c r="AH110" s="757"/>
      <c r="AI110" s="757"/>
      <c r="AJ110" s="757"/>
      <c r="AK110" s="757"/>
      <c r="AL110" s="757"/>
      <c r="AM110" s="757"/>
      <c r="AN110" s="757"/>
      <c r="AO110" s="784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574"/>
      <c r="AG111" s="753"/>
      <c r="AH111" s="757"/>
      <c r="AI111" s="757"/>
      <c r="AJ111" s="757"/>
      <c r="AK111" s="757"/>
      <c r="AL111" s="757"/>
      <c r="AM111" s="757"/>
      <c r="AN111" s="757"/>
      <c r="AO111" s="784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03" t="s">
        <v>1115</v>
      </c>
      <c r="P112" s="200"/>
      <c r="Q112" s="200"/>
      <c r="R112" s="200"/>
      <c r="S112" s="597"/>
      <c r="T112" s="200"/>
      <c r="U112" s="603" t="s">
        <v>1115</v>
      </c>
      <c r="V112" s="200"/>
      <c r="W112" s="585"/>
      <c r="X112" s="200"/>
      <c r="Y112" s="254"/>
      <c r="Z112" s="200"/>
      <c r="AA112" s="258" t="s">
        <v>1131</v>
      </c>
      <c r="AB112" s="200"/>
      <c r="AC112" s="604" t="s">
        <v>1129</v>
      </c>
      <c r="AD112" s="200"/>
      <c r="AE112" s="200"/>
      <c r="AF112" s="574"/>
      <c r="AG112" s="754"/>
      <c r="AH112" s="758"/>
      <c r="AI112" s="758"/>
      <c r="AJ112" s="758"/>
      <c r="AK112" s="758"/>
      <c r="AL112" s="758"/>
      <c r="AM112" s="758"/>
      <c r="AN112" s="758"/>
      <c r="AO112" s="787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584" t="s">
        <v>1126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584" t="s">
        <v>1128</v>
      </c>
      <c r="AB113" s="200"/>
      <c r="AC113" s="604" t="s">
        <v>1130</v>
      </c>
      <c r="AD113" s="200"/>
      <c r="AE113" s="200"/>
      <c r="AF113" s="574"/>
      <c r="AG113" s="753"/>
      <c r="AH113" s="757"/>
      <c r="AI113" s="757"/>
      <c r="AJ113" s="757"/>
      <c r="AK113" s="757"/>
      <c r="AL113" s="757"/>
      <c r="AM113" s="757"/>
      <c r="AN113" s="757"/>
      <c r="AO113" s="784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574"/>
      <c r="AG114" s="753"/>
      <c r="AH114" s="757"/>
      <c r="AI114" s="757"/>
      <c r="AJ114" s="757"/>
      <c r="AK114" s="757"/>
      <c r="AL114" s="757"/>
      <c r="AM114" s="757"/>
      <c r="AN114" s="757"/>
      <c r="AO114" s="784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574"/>
      <c r="AG115" s="753"/>
      <c r="AH115" s="757"/>
      <c r="AI115" s="757"/>
      <c r="AJ115" s="757"/>
      <c r="AK115" s="757"/>
      <c r="AL115" s="757"/>
      <c r="AM115" s="757"/>
      <c r="AN115" s="757"/>
      <c r="AO115" s="784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574"/>
      <c r="AG116" s="753"/>
      <c r="AH116" s="757"/>
      <c r="AI116" s="757"/>
      <c r="AJ116" s="757"/>
      <c r="AK116" s="757"/>
      <c r="AL116" s="757"/>
      <c r="AM116" s="757"/>
      <c r="AN116" s="757"/>
      <c r="AO116" s="784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3"/>
      <c r="AH117" s="757"/>
      <c r="AI117" s="757"/>
      <c r="AJ117" s="757"/>
      <c r="AK117" s="757"/>
      <c r="AL117" s="757"/>
      <c r="AM117" s="757"/>
      <c r="AN117" s="757"/>
      <c r="AO117" s="784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574"/>
      <c r="AG118" s="753"/>
      <c r="AH118" s="757"/>
      <c r="AI118" s="757"/>
      <c r="AJ118" s="757"/>
      <c r="AK118" s="757"/>
      <c r="AL118" s="757"/>
      <c r="AM118" s="757"/>
      <c r="AN118" s="757"/>
      <c r="AO118" s="784"/>
    </row>
    <row r="119" spans="1:75" s="166" customFormat="1" ht="13.5" customHeight="1">
      <c r="A119" s="206"/>
      <c r="B119" s="261"/>
      <c r="C119" s="579"/>
      <c r="D119" s="261"/>
      <c r="E119" s="579"/>
      <c r="F119" s="536"/>
      <c r="G119" s="579"/>
      <c r="H119" s="202"/>
      <c r="I119" s="579"/>
      <c r="J119" s="261"/>
      <c r="K119" s="579"/>
      <c r="L119" s="261"/>
      <c r="M119" s="579"/>
      <c r="N119" s="261"/>
      <c r="O119" s="579"/>
      <c r="P119" s="261"/>
      <c r="Q119" s="579"/>
      <c r="R119" s="261"/>
      <c r="S119" s="579"/>
      <c r="T119" s="261"/>
      <c r="U119" s="579"/>
      <c r="V119" s="261"/>
      <c r="W119" s="579"/>
      <c r="X119" s="261"/>
      <c r="Y119" s="579"/>
      <c r="Z119" s="261"/>
      <c r="AA119" s="579"/>
      <c r="AB119" s="261"/>
      <c r="AC119" s="579"/>
      <c r="AD119" s="261"/>
      <c r="AE119" s="579"/>
      <c r="AF119" s="574"/>
      <c r="AG119" s="753"/>
      <c r="AH119" s="757"/>
      <c r="AI119" s="757"/>
      <c r="AJ119" s="757"/>
      <c r="AK119" s="757"/>
      <c r="AL119" s="757"/>
      <c r="AM119" s="757"/>
      <c r="AN119" s="757"/>
      <c r="AO119" s="784"/>
      <c r="BV119" s="500">
        <v>1</v>
      </c>
      <c r="BW119" s="500">
        <v>0</v>
      </c>
    </row>
    <row r="120" spans="1:75" s="166" customFormat="1" ht="13.5" customHeight="1">
      <c r="A120" s="206"/>
      <c r="B120" s="263"/>
      <c r="C120" s="581">
        <v>411.00400000000002</v>
      </c>
      <c r="D120" s="263" t="s">
        <v>550</v>
      </c>
      <c r="E120" s="581">
        <v>423</v>
      </c>
      <c r="F120" s="195" t="s">
        <v>550</v>
      </c>
      <c r="G120" s="581">
        <v>395</v>
      </c>
      <c r="H120" s="187" t="s">
        <v>67</v>
      </c>
      <c r="I120" s="581">
        <v>358.32400000000001</v>
      </c>
      <c r="J120" s="263"/>
      <c r="K120" s="581">
        <v>409.99599999999998</v>
      </c>
      <c r="L120" s="263"/>
      <c r="M120" s="581">
        <v>399.88200000000001</v>
      </c>
      <c r="N120" s="263"/>
      <c r="O120" s="581">
        <v>410.99799999999999</v>
      </c>
      <c r="P120" s="263"/>
      <c r="Q120" s="581">
        <v>402</v>
      </c>
      <c r="R120" s="263"/>
      <c r="S120" s="581">
        <v>422</v>
      </c>
      <c r="T120" s="263"/>
      <c r="U120" s="581">
        <v>409</v>
      </c>
      <c r="V120" s="263"/>
      <c r="W120" s="581">
        <v>394</v>
      </c>
      <c r="X120" s="262"/>
      <c r="Y120" s="581">
        <v>393</v>
      </c>
      <c r="Z120" s="263"/>
      <c r="AA120" s="581">
        <v>405.06099999999998</v>
      </c>
      <c r="AB120" s="263"/>
      <c r="AC120" s="581">
        <v>404.97500000000002</v>
      </c>
      <c r="AD120" s="263"/>
      <c r="AE120" s="581">
        <v>382.005</v>
      </c>
      <c r="AF120" s="574"/>
      <c r="AG120" s="753"/>
      <c r="AH120" s="757"/>
      <c r="AI120" s="757"/>
      <c r="AJ120" s="757"/>
      <c r="AK120" s="757"/>
      <c r="AL120" s="757"/>
      <c r="AM120" s="757"/>
      <c r="AN120" s="757"/>
      <c r="AO120" s="784"/>
    </row>
    <row r="121" spans="1:75" s="166" customFormat="1" ht="13.5" customHeight="1" thickBot="1">
      <c r="A121" s="206"/>
      <c r="B121" s="264"/>
      <c r="C121" s="200"/>
      <c r="D121" s="264"/>
      <c r="E121" s="200"/>
      <c r="F121" s="537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574"/>
      <c r="AG121" s="753"/>
      <c r="AH121" s="757"/>
      <c r="AI121" s="757"/>
      <c r="AJ121" s="757"/>
      <c r="AK121" s="757"/>
      <c r="AL121" s="757"/>
      <c r="AM121" s="757"/>
      <c r="AN121" s="757"/>
      <c r="AO121" s="784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574"/>
      <c r="AG122" s="753"/>
      <c r="AH122" s="757"/>
      <c r="AI122" s="757"/>
      <c r="AJ122" s="757"/>
      <c r="AK122" s="757"/>
      <c r="AL122" s="757"/>
      <c r="AM122" s="757"/>
      <c r="AN122" s="757"/>
      <c r="AO122" s="784"/>
    </row>
    <row r="123" spans="1:75" s="166" customFormat="1" ht="14.1" customHeight="1" thickBot="1">
      <c r="A123" s="206"/>
      <c r="B123" s="200"/>
      <c r="C123" s="584" t="s">
        <v>1132</v>
      </c>
      <c r="D123" s="200"/>
      <c r="E123" s="254"/>
      <c r="F123" s="200"/>
      <c r="G123" s="254"/>
      <c r="H123" s="200"/>
      <c r="I123" s="254"/>
      <c r="J123" s="200"/>
      <c r="K123" s="604" t="s">
        <v>1130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585"/>
      <c r="V123" s="200"/>
      <c r="W123" s="200"/>
      <c r="X123" s="200"/>
      <c r="Y123" s="254"/>
      <c r="Z123" s="200"/>
      <c r="AA123" s="254"/>
      <c r="AB123" s="200"/>
      <c r="AC123" s="604" t="s">
        <v>1115</v>
      </c>
      <c r="AD123" s="200"/>
      <c r="AE123" s="604" t="s">
        <v>1115</v>
      </c>
      <c r="AF123" s="574"/>
      <c r="AG123" s="791"/>
      <c r="AH123" s="782"/>
      <c r="AI123" s="782"/>
      <c r="AJ123" s="782"/>
      <c r="AK123" s="782"/>
      <c r="AL123" s="782"/>
      <c r="AM123" s="782"/>
      <c r="AN123" s="782"/>
      <c r="AO123" s="785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584" t="s">
        <v>1133</v>
      </c>
      <c r="T124" s="200"/>
      <c r="U124" s="584" t="s">
        <v>1133</v>
      </c>
      <c r="V124" s="200"/>
      <c r="W124" s="200"/>
      <c r="X124" s="200"/>
      <c r="Y124" s="200"/>
      <c r="Z124" s="200"/>
      <c r="AA124" s="200"/>
      <c r="AB124" s="200"/>
      <c r="AC124" s="604" t="s">
        <v>1020</v>
      </c>
      <c r="AD124" s="200"/>
      <c r="AE124" s="604" t="s">
        <v>997</v>
      </c>
      <c r="AF124" s="574"/>
      <c r="AG124" s="753"/>
      <c r="AH124" s="757"/>
      <c r="AI124" s="757"/>
      <c r="AJ124" s="757"/>
      <c r="AK124" s="757"/>
      <c r="AL124" s="757"/>
      <c r="AM124" s="757"/>
      <c r="AN124" s="757"/>
      <c r="AO124" s="784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574"/>
      <c r="AG125" s="753"/>
      <c r="AH125" s="757"/>
      <c r="AI125" s="757"/>
      <c r="AJ125" s="757"/>
      <c r="AK125" s="757"/>
      <c r="AL125" s="757"/>
      <c r="AM125" s="757"/>
      <c r="AN125" s="757"/>
      <c r="AO125" s="784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574"/>
      <c r="AG126" s="753"/>
      <c r="AH126" s="757"/>
      <c r="AI126" s="757"/>
      <c r="AJ126" s="757"/>
      <c r="AK126" s="757"/>
      <c r="AL126" s="757"/>
      <c r="AM126" s="757"/>
      <c r="AN126" s="757"/>
      <c r="AO126" s="784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574"/>
      <c r="AG127" s="753"/>
      <c r="AH127" s="757"/>
      <c r="AI127" s="757"/>
      <c r="AJ127" s="757"/>
      <c r="AK127" s="757"/>
      <c r="AL127" s="757"/>
      <c r="AM127" s="757"/>
      <c r="AN127" s="757"/>
      <c r="AO127" s="784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3"/>
      <c r="AH128" s="757"/>
      <c r="AI128" s="757"/>
      <c r="AJ128" s="757"/>
      <c r="AK128" s="757"/>
      <c r="AL128" s="757"/>
      <c r="AM128" s="757"/>
      <c r="AN128" s="757"/>
      <c r="AO128" s="784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574"/>
      <c r="AG129" s="753"/>
      <c r="AH129" s="757"/>
      <c r="AI129" s="757"/>
      <c r="AJ129" s="757"/>
      <c r="AK129" s="757"/>
      <c r="AL129" s="757"/>
      <c r="AM129" s="757"/>
      <c r="AN129" s="757"/>
      <c r="AO129" s="784"/>
    </row>
    <row r="130" spans="1:75" s="166" customFormat="1" ht="13.5" customHeight="1">
      <c r="A130" s="206"/>
      <c r="B130" s="261"/>
      <c r="C130" s="579"/>
      <c r="D130" s="261"/>
      <c r="E130" s="579"/>
      <c r="F130" s="261"/>
      <c r="G130" s="579"/>
      <c r="H130" s="261"/>
      <c r="I130" s="579"/>
      <c r="J130" s="261"/>
      <c r="K130" s="579"/>
      <c r="L130" s="261"/>
      <c r="M130" s="579"/>
      <c r="N130" s="261"/>
      <c r="O130" s="579"/>
      <c r="P130" s="261"/>
      <c r="Q130" s="579"/>
      <c r="R130" s="261"/>
      <c r="S130" s="579"/>
      <c r="T130" s="261"/>
      <c r="U130" s="579"/>
      <c r="V130" s="261"/>
      <c r="W130" s="579"/>
      <c r="X130" s="261"/>
      <c r="Y130" s="579"/>
      <c r="Z130" s="261"/>
      <c r="AA130" s="579"/>
      <c r="AB130" s="261"/>
      <c r="AC130" s="579"/>
      <c r="AD130" s="184"/>
      <c r="AE130" s="579"/>
      <c r="AF130" s="574"/>
      <c r="AG130" s="753"/>
      <c r="AH130" s="757"/>
      <c r="AI130" s="757"/>
      <c r="AJ130" s="757"/>
      <c r="AK130" s="757"/>
      <c r="AL130" s="757"/>
      <c r="AM130" s="757"/>
      <c r="AN130" s="757"/>
      <c r="AO130" s="784"/>
    </row>
    <row r="131" spans="1:75" s="166" customFormat="1" ht="13.5" customHeight="1">
      <c r="A131" s="206"/>
      <c r="B131" s="263"/>
      <c r="C131" s="581">
        <v>428.053</v>
      </c>
      <c r="D131" s="263"/>
      <c r="E131" s="581">
        <v>155.72499999999999</v>
      </c>
      <c r="F131" s="263"/>
      <c r="G131" s="581">
        <v>387</v>
      </c>
      <c r="H131" s="263"/>
      <c r="I131" s="581">
        <v>344</v>
      </c>
      <c r="J131" s="263"/>
      <c r="K131" s="581">
        <v>384</v>
      </c>
      <c r="L131" s="263"/>
      <c r="M131" s="581">
        <v>391</v>
      </c>
      <c r="N131" s="263"/>
      <c r="O131" s="581">
        <v>426</v>
      </c>
      <c r="P131" s="263"/>
      <c r="Q131" s="581">
        <v>328.995</v>
      </c>
      <c r="R131" s="263"/>
      <c r="S131" s="581">
        <v>428.03899999999999</v>
      </c>
      <c r="T131" s="263"/>
      <c r="U131" s="581">
        <v>314</v>
      </c>
      <c r="V131" s="263"/>
      <c r="W131" s="581">
        <v>365.78</v>
      </c>
      <c r="X131" s="262"/>
      <c r="Y131" s="581">
        <v>407</v>
      </c>
      <c r="Z131" s="263" t="s">
        <v>550</v>
      </c>
      <c r="AA131" s="581">
        <v>276</v>
      </c>
      <c r="AB131" s="263" t="s">
        <v>550</v>
      </c>
      <c r="AC131" s="581">
        <v>410</v>
      </c>
      <c r="AD131" s="187"/>
      <c r="AE131" s="581">
        <v>418</v>
      </c>
      <c r="AF131" s="574"/>
      <c r="AG131" s="753"/>
      <c r="AH131" s="757"/>
      <c r="AI131" s="757"/>
      <c r="AJ131" s="757"/>
      <c r="AK131" s="757"/>
      <c r="AL131" s="757"/>
      <c r="AM131" s="757"/>
      <c r="AN131" s="757"/>
      <c r="AO131" s="784"/>
      <c r="BV131" s="500">
        <v>1</v>
      </c>
      <c r="BW131" s="500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574"/>
      <c r="AG132" s="753"/>
      <c r="AH132" s="757"/>
      <c r="AI132" s="757"/>
      <c r="AJ132" s="757"/>
      <c r="AK132" s="757"/>
      <c r="AL132" s="757"/>
      <c r="AM132" s="757"/>
      <c r="AN132" s="757"/>
      <c r="AO132" s="784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574"/>
      <c r="AG133" s="753"/>
      <c r="AH133" s="757"/>
      <c r="AI133" s="757"/>
      <c r="AJ133" s="757"/>
      <c r="AK133" s="757"/>
      <c r="AL133" s="757"/>
      <c r="AM133" s="757"/>
      <c r="AN133" s="757"/>
      <c r="AO133" s="784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574"/>
      <c r="AG134" s="754"/>
      <c r="AH134" s="758"/>
      <c r="AI134" s="758"/>
      <c r="AJ134" s="758"/>
      <c r="AK134" s="758"/>
      <c r="AL134" s="758"/>
      <c r="AM134" s="758"/>
      <c r="AN134" s="758"/>
      <c r="AO134" s="787"/>
    </row>
    <row r="135" spans="1:75" s="166" customFormat="1" ht="13.5" customHeight="1">
      <c r="A135" s="206"/>
      <c r="B135" s="200"/>
      <c r="C135" s="200"/>
      <c r="D135" s="200"/>
      <c r="E135" s="584" t="s">
        <v>1134</v>
      </c>
      <c r="F135" s="200"/>
      <c r="G135" s="584" t="s">
        <v>1135</v>
      </c>
      <c r="H135" s="200"/>
      <c r="I135" s="584" t="s">
        <v>1136</v>
      </c>
      <c r="J135" s="200"/>
      <c r="K135" s="200"/>
      <c r="L135" s="200"/>
      <c r="M135" s="200"/>
      <c r="N135" s="200"/>
      <c r="O135" s="584" t="s">
        <v>1136</v>
      </c>
      <c r="P135" s="200"/>
      <c r="Q135" s="604" t="s">
        <v>1115</v>
      </c>
      <c r="R135" s="200"/>
      <c r="S135" s="584" t="s">
        <v>1138</v>
      </c>
      <c r="T135" s="200"/>
      <c r="U135" s="200"/>
      <c r="V135" s="200"/>
      <c r="W135" s="584" t="s">
        <v>1138</v>
      </c>
      <c r="X135" s="200"/>
      <c r="Y135" s="200"/>
      <c r="Z135" s="200"/>
      <c r="AA135" s="604" t="s">
        <v>1112</v>
      </c>
      <c r="AB135" s="200"/>
      <c r="AC135" s="200"/>
      <c r="AD135" s="200"/>
      <c r="AE135" s="584" t="s">
        <v>1127</v>
      </c>
      <c r="AF135" s="57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584" t="s">
        <v>1137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584" t="s">
        <v>1137</v>
      </c>
      <c r="AB136" s="200"/>
      <c r="AC136" s="200"/>
      <c r="AD136" s="200"/>
      <c r="AE136" s="200"/>
      <c r="AF136" s="60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0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57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579"/>
      <c r="D143" s="184"/>
      <c r="E143" s="579"/>
      <c r="F143" s="184"/>
      <c r="G143" s="579"/>
      <c r="H143" s="261"/>
      <c r="I143" s="579"/>
      <c r="J143" s="261"/>
      <c r="K143" s="579"/>
      <c r="L143" s="261"/>
      <c r="M143" s="579"/>
      <c r="N143" s="261"/>
      <c r="O143" s="579"/>
      <c r="P143" s="261"/>
      <c r="Q143" s="579"/>
      <c r="R143" s="261"/>
      <c r="S143" s="579"/>
      <c r="T143" s="261"/>
      <c r="U143" s="579"/>
      <c r="V143" s="261"/>
      <c r="W143" s="579"/>
      <c r="X143" s="261"/>
      <c r="Y143" s="579"/>
      <c r="Z143" s="261"/>
      <c r="AA143" s="579"/>
      <c r="AB143" s="261"/>
      <c r="AC143" s="579"/>
      <c r="AD143" s="261"/>
      <c r="AE143" s="579"/>
      <c r="AF143" s="580"/>
      <c r="AG143" s="320"/>
      <c r="AH143" s="321"/>
      <c r="AI143" s="321"/>
      <c r="AJ143" s="321"/>
      <c r="AK143" s="321"/>
      <c r="AL143" s="321"/>
      <c r="AM143" s="321"/>
      <c r="AN143" s="322"/>
      <c r="BV143" s="500">
        <v>3</v>
      </c>
      <c r="BW143" s="500">
        <v>0</v>
      </c>
    </row>
    <row r="144" spans="1:75" s="166" customFormat="1" ht="13.5" customHeight="1">
      <c r="A144" s="206"/>
      <c r="B144" s="187"/>
      <c r="C144" s="581">
        <v>383</v>
      </c>
      <c r="D144" s="187"/>
      <c r="E144" s="581">
        <v>409</v>
      </c>
      <c r="F144" s="187"/>
      <c r="G144" s="581">
        <v>420</v>
      </c>
      <c r="H144" s="263"/>
      <c r="I144" s="581">
        <v>414</v>
      </c>
      <c r="J144" s="263"/>
      <c r="K144" s="581">
        <v>406</v>
      </c>
      <c r="L144" s="263"/>
      <c r="M144" s="581">
        <v>403.13900000000001</v>
      </c>
      <c r="N144" s="263"/>
      <c r="O144" s="581">
        <v>381.59</v>
      </c>
      <c r="P144" s="263"/>
      <c r="Q144" s="606">
        <v>357.99599999999998</v>
      </c>
      <c r="R144" s="263"/>
      <c r="S144" s="581">
        <v>365</v>
      </c>
      <c r="T144" s="263"/>
      <c r="U144" s="581">
        <v>378</v>
      </c>
      <c r="V144" s="263"/>
      <c r="W144" s="606">
        <v>370</v>
      </c>
      <c r="X144" s="262"/>
      <c r="Y144" s="581">
        <v>437.53399999999999</v>
      </c>
      <c r="Z144" s="263"/>
      <c r="AA144" s="581"/>
      <c r="AB144" s="263"/>
      <c r="AC144" s="581">
        <v>411</v>
      </c>
      <c r="AD144" s="263"/>
      <c r="AE144" s="606">
        <v>345</v>
      </c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57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04" t="s">
        <v>1115</v>
      </c>
      <c r="Q147" s="200"/>
      <c r="R147" s="200"/>
      <c r="S147" s="200"/>
      <c r="T147" s="200"/>
      <c r="U147" s="604" t="s">
        <v>1139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 t="s">
        <v>1135</v>
      </c>
      <c r="L148" s="200"/>
      <c r="M148" s="200"/>
      <c r="N148" s="200"/>
      <c r="O148" s="603" t="s">
        <v>1017</v>
      </c>
      <c r="P148" s="200"/>
      <c r="Q148" s="200"/>
      <c r="R148" s="200"/>
      <c r="S148" s="200"/>
      <c r="T148" s="200"/>
      <c r="U148" s="603" t="s">
        <v>1115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584"/>
      <c r="L149" s="200"/>
      <c r="M149" s="200"/>
      <c r="N149" s="200"/>
      <c r="O149" s="603"/>
      <c r="P149" s="200"/>
      <c r="Q149" s="200"/>
      <c r="R149" s="200"/>
      <c r="S149" s="200"/>
      <c r="T149" s="200"/>
      <c r="U149" s="60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57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574"/>
    </row>
    <row r="152" spans="1:40" s="167" customFormat="1" ht="13.35" customHeight="1">
      <c r="A152" s="206"/>
      <c r="B152" s="304" t="s">
        <v>143</v>
      </c>
      <c r="C152" s="200"/>
      <c r="D152" s="304" t="s">
        <v>1140</v>
      </c>
      <c r="E152" s="254"/>
      <c r="F152" s="304" t="s">
        <v>1141</v>
      </c>
      <c r="G152" s="254"/>
      <c r="H152" s="304" t="s">
        <v>1142</v>
      </c>
      <c r="I152" s="254"/>
      <c r="J152" s="304" t="s">
        <v>1143</v>
      </c>
      <c r="K152" s="254"/>
      <c r="L152" s="304" t="s">
        <v>1144</v>
      </c>
      <c r="M152" s="254"/>
      <c r="N152" s="304" t="s">
        <v>1145</v>
      </c>
      <c r="O152" s="254"/>
      <c r="P152" s="304" t="s">
        <v>1146</v>
      </c>
      <c r="Q152" s="254"/>
      <c r="R152" s="304" t="s">
        <v>1147</v>
      </c>
      <c r="S152" s="254"/>
      <c r="T152" s="304" t="s">
        <v>1148</v>
      </c>
      <c r="U152" s="254"/>
      <c r="V152" s="304" t="s">
        <v>1149</v>
      </c>
      <c r="W152" s="254"/>
      <c r="X152" s="304" t="s">
        <v>1150</v>
      </c>
      <c r="Y152" s="254"/>
      <c r="Z152" s="304" t="s">
        <v>1151</v>
      </c>
      <c r="AA152" s="254"/>
      <c r="AB152" s="304" t="s">
        <v>1152</v>
      </c>
      <c r="AC152" s="254"/>
      <c r="AD152" s="304" t="s">
        <v>1153</v>
      </c>
      <c r="AE152" s="254"/>
      <c r="AF152" s="57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57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574"/>
    </row>
    <row r="156" spans="1:40" s="167" customFormat="1" ht="13.35" customHeight="1">
      <c r="A156" s="206"/>
      <c r="B156" s="261"/>
      <c r="C156" s="579"/>
      <c r="D156" s="261"/>
      <c r="E156" s="579"/>
      <c r="F156" s="261"/>
      <c r="G156" s="579"/>
      <c r="H156" s="261"/>
      <c r="I156" s="579"/>
      <c r="J156" s="261"/>
      <c r="K156" s="579"/>
      <c r="L156" s="261"/>
      <c r="M156" s="579"/>
      <c r="N156" s="261"/>
      <c r="O156" s="579"/>
      <c r="P156" s="261"/>
      <c r="Q156" s="579"/>
      <c r="R156" s="261"/>
      <c r="S156" s="579"/>
      <c r="T156" s="261"/>
      <c r="U156" s="579"/>
      <c r="V156" s="261"/>
      <c r="W156" s="579"/>
      <c r="X156" s="261"/>
      <c r="Y156" s="579"/>
      <c r="Z156" s="261"/>
      <c r="AA156" s="579"/>
      <c r="AB156" s="261"/>
      <c r="AC156" s="579"/>
      <c r="AD156" s="261"/>
      <c r="AE156" s="579"/>
      <c r="AF156" s="580"/>
    </row>
    <row r="157" spans="1:40" s="167" customFormat="1" ht="13.35" customHeight="1">
      <c r="A157" s="206"/>
      <c r="B157" s="262"/>
      <c r="C157" s="581">
        <v>225.81</v>
      </c>
      <c r="D157" s="263" t="s">
        <v>550</v>
      </c>
      <c r="E157" s="581">
        <v>451</v>
      </c>
      <c r="F157" s="263" t="s">
        <v>550</v>
      </c>
      <c r="G157" s="581">
        <v>385</v>
      </c>
      <c r="H157" s="263"/>
      <c r="I157" s="581">
        <v>429</v>
      </c>
      <c r="J157" s="263"/>
      <c r="K157" s="581">
        <v>408</v>
      </c>
      <c r="L157" s="263" t="s">
        <v>550</v>
      </c>
      <c r="M157" s="581">
        <v>407</v>
      </c>
      <c r="N157" s="263" t="s">
        <v>550</v>
      </c>
      <c r="O157" s="581">
        <v>434</v>
      </c>
      <c r="P157" s="263"/>
      <c r="Q157" s="581">
        <v>401</v>
      </c>
      <c r="R157" s="263"/>
      <c r="S157" s="581">
        <v>296</v>
      </c>
      <c r="T157" s="263"/>
      <c r="U157" s="581">
        <v>677</v>
      </c>
      <c r="V157" s="263"/>
      <c r="W157" s="581">
        <v>642</v>
      </c>
      <c r="X157" s="263"/>
      <c r="Y157" s="606">
        <v>414</v>
      </c>
      <c r="Z157" s="263"/>
      <c r="AA157" s="581">
        <v>446</v>
      </c>
      <c r="AB157" s="263"/>
      <c r="AC157" s="581">
        <v>411</v>
      </c>
      <c r="AD157" s="263"/>
      <c r="AE157" s="606">
        <v>345</v>
      </c>
      <c r="AF157" s="57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57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57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57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584"/>
      <c r="L162" s="200"/>
      <c r="M162" s="200"/>
      <c r="N162" s="200"/>
      <c r="O162" s="603"/>
      <c r="P162" s="200"/>
      <c r="Q162" s="200"/>
      <c r="R162" s="200"/>
      <c r="S162" s="200"/>
      <c r="T162" s="200"/>
      <c r="U162" s="60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57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0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0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1154</v>
      </c>
      <c r="G165" s="254"/>
      <c r="H165" s="304" t="s">
        <v>1155</v>
      </c>
      <c r="I165" s="254"/>
      <c r="J165" s="304" t="s">
        <v>1156</v>
      </c>
      <c r="K165" s="254"/>
      <c r="L165" s="304" t="s">
        <v>1157</v>
      </c>
      <c r="M165" s="254"/>
      <c r="N165" s="304" t="s">
        <v>1158</v>
      </c>
      <c r="O165" s="254"/>
      <c r="P165" s="304" t="s">
        <v>753</v>
      </c>
      <c r="Q165" s="254"/>
      <c r="R165" s="304" t="s">
        <v>1037</v>
      </c>
      <c r="S165" s="254"/>
      <c r="T165" s="304" t="s">
        <v>1159</v>
      </c>
      <c r="U165" s="254"/>
      <c r="V165" s="304" t="s">
        <v>1160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0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0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07"/>
    </row>
    <row r="169" spans="1:75" s="167" customFormat="1" ht="13.35" customHeight="1">
      <c r="A169" s="206"/>
      <c r="B169" s="261"/>
      <c r="C169" s="579"/>
      <c r="D169" s="261"/>
      <c r="E169" s="579"/>
      <c r="F169" s="261"/>
      <c r="G169" s="579"/>
      <c r="H169" s="261"/>
      <c r="I169" s="579"/>
      <c r="J169" s="261"/>
      <c r="K169" s="579"/>
      <c r="L169" s="261"/>
      <c r="M169" s="579"/>
      <c r="N169" s="261"/>
      <c r="O169" s="579"/>
      <c r="P169" s="261"/>
      <c r="Q169" s="579"/>
      <c r="R169" s="261"/>
      <c r="S169" s="579"/>
      <c r="T169" s="261"/>
      <c r="U169" s="579"/>
      <c r="V169" s="261"/>
      <c r="W169" s="579"/>
      <c r="X169" s="261"/>
      <c r="Y169" s="579"/>
      <c r="Z169" s="261"/>
      <c r="AA169" s="579"/>
      <c r="AB169" s="261"/>
      <c r="AC169" s="579"/>
      <c r="AD169" s="261"/>
      <c r="AE169" s="579"/>
      <c r="AF169" s="607"/>
    </row>
    <row r="170" spans="1:75" s="167" customFormat="1" ht="13.35" customHeight="1">
      <c r="A170" s="206"/>
      <c r="B170" s="262"/>
      <c r="C170" s="581">
        <v>225.81</v>
      </c>
      <c r="D170" s="263" t="s">
        <v>550</v>
      </c>
      <c r="E170" s="581">
        <v>451</v>
      </c>
      <c r="F170" s="263" t="s">
        <v>550</v>
      </c>
      <c r="G170" s="581">
        <v>385</v>
      </c>
      <c r="H170" s="263"/>
      <c r="I170" s="581">
        <v>429</v>
      </c>
      <c r="J170" s="263"/>
      <c r="K170" s="581">
        <v>408</v>
      </c>
      <c r="L170" s="263" t="s">
        <v>550</v>
      </c>
      <c r="M170" s="581">
        <v>407</v>
      </c>
      <c r="N170" s="263" t="s">
        <v>550</v>
      </c>
      <c r="O170" s="581">
        <v>434</v>
      </c>
      <c r="P170" s="263"/>
      <c r="Q170" s="581">
        <v>401</v>
      </c>
      <c r="R170" s="263"/>
      <c r="S170" s="581">
        <v>296</v>
      </c>
      <c r="T170" s="263"/>
      <c r="U170" s="581">
        <v>677</v>
      </c>
      <c r="V170" s="263"/>
      <c r="W170" s="581">
        <v>642</v>
      </c>
      <c r="X170" s="262"/>
      <c r="Y170" s="581">
        <v>225.81</v>
      </c>
      <c r="Z170" s="263" t="s">
        <v>550</v>
      </c>
      <c r="AA170" s="581">
        <v>451</v>
      </c>
      <c r="AB170" s="263" t="s">
        <v>550</v>
      </c>
      <c r="AC170" s="581">
        <v>385</v>
      </c>
      <c r="AD170" s="263"/>
      <c r="AE170" s="581">
        <v>429</v>
      </c>
      <c r="AF170" s="60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0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0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57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0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0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1161</v>
      </c>
      <c r="AC177" s="200"/>
      <c r="AD177" s="304" t="s">
        <v>1162</v>
      </c>
      <c r="AE177" s="200"/>
      <c r="AF177" s="60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0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07"/>
    </row>
    <row r="181" spans="1:75" s="167" customFormat="1" ht="13.5" customHeight="1">
      <c r="A181" s="206"/>
      <c r="B181" s="261"/>
      <c r="C181" s="579"/>
      <c r="D181" s="261"/>
      <c r="E181" s="579"/>
      <c r="F181" s="261"/>
      <c r="G181" s="579"/>
      <c r="H181" s="261"/>
      <c r="I181" s="579"/>
      <c r="J181" s="261"/>
      <c r="K181" s="579"/>
      <c r="L181" s="261"/>
      <c r="M181" s="579"/>
      <c r="N181" s="261"/>
      <c r="O181" s="579"/>
      <c r="P181" s="261"/>
      <c r="Q181" s="579"/>
      <c r="R181" s="261"/>
      <c r="S181" s="579"/>
      <c r="T181" s="261"/>
      <c r="U181" s="579"/>
      <c r="V181" s="261"/>
      <c r="W181" s="579"/>
      <c r="X181" s="261"/>
      <c r="Y181" s="579"/>
      <c r="Z181" s="261"/>
      <c r="AA181" s="579"/>
      <c r="AB181" s="261"/>
      <c r="AC181" s="579"/>
      <c r="AD181" s="261"/>
      <c r="AE181" s="579"/>
      <c r="AF181" s="607"/>
    </row>
    <row r="182" spans="1:75" s="167" customFormat="1" ht="13.5" customHeight="1">
      <c r="A182" s="206"/>
      <c r="B182" s="263"/>
      <c r="C182" s="581">
        <v>408</v>
      </c>
      <c r="D182" s="263" t="s">
        <v>550</v>
      </c>
      <c r="E182" s="581">
        <v>407</v>
      </c>
      <c r="F182" s="263" t="s">
        <v>550</v>
      </c>
      <c r="G182" s="581">
        <v>434</v>
      </c>
      <c r="H182" s="263"/>
      <c r="I182" s="581">
        <v>401</v>
      </c>
      <c r="J182" s="263"/>
      <c r="K182" s="581">
        <v>296</v>
      </c>
      <c r="L182" s="263"/>
      <c r="M182" s="581">
        <v>677</v>
      </c>
      <c r="N182" s="263"/>
      <c r="O182" s="581">
        <v>642</v>
      </c>
      <c r="P182" s="263"/>
      <c r="Q182" s="606">
        <v>414</v>
      </c>
      <c r="R182" s="263"/>
      <c r="S182" s="581">
        <v>446</v>
      </c>
      <c r="T182" s="263"/>
      <c r="U182" s="581">
        <v>411</v>
      </c>
      <c r="V182" s="263"/>
      <c r="W182" s="606">
        <v>345</v>
      </c>
      <c r="X182" s="262"/>
      <c r="Y182" s="581">
        <v>345</v>
      </c>
      <c r="Z182" s="262"/>
      <c r="AA182" s="581">
        <v>372</v>
      </c>
      <c r="AB182" s="262"/>
      <c r="AC182" s="581" t="s">
        <v>67</v>
      </c>
      <c r="AD182" s="262"/>
      <c r="AE182" s="581" t="s">
        <v>67</v>
      </c>
      <c r="AF182" s="60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0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0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0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574"/>
      <c r="BW186" s="158"/>
    </row>
    <row r="187" spans="1:75" s="167" customFormat="1" ht="13.5" customHeight="1">
      <c r="A187" s="206"/>
      <c r="Z187" s="200"/>
      <c r="AA187" s="254"/>
      <c r="AB187" s="200"/>
      <c r="AC187" s="585"/>
      <c r="AD187" s="200"/>
      <c r="AE187" s="200"/>
      <c r="AF187" s="57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0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08"/>
      <c r="BW189" s="158"/>
    </row>
    <row r="190" spans="1:75" s="167" customFormat="1" ht="13.5" customHeight="1">
      <c r="A190" s="206"/>
      <c r="B190" s="304" t="s">
        <v>1163</v>
      </c>
      <c r="C190" s="254"/>
      <c r="D190" s="304" t="s">
        <v>1164</v>
      </c>
      <c r="E190" s="254"/>
      <c r="F190" s="304" t="s">
        <v>1165</v>
      </c>
      <c r="G190" s="254"/>
      <c r="H190" s="304" t="s">
        <v>1166</v>
      </c>
      <c r="I190" s="254"/>
      <c r="J190" s="304" t="s">
        <v>1167</v>
      </c>
      <c r="K190" s="254"/>
      <c r="L190" s="304" t="s">
        <v>1168</v>
      </c>
      <c r="M190" s="254"/>
      <c r="N190" s="304" t="s">
        <v>1169</v>
      </c>
      <c r="O190" s="254"/>
      <c r="P190" s="304" t="s">
        <v>1047</v>
      </c>
      <c r="Q190" s="254"/>
      <c r="R190" s="304" t="s">
        <v>1048</v>
      </c>
      <c r="S190" s="254"/>
      <c r="T190" s="304" t="s">
        <v>1170</v>
      </c>
      <c r="U190" s="254"/>
      <c r="V190" s="304" t="s">
        <v>1171</v>
      </c>
      <c r="W190" s="254"/>
      <c r="X190" s="304" t="s">
        <v>1172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0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57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574"/>
      <c r="BW193" s="158"/>
    </row>
    <row r="194" spans="1:75" s="167" customFormat="1" ht="13.5" customHeight="1">
      <c r="A194" s="206"/>
      <c r="B194" s="183"/>
      <c r="C194" s="591"/>
      <c r="D194" s="183"/>
      <c r="E194" s="591"/>
      <c r="F194" s="261"/>
      <c r="G194" s="591"/>
      <c r="H194" s="183"/>
      <c r="I194" s="591"/>
      <c r="J194" s="183"/>
      <c r="K194" s="591"/>
      <c r="L194" s="183"/>
      <c r="M194" s="591"/>
      <c r="N194" s="183"/>
      <c r="O194" s="591"/>
      <c r="P194" s="183"/>
      <c r="Q194" s="591"/>
      <c r="R194" s="183"/>
      <c r="S194" s="591"/>
      <c r="T194" s="183"/>
      <c r="U194" s="591"/>
      <c r="V194" s="183"/>
      <c r="W194" s="591"/>
      <c r="X194" s="183"/>
      <c r="Y194" s="591"/>
      <c r="Z194" s="183"/>
      <c r="AA194" s="591"/>
      <c r="AB194" s="183"/>
      <c r="AC194" s="591"/>
      <c r="AD194" s="183"/>
      <c r="AE194" s="579"/>
      <c r="AF194" s="574"/>
      <c r="BW194" s="158"/>
    </row>
    <row r="195" spans="1:75" s="167" customFormat="1" ht="13.5" customHeight="1">
      <c r="A195" s="206"/>
      <c r="B195" s="201" t="s">
        <v>67</v>
      </c>
      <c r="C195" s="592">
        <v>244</v>
      </c>
      <c r="D195" s="201" t="s">
        <v>550</v>
      </c>
      <c r="E195" s="592">
        <v>390</v>
      </c>
      <c r="F195" s="262"/>
      <c r="G195" s="592">
        <v>377</v>
      </c>
      <c r="H195" s="186"/>
      <c r="I195" s="592">
        <v>382</v>
      </c>
      <c r="J195" s="186"/>
      <c r="K195" s="592">
        <v>390</v>
      </c>
      <c r="L195" s="186"/>
      <c r="M195" s="592">
        <v>364</v>
      </c>
      <c r="N195" s="186"/>
      <c r="O195" s="592">
        <v>390</v>
      </c>
      <c r="P195" s="186"/>
      <c r="Q195" s="592">
        <v>395</v>
      </c>
      <c r="R195" s="186" t="s">
        <v>550</v>
      </c>
      <c r="S195" s="592">
        <v>413</v>
      </c>
      <c r="T195" s="186"/>
      <c r="U195" s="592">
        <v>422</v>
      </c>
      <c r="V195" s="186"/>
      <c r="W195" s="592">
        <v>306</v>
      </c>
      <c r="X195" s="186"/>
      <c r="Y195" s="592">
        <v>357</v>
      </c>
      <c r="Z195" s="186"/>
      <c r="AA195" s="592">
        <v>390</v>
      </c>
      <c r="AB195" s="186"/>
      <c r="AC195" s="592">
        <v>430</v>
      </c>
      <c r="AD195" s="186"/>
      <c r="AE195" s="581">
        <v>399</v>
      </c>
      <c r="AF195" s="57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57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574"/>
      <c r="BW197" s="158"/>
    </row>
    <row r="198" spans="1:75" ht="13.5" customHeight="1">
      <c r="A198" s="609"/>
      <c r="AF198" s="610"/>
    </row>
    <row r="199" spans="1:75" ht="13.5" customHeight="1">
      <c r="A199" s="609"/>
      <c r="AF199" s="610"/>
    </row>
    <row r="200" spans="1:75" s="167" customFormat="1" ht="13.5" customHeight="1">
      <c r="A200" s="206"/>
      <c r="AF200" s="607"/>
      <c r="BW200" s="158"/>
    </row>
    <row r="201" spans="1:75" ht="13.5" customHeight="1">
      <c r="A201" s="206"/>
      <c r="AF201" s="61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1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1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1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10"/>
    </row>
    <row r="207" spans="1:75" ht="13.5" customHeight="1">
      <c r="A207" s="206"/>
      <c r="B207" s="261"/>
      <c r="C207" s="579"/>
      <c r="D207" s="261"/>
      <c r="E207" s="579"/>
      <c r="F207" s="261"/>
      <c r="G207" s="579"/>
      <c r="H207" s="261"/>
      <c r="I207" s="579"/>
      <c r="J207" s="261"/>
      <c r="K207" s="579"/>
      <c r="L207" s="261"/>
      <c r="M207" s="579"/>
      <c r="N207" s="261"/>
      <c r="O207" s="579"/>
      <c r="P207" s="261"/>
      <c r="Q207" s="579"/>
      <c r="R207" s="261"/>
      <c r="S207" s="579"/>
      <c r="T207" s="261"/>
      <c r="U207" s="579"/>
      <c r="V207" s="261"/>
      <c r="W207" s="579"/>
      <c r="X207" s="261"/>
      <c r="Y207" s="579"/>
      <c r="AF207" s="610"/>
    </row>
    <row r="208" spans="1:75" ht="13.5" customHeight="1">
      <c r="A208" s="594"/>
      <c r="B208" s="263"/>
      <c r="C208" s="581">
        <v>408</v>
      </c>
      <c r="D208" s="263" t="s">
        <v>550</v>
      </c>
      <c r="E208" s="581">
        <v>407</v>
      </c>
      <c r="F208" s="263" t="s">
        <v>550</v>
      </c>
      <c r="G208" s="581">
        <v>434</v>
      </c>
      <c r="H208" s="263"/>
      <c r="I208" s="581">
        <v>401</v>
      </c>
      <c r="J208" s="263"/>
      <c r="K208" s="581">
        <v>296</v>
      </c>
      <c r="L208" s="263"/>
      <c r="M208" s="581">
        <v>677</v>
      </c>
      <c r="N208" s="263"/>
      <c r="O208" s="581">
        <v>642</v>
      </c>
      <c r="P208" s="263"/>
      <c r="Q208" s="606">
        <v>414</v>
      </c>
      <c r="R208" s="263"/>
      <c r="S208" s="581">
        <v>446</v>
      </c>
      <c r="T208" s="263"/>
      <c r="U208" s="581">
        <v>411</v>
      </c>
      <c r="V208" s="263"/>
      <c r="W208" s="606">
        <v>345</v>
      </c>
      <c r="X208" s="262"/>
      <c r="Y208" s="581">
        <v>345</v>
      </c>
      <c r="AF208" s="610"/>
    </row>
    <row r="209" spans="1:75" ht="13.5" customHeight="1" thickBot="1">
      <c r="A209" s="59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10"/>
      <c r="BM209" s="501">
        <f>1</f>
        <v>1</v>
      </c>
    </row>
    <row r="210" spans="1:75" ht="13.5" customHeight="1">
      <c r="A210" s="59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1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1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57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57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0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0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57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574"/>
    </row>
    <row r="219" spans="1:75" ht="13.5" customHeight="1">
      <c r="A219" s="206"/>
      <c r="B219" s="261"/>
      <c r="C219" s="579"/>
      <c r="D219" s="261"/>
      <c r="E219" s="579"/>
      <c r="F219" s="261"/>
      <c r="G219" s="579"/>
      <c r="H219" s="261"/>
      <c r="I219" s="579"/>
      <c r="J219" s="261"/>
      <c r="K219" s="579"/>
      <c r="L219" s="261"/>
      <c r="M219" s="579"/>
      <c r="N219" s="261"/>
      <c r="O219" s="579"/>
      <c r="P219" s="261"/>
      <c r="Q219" s="579"/>
      <c r="R219" s="261"/>
      <c r="S219" s="579"/>
      <c r="T219" s="261"/>
      <c r="U219" s="579"/>
      <c r="V219" s="261"/>
      <c r="W219" s="579"/>
      <c r="X219" s="261"/>
      <c r="Y219" s="579"/>
      <c r="Z219" s="261"/>
      <c r="AA219" s="579"/>
      <c r="AB219" s="261"/>
      <c r="AC219" s="579"/>
      <c r="AD219" s="261"/>
      <c r="AE219" s="579"/>
      <c r="AF219" s="580"/>
      <c r="BV219" s="502">
        <v>0</v>
      </c>
      <c r="BW219" s="502">
        <v>0</v>
      </c>
    </row>
    <row r="220" spans="1:75" ht="13.5" customHeight="1">
      <c r="A220" s="206"/>
      <c r="B220" s="262"/>
      <c r="C220" s="581">
        <v>414</v>
      </c>
      <c r="D220" s="263"/>
      <c r="E220" s="581">
        <v>421</v>
      </c>
      <c r="F220" s="263"/>
      <c r="G220" s="581">
        <v>356</v>
      </c>
      <c r="H220" s="263"/>
      <c r="I220" s="581">
        <v>243</v>
      </c>
      <c r="J220" s="263" t="s">
        <v>550</v>
      </c>
      <c r="K220" s="581">
        <v>372</v>
      </c>
      <c r="L220" s="263"/>
      <c r="M220" s="581">
        <v>398</v>
      </c>
      <c r="N220" s="263"/>
      <c r="O220" s="581">
        <v>346</v>
      </c>
      <c r="P220" s="263"/>
      <c r="Q220" s="581">
        <v>405</v>
      </c>
      <c r="R220" s="263"/>
      <c r="S220" s="581">
        <v>417</v>
      </c>
      <c r="T220" s="263"/>
      <c r="U220" s="581">
        <v>402</v>
      </c>
      <c r="V220" s="263"/>
      <c r="W220" s="581">
        <v>415</v>
      </c>
      <c r="X220" s="263"/>
      <c r="Y220" s="581">
        <v>352</v>
      </c>
      <c r="Z220" s="263"/>
      <c r="AA220" s="581">
        <v>397</v>
      </c>
      <c r="AB220" s="263"/>
      <c r="AC220" s="581">
        <v>377</v>
      </c>
      <c r="AD220" s="263"/>
      <c r="AE220" s="581">
        <v>438</v>
      </c>
      <c r="AF220" s="57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57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57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585"/>
      <c r="AD223" s="200"/>
      <c r="AE223" s="200"/>
      <c r="AF223" s="57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574"/>
    </row>
    <row r="225" spans="1:75" ht="13.5" customHeight="1">
      <c r="A225" s="206"/>
      <c r="B225" s="254">
        <v>253</v>
      </c>
      <c r="C225" s="61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57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0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57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574"/>
    </row>
    <row r="230" spans="1:75" ht="13.5" customHeight="1">
      <c r="A230" s="594"/>
      <c r="B230" s="183"/>
      <c r="C230" s="591"/>
      <c r="D230" s="183"/>
      <c r="E230" s="591"/>
      <c r="F230" s="183"/>
      <c r="G230" s="591"/>
      <c r="H230" s="183"/>
      <c r="I230" s="591"/>
      <c r="J230" s="183"/>
      <c r="K230" s="591"/>
      <c r="L230" s="183"/>
      <c r="M230" s="591"/>
      <c r="N230" s="183"/>
      <c r="O230" s="591"/>
      <c r="P230" s="183"/>
      <c r="Q230" s="591"/>
      <c r="R230" s="788"/>
      <c r="S230" s="591"/>
      <c r="T230" s="184"/>
      <c r="U230" s="591"/>
      <c r="V230" s="184"/>
      <c r="W230" s="591"/>
      <c r="X230" s="788"/>
      <c r="Y230" s="591"/>
      <c r="Z230" s="788"/>
      <c r="AA230" s="591"/>
      <c r="AB230" s="788"/>
      <c r="AC230" s="591"/>
      <c r="AD230" s="184"/>
      <c r="AE230" s="579"/>
      <c r="AF230" s="574"/>
    </row>
    <row r="231" spans="1:75" ht="13.5" customHeight="1">
      <c r="A231" s="594"/>
      <c r="B231" s="185"/>
      <c r="C231" s="592">
        <v>363</v>
      </c>
      <c r="D231" s="186" t="s">
        <v>550</v>
      </c>
      <c r="E231" s="592">
        <v>380</v>
      </c>
      <c r="F231" s="186"/>
      <c r="G231" s="592">
        <v>346</v>
      </c>
      <c r="H231" s="186"/>
      <c r="I231" s="592">
        <v>390</v>
      </c>
      <c r="J231" s="186" t="s">
        <v>550</v>
      </c>
      <c r="K231" s="592">
        <v>405</v>
      </c>
      <c r="L231" s="186"/>
      <c r="M231" s="592">
        <v>421</v>
      </c>
      <c r="N231" s="186"/>
      <c r="O231" s="592">
        <v>391</v>
      </c>
      <c r="P231" s="186" t="s">
        <v>550</v>
      </c>
      <c r="Q231" s="592">
        <v>394</v>
      </c>
      <c r="R231" s="789"/>
      <c r="S231" s="592">
        <v>382</v>
      </c>
      <c r="T231" s="187"/>
      <c r="U231" s="592">
        <v>384</v>
      </c>
      <c r="V231" s="187"/>
      <c r="W231" s="592">
        <v>406</v>
      </c>
      <c r="X231" s="789"/>
      <c r="Y231" s="592">
        <v>352</v>
      </c>
      <c r="Z231" s="789"/>
      <c r="AA231" s="592">
        <v>453</v>
      </c>
      <c r="AB231" s="789"/>
      <c r="AC231" s="592">
        <v>388</v>
      </c>
      <c r="AD231" s="187"/>
      <c r="AE231" s="581">
        <v>395</v>
      </c>
      <c r="AF231" s="574"/>
      <c r="BV231" s="501">
        <f>7</f>
        <v>7</v>
      </c>
      <c r="BW231" s="502">
        <v>3</v>
      </c>
    </row>
    <row r="232" spans="1:75" ht="13.5" customHeight="1" thickBot="1">
      <c r="A232" s="59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90"/>
      <c r="S232" s="166"/>
      <c r="T232" s="189"/>
      <c r="U232" s="166"/>
      <c r="V232" s="189"/>
      <c r="W232" s="166"/>
      <c r="X232" s="790"/>
      <c r="Y232" s="166"/>
      <c r="Z232" s="790"/>
      <c r="AA232" s="166"/>
      <c r="AB232" s="790"/>
      <c r="AC232" s="166"/>
      <c r="AD232" s="189"/>
      <c r="AE232" s="200"/>
      <c r="AF232" s="57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12"/>
      <c r="Y237" s="254"/>
      <c r="Z237" s="612"/>
      <c r="AA237" s="200"/>
      <c r="AB237" s="200"/>
      <c r="AC237" s="200"/>
      <c r="AD237" s="200"/>
      <c r="AE237" s="200"/>
      <c r="AF237" s="574"/>
    </row>
    <row r="238" spans="1:75" ht="13.5" customHeight="1">
      <c r="A238" s="206"/>
      <c r="B238" s="254">
        <v>268</v>
      </c>
      <c r="C238" s="61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57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0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57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574"/>
    </row>
    <row r="243" spans="1:75" ht="13.5" customHeight="1">
      <c r="A243" s="206"/>
      <c r="B243" s="184"/>
      <c r="C243" s="591"/>
      <c r="D243" s="184"/>
      <c r="E243" s="591"/>
      <c r="F243" s="184"/>
      <c r="G243" s="591"/>
      <c r="H243" s="183"/>
      <c r="I243" s="591"/>
      <c r="J243" s="184"/>
      <c r="K243" s="591"/>
      <c r="L243" s="184"/>
      <c r="M243" s="591"/>
      <c r="N243" s="184"/>
      <c r="O243" s="591"/>
      <c r="P243" s="202"/>
      <c r="Q243" s="591"/>
      <c r="R243" s="183"/>
      <c r="S243" s="591"/>
      <c r="T243" s="183"/>
      <c r="U243" s="591"/>
      <c r="V243" s="183"/>
      <c r="W243" s="591"/>
      <c r="X243" s="183"/>
      <c r="Y243" s="591"/>
      <c r="Z243" s="183"/>
      <c r="AA243" s="591"/>
      <c r="AB243" s="183"/>
      <c r="AC243" s="591"/>
      <c r="AD243" s="183"/>
      <c r="AE243" s="579"/>
      <c r="AF243" s="580"/>
    </row>
    <row r="244" spans="1:75" ht="13.5" customHeight="1">
      <c r="A244" s="206"/>
      <c r="B244" s="187"/>
      <c r="C244" s="592">
        <v>430</v>
      </c>
      <c r="D244" s="187"/>
      <c r="E244" s="592">
        <v>388</v>
      </c>
      <c r="F244" s="187"/>
      <c r="G244" s="592">
        <v>402</v>
      </c>
      <c r="H244" s="186"/>
      <c r="I244" s="592">
        <v>437</v>
      </c>
      <c r="J244" s="187"/>
      <c r="K244" s="592">
        <v>405</v>
      </c>
      <c r="L244" s="187"/>
      <c r="M244" s="592">
        <v>337</v>
      </c>
      <c r="N244" s="187"/>
      <c r="O244" s="592">
        <v>282</v>
      </c>
      <c r="P244" s="187"/>
      <c r="Q244" s="592">
        <v>435</v>
      </c>
      <c r="R244" s="186"/>
      <c r="S244" s="592">
        <v>407</v>
      </c>
      <c r="T244" s="186"/>
      <c r="U244" s="592">
        <v>426</v>
      </c>
      <c r="V244" s="186"/>
      <c r="W244" s="592">
        <v>374</v>
      </c>
      <c r="X244" s="186"/>
      <c r="Y244" s="592">
        <v>440</v>
      </c>
      <c r="Z244" s="186"/>
      <c r="AA244" s="592">
        <v>386</v>
      </c>
      <c r="AB244" s="186"/>
      <c r="AC244" s="592">
        <v>210</v>
      </c>
      <c r="AD244" s="186"/>
      <c r="AE244" s="581"/>
      <c r="AF244" s="57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57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12"/>
      <c r="Y248" s="254"/>
      <c r="Z248" s="612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57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0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1174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1175</v>
      </c>
      <c r="U252" s="254"/>
      <c r="V252" s="304" t="s">
        <v>1176</v>
      </c>
      <c r="W252" s="254"/>
      <c r="X252" s="304" t="s">
        <v>772</v>
      </c>
      <c r="Y252" s="200"/>
      <c r="Z252" s="304" t="s">
        <v>1177</v>
      </c>
      <c r="AA252" s="200"/>
      <c r="AB252" s="304" t="s">
        <v>1178</v>
      </c>
      <c r="AC252" s="200"/>
      <c r="AD252" s="304" t="s">
        <v>1179</v>
      </c>
      <c r="AE252" s="200"/>
      <c r="AF252" s="60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574"/>
      <c r="BW253" s="502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 thickBot="1">
      <c r="A255" s="59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574"/>
    </row>
    <row r="256" spans="1:75" ht="13.5" customHeight="1">
      <c r="A256" s="594"/>
      <c r="B256" s="261"/>
      <c r="C256" s="579"/>
      <c r="D256" s="261"/>
      <c r="E256" s="579"/>
      <c r="F256" s="261"/>
      <c r="G256" s="579"/>
      <c r="H256" s="261"/>
      <c r="I256" s="579"/>
      <c r="J256" s="261"/>
      <c r="K256" s="579"/>
      <c r="L256" s="261"/>
      <c r="M256" s="579"/>
      <c r="N256" s="261"/>
      <c r="O256" s="579"/>
      <c r="P256" s="261"/>
      <c r="Q256" s="579"/>
      <c r="R256" s="261"/>
      <c r="S256" s="579"/>
      <c r="T256" s="261"/>
      <c r="U256" s="579"/>
      <c r="V256" s="261"/>
      <c r="W256" s="579"/>
      <c r="X256" s="261"/>
      <c r="Y256" s="579"/>
      <c r="Z256" s="261"/>
      <c r="AA256" s="579"/>
      <c r="AB256" s="261"/>
      <c r="AC256" s="579"/>
      <c r="AD256" s="261"/>
      <c r="AE256" s="579"/>
      <c r="AF256" s="580"/>
      <c r="BV256" s="501">
        <v>7</v>
      </c>
    </row>
    <row r="257" spans="1:74" ht="13.5" customHeight="1">
      <c r="A257" s="594"/>
      <c r="B257" s="262"/>
      <c r="C257" s="581">
        <v>414</v>
      </c>
      <c r="D257" s="263"/>
      <c r="E257" s="581">
        <v>421</v>
      </c>
      <c r="F257" s="263"/>
      <c r="G257" s="581">
        <v>356</v>
      </c>
      <c r="H257" s="263"/>
      <c r="I257" s="581">
        <v>243</v>
      </c>
      <c r="J257" s="263" t="s">
        <v>550</v>
      </c>
      <c r="K257" s="581">
        <v>372</v>
      </c>
      <c r="L257" s="263"/>
      <c r="M257" s="581">
        <v>398</v>
      </c>
      <c r="N257" s="263"/>
      <c r="O257" s="581">
        <v>346</v>
      </c>
      <c r="P257" s="263"/>
      <c r="Q257" s="581">
        <v>405</v>
      </c>
      <c r="R257" s="263"/>
      <c r="S257" s="581">
        <v>417</v>
      </c>
      <c r="T257" s="263"/>
      <c r="U257" s="581">
        <v>402</v>
      </c>
      <c r="V257" s="263"/>
      <c r="W257" s="581">
        <v>415</v>
      </c>
      <c r="X257" s="263"/>
      <c r="Y257" s="581">
        <v>352</v>
      </c>
      <c r="Z257" s="263"/>
      <c r="AA257" s="581">
        <v>397</v>
      </c>
      <c r="AB257" s="263"/>
      <c r="AC257" s="581">
        <v>377</v>
      </c>
      <c r="AD257" s="263"/>
      <c r="AE257" s="581">
        <v>438</v>
      </c>
      <c r="AF257" s="57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57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57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585"/>
      <c r="AD260" s="200"/>
      <c r="AE260" s="200"/>
      <c r="AF260" s="57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57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57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57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574"/>
    </row>
    <row r="266" spans="1:74" ht="13.5" hidden="1" customHeight="1">
      <c r="A266" s="206"/>
      <c r="B266" s="261"/>
      <c r="C266" s="579"/>
      <c r="D266" s="261"/>
      <c r="E266" s="579"/>
      <c r="F266" s="261"/>
      <c r="G266" s="579"/>
      <c r="H266" s="261"/>
      <c r="I266" s="579"/>
      <c r="J266" s="261"/>
      <c r="K266" s="579"/>
      <c r="L266" s="261"/>
      <c r="M266" s="579"/>
      <c r="N266" s="261"/>
      <c r="O266" s="579"/>
      <c r="P266" s="261"/>
      <c r="Q266" s="579"/>
      <c r="R266" s="261"/>
      <c r="S266" s="579"/>
      <c r="T266" s="261"/>
      <c r="U266" s="579"/>
      <c r="V266" s="261"/>
      <c r="W266" s="579"/>
      <c r="X266" s="261"/>
      <c r="Y266" s="579"/>
      <c r="Z266" s="261"/>
      <c r="AA266" s="579"/>
      <c r="AB266" s="261"/>
      <c r="AC266" s="579"/>
      <c r="AD266" s="261"/>
      <c r="AE266" s="579"/>
      <c r="AF266" s="574"/>
    </row>
    <row r="267" spans="1:74" ht="13.5" hidden="1" customHeight="1">
      <c r="A267" s="206"/>
      <c r="B267" s="262"/>
      <c r="C267" s="581"/>
      <c r="D267" s="263"/>
      <c r="E267" s="581"/>
      <c r="F267" s="263"/>
      <c r="G267" s="581"/>
      <c r="H267" s="263"/>
      <c r="I267" s="581"/>
      <c r="J267" s="263"/>
      <c r="K267" s="581"/>
      <c r="L267" s="263"/>
      <c r="M267" s="581"/>
      <c r="N267" s="263"/>
      <c r="O267" s="581"/>
      <c r="P267" s="263"/>
      <c r="Q267" s="581"/>
      <c r="R267" s="263"/>
      <c r="S267" s="581"/>
      <c r="T267" s="263"/>
      <c r="U267" s="581"/>
      <c r="V267" s="263"/>
      <c r="W267" s="581"/>
      <c r="X267" s="263"/>
      <c r="Y267" s="581"/>
      <c r="Z267" s="263"/>
      <c r="AA267" s="581"/>
      <c r="AB267" s="263"/>
      <c r="AC267" s="581"/>
      <c r="AD267" s="263"/>
      <c r="AE267" s="581"/>
      <c r="AF267" s="57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57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57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57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13"/>
    </row>
    <row r="272" spans="1:74" ht="13.5" customHeight="1">
      <c r="A272" s="614"/>
      <c r="E272" s="167"/>
      <c r="G272" s="167"/>
      <c r="I272" s="167"/>
      <c r="M272" s="167"/>
      <c r="AF272" s="610"/>
      <c r="BV272" s="199"/>
    </row>
    <row r="273" spans="1:32" ht="13.5" customHeight="1">
      <c r="A273" s="614"/>
      <c r="E273" s="167"/>
      <c r="G273" s="167"/>
      <c r="I273" s="167"/>
      <c r="M273" s="167"/>
      <c r="AF273" s="610"/>
    </row>
    <row r="274" spans="1:32" ht="13.5" customHeight="1">
      <c r="A274" s="61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42"/>
      <c r="AF274" s="610"/>
    </row>
    <row r="275" spans="1:32" ht="13.5" customHeight="1">
      <c r="A275" s="614"/>
      <c r="B275" s="304" t="s">
        <v>773</v>
      </c>
      <c r="C275" s="254"/>
      <c r="D275" s="304" t="s">
        <v>1180</v>
      </c>
      <c r="E275" s="254"/>
      <c r="F275" s="543" t="s">
        <v>1173</v>
      </c>
      <c r="G275" s="254"/>
      <c r="X275" s="542"/>
      <c r="AF275" s="610"/>
    </row>
    <row r="276" spans="1:32" ht="13.5" customHeight="1">
      <c r="A276" s="614"/>
      <c r="B276" s="200"/>
      <c r="C276" s="200"/>
      <c r="D276" s="200"/>
      <c r="E276" s="200"/>
      <c r="F276" s="200"/>
      <c r="G276" s="200"/>
      <c r="AF276" s="610"/>
    </row>
    <row r="277" spans="1:32" ht="13.5" customHeigh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 thickBot="1">
      <c r="A278" s="614"/>
      <c r="B278" s="254"/>
      <c r="C278" s="200"/>
      <c r="D278" s="254"/>
      <c r="E278" s="254"/>
      <c r="F278" s="254"/>
      <c r="G278" s="200"/>
      <c r="AF278" s="610"/>
    </row>
    <row r="279" spans="1:32" ht="13.5" customHeight="1">
      <c r="A279" s="614"/>
      <c r="B279" s="261"/>
      <c r="C279" s="579"/>
      <c r="D279" s="261"/>
      <c r="E279" s="579"/>
      <c r="F279" s="261"/>
      <c r="G279" s="579"/>
      <c r="AF279" s="610"/>
    </row>
    <row r="280" spans="1:32" ht="13.5" customHeight="1">
      <c r="A280" s="614"/>
      <c r="B280" s="262"/>
      <c r="C280" s="581">
        <v>414</v>
      </c>
      <c r="D280" s="263"/>
      <c r="E280" s="581">
        <v>421</v>
      </c>
      <c r="F280" s="263"/>
      <c r="G280" s="581"/>
      <c r="AF280" s="610"/>
    </row>
    <row r="281" spans="1:32" ht="13.5" customHeight="1" thickBot="1">
      <c r="A281" s="614"/>
      <c r="B281" s="264"/>
      <c r="C281" s="200"/>
      <c r="D281" s="264"/>
      <c r="E281" s="200"/>
      <c r="F281" s="264"/>
      <c r="G281" s="200"/>
      <c r="AF281" s="610"/>
    </row>
    <row r="282" spans="1:32" ht="13.5" customHeight="1">
      <c r="A282" s="614"/>
      <c r="B282" s="258" t="s">
        <v>373</v>
      </c>
      <c r="C282" s="254"/>
      <c r="D282" s="254" t="s">
        <v>357</v>
      </c>
      <c r="E282" s="254"/>
      <c r="F282" s="254" t="s">
        <v>1173</v>
      </c>
      <c r="G282" s="254"/>
      <c r="AF282" s="610"/>
    </row>
    <row r="283" spans="1:32" ht="13.5" customHeight="1">
      <c r="A283" s="61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10"/>
    </row>
    <row r="284" spans="1:32" ht="13.5" customHeight="1" thickBot="1">
      <c r="A284" s="61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16"/>
      <c r="M284" s="616"/>
      <c r="N284" s="616"/>
      <c r="O284" s="616"/>
      <c r="P284" s="616"/>
      <c r="Q284" s="616"/>
      <c r="R284" s="616"/>
      <c r="S284" s="616"/>
      <c r="T284" s="616"/>
      <c r="U284" s="616"/>
      <c r="V284" s="616"/>
      <c r="W284" s="616"/>
      <c r="X284" s="616"/>
      <c r="Y284" s="616"/>
      <c r="Z284" s="616"/>
      <c r="AA284" s="616"/>
      <c r="AB284" s="616"/>
      <c r="AC284" s="616"/>
      <c r="AD284" s="616"/>
      <c r="AE284" s="616"/>
      <c r="AF284" s="61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02" t="s">
        <v>667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4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5" t="s">
        <v>936</v>
      </c>
      <c r="B9" s="805" t="s">
        <v>339</v>
      </c>
      <c r="I9" s="29"/>
    </row>
    <row r="10" spans="1:353">
      <c r="A10" s="805"/>
      <c r="B10" s="805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06" t="s">
        <v>962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8"/>
    </row>
    <row r="2" spans="1:17" ht="21" customHeight="1">
      <c r="A2" s="809" t="s">
        <v>963</v>
      </c>
      <c r="B2" s="811" t="s">
        <v>203</v>
      </c>
      <c r="C2" s="811" t="s">
        <v>964</v>
      </c>
      <c r="D2" s="811" t="s">
        <v>965</v>
      </c>
      <c r="E2" s="811" t="s">
        <v>966</v>
      </c>
      <c r="F2" s="813" t="s">
        <v>112</v>
      </c>
      <c r="G2" s="813"/>
      <c r="H2" s="813" t="s">
        <v>114</v>
      </c>
      <c r="I2" s="813"/>
      <c r="J2" s="811" t="s">
        <v>967</v>
      </c>
      <c r="K2" s="811" t="s">
        <v>968</v>
      </c>
      <c r="L2" s="811" t="s">
        <v>969</v>
      </c>
      <c r="M2" s="811" t="s">
        <v>343</v>
      </c>
      <c r="N2" s="811" t="s">
        <v>475</v>
      </c>
      <c r="O2" s="811" t="s">
        <v>470</v>
      </c>
      <c r="P2" s="811" t="s">
        <v>471</v>
      </c>
      <c r="Q2" s="814" t="s">
        <v>33</v>
      </c>
    </row>
    <row r="3" spans="1:17" ht="25.35" customHeight="1">
      <c r="A3" s="810"/>
      <c r="B3" s="812"/>
      <c r="C3" s="812"/>
      <c r="D3" s="812"/>
      <c r="E3" s="812"/>
      <c r="F3" s="28" t="s">
        <v>970</v>
      </c>
      <c r="G3" s="28" t="s">
        <v>971</v>
      </c>
      <c r="H3" s="28" t="s">
        <v>970</v>
      </c>
      <c r="I3" s="28" t="s">
        <v>971</v>
      </c>
      <c r="J3" s="812"/>
      <c r="K3" s="812"/>
      <c r="L3" s="812"/>
      <c r="M3" s="812"/>
      <c r="N3" s="812"/>
      <c r="O3" s="812"/>
      <c r="P3" s="812"/>
      <c r="Q3" s="815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 filterMode="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D6" sqref="D6"/>
      <selection pane="topRight" activeCell="D6" sqref="D6"/>
      <selection pane="bottomLeft" activeCell="D6" sqref="D6"/>
      <selection pane="bottomRight" activeCell="P34" sqref="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32.5703125" style="335" customWidth="1"/>
    <col min="17" max="16384" width="9.140625" style="265"/>
  </cols>
  <sheetData>
    <row r="1" spans="1:16" ht="16.5" thickBot="1">
      <c r="A1" s="816" t="s">
        <v>89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8"/>
    </row>
    <row r="2" spans="1:16" ht="38.25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hidden="1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idden="1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hidden="1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idden="1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idden="1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idden="1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idden="1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idden="1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 hidden="1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 hidden="1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idden="1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idden="1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idden="1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idden="1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idden="1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idden="1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idden="1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idden="1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idden="1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idden="1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 hidden="1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 hidden="1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 hidden="1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 hidden="1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 hidden="1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 hidden="1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 hidden="1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 hidden="1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 hidden="1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 hidden="1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 hidden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5.5" hidden="1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 hidden="1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idden="1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 hidden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 hidden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 hidden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 hidden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 hidden="1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 hidden="1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 hidden="1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idden="1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 hidden="1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 hidden="1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5.5" hidden="1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>
    <filterColumn colId="5">
      <filters>
        <filter val="Powerline crossing"/>
      </filters>
    </filterColumn>
    <filterColumn colId="11">
      <filters>
        <filter val="Not Submitted"/>
      </filters>
    </filterColumn>
  </autoFilter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.7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2026-07-26T16:59:40Z</dcterms:modified>
  <cp:category/>
  <cp:contentStatus/>
</cp:coreProperties>
</file>