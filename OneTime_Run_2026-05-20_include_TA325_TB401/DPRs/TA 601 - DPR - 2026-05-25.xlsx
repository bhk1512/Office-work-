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AFC2934B-7F21-4890-80C2-9DBD5B0917E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7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'!$A$12:$DD$154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'!$A$1:$Q$305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 s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0" i="2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<sst xmlns="http://schemas.openxmlformats.org/spreadsheetml/2006/main" count="6708" uniqueCount="994">
  <si>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</si>
  <si>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</si>
  <si>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</si>
  <si>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</si>
  <si>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</si>
  <si>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</si>
  <si>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</si>
  <si>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</si>
  <si>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</si>
  <si>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</si>
  <si>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</si>
  <si>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</si>
  <si>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</si>
  <si>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</si>
  <si>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</si>
  <si>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</si>
  <si>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</si>
  <si>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</si>
  <si>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</si>
  <si>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</si>
  <si>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</si>
  <si>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</si>
  <si>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</si>
  <si>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</si>
  <si>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</si>
  <si>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</si>
  <si>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</si>
  <si>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</si>
  <si>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</si>
  <si>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</si>
  <si>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</si>
  <si>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</si>
  <si>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</si>
  <si>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</si>
  <si>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</si>
  <si>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</si>
  <si>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</si>
  <si>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</si>
  <si>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</si>
  <si>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</si>
  <si>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</si>
  <si>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</si>
  <si>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</si>
  <si>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</si>
  <si>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</si>
  <si>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</si>
  <si>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</si>
  <si>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</si>
  <si>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</si>
  <si>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</si>
  <si>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</si>
  <si>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</si>
  <si>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</si>
  <si>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</si>
  <si>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</si>
  <si>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</si>
  <si>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</si>
  <si>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</si>
  <si>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</si>
  <si>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</si>
  <si>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</si>
  <si>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</si>
  <si>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</si>
  <si>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</si>
  <si>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</si>
  <si>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</si>
  <si>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</si>
  <si>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</si>
  <si>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</si>
  <si>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</si>
  <si>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</si>
  <si>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</si>
  <si>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</si>
  <si>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</si>
  <si>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</si>
  <si>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</si>
  <si>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</si>
  <si>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</si>
  <si>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</si>
  <si>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</si>
  <si>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</si>
  <si>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</si>
  <si>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</si>
  <si>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</si>
  <si>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</si>
  <si>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</si>
  <si>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</si>
  <si>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</si>
  <si>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</si>
  <si>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</si>
  <si>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</si>
  <si>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</si>
  <si>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</si>
  <si>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</si>
  <si>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</si>
  <si>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</si>
  <si>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</si>
  <si>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</si>
  <si>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</si>
  <si>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</si>
  <si>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</si>
  <si>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</si>
  <si>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</si>
  <si>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</si>
  <si>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</si>
  <si>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</si>
  <si>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</si>
  <si>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</si>
  <si>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</si>
  <si>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</si>
  <si>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</si>
  <si>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</si>
  <si>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</si>
  <si>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</si>
  <si>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</si>
  <si>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</si>
  <si>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</si>
  <si>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</si>
  <si>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</si>
  <si>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</si>
  <si>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</si>
  <si>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</si>
  <si>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</si>
  <si>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</si>
  <si>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</si>
  <si>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</si>
  <si>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</si>
  <si>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</si>
  <si>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</si>
  <si>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</si>
  <si>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</si>
  <si>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</si>
  <si>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</si>
  <si>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</si>
  <si>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</si>
  <si>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</si>
  <si>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</si>
  <si>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</si>
  <si>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</si>
  <si>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</si>
  <si>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</si>
  <si>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</si>
  <si>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</si>
  <si>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</si>
  <si>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</si>
  <si>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</si>
  <si>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</si>
  <si>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</si>
  <si>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</si>
  <si>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</si>
  <si>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</si>
  <si>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</si>
  <si>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</si>
  <si>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</si>
  <si>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</si>
  <si>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</si>
  <si>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</si>
  <si>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</si>
  <si>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</si>
  <si>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</si>
  <si>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</si>
  <si>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</si>
  <si>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</si>
  <si>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</si>
  <si>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</si>
  <si>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</si>
  <si>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</si>
  <si>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</si>
  <si>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</si>
  <si>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</si>
  <si>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</si>
  <si>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</si>
  <si>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</si>
  <si>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</si>
  <si>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</si>
  <si>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</si>
  <si>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</si>
  <si>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</si>
  <si>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</si>
  <si>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</si>
  <si>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</si>
  <si>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</si>
  <si>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</si>
  <si>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</si>
  <si>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</si>
  <si>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</si>
  <si>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</si>
  <si>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</si>
  <si>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</si>
  <si>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</si>
  <si>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</si>
  <si>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</si>
  <si>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</si>
  <si>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</si>
  <si>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</si>
  <si>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</si>
  <si>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</si>
  <si>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</si>
  <si>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</si>
  <si>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</si>
  <si>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</si>
  <si>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</si>
  <si>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</si>
  <si>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</si>
  <si>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</si>
  <si>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</si>
  <si>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</si>
  <si>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</si>
  <si>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</si>
  <si>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</si>
  <si>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</si>
  <si>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</si>
  <si>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</si>
  <si>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</si>
  <si>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</si>
  <si>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</si>
  <si>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</si>
  <si>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</si>
  <si>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</si>
  <si>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</si>
  <si>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</si>
  <si>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</si>
  <si>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</si>
  <si>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</si>
  <si>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</si>
  <si>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</si>
  <si>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</si>
  <si>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</si>
  <si>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</si>
  <si>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</si>
  <si>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</si>
  <si>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</si>
  <si>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</si>
  <si>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</si>
  <si>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</si>
  <si>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</si>
  <si>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</si>
  <si>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</si>
  <si>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</si>
  <si>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</si>
  <si>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</si>
  <si>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</si>
  <si>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</si>
  <si>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</si>
  <si>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</si>
  <si>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</si>
  <si>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</si>
  <si>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</si>
  <si>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</si>
  <si>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</si>
  <si>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</si>
  <si>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</si>
  <si>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</si>
  <si>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</si>
  <si>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</si>
  <si>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</si>
  <si>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</si>
  <si>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</si>
  <si>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</si>
  <si>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</si>
  <si>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</si>
  <si>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</si>
  <si>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</si>
  <si>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</si>
  <si>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</si>
  <si>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</si>
  <si>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</si>
  <si>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</si>
  <si>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</si>
  <si>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</si>
  <si>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</si>
  <si>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</si>
  <si>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</si>
  <si>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</si>
  <si>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</si>
  <si>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</si>
  <si>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</si>
  <si>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</si>
  <si>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</si>
  <si>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</si>
  <si>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</si>
  <si>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</si>
  <si>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</si>
  <si>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</si>
  <si>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</si>
  <si>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</si>
  <si>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</si>
  <si>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</si>
  <si>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</si>
  <si>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</si>
  <si>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</si>
  <si>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</si>
  <si>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</si>
  <si>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</si>
  <si>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</si>
  <si>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</si>
  <si>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</si>
  <si>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</si>
  <si>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</si>
  <si>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</si>
  <si>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</si>
  <si>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</si>
  <si>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</si>
  <si>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</si>
  <si>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</si>
  <si>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</si>
  <si>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</si>
  <si>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</si>
  <si>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</si>
  <si>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</si>
  <si>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</si>
  <si>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</si>
  <si>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</si>
  <si>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</si>
  <si>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</si>
  <si>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</si>
  <si>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</si>
  <si>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</si>
  <si>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</si>
  <si>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</si>
  <si>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</si>
  <si>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</si>
  <si>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</si>
  <si>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</si>
  <si>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</si>
  <si>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</si>
  <si>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</si>
  <si>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</si>
  <si>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</si>
  <si>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</si>
  <si>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</si>
  <si>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</si>
  <si>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</si>
  <si>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</si>
  <si>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</si>
  <si>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</si>
  <si>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</si>
  <si>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</si>
  <si>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</si>
  <si>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</si>
  <si>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</si>
  <si>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</si>
  <si>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</si>
  <si>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</si>
  <si>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</si>
  <si>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</si>
  <si>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</si>
  <si>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</si>
  <si>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</si>
  <si>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</si>
  <si>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</si>
  <si>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</si>
  <si>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</si>
  <si>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</si>
  <si>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</si>
  <si>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</si>
  <si>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</si>
  <si>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</si>
  <si>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</si>
  <si>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</si>
  <si>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</si>
  <si>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</si>
  <si>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</si>
  <si>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</si>
  <si>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</si>
  <si>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</si>
  <si>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</si>
  <si>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</si>
  <si>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</si>
  <si>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</si>
  <si>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</si>
  <si>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</si>
  <si>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</si>
  <si>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</si>
  <si>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</si>
  <si>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</si>
  <si>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</si>
  <si>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</si>
  <si>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</si>
  <si>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</si>
  <si>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</si>
  <si>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</si>
  <si>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</si>
  <si>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</si>
  <si>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</si>
  <si>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</si>
  <si>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</si>
  <si>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</si>
  <si>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</si>
  <si>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</si>
  <si>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</si>
  <si>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</si>
  <si>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</si>
  <si>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</si>
  <si>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</si>
  <si>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</si>
  <si>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</si>
  <si>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</si>
  <si>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</si>
  <si>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</si>
  <si>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</si>
  <si>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</si>
  <si>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</si>
  <si>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</si>
  <si>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</si>
  <si>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</si>
  <si>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</si>
  <si>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</si>
  <si>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</si>
  <si>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</si>
  <si>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</si>
  <si>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</si>
  <si>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</si>
  <si>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</si>
  <si>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</si>
  <si>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</si>
  <si>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</si>
  <si>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</si>
  <si>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</si>
  <si>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</si>
  <si>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</si>
  <si>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</si>
  <si>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</si>
  <si>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</si>
  <si>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</si>
  <si>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</si>
  <si>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</si>
  <si>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</si>
  <si>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</si>
  <si>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</si>
  <si>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</si>
  <si>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</si>
  <si>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</si>
  <si>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</si>
  <si>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</si>
  <si>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</si>
  <si>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</si>
  <si>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</si>
  <si>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</si>
  <si>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</si>
  <si>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</si>
  <si>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</si>
  <si>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</si>
  <si>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</si>
  <si>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</si>
  <si>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</si>
  <si>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</si>
  <si>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</si>
  <si>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</si>
  <si>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</si>
  <si>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</si>
  <si>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</si>
  <si>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</si>
  <si>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</si>
  <si>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</si>
  <si>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</si>
  <si>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</si>
  <si>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</si>
  <si>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</si>
  <si>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</si>
  <si>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</si>
  <si>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</si>
  <si>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</si>
  <si>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</si>
  <si>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</si>
  <si>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</si>
  <si>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</si>
  <si>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</si>
  <si>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</si>
  <si>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</si>
  <si>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</si>
  <si>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</si>
  <si>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</si>
  <si>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</si>
  <si>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</si>
  <si>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</si>
  <si>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</si>
  <si>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</si>
  <si>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</si>
  <si>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</si>
  <si>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</si>
  <si>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</si>
  <si>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</si>
  <si>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</si>
  <si>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</si>
  <si>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</si>
  <si>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</si>
  <si>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</si>
  <si>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</si>
  <si>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</si>
  <si>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</si>
  <si>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</si>
  <si>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</si>
  <si>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</si>
  <si>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</si>
  <si>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</si>
  <si>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</si>
  <si>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</si>
  <si>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</si>
  <si>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</si>
  <si>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</si>
  <si>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</si>
  <si>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</si>
  <si>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</si>
  <si>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</si>
  <si>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</si>
  <si>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</si>
  <si>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</si>
  <si>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</si>
  <si>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</si>
  <si>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</si>
  <si>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</si>
  <si>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</si>
  <si>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</si>
  <si>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</si>
  <si>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</si>
  <si>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</si>
  <si>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</si>
  <si>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</si>
  <si>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</si>
  <si>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</si>
  <si>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</si>
  <si>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</si>
  <si>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</si>
  <si>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</si>
  <si>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</si>
  <si>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</si>
  <si>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</si>
  <si>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</si>
  <si>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</si>
  <si>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</si>
  <si>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</si>
  <si>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</si>
  <si>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</si>
  <si>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</si>
  <si>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</si>
  <si>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</si>
  <si>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</si>
  <si>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</si>
  <si>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</si>
  <si>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</si>
  <si>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</si>
  <si>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</si>
  <si>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</si>
  <si>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</si>
  <si>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</si>
  <si>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</si>
  <si>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</si>
  <si>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</si>
  <si>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</si>
  <si>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</si>
  <si>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</si>
  <si>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</si>
  <si>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</si>
  <si>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</si>
  <si>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</si>
  <si>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</si>
  <si>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</si>
  <si>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</si>
  <si>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</si>
  <si>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</si>
  <si>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</si>
  <si>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</si>
  <si>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</si>
  <si>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</si>
  <si>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</si>
  <si>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</si>
  <si>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</si>
  <si>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</si>
  <si>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</si>
  <si>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</si>
  <si>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</si>
  <si>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</si>
  <si>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</si>
  <si>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</si>
  <si>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</si>
  <si>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</si>
  <si>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</si>
  <si>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</si>
  <si>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</si>
  <si>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</si>
  <si>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</si>
  <si>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</si>
  <si>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</si>
  <si>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</si>
  <si>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</si>
  <si>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</si>
  <si>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</si>
  <si>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</si>
  <si>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</si>
  <si>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</si>
  <si>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</si>
  <si>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</si>
  <si>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</si>
  <si>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</si>
  <si>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</si>
  <si>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</si>
  <si>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</si>
  <si>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</si>
  <si>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</si>
  <si>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</si>
  <si>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</si>
  <si>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</si>
  <si>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</si>
  <si>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</si>
  <si>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</si>
  <si>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</si>
  <si>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</si>
  <si>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</si>
  <si>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</si>
  <si>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</si>
  <si>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</si>
  <si>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</si>
  <si>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</si>
  <si>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</si>
  <si>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</si>
  <si>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</si>
  <si>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</si>
  <si>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</si>
  <si>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</si>
  <si>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</si>
  <si>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</si>
  <si>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</si>
  <si>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</si>
  <si>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</si>
  <si>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</si>
  <si>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</si>
  <si>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</si>
  <si>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</si>
  <si>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</si>
  <si>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</si>
  <si>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</si>
  <si>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</si>
  <si>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</si>
  <si>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</si>
  <si>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</si>
  <si>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</si>
  <si>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</si>
  <si>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</si>
  <si>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</si>
  <si>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</si>
  <si>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</si>
  <si>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</si>
  <si>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</si>
  <si>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</si>
  <si>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</si>
  <si>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</si>
  <si>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</si>
  <si>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</si>
  <si>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</si>
  <si>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</si>
  <si>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</si>
  <si>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</si>
  <si>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</si>
  <si>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</si>
  <si>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</si>
  <si>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</si>
  <si>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</si>
  <si>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</si>
  <si>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</si>
  <si>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</si>
  <si>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</si>
  <si>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</si>
  <si>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</si>
  <si>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</si>
  <si>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</si>
  <si>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</si>
  <si>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</si>
  <si>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</si>
  <si>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</si>
  <si>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</si>
  <si>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</si>
  <si>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</si>
  <si>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</si>
  <si>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</si>
  <si>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</si>
  <si>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</si>
  <si>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</si>
  <si>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</si>
  <si>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</si>
  <si>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</si>
  <si>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</si>
  <si>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</si>
  <si>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</si>
  <si>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</si>
  <si>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</si>
  <si>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</si>
  <si>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</si>
  <si>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</si>
  <si>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</si>
  <si>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</si>
  <si>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</si>
  <si>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</si>
  <si>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</si>
  <si>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</si>
  <si>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</si>
  <si>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</si>
  <si>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</si>
  <si>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</si>
  <si>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</si>
  <si>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</si>
  <si>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</si>
  <si>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</si>
  <si>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</si>
  <si>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</si>
  <si>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</si>
  <si>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</si>
  <si>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</si>
  <si>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</si>
  <si>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</si>
  <si>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</si>
  <si>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</si>
  <si>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</si>
  <si>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</si>
  <si>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</si>
  <si>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</si>
  <si>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</si>
  <si>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</si>
  <si>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</si>
  <si>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</si>
  <si>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</si>
  <si>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</si>
  <si>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</si>
  <si>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</si>
  <si>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</si>
  <si>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</si>
  <si>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</si>
  <si>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</si>
  <si>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</si>
  <si>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</si>
  <si>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</si>
  <si>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</si>
  <si>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</si>
  <si>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</si>
  <si>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</si>
  <si>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</si>
  <si>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</si>
  <si>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</si>
  <si>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</si>
  <si>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</si>
  <si>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</si>
  <si>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</si>
  <si>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</si>
  <si>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</si>
  <si>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</si>
  <si>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</si>
  <si>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</si>
  <si>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</si>
  <si>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</si>
  <si>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</si>
  <si>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</si>
  <si>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</si>
  <si>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</si>
  <si>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</si>
  <si>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</si>
  <si>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</si>
  <si>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</si>
  <si>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</si>
  <si>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</si>
  <si>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</si>
  <si>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</si>
  <si>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</si>
  <si>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</si>
  <si>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</si>
  <si>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</si>
  <si>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</si>
  <si>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</si>
  <si>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</si>
  <si>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</si>
  <si>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</si>
  <si>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</si>
  <si>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</si>
  <si>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</si>
  <si>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</si>
  <si>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</si>
  <si>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</si>
  <si>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</si>
  <si>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</si>
  <si>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</si>
  <si>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</si>
  <si>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</si>
  <si>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</si>
  <si>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</si>
  <si>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</si>
  <si>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</si>
  <si>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</si>
  <si>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</si>
  <si>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</si>
  <si>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</si>
  <si>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</si>
  <si>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</si>
  <si>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</si>
  <si>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</si>
  <si>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</si>
  <si>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</si>
  <si>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</si>
  <si>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</si>
  <si>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</si>
  <si>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</si>
  <si>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</si>
  <si>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</si>
  <si>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</si>
  <si>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</si>
  <si>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</si>
  <si>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</si>
  <si>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</si>
  <si>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</si>
  <si>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</si>
  <si>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</si>
  <si>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</si>
  <si>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</si>
  <si>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</si>
  <si>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</si>
  <si>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</si>
  <si>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</si>
  <si>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</si>
  <si>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</si>
  <si>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</si>
  <si>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</si>
  <si>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</si>
  <si>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</si>
  <si>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</si>
  <si>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</si>
  <si>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</si>
  <si>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</si>
  <si>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</si>
  <si>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</si>
  <si>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</si>
  <si>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</si>
  <si>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</si>
  <si>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</si>
  <si>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</si>
  <si>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</si>
  <si>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</si>
  <si>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</si>
  <si>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</si>
  <si>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</si>
  <si>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</si>
  <si>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</si>
  <si>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</si>
  <si>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</si>
  <si>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</si>
  <si>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</si>
  <si>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</si>
  <si>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</si>
  <si>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</si>
  <si>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</si>
  <si>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</si>
  <si>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</si>
  <si>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</si>
  <si>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</si>
  <si>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</si>
  <si>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</si>
  <si>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</si>
  <si>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</si>
  <si>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</si>
  <si>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</si>
  <si>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</si>
  <si>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</si>
  <si>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</si>
  <si>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</si>
  <si>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</si>
  <si>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</si>
  <si>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</si>
  <si>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</si>
  <si>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</si>
  <si>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</si>
  <si>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</si>
  <si>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</si>
  <si>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</si>
  <si>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</si>
  <si>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</si>
  <si>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</si>
  <si>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</si>
  <si>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</si>
  <si>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</si>
  <si>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</si>
  <si>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</si>
  <si>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</si>
  <si>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</si>
  <si>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</si>
  <si>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</si>
  <si>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</si>
  <si>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</si>
  <si>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</si>
  <si>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</si>
  <si>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</si>
  <si>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</si>
  <si>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</si>
  <si>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</si>
  <si>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</si>
  <si>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</si>
  <si>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</si>
  <si>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</si>
  <si>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</si>
  <si>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</si>
  <si>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</si>
  <si>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</si>
  <si>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</si>
  <si>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</si>
  <si>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</si>
  <si>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</si>
  <si>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</si>
  <si>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</si>
  <si>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</si>
  <si>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</si>
  <si>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</si>
  <si>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</si>
  <si>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</si>
  <si>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</si>
  <si>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</si>
  <si>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</si>
  <si>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</si>
  <si>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</si>
  <si>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</si>
  <si>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</si>
  <si>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</si>
  <si>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</si>
  <si>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</si>
  <si>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</si>
  <si>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</si>
  <si>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</si>
  <si>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</si>
  <si>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</si>
  <si>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</si>
  <si>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</si>
  <si>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</si>
  <si>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</si>
  <si>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</si>
  <si>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</si>
  <si>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</si>
  <si>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</si>
  <si>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</si>
  <si>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</si>
  <si>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</si>
  <si>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</si>
  <si>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</si>
  <si>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</si>
  <si>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</si>
  <si>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</si>
  <si>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</si>
  <si>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</si>
  <si>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</si>
  <si>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</si>
  <si>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</si>
  <si>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</si>
  <si>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</si>
  <si>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</si>
  <si>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</si>
  <si>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</si>
  <si>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</si>
  <si>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</si>
  <si>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</si>
  <si>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</si>
  <si>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</si>
  <si>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1st Pit started</t>
  </si>
  <si>
    <t>WIP: 1st Section</t>
  </si>
  <si>
    <t>DCT+0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</si>
  <si>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</si>
  <si>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</si>
  <si>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</si>
  <si>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</si>
  <si>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</si>
  <si>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</si>
  <si>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</si>
  <si>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</si>
  <si>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</si>
  <si>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</si>
  <si>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</si>
  <si>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</si>
  <si>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</si>
  <si>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</si>
  <si>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</si>
  <si>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</si>
  <si>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</si>
  <si>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</si>
  <si>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</si>
  <si>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</si>
  <si>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</si>
  <si>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</si>
  <si>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</si>
  <si>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</si>
  <si>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</si>
  <si>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</si>
  <si>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</si>
  <si>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</si>
  <si>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</si>
  <si>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PCC</t>
  </si>
  <si>
    <t>Trinergy</t>
  </si>
  <si>
    <t>Pit Marking</t>
  </si>
  <si>
    <t>2nd Section WIP</t>
  </si>
  <si>
    <t>1) RC Foundation Drawings Required- DC,DD45,DD60 (1MRC,2MRC,3MRC)</t>
  </si>
  <si>
    <t>WIP: PCC</t>
  </si>
  <si>
    <t>WIP: Steel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</si>
</sst>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4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5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4" fillId="17" borderId="159" xfId="4" applyFont="1" applyFill="1" applyBorder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9" borderId="127" xfId="4" applyFont="1" applyFill="1" applyBorder="1" applyAlignment="1">
      <alignment horizontal="center" vertical="center"/>
    </xf>
    <xf numFmtId="0" fontId="95" fillId="25" borderId="127" xfId="0" applyFont="1" applyFill="1" applyBorder="1" applyAlignment="1">
      <alignment horizontal="center" vertical="center" wrapText="1"/>
    </xf>
    <xf numFmtId="0" fontId="95" fillId="25" borderId="119" xfId="0" applyFont="1" applyFill="1" applyBorder="1" applyAlignment="1">
      <alignment horizontal="center" vertical="center" wrapText="1"/>
    </xf>
    <xf numFmtId="0" fontId="95" fillId="25" borderId="127" xfId="0" applyFont="1" applyFill="1" applyBorder="1" applyAlignment="1">
      <alignment horizontal="center" vertical="center"/>
    </xf>
    <xf numFmtId="0" fontId="95" fillId="19" borderId="74" xfId="0" applyFont="1" applyFill="1" applyBorder="1" applyAlignment="1">
      <alignment horizontal="center"/>
    </xf>
    <xf numFmtId="14" fontId="95" fillId="19" borderId="127" xfId="0" applyNumberFormat="1" applyFont="1" applyFill="1" applyBorder="1" applyAlignment="1">
      <alignment horizontal="center"/>
    </xf>
    <xf numFmtId="164" fontId="95" fillId="19" borderId="127" xfId="0" applyNumberFormat="1" applyFont="1" applyFill="1" applyBorder="1" applyAlignment="1">
      <alignment horizontal="center" vertical="center"/>
    </xf>
    <xf numFmtId="0" fontId="95" fillId="19" borderId="119" xfId="0" applyFont="1" applyFill="1" applyBorder="1" applyAlignment="1">
      <alignment horizontal="center"/>
    </xf>
    <xf numFmtId="14" fontId="95" fillId="19" borderId="119" xfId="0" applyNumberFormat="1" applyFont="1" applyFill="1" applyBorder="1" applyAlignment="1">
      <alignment horizontal="center"/>
    </xf>
    <xf numFmtId="0" fontId="97" fillId="19" borderId="74" xfId="0" applyFont="1" applyFill="1" applyBorder="1" applyAlignment="1">
      <alignment horizontal="center" vertical="center"/>
    </xf>
    <xf numFmtId="0" fontId="4" fillId="25" borderId="74" xfId="0" applyFont="1" applyFill="1" applyBorder="1" applyAlignment="1">
      <alignment horizontal="center" vertical="center"/>
    </xf>
    <xf numFmtId="0" fontId="17" fillId="25" borderId="74" xfId="0" applyFont="1" applyFill="1" applyBorder="1" applyAlignment="1">
      <alignment horizontal="center" vertical="center" wrapText="1"/>
    </xf>
    <xf numFmtId="14" fontId="17" fillId="25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35" fillId="16" borderId="74" xfId="0" applyFont="1" applyFill="1" applyBorder="1" applyAlignment="1">
      <alignment horizontal="center" wrapText="1"/>
    </xf>
    <xf numFmtId="0" fontId="136" fillId="16" borderId="74" xfId="0" applyFont="1" applyFill="1" applyBorder="1" applyAlignment="1">
      <alignment horizontal="left"/>
    </xf>
    <xf numFmtId="0" fontId="9" fillId="16" borderId="74" xfId="0" applyFont="1" applyFill="1" applyBorder="1"/>
    <xf numFmtId="0" fontId="137" fillId="16" borderId="74" xfId="0" applyFont="1" applyFill="1" applyBorder="1"/>
    <xf numFmtId="0" fontId="70" fillId="16" borderId="74" xfId="0" applyFont="1" applyFill="1" applyBorder="1" applyAlignment="1">
      <alignment horizontal="center"/>
    </xf>
    <xf numFmtId="0" fontId="70" fillId="16" borderId="74" xfId="0" applyFont="1" applyFill="1" applyBorder="1"/>
    <xf numFmtId="0" fontId="135" fillId="16" borderId="74" xfId="0" applyFont="1" applyFill="1" applyBorder="1"/>
    <xf numFmtId="0" fontId="137" fillId="16" borderId="74" xfId="0" applyFont="1" applyFill="1" applyBorder="1" applyAlignment="1">
      <alignment horizontal="center" vertical="center"/>
    </xf>
    <xf numFmtId="0" fontId="57" fillId="16" borderId="74" xfId="0" applyFont="1" applyFill="1" applyBorder="1"/>
    <xf numFmtId="14" fontId="9" fillId="16" borderId="74" xfId="0" applyNumberFormat="1" applyFont="1" applyFill="1" applyBorder="1"/>
    <xf numFmtId="0" fontId="9" fillId="16" borderId="74" xfId="0" applyFont="1" applyFill="1" applyBorder="1" applyAlignment="1">
      <alignment horizontal="left" vertical="center"/>
    </xf>
    <xf numFmtId="0" fontId="9" fillId="16" borderId="74" xfId="0" applyFont="1" applyFill="1" applyBorder="1" applyAlignment="1">
      <alignment horizontal="center" vertical="center"/>
    </xf>
    <xf numFmtId="0" fontId="137" fillId="16" borderId="74" xfId="0" applyFont="1" applyFill="1" applyBorder="1" applyAlignment="1">
      <alignment horizontal="center"/>
    </xf>
    <xf numFmtId="0" fontId="60" fillId="16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8" fillId="17" borderId="74" xfId="4" applyFont="1" applyFill="1" applyAlignment="1">
      <alignment horizontal="center" vertical="center"/>
    </xf>
    <xf numFmtId="0" fontId="9" fillId="17" borderId="74" xfId="4" applyFont="1" applyFill="1" applyAlignment="1">
      <alignment horizontal="center"/>
    </xf>
    <xf numFmtId="0" fontId="0" fillId="16" borderId="74" xfId="0" applyFill="1" applyBorder="1"/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0" fontId="60" fillId="16" borderId="126" xfId="0" applyFont="1" applyFill="1" applyBorder="1" applyAlignment="1">
      <alignment horizontal="center"/>
    </xf>
    <xf numFmtId="0" fontId="60" fillId="16" borderId="126" xfId="0" applyFont="1" applyFill="1" applyBorder="1"/>
    <xf numFmtId="0" fontId="4" fillId="16" borderId="126" xfId="0" applyFont="1" applyFill="1" applyBorder="1" applyAlignment="1">
      <alignment horizontal="center" vertical="center"/>
    </xf>
    <xf numFmtId="0" fontId="57" fillId="16" borderId="126" xfId="0" applyFont="1" applyFill="1" applyBorder="1"/>
    <xf numFmtId="14" fontId="4" fillId="16" borderId="126" xfId="0" applyNumberFormat="1" applyFont="1" applyFill="1" applyBorder="1" applyAlignment="1">
      <alignment horizontal="center" vertical="center"/>
    </xf>
    <xf numFmtId="0" fontId="138" fillId="16" borderId="74" xfId="0" applyFont="1" applyFill="1" applyBorder="1"/>
    <xf numFmtId="0" fontId="139" fillId="16" borderId="74" xfId="0" applyFont="1" applyFill="1" applyBorder="1" applyAlignment="1">
      <alignment horizontal="center" vertical="center"/>
    </xf>
    <xf numFmtId="0" fontId="139" fillId="16" borderId="74" xfId="0" applyFont="1" applyFill="1" applyBorder="1"/>
    <xf numFmtId="14" fontId="139" fillId="16" borderId="74" xfId="0" applyNumberFormat="1" applyFont="1" applyFill="1" applyBorder="1"/>
    <xf numFmtId="14" fontId="14" fillId="16" borderId="74" xfId="0" applyNumberFormat="1" applyFont="1" applyFill="1" applyBorder="1"/>
    <xf numFmtId="16" fontId="14" fillId="16" borderId="74" xfId="0" applyNumberFormat="1" applyFont="1" applyFill="1" applyBorder="1" applyAlignment="1">
      <alignment vertical="center"/>
    </xf>
    <xf numFmtId="16" fontId="14" fillId="16" borderId="74" xfId="0" applyNumberFormat="1" applyFont="1" applyFill="1" applyBorder="1" applyAlignment="1">
      <alignment horizontal="center"/>
    </xf>
    <xf numFmtId="0" fontId="14" fillId="16" borderId="74" xfId="0" applyFont="1" applyFill="1" applyBorder="1" applyAlignment="1">
      <alignment vertical="center"/>
    </xf>
    <xf numFmtId="0" fontId="14" fillId="16" borderId="74" xfId="0" applyFont="1" applyFill="1" applyBorder="1" applyAlignment="1">
      <alignment horizontal="left" vertical="center"/>
    </xf>
    <xf numFmtId="0" fontId="14" fillId="16" borderId="74" xfId="0" applyFont="1" applyFill="1" applyBorder="1" applyAlignment="1">
      <alignment horizontal="center" vertical="center"/>
    </xf>
    <xf numFmtId="14" fontId="14" fillId="16" borderId="74" xfId="0" applyNumberFormat="1" applyFont="1" applyFill="1" applyBorder="1" applyAlignment="1">
      <alignment horizontal="center"/>
    </xf>
    <xf numFmtId="14" fontId="14" fillId="16" borderId="74" xfId="0" applyNumberFormat="1" applyFont="1" applyFill="1" applyBorder="1" applyAlignment="1">
      <alignment horizontal="center" vertical="center"/>
    </xf>
    <xf numFmtId="14" fontId="14" fillId="16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6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6" borderId="126" xfId="4" applyFill="1" applyBorder="1"/>
    <xf numFmtId="0" fontId="4" fillId="16" borderId="126" xfId="4" applyFont="1" applyFill="1" applyBorder="1"/>
    <xf numFmtId="0" fontId="4" fillId="0" borderId="182" xfId="4" applyFont="1" applyBorder="1"/>
    <xf numFmtId="0" fontId="60" fillId="16" borderId="74" xfId="4" applyFill="1" applyAlignment="1">
      <alignment horizontal="center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5" fillId="19" borderId="119" xfId="0" applyFont="1" applyFill="1" applyBorder="1" applyAlignment="1">
      <alignment horizontal="left" vertical="center" wrapText="1"/>
    </xf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left" indent="2"/>
    </xf>
    <xf numFmtId="0" fontId="85" fillId="17" borderId="119" xfId="0" applyFont="1" applyFill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19" fillId="9" borderId="93" xfId="0" applyFont="1" applyFill="1" applyBorder="1"/>
    <xf numFmtId="0" fontId="9" fillId="0" borderId="98" xfId="0" applyFont="1" applyBorder="1"/>
    <xf numFmtId="0" fontId="19" fillId="9" borderId="72" xfId="0" applyFont="1" applyFill="1" applyBorder="1"/>
    <xf numFmtId="0" fontId="9" fillId="0" borderId="73" xfId="0" applyFont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73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134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2" fontId="68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81" fillId="17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0" fillId="23" borderId="137" xfId="4" applyFont="1" applyFill="1" applyBorder="1"/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0" fontId="13" fillId="19" borderId="74" xfId="4" applyFont="1" applyFill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0" fontId="81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1" fillId="17" borderId="159" xfId="4" applyFont="1" applyFill="1" applyBorder="1" applyAlignment="1">
      <alignment horizontal="center" wrapText="1"/>
    </xf>
    <xf numFmtId="0" fontId="91" fillId="17" borderId="74" xfId="4" applyFont="1" applyFill="1" applyAlignment="1">
      <alignment horizontal="center" wrapText="1"/>
    </xf>
    <xf numFmtId="0" fontId="91" fillId="17" borderId="141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33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7" fillId="16" borderId="136" xfId="4" applyNumberFormat="1" applyFont="1" applyFill="1" applyBorder="1" applyAlignment="1">
      <alignment horizontal="center" vertical="center"/>
    </xf>
    <xf numFmtId="0" fontId="7" fillId="16" borderId="137" xfId="4" applyFont="1" applyFill="1" applyBorder="1"/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2" fontId="81" fillId="17" borderId="137" xfId="4" applyNumberFormat="1" applyFont="1" applyFill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0" fontId="5" fillId="23" borderId="137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2" fontId="106" fillId="16" borderId="18" xfId="4" applyNumberFormat="1" applyFont="1" applyFill="1" applyBorder="1" applyAlignment="1">
      <alignment horizontal="center" vertical="center"/>
    </xf>
    <xf numFmtId="0" fontId="106" fillId="16" borderId="33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2638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3766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4894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422777</xdr:colOff>
      <xdr:row>82</xdr:row>
      <xdr:rowOff>176831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480677" y="146243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5870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74039" y="181704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254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376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2638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047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1407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6116" y="111472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E4DE9053-024F-4DBB-9B24-D40FEDBAD7E7}"/>
            </a:ext>
          </a:extLst>
        </xdr:cNvPr>
        <xdr:cNvSpPr/>
      </xdr:nvSpPr>
      <xdr:spPr>
        <a:xfrm>
          <a:off x="13475970" y="14574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B67212DE-A3C6-4F2E-B6F2-082320723672}"/>
            </a:ext>
          </a:extLst>
        </xdr:cNvPr>
        <xdr:cNvSpPr/>
      </xdr:nvSpPr>
      <xdr:spPr>
        <a:xfrm>
          <a:off x="12263438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10F4D9F8-958A-4895-994E-6624D4D54AD9}"/>
            </a:ext>
          </a:extLst>
        </xdr:cNvPr>
        <xdr:cNvSpPr/>
      </xdr:nvSpPr>
      <xdr:spPr>
        <a:xfrm>
          <a:off x="13491846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51E7373-A2E4-4A43-9B11-0681E6A4C6FB}"/>
            </a:ext>
          </a:extLst>
        </xdr:cNvPr>
        <xdr:cNvSpPr/>
      </xdr:nvSpPr>
      <xdr:spPr>
        <a:xfrm>
          <a:off x="388938" y="1634299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8E0C79C-FCC1-4730-B5AE-D13DF9544172}"/>
            </a:ext>
          </a:extLst>
        </xdr:cNvPr>
        <xdr:cNvSpPr/>
      </xdr:nvSpPr>
      <xdr:spPr>
        <a:xfrm>
          <a:off x="6327775" y="1807178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9718A41-3890-4923-9888-DCF7B23D04F9}"/>
            </a:ext>
          </a:extLst>
        </xdr:cNvPr>
        <xdr:cNvSpPr/>
      </xdr:nvSpPr>
      <xdr:spPr>
        <a:xfrm>
          <a:off x="636746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6E7FFD56-8608-4BFF-BDEF-90F138ECE9B3}"/>
            </a:ext>
          </a:extLst>
        </xdr:cNvPr>
        <xdr:cNvSpPr/>
      </xdr:nvSpPr>
      <xdr:spPr>
        <a:xfrm>
          <a:off x="1105884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BD4C3D95-2406-4A6D-A25F-49B7A42CB98B}"/>
            </a:ext>
          </a:extLst>
        </xdr:cNvPr>
        <xdr:cNvSpPr/>
      </xdr:nvSpPr>
      <xdr:spPr>
        <a:xfrm>
          <a:off x="1227931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D46DC94-DB2C-49BB-9325-CA769720DD45}"/>
            </a:ext>
          </a:extLst>
        </xdr:cNvPr>
        <xdr:cNvSpPr/>
      </xdr:nvSpPr>
      <xdr:spPr>
        <a:xfrm>
          <a:off x="11098530" y="2155317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7EC25240-2233-49AB-9A3E-66741D48425D}"/>
            </a:ext>
          </a:extLst>
        </xdr:cNvPr>
        <xdr:cNvSpPr/>
      </xdr:nvSpPr>
      <xdr:spPr>
        <a:xfrm>
          <a:off x="6319838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D6926A7-F756-4845-96EB-4012DAC7DAD2}"/>
            </a:ext>
          </a:extLst>
        </xdr:cNvPr>
        <xdr:cNvSpPr/>
      </xdr:nvSpPr>
      <xdr:spPr>
        <a:xfrm>
          <a:off x="13523595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87FB29A4-57BA-4C9A-B614-CA80DFE4132C}"/>
            </a:ext>
          </a:extLst>
        </xdr:cNvPr>
        <xdr:cNvSpPr/>
      </xdr:nvSpPr>
      <xdr:spPr>
        <a:xfrm>
          <a:off x="1109059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F90BEACE-3BC4-4DE6-8F82-2B15DAB328C2}"/>
            </a:ext>
          </a:extLst>
        </xdr:cNvPr>
        <xdr:cNvSpPr/>
      </xdr:nvSpPr>
      <xdr:spPr>
        <a:xfrm>
          <a:off x="1349978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DC250337-701A-48A6-B2DB-39767D21CE55}"/>
            </a:ext>
          </a:extLst>
        </xdr:cNvPr>
        <xdr:cNvSpPr/>
      </xdr:nvSpPr>
      <xdr:spPr>
        <a:xfrm>
          <a:off x="13460092" y="2965481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E4958D9-626E-4223-9B9E-C46F46EE2F5D}"/>
            </a:ext>
          </a:extLst>
        </xdr:cNvPr>
        <xdr:cNvSpPr/>
      </xdr:nvSpPr>
      <xdr:spPr>
        <a:xfrm>
          <a:off x="1604645" y="3139948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63ADF70-C14E-4992-8F37-775D344B1AAB}"/>
            </a:ext>
          </a:extLst>
        </xdr:cNvPr>
        <xdr:cNvSpPr/>
      </xdr:nvSpPr>
      <xdr:spPr>
        <a:xfrm>
          <a:off x="3982084" y="4085558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58EE20F3-B1F3-4E4B-97C9-4FA1134F9280}"/>
            </a:ext>
          </a:extLst>
        </xdr:cNvPr>
        <xdr:cNvSpPr/>
      </xdr:nvSpPr>
      <xdr:spPr>
        <a:xfrm>
          <a:off x="1564956" y="4241704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450BD0F3-D1CA-4E26-A3FD-50740A8E3506}"/>
            </a:ext>
          </a:extLst>
        </xdr:cNvPr>
        <xdr:cNvSpPr/>
      </xdr:nvSpPr>
      <xdr:spPr>
        <a:xfrm>
          <a:off x="13483908" y="785114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A89B0C4-FDC6-431F-8F5B-EDACC2AB5837}"/>
            </a:ext>
          </a:extLst>
        </xdr:cNvPr>
        <xdr:cNvSpPr/>
      </xdr:nvSpPr>
      <xdr:spPr>
        <a:xfrm>
          <a:off x="365125" y="941260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DD86FFAD-6E10-4D77-944D-3393B9712FFD}"/>
            </a:ext>
          </a:extLst>
        </xdr:cNvPr>
        <xdr:cNvSpPr/>
      </xdr:nvSpPr>
      <xdr:spPr>
        <a:xfrm>
          <a:off x="6367461" y="1103757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261327</xdr:colOff>
      <xdr:row>62</xdr:row>
      <xdr:rowOff>143487</xdr:rowOff>
    </xdr:from>
    <xdr:to>
      <xdr:col>14</xdr:col>
      <xdr:colOff>142265</xdr:colOff>
      <xdr:row>69</xdr:row>
      <xdr:rowOff>119674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A4EB2E9-0B0D-41B6-856C-4EC1D143B2A0}"/>
            </a:ext>
          </a:extLst>
        </xdr:cNvPr>
        <xdr:cNvSpPr/>
      </xdr:nvSpPr>
      <xdr:spPr>
        <a:xfrm>
          <a:off x="7507947" y="11085807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C8F91C90-0028-4EE9-9139-63D43180ACAF}"/>
            </a:ext>
          </a:extLst>
        </xdr:cNvPr>
        <xdr:cNvSpPr/>
      </xdr:nvSpPr>
      <xdr:spPr>
        <a:xfrm>
          <a:off x="1571168" y="14360953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57272290-2CF4-4E3B-B378-CFBC0896B545}"/>
            </a:ext>
          </a:extLst>
        </xdr:cNvPr>
        <xdr:cNvSpPr/>
      </xdr:nvSpPr>
      <xdr:spPr>
        <a:xfrm>
          <a:off x="2769553" y="1449514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4B51947-E108-486C-9A75-61F6653AED21}"/>
            </a:ext>
          </a:extLst>
        </xdr:cNvPr>
        <xdr:cNvSpPr/>
      </xdr:nvSpPr>
      <xdr:spPr>
        <a:xfrm>
          <a:off x="12303125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F83E58D3-B984-48EE-A34F-FA60E8475EEB}"/>
            </a:ext>
          </a:extLst>
        </xdr:cNvPr>
        <xdr:cNvSpPr/>
      </xdr:nvSpPr>
      <xdr:spPr>
        <a:xfrm>
          <a:off x="13499783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E4F5A54-2B76-489E-A25F-D55B7DB883D1}"/>
            </a:ext>
          </a:extLst>
        </xdr:cNvPr>
        <xdr:cNvSpPr/>
      </xdr:nvSpPr>
      <xdr:spPr>
        <a:xfrm>
          <a:off x="2753678" y="329530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57B0B112-0785-4411-A093-ED99197943FC}"/>
            </a:ext>
          </a:extLst>
        </xdr:cNvPr>
        <xdr:cNvSpPr/>
      </xdr:nvSpPr>
      <xdr:spPr>
        <a:xfrm>
          <a:off x="9917747" y="4082383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965664C3-F992-4E6C-925B-C08900C7B86E}"/>
            </a:ext>
          </a:extLst>
        </xdr:cNvPr>
        <xdr:cNvSpPr/>
      </xdr:nvSpPr>
      <xdr:spPr>
        <a:xfrm>
          <a:off x="3997965" y="4236942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96A8B1FE-AC20-42D4-889B-1A2BDE14B1C5}"/>
            </a:ext>
          </a:extLst>
        </xdr:cNvPr>
        <xdr:cNvSpPr/>
      </xdr:nvSpPr>
      <xdr:spPr>
        <a:xfrm>
          <a:off x="2785427" y="4243292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309077" y="36830000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20</xdr:col>
      <xdr:colOff>331716</xdr:colOff>
      <xdr:row>17</xdr:row>
      <xdr:rowOff>85290</xdr:rowOff>
    </xdr:from>
    <xdr:to>
      <xdr:col>22</xdr:col>
      <xdr:colOff>123209</xdr:colOff>
      <xdr:row>24</xdr:row>
      <xdr:rowOff>61477</xdr:rowOff>
    </xdr:to>
    <xdr:sp macro="" textlink="">
      <xdr:nvSpPr>
        <xdr:cNvPr id="1743" name="Oval 1742">
          <a:extLst>
            <a:ext uri="{FF2B5EF4-FFF2-40B4-BE49-F238E27FC236}">
              <a16:creationId xmlns:a16="http://schemas.microsoft.com/office/drawing/2014/main" id="{E0AA1FC5-2492-411F-86C9-A98298E60F4F}"/>
            </a:ext>
          </a:extLst>
        </xdr:cNvPr>
        <xdr:cNvSpPr/>
      </xdr:nvSpPr>
      <xdr:spPr>
        <a:xfrm>
          <a:off x="12333216" y="3140910"/>
          <a:ext cx="98021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312759</xdr:colOff>
      <xdr:row>53</xdr:row>
      <xdr:rowOff>104262</xdr:rowOff>
    </xdr:from>
    <xdr:to>
      <xdr:col>20</xdr:col>
      <xdr:colOff>193697</xdr:colOff>
      <xdr:row>60</xdr:row>
      <xdr:rowOff>80450</xdr:rowOff>
    </xdr:to>
    <xdr:sp macro="" textlink="">
      <xdr:nvSpPr>
        <xdr:cNvPr id="1744" name="Oval 1743">
          <a:extLst>
            <a:ext uri="{FF2B5EF4-FFF2-40B4-BE49-F238E27FC236}">
              <a16:creationId xmlns:a16="http://schemas.microsoft.com/office/drawing/2014/main" id="{09C20A70-446F-46C8-A36A-AE5C5F88EFC2}"/>
            </a:ext>
          </a:extLst>
        </xdr:cNvPr>
        <xdr:cNvSpPr/>
      </xdr:nvSpPr>
      <xdr:spPr>
        <a:xfrm>
          <a:off x="11125539" y="9469242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350666</xdr:colOff>
      <xdr:row>62</xdr:row>
      <xdr:rowOff>123211</xdr:rowOff>
    </xdr:from>
    <xdr:to>
      <xdr:col>8</xdr:col>
      <xdr:colOff>231604</xdr:colOff>
      <xdr:row>69</xdr:row>
      <xdr:rowOff>99398</xdr:rowOff>
    </xdr:to>
    <xdr:sp macro="" textlink="">
      <xdr:nvSpPr>
        <xdr:cNvPr id="1745" name="Oval 1744">
          <a:extLst>
            <a:ext uri="{FF2B5EF4-FFF2-40B4-BE49-F238E27FC236}">
              <a16:creationId xmlns:a16="http://schemas.microsoft.com/office/drawing/2014/main" id="{D8FBD13D-A059-48C1-A466-7D05B2D7E9B8}"/>
            </a:ext>
          </a:extLst>
        </xdr:cNvPr>
        <xdr:cNvSpPr/>
      </xdr:nvSpPr>
      <xdr:spPr>
        <a:xfrm>
          <a:off x="4031126" y="1106553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322990</xdr:colOff>
      <xdr:row>62</xdr:row>
      <xdr:rowOff>105010</xdr:rowOff>
    </xdr:from>
    <xdr:to>
      <xdr:col>6</xdr:col>
      <xdr:colOff>203927</xdr:colOff>
      <xdr:row>69</xdr:row>
      <xdr:rowOff>81197</xdr:rowOff>
    </xdr:to>
    <xdr:sp macro="" textlink="">
      <xdr:nvSpPr>
        <xdr:cNvPr id="1746" name="Oval 1745">
          <a:extLst>
            <a:ext uri="{FF2B5EF4-FFF2-40B4-BE49-F238E27FC236}">
              <a16:creationId xmlns:a16="http://schemas.microsoft.com/office/drawing/2014/main" id="{D5A22429-73BB-4B33-9EE4-75BF2253F451}"/>
            </a:ext>
          </a:extLst>
        </xdr:cNvPr>
        <xdr:cNvSpPr/>
      </xdr:nvSpPr>
      <xdr:spPr>
        <a:xfrm>
          <a:off x="2814730" y="11047330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314585</xdr:colOff>
      <xdr:row>82</xdr:row>
      <xdr:rowOff>54164</xdr:rowOff>
    </xdr:from>
    <xdr:to>
      <xdr:col>8</xdr:col>
      <xdr:colOff>195524</xdr:colOff>
      <xdr:row>89</xdr:row>
      <xdr:rowOff>30351</xdr:rowOff>
    </xdr:to>
    <xdr:sp macro="" textlink="">
      <xdr:nvSpPr>
        <xdr:cNvPr id="1747" name="Oval 1746">
          <a:extLst>
            <a:ext uri="{FF2B5EF4-FFF2-40B4-BE49-F238E27FC236}">
              <a16:creationId xmlns:a16="http://schemas.microsoft.com/office/drawing/2014/main" id="{9DC686E1-A827-456C-8901-BC7C9181C8BE}"/>
            </a:ext>
          </a:extLst>
        </xdr:cNvPr>
        <xdr:cNvSpPr/>
      </xdr:nvSpPr>
      <xdr:spPr>
        <a:xfrm>
          <a:off x="3995045" y="14501684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353254</xdr:colOff>
      <xdr:row>82</xdr:row>
      <xdr:rowOff>92833</xdr:rowOff>
    </xdr:from>
    <xdr:to>
      <xdr:col>14</xdr:col>
      <xdr:colOff>234192</xdr:colOff>
      <xdr:row>89</xdr:row>
      <xdr:rowOff>69020</xdr:rowOff>
    </xdr:to>
    <xdr:sp macro="" textlink="">
      <xdr:nvSpPr>
        <xdr:cNvPr id="1748" name="Oval 1747">
          <a:extLst>
            <a:ext uri="{FF2B5EF4-FFF2-40B4-BE49-F238E27FC236}">
              <a16:creationId xmlns:a16="http://schemas.microsoft.com/office/drawing/2014/main" id="{F71200AE-EF47-4392-97E3-CBAB677AB3AC}"/>
            </a:ext>
          </a:extLst>
        </xdr:cNvPr>
        <xdr:cNvSpPr/>
      </xdr:nvSpPr>
      <xdr:spPr>
        <a:xfrm>
          <a:off x="7599874" y="1454035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344532</xdr:colOff>
      <xdr:row>82</xdr:row>
      <xdr:rowOff>93588</xdr:rowOff>
    </xdr:from>
    <xdr:to>
      <xdr:col>12</xdr:col>
      <xdr:colOff>225471</xdr:colOff>
      <xdr:row>89</xdr:row>
      <xdr:rowOff>69775</xdr:rowOff>
    </xdr:to>
    <xdr:sp macro="" textlink="">
      <xdr:nvSpPr>
        <xdr:cNvPr id="1749" name="Oval 1748">
          <a:extLst>
            <a:ext uri="{FF2B5EF4-FFF2-40B4-BE49-F238E27FC236}">
              <a16:creationId xmlns:a16="http://schemas.microsoft.com/office/drawing/2014/main" id="{41A71C84-393B-4124-91F9-FBEA26504A01}"/>
            </a:ext>
          </a:extLst>
        </xdr:cNvPr>
        <xdr:cNvSpPr/>
      </xdr:nvSpPr>
      <xdr:spPr>
        <a:xfrm>
          <a:off x="6402432" y="14541108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twoCellAnchor>
    <xdr:from>
      <xdr:col>18</xdr:col>
      <xdr:colOff>333784</xdr:colOff>
      <xdr:row>82</xdr:row>
      <xdr:rowOff>97694</xdr:rowOff>
    </xdr:from>
    <xdr:to>
      <xdr:col>20</xdr:col>
      <xdr:colOff>97693</xdr:colOff>
      <xdr:row>89</xdr:row>
      <xdr:rowOff>73881</xdr:rowOff>
    </xdr:to>
    <xdr:sp macro="" textlink="">
      <xdr:nvSpPr>
        <xdr:cNvPr id="1751" name="Oval 1750">
          <a:extLst>
            <a:ext uri="{FF2B5EF4-FFF2-40B4-BE49-F238E27FC236}">
              <a16:creationId xmlns:a16="http://schemas.microsoft.com/office/drawing/2014/main" id="{A8128A9A-9B60-4603-83B6-DE54F498E7A7}"/>
            </a:ext>
          </a:extLst>
        </xdr:cNvPr>
        <xdr:cNvSpPr/>
      </xdr:nvSpPr>
      <xdr:spPr>
        <a:xfrm>
          <a:off x="11146564" y="14545214"/>
          <a:ext cx="95262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82</xdr:row>
      <xdr:rowOff>97694</xdr:rowOff>
    </xdr:from>
    <xdr:to>
      <xdr:col>22</xdr:col>
      <xdr:colOff>105833</xdr:colOff>
      <xdr:row>89</xdr:row>
      <xdr:rowOff>73881</xdr:rowOff>
    </xdr:to>
    <xdr:sp macro="" textlink="">
      <xdr:nvSpPr>
        <xdr:cNvPr id="1752" name="Oval 1751">
          <a:extLst>
            <a:ext uri="{FF2B5EF4-FFF2-40B4-BE49-F238E27FC236}">
              <a16:creationId xmlns:a16="http://schemas.microsoft.com/office/drawing/2014/main" id="{B7B0C585-CC31-464A-A9C3-CEEACF7B19A1}"/>
            </a:ext>
          </a:extLst>
        </xdr:cNvPr>
        <xdr:cNvSpPr/>
      </xdr:nvSpPr>
      <xdr:spPr>
        <a:xfrm>
          <a:off x="12343423" y="14545214"/>
          <a:ext cx="95263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284937</xdr:colOff>
      <xdr:row>92</xdr:row>
      <xdr:rowOff>130258</xdr:rowOff>
    </xdr:from>
    <xdr:to>
      <xdr:col>6</xdr:col>
      <xdr:colOff>81410</xdr:colOff>
      <xdr:row>99</xdr:row>
      <xdr:rowOff>106445</xdr:rowOff>
    </xdr:to>
    <xdr:sp macro="" textlink="">
      <xdr:nvSpPr>
        <xdr:cNvPr id="1753" name="Oval 1752">
          <a:extLst>
            <a:ext uri="{FF2B5EF4-FFF2-40B4-BE49-F238E27FC236}">
              <a16:creationId xmlns:a16="http://schemas.microsoft.com/office/drawing/2014/main" id="{BE1883D7-65A0-4CEE-9982-1F38FC7A7226}"/>
            </a:ext>
          </a:extLst>
        </xdr:cNvPr>
        <xdr:cNvSpPr/>
      </xdr:nvSpPr>
      <xdr:spPr>
        <a:xfrm>
          <a:off x="2776677" y="16330378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92</xdr:row>
      <xdr:rowOff>48848</xdr:rowOff>
    </xdr:from>
    <xdr:to>
      <xdr:col>18</xdr:col>
      <xdr:colOff>130256</xdr:colOff>
      <xdr:row>99</xdr:row>
      <xdr:rowOff>25035</xdr:rowOff>
    </xdr:to>
    <xdr:sp macro="" textlink="">
      <xdr:nvSpPr>
        <xdr:cNvPr id="1754" name="Oval 1753">
          <a:extLst>
            <a:ext uri="{FF2B5EF4-FFF2-40B4-BE49-F238E27FC236}">
              <a16:creationId xmlns:a16="http://schemas.microsoft.com/office/drawing/2014/main" id="{B94F7287-ED47-4CA1-9F1C-BBBB2563A1F1}"/>
            </a:ext>
          </a:extLst>
        </xdr:cNvPr>
        <xdr:cNvSpPr/>
      </xdr:nvSpPr>
      <xdr:spPr>
        <a:xfrm>
          <a:off x="9957842" y="16248968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331500</xdr:colOff>
      <xdr:row>92</xdr:row>
      <xdr:rowOff>46569</xdr:rowOff>
    </xdr:from>
    <xdr:to>
      <xdr:col>20</xdr:col>
      <xdr:colOff>127973</xdr:colOff>
      <xdr:row>99</xdr:row>
      <xdr:rowOff>22756</xdr:rowOff>
    </xdr:to>
    <xdr:sp macro="" textlink="">
      <xdr:nvSpPr>
        <xdr:cNvPr id="1755" name="Oval 1754">
          <a:extLst>
            <a:ext uri="{FF2B5EF4-FFF2-40B4-BE49-F238E27FC236}">
              <a16:creationId xmlns:a16="http://schemas.microsoft.com/office/drawing/2014/main" id="{38281C6C-923C-4ED1-A4BA-0100C438E92D}"/>
            </a:ext>
          </a:extLst>
        </xdr:cNvPr>
        <xdr:cNvSpPr/>
      </xdr:nvSpPr>
      <xdr:spPr>
        <a:xfrm>
          <a:off x="11144280" y="1624668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92</xdr:row>
      <xdr:rowOff>97694</xdr:rowOff>
    </xdr:from>
    <xdr:to>
      <xdr:col>22</xdr:col>
      <xdr:colOff>138397</xdr:colOff>
      <xdr:row>99</xdr:row>
      <xdr:rowOff>73881</xdr:rowOff>
    </xdr:to>
    <xdr:sp macro="" textlink="">
      <xdr:nvSpPr>
        <xdr:cNvPr id="1756" name="Oval 1755">
          <a:extLst>
            <a:ext uri="{FF2B5EF4-FFF2-40B4-BE49-F238E27FC236}">
              <a16:creationId xmlns:a16="http://schemas.microsoft.com/office/drawing/2014/main" id="{B5FA51BF-21D2-449D-9E6D-BAABB643EF9C}"/>
            </a:ext>
          </a:extLst>
        </xdr:cNvPr>
        <xdr:cNvSpPr/>
      </xdr:nvSpPr>
      <xdr:spPr>
        <a:xfrm>
          <a:off x="12343423" y="162978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423334</xdr:colOff>
      <xdr:row>102</xdr:row>
      <xdr:rowOff>73270</xdr:rowOff>
    </xdr:from>
    <xdr:to>
      <xdr:col>2</xdr:col>
      <xdr:colOff>113974</xdr:colOff>
      <xdr:row>109</xdr:row>
      <xdr:rowOff>49457</xdr:rowOff>
    </xdr:to>
    <xdr:sp macro="" textlink="">
      <xdr:nvSpPr>
        <xdr:cNvPr id="1757" name="Oval 1756">
          <a:extLst>
            <a:ext uri="{FF2B5EF4-FFF2-40B4-BE49-F238E27FC236}">
              <a16:creationId xmlns:a16="http://schemas.microsoft.com/office/drawing/2014/main" id="{F288D09C-DECB-409D-9D3C-21F15FA2A95E}"/>
            </a:ext>
          </a:extLst>
        </xdr:cNvPr>
        <xdr:cNvSpPr/>
      </xdr:nvSpPr>
      <xdr:spPr>
        <a:xfrm>
          <a:off x="423334" y="18025990"/>
          <a:ext cx="99366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333782</xdr:colOff>
      <xdr:row>112</xdr:row>
      <xdr:rowOff>56989</xdr:rowOff>
    </xdr:from>
    <xdr:to>
      <xdr:col>14</xdr:col>
      <xdr:colOff>130255</xdr:colOff>
      <xdr:row>119</xdr:row>
      <xdr:rowOff>33176</xdr:rowOff>
    </xdr:to>
    <xdr:sp macro="" textlink="">
      <xdr:nvSpPr>
        <xdr:cNvPr id="1758" name="Oval 1757">
          <a:extLst>
            <a:ext uri="{FF2B5EF4-FFF2-40B4-BE49-F238E27FC236}">
              <a16:creationId xmlns:a16="http://schemas.microsoft.com/office/drawing/2014/main" id="{45347240-4637-49B0-8BAA-5DD0B615FE29}"/>
            </a:ext>
          </a:extLst>
        </xdr:cNvPr>
        <xdr:cNvSpPr/>
      </xdr:nvSpPr>
      <xdr:spPr>
        <a:xfrm>
          <a:off x="7580402" y="1976230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350064</xdr:colOff>
      <xdr:row>112</xdr:row>
      <xdr:rowOff>97694</xdr:rowOff>
    </xdr:from>
    <xdr:to>
      <xdr:col>18</xdr:col>
      <xdr:colOff>146538</xdr:colOff>
      <xdr:row>119</xdr:row>
      <xdr:rowOff>73881</xdr:rowOff>
    </xdr:to>
    <xdr:sp macro="" textlink="">
      <xdr:nvSpPr>
        <xdr:cNvPr id="1759" name="Oval 1758">
          <a:extLst>
            <a:ext uri="{FF2B5EF4-FFF2-40B4-BE49-F238E27FC236}">
              <a16:creationId xmlns:a16="http://schemas.microsoft.com/office/drawing/2014/main" id="{B3AEF45E-0E38-41F0-A855-C4A0BEECE8A9}"/>
            </a:ext>
          </a:extLst>
        </xdr:cNvPr>
        <xdr:cNvSpPr/>
      </xdr:nvSpPr>
      <xdr:spPr>
        <a:xfrm>
          <a:off x="9974124" y="198030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350064</xdr:colOff>
      <xdr:row>122</xdr:row>
      <xdr:rowOff>89553</xdr:rowOff>
    </xdr:from>
    <xdr:to>
      <xdr:col>22</xdr:col>
      <xdr:colOff>146538</xdr:colOff>
      <xdr:row>129</xdr:row>
      <xdr:rowOff>65740</xdr:rowOff>
    </xdr:to>
    <xdr:sp macro="" textlink="">
      <xdr:nvSpPr>
        <xdr:cNvPr id="1760" name="Oval 1759">
          <a:extLst>
            <a:ext uri="{FF2B5EF4-FFF2-40B4-BE49-F238E27FC236}">
              <a16:creationId xmlns:a16="http://schemas.microsoft.com/office/drawing/2014/main" id="{4067A701-639F-4C82-828B-85B0F1241268}"/>
            </a:ext>
          </a:extLst>
        </xdr:cNvPr>
        <xdr:cNvSpPr/>
      </xdr:nvSpPr>
      <xdr:spPr>
        <a:xfrm>
          <a:off x="12351564" y="2154747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325641</xdr:colOff>
      <xdr:row>141</xdr:row>
      <xdr:rowOff>97693</xdr:rowOff>
    </xdr:from>
    <xdr:to>
      <xdr:col>12</xdr:col>
      <xdr:colOff>122115</xdr:colOff>
      <xdr:row>148</xdr:row>
      <xdr:rowOff>73880</xdr:rowOff>
    </xdr:to>
    <xdr:sp macro="" textlink="">
      <xdr:nvSpPr>
        <xdr:cNvPr id="1761" name="Oval 1760">
          <a:extLst>
            <a:ext uri="{FF2B5EF4-FFF2-40B4-BE49-F238E27FC236}">
              <a16:creationId xmlns:a16="http://schemas.microsoft.com/office/drawing/2014/main" id="{63E7098B-18BC-4590-A47C-C1E68B9702D2}"/>
            </a:ext>
          </a:extLst>
        </xdr:cNvPr>
        <xdr:cNvSpPr/>
      </xdr:nvSpPr>
      <xdr:spPr>
        <a:xfrm>
          <a:off x="6383541" y="2488555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141</xdr:row>
      <xdr:rowOff>89552</xdr:rowOff>
    </xdr:from>
    <xdr:to>
      <xdr:col>18</xdr:col>
      <xdr:colOff>130256</xdr:colOff>
      <xdr:row>148</xdr:row>
      <xdr:rowOff>65739</xdr:rowOff>
    </xdr:to>
    <xdr:sp macro="" textlink="">
      <xdr:nvSpPr>
        <xdr:cNvPr id="1762" name="Oval 1761">
          <a:extLst>
            <a:ext uri="{FF2B5EF4-FFF2-40B4-BE49-F238E27FC236}">
              <a16:creationId xmlns:a16="http://schemas.microsoft.com/office/drawing/2014/main" id="{CA2BA4CC-8A9A-43BB-8E42-7B73E8E76F22}"/>
            </a:ext>
          </a:extLst>
        </xdr:cNvPr>
        <xdr:cNvSpPr/>
      </xdr:nvSpPr>
      <xdr:spPr>
        <a:xfrm>
          <a:off x="9957842" y="24877412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317499</xdr:colOff>
      <xdr:row>159</xdr:row>
      <xdr:rowOff>65128</xdr:rowOff>
    </xdr:from>
    <xdr:to>
      <xdr:col>16</xdr:col>
      <xdr:colOff>198437</xdr:colOff>
      <xdr:row>166</xdr:row>
      <xdr:rowOff>41315</xdr:rowOff>
    </xdr:to>
    <xdr:sp macro="" textlink="">
      <xdr:nvSpPr>
        <xdr:cNvPr id="1763" name="Oval 1762">
          <a:extLst>
            <a:ext uri="{FF2B5EF4-FFF2-40B4-BE49-F238E27FC236}">
              <a16:creationId xmlns:a16="http://schemas.microsoft.com/office/drawing/2014/main" id="{EDCE1E92-FE9F-4316-88F9-934077CF210C}"/>
            </a:ext>
          </a:extLst>
        </xdr:cNvPr>
        <xdr:cNvSpPr/>
      </xdr:nvSpPr>
      <xdr:spPr>
        <a:xfrm>
          <a:off x="8752839" y="2800766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298938</xdr:colOff>
      <xdr:row>168</xdr:row>
      <xdr:rowOff>105833</xdr:rowOff>
    </xdr:from>
    <xdr:to>
      <xdr:col>10</xdr:col>
      <xdr:colOff>179875</xdr:colOff>
      <xdr:row>175</xdr:row>
      <xdr:rowOff>144869</xdr:rowOff>
    </xdr:to>
    <xdr:sp macro="" textlink="">
      <xdr:nvSpPr>
        <xdr:cNvPr id="1764" name="Oval 1763">
          <a:extLst>
            <a:ext uri="{FF2B5EF4-FFF2-40B4-BE49-F238E27FC236}">
              <a16:creationId xmlns:a16="http://schemas.microsoft.com/office/drawing/2014/main" id="{16CA1D12-D51B-4A66-B5C0-AE4040874A1A}"/>
            </a:ext>
          </a:extLst>
        </xdr:cNvPr>
        <xdr:cNvSpPr/>
      </xdr:nvSpPr>
      <xdr:spPr>
        <a:xfrm>
          <a:off x="5168118" y="29625713"/>
          <a:ext cx="1069657" cy="1265856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303253</xdr:colOff>
      <xdr:row>178</xdr:row>
      <xdr:rowOff>144096</xdr:rowOff>
    </xdr:from>
    <xdr:to>
      <xdr:col>8</xdr:col>
      <xdr:colOff>184191</xdr:colOff>
      <xdr:row>185</xdr:row>
      <xdr:rowOff>120283</xdr:rowOff>
    </xdr:to>
    <xdr:sp macro="" textlink="">
      <xdr:nvSpPr>
        <xdr:cNvPr id="1765" name="Oval 1764">
          <a:extLst>
            <a:ext uri="{FF2B5EF4-FFF2-40B4-BE49-F238E27FC236}">
              <a16:creationId xmlns:a16="http://schemas.microsoft.com/office/drawing/2014/main" id="{FA2133B0-3276-4952-88B3-AC7F8A5DA864}"/>
            </a:ext>
          </a:extLst>
        </xdr:cNvPr>
        <xdr:cNvSpPr/>
      </xdr:nvSpPr>
      <xdr:spPr>
        <a:xfrm>
          <a:off x="3983713" y="31416576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309360</xdr:colOff>
      <xdr:row>214</xdr:row>
      <xdr:rowOff>65128</xdr:rowOff>
    </xdr:from>
    <xdr:to>
      <xdr:col>6</xdr:col>
      <xdr:colOff>190297</xdr:colOff>
      <xdr:row>221</xdr:row>
      <xdr:rowOff>41315</xdr:rowOff>
    </xdr:to>
    <xdr:sp macro="" textlink="">
      <xdr:nvSpPr>
        <xdr:cNvPr id="1766" name="Oval 1765">
          <a:extLst>
            <a:ext uri="{FF2B5EF4-FFF2-40B4-BE49-F238E27FC236}">
              <a16:creationId xmlns:a16="http://schemas.microsoft.com/office/drawing/2014/main" id="{AB404A7D-4743-4BC8-AB14-70A7CB47E881}"/>
            </a:ext>
          </a:extLst>
        </xdr:cNvPr>
        <xdr:cNvSpPr/>
      </xdr:nvSpPr>
      <xdr:spPr>
        <a:xfrm>
          <a:off x="2801100" y="37646968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309358</xdr:colOff>
      <xdr:row>214</xdr:row>
      <xdr:rowOff>81411</xdr:rowOff>
    </xdr:from>
    <xdr:to>
      <xdr:col>8</xdr:col>
      <xdr:colOff>190296</xdr:colOff>
      <xdr:row>221</xdr:row>
      <xdr:rowOff>57598</xdr:rowOff>
    </xdr:to>
    <xdr:sp macro="" textlink="">
      <xdr:nvSpPr>
        <xdr:cNvPr id="1767" name="Oval 1766">
          <a:extLst>
            <a:ext uri="{FF2B5EF4-FFF2-40B4-BE49-F238E27FC236}">
              <a16:creationId xmlns:a16="http://schemas.microsoft.com/office/drawing/2014/main" id="{ACE4C97A-0206-459B-AA31-7DE8487F2D1C}"/>
            </a:ext>
          </a:extLst>
        </xdr:cNvPr>
        <xdr:cNvSpPr/>
      </xdr:nvSpPr>
      <xdr:spPr>
        <a:xfrm>
          <a:off x="3989818" y="3766325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261" t="s">
        <v>164</v>
      </c>
      <c r="C1" s="1262"/>
      <c r="D1" s="1262"/>
      <c r="E1" s="1262"/>
      <c r="F1" s="1262"/>
      <c r="G1" s="1262"/>
      <c r="H1" s="1262"/>
      <c r="I1" s="1262"/>
      <c r="J1" s="1262"/>
      <c r="K1" s="1262"/>
      <c r="L1" s="1262"/>
      <c r="M1" s="1262"/>
      <c r="N1" s="1262"/>
      <c r="O1" s="1262"/>
      <c r="P1" s="1262"/>
      <c r="Q1" s="1262"/>
      <c r="R1" s="1262"/>
      <c r="S1" s="1262"/>
      <c r="T1" s="1262"/>
      <c r="U1" s="1262"/>
      <c r="V1" s="1262"/>
      <c r="W1" s="1262"/>
      <c r="X1" s="1262"/>
      <c r="Y1" s="1263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264" t="s">
        <v>415</v>
      </c>
      <c r="C2" s="1265"/>
      <c r="D2" s="1265"/>
      <c r="E2" s="1265"/>
      <c r="F2" s="1265"/>
      <c r="G2" s="1265"/>
      <c r="H2" s="1265"/>
      <c r="I2" s="1265"/>
      <c r="J2" s="1265"/>
      <c r="K2" s="1265"/>
      <c r="L2" s="1265"/>
      <c r="M2" s="1265"/>
      <c r="N2" s="1265"/>
      <c r="O2" s="1265"/>
      <c r="P2" s="1265"/>
      <c r="Q2" s="1265"/>
      <c r="R2" s="1265"/>
      <c r="S2" s="1265"/>
      <c r="T2" s="1265"/>
      <c r="U2" s="1265"/>
      <c r="V2" s="1265"/>
      <c r="W2" s="1265"/>
      <c r="X2" s="1265"/>
      <c r="Y2" s="1266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255" t="s">
        <v>165</v>
      </c>
      <c r="C3" s="1256"/>
      <c r="D3" s="159">
        <f>H15</f>
        <v>0</v>
      </c>
      <c r="E3" s="160" t="s">
        <v>416</v>
      </c>
      <c r="F3" s="1267" t="s">
        <v>166</v>
      </c>
      <c r="G3" s="1256"/>
      <c r="H3" s="161"/>
      <c r="I3" s="162" t="s">
        <v>416</v>
      </c>
      <c r="J3" s="1268" t="s">
        <v>167</v>
      </c>
      <c r="K3" s="1256"/>
      <c r="L3" s="161"/>
      <c r="M3" s="160" t="s">
        <v>416</v>
      </c>
      <c r="N3" s="1267" t="s">
        <v>168</v>
      </c>
      <c r="O3" s="1256"/>
      <c r="P3" s="163"/>
      <c r="Q3" s="162">
        <v>113.292</v>
      </c>
      <c r="R3" s="1267" t="s">
        <v>169</v>
      </c>
      <c r="S3" s="1256"/>
      <c r="T3" s="159"/>
      <c r="U3" s="162">
        <v>113.292</v>
      </c>
      <c r="V3" s="164" t="s">
        <v>170</v>
      </c>
      <c r="W3" s="1269">
        <f>'Master Sheet'!H2</f>
        <v>46167</v>
      </c>
      <c r="X3" s="1270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245" t="s">
        <v>171</v>
      </c>
      <c r="C4" s="1257" t="s">
        <v>417</v>
      </c>
      <c r="D4" s="1257" t="s">
        <v>172</v>
      </c>
      <c r="E4" s="1257" t="s">
        <v>173</v>
      </c>
      <c r="F4" s="1258" t="s">
        <v>174</v>
      </c>
      <c r="G4" s="1259" t="s">
        <v>175</v>
      </c>
      <c r="H4" s="1271" t="s">
        <v>176</v>
      </c>
      <c r="I4" s="1274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246"/>
      <c r="C5" s="1246"/>
      <c r="D5" s="1246"/>
      <c r="E5" s="1246"/>
      <c r="F5" s="1246"/>
      <c r="G5" s="1246"/>
      <c r="H5" s="1272"/>
      <c r="I5" s="1246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275"/>
      <c r="W5" s="1251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239"/>
      <c r="C6" s="1239"/>
      <c r="D6" s="1239"/>
      <c r="E6" s="1239"/>
      <c r="F6" s="1239"/>
      <c r="G6" s="1239"/>
      <c r="H6" s="1273"/>
      <c r="I6" s="1246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249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250"/>
      <c r="W7" s="1251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22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252" t="s">
        <v>198</v>
      </c>
      <c r="W13" s="1251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253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260" t="s">
        <v>203</v>
      </c>
      <c r="C15" s="1165"/>
      <c r="D15" s="1165"/>
      <c r="E15" s="1165"/>
      <c r="F15" s="1165"/>
      <c r="G15" s="1166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254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247"/>
      <c r="C19" s="225">
        <v>411</v>
      </c>
      <c r="D19" s="1234"/>
      <c r="E19" s="226">
        <v>432</v>
      </c>
      <c r="F19" s="1234"/>
      <c r="G19" s="227">
        <v>408</v>
      </c>
      <c r="H19" s="1234"/>
      <c r="I19" s="228">
        <v>433</v>
      </c>
      <c r="J19" s="1234"/>
      <c r="K19" s="228">
        <v>409</v>
      </c>
      <c r="L19" s="1234"/>
      <c r="M19" s="228">
        <v>432</v>
      </c>
      <c r="N19" s="1234"/>
      <c r="O19" s="229">
        <v>375</v>
      </c>
      <c r="P19" s="1232"/>
      <c r="Q19" s="225">
        <v>414</v>
      </c>
      <c r="R19" s="1232"/>
      <c r="S19" s="225">
        <v>403</v>
      </c>
      <c r="T19" s="1232"/>
      <c r="U19" s="226">
        <v>406</v>
      </c>
      <c r="V19" s="1234"/>
      <c r="W19" s="228">
        <v>319</v>
      </c>
      <c r="X19" s="1234"/>
      <c r="Y19" s="230">
        <v>384</v>
      </c>
    </row>
    <row r="20" spans="1:27" ht="15.6" x14ac:dyDescent="0.3">
      <c r="A20" s="156"/>
      <c r="B20" s="1248"/>
      <c r="C20" s="221"/>
      <c r="D20" s="1226"/>
      <c r="E20" s="221"/>
      <c r="F20" s="1226"/>
      <c r="G20" s="231"/>
      <c r="H20" s="1226"/>
      <c r="I20" s="221"/>
      <c r="J20" s="1226"/>
      <c r="K20" s="221"/>
      <c r="L20" s="1226"/>
      <c r="M20" s="221"/>
      <c r="N20" s="1226"/>
      <c r="O20" s="221"/>
      <c r="P20" s="1228"/>
      <c r="Q20" s="221"/>
      <c r="R20" s="1228"/>
      <c r="S20" s="221"/>
      <c r="T20" s="1228"/>
      <c r="U20" s="221"/>
      <c r="V20" s="1226"/>
      <c r="W20" s="221"/>
      <c r="X20" s="1226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233"/>
      <c r="C25" s="226">
        <v>385</v>
      </c>
      <c r="D25" s="1231"/>
      <c r="E25" s="228">
        <v>409</v>
      </c>
      <c r="F25" s="1231"/>
      <c r="G25" s="240">
        <v>369</v>
      </c>
      <c r="H25" s="1231"/>
      <c r="I25" s="240">
        <v>350</v>
      </c>
      <c r="J25" s="1231"/>
      <c r="K25" s="225">
        <v>395</v>
      </c>
      <c r="L25" s="1234"/>
      <c r="M25" s="241">
        <v>412</v>
      </c>
      <c r="N25" s="1233"/>
      <c r="O25" s="242">
        <v>366</v>
      </c>
      <c r="P25" s="1233"/>
      <c r="Q25" s="243">
        <v>383</v>
      </c>
      <c r="R25" s="1231"/>
      <c r="S25" s="228">
        <v>300</v>
      </c>
      <c r="T25" s="1234"/>
      <c r="U25" s="244">
        <v>393</v>
      </c>
      <c r="V25" s="1231"/>
      <c r="W25" s="244">
        <v>414</v>
      </c>
      <c r="X25" s="1234"/>
      <c r="Y25" s="245">
        <v>412</v>
      </c>
    </row>
    <row r="26" spans="1:27" ht="15.6" x14ac:dyDescent="0.3">
      <c r="A26" s="156"/>
      <c r="B26" s="1228"/>
      <c r="C26" s="221"/>
      <c r="D26" s="1226"/>
      <c r="E26" s="221"/>
      <c r="F26" s="1226"/>
      <c r="G26" s="221"/>
      <c r="H26" s="1226"/>
      <c r="I26" s="179"/>
      <c r="J26" s="1226"/>
      <c r="K26" s="221"/>
      <c r="L26" s="1226"/>
      <c r="M26" s="231"/>
      <c r="N26" s="1228"/>
      <c r="O26" s="231"/>
      <c r="P26" s="1228"/>
      <c r="Q26" s="231"/>
      <c r="R26" s="1226"/>
      <c r="S26" s="231"/>
      <c r="T26" s="1226"/>
      <c r="U26" s="231"/>
      <c r="V26" s="1226"/>
      <c r="W26" s="231"/>
      <c r="X26" s="1226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232"/>
      <c r="C32" s="243">
        <v>377</v>
      </c>
      <c r="D32" s="1231"/>
      <c r="E32" s="244">
        <v>369</v>
      </c>
      <c r="F32" s="1231"/>
      <c r="G32" s="244">
        <v>369</v>
      </c>
      <c r="H32" s="1231"/>
      <c r="I32" s="244">
        <v>403</v>
      </c>
      <c r="J32" s="1231"/>
      <c r="K32" s="244">
        <v>374</v>
      </c>
      <c r="L32" s="1231"/>
      <c r="M32" s="244">
        <v>416</v>
      </c>
      <c r="N32" s="1231"/>
      <c r="O32" s="244">
        <v>424</v>
      </c>
      <c r="P32" s="1231"/>
      <c r="Q32" s="244">
        <v>401</v>
      </c>
      <c r="R32" s="1231"/>
      <c r="S32" s="228">
        <v>437</v>
      </c>
      <c r="T32" s="1231"/>
      <c r="U32" s="244">
        <v>369</v>
      </c>
      <c r="V32" s="1232"/>
      <c r="W32" s="255">
        <v>361</v>
      </c>
      <c r="X32" s="1232"/>
      <c r="Y32" s="256">
        <v>458</v>
      </c>
    </row>
    <row r="33" spans="1:27" ht="15.6" x14ac:dyDescent="0.3">
      <c r="A33" s="156"/>
      <c r="B33" s="1228"/>
      <c r="C33" s="231"/>
      <c r="D33" s="1226"/>
      <c r="E33" s="231"/>
      <c r="F33" s="1226"/>
      <c r="G33" s="231"/>
      <c r="H33" s="1226"/>
      <c r="I33" s="231"/>
      <c r="J33" s="1226"/>
      <c r="K33" s="221"/>
      <c r="L33" s="1226"/>
      <c r="M33" s="231"/>
      <c r="N33" s="1226"/>
      <c r="O33" s="231"/>
      <c r="P33" s="1226"/>
      <c r="Q33" s="221"/>
      <c r="R33" s="1226"/>
      <c r="S33" s="221"/>
      <c r="T33" s="1226"/>
      <c r="U33" s="221"/>
      <c r="V33" s="1228"/>
      <c r="W33" s="231"/>
      <c r="X33" s="122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232"/>
      <c r="C39" s="225">
        <v>355</v>
      </c>
      <c r="D39" s="1233"/>
      <c r="E39" s="225">
        <v>347</v>
      </c>
      <c r="F39" s="1232"/>
      <c r="G39" s="226">
        <v>430</v>
      </c>
      <c r="H39" s="1231"/>
      <c r="I39" s="244">
        <v>408</v>
      </c>
      <c r="J39" s="1231"/>
      <c r="K39" s="262">
        <v>402</v>
      </c>
      <c r="L39" s="1234"/>
      <c r="M39" s="228">
        <v>411</v>
      </c>
      <c r="N39" s="1234"/>
      <c r="O39" s="244">
        <v>397</v>
      </c>
      <c r="P39" s="1234"/>
      <c r="Q39" s="244">
        <v>404</v>
      </c>
      <c r="R39" s="1231"/>
      <c r="S39" s="255">
        <v>398</v>
      </c>
      <c r="T39" s="1231"/>
      <c r="U39" s="244">
        <v>430</v>
      </c>
      <c r="V39" s="1234"/>
      <c r="W39" s="244">
        <v>320</v>
      </c>
      <c r="X39" s="1231"/>
      <c r="Y39" s="230">
        <v>230</v>
      </c>
    </row>
    <row r="40" spans="1:27" ht="15.6" x14ac:dyDescent="0.3">
      <c r="A40" s="156"/>
      <c r="B40" s="1228"/>
      <c r="C40" s="231"/>
      <c r="D40" s="1228"/>
      <c r="E40" s="231"/>
      <c r="F40" s="1228"/>
      <c r="G40" s="231"/>
      <c r="H40" s="1226"/>
      <c r="I40" s="231"/>
      <c r="J40" s="1226"/>
      <c r="K40" s="231"/>
      <c r="L40" s="1226"/>
      <c r="M40" s="231"/>
      <c r="N40" s="1226"/>
      <c r="O40" s="231"/>
      <c r="P40" s="1226"/>
      <c r="Q40" s="221"/>
      <c r="R40" s="1226"/>
      <c r="S40" s="231"/>
      <c r="T40" s="1226"/>
      <c r="U40" s="221"/>
      <c r="V40" s="1226"/>
      <c r="W40" s="221"/>
      <c r="X40" s="1226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232"/>
      <c r="C46" s="242">
        <v>339</v>
      </c>
      <c r="D46" s="1232"/>
      <c r="E46" s="242">
        <v>365</v>
      </c>
      <c r="F46" s="1232"/>
      <c r="G46" s="243">
        <v>409</v>
      </c>
      <c r="H46" s="1231"/>
      <c r="I46" s="244">
        <v>343</v>
      </c>
      <c r="J46" s="1231"/>
      <c r="K46" s="255">
        <v>352</v>
      </c>
      <c r="L46" s="1232"/>
      <c r="M46" s="242">
        <v>419</v>
      </c>
      <c r="N46" s="1232"/>
      <c r="O46" s="266">
        <v>410</v>
      </c>
      <c r="P46" s="1238"/>
      <c r="Q46" s="242">
        <v>413</v>
      </c>
      <c r="R46" s="1232"/>
      <c r="S46" s="243">
        <v>407</v>
      </c>
      <c r="T46" s="1238"/>
      <c r="U46" s="243">
        <v>352</v>
      </c>
      <c r="V46" s="1238"/>
      <c r="W46" s="244">
        <v>405</v>
      </c>
      <c r="X46" s="1238"/>
      <c r="Y46" s="267">
        <v>393</v>
      </c>
    </row>
    <row r="47" spans="1:27" ht="15.6" x14ac:dyDescent="0.3">
      <c r="A47" s="156"/>
      <c r="B47" s="1228"/>
      <c r="C47" s="221"/>
      <c r="D47" s="1228"/>
      <c r="E47" s="221"/>
      <c r="F47" s="1228"/>
      <c r="G47" s="221"/>
      <c r="H47" s="1226"/>
      <c r="I47" s="221"/>
      <c r="J47" s="1226"/>
      <c r="K47" s="231"/>
      <c r="L47" s="1228"/>
      <c r="M47" s="221"/>
      <c r="N47" s="1228"/>
      <c r="O47" s="231"/>
      <c r="P47" s="1239"/>
      <c r="Q47" s="231"/>
      <c r="R47" s="1228"/>
      <c r="S47" s="231"/>
      <c r="T47" s="1239"/>
      <c r="U47" s="231"/>
      <c r="V47" s="1239"/>
      <c r="W47" s="231"/>
      <c r="X47" s="1239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232"/>
      <c r="C53" s="242">
        <v>439</v>
      </c>
      <c r="D53" s="1238"/>
      <c r="E53" s="243">
        <v>398</v>
      </c>
      <c r="F53" s="1232"/>
      <c r="G53" s="244">
        <v>445</v>
      </c>
      <c r="H53" s="1232"/>
      <c r="I53" s="228">
        <v>355</v>
      </c>
      <c r="J53" s="1231"/>
      <c r="K53" s="244">
        <v>447</v>
      </c>
      <c r="L53" s="1231"/>
      <c r="M53" s="270">
        <v>215</v>
      </c>
      <c r="N53" s="1231"/>
      <c r="O53" s="255">
        <v>498</v>
      </c>
      <c r="P53" s="1232"/>
      <c r="Q53" s="255">
        <v>325</v>
      </c>
      <c r="R53" s="1231"/>
      <c r="S53" s="228">
        <v>388</v>
      </c>
      <c r="T53" s="1231"/>
      <c r="U53" s="244">
        <v>381</v>
      </c>
      <c r="V53" s="1232"/>
      <c r="W53" s="240">
        <v>349</v>
      </c>
      <c r="X53" s="1232"/>
      <c r="Y53" s="256">
        <v>373</v>
      </c>
    </row>
    <row r="54" spans="1:25" ht="15.6" x14ac:dyDescent="0.3">
      <c r="A54" s="156"/>
      <c r="B54" s="1228"/>
      <c r="C54" s="231"/>
      <c r="D54" s="1239"/>
      <c r="E54" s="231"/>
      <c r="F54" s="1228"/>
      <c r="G54" s="231"/>
      <c r="H54" s="1228"/>
      <c r="I54" s="221"/>
      <c r="J54" s="1226"/>
      <c r="K54" s="271"/>
      <c r="L54" s="1226"/>
      <c r="M54" s="221"/>
      <c r="N54" s="1226"/>
      <c r="O54" s="221"/>
      <c r="P54" s="1228"/>
      <c r="Q54" s="221"/>
      <c r="R54" s="1226"/>
      <c r="S54" s="221"/>
      <c r="T54" s="1226"/>
      <c r="U54" s="221"/>
      <c r="V54" s="1228"/>
      <c r="W54" s="231"/>
      <c r="X54" s="122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232"/>
      <c r="C60" s="275">
        <v>386</v>
      </c>
      <c r="D60" s="1232"/>
      <c r="E60" s="275">
        <v>429</v>
      </c>
      <c r="F60" s="1231"/>
      <c r="G60" s="262">
        <v>377</v>
      </c>
      <c r="H60" s="1231"/>
      <c r="I60" s="262">
        <v>405</v>
      </c>
      <c r="J60" s="1231"/>
      <c r="K60" s="262">
        <v>425</v>
      </c>
      <c r="L60" s="1231"/>
      <c r="M60" s="276">
        <v>344</v>
      </c>
      <c r="N60" s="1231"/>
      <c r="O60" s="276">
        <v>399</v>
      </c>
      <c r="P60" s="1231"/>
      <c r="Q60" s="262">
        <v>439</v>
      </c>
      <c r="R60" s="1231"/>
      <c r="S60" s="277">
        <v>403</v>
      </c>
      <c r="T60" s="1231"/>
      <c r="U60" s="262">
        <v>480</v>
      </c>
      <c r="V60" s="1231"/>
      <c r="W60" s="262">
        <v>535</v>
      </c>
      <c r="X60" s="1231"/>
      <c r="Y60" s="245">
        <v>389</v>
      </c>
    </row>
    <row r="61" spans="1:25" ht="15.6" x14ac:dyDescent="0.3">
      <c r="A61" s="156"/>
      <c r="B61" s="1228"/>
      <c r="C61" s="231"/>
      <c r="D61" s="1228"/>
      <c r="E61" s="231"/>
      <c r="F61" s="1226"/>
      <c r="G61" s="231"/>
      <c r="H61" s="1226"/>
      <c r="I61" s="231"/>
      <c r="J61" s="1226"/>
      <c r="K61" s="231"/>
      <c r="L61" s="1226"/>
      <c r="M61" s="231"/>
      <c r="N61" s="1226"/>
      <c r="O61" s="231"/>
      <c r="P61" s="1226"/>
      <c r="Q61" s="231"/>
      <c r="R61" s="1226"/>
      <c r="S61" s="231"/>
      <c r="T61" s="1226"/>
      <c r="U61" s="219"/>
      <c r="V61" s="1226"/>
      <c r="W61" s="219"/>
      <c r="X61" s="1226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232"/>
      <c r="C67" s="242">
        <v>454</v>
      </c>
      <c r="D67" s="1243"/>
      <c r="E67" s="278">
        <v>247</v>
      </c>
      <c r="F67" s="1231"/>
      <c r="G67" s="244">
        <v>373</v>
      </c>
      <c r="H67" s="1231"/>
      <c r="I67" s="244">
        <v>401</v>
      </c>
      <c r="J67" s="1240"/>
      <c r="K67" s="255">
        <v>388</v>
      </c>
      <c r="L67" s="1244"/>
      <c r="M67" s="242">
        <v>328</v>
      </c>
      <c r="N67" s="1244"/>
      <c r="O67" s="279">
        <v>330</v>
      </c>
      <c r="P67" s="1231"/>
      <c r="Q67" s="242">
        <v>331</v>
      </c>
      <c r="R67" s="1231"/>
      <c r="S67" s="244">
        <v>361</v>
      </c>
      <c r="T67" s="1231"/>
      <c r="U67" s="244">
        <v>306</v>
      </c>
      <c r="V67" s="1231"/>
      <c r="W67" s="244">
        <v>336</v>
      </c>
      <c r="X67" s="1231"/>
      <c r="Y67" s="280">
        <v>278</v>
      </c>
    </row>
    <row r="68" spans="1:25" ht="15.6" x14ac:dyDescent="0.3">
      <c r="A68" s="156"/>
      <c r="B68" s="1228"/>
      <c r="C68" s="221"/>
      <c r="D68" s="1228"/>
      <c r="E68" s="221"/>
      <c r="F68" s="1226"/>
      <c r="G68" s="221"/>
      <c r="H68" s="1226"/>
      <c r="I68" s="221"/>
      <c r="J68" s="1226"/>
      <c r="K68" s="231"/>
      <c r="L68" s="1228"/>
      <c r="M68" s="221"/>
      <c r="N68" s="1228"/>
      <c r="O68" s="231"/>
      <c r="P68" s="1226"/>
      <c r="Q68" s="231"/>
      <c r="R68" s="1226"/>
      <c r="S68" s="231"/>
      <c r="T68" s="1226"/>
      <c r="U68" s="231"/>
      <c r="V68" s="1226"/>
      <c r="W68" s="231"/>
      <c r="X68" s="1226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232"/>
      <c r="C74" s="242">
        <v>439</v>
      </c>
      <c r="D74" s="1241"/>
      <c r="E74" s="243">
        <v>401</v>
      </c>
      <c r="F74" s="1241"/>
      <c r="G74" s="244">
        <v>350</v>
      </c>
      <c r="H74" s="1231"/>
      <c r="I74" s="244">
        <v>335</v>
      </c>
      <c r="J74" s="1231"/>
      <c r="K74" s="244">
        <v>314</v>
      </c>
      <c r="L74" s="1231"/>
      <c r="M74" s="244">
        <v>421</v>
      </c>
      <c r="N74" s="1231"/>
      <c r="O74" s="244">
        <v>466</v>
      </c>
      <c r="P74" s="1231"/>
      <c r="Q74" s="244">
        <v>352</v>
      </c>
      <c r="R74" s="1231"/>
      <c r="S74" s="244">
        <v>403</v>
      </c>
      <c r="T74" s="1231"/>
      <c r="U74" s="244">
        <v>373</v>
      </c>
      <c r="V74" s="1231"/>
      <c r="W74" s="255">
        <v>362</v>
      </c>
      <c r="X74" s="1231"/>
      <c r="Y74" s="256">
        <v>351</v>
      </c>
    </row>
    <row r="75" spans="1:25" ht="15.6" x14ac:dyDescent="0.3">
      <c r="A75" s="156"/>
      <c r="B75" s="1228"/>
      <c r="C75" s="231"/>
      <c r="D75" s="1242"/>
      <c r="E75" s="231"/>
      <c r="F75" s="1242"/>
      <c r="G75" s="231"/>
      <c r="H75" s="1226"/>
      <c r="I75" s="221"/>
      <c r="J75" s="1226"/>
      <c r="K75" s="221"/>
      <c r="L75" s="1226"/>
      <c r="M75" s="221"/>
      <c r="N75" s="1226"/>
      <c r="O75" s="221"/>
      <c r="P75" s="1226"/>
      <c r="Q75" s="221"/>
      <c r="R75" s="1226"/>
      <c r="S75" s="221"/>
      <c r="T75" s="1226"/>
      <c r="U75" s="221"/>
      <c r="V75" s="1226"/>
      <c r="W75" s="231"/>
      <c r="X75" s="1226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232"/>
      <c r="C81" s="242">
        <v>361</v>
      </c>
      <c r="D81" s="1241"/>
      <c r="E81" s="242">
        <v>375</v>
      </c>
      <c r="F81" s="1241"/>
      <c r="G81" s="255">
        <v>425</v>
      </c>
      <c r="H81" s="1232"/>
      <c r="I81" s="243">
        <v>429</v>
      </c>
      <c r="J81" s="1231"/>
      <c r="K81" s="244">
        <v>350</v>
      </c>
      <c r="L81" s="1231"/>
      <c r="M81" s="244">
        <v>483</v>
      </c>
      <c r="N81" s="1231"/>
      <c r="O81" s="244">
        <v>453</v>
      </c>
      <c r="P81" s="1231"/>
      <c r="Q81" s="244">
        <v>388</v>
      </c>
      <c r="R81" s="1231"/>
      <c r="S81" s="255">
        <v>317</v>
      </c>
      <c r="T81" s="1231"/>
      <c r="U81" s="244">
        <v>324</v>
      </c>
      <c r="V81" s="1240"/>
      <c r="W81" s="244">
        <v>485</v>
      </c>
      <c r="X81" s="1231"/>
      <c r="Y81" s="245">
        <v>249</v>
      </c>
    </row>
    <row r="82" spans="1:25" ht="15.6" x14ac:dyDescent="0.3">
      <c r="A82" s="156"/>
      <c r="B82" s="1228"/>
      <c r="C82" s="231"/>
      <c r="D82" s="1242"/>
      <c r="E82" s="231"/>
      <c r="F82" s="1242"/>
      <c r="G82" s="231"/>
      <c r="H82" s="1228"/>
      <c r="I82" s="231"/>
      <c r="J82" s="1226"/>
      <c r="K82" s="231"/>
      <c r="L82" s="1226"/>
      <c r="M82" s="231"/>
      <c r="N82" s="1226"/>
      <c r="O82" s="231"/>
      <c r="P82" s="1226"/>
      <c r="Q82" s="231"/>
      <c r="R82" s="1226"/>
      <c r="S82" s="231"/>
      <c r="T82" s="1226"/>
      <c r="U82" s="221"/>
      <c r="V82" s="1226"/>
      <c r="W82" s="221"/>
      <c r="X82" s="1226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232"/>
      <c r="C88" s="242">
        <v>429</v>
      </c>
      <c r="D88" s="1240"/>
      <c r="E88" s="243">
        <v>399</v>
      </c>
      <c r="F88" s="1231"/>
      <c r="G88" s="244">
        <v>435</v>
      </c>
      <c r="H88" s="1231"/>
      <c r="I88" s="244">
        <v>404</v>
      </c>
      <c r="J88" s="1232"/>
      <c r="K88" s="287">
        <v>374</v>
      </c>
      <c r="L88" s="1232"/>
      <c r="M88" s="278">
        <v>250</v>
      </c>
      <c r="N88" s="1231"/>
      <c r="O88" s="255">
        <v>398</v>
      </c>
      <c r="P88" s="1238"/>
      <c r="Q88" s="242">
        <v>364</v>
      </c>
      <c r="R88" s="1232"/>
      <c r="S88" s="244">
        <v>380</v>
      </c>
      <c r="T88" s="1231"/>
      <c r="U88" s="270">
        <v>459</v>
      </c>
      <c r="V88" s="1231"/>
      <c r="W88" s="244">
        <v>206</v>
      </c>
      <c r="X88" s="1231"/>
      <c r="Y88" s="280">
        <v>385</v>
      </c>
    </row>
    <row r="89" spans="1:25" ht="15.6" x14ac:dyDescent="0.3">
      <c r="A89" s="156"/>
      <c r="B89" s="1228"/>
      <c r="C89" s="221"/>
      <c r="D89" s="1226"/>
      <c r="E89" s="221"/>
      <c r="F89" s="1226"/>
      <c r="G89" s="221"/>
      <c r="H89" s="1226"/>
      <c r="I89" s="221"/>
      <c r="J89" s="1228"/>
      <c r="K89" s="231"/>
      <c r="L89" s="1228"/>
      <c r="M89" s="221"/>
      <c r="N89" s="1226"/>
      <c r="O89" s="231"/>
      <c r="P89" s="1239"/>
      <c r="Q89" s="231"/>
      <c r="R89" s="1228"/>
      <c r="S89" s="231"/>
      <c r="T89" s="1226"/>
      <c r="U89" s="231"/>
      <c r="V89" s="1226"/>
      <c r="W89" s="231"/>
      <c r="X89" s="1226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237"/>
      <c r="C95" s="291">
        <v>372</v>
      </c>
      <c r="D95" s="1232"/>
      <c r="E95" s="292">
        <v>384</v>
      </c>
      <c r="F95" s="1231"/>
      <c r="G95" s="293">
        <v>400</v>
      </c>
      <c r="H95" s="1231"/>
      <c r="I95" s="294">
        <v>386</v>
      </c>
      <c r="J95" s="1231"/>
      <c r="K95" s="294">
        <v>398</v>
      </c>
      <c r="L95" s="1231"/>
      <c r="M95" s="244">
        <v>393</v>
      </c>
      <c r="N95" s="1231"/>
      <c r="O95" s="243">
        <v>387</v>
      </c>
      <c r="P95" s="1231"/>
      <c r="Q95" s="244">
        <v>378</v>
      </c>
      <c r="R95" s="1231"/>
      <c r="S95" s="244">
        <v>410</v>
      </c>
      <c r="T95" s="1231"/>
      <c r="U95" s="244">
        <v>368</v>
      </c>
      <c r="V95" s="1231"/>
      <c r="W95" s="255">
        <v>396</v>
      </c>
      <c r="X95" s="1231"/>
      <c r="Y95" s="295">
        <v>395</v>
      </c>
    </row>
    <row r="96" spans="1:25" ht="15.6" x14ac:dyDescent="0.3">
      <c r="A96" s="156"/>
      <c r="B96" s="1228"/>
      <c r="C96" s="296"/>
      <c r="D96" s="1228"/>
      <c r="E96" s="257"/>
      <c r="F96" s="1226"/>
      <c r="G96" s="296"/>
      <c r="H96" s="1226"/>
      <c r="I96" s="257"/>
      <c r="J96" s="1226"/>
      <c r="K96" s="257"/>
      <c r="L96" s="1226"/>
      <c r="M96" s="221"/>
      <c r="N96" s="1226"/>
      <c r="O96" s="221"/>
      <c r="P96" s="1226"/>
      <c r="Q96" s="221"/>
      <c r="R96" s="1226"/>
      <c r="S96" s="221"/>
      <c r="T96" s="1226"/>
      <c r="U96" s="221"/>
      <c r="V96" s="1226"/>
      <c r="W96" s="231"/>
      <c r="X96" s="1226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232"/>
      <c r="C103" s="242">
        <v>414</v>
      </c>
      <c r="D103" s="1233"/>
      <c r="E103" s="242">
        <v>350</v>
      </c>
      <c r="F103" s="1234"/>
      <c r="G103" s="244">
        <v>356</v>
      </c>
      <c r="H103" s="1234"/>
      <c r="I103" s="244">
        <v>460</v>
      </c>
      <c r="J103" s="1234"/>
      <c r="K103" s="244">
        <v>379</v>
      </c>
      <c r="L103" s="1234"/>
      <c r="M103" s="244">
        <v>383</v>
      </c>
      <c r="N103" s="1234"/>
      <c r="O103" s="270">
        <v>400</v>
      </c>
      <c r="P103" s="1234"/>
      <c r="Q103" s="244">
        <v>421</v>
      </c>
      <c r="R103" s="1231"/>
      <c r="S103" s="255">
        <v>323</v>
      </c>
      <c r="T103" s="1232"/>
      <c r="U103" s="244">
        <v>312</v>
      </c>
      <c r="V103" s="1231"/>
      <c r="W103" s="270">
        <v>360</v>
      </c>
      <c r="X103" s="1231"/>
      <c r="Y103" s="245">
        <v>301</v>
      </c>
    </row>
    <row r="104" spans="1:27" ht="15.6" x14ac:dyDescent="0.3">
      <c r="A104" s="156"/>
      <c r="B104" s="1228"/>
      <c r="C104" s="231"/>
      <c r="D104" s="1228"/>
      <c r="E104" s="231"/>
      <c r="F104" s="1226"/>
      <c r="G104" s="231"/>
      <c r="H104" s="1226"/>
      <c r="I104" s="231"/>
      <c r="J104" s="1226"/>
      <c r="K104" s="231"/>
      <c r="L104" s="1226"/>
      <c r="M104" s="231"/>
      <c r="N104" s="1226"/>
      <c r="O104" s="231"/>
      <c r="P104" s="1226"/>
      <c r="Q104" s="231"/>
      <c r="R104" s="1226"/>
      <c r="S104" s="231"/>
      <c r="T104" s="1228"/>
      <c r="U104" s="221"/>
      <c r="V104" s="1226"/>
      <c r="W104" s="221"/>
      <c r="X104" s="1226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232"/>
      <c r="C110" s="242">
        <v>379</v>
      </c>
      <c r="D110" s="1232"/>
      <c r="E110" s="243">
        <v>394</v>
      </c>
      <c r="F110" s="1231"/>
      <c r="G110" s="244">
        <v>410</v>
      </c>
      <c r="H110" s="1235"/>
      <c r="I110" s="244">
        <v>404</v>
      </c>
      <c r="J110" s="1231"/>
      <c r="K110" s="255">
        <v>436</v>
      </c>
      <c r="L110" s="1231"/>
      <c r="M110" s="242">
        <v>437</v>
      </c>
      <c r="N110" s="1236"/>
      <c r="O110" s="266">
        <v>406</v>
      </c>
      <c r="P110" s="1233"/>
      <c r="Q110" s="242">
        <v>438</v>
      </c>
      <c r="R110" s="1232"/>
      <c r="S110" s="243">
        <v>412</v>
      </c>
      <c r="T110" s="1232"/>
      <c r="U110" s="244">
        <v>413</v>
      </c>
      <c r="V110" s="1232"/>
      <c r="W110" s="244">
        <v>328</v>
      </c>
      <c r="X110" s="1232"/>
      <c r="Y110" s="303">
        <v>385</v>
      </c>
    </row>
    <row r="111" spans="1:27" ht="15.6" x14ac:dyDescent="0.3">
      <c r="A111" s="156"/>
      <c r="B111" s="1228"/>
      <c r="C111" s="221"/>
      <c r="D111" s="1228"/>
      <c r="E111" s="221"/>
      <c r="F111" s="1226"/>
      <c r="G111" s="221"/>
      <c r="H111" s="1226"/>
      <c r="I111" s="221"/>
      <c r="J111" s="1226"/>
      <c r="K111" s="231"/>
      <c r="L111" s="1226"/>
      <c r="M111" s="221"/>
      <c r="N111" s="1226"/>
      <c r="O111" s="304"/>
      <c r="P111" s="1228"/>
      <c r="Q111" s="231"/>
      <c r="R111" s="1228"/>
      <c r="S111" s="231"/>
      <c r="T111" s="1228"/>
      <c r="U111" s="231"/>
      <c r="V111" s="1228"/>
      <c r="W111" s="231"/>
      <c r="X111" s="122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232"/>
      <c r="C117" s="242">
        <v>415</v>
      </c>
      <c r="D117" s="1233"/>
      <c r="E117" s="243">
        <v>394</v>
      </c>
      <c r="F117" s="1232"/>
      <c r="G117" s="255">
        <v>362</v>
      </c>
      <c r="H117" s="1231"/>
      <c r="I117" s="244">
        <v>386</v>
      </c>
      <c r="J117" s="1234"/>
      <c r="K117" s="244">
        <v>425</v>
      </c>
      <c r="L117" s="1231"/>
      <c r="M117" s="244">
        <v>412</v>
      </c>
      <c r="N117" s="1231"/>
      <c r="O117" s="244">
        <v>337</v>
      </c>
      <c r="P117" s="1231"/>
      <c r="Q117" s="255">
        <v>323</v>
      </c>
      <c r="R117" s="1232"/>
      <c r="S117" s="255">
        <v>329</v>
      </c>
      <c r="T117" s="1231"/>
      <c r="U117" s="244">
        <v>315</v>
      </c>
      <c r="V117" s="1231"/>
      <c r="W117" s="255">
        <v>465</v>
      </c>
      <c r="X117" s="1232"/>
      <c r="Y117" s="256">
        <v>374</v>
      </c>
    </row>
    <row r="118" spans="1:25" ht="15.6" x14ac:dyDescent="0.3">
      <c r="A118" s="156"/>
      <c r="B118" s="1228"/>
      <c r="C118" s="231"/>
      <c r="D118" s="1228"/>
      <c r="E118" s="231"/>
      <c r="F118" s="1228"/>
      <c r="G118" s="231"/>
      <c r="H118" s="1226"/>
      <c r="I118" s="221"/>
      <c r="J118" s="1226"/>
      <c r="K118" s="221"/>
      <c r="L118" s="1226"/>
      <c r="M118" s="221"/>
      <c r="N118" s="1226"/>
      <c r="O118" s="221"/>
      <c r="P118" s="1226"/>
      <c r="Q118" s="221"/>
      <c r="R118" s="1228"/>
      <c r="S118" s="221"/>
      <c r="T118" s="1226"/>
      <c r="U118" s="221"/>
      <c r="V118" s="1226"/>
      <c r="W118" s="231"/>
      <c r="X118" s="122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232"/>
      <c r="C124" s="242">
        <v>400</v>
      </c>
      <c r="D124" s="1233"/>
      <c r="E124" s="243">
        <v>359</v>
      </c>
      <c r="F124" s="1232"/>
      <c r="G124" s="255">
        <v>468</v>
      </c>
      <c r="H124" s="1231"/>
      <c r="I124" s="244">
        <v>287</v>
      </c>
      <c r="J124" s="1234"/>
      <c r="K124" s="244">
        <v>416</v>
      </c>
      <c r="L124" s="1231"/>
      <c r="M124" s="244">
        <v>352</v>
      </c>
      <c r="N124" s="1231"/>
      <c r="O124" s="244">
        <v>361</v>
      </c>
      <c r="P124" s="1231"/>
      <c r="Q124" s="255">
        <v>426</v>
      </c>
      <c r="R124" s="1232"/>
      <c r="S124" s="255">
        <v>394</v>
      </c>
      <c r="T124" s="1231"/>
      <c r="U124" s="244">
        <v>384</v>
      </c>
      <c r="V124" s="1231"/>
      <c r="W124" s="255">
        <v>414</v>
      </c>
      <c r="X124" s="1232"/>
      <c r="Y124" s="256">
        <v>480</v>
      </c>
    </row>
    <row r="125" spans="1:25" ht="15.6" x14ac:dyDescent="0.3">
      <c r="A125" s="156"/>
      <c r="B125" s="1228"/>
      <c r="C125" s="231"/>
      <c r="D125" s="1228"/>
      <c r="E125" s="231"/>
      <c r="F125" s="1228"/>
      <c r="G125" s="231"/>
      <c r="H125" s="1226"/>
      <c r="I125" s="221"/>
      <c r="J125" s="1226"/>
      <c r="K125" s="221"/>
      <c r="L125" s="1226"/>
      <c r="M125" s="221"/>
      <c r="N125" s="1226"/>
      <c r="O125" s="221"/>
      <c r="P125" s="1226"/>
      <c r="Q125" s="221"/>
      <c r="R125" s="1228"/>
      <c r="S125" s="221"/>
      <c r="T125" s="1226"/>
      <c r="U125" s="221"/>
      <c r="V125" s="1226"/>
      <c r="W125" s="231"/>
      <c r="X125" s="122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232"/>
      <c r="C131" s="242">
        <v>395</v>
      </c>
      <c r="D131" s="1233"/>
      <c r="E131" s="243">
        <v>329</v>
      </c>
      <c r="F131" s="1232"/>
      <c r="G131" s="255">
        <v>418</v>
      </c>
      <c r="H131" s="1231"/>
      <c r="I131" s="244">
        <v>467</v>
      </c>
      <c r="J131" s="1234"/>
      <c r="K131" s="244">
        <v>443</v>
      </c>
      <c r="L131" s="1231"/>
      <c r="M131" s="244">
        <v>311</v>
      </c>
      <c r="N131" s="1231"/>
      <c r="O131" s="244">
        <v>479</v>
      </c>
      <c r="P131" s="1231"/>
      <c r="Q131" s="255">
        <v>321</v>
      </c>
      <c r="R131" s="1232"/>
      <c r="S131" s="255">
        <v>506</v>
      </c>
      <c r="T131" s="1231"/>
      <c r="U131" s="244">
        <v>421</v>
      </c>
      <c r="V131" s="1231"/>
      <c r="W131" s="255">
        <v>421</v>
      </c>
      <c r="X131" s="1232"/>
      <c r="Y131" s="256">
        <v>406</v>
      </c>
    </row>
    <row r="132" spans="1:32" ht="15.6" x14ac:dyDescent="0.3">
      <c r="A132" s="156"/>
      <c r="B132" s="1228"/>
      <c r="C132" s="231"/>
      <c r="D132" s="1228"/>
      <c r="E132" s="231"/>
      <c r="F132" s="1228"/>
      <c r="G132" s="231"/>
      <c r="H132" s="1226"/>
      <c r="I132" s="221"/>
      <c r="J132" s="1226"/>
      <c r="K132" s="221"/>
      <c r="L132" s="1226"/>
      <c r="M132" s="221"/>
      <c r="N132" s="1226"/>
      <c r="O132" s="221"/>
      <c r="P132" s="1226"/>
      <c r="Q132" s="221"/>
      <c r="R132" s="1228"/>
      <c r="S132" s="221"/>
      <c r="T132" s="1226"/>
      <c r="U132" s="221"/>
      <c r="V132" s="1226"/>
      <c r="W132" s="231"/>
      <c r="X132" s="122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227"/>
      <c r="C138" s="311">
        <v>435</v>
      </c>
      <c r="D138" s="1229"/>
      <c r="E138" s="312">
        <v>533</v>
      </c>
      <c r="F138" s="1227"/>
      <c r="G138" s="313">
        <v>265</v>
      </c>
      <c r="H138" s="1225"/>
      <c r="I138" s="314">
        <v>484</v>
      </c>
      <c r="J138" s="1230"/>
      <c r="K138" s="314">
        <v>611</v>
      </c>
      <c r="L138" s="1225"/>
      <c r="M138" s="314">
        <v>367</v>
      </c>
      <c r="N138" s="1225"/>
      <c r="O138" s="314">
        <v>469</v>
      </c>
      <c r="P138" s="1225"/>
      <c r="Q138" s="313">
        <v>371</v>
      </c>
      <c r="R138" s="1227"/>
      <c r="S138" s="313">
        <v>370</v>
      </c>
      <c r="T138" s="1225"/>
      <c r="U138" s="314">
        <v>327</v>
      </c>
      <c r="V138" s="1225"/>
      <c r="W138" s="313">
        <v>318</v>
      </c>
      <c r="X138" s="1227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228"/>
      <c r="C139" s="308"/>
      <c r="D139" s="1228"/>
      <c r="E139" s="308"/>
      <c r="F139" s="1228"/>
      <c r="G139" s="308"/>
      <c r="H139" s="1226"/>
      <c r="I139" s="316"/>
      <c r="J139" s="1226"/>
      <c r="K139" s="316"/>
      <c r="L139" s="1226"/>
      <c r="M139" s="316"/>
      <c r="N139" s="1226"/>
      <c r="O139" s="316"/>
      <c r="P139" s="1226"/>
      <c r="Q139" s="316"/>
      <c r="R139" s="1228"/>
      <c r="S139" s="316"/>
      <c r="T139" s="1226"/>
      <c r="U139" s="316"/>
      <c r="V139" s="1226"/>
      <c r="W139" s="308"/>
      <c r="X139" s="122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227"/>
      <c r="C144" s="311">
        <v>396</v>
      </c>
      <c r="D144" s="1229"/>
      <c r="E144" s="312">
        <v>377</v>
      </c>
      <c r="F144" s="1227"/>
      <c r="G144" s="313">
        <v>398</v>
      </c>
      <c r="H144" s="1225"/>
      <c r="I144" s="314">
        <v>393</v>
      </c>
      <c r="J144" s="1230"/>
      <c r="K144" s="314">
        <v>374</v>
      </c>
      <c r="L144" s="1225"/>
      <c r="M144" s="314">
        <v>363</v>
      </c>
      <c r="N144" s="1225"/>
      <c r="O144" s="314">
        <v>349</v>
      </c>
      <c r="P144" s="1225"/>
      <c r="Q144" s="313">
        <v>386</v>
      </c>
      <c r="R144" s="1227"/>
      <c r="S144" s="313">
        <v>390</v>
      </c>
      <c r="T144" s="1225"/>
      <c r="U144" s="314">
        <v>417</v>
      </c>
      <c r="V144" s="1225"/>
      <c r="W144" s="313">
        <v>423</v>
      </c>
      <c r="X144" s="1227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228"/>
      <c r="C145" s="308"/>
      <c r="D145" s="1228"/>
      <c r="E145" s="308"/>
      <c r="F145" s="1228"/>
      <c r="G145" s="308"/>
      <c r="H145" s="1226"/>
      <c r="I145" s="316"/>
      <c r="J145" s="1226"/>
      <c r="K145" s="316"/>
      <c r="L145" s="1226"/>
      <c r="M145" s="316"/>
      <c r="N145" s="1226"/>
      <c r="O145" s="316"/>
      <c r="P145" s="1226"/>
      <c r="Q145" s="316"/>
      <c r="R145" s="1228"/>
      <c r="S145" s="316"/>
      <c r="T145" s="1226"/>
      <c r="U145" s="316"/>
      <c r="V145" s="1226"/>
      <c r="W145" s="308"/>
      <c r="X145" s="122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227"/>
      <c r="C150" s="311">
        <v>365</v>
      </c>
      <c r="D150" s="1229"/>
      <c r="E150" s="312">
        <v>403</v>
      </c>
      <c r="F150" s="1227"/>
      <c r="G150" s="313">
        <v>382</v>
      </c>
      <c r="H150" s="1225"/>
      <c r="I150" s="314">
        <v>395</v>
      </c>
      <c r="J150" s="1230"/>
      <c r="K150" s="314">
        <v>385</v>
      </c>
      <c r="L150" s="1225"/>
      <c r="M150" s="314">
        <v>381</v>
      </c>
      <c r="N150" s="1225"/>
      <c r="O150" s="314">
        <v>395</v>
      </c>
      <c r="P150" s="1225"/>
      <c r="Q150" s="313">
        <v>403</v>
      </c>
      <c r="R150" s="1227"/>
      <c r="S150" s="313">
        <v>383</v>
      </c>
      <c r="T150" s="1225"/>
      <c r="U150" s="314">
        <v>386</v>
      </c>
      <c r="V150" s="1225"/>
      <c r="W150" s="313">
        <v>397</v>
      </c>
      <c r="X150" s="1227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228"/>
      <c r="C151" s="308"/>
      <c r="D151" s="1228"/>
      <c r="E151" s="308"/>
      <c r="F151" s="1228"/>
      <c r="G151" s="308"/>
      <c r="H151" s="1226"/>
      <c r="I151" s="316"/>
      <c r="J151" s="1226"/>
      <c r="K151" s="316"/>
      <c r="L151" s="1226"/>
      <c r="M151" s="316"/>
      <c r="N151" s="1226"/>
      <c r="O151" s="316"/>
      <c r="P151" s="1226"/>
      <c r="Q151" s="316"/>
      <c r="R151" s="1228"/>
      <c r="S151" s="316"/>
      <c r="T151" s="1226"/>
      <c r="U151" s="316"/>
      <c r="V151" s="1226"/>
      <c r="W151" s="308"/>
      <c r="X151" s="122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227"/>
      <c r="C156" s="311">
        <v>422</v>
      </c>
      <c r="D156" s="1229"/>
      <c r="E156" s="312">
        <v>417</v>
      </c>
      <c r="F156" s="1227"/>
      <c r="G156" s="313">
        <v>400</v>
      </c>
      <c r="H156" s="1225"/>
      <c r="I156" s="314">
        <v>421</v>
      </c>
      <c r="J156" s="1230"/>
      <c r="K156" s="314">
        <v>419</v>
      </c>
      <c r="L156" s="1225"/>
      <c r="M156" s="314">
        <v>402</v>
      </c>
      <c r="N156" s="1225"/>
      <c r="O156" s="314">
        <v>402</v>
      </c>
      <c r="P156" s="1225"/>
      <c r="Q156" s="313">
        <v>411</v>
      </c>
      <c r="R156" s="1227"/>
      <c r="S156" s="313">
        <v>355</v>
      </c>
      <c r="T156" s="1225"/>
      <c r="U156" s="314">
        <v>390</v>
      </c>
      <c r="V156" s="1225"/>
      <c r="W156" s="313">
        <v>380</v>
      </c>
      <c r="X156" s="1227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228"/>
      <c r="C157" s="308"/>
      <c r="D157" s="1228"/>
      <c r="E157" s="308"/>
      <c r="F157" s="1228"/>
      <c r="G157" s="308"/>
      <c r="H157" s="1226"/>
      <c r="I157" s="316"/>
      <c r="J157" s="1226"/>
      <c r="K157" s="316"/>
      <c r="L157" s="1226"/>
      <c r="M157" s="316"/>
      <c r="N157" s="1226"/>
      <c r="O157" s="316"/>
      <c r="P157" s="1226"/>
      <c r="Q157" s="316"/>
      <c r="R157" s="1228"/>
      <c r="S157" s="316"/>
      <c r="T157" s="1226"/>
      <c r="U157" s="316"/>
      <c r="V157" s="1226"/>
      <c r="W157" s="308"/>
      <c r="X157" s="122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227"/>
      <c r="C162" s="311">
        <v>422</v>
      </c>
      <c r="D162" s="1229"/>
      <c r="E162" s="312">
        <v>417</v>
      </c>
      <c r="F162" s="1227"/>
      <c r="G162" s="313">
        <v>400</v>
      </c>
      <c r="H162" s="1225"/>
      <c r="I162" s="314">
        <v>421</v>
      </c>
      <c r="J162" s="1230"/>
      <c r="K162" s="314">
        <v>419</v>
      </c>
      <c r="L162" s="1225"/>
      <c r="M162" s="314">
        <v>402</v>
      </c>
      <c r="N162" s="1225"/>
      <c r="O162" s="314">
        <v>402</v>
      </c>
      <c r="P162" s="1225"/>
      <c r="Q162" s="313">
        <v>411</v>
      </c>
      <c r="R162" s="1227"/>
      <c r="S162" s="313">
        <v>355</v>
      </c>
      <c r="T162" s="1225"/>
      <c r="U162" s="314">
        <v>390</v>
      </c>
      <c r="V162" s="1225"/>
      <c r="W162" s="313">
        <v>380</v>
      </c>
      <c r="X162" s="1227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228"/>
      <c r="C163" s="308"/>
      <c r="D163" s="1228"/>
      <c r="E163" s="308"/>
      <c r="F163" s="1228"/>
      <c r="G163" s="308"/>
      <c r="H163" s="1226"/>
      <c r="I163" s="316"/>
      <c r="J163" s="1226"/>
      <c r="K163" s="316"/>
      <c r="L163" s="1226"/>
      <c r="M163" s="316"/>
      <c r="N163" s="1226"/>
      <c r="O163" s="316"/>
      <c r="P163" s="1226"/>
      <c r="Q163" s="316"/>
      <c r="R163" s="1228"/>
      <c r="S163" s="316"/>
      <c r="T163" s="1226"/>
      <c r="U163" s="316"/>
      <c r="V163" s="1226"/>
      <c r="W163" s="308"/>
      <c r="X163" s="122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4" zoomScaleNormal="100" workbookViewId="0">
      <selection activeCell="O18" sqref="O1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78"/>
      <c r="C2" s="492" t="s">
        <v>0</v>
      </c>
      <c r="D2" s="1279" t="s">
        <v>1</v>
      </c>
      <c r="E2" s="1165"/>
      <c r="F2" s="1166"/>
      <c r="G2" s="3" t="s">
        <v>2</v>
      </c>
      <c r="H2" s="444">
        <v>46167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46"/>
      <c r="C3" s="492" t="s">
        <v>5</v>
      </c>
      <c r="D3" s="1280" t="s">
        <v>6</v>
      </c>
      <c r="E3" s="1165"/>
      <c r="F3" s="1166"/>
      <c r="G3" s="3" t="s">
        <v>7</v>
      </c>
      <c r="H3" s="4" t="s">
        <v>8</v>
      </c>
      <c r="I3" s="3" t="s">
        <v>9</v>
      </c>
      <c r="J3" s="5" t="s">
        <v>772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46"/>
      <c r="C4" s="492" t="s">
        <v>10</v>
      </c>
      <c r="D4" s="1280" t="s">
        <v>11</v>
      </c>
      <c r="E4" s="1165"/>
      <c r="F4" s="116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39"/>
      <c r="C5" s="492" t="s">
        <v>16</v>
      </c>
      <c r="D5" s="1280" t="s">
        <v>17</v>
      </c>
      <c r="E5" s="1165"/>
      <c r="F5" s="1166"/>
      <c r="G5" s="3" t="s">
        <v>18</v>
      </c>
      <c r="H5" s="4" t="s">
        <v>948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1" t="s">
        <v>21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3"/>
      <c r="N8" s="2"/>
      <c r="P8" s="649"/>
      <c r="Q8" s="649"/>
      <c r="R8" s="649"/>
      <c r="S8" s="1"/>
      <c r="T8" s="1"/>
      <c r="U8" s="1"/>
      <c r="V8" s="1"/>
      <c r="W8" s="1"/>
      <c r="X8" s="1"/>
    </row>
    <row r="9" spans="1:24" ht="99" customHeight="1" x14ac:dyDescent="0.3">
      <c r="A9" s="1"/>
      <c r="B9" s="7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96" t="s">
        <v>34</v>
      </c>
      <c r="C10" s="786" t="s">
        <v>35</v>
      </c>
      <c r="D10" s="787">
        <v>113.286</v>
      </c>
      <c r="E10" s="788">
        <v>113.286</v>
      </c>
      <c r="F10" s="788">
        <v>113.286</v>
      </c>
      <c r="G10" s="788">
        <v>113.286</v>
      </c>
      <c r="H10" s="787">
        <v>0</v>
      </c>
      <c r="I10" s="787">
        <v>0</v>
      </c>
      <c r="J10" s="787">
        <v>0</v>
      </c>
      <c r="K10" s="790">
        <v>0</v>
      </c>
      <c r="L10" s="789">
        <v>113.286</v>
      </c>
      <c r="M10" s="80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97" t="s">
        <v>36</v>
      </c>
      <c r="C11" s="798" t="s">
        <v>35</v>
      </c>
      <c r="D11" s="799">
        <v>113.286</v>
      </c>
      <c r="E11" s="800">
        <v>113.286</v>
      </c>
      <c r="F11" s="801">
        <v>113.286</v>
      </c>
      <c r="G11" s="801">
        <v>113.26600000000001</v>
      </c>
      <c r="H11" s="799">
        <f>E11-F11</f>
        <v>0</v>
      </c>
      <c r="I11" s="799">
        <v>0.39800000000000002</v>
      </c>
      <c r="J11" s="799">
        <v>0.4</v>
      </c>
      <c r="K11" s="811">
        <v>0</v>
      </c>
      <c r="L11" s="801">
        <v>112.26600000000001</v>
      </c>
      <c r="M11" s="80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5" t="s">
        <v>80</v>
      </c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7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5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851">
        <v>0</v>
      </c>
      <c r="I16" s="451">
        <v>9</v>
      </c>
      <c r="J16" s="450">
        <v>277</v>
      </c>
      <c r="K16" s="481">
        <f>E16+I16</f>
        <v>122</v>
      </c>
      <c r="L16" s="450">
        <f>292-K16</f>
        <v>170</v>
      </c>
      <c r="M16" s="583">
        <v>8</v>
      </c>
      <c r="N16" s="583">
        <v>6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851">
        <v>0</v>
      </c>
      <c r="I17" s="451">
        <v>10</v>
      </c>
      <c r="J17" s="450">
        <f>J16</f>
        <v>277</v>
      </c>
      <c r="K17" s="481">
        <f>E17+I17</f>
        <v>99</v>
      </c>
      <c r="L17" s="581">
        <f t="shared" ref="L17:L25" si="0">C17-K17</f>
        <v>193</v>
      </c>
      <c r="M17" s="582"/>
      <c r="N17" s="582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1">
        <v>0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5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5" t="s">
        <v>686</v>
      </c>
      <c r="C27" s="666" t="s">
        <v>682</v>
      </c>
      <c r="D27" s="667" t="s">
        <v>683</v>
      </c>
      <c r="E27" s="668" t="s">
        <v>684</v>
      </c>
      <c r="F27" s="666" t="s">
        <v>685</v>
      </c>
      <c r="G27" s="669" t="s">
        <v>687</v>
      </c>
      <c r="H27" s="366"/>
      <c r="I27" s="480"/>
      <c r="J27" s="480"/>
      <c r="K27" s="1007" t="s">
        <v>946</v>
      </c>
      <c r="L27" s="1008" t="s">
        <v>99</v>
      </c>
      <c r="M27" s="1009" t="s">
        <v>687</v>
      </c>
      <c r="N27" s="855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7"/>
      <c r="B28" s="1045" t="s">
        <v>419</v>
      </c>
      <c r="C28" s="1043" t="s">
        <v>949</v>
      </c>
      <c r="D28" s="1043" t="s">
        <v>949</v>
      </c>
      <c r="E28" s="1043" t="s">
        <v>949</v>
      </c>
      <c r="F28" s="1043" t="s">
        <v>949</v>
      </c>
      <c r="G28" s="1044" t="s">
        <v>784</v>
      </c>
      <c r="H28" s="366"/>
      <c r="I28" s="480"/>
      <c r="J28" s="480"/>
      <c r="K28" s="1010" t="s">
        <v>434</v>
      </c>
      <c r="L28" s="1010" t="s">
        <v>990</v>
      </c>
      <c r="M28" s="1018" t="s">
        <v>671</v>
      </c>
      <c r="N28" s="855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7"/>
      <c r="B29" s="849" t="s">
        <v>420</v>
      </c>
      <c r="C29" s="849" t="s">
        <v>986</v>
      </c>
      <c r="D29" s="849" t="s">
        <v>986</v>
      </c>
      <c r="E29" s="849" t="s">
        <v>986</v>
      </c>
      <c r="F29" s="849" t="s">
        <v>986</v>
      </c>
      <c r="G29" s="853" t="s">
        <v>952</v>
      </c>
      <c r="H29" s="366"/>
      <c r="I29" s="480"/>
      <c r="J29" s="480"/>
      <c r="K29" s="808"/>
      <c r="L29" s="808"/>
      <c r="M29" s="1038"/>
      <c r="N29" s="808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7"/>
      <c r="B30" s="849" t="s">
        <v>220</v>
      </c>
      <c r="C30" s="849" t="s">
        <v>986</v>
      </c>
      <c r="D30" s="849" t="s">
        <v>986</v>
      </c>
      <c r="E30" s="849" t="s">
        <v>986</v>
      </c>
      <c r="F30" s="849" t="s">
        <v>986</v>
      </c>
      <c r="G30" s="853" t="s">
        <v>952</v>
      </c>
      <c r="H30" s="366"/>
      <c r="I30" s="480"/>
      <c r="J30" s="480"/>
      <c r="K30" s="808"/>
      <c r="L30" s="808"/>
      <c r="M30" s="1038"/>
      <c r="N30" s="808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49" t="s">
        <v>429</v>
      </c>
      <c r="C31" s="849" t="s">
        <v>789</v>
      </c>
      <c r="D31" s="849" t="s">
        <v>789</v>
      </c>
      <c r="E31" s="849" t="s">
        <v>789</v>
      </c>
      <c r="F31" s="849" t="s">
        <v>789</v>
      </c>
      <c r="G31" s="853" t="s">
        <v>951</v>
      </c>
      <c r="H31" s="366"/>
      <c r="I31" s="480"/>
      <c r="J31" s="480"/>
      <c r="K31" s="808"/>
      <c r="L31" s="808"/>
      <c r="M31" s="808"/>
      <c r="N31" s="808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7"/>
      <c r="B32" s="849" t="s">
        <v>262</v>
      </c>
      <c r="C32" s="849" t="s">
        <v>987</v>
      </c>
      <c r="D32" s="849" t="s">
        <v>987</v>
      </c>
      <c r="E32" s="849" t="s">
        <v>987</v>
      </c>
      <c r="F32" s="849" t="s">
        <v>987</v>
      </c>
      <c r="G32" s="853" t="s">
        <v>959</v>
      </c>
      <c r="H32" s="366"/>
      <c r="I32" s="480"/>
      <c r="J32" s="480"/>
      <c r="K32" s="808"/>
      <c r="L32" s="808"/>
      <c r="M32" s="808"/>
      <c r="N32" s="808"/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67"/>
      <c r="B33" s="849" t="s">
        <v>267</v>
      </c>
      <c r="C33" s="849" t="s">
        <v>949</v>
      </c>
      <c r="D33" s="849" t="s">
        <v>949</v>
      </c>
      <c r="E33" s="849" t="s">
        <v>949</v>
      </c>
      <c r="F33" s="849" t="s">
        <v>949</v>
      </c>
      <c r="G33" s="853" t="s">
        <v>959</v>
      </c>
      <c r="H33" s="366"/>
      <c r="I33" s="480"/>
      <c r="J33" s="480"/>
      <c r="K33" s="808"/>
      <c r="L33" s="808"/>
      <c r="M33" s="808"/>
      <c r="N33" s="808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7"/>
      <c r="B34" s="849" t="s">
        <v>447</v>
      </c>
      <c r="C34" s="849" t="s">
        <v>789</v>
      </c>
      <c r="D34" s="849" t="s">
        <v>954</v>
      </c>
      <c r="E34" s="849" t="s">
        <v>954</v>
      </c>
      <c r="F34" s="849" t="s">
        <v>789</v>
      </c>
      <c r="G34" s="849" t="s">
        <v>774</v>
      </c>
      <c r="H34" s="366"/>
      <c r="I34" s="480"/>
      <c r="J34" s="480"/>
      <c r="K34" s="808"/>
      <c r="L34" s="808"/>
      <c r="M34" s="808"/>
      <c r="N34" s="808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7"/>
      <c r="B35" s="849" t="s">
        <v>397</v>
      </c>
      <c r="C35" s="849" t="s">
        <v>989</v>
      </c>
      <c r="D35" s="849" t="s">
        <v>989</v>
      </c>
      <c r="E35" s="849" t="s">
        <v>989</v>
      </c>
      <c r="F35" s="849" t="s">
        <v>989</v>
      </c>
      <c r="G35" s="849" t="s">
        <v>988</v>
      </c>
      <c r="H35" s="366"/>
      <c r="I35" s="480"/>
      <c r="J35" s="480"/>
      <c r="K35" s="808"/>
      <c r="L35" s="808"/>
      <c r="M35" s="808"/>
      <c r="N35" s="808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7"/>
      <c r="B36" s="649"/>
      <c r="C36" s="649"/>
      <c r="D36" s="649"/>
      <c r="E36" s="649"/>
      <c r="F36" s="649"/>
      <c r="G36" s="649"/>
      <c r="H36" s="365"/>
      <c r="I36" s="366"/>
      <c r="J36" s="362"/>
      <c r="K36" s="363"/>
      <c r="L36" s="657"/>
      <c r="M36" s="657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50" t="s">
        <v>55</v>
      </c>
      <c r="C37" s="651"/>
      <c r="D37" s="651"/>
      <c r="E37" s="651"/>
      <c r="F37" s="651"/>
      <c r="G37" s="651"/>
      <c r="H37" s="651"/>
      <c r="I37" s="651"/>
      <c r="J37" s="651"/>
      <c r="K37" s="651"/>
      <c r="L37" s="651"/>
      <c r="M37" s="652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53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47" t="s">
        <v>549</v>
      </c>
      <c r="M38" s="654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55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70">
        <v>0</v>
      </c>
      <c r="I39" s="470">
        <v>0</v>
      </c>
      <c r="J39" s="8">
        <v>0</v>
      </c>
      <c r="K39" s="645">
        <f>F39+J39</f>
        <v>235</v>
      </c>
      <c r="L39" s="648">
        <f>E39+H39-K39</f>
        <v>57</v>
      </c>
      <c r="M39" s="656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55" t="s">
        <v>65</v>
      </c>
      <c r="C40" s="471" t="s">
        <v>66</v>
      </c>
      <c r="D40" s="471">
        <v>292</v>
      </c>
      <c r="E40" s="471">
        <v>230</v>
      </c>
      <c r="F40" s="471">
        <v>230</v>
      </c>
      <c r="G40" s="471">
        <f>D40-F40</f>
        <v>62</v>
      </c>
      <c r="H40" s="472">
        <v>60</v>
      </c>
      <c r="I40" s="472">
        <v>60</v>
      </c>
      <c r="J40" s="471">
        <v>26</v>
      </c>
      <c r="K40" s="646">
        <f>F40+J40</f>
        <v>256</v>
      </c>
      <c r="L40" s="648">
        <f>E40+H40-K40</f>
        <v>34</v>
      </c>
      <c r="M40" s="656"/>
      <c r="N40" s="354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69" t="s">
        <v>676</v>
      </c>
      <c r="C41" s="473" t="s">
        <v>35</v>
      </c>
      <c r="D41" s="473">
        <v>4314</v>
      </c>
      <c r="E41" s="473">
        <v>3000</v>
      </c>
      <c r="F41" s="473">
        <v>3285.1979999999999</v>
      </c>
      <c r="G41" s="473">
        <f>D41-F41</f>
        <v>1028.8020000000001</v>
      </c>
      <c r="H41" s="473">
        <v>300</v>
      </c>
      <c r="I41" s="473">
        <v>300</v>
      </c>
      <c r="J41" s="473">
        <f>206.444+66.289</f>
        <v>272.733</v>
      </c>
      <c r="K41" s="474">
        <f>F41+J41+63.069</f>
        <v>3621</v>
      </c>
      <c r="L41" s="473">
        <f>E41+H41-K41</f>
        <v>-321</v>
      </c>
      <c r="M41" s="82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43"/>
      <c r="M42" s="644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06" t="s">
        <v>670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 t="s">
        <v>991</v>
      </c>
      <c r="C44" s="407"/>
      <c r="D44" s="407"/>
      <c r="E44" s="405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407"/>
      <c r="D45" s="407"/>
      <c r="E45" s="405"/>
      <c r="F45" s="405"/>
      <c r="G45" s="404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7"/>
      <c r="C46" s="407"/>
      <c r="D46" s="407"/>
      <c r="E46" s="405"/>
      <c r="F46" s="405"/>
      <c r="G46" s="404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7"/>
      <c r="C47" s="405"/>
      <c r="D47" s="405"/>
      <c r="E47" s="405"/>
      <c r="F47" s="405"/>
      <c r="G47" s="404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89"/>
      <c r="M52" s="1277"/>
      <c r="N52" s="1277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0"/>
      <c r="K53" s="588"/>
      <c r="L53" s="627"/>
      <c r="M53" s="1276"/>
      <c r="N53" s="1276"/>
      <c r="O53" s="367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07"/>
      <c r="D54" s="407"/>
      <c r="E54" s="407"/>
      <c r="F54" s="2"/>
      <c r="G54" s="2"/>
      <c r="H54" s="480"/>
      <c r="I54" s="588"/>
      <c r="J54" s="589"/>
      <c r="K54" s="627"/>
      <c r="L54" s="588"/>
      <c r="M54" s="589"/>
      <c r="N54" s="1277"/>
      <c r="O54" s="1277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0"/>
      <c r="I55" s="596"/>
      <c r="J55" s="596"/>
      <c r="K55" s="480"/>
      <c r="L55" s="623"/>
      <c r="M55" s="624"/>
      <c r="N55" s="1282"/>
      <c r="O55" s="1282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0"/>
      <c r="G56" s="588"/>
      <c r="H56" s="589"/>
      <c r="I56" s="1277"/>
      <c r="J56" s="1277"/>
      <c r="K56" s="480"/>
      <c r="L56" s="623"/>
      <c r="M56" s="624"/>
      <c r="N56" s="1281"/>
      <c r="O56" s="128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0"/>
      <c r="G57" s="588"/>
      <c r="H57" s="589"/>
      <c r="I57" s="627"/>
      <c r="J57" s="627"/>
      <c r="K57" s="480"/>
      <c r="L57" s="622"/>
      <c r="M57" s="622"/>
      <c r="N57" s="1281"/>
      <c r="O57" s="1281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0"/>
      <c r="G58" s="596"/>
      <c r="H58" s="596"/>
      <c r="I58" s="590"/>
      <c r="J58" s="590"/>
      <c r="K58" s="480"/>
      <c r="L58" s="596"/>
      <c r="M58" s="596"/>
      <c r="N58" s="1281"/>
      <c r="O58" s="128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0"/>
      <c r="G59" s="596"/>
      <c r="H59" s="480"/>
      <c r="I59" s="588"/>
      <c r="J59" s="589"/>
      <c r="K59" s="480"/>
      <c r="L59" s="622"/>
      <c r="M59" s="596"/>
      <c r="N59" s="1282"/>
      <c r="O59" s="1282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0"/>
      <c r="G60" s="596"/>
      <c r="H60" s="480"/>
      <c r="I60" s="623"/>
      <c r="J60" s="624"/>
      <c r="K60" s="480"/>
      <c r="L60" s="622"/>
      <c r="M60" s="622"/>
      <c r="N60" s="1281"/>
      <c r="O60" s="128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0"/>
      <c r="G61" s="613"/>
      <c r="H61" s="480"/>
      <c r="I61" s="622"/>
      <c r="J61" s="621"/>
      <c r="K61" s="480"/>
      <c r="L61" s="622"/>
      <c r="M61" s="622"/>
      <c r="N61" s="1281"/>
      <c r="O61" s="128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0"/>
      <c r="G62" s="613"/>
      <c r="H62" s="480"/>
      <c r="I62" s="622"/>
      <c r="J62" s="622"/>
      <c r="K62" s="480"/>
      <c r="L62" s="633"/>
      <c r="M62" s="584"/>
      <c r="N62" s="367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0"/>
      <c r="G63" s="613"/>
      <c r="H63" s="480"/>
      <c r="I63" s="622"/>
      <c r="J63" s="621"/>
      <c r="K63" s="633"/>
      <c r="L63" s="633"/>
      <c r="M63" s="1284"/>
      <c r="N63" s="1284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0"/>
      <c r="I64" s="596"/>
      <c r="J64" s="596"/>
      <c r="K64" s="633"/>
      <c r="L64" s="633"/>
      <c r="M64" s="483"/>
      <c r="N64" s="482"/>
      <c r="O64" s="587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0"/>
      <c r="I65" s="596"/>
      <c r="J65" s="596"/>
      <c r="K65" s="633"/>
      <c r="L65" s="634"/>
      <c r="M65" s="1283"/>
      <c r="N65" s="1283"/>
      <c r="O65" s="1"/>
      <c r="P65" s="367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0"/>
      <c r="I66" s="622"/>
      <c r="J66" s="596"/>
      <c r="K66" s="634"/>
      <c r="L66" s="633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0"/>
      <c r="I67" s="622"/>
      <c r="J67" s="622"/>
      <c r="K67" s="633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65:N65"/>
    <mergeCell ref="M63:N63"/>
    <mergeCell ref="N54:O54"/>
    <mergeCell ref="N55:O55"/>
    <mergeCell ref="N60:O60"/>
    <mergeCell ref="N61:O61"/>
    <mergeCell ref="I56:J56"/>
    <mergeCell ref="N56:O56"/>
    <mergeCell ref="N57:O57"/>
    <mergeCell ref="N58:O58"/>
    <mergeCell ref="N59:O59"/>
    <mergeCell ref="M53:N53"/>
    <mergeCell ref="M52:N52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4"/>
  <sheetViews>
    <sheetView topLeftCell="A127" zoomScale="77" zoomScaleNormal="91" workbookViewId="0">
      <selection activeCell="K157" sqref="K157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83" t="s">
        <v>21</v>
      </c>
      <c r="C2" s="1184"/>
      <c r="D2" s="1184"/>
      <c r="E2" s="1184"/>
      <c r="F2" s="1184"/>
      <c r="G2" s="1184"/>
      <c r="H2" s="1184"/>
      <c r="I2" s="1184"/>
      <c r="J2" s="1184"/>
      <c r="K2" s="1184"/>
      <c r="L2" s="1184"/>
      <c r="M2" s="1184"/>
      <c r="N2" s="118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86" t="s">
        <v>68</v>
      </c>
      <c r="C7" s="1187"/>
      <c r="D7" s="1187"/>
      <c r="E7" s="1187"/>
      <c r="F7" s="1187"/>
      <c r="G7" s="1187"/>
      <c r="H7" s="118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89" t="s">
        <v>70</v>
      </c>
      <c r="D8" s="1166"/>
      <c r="E8" s="1190" t="s">
        <v>71</v>
      </c>
      <c r="F8" s="1191"/>
      <c r="G8" s="1189" t="s">
        <v>72</v>
      </c>
      <c r="H8" s="116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92"/>
      <c r="D9" s="1166"/>
      <c r="E9" s="1192"/>
      <c r="F9" s="1166"/>
      <c r="G9" s="1193"/>
      <c r="H9" s="116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0">
        <f>COUNTIFS($I$13:$L$154,"Foundation Completed.")</f>
        <v>122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94" t="s">
        <v>73</v>
      </c>
      <c r="C11" s="1195"/>
      <c r="D11" s="1195"/>
      <c r="E11" s="1195"/>
      <c r="F11" s="1195"/>
      <c r="G11" s="1195"/>
      <c r="H11" s="1195"/>
      <c r="I11" s="1195"/>
      <c r="J11" s="1196"/>
      <c r="K11" s="1195"/>
      <c r="L11" s="1196"/>
      <c r="M11" s="1195"/>
      <c r="N11" s="1195"/>
      <c r="O11" s="1195"/>
      <c r="P11" s="1195"/>
      <c r="Q11" s="119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98" t="s">
        <v>80</v>
      </c>
      <c r="J12" s="1199"/>
      <c r="K12" s="1199"/>
      <c r="L12" s="120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5">
        <v>26.43</v>
      </c>
      <c r="I13" s="1180" t="s">
        <v>552</v>
      </c>
      <c r="J13" s="1181"/>
      <c r="K13" s="1181"/>
      <c r="L13" s="1182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57">
        <v>22.4</v>
      </c>
      <c r="I14" s="1180" t="s">
        <v>552</v>
      </c>
      <c r="J14" s="1181"/>
      <c r="K14" s="1181"/>
      <c r="L14" s="1182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180" t="s">
        <v>552</v>
      </c>
      <c r="J15" s="1181"/>
      <c r="K15" s="1181"/>
      <c r="L15" s="1182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180" t="s">
        <v>552</v>
      </c>
      <c r="J16" s="1181"/>
      <c r="K16" s="1181"/>
      <c r="L16" s="1182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180" t="s">
        <v>552</v>
      </c>
      <c r="J17" s="1181"/>
      <c r="K17" s="1181"/>
      <c r="L17" s="1182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180" t="s">
        <v>552</v>
      </c>
      <c r="J18" s="1181"/>
      <c r="K18" s="1181"/>
      <c r="L18" s="1182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180" t="s">
        <v>552</v>
      </c>
      <c r="J19" s="1181"/>
      <c r="K19" s="1181"/>
      <c r="L19" s="1182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180" t="s">
        <v>552</v>
      </c>
      <c r="J20" s="1181"/>
      <c r="K20" s="1181"/>
      <c r="L20" s="1182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180" t="s">
        <v>552</v>
      </c>
      <c r="J21" s="1181"/>
      <c r="K21" s="1181"/>
      <c r="L21" s="1182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180" t="s">
        <v>552</v>
      </c>
      <c r="J22" s="1181"/>
      <c r="K22" s="1181"/>
      <c r="L22" s="1182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180" t="s">
        <v>552</v>
      </c>
      <c r="J23" s="1181"/>
      <c r="K23" s="1181"/>
      <c r="L23" s="1182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180" t="s">
        <v>552</v>
      </c>
      <c r="J24" s="1181"/>
      <c r="K24" s="1181"/>
      <c r="L24" s="1182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180" t="s">
        <v>552</v>
      </c>
      <c r="J25" s="1181"/>
      <c r="K25" s="1181"/>
      <c r="L25" s="1182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180" t="s">
        <v>552</v>
      </c>
      <c r="J26" s="1181"/>
      <c r="K26" s="1181"/>
      <c r="L26" s="1182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180" t="s">
        <v>552</v>
      </c>
      <c r="J27" s="1181"/>
      <c r="K27" s="1181"/>
      <c r="L27" s="1182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180" t="s">
        <v>552</v>
      </c>
      <c r="J28" s="1181"/>
      <c r="K28" s="1181"/>
      <c r="L28" s="1182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180" t="s">
        <v>552</v>
      </c>
      <c r="J29" s="1181"/>
      <c r="K29" s="1181"/>
      <c r="L29" s="1182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180" t="s">
        <v>552</v>
      </c>
      <c r="J30" s="1181"/>
      <c r="K30" s="1181"/>
      <c r="L30" s="1182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5">
        <v>26.43</v>
      </c>
      <c r="I31" s="1180" t="s">
        <v>552</v>
      </c>
      <c r="J31" s="1181"/>
      <c r="K31" s="1181"/>
      <c r="L31" s="1182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180" t="s">
        <v>552</v>
      </c>
      <c r="J32" s="1181"/>
      <c r="K32" s="1181"/>
      <c r="L32" s="1182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180" t="s">
        <v>552</v>
      </c>
      <c r="J33" s="1181"/>
      <c r="K33" s="1181"/>
      <c r="L33" s="1182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180" t="s">
        <v>552</v>
      </c>
      <c r="J34" s="1181"/>
      <c r="K34" s="1181"/>
      <c r="L34" s="1182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180" t="s">
        <v>552</v>
      </c>
      <c r="J35" s="1181"/>
      <c r="K35" s="1181"/>
      <c r="L35" s="1182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180" t="s">
        <v>552</v>
      </c>
      <c r="J36" s="1181"/>
      <c r="K36" s="1181"/>
      <c r="L36" s="1182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57">
        <v>22.4</v>
      </c>
      <c r="I37" s="1180" t="s">
        <v>552</v>
      </c>
      <c r="J37" s="1181"/>
      <c r="K37" s="1181"/>
      <c r="L37" s="1182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180" t="s">
        <v>552</v>
      </c>
      <c r="J38" s="1181"/>
      <c r="K38" s="1181"/>
      <c r="L38" s="1182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174" t="s">
        <v>554</v>
      </c>
      <c r="J39" s="1175"/>
      <c r="K39" s="1175"/>
      <c r="L39" s="1176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180" t="s">
        <v>552</v>
      </c>
      <c r="J40" s="1181"/>
      <c r="K40" s="1181"/>
      <c r="L40" s="1182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174" t="s">
        <v>554</v>
      </c>
      <c r="J41" s="1175"/>
      <c r="K41" s="1175"/>
      <c r="L41" s="1176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174" t="s">
        <v>554</v>
      </c>
      <c r="J42" s="1175"/>
      <c r="K42" s="1175"/>
      <c r="L42" s="1176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174" t="s">
        <v>554</v>
      </c>
      <c r="J43" s="1175"/>
      <c r="K43" s="1175"/>
      <c r="L43" s="1176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57">
        <v>22.4</v>
      </c>
      <c r="I44" s="1180" t="s">
        <v>552</v>
      </c>
      <c r="J44" s="1181"/>
      <c r="K44" s="1181"/>
      <c r="L44" s="1182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5">
        <v>26.43</v>
      </c>
      <c r="I45" s="1174" t="s">
        <v>554</v>
      </c>
      <c r="J45" s="1175"/>
      <c r="K45" s="1175"/>
      <c r="L45" s="1176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174" t="s">
        <v>554</v>
      </c>
      <c r="J46" s="1175"/>
      <c r="K46" s="1175"/>
      <c r="L46" s="1176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174" t="s">
        <v>554</v>
      </c>
      <c r="J47" s="1175"/>
      <c r="K47" s="1175"/>
      <c r="L47" s="1176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174" t="s">
        <v>554</v>
      </c>
      <c r="J48" s="1175"/>
      <c r="K48" s="1175"/>
      <c r="L48" s="1176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167" t="s">
        <v>554</v>
      </c>
      <c r="J49" s="1168"/>
      <c r="K49" s="1168"/>
      <c r="L49" s="1169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5">
        <v>26.43</v>
      </c>
      <c r="I50" s="1174" t="s">
        <v>554</v>
      </c>
      <c r="J50" s="1175"/>
      <c r="K50" s="1175"/>
      <c r="L50" s="1176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174" t="s">
        <v>554</v>
      </c>
      <c r="J51" s="1175"/>
      <c r="K51" s="1175"/>
      <c r="L51" s="1176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174" t="s">
        <v>554</v>
      </c>
      <c r="J52" s="1175"/>
      <c r="K52" s="1175"/>
      <c r="L52" s="1176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167" t="s">
        <v>554</v>
      </c>
      <c r="J53" s="1168"/>
      <c r="K53" s="1168"/>
      <c r="L53" s="1169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57">
        <v>22.4</v>
      </c>
      <c r="I54" s="1173" t="s">
        <v>554</v>
      </c>
      <c r="J54" s="1173"/>
      <c r="K54" s="1173"/>
      <c r="L54" s="1173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5">
        <v>26.43</v>
      </c>
      <c r="I55" s="1174" t="s">
        <v>554</v>
      </c>
      <c r="J55" s="1175"/>
      <c r="K55" s="1175"/>
      <c r="L55" s="1176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173" t="s">
        <v>554</v>
      </c>
      <c r="J56" s="1173"/>
      <c r="K56" s="1173"/>
      <c r="L56" s="1173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157" t="s">
        <v>554</v>
      </c>
      <c r="J57" s="1157"/>
      <c r="K57" s="1157"/>
      <c r="L57" s="1157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167" t="s">
        <v>554</v>
      </c>
      <c r="J58" s="1168"/>
      <c r="K58" s="1168"/>
      <c r="L58" s="1169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157" t="s">
        <v>554</v>
      </c>
      <c r="J59" s="1157"/>
      <c r="K59" s="1157"/>
      <c r="L59" s="1157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59">
        <v>26.43</v>
      </c>
      <c r="I60" s="1157" t="s">
        <v>554</v>
      </c>
      <c r="J60" s="1157"/>
      <c r="K60" s="1157"/>
      <c r="L60" s="1157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157" t="s">
        <v>554</v>
      </c>
      <c r="J61" s="1157"/>
      <c r="K61" s="1157"/>
      <c r="L61" s="1157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59" t="s">
        <v>407</v>
      </c>
      <c r="D62" s="660" t="s">
        <v>87</v>
      </c>
      <c r="E62" s="659" t="s">
        <v>92</v>
      </c>
      <c r="F62" s="661"/>
      <c r="G62" s="661">
        <v>46032</v>
      </c>
      <c r="H62" s="671">
        <v>23.27</v>
      </c>
      <c r="I62" s="1177" t="s">
        <v>554</v>
      </c>
      <c r="J62" s="1178"/>
      <c r="K62" s="1178"/>
      <c r="L62" s="1179"/>
      <c r="M62" s="662">
        <v>46036</v>
      </c>
      <c r="N62" s="663" t="s">
        <v>667</v>
      </c>
      <c r="O62" s="664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58"/>
      <c r="G63" s="510">
        <v>46028</v>
      </c>
      <c r="H63" s="429">
        <v>55.74</v>
      </c>
      <c r="I63" s="1157" t="s">
        <v>554</v>
      </c>
      <c r="J63" s="1157"/>
      <c r="K63" s="1157"/>
      <c r="L63" s="1157"/>
      <c r="M63" s="515">
        <v>46036</v>
      </c>
      <c r="N63" s="486" t="s">
        <v>89</v>
      </c>
      <c r="O63" s="372"/>
      <c r="P63" s="809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170" t="s">
        <v>554</v>
      </c>
      <c r="J64" s="1171"/>
      <c r="K64" s="1171"/>
      <c r="L64" s="1172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170" t="s">
        <v>554</v>
      </c>
      <c r="J65" s="1171"/>
      <c r="K65" s="1171"/>
      <c r="L65" s="1172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5" t="s">
        <v>265</v>
      </c>
      <c r="D66" s="374" t="s">
        <v>87</v>
      </c>
      <c r="E66" s="429" t="s">
        <v>88</v>
      </c>
      <c r="F66" s="510"/>
      <c r="G66" s="617">
        <v>46039</v>
      </c>
      <c r="H66" s="757">
        <v>22.4</v>
      </c>
      <c r="I66" s="1157" t="s">
        <v>554</v>
      </c>
      <c r="J66" s="1157"/>
      <c r="K66" s="1157"/>
      <c r="L66" s="1157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58">
        <v>33.655000000000001</v>
      </c>
      <c r="I67" s="1170" t="s">
        <v>554</v>
      </c>
      <c r="J67" s="1171"/>
      <c r="K67" s="1171"/>
      <c r="L67" s="1172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5" t="s">
        <v>414</v>
      </c>
      <c r="D68" s="374" t="s">
        <v>87</v>
      </c>
      <c r="E68" s="429" t="s">
        <v>92</v>
      </c>
      <c r="F68" s="510"/>
      <c r="G68" s="617">
        <v>46040</v>
      </c>
      <c r="H68" s="500">
        <v>23.27</v>
      </c>
      <c r="I68" s="1157" t="s">
        <v>554</v>
      </c>
      <c r="J68" s="1157"/>
      <c r="K68" s="1157"/>
      <c r="L68" s="1157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157" t="s">
        <v>554</v>
      </c>
      <c r="J69" s="1157"/>
      <c r="K69" s="1157"/>
      <c r="L69" s="1157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5" t="s">
        <v>408</v>
      </c>
      <c r="D70" s="374" t="s">
        <v>87</v>
      </c>
      <c r="E70" s="429" t="s">
        <v>92</v>
      </c>
      <c r="F70" s="510"/>
      <c r="G70" s="617">
        <v>46043</v>
      </c>
      <c r="H70" s="500">
        <v>23.27</v>
      </c>
      <c r="I70" s="1170" t="s">
        <v>554</v>
      </c>
      <c r="J70" s="1171"/>
      <c r="K70" s="1171"/>
      <c r="L70" s="1172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5" t="s">
        <v>469</v>
      </c>
      <c r="D71" s="374" t="s">
        <v>563</v>
      </c>
      <c r="E71" s="429" t="s">
        <v>92</v>
      </c>
      <c r="F71" s="510"/>
      <c r="G71" s="617">
        <v>46044</v>
      </c>
      <c r="H71" s="429">
        <v>55.74</v>
      </c>
      <c r="I71" s="1157" t="s">
        <v>554</v>
      </c>
      <c r="J71" s="1157"/>
      <c r="K71" s="1157"/>
      <c r="L71" s="1157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170" t="s">
        <v>554</v>
      </c>
      <c r="J72" s="1171"/>
      <c r="K72" s="1171"/>
      <c r="L72" s="1172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5" t="s">
        <v>630</v>
      </c>
      <c r="D73" s="374" t="s">
        <v>87</v>
      </c>
      <c r="E73" s="429" t="s">
        <v>92</v>
      </c>
      <c r="F73" s="510"/>
      <c r="G73" s="617">
        <v>46044</v>
      </c>
      <c r="H73" s="500">
        <v>23.27</v>
      </c>
      <c r="I73" s="1170" t="s">
        <v>554</v>
      </c>
      <c r="J73" s="1171"/>
      <c r="K73" s="1171"/>
      <c r="L73" s="1172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5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157" t="s">
        <v>554</v>
      </c>
      <c r="J74" s="1157"/>
      <c r="K74" s="1157"/>
      <c r="L74" s="1157"/>
      <c r="M74" s="585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5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157" t="s">
        <v>554</v>
      </c>
      <c r="J75" s="1157"/>
      <c r="K75" s="1157"/>
      <c r="L75" s="1157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5" t="s">
        <v>255</v>
      </c>
      <c r="D76" s="374" t="s">
        <v>87</v>
      </c>
      <c r="E76" s="429" t="s">
        <v>547</v>
      </c>
      <c r="F76" s="510"/>
      <c r="G76" s="617">
        <v>46047</v>
      </c>
      <c r="H76" s="500">
        <v>21.96</v>
      </c>
      <c r="I76" s="1174" t="s">
        <v>554</v>
      </c>
      <c r="J76" s="1175"/>
      <c r="K76" s="1175"/>
      <c r="L76" s="1176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5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157" t="s">
        <v>554</v>
      </c>
      <c r="J77" s="1157"/>
      <c r="K77" s="1157"/>
      <c r="L77" s="1157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5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157" t="s">
        <v>554</v>
      </c>
      <c r="J78" s="1157"/>
      <c r="K78" s="1157"/>
      <c r="L78" s="1157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5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157" t="s">
        <v>554</v>
      </c>
      <c r="J79" s="1157"/>
      <c r="K79" s="1157"/>
      <c r="L79" s="1157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5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157" t="s">
        <v>554</v>
      </c>
      <c r="J80" s="1157"/>
      <c r="K80" s="1157"/>
      <c r="L80" s="1157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157" t="s">
        <v>554</v>
      </c>
      <c r="J81" s="1157"/>
      <c r="K81" s="1157"/>
      <c r="L81" s="1157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5">
        <v>26.43</v>
      </c>
      <c r="I82" s="1157" t="s">
        <v>554</v>
      </c>
      <c r="J82" s="1157"/>
      <c r="K82" s="1157"/>
      <c r="L82" s="1157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157" t="s">
        <v>554</v>
      </c>
      <c r="J83" s="1157"/>
      <c r="K83" s="1157"/>
      <c r="L83" s="1157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5">
        <v>26.43</v>
      </c>
      <c r="I84" s="1157" t="s">
        <v>554</v>
      </c>
      <c r="J84" s="1157"/>
      <c r="K84" s="1157"/>
      <c r="L84" s="1157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157" t="s">
        <v>554</v>
      </c>
      <c r="J85" s="1157"/>
      <c r="K85" s="1157"/>
      <c r="L85" s="1157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5" t="s">
        <v>87</v>
      </c>
      <c r="E86" s="429" t="s">
        <v>92</v>
      </c>
      <c r="F86" s="510"/>
      <c r="G86" s="510">
        <v>46055</v>
      </c>
      <c r="H86" s="429">
        <v>23.27</v>
      </c>
      <c r="I86" s="1157" t="s">
        <v>554</v>
      </c>
      <c r="J86" s="1157"/>
      <c r="K86" s="1157"/>
      <c r="L86" s="1157"/>
      <c r="M86" s="585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4" t="s">
        <v>87</v>
      </c>
      <c r="E87" s="628" t="s">
        <v>92</v>
      </c>
      <c r="F87" s="510"/>
      <c r="G87" s="510">
        <v>46055</v>
      </c>
      <c r="H87" s="500">
        <v>23.27</v>
      </c>
      <c r="I87" s="1157" t="s">
        <v>554</v>
      </c>
      <c r="J87" s="1157"/>
      <c r="K87" s="1157"/>
      <c r="L87" s="1157"/>
      <c r="M87" s="585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5" t="s">
        <v>87</v>
      </c>
      <c r="E88" s="537" t="s">
        <v>92</v>
      </c>
      <c r="F88" s="636"/>
      <c r="G88" s="636">
        <v>46060</v>
      </c>
      <c r="H88" s="637">
        <v>23.27</v>
      </c>
      <c r="I88" s="1157" t="s">
        <v>554</v>
      </c>
      <c r="J88" s="1157"/>
      <c r="K88" s="1157"/>
      <c r="L88" s="1157"/>
      <c r="M88" s="585">
        <v>46065</v>
      </c>
      <c r="N88" s="639" t="s">
        <v>696</v>
      </c>
      <c r="O88" s="640"/>
      <c r="P88" s="641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5" t="s">
        <v>87</v>
      </c>
      <c r="E89" s="429" t="s">
        <v>547</v>
      </c>
      <c r="F89" s="510"/>
      <c r="G89" s="510">
        <v>46055</v>
      </c>
      <c r="H89" s="500">
        <v>21.96</v>
      </c>
      <c r="I89" s="1157" t="s">
        <v>554</v>
      </c>
      <c r="J89" s="1157"/>
      <c r="K89" s="1157"/>
      <c r="L89" s="1157"/>
      <c r="M89" s="585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5" t="s">
        <v>87</v>
      </c>
      <c r="E90" s="429" t="s">
        <v>92</v>
      </c>
      <c r="F90" s="510"/>
      <c r="G90" s="510">
        <v>46055</v>
      </c>
      <c r="H90" s="500">
        <v>23.27</v>
      </c>
      <c r="I90" s="1157" t="s">
        <v>554</v>
      </c>
      <c r="J90" s="1157"/>
      <c r="K90" s="1157"/>
      <c r="L90" s="1157"/>
      <c r="M90" s="585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5" t="s">
        <v>87</v>
      </c>
      <c r="E91" s="429" t="s">
        <v>92</v>
      </c>
      <c r="F91" s="510"/>
      <c r="G91" s="510">
        <v>46061</v>
      </c>
      <c r="H91" s="500">
        <v>23.27</v>
      </c>
      <c r="I91" s="1157" t="s">
        <v>554</v>
      </c>
      <c r="J91" s="1157"/>
      <c r="K91" s="1157"/>
      <c r="L91" s="1157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5" t="s">
        <v>87</v>
      </c>
      <c r="E92" s="537" t="s">
        <v>669</v>
      </c>
      <c r="F92" s="636"/>
      <c r="G92" s="636">
        <v>46059</v>
      </c>
      <c r="H92" s="756">
        <v>34.299999999999997</v>
      </c>
      <c r="I92" s="1157" t="s">
        <v>554</v>
      </c>
      <c r="J92" s="1157"/>
      <c r="K92" s="1157"/>
      <c r="L92" s="1157"/>
      <c r="M92" s="522">
        <v>46070</v>
      </c>
      <c r="N92" s="639" t="s">
        <v>696</v>
      </c>
      <c r="O92" s="640"/>
      <c r="P92" s="641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5" t="s">
        <v>87</v>
      </c>
      <c r="E93" s="429" t="s">
        <v>92</v>
      </c>
      <c r="F93" s="636"/>
      <c r="G93" s="636">
        <v>46062</v>
      </c>
      <c r="H93" s="500">
        <v>23.27</v>
      </c>
      <c r="I93" s="1157" t="s">
        <v>554</v>
      </c>
      <c r="J93" s="1157"/>
      <c r="K93" s="1157"/>
      <c r="L93" s="1157"/>
      <c r="M93" s="522">
        <v>46075</v>
      </c>
      <c r="N93" s="642" t="s">
        <v>666</v>
      </c>
      <c r="O93" s="640"/>
      <c r="P93" s="641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157" t="s">
        <v>554</v>
      </c>
      <c r="J94" s="1157"/>
      <c r="K94" s="1157"/>
      <c r="L94" s="1157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157" t="s">
        <v>554</v>
      </c>
      <c r="J95" s="1157"/>
      <c r="K95" s="1157"/>
      <c r="L95" s="1157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6"/>
      <c r="G96" s="636">
        <v>46065</v>
      </c>
      <c r="H96" s="500">
        <v>23.27</v>
      </c>
      <c r="I96" s="1157" t="s">
        <v>554</v>
      </c>
      <c r="J96" s="1157"/>
      <c r="K96" s="1157"/>
      <c r="L96" s="1157"/>
      <c r="M96" s="745">
        <v>46079</v>
      </c>
      <c r="N96" s="486" t="s">
        <v>694</v>
      </c>
      <c r="O96" s="640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3" t="s">
        <v>623</v>
      </c>
      <c r="D97" s="635" t="s">
        <v>87</v>
      </c>
      <c r="E97" s="429" t="s">
        <v>92</v>
      </c>
      <c r="F97" s="636"/>
      <c r="G97" s="636">
        <v>46069</v>
      </c>
      <c r="H97" s="500">
        <v>23.27</v>
      </c>
      <c r="I97" s="1157" t="s">
        <v>554</v>
      </c>
      <c r="J97" s="1157"/>
      <c r="K97" s="1157"/>
      <c r="L97" s="1157"/>
      <c r="M97" s="745">
        <v>46081</v>
      </c>
      <c r="N97" s="642" t="s">
        <v>666</v>
      </c>
      <c r="O97" s="640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3" t="s">
        <v>411</v>
      </c>
      <c r="D98" s="374" t="s">
        <v>91</v>
      </c>
      <c r="E98" s="429" t="s">
        <v>92</v>
      </c>
      <c r="F98" s="510"/>
      <c r="G98" s="510">
        <v>46049</v>
      </c>
      <c r="H98" s="755">
        <v>26.43</v>
      </c>
      <c r="I98" s="1157" t="s">
        <v>554</v>
      </c>
      <c r="J98" s="1157"/>
      <c r="K98" s="1157"/>
      <c r="L98" s="1157"/>
      <c r="M98" s="745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37" customFormat="1" ht="13.8" x14ac:dyDescent="0.3">
      <c r="A99" s="832"/>
      <c r="B99" s="37">
        <f t="shared" si="1"/>
        <v>87</v>
      </c>
      <c r="C99" s="625" t="s">
        <v>358</v>
      </c>
      <c r="D99" s="615" t="s">
        <v>87</v>
      </c>
      <c r="E99" s="429" t="s">
        <v>92</v>
      </c>
      <c r="F99" s="510"/>
      <c r="G99" s="510">
        <v>46076</v>
      </c>
      <c r="H99" s="500">
        <v>23.27</v>
      </c>
      <c r="I99" s="1158" t="s">
        <v>554</v>
      </c>
      <c r="J99" s="1158"/>
      <c r="K99" s="1158"/>
      <c r="L99" s="1158"/>
      <c r="M99" s="838">
        <v>46084</v>
      </c>
      <c r="N99" s="486" t="s">
        <v>89</v>
      </c>
      <c r="O99" s="372"/>
      <c r="P99" s="373">
        <v>18</v>
      </c>
      <c r="Q99" s="836"/>
      <c r="R99" s="836"/>
      <c r="S99" s="836"/>
      <c r="T99" s="836"/>
      <c r="U99" s="836"/>
      <c r="V99" s="836"/>
      <c r="W99" s="836"/>
      <c r="X99" s="836"/>
      <c r="Y99" s="836"/>
      <c r="Z99" s="836"/>
    </row>
    <row r="100" spans="1:26" s="402" customFormat="1" ht="13.8" x14ac:dyDescent="0.3">
      <c r="A100" s="397"/>
      <c r="B100" s="37">
        <f t="shared" ref="B100:B153" si="2">B99+1</f>
        <v>88</v>
      </c>
      <c r="C100" s="683" t="s">
        <v>250</v>
      </c>
      <c r="D100" s="615" t="s">
        <v>87</v>
      </c>
      <c r="E100" s="537" t="s">
        <v>669</v>
      </c>
      <c r="F100" s="510"/>
      <c r="G100" s="510">
        <v>46058</v>
      </c>
      <c r="H100" s="756">
        <v>34.299999999999997</v>
      </c>
      <c r="I100" s="1157" t="s">
        <v>554</v>
      </c>
      <c r="J100" s="1157"/>
      <c r="K100" s="1157"/>
      <c r="L100" s="1157"/>
      <c r="M100" s="745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3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157" t="s">
        <v>554</v>
      </c>
      <c r="J101" s="1157"/>
      <c r="K101" s="1157"/>
      <c r="L101" s="1157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3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157" t="s">
        <v>554</v>
      </c>
      <c r="J102" s="1157"/>
      <c r="K102" s="1157"/>
      <c r="L102" s="1157"/>
      <c r="M102" s="804">
        <v>46092</v>
      </c>
      <c r="N102" s="486" t="s">
        <v>743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3" t="s">
        <v>238</v>
      </c>
      <c r="D103" s="740" t="s">
        <v>218</v>
      </c>
      <c r="E103" s="429" t="s">
        <v>92</v>
      </c>
      <c r="F103" s="510"/>
      <c r="G103" s="510">
        <v>46087</v>
      </c>
      <c r="H103" s="759">
        <v>26.43</v>
      </c>
      <c r="I103" s="1157" t="s">
        <v>554</v>
      </c>
      <c r="J103" s="1157"/>
      <c r="K103" s="1157"/>
      <c r="L103" s="1157"/>
      <c r="M103" s="745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3" t="s">
        <v>227</v>
      </c>
      <c r="D104" s="635" t="s">
        <v>87</v>
      </c>
      <c r="E104" s="429" t="s">
        <v>546</v>
      </c>
      <c r="F104" s="510"/>
      <c r="G104" s="510">
        <v>46077</v>
      </c>
      <c r="H104" s="429">
        <v>33.01</v>
      </c>
      <c r="I104" s="1157" t="s">
        <v>554</v>
      </c>
      <c r="J104" s="1157"/>
      <c r="K104" s="1157"/>
      <c r="L104" s="1157"/>
      <c r="M104" s="745">
        <v>46095</v>
      </c>
      <c r="N104" s="486" t="s">
        <v>743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3" t="s">
        <v>239</v>
      </c>
      <c r="D105" s="740" t="s">
        <v>87</v>
      </c>
      <c r="E105" s="429" t="s">
        <v>92</v>
      </c>
      <c r="F105" s="510"/>
      <c r="G105" s="510">
        <v>46088</v>
      </c>
      <c r="H105" s="500">
        <v>23.27</v>
      </c>
      <c r="I105" s="1157" t="s">
        <v>554</v>
      </c>
      <c r="J105" s="1157"/>
      <c r="K105" s="1157"/>
      <c r="L105" s="1157"/>
      <c r="M105" s="745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3" t="s">
        <v>241</v>
      </c>
      <c r="D106" s="740" t="s">
        <v>87</v>
      </c>
      <c r="E106" s="429" t="s">
        <v>669</v>
      </c>
      <c r="F106" s="510"/>
      <c r="G106" s="510">
        <v>46090</v>
      </c>
      <c r="H106" s="756">
        <v>34.299999999999997</v>
      </c>
      <c r="I106" s="806" t="s">
        <v>554</v>
      </c>
      <c r="J106" s="784"/>
      <c r="K106" s="784"/>
      <c r="L106" s="785"/>
      <c r="M106" s="745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3" t="s">
        <v>476</v>
      </c>
      <c r="D107" s="740" t="s">
        <v>691</v>
      </c>
      <c r="E107" s="429" t="s">
        <v>92</v>
      </c>
      <c r="F107" s="510"/>
      <c r="G107" s="510">
        <v>46087</v>
      </c>
      <c r="H107" s="429">
        <v>55.59</v>
      </c>
      <c r="I107" s="806" t="s">
        <v>554</v>
      </c>
      <c r="J107" s="784"/>
      <c r="K107" s="784"/>
      <c r="L107" s="785"/>
      <c r="M107" s="804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3" t="s">
        <v>486</v>
      </c>
      <c r="D108" s="740" t="s">
        <v>242</v>
      </c>
      <c r="E108" s="429" t="s">
        <v>92</v>
      </c>
      <c r="F108" s="510"/>
      <c r="G108" s="510">
        <v>46105</v>
      </c>
      <c r="H108" s="429">
        <v>55.59</v>
      </c>
      <c r="I108" s="806" t="s">
        <v>554</v>
      </c>
      <c r="J108" s="784"/>
      <c r="K108" s="784"/>
      <c r="L108" s="785"/>
      <c r="M108" s="804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3" t="s">
        <v>237</v>
      </c>
      <c r="D109" s="740" t="s">
        <v>91</v>
      </c>
      <c r="E109" s="429" t="s">
        <v>92</v>
      </c>
      <c r="F109" s="510"/>
      <c r="G109" s="510">
        <v>46092</v>
      </c>
      <c r="H109" s="759">
        <v>26.43</v>
      </c>
      <c r="I109" s="806" t="s">
        <v>554</v>
      </c>
      <c r="J109" s="784"/>
      <c r="K109" s="784"/>
      <c r="L109" s="785"/>
      <c r="M109" s="745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3" t="s">
        <v>243</v>
      </c>
      <c r="D110" s="740" t="s">
        <v>113</v>
      </c>
      <c r="E110" s="429" t="s">
        <v>92</v>
      </c>
      <c r="F110" s="510"/>
      <c r="G110" s="510">
        <v>46098</v>
      </c>
      <c r="H110" s="759">
        <v>26.43</v>
      </c>
      <c r="I110" s="806" t="s">
        <v>554</v>
      </c>
      <c r="J110" s="784"/>
      <c r="K110" s="784"/>
      <c r="L110" s="785"/>
      <c r="M110" s="804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0" t="s">
        <v>91</v>
      </c>
      <c r="E111" s="429" t="s">
        <v>92</v>
      </c>
      <c r="F111" s="510"/>
      <c r="G111" s="510">
        <v>46101</v>
      </c>
      <c r="H111" s="759">
        <v>26.43</v>
      </c>
      <c r="I111" s="806" t="s">
        <v>554</v>
      </c>
      <c r="J111" s="784"/>
      <c r="K111" s="784"/>
      <c r="L111" s="785"/>
      <c r="M111" s="804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0" t="s">
        <v>87</v>
      </c>
      <c r="E112" s="429" t="s">
        <v>92</v>
      </c>
      <c r="F112" s="510"/>
      <c r="G112" s="510">
        <v>46102</v>
      </c>
      <c r="H112" s="500">
        <v>23.27</v>
      </c>
      <c r="I112" s="806" t="s">
        <v>554</v>
      </c>
      <c r="J112" s="784"/>
      <c r="K112" s="784"/>
      <c r="L112" s="785"/>
      <c r="M112" s="804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37" customFormat="1" ht="13.8" x14ac:dyDescent="0.3">
      <c r="A113" s="832"/>
      <c r="B113" s="37">
        <f t="shared" si="2"/>
        <v>101</v>
      </c>
      <c r="C113" s="374" t="s">
        <v>249</v>
      </c>
      <c r="D113" s="740" t="s">
        <v>91</v>
      </c>
      <c r="E113" s="429" t="s">
        <v>669</v>
      </c>
      <c r="F113" s="510"/>
      <c r="G113" s="617">
        <v>46106</v>
      </c>
      <c r="H113" s="429">
        <v>38.979999999999997</v>
      </c>
      <c r="I113" s="833" t="s">
        <v>554</v>
      </c>
      <c r="J113" s="834"/>
      <c r="K113" s="834"/>
      <c r="L113" s="835"/>
      <c r="M113" s="515">
        <v>46112</v>
      </c>
      <c r="N113" s="486" t="s">
        <v>696</v>
      </c>
      <c r="O113" s="373"/>
      <c r="P113" s="373">
        <v>20</v>
      </c>
      <c r="Q113" s="836"/>
      <c r="R113" s="836"/>
      <c r="S113" s="836"/>
      <c r="T113" s="836"/>
      <c r="U113" s="836"/>
      <c r="V113" s="836"/>
      <c r="W113" s="836"/>
      <c r="X113" s="836"/>
      <c r="Y113" s="836"/>
      <c r="Z113" s="836"/>
    </row>
    <row r="114" spans="1:26" s="837" customFormat="1" ht="13.8" x14ac:dyDescent="0.3">
      <c r="A114" s="832"/>
      <c r="B114" s="989">
        <f t="shared" si="2"/>
        <v>102</v>
      </c>
      <c r="C114" s="374" t="s">
        <v>435</v>
      </c>
      <c r="D114" s="990" t="s">
        <v>691</v>
      </c>
      <c r="E114" s="626" t="s">
        <v>92</v>
      </c>
      <c r="F114" s="519"/>
      <c r="G114" s="519">
        <v>46097</v>
      </c>
      <c r="H114" s="626">
        <v>55.59</v>
      </c>
      <c r="I114" s="988" t="s">
        <v>554</v>
      </c>
      <c r="J114" s="991"/>
      <c r="K114" s="991"/>
      <c r="L114" s="992"/>
      <c r="M114" s="993">
        <v>46118</v>
      </c>
      <c r="N114" s="994" t="s">
        <v>681</v>
      </c>
      <c r="O114" s="995"/>
      <c r="P114" s="996">
        <v>20</v>
      </c>
      <c r="Q114" s="836"/>
      <c r="R114" s="836"/>
      <c r="S114" s="836"/>
      <c r="T114" s="836"/>
      <c r="U114" s="836"/>
      <c r="V114" s="836"/>
      <c r="W114" s="836"/>
      <c r="X114" s="836"/>
      <c r="Y114" s="836"/>
      <c r="Z114" s="836"/>
    </row>
    <row r="115" spans="1:26" s="837" customFormat="1" ht="13.8" x14ac:dyDescent="0.3">
      <c r="A115" s="832"/>
      <c r="B115" s="37">
        <f t="shared" si="2"/>
        <v>103</v>
      </c>
      <c r="C115" s="816" t="s">
        <v>311</v>
      </c>
      <c r="D115" s="740" t="s">
        <v>113</v>
      </c>
      <c r="E115" s="429" t="s">
        <v>92</v>
      </c>
      <c r="F115" s="510"/>
      <c r="G115" s="510">
        <v>46106</v>
      </c>
      <c r="H115" s="759">
        <v>26.43</v>
      </c>
      <c r="I115" s="833" t="s">
        <v>554</v>
      </c>
      <c r="J115" s="834"/>
      <c r="K115" s="834"/>
      <c r="L115" s="835"/>
      <c r="M115" s="745">
        <v>46123</v>
      </c>
      <c r="N115" s="486" t="s">
        <v>774</v>
      </c>
      <c r="O115" s="372"/>
      <c r="P115" s="373">
        <v>30</v>
      </c>
      <c r="Q115" s="836"/>
      <c r="R115" s="836"/>
      <c r="S115" s="836"/>
      <c r="T115" s="836"/>
      <c r="U115" s="836"/>
      <c r="V115" s="836"/>
      <c r="W115" s="836"/>
      <c r="X115" s="836"/>
      <c r="Y115" s="836"/>
      <c r="Z115" s="836"/>
    </row>
    <row r="116" spans="1:26" s="837" customFormat="1" ht="13.8" x14ac:dyDescent="0.3">
      <c r="A116" s="832"/>
      <c r="B116" s="37">
        <f t="shared" si="2"/>
        <v>104</v>
      </c>
      <c r="C116" s="816" t="s">
        <v>312</v>
      </c>
      <c r="D116" s="740" t="s">
        <v>87</v>
      </c>
      <c r="E116" s="429" t="s">
        <v>92</v>
      </c>
      <c r="F116" s="510"/>
      <c r="G116" s="510">
        <v>46107</v>
      </c>
      <c r="H116" s="500">
        <v>23.27</v>
      </c>
      <c r="I116" s="833" t="s">
        <v>554</v>
      </c>
      <c r="J116" s="834"/>
      <c r="K116" s="834"/>
      <c r="L116" s="835"/>
      <c r="M116" s="745">
        <v>46125</v>
      </c>
      <c r="N116" s="486" t="s">
        <v>774</v>
      </c>
      <c r="O116" s="372"/>
      <c r="P116" s="373">
        <v>30</v>
      </c>
      <c r="Q116" s="836"/>
      <c r="R116" s="836"/>
      <c r="S116" s="836"/>
      <c r="T116" s="836"/>
      <c r="U116" s="836"/>
      <c r="V116" s="836"/>
      <c r="W116" s="836"/>
      <c r="X116" s="836"/>
      <c r="Y116" s="836"/>
      <c r="Z116" s="836"/>
    </row>
    <row r="117" spans="1:26" s="837" customFormat="1" ht="13.8" x14ac:dyDescent="0.3">
      <c r="A117" s="832"/>
      <c r="B117" s="37">
        <f t="shared" si="2"/>
        <v>105</v>
      </c>
      <c r="C117" s="816" t="s">
        <v>426</v>
      </c>
      <c r="D117" s="740" t="s">
        <v>767</v>
      </c>
      <c r="E117" s="429" t="s">
        <v>782</v>
      </c>
      <c r="F117" s="510"/>
      <c r="G117" s="510">
        <v>46111</v>
      </c>
      <c r="H117" s="759">
        <v>52.21</v>
      </c>
      <c r="I117" s="833" t="s">
        <v>554</v>
      </c>
      <c r="J117" s="827"/>
      <c r="K117" s="827"/>
      <c r="L117" s="828"/>
      <c r="M117" s="745">
        <v>46125</v>
      </c>
      <c r="N117" s="486" t="s">
        <v>770</v>
      </c>
      <c r="O117" s="372"/>
      <c r="P117" s="373">
        <v>20</v>
      </c>
      <c r="Q117" s="836"/>
      <c r="R117" s="836"/>
      <c r="S117" s="836"/>
      <c r="T117" s="836"/>
      <c r="U117" s="836"/>
      <c r="V117" s="836"/>
      <c r="W117" s="836"/>
      <c r="X117" s="836"/>
      <c r="Y117" s="836"/>
      <c r="Z117" s="836"/>
    </row>
    <row r="118" spans="1:26" s="837" customFormat="1" ht="13.8" x14ac:dyDescent="0.3">
      <c r="A118" s="832"/>
      <c r="B118" s="37">
        <f t="shared" si="2"/>
        <v>106</v>
      </c>
      <c r="C118" s="683" t="s">
        <v>421</v>
      </c>
      <c r="D118" s="573" t="s">
        <v>766</v>
      </c>
      <c r="E118" s="814" t="s">
        <v>546</v>
      </c>
      <c r="F118" s="510"/>
      <c r="G118" s="510">
        <v>46077</v>
      </c>
      <c r="H118" s="429">
        <v>99.96</v>
      </c>
      <c r="I118" s="833" t="s">
        <v>554</v>
      </c>
      <c r="J118" s="827"/>
      <c r="K118" s="827"/>
      <c r="L118" s="828"/>
      <c r="M118" s="745">
        <v>46128</v>
      </c>
      <c r="N118" s="486" t="s">
        <v>743</v>
      </c>
      <c r="O118" s="372"/>
      <c r="P118" s="373">
        <v>10</v>
      </c>
      <c r="Q118" s="836"/>
      <c r="R118" s="836"/>
      <c r="S118" s="836"/>
      <c r="T118" s="836"/>
      <c r="U118" s="836"/>
      <c r="V118" s="836"/>
      <c r="W118" s="836"/>
      <c r="X118" s="836"/>
      <c r="Y118" s="836"/>
      <c r="Z118" s="836"/>
    </row>
    <row r="119" spans="1:26" s="402" customFormat="1" ht="13.8" x14ac:dyDescent="0.3">
      <c r="A119" s="397"/>
      <c r="B119" s="37">
        <f t="shared" si="2"/>
        <v>107</v>
      </c>
      <c r="C119" s="816" t="s">
        <v>314</v>
      </c>
      <c r="D119" s="740" t="s">
        <v>95</v>
      </c>
      <c r="E119" s="429" t="s">
        <v>92</v>
      </c>
      <c r="F119" s="510"/>
      <c r="G119" s="510">
        <v>46107</v>
      </c>
      <c r="H119" s="759">
        <v>26.43</v>
      </c>
      <c r="I119" s="833" t="s">
        <v>554</v>
      </c>
      <c r="J119" s="827"/>
      <c r="K119" s="827"/>
      <c r="L119" s="828"/>
      <c r="M119" s="745">
        <v>46128</v>
      </c>
      <c r="N119" s="486" t="s">
        <v>774</v>
      </c>
      <c r="O119" s="372"/>
      <c r="P119" s="373">
        <v>30</v>
      </c>
      <c r="Q119" s="852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16" t="s">
        <v>313</v>
      </c>
      <c r="D120" s="740" t="s">
        <v>87</v>
      </c>
      <c r="E120" s="429" t="s">
        <v>92</v>
      </c>
      <c r="F120" s="510"/>
      <c r="G120" s="510">
        <v>46121</v>
      </c>
      <c r="H120" s="500">
        <v>23.27</v>
      </c>
      <c r="I120" s="833" t="s">
        <v>554</v>
      </c>
      <c r="J120" s="827"/>
      <c r="K120" s="827"/>
      <c r="L120" s="828"/>
      <c r="M120" s="804">
        <v>46130</v>
      </c>
      <c r="N120" s="486" t="s">
        <v>774</v>
      </c>
      <c r="O120" s="372"/>
      <c r="P120" s="373">
        <v>30</v>
      </c>
      <c r="Q120" s="852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16" t="s">
        <v>301</v>
      </c>
      <c r="D121" s="740" t="s">
        <v>790</v>
      </c>
      <c r="E121" s="429" t="s">
        <v>92</v>
      </c>
      <c r="F121" s="510"/>
      <c r="G121" s="510">
        <v>46129</v>
      </c>
      <c r="H121" s="759">
        <v>46.6</v>
      </c>
      <c r="I121" s="833" t="s">
        <v>554</v>
      </c>
      <c r="J121" s="827"/>
      <c r="K121" s="827"/>
      <c r="L121" s="828"/>
      <c r="M121" s="804">
        <v>46133</v>
      </c>
      <c r="N121" s="486" t="s">
        <v>774</v>
      </c>
      <c r="O121" s="372"/>
      <c r="P121" s="373">
        <v>30</v>
      </c>
      <c r="Q121" s="852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16" t="s">
        <v>225</v>
      </c>
      <c r="D122" s="740" t="s">
        <v>87</v>
      </c>
      <c r="E122" s="429" t="s">
        <v>92</v>
      </c>
      <c r="F122" s="510"/>
      <c r="G122" s="510">
        <v>46127</v>
      </c>
      <c r="H122" s="500">
        <v>23.27</v>
      </c>
      <c r="I122" s="833" t="s">
        <v>554</v>
      </c>
      <c r="J122" s="827"/>
      <c r="K122" s="827"/>
      <c r="L122" s="828"/>
      <c r="M122" s="804">
        <v>46135</v>
      </c>
      <c r="N122" s="486" t="s">
        <v>743</v>
      </c>
      <c r="O122" s="372"/>
      <c r="P122" s="373">
        <v>10</v>
      </c>
      <c r="Q122" s="852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16" t="s">
        <v>445</v>
      </c>
      <c r="D123" s="740" t="s">
        <v>584</v>
      </c>
      <c r="E123" s="429" t="s">
        <v>92</v>
      </c>
      <c r="F123" s="510"/>
      <c r="G123" s="510">
        <v>46133</v>
      </c>
      <c r="H123" s="759">
        <v>90.34</v>
      </c>
      <c r="I123" s="833" t="s">
        <v>554</v>
      </c>
      <c r="J123" s="827"/>
      <c r="K123" s="827"/>
      <c r="L123" s="828"/>
      <c r="M123" s="804">
        <v>46138</v>
      </c>
      <c r="N123" s="486" t="s">
        <v>774</v>
      </c>
      <c r="O123" s="372"/>
      <c r="P123" s="373">
        <v>30</v>
      </c>
      <c r="Q123" s="852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16" t="s">
        <v>300</v>
      </c>
      <c r="D124" s="740" t="s">
        <v>87</v>
      </c>
      <c r="E124" s="429" t="s">
        <v>92</v>
      </c>
      <c r="F124" s="510"/>
      <c r="G124" s="510">
        <v>46139</v>
      </c>
      <c r="H124" s="500">
        <v>23.27</v>
      </c>
      <c r="I124" s="833" t="s">
        <v>554</v>
      </c>
      <c r="J124" s="827"/>
      <c r="K124" s="827"/>
      <c r="L124" s="828"/>
      <c r="M124" s="804">
        <v>46141</v>
      </c>
      <c r="N124" s="486" t="s">
        <v>774</v>
      </c>
      <c r="O124" s="372"/>
      <c r="P124" s="373">
        <v>16</v>
      </c>
      <c r="Q124" s="852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0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3" t="s">
        <v>554</v>
      </c>
      <c r="J125" s="827"/>
      <c r="K125" s="827"/>
      <c r="L125" s="828"/>
      <c r="M125" s="804">
        <v>46142</v>
      </c>
      <c r="N125" s="486" t="s">
        <v>743</v>
      </c>
      <c r="O125" s="372"/>
      <c r="P125" s="373">
        <v>10</v>
      </c>
      <c r="Q125" s="852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16" t="s">
        <v>444</v>
      </c>
      <c r="D126" s="990" t="s">
        <v>242</v>
      </c>
      <c r="E126" s="626" t="s">
        <v>92</v>
      </c>
      <c r="F126" s="519"/>
      <c r="G126" s="519">
        <v>46142</v>
      </c>
      <c r="H126" s="626">
        <v>55.59</v>
      </c>
      <c r="I126" s="988" t="s">
        <v>554</v>
      </c>
      <c r="J126" s="1019"/>
      <c r="K126" s="1019"/>
      <c r="L126" s="1020"/>
      <c r="M126" s="1021">
        <v>46145</v>
      </c>
      <c r="N126" s="994" t="s">
        <v>774</v>
      </c>
      <c r="O126" s="372"/>
      <c r="P126" s="373">
        <v>17</v>
      </c>
      <c r="Q126" s="852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16" t="s">
        <v>302</v>
      </c>
      <c r="D127" s="990" t="s">
        <v>95</v>
      </c>
      <c r="E127" s="626" t="s">
        <v>88</v>
      </c>
      <c r="F127" s="519"/>
      <c r="G127" s="519">
        <v>46141</v>
      </c>
      <c r="H127" s="626">
        <v>25.77</v>
      </c>
      <c r="I127" s="988" t="s">
        <v>554</v>
      </c>
      <c r="J127" s="1019"/>
      <c r="K127" s="1019"/>
      <c r="L127" s="1020"/>
      <c r="M127" s="1021">
        <v>46147</v>
      </c>
      <c r="N127" s="994" t="s">
        <v>774</v>
      </c>
      <c r="O127" s="372"/>
      <c r="P127" s="373">
        <v>17</v>
      </c>
      <c r="Q127" s="852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16" t="s">
        <v>211</v>
      </c>
      <c r="D128" s="990" t="s">
        <v>87</v>
      </c>
      <c r="E128" s="626" t="s">
        <v>92</v>
      </c>
      <c r="F128" s="519"/>
      <c r="G128" s="519">
        <v>46132</v>
      </c>
      <c r="H128" s="1022">
        <v>23.27</v>
      </c>
      <c r="I128" s="988" t="s">
        <v>554</v>
      </c>
      <c r="J128" s="1019"/>
      <c r="K128" s="1019"/>
      <c r="L128" s="1020"/>
      <c r="M128" s="993">
        <v>46152</v>
      </c>
      <c r="N128" s="994" t="s">
        <v>784</v>
      </c>
      <c r="O128" s="372"/>
      <c r="P128" s="373">
        <v>10</v>
      </c>
      <c r="Q128" s="852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16" t="s">
        <v>448</v>
      </c>
      <c r="D129" s="990" t="s">
        <v>673</v>
      </c>
      <c r="E129" s="626" t="s">
        <v>669</v>
      </c>
      <c r="F129" s="519"/>
      <c r="G129" s="519">
        <v>46148</v>
      </c>
      <c r="H129" s="1023">
        <v>74.680000000000007</v>
      </c>
      <c r="I129" s="988" t="s">
        <v>554</v>
      </c>
      <c r="J129" s="1019"/>
      <c r="K129" s="1019"/>
      <c r="L129" s="1020"/>
      <c r="M129" s="1021">
        <v>46155</v>
      </c>
      <c r="N129" s="994" t="s">
        <v>774</v>
      </c>
      <c r="O129" s="372"/>
      <c r="P129" s="373">
        <v>14</v>
      </c>
      <c r="Q129" s="852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16" t="s">
        <v>310</v>
      </c>
      <c r="D130" s="990" t="s">
        <v>95</v>
      </c>
      <c r="E130" s="626" t="s">
        <v>92</v>
      </c>
      <c r="F130" s="519"/>
      <c r="G130" s="519">
        <v>46155</v>
      </c>
      <c r="H130" s="1023">
        <v>26.43</v>
      </c>
      <c r="I130" s="988" t="s">
        <v>554</v>
      </c>
      <c r="J130" s="1019"/>
      <c r="K130" s="1019"/>
      <c r="L130" s="1020"/>
      <c r="M130" s="1021">
        <v>46158</v>
      </c>
      <c r="N130" s="994" t="s">
        <v>774</v>
      </c>
      <c r="O130" s="372"/>
      <c r="P130" s="373">
        <v>14</v>
      </c>
      <c r="Q130" s="852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374" t="s">
        <v>207</v>
      </c>
      <c r="D131" s="740" t="s">
        <v>95</v>
      </c>
      <c r="E131" s="429" t="s">
        <v>92</v>
      </c>
      <c r="F131" s="510"/>
      <c r="G131" s="510">
        <v>46127</v>
      </c>
      <c r="H131" s="755">
        <v>26.43</v>
      </c>
      <c r="I131" s="988" t="s">
        <v>554</v>
      </c>
      <c r="J131" s="827"/>
      <c r="K131" s="827"/>
      <c r="L131" s="1028"/>
      <c r="M131" s="515">
        <v>46161</v>
      </c>
      <c r="N131" s="994" t="s">
        <v>947</v>
      </c>
      <c r="O131" s="373"/>
      <c r="P131" s="373">
        <v>19</v>
      </c>
      <c r="Q131" s="852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374" t="s">
        <v>309</v>
      </c>
      <c r="D132" s="740" t="s">
        <v>113</v>
      </c>
      <c r="E132" s="429" t="s">
        <v>92</v>
      </c>
      <c r="F132" s="510">
        <v>46159</v>
      </c>
      <c r="G132" s="510">
        <v>46159</v>
      </c>
      <c r="H132" s="755">
        <v>26.43</v>
      </c>
      <c r="I132" s="988" t="s">
        <v>554</v>
      </c>
      <c r="J132" s="1019"/>
      <c r="K132" s="1019"/>
      <c r="L132" s="1020"/>
      <c r="M132" s="515">
        <v>46162</v>
      </c>
      <c r="N132" s="994" t="s">
        <v>774</v>
      </c>
      <c r="O132" s="373"/>
      <c r="P132" s="373">
        <v>14</v>
      </c>
      <c r="Q132" s="852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374" t="s">
        <v>308</v>
      </c>
      <c r="D133" s="740" t="s">
        <v>91</v>
      </c>
      <c r="E133" s="429" t="s">
        <v>92</v>
      </c>
      <c r="F133" s="510"/>
      <c r="G133" s="510">
        <v>46163</v>
      </c>
      <c r="H133" s="1042">
        <v>26.43</v>
      </c>
      <c r="I133" s="988" t="s">
        <v>554</v>
      </c>
      <c r="J133" s="827"/>
      <c r="K133" s="827"/>
      <c r="L133" s="828"/>
      <c r="M133" s="804">
        <v>46165</v>
      </c>
      <c r="N133" s="486" t="s">
        <v>774</v>
      </c>
      <c r="O133" s="372"/>
      <c r="P133" s="373">
        <v>12</v>
      </c>
      <c r="Q133" s="852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374" t="s">
        <v>206</v>
      </c>
      <c r="D134" s="740" t="s">
        <v>87</v>
      </c>
      <c r="E134" s="429" t="s">
        <v>92</v>
      </c>
      <c r="F134" s="510"/>
      <c r="G134" s="510">
        <v>46128</v>
      </c>
      <c r="H134" s="500">
        <v>23.27</v>
      </c>
      <c r="I134" s="988" t="s">
        <v>554</v>
      </c>
      <c r="J134" s="827"/>
      <c r="K134" s="827"/>
      <c r="L134" s="828"/>
      <c r="M134" s="804">
        <v>46166</v>
      </c>
      <c r="N134" s="486" t="s">
        <v>784</v>
      </c>
      <c r="O134" s="372"/>
      <c r="P134" s="373">
        <v>10</v>
      </c>
      <c r="Q134" s="852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429" t="s">
        <v>114</v>
      </c>
      <c r="D135" s="374" t="s">
        <v>87</v>
      </c>
      <c r="E135" s="429"/>
      <c r="F135" s="510"/>
      <c r="G135" s="510"/>
      <c r="H135" s="429"/>
      <c r="I135" s="1159" t="s">
        <v>693</v>
      </c>
      <c r="J135" s="1160"/>
      <c r="K135" s="1160"/>
      <c r="L135" s="1161"/>
      <c r="M135" s="372"/>
      <c r="N135" s="486" t="s">
        <v>694</v>
      </c>
      <c r="O135" s="372"/>
      <c r="P135" s="373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626" t="s">
        <v>280</v>
      </c>
      <c r="D136" s="374" t="s">
        <v>87</v>
      </c>
      <c r="E136" s="429"/>
      <c r="F136" s="510"/>
      <c r="G136" s="510"/>
      <c r="H136" s="429"/>
      <c r="I136" s="1159" t="s">
        <v>692</v>
      </c>
      <c r="J136" s="1160"/>
      <c r="K136" s="1160"/>
      <c r="L136" s="1161"/>
      <c r="M136" s="372"/>
      <c r="N136" s="486" t="s">
        <v>773</v>
      </c>
      <c r="O136" s="372"/>
      <c r="P136" s="373">
        <v>15</v>
      </c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429" t="s">
        <v>620</v>
      </c>
      <c r="D137" s="374" t="s">
        <v>87</v>
      </c>
      <c r="E137" s="429"/>
      <c r="F137" s="510"/>
      <c r="G137" s="510">
        <v>46052</v>
      </c>
      <c r="H137" s="429"/>
      <c r="I137" s="1207" t="s">
        <v>764</v>
      </c>
      <c r="J137" s="1208"/>
      <c r="K137" s="1208"/>
      <c r="L137" s="1209"/>
      <c r="N137" s="487"/>
      <c r="O137" s="372"/>
      <c r="P137" s="373">
        <v>11</v>
      </c>
      <c r="Q137" s="822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537" t="s">
        <v>471</v>
      </c>
      <c r="D138" s="374" t="s">
        <v>563</v>
      </c>
      <c r="E138" s="429"/>
      <c r="F138" s="510"/>
      <c r="G138" s="510">
        <v>46067</v>
      </c>
      <c r="H138" s="429"/>
      <c r="I138" s="1210" t="s">
        <v>740</v>
      </c>
      <c r="J138" s="1211"/>
      <c r="K138" s="1211"/>
      <c r="L138" s="1212"/>
      <c r="M138" s="523"/>
      <c r="N138" s="486"/>
      <c r="O138" s="372"/>
      <c r="P138" s="373">
        <v>18</v>
      </c>
      <c r="Q138" s="852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537" t="s">
        <v>359</v>
      </c>
      <c r="D139" s="374" t="s">
        <v>91</v>
      </c>
      <c r="E139" s="429"/>
      <c r="F139" s="510"/>
      <c r="G139" s="510">
        <v>46077</v>
      </c>
      <c r="H139" s="429"/>
      <c r="I139" s="1210" t="s">
        <v>740</v>
      </c>
      <c r="J139" s="1211"/>
      <c r="K139" s="1211"/>
      <c r="L139" s="1212"/>
      <c r="M139" s="638"/>
      <c r="N139" s="486"/>
      <c r="O139" s="372"/>
      <c r="P139" s="373">
        <v>18</v>
      </c>
      <c r="Q139" s="852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537" t="s">
        <v>742</v>
      </c>
      <c r="D140" s="740" t="s">
        <v>242</v>
      </c>
      <c r="E140" s="429"/>
      <c r="F140" s="510"/>
      <c r="G140" s="510">
        <v>46090</v>
      </c>
      <c r="H140" s="429"/>
      <c r="I140" s="1210" t="s">
        <v>740</v>
      </c>
      <c r="J140" s="1211"/>
      <c r="K140" s="1211"/>
      <c r="L140" s="1212"/>
      <c r="M140" s="638"/>
      <c r="N140" s="486"/>
      <c r="O140" s="372"/>
      <c r="P140" s="373">
        <v>10</v>
      </c>
      <c r="Q140" s="852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625" t="s">
        <v>361</v>
      </c>
      <c r="D141" s="740" t="s">
        <v>91</v>
      </c>
      <c r="E141" s="429" t="s">
        <v>92</v>
      </c>
      <c r="F141" s="510"/>
      <c r="G141" s="510">
        <v>46083</v>
      </c>
      <c r="H141" s="759">
        <v>26.43</v>
      </c>
      <c r="I141" s="1207" t="s">
        <v>768</v>
      </c>
      <c r="J141" s="1208"/>
      <c r="K141" s="1208"/>
      <c r="L141" s="1209"/>
      <c r="M141" s="638"/>
      <c r="N141" s="486"/>
      <c r="O141" s="372"/>
      <c r="P141" s="373">
        <v>18</v>
      </c>
      <c r="Q141" s="852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625" t="s">
        <v>360</v>
      </c>
      <c r="D142" s="740" t="s">
        <v>87</v>
      </c>
      <c r="E142" s="429"/>
      <c r="F142" s="510"/>
      <c r="G142" s="510">
        <v>46079</v>
      </c>
      <c r="H142" s="429"/>
      <c r="I142" s="1207" t="s">
        <v>768</v>
      </c>
      <c r="J142" s="1208"/>
      <c r="K142" s="1208"/>
      <c r="L142" s="1209"/>
      <c r="M142" s="638"/>
      <c r="N142" s="486"/>
      <c r="O142" s="372"/>
      <c r="P142" s="373">
        <v>18</v>
      </c>
      <c r="Q142" s="852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397</v>
      </c>
      <c r="D143" s="740" t="s">
        <v>87</v>
      </c>
      <c r="E143" s="429"/>
      <c r="F143" s="510"/>
      <c r="G143" s="510">
        <v>46094</v>
      </c>
      <c r="H143" s="756"/>
      <c r="I143" s="1210" t="s">
        <v>744</v>
      </c>
      <c r="J143" s="1211"/>
      <c r="K143" s="1211"/>
      <c r="L143" s="1212"/>
      <c r="M143" s="638"/>
      <c r="N143" s="486"/>
      <c r="O143" s="372"/>
      <c r="P143" s="373">
        <v>16</v>
      </c>
      <c r="Q143" s="852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223</v>
      </c>
      <c r="D144" s="740" t="s">
        <v>87</v>
      </c>
      <c r="E144" s="429"/>
      <c r="F144" s="510"/>
      <c r="G144" s="510">
        <v>46112</v>
      </c>
      <c r="H144" s="759"/>
      <c r="I144" s="1210" t="s">
        <v>740</v>
      </c>
      <c r="J144" s="1211"/>
      <c r="K144" s="1211"/>
      <c r="L144" s="1212"/>
      <c r="M144" s="638"/>
      <c r="N144" s="486"/>
      <c r="O144" s="372"/>
      <c r="P144" s="373"/>
      <c r="Q144" s="852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97" s="402" customFormat="1" ht="13.8" x14ac:dyDescent="0.3">
      <c r="A145" s="397"/>
      <c r="B145" s="37">
        <f t="shared" si="2"/>
        <v>133</v>
      </c>
      <c r="C145" s="374" t="s">
        <v>267</v>
      </c>
      <c r="D145" s="740" t="s">
        <v>87</v>
      </c>
      <c r="E145" s="429"/>
      <c r="F145" s="510"/>
      <c r="G145" s="510">
        <v>46122</v>
      </c>
      <c r="H145" s="759"/>
      <c r="I145" s="826" t="s">
        <v>783</v>
      </c>
      <c r="J145" s="827"/>
      <c r="K145" s="827"/>
      <c r="L145" s="828"/>
      <c r="M145" s="638"/>
      <c r="N145" s="486"/>
      <c r="O145" s="372"/>
      <c r="P145" s="373"/>
      <c r="Q145" s="852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97" s="402" customFormat="1" ht="13.8" x14ac:dyDescent="0.3">
      <c r="A146" s="397"/>
      <c r="B146" s="37">
        <f t="shared" si="2"/>
        <v>134</v>
      </c>
      <c r="C146" s="374" t="s">
        <v>262</v>
      </c>
      <c r="D146" s="740" t="s">
        <v>91</v>
      </c>
      <c r="E146" s="429"/>
      <c r="F146" s="510"/>
      <c r="G146" s="510">
        <v>46165</v>
      </c>
      <c r="H146" s="759"/>
      <c r="I146" s="1210" t="s">
        <v>992</v>
      </c>
      <c r="J146" s="1211"/>
      <c r="K146" s="1211"/>
      <c r="L146" s="1212"/>
      <c r="M146" s="638"/>
      <c r="N146" s="486" t="s">
        <v>743</v>
      </c>
      <c r="O146" s="372"/>
      <c r="P146" s="373">
        <v>12</v>
      </c>
      <c r="Q146" s="852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97" s="402" customFormat="1" ht="13.8" x14ac:dyDescent="0.3">
      <c r="A147" s="397"/>
      <c r="B147" s="37">
        <f t="shared" si="2"/>
        <v>135</v>
      </c>
      <c r="C147" s="374" t="s">
        <v>212</v>
      </c>
      <c r="D147" s="740" t="s">
        <v>87</v>
      </c>
      <c r="E147" s="429"/>
      <c r="F147" s="510"/>
      <c r="G147" s="510"/>
      <c r="H147" s="759"/>
      <c r="I147" s="826" t="s">
        <v>783</v>
      </c>
      <c r="J147" s="827"/>
      <c r="K147" s="827"/>
      <c r="L147" s="828"/>
      <c r="M147" s="638"/>
      <c r="N147" s="486"/>
      <c r="O147" s="372"/>
      <c r="P147" s="373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97" s="402" customFormat="1" ht="13.8" x14ac:dyDescent="0.3">
      <c r="A148" s="397"/>
      <c r="B148" s="37">
        <f t="shared" si="2"/>
        <v>136</v>
      </c>
      <c r="C148" s="374" t="s">
        <v>205</v>
      </c>
      <c r="D148" s="740" t="s">
        <v>95</v>
      </c>
      <c r="E148" s="429"/>
      <c r="F148" s="510"/>
      <c r="G148" s="510">
        <v>46125</v>
      </c>
      <c r="H148" s="759"/>
      <c r="I148" s="1210" t="s">
        <v>768</v>
      </c>
      <c r="J148" s="1211"/>
      <c r="K148" s="1211"/>
      <c r="L148" s="1212"/>
      <c r="M148" s="638"/>
      <c r="N148" s="486" t="s">
        <v>784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97" s="402" customFormat="1" ht="13.8" x14ac:dyDescent="0.3">
      <c r="A149" s="397"/>
      <c r="B149" s="37">
        <f t="shared" si="2"/>
        <v>137</v>
      </c>
      <c r="C149" s="374" t="s">
        <v>208</v>
      </c>
      <c r="D149" s="740" t="s">
        <v>91</v>
      </c>
      <c r="E149" s="429"/>
      <c r="F149" s="510"/>
      <c r="G149" s="510">
        <v>46128</v>
      </c>
      <c r="H149" s="759"/>
      <c r="I149" s="1210" t="s">
        <v>791</v>
      </c>
      <c r="J149" s="1211"/>
      <c r="K149" s="1211"/>
      <c r="L149" s="1212"/>
      <c r="M149" s="638"/>
      <c r="N149" s="486" t="s">
        <v>784</v>
      </c>
      <c r="O149" s="372"/>
      <c r="P149" s="373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97" s="402" customFormat="1" ht="13.8" x14ac:dyDescent="0.3">
      <c r="A150" s="397"/>
      <c r="B150" s="37">
        <f t="shared" si="2"/>
        <v>138</v>
      </c>
      <c r="C150" s="374" t="s">
        <v>429</v>
      </c>
      <c r="D150" s="740" t="s">
        <v>691</v>
      </c>
      <c r="E150" s="429"/>
      <c r="F150" s="510"/>
      <c r="G150" s="510">
        <v>46125</v>
      </c>
      <c r="H150" s="759"/>
      <c r="I150" s="1210" t="s">
        <v>744</v>
      </c>
      <c r="J150" s="1211"/>
      <c r="K150" s="1211"/>
      <c r="L150" s="1212"/>
      <c r="M150" s="638"/>
      <c r="N150" s="486" t="s">
        <v>951</v>
      </c>
      <c r="O150" s="372"/>
      <c r="P150" s="373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97" s="402" customFormat="1" ht="13.8" x14ac:dyDescent="0.3">
      <c r="A151" s="397"/>
      <c r="B151" s="37">
        <f t="shared" si="2"/>
        <v>139</v>
      </c>
      <c r="C151" s="374" t="s">
        <v>420</v>
      </c>
      <c r="D151" s="740" t="s">
        <v>674</v>
      </c>
      <c r="E151" s="429"/>
      <c r="F151" s="510"/>
      <c r="G151" s="510">
        <v>46156</v>
      </c>
      <c r="H151" s="759"/>
      <c r="I151" s="826" t="s">
        <v>791</v>
      </c>
      <c r="J151" s="827"/>
      <c r="K151" s="827"/>
      <c r="L151" s="828"/>
      <c r="M151" s="638"/>
      <c r="N151" s="486" t="s">
        <v>950</v>
      </c>
      <c r="O151" s="372"/>
      <c r="P151" s="373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97" s="402" customFormat="1" ht="13.8" x14ac:dyDescent="0.3">
      <c r="A152" s="397"/>
      <c r="B152" s="37">
        <f t="shared" si="2"/>
        <v>140</v>
      </c>
      <c r="C152" s="374" t="s">
        <v>447</v>
      </c>
      <c r="D152" s="573" t="s">
        <v>242</v>
      </c>
      <c r="E152" s="429"/>
      <c r="F152" s="510"/>
      <c r="G152" s="510"/>
      <c r="H152" s="759"/>
      <c r="I152" s="1210" t="s">
        <v>993</v>
      </c>
      <c r="J152" s="1211"/>
      <c r="K152" s="1211"/>
      <c r="L152" s="1212"/>
      <c r="M152" s="638"/>
      <c r="N152" s="486" t="s">
        <v>774</v>
      </c>
      <c r="O152" s="372"/>
      <c r="P152" s="373">
        <v>12</v>
      </c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97" s="402" customFormat="1" ht="13.8" x14ac:dyDescent="0.3">
      <c r="A153" s="397"/>
      <c r="B153" s="37">
        <f t="shared" si="2"/>
        <v>141</v>
      </c>
      <c r="C153" s="374" t="s">
        <v>419</v>
      </c>
      <c r="D153" s="740" t="s">
        <v>957</v>
      </c>
      <c r="E153" s="429"/>
      <c r="F153" s="510"/>
      <c r="G153" s="510"/>
      <c r="H153" s="1042"/>
      <c r="I153" s="826" t="s">
        <v>744</v>
      </c>
      <c r="J153" s="827"/>
      <c r="K153" s="827"/>
      <c r="L153" s="828"/>
      <c r="M153" s="638"/>
      <c r="N153" s="486" t="s">
        <v>784</v>
      </c>
      <c r="O153" s="372"/>
      <c r="P153" s="373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97" s="402" customFormat="1" ht="13.8" x14ac:dyDescent="0.3">
      <c r="A154" s="397"/>
      <c r="B154" s="37"/>
      <c r="C154" s="477" t="s">
        <v>678</v>
      </c>
      <c r="D154" s="374"/>
      <c r="E154" s="429"/>
      <c r="F154" s="510"/>
      <c r="G154" s="510"/>
      <c r="H154" s="429"/>
      <c r="I154" s="1210"/>
      <c r="J154" s="1211"/>
      <c r="K154" s="1211"/>
      <c r="L154" s="1212"/>
      <c r="M154" s="515"/>
      <c r="N154" s="487"/>
      <c r="O154" s="372"/>
      <c r="P154" s="373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97" s="402" customFormat="1" ht="13.8" x14ac:dyDescent="0.3">
      <c r="A155" s="397"/>
      <c r="B155" s="400"/>
      <c r="C155" s="817"/>
      <c r="D155" s="400"/>
      <c r="E155" s="818"/>
      <c r="F155" s="819"/>
      <c r="G155" s="819"/>
      <c r="H155" s="818"/>
      <c r="I155" s="820"/>
      <c r="J155" s="820"/>
      <c r="K155" s="820"/>
      <c r="L155" s="820"/>
      <c r="M155" s="821"/>
      <c r="N155" s="822"/>
      <c r="O155" s="823"/>
      <c r="P155" s="824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97" ht="14.4" thickBot="1" x14ac:dyDescent="0.35"/>
    <row r="157" spans="1:97" ht="15" customHeight="1" thickBot="1" x14ac:dyDescent="0.35">
      <c r="B157" s="530" t="s">
        <v>97</v>
      </c>
      <c r="C157" s="433"/>
      <c r="D157" s="433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00"/>
      <c r="Q157" s="367"/>
      <c r="R157" s="1"/>
      <c r="S157" s="1"/>
      <c r="T157" s="1"/>
      <c r="U157" s="1"/>
      <c r="V157" s="1"/>
      <c r="W157" s="1"/>
      <c r="X157" s="1"/>
      <c r="Y157" s="1"/>
      <c r="Z157" s="1"/>
    </row>
    <row r="158" spans="1:97" ht="13.8" x14ac:dyDescent="0.3">
      <c r="B158" s="36" t="s">
        <v>98</v>
      </c>
      <c r="C158" s="36" t="s">
        <v>74</v>
      </c>
      <c r="D158" s="36" t="s">
        <v>75</v>
      </c>
      <c r="E158" s="36" t="s">
        <v>76</v>
      </c>
      <c r="F158" s="36" t="s">
        <v>77</v>
      </c>
      <c r="G158" s="36" t="s">
        <v>78</v>
      </c>
      <c r="H158" s="1213" t="s">
        <v>99</v>
      </c>
      <c r="I158" s="1214"/>
      <c r="J158" s="1214"/>
      <c r="K158" s="1215"/>
      <c r="L158" s="36" t="s">
        <v>81</v>
      </c>
      <c r="M158" s="36" t="s">
        <v>82</v>
      </c>
      <c r="N158" s="44" t="s">
        <v>100</v>
      </c>
      <c r="O158" s="394" t="s">
        <v>739</v>
      </c>
      <c r="P158" s="430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97" s="402" customFormat="1" ht="13.8" x14ac:dyDescent="0.3">
      <c r="A159" s="397"/>
      <c r="B159" s="377">
        <v>1</v>
      </c>
      <c r="C159" s="533" t="s">
        <v>86</v>
      </c>
      <c r="D159" s="378" t="s">
        <v>87</v>
      </c>
      <c r="E159" s="378" t="s">
        <v>88</v>
      </c>
      <c r="F159" s="524">
        <v>45848</v>
      </c>
      <c r="G159" s="379">
        <v>45908</v>
      </c>
      <c r="H159" s="1216" t="s">
        <v>553</v>
      </c>
      <c r="I159" s="1217"/>
      <c r="J159" s="1217"/>
      <c r="K159" s="1218"/>
      <c r="L159" s="379">
        <v>45908</v>
      </c>
      <c r="M159" s="488" t="s">
        <v>89</v>
      </c>
      <c r="N159" s="381"/>
      <c r="O159" s="381"/>
      <c r="P159" s="374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97" s="516" customFormat="1" ht="13.8" x14ac:dyDescent="0.3">
      <c r="A160" s="397"/>
      <c r="B160" s="377">
        <f>B159+1</f>
        <v>2</v>
      </c>
      <c r="C160" s="384" t="s">
        <v>96</v>
      </c>
      <c r="D160" s="387" t="s">
        <v>87</v>
      </c>
      <c r="E160" s="385" t="s">
        <v>547</v>
      </c>
      <c r="F160" s="525">
        <v>45898</v>
      </c>
      <c r="G160" s="386">
        <v>45924</v>
      </c>
      <c r="H160" s="1219" t="s">
        <v>553</v>
      </c>
      <c r="I160" s="1220"/>
      <c r="J160" s="1220"/>
      <c r="K160" s="1221"/>
      <c r="L160" s="386">
        <v>45924</v>
      </c>
      <c r="M160" s="489" t="s">
        <v>89</v>
      </c>
      <c r="N160" s="383"/>
      <c r="O160" s="395"/>
      <c r="P160" s="374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  <c r="AA160" s="402"/>
      <c r="AB160" s="402"/>
      <c r="AC160" s="402"/>
      <c r="AD160" s="402"/>
      <c r="AE160" s="402"/>
      <c r="AF160" s="402"/>
      <c r="AG160" s="402"/>
      <c r="AH160" s="402"/>
      <c r="AI160" s="402"/>
      <c r="AJ160" s="402"/>
      <c r="AK160" s="402"/>
      <c r="AL160" s="402"/>
      <c r="AM160" s="402"/>
      <c r="AN160" s="402"/>
      <c r="AO160" s="402"/>
      <c r="AP160" s="402"/>
      <c r="AQ160" s="402"/>
      <c r="AR160" s="402"/>
      <c r="AS160" s="402"/>
      <c r="AT160" s="402"/>
      <c r="AU160" s="402"/>
      <c r="AV160" s="402"/>
      <c r="AW160" s="402"/>
      <c r="AX160" s="402"/>
      <c r="AY160" s="402"/>
      <c r="AZ160" s="402"/>
      <c r="BA160" s="402"/>
      <c r="BB160" s="402"/>
      <c r="BC160" s="402"/>
      <c r="BD160" s="402"/>
      <c r="BE160" s="402"/>
      <c r="BF160" s="402"/>
      <c r="BG160" s="402"/>
      <c r="BH160" s="402"/>
      <c r="BI160" s="402"/>
      <c r="BJ160" s="402"/>
      <c r="BK160" s="402"/>
      <c r="BL160" s="402"/>
      <c r="BM160" s="402"/>
      <c r="BN160" s="402"/>
      <c r="BO160" s="402"/>
      <c r="BP160" s="402"/>
      <c r="BQ160" s="402"/>
      <c r="BR160" s="402"/>
      <c r="BS160" s="402"/>
      <c r="BT160" s="402"/>
      <c r="BU160" s="402"/>
      <c r="BV160" s="402"/>
      <c r="BW160" s="402"/>
      <c r="BX160" s="402"/>
      <c r="BY160" s="402"/>
      <c r="BZ160" s="402"/>
      <c r="CA160" s="402"/>
      <c r="CB160" s="402"/>
      <c r="CC160" s="402"/>
      <c r="CD160" s="402"/>
      <c r="CE160" s="402"/>
      <c r="CF160" s="402"/>
      <c r="CG160" s="402"/>
      <c r="CH160" s="402"/>
      <c r="CI160" s="402"/>
      <c r="CJ160" s="402"/>
      <c r="CK160" s="402"/>
      <c r="CL160" s="402"/>
      <c r="CM160" s="402"/>
      <c r="CN160" s="402"/>
      <c r="CO160" s="402"/>
      <c r="CP160" s="402"/>
      <c r="CQ160" s="402"/>
      <c r="CR160" s="402"/>
      <c r="CS160" s="526"/>
    </row>
    <row r="161" spans="1:26" s="402" customFormat="1" ht="13.8" x14ac:dyDescent="0.3">
      <c r="A161" s="397"/>
      <c r="B161" s="377">
        <f t="shared" ref="B161:B226" si="3">B160+1</f>
        <v>3</v>
      </c>
      <c r="C161" s="384" t="s">
        <v>278</v>
      </c>
      <c r="D161" s="385" t="s">
        <v>95</v>
      </c>
      <c r="E161" s="385" t="s">
        <v>547</v>
      </c>
      <c r="F161" s="525">
        <v>45933</v>
      </c>
      <c r="G161" s="386">
        <v>45949</v>
      </c>
      <c r="H161" s="1204" t="s">
        <v>553</v>
      </c>
      <c r="I161" s="1205"/>
      <c r="J161" s="1205"/>
      <c r="K161" s="1206"/>
      <c r="L161" s="386">
        <v>45949</v>
      </c>
      <c r="M161" s="486" t="s">
        <v>679</v>
      </c>
      <c r="N161" s="383"/>
      <c r="O161" s="383"/>
      <c r="P161" s="374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s="402" customFormat="1" ht="13.8" x14ac:dyDescent="0.3">
      <c r="A162" s="397"/>
      <c r="B162" s="377">
        <f t="shared" si="3"/>
        <v>4</v>
      </c>
      <c r="C162" s="384" t="s">
        <v>323</v>
      </c>
      <c r="D162" s="385" t="s">
        <v>87</v>
      </c>
      <c r="E162" s="385" t="s">
        <v>547</v>
      </c>
      <c r="F162" s="386"/>
      <c r="G162" s="386">
        <v>45992</v>
      </c>
      <c r="H162" s="1204" t="s">
        <v>553</v>
      </c>
      <c r="I162" s="1205"/>
      <c r="J162" s="1205"/>
      <c r="K162" s="1206"/>
      <c r="L162" s="386">
        <v>45992</v>
      </c>
      <c r="M162" s="486" t="s">
        <v>89</v>
      </c>
      <c r="N162" s="383"/>
      <c r="O162" s="383"/>
      <c r="P162" s="374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s="402" customFormat="1" ht="13.8" x14ac:dyDescent="0.3">
      <c r="A163" s="397"/>
      <c r="B163" s="377">
        <f t="shared" si="3"/>
        <v>5</v>
      </c>
      <c r="C163" s="384" t="s">
        <v>325</v>
      </c>
      <c r="D163" s="385" t="s">
        <v>87</v>
      </c>
      <c r="E163" s="385" t="s">
        <v>547</v>
      </c>
      <c r="F163" s="386"/>
      <c r="G163" s="386">
        <v>46010</v>
      </c>
      <c r="H163" s="1204" t="s">
        <v>553</v>
      </c>
      <c r="I163" s="1205"/>
      <c r="J163" s="1205"/>
      <c r="K163" s="1206"/>
      <c r="L163" s="386">
        <v>46010</v>
      </c>
      <c r="M163" s="486" t="s">
        <v>89</v>
      </c>
      <c r="N163" s="383"/>
      <c r="O163" s="383"/>
      <c r="P163" s="374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s="402" customFormat="1" ht="13.8" x14ac:dyDescent="0.3">
      <c r="A164" s="397"/>
      <c r="B164" s="377">
        <f t="shared" si="3"/>
        <v>6</v>
      </c>
      <c r="C164" s="534" t="s">
        <v>329</v>
      </c>
      <c r="D164" s="385" t="s">
        <v>87</v>
      </c>
      <c r="E164" s="374" t="s">
        <v>88</v>
      </c>
      <c r="F164" s="386"/>
      <c r="G164" s="386">
        <v>46011</v>
      </c>
      <c r="H164" s="1204" t="s">
        <v>553</v>
      </c>
      <c r="I164" s="1205"/>
      <c r="J164" s="1205"/>
      <c r="K164" s="1206"/>
      <c r="L164" s="386">
        <v>46011</v>
      </c>
      <c r="M164" s="486" t="s">
        <v>89</v>
      </c>
      <c r="N164" s="374"/>
      <c r="O164" s="384"/>
      <c r="P164" s="384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s="402" customFormat="1" ht="15.6" customHeight="1" x14ac:dyDescent="0.3">
      <c r="A165" s="397"/>
      <c r="B165" s="377">
        <f t="shared" si="3"/>
        <v>7</v>
      </c>
      <c r="C165" s="684" t="s">
        <v>260</v>
      </c>
      <c r="D165" s="385" t="s">
        <v>87</v>
      </c>
      <c r="E165" s="383" t="s">
        <v>92</v>
      </c>
      <c r="F165" s="434"/>
      <c r="G165" s="434">
        <v>46016</v>
      </c>
      <c r="H165" s="1204" t="s">
        <v>553</v>
      </c>
      <c r="I165" s="1205"/>
      <c r="J165" s="1205"/>
      <c r="K165" s="1206"/>
      <c r="L165" s="434">
        <v>46016</v>
      </c>
      <c r="M165" s="486" t="s">
        <v>679</v>
      </c>
      <c r="N165" s="420"/>
      <c r="O165" s="420"/>
      <c r="P165" s="420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s="402" customFormat="1" ht="15.6" customHeight="1" x14ac:dyDescent="0.3">
      <c r="A166" s="397"/>
      <c r="B166" s="377">
        <f t="shared" si="3"/>
        <v>8</v>
      </c>
      <c r="C166" s="384" t="s">
        <v>337</v>
      </c>
      <c r="D166" s="385" t="s">
        <v>91</v>
      </c>
      <c r="E166" s="383" t="s">
        <v>669</v>
      </c>
      <c r="F166" s="434"/>
      <c r="G166" s="434">
        <v>46020</v>
      </c>
      <c r="H166" s="1222" t="s">
        <v>553</v>
      </c>
      <c r="I166" s="1223"/>
      <c r="J166" s="1223"/>
      <c r="K166" s="1224"/>
      <c r="L166" s="434">
        <v>46020</v>
      </c>
      <c r="M166" s="488" t="s">
        <v>89</v>
      </c>
      <c r="N166" s="420"/>
      <c r="O166" s="420"/>
      <c r="P166" s="42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s="402" customFormat="1" ht="15.6" customHeight="1" x14ac:dyDescent="0.3">
      <c r="A167" s="397"/>
      <c r="B167" s="377">
        <f t="shared" si="3"/>
        <v>9</v>
      </c>
      <c r="C167" s="535" t="s">
        <v>94</v>
      </c>
      <c r="D167" s="432" t="s">
        <v>95</v>
      </c>
      <c r="E167" s="438" t="s">
        <v>546</v>
      </c>
      <c r="F167" s="439"/>
      <c r="G167" s="439">
        <v>46021</v>
      </c>
      <c r="H167" s="1222" t="s">
        <v>553</v>
      </c>
      <c r="I167" s="1223"/>
      <c r="J167" s="1223"/>
      <c r="K167" s="1224"/>
      <c r="L167" s="439">
        <v>46021</v>
      </c>
      <c r="M167" s="488" t="s">
        <v>89</v>
      </c>
      <c r="N167" s="440"/>
      <c r="O167" s="440"/>
      <c r="P167" s="44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s="402" customFormat="1" ht="15.6" customHeight="1" x14ac:dyDescent="0.3">
      <c r="A168" s="397"/>
      <c r="B168" s="377">
        <f t="shared" si="3"/>
        <v>10</v>
      </c>
      <c r="C168" s="384" t="s">
        <v>401</v>
      </c>
      <c r="D168" s="385" t="s">
        <v>87</v>
      </c>
      <c r="E168" s="383" t="s">
        <v>547</v>
      </c>
      <c r="F168" s="434"/>
      <c r="G168" s="434">
        <v>46023</v>
      </c>
      <c r="H168" s="1204" t="s">
        <v>553</v>
      </c>
      <c r="I168" s="1205"/>
      <c r="J168" s="1205"/>
      <c r="K168" s="1206"/>
      <c r="L168" s="434">
        <v>46023</v>
      </c>
      <c r="M168" s="486" t="s">
        <v>667</v>
      </c>
      <c r="N168" s="420"/>
      <c r="O168" s="420"/>
      <c r="P168" s="42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s="402" customFormat="1" ht="15.6" customHeight="1" x14ac:dyDescent="0.3">
      <c r="A169" s="397"/>
      <c r="B169" s="377">
        <f t="shared" si="3"/>
        <v>11</v>
      </c>
      <c r="C169" s="384" t="s">
        <v>400</v>
      </c>
      <c r="D169" s="385" t="s">
        <v>87</v>
      </c>
      <c r="E169" s="383" t="s">
        <v>92</v>
      </c>
      <c r="F169" s="434"/>
      <c r="G169" s="434">
        <v>46028</v>
      </c>
      <c r="H169" s="1204" t="s">
        <v>553</v>
      </c>
      <c r="I169" s="1205"/>
      <c r="J169" s="1205"/>
      <c r="K169" s="1206"/>
      <c r="L169" s="434">
        <v>46028</v>
      </c>
      <c r="M169" s="486" t="s">
        <v>667</v>
      </c>
      <c r="N169" s="420"/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s="402" customFormat="1" ht="15.6" customHeight="1" x14ac:dyDescent="0.3">
      <c r="A170" s="397"/>
      <c r="B170" s="377">
        <f t="shared" si="3"/>
        <v>12</v>
      </c>
      <c r="C170" s="384" t="s">
        <v>402</v>
      </c>
      <c r="D170" s="385" t="s">
        <v>87</v>
      </c>
      <c r="E170" s="383" t="s">
        <v>92</v>
      </c>
      <c r="F170" s="434"/>
      <c r="G170" s="434">
        <v>46028</v>
      </c>
      <c r="H170" s="1204" t="s">
        <v>553</v>
      </c>
      <c r="I170" s="1205"/>
      <c r="J170" s="1205"/>
      <c r="K170" s="1206"/>
      <c r="L170" s="434">
        <v>46028</v>
      </c>
      <c r="M170" s="486" t="s">
        <v>667</v>
      </c>
      <c r="N170" s="420"/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s="402" customFormat="1" ht="15.6" customHeight="1" x14ac:dyDescent="0.3">
      <c r="A171" s="397"/>
      <c r="B171" s="377">
        <f t="shared" si="3"/>
        <v>13</v>
      </c>
      <c r="C171" s="384" t="s">
        <v>403</v>
      </c>
      <c r="D171" s="385" t="s">
        <v>87</v>
      </c>
      <c r="E171" s="383" t="s">
        <v>92</v>
      </c>
      <c r="F171" s="434"/>
      <c r="G171" s="434">
        <v>46028</v>
      </c>
      <c r="H171" s="1149" t="s">
        <v>553</v>
      </c>
      <c r="I171" s="1150"/>
      <c r="J171" s="1150"/>
      <c r="K171" s="1150"/>
      <c r="L171" s="434">
        <v>46028</v>
      </c>
      <c r="M171" s="486" t="s">
        <v>667</v>
      </c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s="402" customFormat="1" ht="15.6" customHeight="1" x14ac:dyDescent="0.3">
      <c r="A172" s="397"/>
      <c r="B172" s="377">
        <f t="shared" si="3"/>
        <v>14</v>
      </c>
      <c r="C172" s="384" t="s">
        <v>398</v>
      </c>
      <c r="D172" s="385" t="s">
        <v>87</v>
      </c>
      <c r="E172" s="383" t="s">
        <v>92</v>
      </c>
      <c r="F172" s="434"/>
      <c r="G172" s="434">
        <v>46029</v>
      </c>
      <c r="H172" s="1222" t="s">
        <v>553</v>
      </c>
      <c r="I172" s="1223"/>
      <c r="J172" s="1223"/>
      <c r="K172" s="1224"/>
      <c r="L172" s="434">
        <v>46029</v>
      </c>
      <c r="M172" s="486" t="s">
        <v>667</v>
      </c>
      <c r="N172" s="420"/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s="402" customFormat="1" ht="15.6" customHeight="1" x14ac:dyDescent="0.3">
      <c r="A173" s="397"/>
      <c r="B173" s="377">
        <f t="shared" si="3"/>
        <v>15</v>
      </c>
      <c r="C173" s="384" t="s">
        <v>399</v>
      </c>
      <c r="D173" s="385" t="s">
        <v>87</v>
      </c>
      <c r="E173" s="383" t="s">
        <v>547</v>
      </c>
      <c r="F173" s="434"/>
      <c r="G173" s="434">
        <v>46029</v>
      </c>
      <c r="H173" s="1204" t="s">
        <v>553</v>
      </c>
      <c r="I173" s="1205"/>
      <c r="J173" s="1205"/>
      <c r="K173" s="1206"/>
      <c r="L173" s="434">
        <v>46029</v>
      </c>
      <c r="M173" s="486" t="s">
        <v>667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s="402" customFormat="1" ht="15.6" customHeight="1" x14ac:dyDescent="0.3">
      <c r="A174" s="397"/>
      <c r="B174" s="377">
        <f t="shared" si="3"/>
        <v>16</v>
      </c>
      <c r="C174" s="384" t="s">
        <v>318</v>
      </c>
      <c r="D174" s="385" t="s">
        <v>95</v>
      </c>
      <c r="E174" s="383" t="s">
        <v>669</v>
      </c>
      <c r="F174" s="434"/>
      <c r="G174" s="434">
        <v>46033</v>
      </c>
      <c r="H174" s="1149" t="s">
        <v>553</v>
      </c>
      <c r="I174" s="1150"/>
      <c r="J174" s="1150"/>
      <c r="K174" s="1150"/>
      <c r="L174" s="434">
        <v>46033</v>
      </c>
      <c r="M174" s="486" t="s">
        <v>680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s="402" customFormat="1" ht="15.6" customHeight="1" x14ac:dyDescent="0.3">
      <c r="A175" s="397"/>
      <c r="B175" s="377">
        <f t="shared" si="3"/>
        <v>17</v>
      </c>
      <c r="C175" s="384" t="s">
        <v>319</v>
      </c>
      <c r="D175" s="385" t="s">
        <v>87</v>
      </c>
      <c r="E175" s="383" t="s">
        <v>88</v>
      </c>
      <c r="F175" s="434"/>
      <c r="G175" s="434">
        <v>46033</v>
      </c>
      <c r="H175" s="1149" t="s">
        <v>553</v>
      </c>
      <c r="I175" s="1150"/>
      <c r="J175" s="1150"/>
      <c r="K175" s="1150"/>
      <c r="L175" s="434">
        <v>46033</v>
      </c>
      <c r="M175" s="486" t="s">
        <v>680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s="402" customFormat="1" ht="15.6" customHeight="1" x14ac:dyDescent="0.3">
      <c r="A176" s="397"/>
      <c r="B176" s="377">
        <f t="shared" si="3"/>
        <v>18</v>
      </c>
      <c r="C176" s="684" t="s">
        <v>259</v>
      </c>
      <c r="D176" s="385" t="s">
        <v>91</v>
      </c>
      <c r="E176" s="383" t="s">
        <v>547</v>
      </c>
      <c r="F176" s="434"/>
      <c r="G176" s="434">
        <v>46037</v>
      </c>
      <c r="H176" s="1149" t="s">
        <v>553</v>
      </c>
      <c r="I176" s="1150"/>
      <c r="J176" s="1150"/>
      <c r="K176" s="1150"/>
      <c r="L176" s="434">
        <v>46037</v>
      </c>
      <c r="M176" s="486" t="s">
        <v>679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19</v>
      </c>
      <c r="C177" s="684" t="s">
        <v>261</v>
      </c>
      <c r="D177" s="385" t="s">
        <v>91</v>
      </c>
      <c r="E177" s="383" t="s">
        <v>669</v>
      </c>
      <c r="F177" s="434"/>
      <c r="G177" s="434">
        <v>46037</v>
      </c>
      <c r="H177" s="1149" t="s">
        <v>553</v>
      </c>
      <c r="I177" s="1150"/>
      <c r="J177" s="1150"/>
      <c r="K177" s="1150"/>
      <c r="L177" s="434">
        <v>46037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20</v>
      </c>
      <c r="C178" s="684" t="s">
        <v>271</v>
      </c>
      <c r="D178" s="385" t="s">
        <v>87</v>
      </c>
      <c r="E178" s="383" t="s">
        <v>547</v>
      </c>
      <c r="F178" s="434"/>
      <c r="G178" s="434">
        <v>46038</v>
      </c>
      <c r="H178" s="1149" t="s">
        <v>553</v>
      </c>
      <c r="I178" s="1150"/>
      <c r="J178" s="1150"/>
      <c r="K178" s="1150"/>
      <c r="L178" s="434">
        <v>46038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21</v>
      </c>
      <c r="C179" s="684" t="s">
        <v>272</v>
      </c>
      <c r="D179" s="385" t="s">
        <v>87</v>
      </c>
      <c r="E179" s="383" t="s">
        <v>547</v>
      </c>
      <c r="F179" s="434"/>
      <c r="G179" s="434">
        <v>46038</v>
      </c>
      <c r="H179" s="1149" t="s">
        <v>553</v>
      </c>
      <c r="I179" s="1150"/>
      <c r="J179" s="1150"/>
      <c r="K179" s="1150"/>
      <c r="L179" s="434">
        <v>46038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22</v>
      </c>
      <c r="C180" s="684" t="s">
        <v>264</v>
      </c>
      <c r="D180" s="385" t="s">
        <v>563</v>
      </c>
      <c r="E180" s="383" t="s">
        <v>547</v>
      </c>
      <c r="F180" s="434"/>
      <c r="G180" s="434">
        <v>46040</v>
      </c>
      <c r="H180" s="1149" t="s">
        <v>553</v>
      </c>
      <c r="I180" s="1150"/>
      <c r="J180" s="1150"/>
      <c r="K180" s="1150"/>
      <c r="L180" s="434">
        <v>46040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23</v>
      </c>
      <c r="C181" s="684" t="s">
        <v>263</v>
      </c>
      <c r="D181" s="385" t="s">
        <v>87</v>
      </c>
      <c r="E181" s="383" t="s">
        <v>547</v>
      </c>
      <c r="F181" s="434"/>
      <c r="G181" s="434">
        <v>46043</v>
      </c>
      <c r="H181" s="1149" t="s">
        <v>553</v>
      </c>
      <c r="I181" s="1150"/>
      <c r="J181" s="1150"/>
      <c r="K181" s="1150"/>
      <c r="L181" s="434">
        <v>46043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24</v>
      </c>
      <c r="C182" s="684" t="s">
        <v>273</v>
      </c>
      <c r="D182" s="385" t="s">
        <v>87</v>
      </c>
      <c r="E182" s="383" t="s">
        <v>92</v>
      </c>
      <c r="F182" s="434"/>
      <c r="G182" s="434">
        <v>46044</v>
      </c>
      <c r="H182" s="1149" t="s">
        <v>553</v>
      </c>
      <c r="I182" s="1150"/>
      <c r="J182" s="1150"/>
      <c r="K182" s="1150"/>
      <c r="L182" s="434">
        <v>46044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25</v>
      </c>
      <c r="C183" s="684" t="s">
        <v>270</v>
      </c>
      <c r="D183" s="385" t="s">
        <v>95</v>
      </c>
      <c r="E183" s="383" t="s">
        <v>547</v>
      </c>
      <c r="F183" s="434"/>
      <c r="G183" s="434">
        <v>46044</v>
      </c>
      <c r="H183" s="1149" t="s">
        <v>553</v>
      </c>
      <c r="I183" s="1150"/>
      <c r="J183" s="1150"/>
      <c r="K183" s="1150"/>
      <c r="L183" s="434">
        <v>46044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26</v>
      </c>
      <c r="C184" s="384" t="s">
        <v>281</v>
      </c>
      <c r="D184" s="385" t="s">
        <v>87</v>
      </c>
      <c r="E184" s="383" t="s">
        <v>92</v>
      </c>
      <c r="F184" s="434"/>
      <c r="G184" s="434">
        <v>46045</v>
      </c>
      <c r="H184" s="1149" t="s">
        <v>553</v>
      </c>
      <c r="I184" s="1150"/>
      <c r="J184" s="1150"/>
      <c r="K184" s="1150"/>
      <c r="L184" s="434">
        <v>46045</v>
      </c>
      <c r="M184" s="486" t="s">
        <v>679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27</v>
      </c>
      <c r="C185" s="384" t="s">
        <v>289</v>
      </c>
      <c r="D185" s="385" t="s">
        <v>91</v>
      </c>
      <c r="E185" s="383" t="s">
        <v>92</v>
      </c>
      <c r="F185" s="434"/>
      <c r="G185" s="434">
        <v>46046</v>
      </c>
      <c r="H185" s="1149" t="s">
        <v>553</v>
      </c>
      <c r="I185" s="1150"/>
      <c r="J185" s="1150"/>
      <c r="K185" s="1150"/>
      <c r="L185" s="434">
        <v>46046</v>
      </c>
      <c r="M185" s="486" t="s">
        <v>679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28</v>
      </c>
      <c r="C186" s="684" t="s">
        <v>407</v>
      </c>
      <c r="D186" s="385" t="s">
        <v>91</v>
      </c>
      <c r="E186" s="383" t="s">
        <v>547</v>
      </c>
      <c r="F186" s="434"/>
      <c r="G186" s="434">
        <v>46045</v>
      </c>
      <c r="H186" s="1149" t="s">
        <v>553</v>
      </c>
      <c r="I186" s="1150"/>
      <c r="J186" s="1150"/>
      <c r="K186" s="1150"/>
      <c r="L186" s="434">
        <v>46047</v>
      </c>
      <c r="M186" s="486" t="s">
        <v>667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29</v>
      </c>
      <c r="C187" s="429" t="s">
        <v>434</v>
      </c>
      <c r="D187" s="374" t="s">
        <v>674</v>
      </c>
      <c r="E187" s="429" t="s">
        <v>92</v>
      </c>
      <c r="F187" s="434"/>
      <c r="G187" s="434">
        <v>46050</v>
      </c>
      <c r="H187" s="1149" t="s">
        <v>553</v>
      </c>
      <c r="I187" s="1150"/>
      <c r="J187" s="1150"/>
      <c r="K187" s="1150"/>
      <c r="L187" s="434">
        <v>46050</v>
      </c>
      <c r="M187" s="486" t="s">
        <v>679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30</v>
      </c>
      <c r="C188" s="429" t="s">
        <v>487</v>
      </c>
      <c r="D188" s="374" t="s">
        <v>563</v>
      </c>
      <c r="E188" s="429" t="s">
        <v>547</v>
      </c>
      <c r="G188" s="434">
        <v>46054</v>
      </c>
      <c r="H188" s="1149" t="s">
        <v>553</v>
      </c>
      <c r="I188" s="1150"/>
      <c r="J188" s="1150"/>
      <c r="K188" s="1150"/>
      <c r="L188" s="434">
        <v>46054</v>
      </c>
      <c r="M188" s="486" t="s">
        <v>667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31</v>
      </c>
      <c r="C189" s="537" t="s">
        <v>409</v>
      </c>
      <c r="D189" s="374" t="s">
        <v>87</v>
      </c>
      <c r="E189" s="429" t="s">
        <v>92</v>
      </c>
      <c r="F189" s="434"/>
      <c r="G189" s="434">
        <v>46055</v>
      </c>
      <c r="H189" s="1149" t="s">
        <v>553</v>
      </c>
      <c r="I189" s="1150"/>
      <c r="J189" s="1150"/>
      <c r="K189" s="1150"/>
      <c r="L189" s="434">
        <v>46055</v>
      </c>
      <c r="M189" s="486" t="s">
        <v>667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32</v>
      </c>
      <c r="C190" s="429" t="s">
        <v>423</v>
      </c>
      <c r="D190" s="374" t="s">
        <v>691</v>
      </c>
      <c r="E190" s="429" t="s">
        <v>92</v>
      </c>
      <c r="G190" s="434">
        <v>46056</v>
      </c>
      <c r="H190" s="1149" t="s">
        <v>553</v>
      </c>
      <c r="I190" s="1150"/>
      <c r="J190" s="1150"/>
      <c r="K190" s="1150"/>
      <c r="L190" s="434">
        <v>46056</v>
      </c>
      <c r="M190" s="486" t="s">
        <v>679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33</v>
      </c>
      <c r="C191" s="429" t="s">
        <v>332</v>
      </c>
      <c r="D191" s="374" t="s">
        <v>87</v>
      </c>
      <c r="E191" s="429" t="s">
        <v>92</v>
      </c>
      <c r="G191" s="434">
        <v>46066</v>
      </c>
      <c r="H191" s="1149" t="s">
        <v>553</v>
      </c>
      <c r="I191" s="1150"/>
      <c r="J191" s="1150"/>
      <c r="K191" s="1150"/>
      <c r="L191" s="434">
        <v>46066</v>
      </c>
      <c r="M191" s="682" t="s">
        <v>89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34</v>
      </c>
      <c r="C192" s="625" t="s">
        <v>630</v>
      </c>
      <c r="D192" s="374" t="s">
        <v>87</v>
      </c>
      <c r="E192" s="429" t="s">
        <v>92</v>
      </c>
      <c r="G192" s="434">
        <v>46067</v>
      </c>
      <c r="H192" s="1149" t="s">
        <v>553</v>
      </c>
      <c r="I192" s="1150"/>
      <c r="J192" s="1150"/>
      <c r="K192" s="1150"/>
      <c r="L192" s="434">
        <v>46067</v>
      </c>
      <c r="M192" s="682" t="s">
        <v>680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35</v>
      </c>
      <c r="C193" s="537" t="s">
        <v>336</v>
      </c>
      <c r="D193" s="374" t="s">
        <v>87</v>
      </c>
      <c r="E193" s="429" t="s">
        <v>547</v>
      </c>
      <c r="G193" s="434">
        <v>46067</v>
      </c>
      <c r="H193" s="1149" t="s">
        <v>553</v>
      </c>
      <c r="I193" s="1150"/>
      <c r="J193" s="1150"/>
      <c r="K193" s="1150"/>
      <c r="L193" s="434">
        <v>46067</v>
      </c>
      <c r="M193" s="682" t="s">
        <v>89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36</v>
      </c>
      <c r="C194" s="683" t="s">
        <v>228</v>
      </c>
      <c r="D194" s="374" t="s">
        <v>87</v>
      </c>
      <c r="E194" s="429" t="s">
        <v>92</v>
      </c>
      <c r="G194" s="434">
        <v>46068</v>
      </c>
      <c r="H194" s="1149" t="s">
        <v>553</v>
      </c>
      <c r="I194" s="1150"/>
      <c r="J194" s="1150"/>
      <c r="K194" s="1150"/>
      <c r="L194" s="434">
        <v>46068</v>
      </c>
      <c r="M194" s="486" t="s">
        <v>679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37</v>
      </c>
      <c r="C195" s="683" t="s">
        <v>240</v>
      </c>
      <c r="D195" s="374" t="s">
        <v>91</v>
      </c>
      <c r="E195" s="429" t="s">
        <v>92</v>
      </c>
      <c r="G195" s="434">
        <v>46069</v>
      </c>
      <c r="H195" s="1149" t="s">
        <v>553</v>
      </c>
      <c r="I195" s="1150"/>
      <c r="J195" s="1150"/>
      <c r="K195" s="1150"/>
      <c r="L195" s="434">
        <v>46069</v>
      </c>
      <c r="M195" s="486" t="s">
        <v>679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38</v>
      </c>
      <c r="C196" s="683" t="s">
        <v>247</v>
      </c>
      <c r="D196" s="374" t="s">
        <v>218</v>
      </c>
      <c r="E196" s="429" t="s">
        <v>92</v>
      </c>
      <c r="G196" s="434">
        <v>46070</v>
      </c>
      <c r="H196" s="1149" t="s">
        <v>553</v>
      </c>
      <c r="I196" s="1150"/>
      <c r="J196" s="1150"/>
      <c r="K196" s="1150"/>
      <c r="L196" s="434">
        <v>46070</v>
      </c>
      <c r="M196" s="486" t="s">
        <v>679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39</v>
      </c>
      <c r="C197" s="429" t="s">
        <v>627</v>
      </c>
      <c r="D197" s="615" t="s">
        <v>87</v>
      </c>
      <c r="E197" s="429" t="s">
        <v>92</v>
      </c>
      <c r="G197" s="434">
        <v>46071</v>
      </c>
      <c r="H197" s="1149" t="s">
        <v>553</v>
      </c>
      <c r="I197" s="1150"/>
      <c r="J197" s="1150"/>
      <c r="K197" s="1150"/>
      <c r="L197" s="434">
        <v>46070</v>
      </c>
      <c r="M197" s="486" t="s">
        <v>694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40</v>
      </c>
      <c r="C198" s="429" t="s">
        <v>229</v>
      </c>
      <c r="D198" s="635" t="s">
        <v>87</v>
      </c>
      <c r="E198" s="537" t="s">
        <v>669</v>
      </c>
      <c r="F198" s="434"/>
      <c r="G198" s="434">
        <v>46071</v>
      </c>
      <c r="H198" s="1149" t="s">
        <v>553</v>
      </c>
      <c r="I198" s="1150"/>
      <c r="J198" s="1150"/>
      <c r="K198" s="1150"/>
      <c r="L198" s="434">
        <v>46070</v>
      </c>
      <c r="M198" s="486" t="s">
        <v>679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41</v>
      </c>
      <c r="C199" s="625" t="s">
        <v>265</v>
      </c>
      <c r="D199" s="374" t="s">
        <v>87</v>
      </c>
      <c r="E199" s="429" t="s">
        <v>88</v>
      </c>
      <c r="F199" s="434"/>
      <c r="G199" s="434">
        <v>46072</v>
      </c>
      <c r="H199" s="1149" t="s">
        <v>553</v>
      </c>
      <c r="I199" s="1150"/>
      <c r="J199" s="1150"/>
      <c r="K199" s="1150"/>
      <c r="L199" s="434">
        <v>46072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42</v>
      </c>
      <c r="C200" s="429" t="s">
        <v>266</v>
      </c>
      <c r="D200" s="374" t="s">
        <v>95</v>
      </c>
      <c r="E200" s="429" t="s">
        <v>547</v>
      </c>
      <c r="F200" s="434"/>
      <c r="G200" s="434">
        <v>46072</v>
      </c>
      <c r="H200" s="1149" t="s">
        <v>553</v>
      </c>
      <c r="I200" s="1150"/>
      <c r="J200" s="1150"/>
      <c r="K200" s="1150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43</v>
      </c>
      <c r="C201" s="625" t="s">
        <v>248</v>
      </c>
      <c r="D201" s="374" t="s">
        <v>87</v>
      </c>
      <c r="E201" s="429" t="s">
        <v>547</v>
      </c>
      <c r="F201" s="434"/>
      <c r="G201" s="434">
        <v>46072</v>
      </c>
      <c r="H201" s="1149" t="s">
        <v>553</v>
      </c>
      <c r="I201" s="1150"/>
      <c r="J201" s="1150"/>
      <c r="K201" s="1150"/>
      <c r="L201" s="434">
        <v>46072</v>
      </c>
      <c r="M201" s="486" t="s">
        <v>679</v>
      </c>
      <c r="N201" s="420"/>
      <c r="O201" s="420"/>
      <c r="P201" s="42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44</v>
      </c>
      <c r="C202" s="625" t="s">
        <v>255</v>
      </c>
      <c r="D202" s="374" t="s">
        <v>87</v>
      </c>
      <c r="E202" s="429" t="s">
        <v>547</v>
      </c>
      <c r="F202" s="434"/>
      <c r="G202" s="434">
        <v>46072</v>
      </c>
      <c r="H202" s="1149" t="s">
        <v>553</v>
      </c>
      <c r="I202" s="1150"/>
      <c r="J202" s="1150"/>
      <c r="K202" s="1150"/>
      <c r="L202" s="434">
        <v>46072</v>
      </c>
      <c r="M202" s="486" t="s">
        <v>679</v>
      </c>
      <c r="N202" s="420"/>
      <c r="O202" s="420"/>
      <c r="P202" s="42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45</v>
      </c>
      <c r="C203" s="443" t="s">
        <v>257</v>
      </c>
      <c r="D203" s="512" t="s">
        <v>87</v>
      </c>
      <c r="E203" s="443" t="s">
        <v>547</v>
      </c>
      <c r="F203" s="439"/>
      <c r="G203" s="439">
        <v>46075</v>
      </c>
      <c r="H203" s="1162" t="s">
        <v>553</v>
      </c>
      <c r="I203" s="1163"/>
      <c r="J203" s="1163"/>
      <c r="K203" s="1163"/>
      <c r="L203" s="439">
        <v>46075</v>
      </c>
      <c r="M203" s="689" t="s">
        <v>679</v>
      </c>
      <c r="N203" s="440"/>
      <c r="O203" s="440"/>
      <c r="P203" s="44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46</v>
      </c>
      <c r="C204" s="429" t="s">
        <v>282</v>
      </c>
      <c r="D204" s="374" t="s">
        <v>95</v>
      </c>
      <c r="E204" s="429" t="s">
        <v>547</v>
      </c>
      <c r="F204" s="434"/>
      <c r="G204" s="434">
        <v>46075</v>
      </c>
      <c r="H204" s="1149" t="s">
        <v>553</v>
      </c>
      <c r="I204" s="1150"/>
      <c r="J204" s="1150"/>
      <c r="K204" s="1150"/>
      <c r="L204" s="434">
        <v>46075</v>
      </c>
      <c r="M204" s="486" t="s">
        <v>679</v>
      </c>
      <c r="N204" s="420"/>
      <c r="O204" s="420"/>
      <c r="P204" s="42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77">
        <f t="shared" si="3"/>
        <v>47</v>
      </c>
      <c r="C205" s="429" t="s">
        <v>279</v>
      </c>
      <c r="D205" s="374" t="s">
        <v>87</v>
      </c>
      <c r="E205" s="429" t="s">
        <v>547</v>
      </c>
      <c r="F205" s="434"/>
      <c r="G205" s="434">
        <v>46075</v>
      </c>
      <c r="H205" s="1149" t="s">
        <v>553</v>
      </c>
      <c r="I205" s="1150"/>
      <c r="J205" s="1150"/>
      <c r="K205" s="1150"/>
      <c r="L205" s="434">
        <v>46075</v>
      </c>
      <c r="M205" s="486" t="s">
        <v>679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77">
        <f t="shared" si="3"/>
        <v>48</v>
      </c>
      <c r="C206" s="429" t="s">
        <v>276</v>
      </c>
      <c r="D206" s="374" t="s">
        <v>87</v>
      </c>
      <c r="E206" s="429" t="s">
        <v>547</v>
      </c>
      <c r="F206" s="434"/>
      <c r="G206" s="434">
        <v>46075</v>
      </c>
      <c r="H206" s="1149" t="s">
        <v>553</v>
      </c>
      <c r="I206" s="1150"/>
      <c r="J206" s="1150"/>
      <c r="K206" s="1150"/>
      <c r="L206" s="434">
        <v>46075</v>
      </c>
      <c r="M206" s="486" t="s">
        <v>679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83">
        <f t="shared" si="3"/>
        <v>49</v>
      </c>
      <c r="C207" s="626" t="s">
        <v>345</v>
      </c>
      <c r="D207" s="615" t="s">
        <v>87</v>
      </c>
      <c r="E207" s="429" t="s">
        <v>92</v>
      </c>
      <c r="F207" s="434"/>
      <c r="G207" s="434">
        <v>46077</v>
      </c>
      <c r="H207" s="1149" t="s">
        <v>553</v>
      </c>
      <c r="I207" s="1150"/>
      <c r="J207" s="1150"/>
      <c r="K207" s="1150"/>
      <c r="L207" s="434">
        <v>46077</v>
      </c>
      <c r="M207" s="486" t="s">
        <v>89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50</v>
      </c>
      <c r="C208" s="429" t="s">
        <v>413</v>
      </c>
      <c r="D208" s="374" t="s">
        <v>87</v>
      </c>
      <c r="E208" s="429" t="s">
        <v>547</v>
      </c>
      <c r="F208" s="434"/>
      <c r="G208" s="434">
        <v>46083</v>
      </c>
      <c r="H208" s="1149" t="s">
        <v>553</v>
      </c>
      <c r="I208" s="1150"/>
      <c r="J208" s="1150"/>
      <c r="K208" s="1150"/>
      <c r="L208" s="434">
        <v>46083</v>
      </c>
      <c r="M208" s="486" t="s">
        <v>666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51</v>
      </c>
      <c r="C209" s="429" t="s">
        <v>414</v>
      </c>
      <c r="D209" s="614" t="s">
        <v>87</v>
      </c>
      <c r="E209" s="747" t="s">
        <v>92</v>
      </c>
      <c r="F209" s="434"/>
      <c r="G209" s="434">
        <v>46083</v>
      </c>
      <c r="H209" s="1149" t="s">
        <v>553</v>
      </c>
      <c r="I209" s="1150"/>
      <c r="J209" s="1150"/>
      <c r="K209" s="1150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52</v>
      </c>
      <c r="C210" s="429" t="s">
        <v>619</v>
      </c>
      <c r="D210" s="374" t="s">
        <v>87</v>
      </c>
      <c r="E210" s="429" t="s">
        <v>547</v>
      </c>
      <c r="F210" s="434"/>
      <c r="G210" s="434">
        <v>46083</v>
      </c>
      <c r="H210" s="1149" t="s">
        <v>553</v>
      </c>
      <c r="I210" s="1150"/>
      <c r="J210" s="1150"/>
      <c r="K210" s="1150"/>
      <c r="L210" s="434">
        <v>46083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53</v>
      </c>
      <c r="C211" s="429" t="s">
        <v>621</v>
      </c>
      <c r="D211" s="615" t="s">
        <v>87</v>
      </c>
      <c r="E211" s="429" t="s">
        <v>547</v>
      </c>
      <c r="F211" s="434"/>
      <c r="G211" s="434">
        <v>46083</v>
      </c>
      <c r="H211" s="1149" t="s">
        <v>553</v>
      </c>
      <c r="I211" s="1150"/>
      <c r="J211" s="1150"/>
      <c r="K211" s="1150"/>
      <c r="L211" s="434">
        <v>46083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54</v>
      </c>
      <c r="C212" s="429" t="s">
        <v>622</v>
      </c>
      <c r="D212" s="635" t="s">
        <v>87</v>
      </c>
      <c r="E212" s="429" t="s">
        <v>92</v>
      </c>
      <c r="F212" s="434"/>
      <c r="G212" s="434">
        <v>46084</v>
      </c>
      <c r="H212" s="1149" t="s">
        <v>553</v>
      </c>
      <c r="I212" s="1150"/>
      <c r="J212" s="1150"/>
      <c r="K212" s="1150"/>
      <c r="L212" s="434">
        <v>46084</v>
      </c>
      <c r="M212" s="486" t="s">
        <v>666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55</v>
      </c>
      <c r="C213" s="683" t="s">
        <v>623</v>
      </c>
      <c r="D213" s="635" t="s">
        <v>87</v>
      </c>
      <c r="E213" s="429" t="s">
        <v>92</v>
      </c>
      <c r="F213" s="434"/>
      <c r="G213" s="434">
        <v>46084</v>
      </c>
      <c r="H213" s="1149" t="s">
        <v>553</v>
      </c>
      <c r="I213" s="1150"/>
      <c r="J213" s="1150"/>
      <c r="K213" s="1150"/>
      <c r="L213" s="434">
        <v>46084</v>
      </c>
      <c r="M213" s="486" t="s">
        <v>666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383">
        <f t="shared" si="3"/>
        <v>56</v>
      </c>
      <c r="C214" s="429" t="s">
        <v>412</v>
      </c>
      <c r="D214" s="374" t="s">
        <v>87</v>
      </c>
      <c r="E214" s="429" t="s">
        <v>92</v>
      </c>
      <c r="F214" s="434"/>
      <c r="G214" s="434">
        <v>46084</v>
      </c>
      <c r="H214" s="1149" t="s">
        <v>553</v>
      </c>
      <c r="I214" s="1150"/>
      <c r="J214" s="1150"/>
      <c r="K214" s="1150"/>
      <c r="L214" s="434">
        <v>46084</v>
      </c>
      <c r="M214" s="682" t="s">
        <v>680</v>
      </c>
      <c r="N214" s="420"/>
      <c r="O214" s="420"/>
      <c r="P214" s="42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383">
        <f t="shared" si="3"/>
        <v>57</v>
      </c>
      <c r="C215" s="429" t="s">
        <v>410</v>
      </c>
      <c r="D215" s="374" t="s">
        <v>87</v>
      </c>
      <c r="E215" s="429" t="s">
        <v>92</v>
      </c>
      <c r="F215" s="688"/>
      <c r="G215" s="434">
        <v>46088</v>
      </c>
      <c r="H215" s="1149" t="s">
        <v>553</v>
      </c>
      <c r="I215" s="1150"/>
      <c r="J215" s="1150"/>
      <c r="K215" s="1150"/>
      <c r="L215" s="434">
        <v>46088</v>
      </c>
      <c r="M215" s="682" t="s">
        <v>680</v>
      </c>
      <c r="N215" s="420"/>
      <c r="O215" s="420"/>
      <c r="P215" s="42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438">
        <f t="shared" si="3"/>
        <v>58</v>
      </c>
      <c r="C216" s="629" t="s">
        <v>411</v>
      </c>
      <c r="D216" s="512" t="s">
        <v>91</v>
      </c>
      <c r="E216" s="443" t="s">
        <v>92</v>
      </c>
      <c r="F216" s="688"/>
      <c r="G216" s="439">
        <v>46088</v>
      </c>
      <c r="H216" s="1162" t="s">
        <v>553</v>
      </c>
      <c r="I216" s="1163"/>
      <c r="J216" s="1163"/>
      <c r="K216" s="1163"/>
      <c r="L216" s="439">
        <v>46088</v>
      </c>
      <c r="M216" s="780" t="s">
        <v>680</v>
      </c>
      <c r="N216" s="440"/>
      <c r="O216" s="440"/>
      <c r="P216" s="44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383">
        <f t="shared" si="3"/>
        <v>59</v>
      </c>
      <c r="C217" s="625" t="s">
        <v>351</v>
      </c>
      <c r="D217" s="374" t="s">
        <v>113</v>
      </c>
      <c r="E217" s="429" t="s">
        <v>669</v>
      </c>
      <c r="F217" s="434"/>
      <c r="G217" s="434">
        <v>46089</v>
      </c>
      <c r="H217" s="1149" t="s">
        <v>553</v>
      </c>
      <c r="I217" s="1150"/>
      <c r="J217" s="1150"/>
      <c r="K217" s="1150"/>
      <c r="L217" s="434">
        <v>46089</v>
      </c>
      <c r="M217" s="682" t="s">
        <v>89</v>
      </c>
      <c r="N217" s="420"/>
      <c r="O217" s="420"/>
      <c r="P217" s="420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60</v>
      </c>
      <c r="C218" s="537" t="s">
        <v>358</v>
      </c>
      <c r="D218" s="635" t="s">
        <v>87</v>
      </c>
      <c r="E218" s="429" t="s">
        <v>92</v>
      </c>
      <c r="F218" s="434"/>
      <c r="G218" s="434">
        <v>46094</v>
      </c>
      <c r="H218" s="1149" t="s">
        <v>553</v>
      </c>
      <c r="I218" s="1150"/>
      <c r="J218" s="1150"/>
      <c r="K218" s="1150"/>
      <c r="L218" s="434">
        <v>46094</v>
      </c>
      <c r="M218" s="682" t="s">
        <v>89</v>
      </c>
      <c r="N218" s="420"/>
      <c r="O218" s="420"/>
      <c r="P218" s="420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61</v>
      </c>
      <c r="C219" s="374" t="s">
        <v>238</v>
      </c>
      <c r="D219" s="740" t="s">
        <v>218</v>
      </c>
      <c r="E219" s="429" t="s">
        <v>92</v>
      </c>
      <c r="F219" s="510"/>
      <c r="G219" s="510">
        <v>46094</v>
      </c>
      <c r="H219" s="1149" t="s">
        <v>553</v>
      </c>
      <c r="I219" s="1150"/>
      <c r="J219" s="1150"/>
      <c r="K219" s="1150"/>
      <c r="L219" s="807">
        <v>46095</v>
      </c>
      <c r="M219" s="805" t="s">
        <v>770</v>
      </c>
      <c r="N219" s="486"/>
      <c r="O219" s="372"/>
      <c r="P219" s="373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62</v>
      </c>
      <c r="C220" s="374" t="s">
        <v>239</v>
      </c>
      <c r="D220" s="740" t="s">
        <v>87</v>
      </c>
      <c r="E220" s="429" t="s">
        <v>92</v>
      </c>
      <c r="F220" s="477" t="s">
        <v>92</v>
      </c>
      <c r="G220" s="510">
        <v>46098</v>
      </c>
      <c r="H220" s="1149" t="s">
        <v>553</v>
      </c>
      <c r="I220" s="1150"/>
      <c r="J220" s="1150"/>
      <c r="K220" s="1150"/>
      <c r="L220" s="510">
        <v>46098</v>
      </c>
      <c r="M220" s="805" t="s">
        <v>770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A221" s="397"/>
      <c r="B221" s="383">
        <f t="shared" si="3"/>
        <v>63</v>
      </c>
      <c r="C221" s="625" t="s">
        <v>486</v>
      </c>
      <c r="D221" s="740" t="s">
        <v>242</v>
      </c>
      <c r="E221" s="429" t="s">
        <v>92</v>
      </c>
      <c r="F221" s="510"/>
      <c r="G221" s="510">
        <v>46101</v>
      </c>
      <c r="H221" s="1149" t="s">
        <v>553</v>
      </c>
      <c r="I221" s="1150"/>
      <c r="J221" s="1150"/>
      <c r="K221" s="1150"/>
      <c r="L221" s="815">
        <v>46104</v>
      </c>
      <c r="M221" s="486" t="s">
        <v>665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402" customFormat="1" ht="15.6" customHeight="1" x14ac:dyDescent="0.3">
      <c r="A222" s="397"/>
      <c r="B222" s="383">
        <f t="shared" si="3"/>
        <v>64</v>
      </c>
      <c r="C222" s="816" t="s">
        <v>243</v>
      </c>
      <c r="D222" s="740" t="s">
        <v>113</v>
      </c>
      <c r="E222" s="429" t="s">
        <v>92</v>
      </c>
      <c r="F222" s="510">
        <v>46098</v>
      </c>
      <c r="G222" s="529">
        <v>46112</v>
      </c>
      <c r="H222" s="1149" t="s">
        <v>553</v>
      </c>
      <c r="I222" s="1150"/>
      <c r="J222" s="1150"/>
      <c r="K222" s="1150"/>
      <c r="L222" s="529">
        <v>46112</v>
      </c>
      <c r="M222" s="486" t="s">
        <v>696</v>
      </c>
      <c r="N222" s="486"/>
      <c r="O222" s="372"/>
      <c r="P222" s="373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s="402" customFormat="1" ht="15.6" customHeight="1" x14ac:dyDescent="0.3">
      <c r="B223" s="383">
        <f t="shared" si="3"/>
        <v>65</v>
      </c>
      <c r="C223" s="683" t="s">
        <v>237</v>
      </c>
      <c r="D223" s="740" t="s">
        <v>91</v>
      </c>
      <c r="E223" s="429" t="s">
        <v>92</v>
      </c>
      <c r="F223" s="513"/>
      <c r="G223" s="529">
        <v>46110</v>
      </c>
      <c r="H223" s="1149" t="s">
        <v>553</v>
      </c>
      <c r="I223" s="1150"/>
      <c r="J223" s="1150"/>
      <c r="K223" s="1150"/>
      <c r="L223" s="529">
        <v>46110</v>
      </c>
      <c r="M223" s="486" t="s">
        <v>696</v>
      </c>
      <c r="N223" s="486"/>
      <c r="O223" s="372"/>
      <c r="P223" s="373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s="831" customFormat="1" ht="15.6" customHeight="1" x14ac:dyDescent="0.3">
      <c r="B224" s="383">
        <f t="shared" si="3"/>
        <v>66</v>
      </c>
      <c r="C224" s="374" t="s">
        <v>230</v>
      </c>
      <c r="D224" s="740" t="s">
        <v>91</v>
      </c>
      <c r="E224" s="429" t="s">
        <v>92</v>
      </c>
      <c r="G224" s="529">
        <v>46110</v>
      </c>
      <c r="H224" s="1149" t="s">
        <v>553</v>
      </c>
      <c r="I224" s="1150"/>
      <c r="J224" s="1150"/>
      <c r="K224" s="1150"/>
      <c r="L224" s="529">
        <v>46110</v>
      </c>
      <c r="M224" s="486" t="s">
        <v>696</v>
      </c>
      <c r="N224" s="830"/>
      <c r="O224" s="830"/>
      <c r="P224" s="830"/>
    </row>
    <row r="225" spans="1:26" s="831" customFormat="1" ht="15.6" customHeight="1" x14ac:dyDescent="0.3">
      <c r="B225" s="383">
        <f t="shared" si="3"/>
        <v>67</v>
      </c>
      <c r="C225" s="374" t="s">
        <v>233</v>
      </c>
      <c r="D225" s="740" t="s">
        <v>87</v>
      </c>
      <c r="E225" s="429" t="s">
        <v>92</v>
      </c>
      <c r="F225" s="694" t="s">
        <v>92</v>
      </c>
      <c r="G225" s="529">
        <v>46112</v>
      </c>
      <c r="H225" s="1149" t="s">
        <v>553</v>
      </c>
      <c r="I225" s="1150"/>
      <c r="J225" s="1150"/>
      <c r="K225" s="1150"/>
      <c r="L225" s="529">
        <v>46112</v>
      </c>
      <c r="M225" s="486" t="s">
        <v>696</v>
      </c>
      <c r="N225" s="830"/>
      <c r="O225" s="830"/>
      <c r="P225" s="830"/>
    </row>
    <row r="226" spans="1:26" s="831" customFormat="1" ht="15.6" customHeight="1" x14ac:dyDescent="0.3">
      <c r="B226" s="383">
        <f t="shared" si="3"/>
        <v>68</v>
      </c>
      <c r="C226" s="374" t="s">
        <v>249</v>
      </c>
      <c r="D226" s="740" t="s">
        <v>91</v>
      </c>
      <c r="E226" s="429" t="s">
        <v>669</v>
      </c>
      <c r="F226" s="429" t="s">
        <v>669</v>
      </c>
      <c r="G226" s="529">
        <v>46125</v>
      </c>
      <c r="H226" s="1149" t="s">
        <v>553</v>
      </c>
      <c r="I226" s="1150"/>
      <c r="J226" s="1150"/>
      <c r="K226" s="1150"/>
      <c r="L226" s="529">
        <v>46125</v>
      </c>
      <c r="M226" s="486" t="s">
        <v>696</v>
      </c>
      <c r="N226" s="830"/>
      <c r="O226" s="830"/>
      <c r="P226" s="830"/>
    </row>
    <row r="227" spans="1:26" s="831" customFormat="1" ht="15.6" customHeight="1" x14ac:dyDescent="0.3">
      <c r="B227" s="383">
        <f t="shared" ref="B227:B257" si="4">B226+1</f>
        <v>69</v>
      </c>
      <c r="C227" s="374" t="s">
        <v>250</v>
      </c>
      <c r="D227" s="615" t="s">
        <v>87</v>
      </c>
      <c r="E227" s="537" t="s">
        <v>669</v>
      </c>
      <c r="F227" s="537" t="s">
        <v>669</v>
      </c>
      <c r="G227" s="529">
        <v>46125</v>
      </c>
      <c r="H227" s="1149" t="s">
        <v>553</v>
      </c>
      <c r="I227" s="1150"/>
      <c r="J227" s="1150"/>
      <c r="K227" s="1150"/>
      <c r="L227" s="529">
        <v>46125</v>
      </c>
      <c r="M227" s="486" t="s">
        <v>696</v>
      </c>
      <c r="N227" s="830"/>
      <c r="O227" s="830"/>
      <c r="P227" s="830"/>
    </row>
    <row r="228" spans="1:26" s="831" customFormat="1" ht="15.6" customHeight="1" x14ac:dyDescent="0.3">
      <c r="B228" s="383">
        <f t="shared" si="4"/>
        <v>70</v>
      </c>
      <c r="C228" s="374" t="s">
        <v>251</v>
      </c>
      <c r="D228" s="392" t="s">
        <v>87</v>
      </c>
      <c r="E228" s="429" t="s">
        <v>547</v>
      </c>
      <c r="F228" s="429" t="s">
        <v>547</v>
      </c>
      <c r="G228" s="529">
        <v>46125</v>
      </c>
      <c r="H228" s="1149" t="s">
        <v>553</v>
      </c>
      <c r="I228" s="1150"/>
      <c r="J228" s="1150"/>
      <c r="K228" s="1150"/>
      <c r="L228" s="529">
        <v>46125</v>
      </c>
      <c r="M228" s="486" t="s">
        <v>696</v>
      </c>
      <c r="N228" s="830"/>
      <c r="O228" s="830"/>
      <c r="P228" s="830"/>
    </row>
    <row r="229" spans="1:26" s="831" customFormat="1" ht="15.6" customHeight="1" x14ac:dyDescent="0.3">
      <c r="B229" s="383">
        <f t="shared" si="4"/>
        <v>71</v>
      </c>
      <c r="C229" s="374" t="s">
        <v>426</v>
      </c>
      <c r="D229" s="740" t="s">
        <v>767</v>
      </c>
      <c r="E229" s="429" t="s">
        <v>782</v>
      </c>
      <c r="F229" s="429"/>
      <c r="G229" s="529">
        <v>46125</v>
      </c>
      <c r="H229" s="1149" t="s">
        <v>553</v>
      </c>
      <c r="I229" s="1150"/>
      <c r="J229" s="1150"/>
      <c r="K229" s="1150"/>
      <c r="L229" s="529">
        <v>46125</v>
      </c>
      <c r="M229" s="486" t="s">
        <v>696</v>
      </c>
      <c r="N229" s="830"/>
      <c r="O229" s="830"/>
      <c r="P229" s="830"/>
    </row>
    <row r="230" spans="1:26" s="831" customFormat="1" ht="15.6" customHeight="1" x14ac:dyDescent="0.3">
      <c r="B230" s="383">
        <f t="shared" si="4"/>
        <v>72</v>
      </c>
      <c r="C230" s="374" t="s">
        <v>311</v>
      </c>
      <c r="D230" s="740" t="s">
        <v>113</v>
      </c>
      <c r="E230" s="429" t="s">
        <v>92</v>
      </c>
      <c r="F230" s="429"/>
      <c r="G230" s="529">
        <v>46125</v>
      </c>
      <c r="H230" s="1149" t="s">
        <v>553</v>
      </c>
      <c r="I230" s="1150"/>
      <c r="J230" s="1150"/>
      <c r="K230" s="1150"/>
      <c r="L230" s="529">
        <v>46125</v>
      </c>
      <c r="M230" s="486" t="s">
        <v>774</v>
      </c>
      <c r="N230" s="830"/>
      <c r="O230" s="830"/>
      <c r="P230" s="830"/>
    </row>
    <row r="231" spans="1:26" s="402" customFormat="1" ht="13.5" customHeight="1" x14ac:dyDescent="0.3">
      <c r="A231" s="397"/>
      <c r="B231" s="383">
        <f t="shared" si="4"/>
        <v>73</v>
      </c>
      <c r="C231" s="512" t="s">
        <v>435</v>
      </c>
      <c r="D231" s="902" t="s">
        <v>691</v>
      </c>
      <c r="E231" s="443" t="s">
        <v>92</v>
      </c>
      <c r="F231" s="818"/>
      <c r="G231" s="903">
        <v>46126</v>
      </c>
      <c r="H231" s="1162" t="s">
        <v>553</v>
      </c>
      <c r="I231" s="1163"/>
      <c r="J231" s="1163"/>
      <c r="K231" s="1163"/>
      <c r="L231" s="903">
        <v>46127</v>
      </c>
      <c r="M231" s="689" t="s">
        <v>696</v>
      </c>
      <c r="N231" s="374"/>
      <c r="O231" s="384"/>
      <c r="P231" s="384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s="402" customFormat="1" ht="13.5" customHeight="1" x14ac:dyDescent="0.3">
      <c r="A232" s="397"/>
      <c r="B232" s="383">
        <f t="shared" si="4"/>
        <v>74</v>
      </c>
      <c r="C232" s="374" t="s">
        <v>312</v>
      </c>
      <c r="D232" s="740" t="s">
        <v>87</v>
      </c>
      <c r="E232" s="429" t="s">
        <v>92</v>
      </c>
      <c r="F232" s="429" t="s">
        <v>92</v>
      </c>
      <c r="G232" s="510">
        <v>46127</v>
      </c>
      <c r="H232" s="1149" t="s">
        <v>553</v>
      </c>
      <c r="I232" s="1150"/>
      <c r="J232" s="1150"/>
      <c r="K232" s="1150"/>
      <c r="L232" s="510">
        <v>46127</v>
      </c>
      <c r="M232" s="486" t="s">
        <v>774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75</v>
      </c>
      <c r="C233" s="683" t="s">
        <v>241</v>
      </c>
      <c r="D233" s="740" t="s">
        <v>87</v>
      </c>
      <c r="E233" s="429" t="s">
        <v>669</v>
      </c>
      <c r="F233" s="429"/>
      <c r="G233" s="510">
        <v>46127</v>
      </c>
      <c r="H233" s="1149" t="s">
        <v>553</v>
      </c>
      <c r="I233" s="1150"/>
      <c r="J233" s="1150"/>
      <c r="K233" s="1150"/>
      <c r="L233" s="510">
        <v>46127</v>
      </c>
      <c r="M233" s="689" t="s">
        <v>696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76</v>
      </c>
      <c r="C234" s="374" t="s">
        <v>338</v>
      </c>
      <c r="D234" s="384" t="s">
        <v>95</v>
      </c>
      <c r="E234" s="384" t="s">
        <v>92</v>
      </c>
      <c r="F234" s="429"/>
      <c r="G234" s="529">
        <v>46129</v>
      </c>
      <c r="H234" s="1149" t="s">
        <v>553</v>
      </c>
      <c r="I234" s="1150"/>
      <c r="J234" s="1150"/>
      <c r="K234" s="1150"/>
      <c r="L234" s="529">
        <v>46129</v>
      </c>
      <c r="M234" s="496" t="s">
        <v>945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77</v>
      </c>
      <c r="C235" s="374" t="s">
        <v>339</v>
      </c>
      <c r="D235" s="374" t="s">
        <v>113</v>
      </c>
      <c r="E235" s="429" t="s">
        <v>92</v>
      </c>
      <c r="F235" s="429"/>
      <c r="G235" s="529">
        <v>46129</v>
      </c>
      <c r="H235" s="1149" t="s">
        <v>553</v>
      </c>
      <c r="I235" s="1150"/>
      <c r="J235" s="1150"/>
      <c r="K235" s="1150"/>
      <c r="L235" s="529">
        <v>46129</v>
      </c>
      <c r="M235" s="496" t="s">
        <v>945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78</v>
      </c>
      <c r="C236" s="374" t="s">
        <v>469</v>
      </c>
      <c r="D236" s="384" t="s">
        <v>563</v>
      </c>
      <c r="E236" s="429" t="s">
        <v>92</v>
      </c>
      <c r="F236" s="429" t="s">
        <v>92</v>
      </c>
      <c r="G236" s="510">
        <v>46130</v>
      </c>
      <c r="H236" s="1149" t="s">
        <v>553</v>
      </c>
      <c r="I236" s="1150"/>
      <c r="J236" s="1150"/>
      <c r="K236" s="1150"/>
      <c r="L236" s="510">
        <v>46130</v>
      </c>
      <c r="M236" s="496" t="s">
        <v>945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79</v>
      </c>
      <c r="C237" s="374" t="s">
        <v>314</v>
      </c>
      <c r="D237" s="740" t="s">
        <v>95</v>
      </c>
      <c r="E237" s="429" t="s">
        <v>92</v>
      </c>
      <c r="F237" s="429" t="s">
        <v>92</v>
      </c>
      <c r="G237" s="510">
        <v>46131</v>
      </c>
      <c r="H237" s="1149" t="s">
        <v>553</v>
      </c>
      <c r="I237" s="1150"/>
      <c r="J237" s="1150"/>
      <c r="K237" s="1150"/>
      <c r="L237" s="510">
        <v>46131</v>
      </c>
      <c r="M237" s="486" t="s">
        <v>774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80</v>
      </c>
      <c r="C238" s="429" t="s">
        <v>468</v>
      </c>
      <c r="D238" s="374" t="s">
        <v>673</v>
      </c>
      <c r="E238" s="429" t="s">
        <v>92</v>
      </c>
      <c r="F238" s="818"/>
      <c r="G238" s="510">
        <v>46131</v>
      </c>
      <c r="H238" s="1149" t="s">
        <v>553</v>
      </c>
      <c r="I238" s="1150"/>
      <c r="J238" s="1150"/>
      <c r="K238" s="1150"/>
      <c r="L238" s="510">
        <v>46131</v>
      </c>
      <c r="M238" s="496" t="s">
        <v>945</v>
      </c>
      <c r="N238" s="374"/>
      <c r="O238" s="384"/>
      <c r="P238" s="384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81</v>
      </c>
      <c r="C239" s="429" t="s">
        <v>346</v>
      </c>
      <c r="D239" s="374" t="s">
        <v>95</v>
      </c>
      <c r="E239" s="429" t="s">
        <v>547</v>
      </c>
      <c r="F239" s="818"/>
      <c r="G239" s="510">
        <v>46131</v>
      </c>
      <c r="H239" s="1149" t="s">
        <v>553</v>
      </c>
      <c r="I239" s="1150"/>
      <c r="J239" s="1150"/>
      <c r="K239" s="1150"/>
      <c r="L239" s="510">
        <v>46131</v>
      </c>
      <c r="M239" s="496" t="s">
        <v>945</v>
      </c>
      <c r="N239" s="374"/>
      <c r="O239" s="384"/>
      <c r="P239" s="384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82</v>
      </c>
      <c r="C240" s="512" t="s">
        <v>313</v>
      </c>
      <c r="D240" s="902" t="s">
        <v>87</v>
      </c>
      <c r="E240" s="443" t="s">
        <v>92</v>
      </c>
      <c r="F240" s="818"/>
      <c r="G240" s="513">
        <v>46131</v>
      </c>
      <c r="H240" s="1162" t="s">
        <v>553</v>
      </c>
      <c r="I240" s="1163"/>
      <c r="J240" s="1163"/>
      <c r="K240" s="1163"/>
      <c r="L240" s="513">
        <v>46131</v>
      </c>
      <c r="M240" s="689" t="s">
        <v>774</v>
      </c>
      <c r="N240" s="512"/>
      <c r="O240" s="535"/>
      <c r="P240" s="535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83</v>
      </c>
      <c r="C241" s="429" t="s">
        <v>348</v>
      </c>
      <c r="D241" s="374" t="s">
        <v>87</v>
      </c>
      <c r="E241" s="429" t="s">
        <v>547</v>
      </c>
      <c r="F241" s="429"/>
      <c r="G241" s="510">
        <v>46134</v>
      </c>
      <c r="H241" s="1149" t="s">
        <v>553</v>
      </c>
      <c r="I241" s="1150"/>
      <c r="J241" s="1150"/>
      <c r="K241" s="1150"/>
      <c r="L241" s="510">
        <v>46134</v>
      </c>
      <c r="M241" s="496" t="s">
        <v>945</v>
      </c>
      <c r="N241" s="374"/>
      <c r="O241" s="384"/>
      <c r="P241" s="384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84</v>
      </c>
      <c r="C242" s="537" t="s">
        <v>421</v>
      </c>
      <c r="D242" s="740" t="s">
        <v>231</v>
      </c>
      <c r="E242" s="814" t="s">
        <v>546</v>
      </c>
      <c r="F242" s="429"/>
      <c r="G242" s="510">
        <v>46134</v>
      </c>
      <c r="H242" s="1149" t="s">
        <v>553</v>
      </c>
      <c r="I242" s="1150"/>
      <c r="J242" s="1150"/>
      <c r="K242" s="1150"/>
      <c r="L242" s="510">
        <v>46114</v>
      </c>
      <c r="M242" s="486" t="s">
        <v>774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85</v>
      </c>
      <c r="C243" s="683" t="s">
        <v>226</v>
      </c>
      <c r="D243" s="374" t="s">
        <v>87</v>
      </c>
      <c r="E243" s="429" t="s">
        <v>92</v>
      </c>
      <c r="F243" s="818"/>
      <c r="G243" s="510">
        <v>46136</v>
      </c>
      <c r="H243" s="1149" t="s">
        <v>553</v>
      </c>
      <c r="I243" s="1150"/>
      <c r="J243" s="1150"/>
      <c r="K243" s="1150"/>
      <c r="L243" s="510">
        <v>46136</v>
      </c>
      <c r="M243" s="486" t="s">
        <v>743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86</v>
      </c>
      <c r="C244" s="683" t="s">
        <v>227</v>
      </c>
      <c r="D244" s="635" t="s">
        <v>87</v>
      </c>
      <c r="E244" s="429" t="s">
        <v>546</v>
      </c>
      <c r="F244" s="818"/>
      <c r="G244" s="510">
        <v>46136</v>
      </c>
      <c r="H244" s="1149" t="s">
        <v>553</v>
      </c>
      <c r="I244" s="1150"/>
      <c r="J244" s="1150"/>
      <c r="K244" s="1150"/>
      <c r="L244" s="510">
        <v>46136</v>
      </c>
      <c r="M244" s="486" t="s">
        <v>743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87</v>
      </c>
      <c r="C245" s="374" t="s">
        <v>301</v>
      </c>
      <c r="D245" s="740" t="s">
        <v>790</v>
      </c>
      <c r="E245" s="429" t="s">
        <v>92</v>
      </c>
      <c r="F245" s="818"/>
      <c r="G245" s="510">
        <v>46136</v>
      </c>
      <c r="H245" s="1149" t="s">
        <v>553</v>
      </c>
      <c r="I245" s="1150"/>
      <c r="J245" s="1150"/>
      <c r="K245" s="1150"/>
      <c r="L245" s="510">
        <v>46137</v>
      </c>
      <c r="M245" s="486" t="s">
        <v>774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88</v>
      </c>
      <c r="C246" s="374" t="s">
        <v>445</v>
      </c>
      <c r="D246" s="740" t="s">
        <v>584</v>
      </c>
      <c r="E246" s="429" t="s">
        <v>92</v>
      </c>
      <c r="F246" s="818"/>
      <c r="G246" s="510">
        <v>46140</v>
      </c>
      <c r="H246" s="1149" t="s">
        <v>553</v>
      </c>
      <c r="I246" s="1150"/>
      <c r="J246" s="1150"/>
      <c r="K246" s="1150"/>
      <c r="L246" s="510">
        <v>46140</v>
      </c>
      <c r="M246" s="486" t="s">
        <v>774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89</v>
      </c>
      <c r="C247" s="374" t="s">
        <v>224</v>
      </c>
      <c r="D247" s="740" t="s">
        <v>87</v>
      </c>
      <c r="E247" s="429" t="s">
        <v>92</v>
      </c>
      <c r="F247" s="818"/>
      <c r="G247" s="510">
        <v>46142</v>
      </c>
      <c r="H247" s="1149" t="s">
        <v>553</v>
      </c>
      <c r="I247" s="1150"/>
      <c r="J247" s="1150"/>
      <c r="K247" s="1150"/>
      <c r="L247" s="510">
        <v>46142</v>
      </c>
      <c r="M247" s="486" t="s">
        <v>743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90</v>
      </c>
      <c r="C248" s="816" t="s">
        <v>300</v>
      </c>
      <c r="D248" s="740" t="s">
        <v>87</v>
      </c>
      <c r="E248" s="429" t="s">
        <v>92</v>
      </c>
      <c r="F248" s="818"/>
      <c r="G248" s="510">
        <v>46143</v>
      </c>
      <c r="H248" s="1149" t="s">
        <v>553</v>
      </c>
      <c r="I248" s="1150"/>
      <c r="J248" s="1150"/>
      <c r="K248" s="1150"/>
      <c r="L248" s="510">
        <v>46143</v>
      </c>
      <c r="M248" s="486" t="s">
        <v>774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91</v>
      </c>
      <c r="C249" s="374" t="s">
        <v>444</v>
      </c>
      <c r="D249" s="740" t="s">
        <v>242</v>
      </c>
      <c r="E249" s="429" t="s">
        <v>92</v>
      </c>
      <c r="F249" s="818"/>
      <c r="G249" s="510">
        <v>46146</v>
      </c>
      <c r="H249" s="1149" t="s">
        <v>553</v>
      </c>
      <c r="I249" s="1150"/>
      <c r="J249" s="1150"/>
      <c r="K249" s="1150"/>
      <c r="L249" s="510">
        <v>46147</v>
      </c>
      <c r="M249" s="486" t="s">
        <v>774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92</v>
      </c>
      <c r="C250" s="497" t="s">
        <v>90</v>
      </c>
      <c r="D250" s="37" t="s">
        <v>91</v>
      </c>
      <c r="E250" s="37" t="s">
        <v>92</v>
      </c>
      <c r="F250" s="818"/>
      <c r="G250" s="510">
        <v>46151</v>
      </c>
      <c r="H250" s="1149" t="s">
        <v>553</v>
      </c>
      <c r="I250" s="1150"/>
      <c r="J250" s="1150"/>
      <c r="K250" s="1150"/>
      <c r="L250" s="510">
        <v>46151</v>
      </c>
      <c r="M250" s="496" t="s">
        <v>945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93</v>
      </c>
      <c r="C251" s="400" t="s">
        <v>93</v>
      </c>
      <c r="D251" s="37" t="s">
        <v>87</v>
      </c>
      <c r="E251" s="37" t="s">
        <v>92</v>
      </c>
      <c r="F251" s="818"/>
      <c r="G251" s="513">
        <v>46151</v>
      </c>
      <c r="H251" s="1162" t="s">
        <v>553</v>
      </c>
      <c r="I251" s="1163"/>
      <c r="J251" s="1163"/>
      <c r="K251" s="1163"/>
      <c r="L251" s="513">
        <v>46151</v>
      </c>
      <c r="M251" s="783" t="s">
        <v>945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94</v>
      </c>
      <c r="C252" s="429" t="s">
        <v>331</v>
      </c>
      <c r="D252" s="374" t="s">
        <v>87</v>
      </c>
      <c r="E252" s="429" t="s">
        <v>92</v>
      </c>
      <c r="F252" s="818"/>
      <c r="G252" s="510">
        <v>46152</v>
      </c>
      <c r="H252" s="1149" t="s">
        <v>553</v>
      </c>
      <c r="I252" s="1150"/>
      <c r="J252" s="1150"/>
      <c r="K252" s="1150"/>
      <c r="L252" s="510">
        <v>46152</v>
      </c>
      <c r="M252" s="496" t="s">
        <v>945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95</v>
      </c>
      <c r="C253" s="384" t="s">
        <v>330</v>
      </c>
      <c r="D253" s="384" t="s">
        <v>87</v>
      </c>
      <c r="E253" s="384" t="s">
        <v>92</v>
      </c>
      <c r="F253" s="818"/>
      <c r="G253" s="510">
        <v>46153</v>
      </c>
      <c r="H253" s="1149" t="s">
        <v>553</v>
      </c>
      <c r="I253" s="1150"/>
      <c r="J253" s="1150"/>
      <c r="K253" s="1150"/>
      <c r="L253" s="510">
        <v>46153</v>
      </c>
      <c r="M253" s="496" t="s">
        <v>945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x14ac:dyDescent="0.3">
      <c r="A254" s="397"/>
      <c r="B254" s="383">
        <f t="shared" si="4"/>
        <v>96</v>
      </c>
      <c r="C254" s="429" t="s">
        <v>326</v>
      </c>
      <c r="D254" s="374" t="s">
        <v>87</v>
      </c>
      <c r="E254" s="429" t="s">
        <v>92</v>
      </c>
      <c r="F254" s="818"/>
      <c r="G254" s="510">
        <v>46153</v>
      </c>
      <c r="H254" s="1149" t="s">
        <v>553</v>
      </c>
      <c r="I254" s="1150"/>
      <c r="J254" s="1150"/>
      <c r="K254" s="1150"/>
      <c r="L254" s="510">
        <v>46153</v>
      </c>
      <c r="M254" s="496" t="s">
        <v>945</v>
      </c>
      <c r="N254" s="374"/>
      <c r="O254" s="384"/>
      <c r="P254" s="384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s="402" customFormat="1" ht="13.5" customHeight="1" x14ac:dyDescent="0.3">
      <c r="A255" s="397"/>
      <c r="B255" s="383">
        <f t="shared" si="4"/>
        <v>97</v>
      </c>
      <c r="C255" s="374" t="s">
        <v>211</v>
      </c>
      <c r="D255" s="740" t="s">
        <v>87</v>
      </c>
      <c r="E255" s="429" t="s">
        <v>92</v>
      </c>
      <c r="F255" s="818"/>
      <c r="G255" s="510">
        <v>46093</v>
      </c>
      <c r="H255" s="1149" t="s">
        <v>553</v>
      </c>
      <c r="I255" s="1150"/>
      <c r="J255" s="1150"/>
      <c r="K255" s="1150"/>
      <c r="L255" s="510">
        <v>46154</v>
      </c>
      <c r="M255" s="486" t="s">
        <v>784</v>
      </c>
      <c r="N255" s="374"/>
      <c r="O255" s="384"/>
      <c r="P255" s="384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s="402" customFormat="1" ht="13.5" customHeight="1" x14ac:dyDescent="0.3">
      <c r="A256" s="397"/>
      <c r="B256" s="383">
        <f t="shared" si="4"/>
        <v>98</v>
      </c>
      <c r="C256" s="816" t="s">
        <v>310</v>
      </c>
      <c r="D256" s="990" t="s">
        <v>95</v>
      </c>
      <c r="E256" s="626" t="s">
        <v>92</v>
      </c>
      <c r="F256" s="519"/>
      <c r="G256" s="519">
        <v>46162</v>
      </c>
      <c r="H256" s="1149" t="s">
        <v>553</v>
      </c>
      <c r="I256" s="1150"/>
      <c r="J256" s="1150"/>
      <c r="K256" s="1150"/>
      <c r="L256" s="510">
        <v>46162</v>
      </c>
      <c r="M256" s="486" t="s">
        <v>774</v>
      </c>
      <c r="N256" s="374"/>
      <c r="O256" s="384"/>
      <c r="P256" s="384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s="402" customFormat="1" ht="13.5" customHeight="1" x14ac:dyDescent="0.3">
      <c r="A257" s="397"/>
      <c r="B257" s="383">
        <f t="shared" si="4"/>
        <v>99</v>
      </c>
      <c r="C257" s="374" t="s">
        <v>207</v>
      </c>
      <c r="D257" s="740" t="s">
        <v>95</v>
      </c>
      <c r="E257" s="429" t="s">
        <v>92</v>
      </c>
      <c r="F257" s="510"/>
      <c r="G257" s="510">
        <v>46164</v>
      </c>
      <c r="H257" s="1149" t="s">
        <v>553</v>
      </c>
      <c r="I257" s="1150"/>
      <c r="J257" s="1150"/>
      <c r="K257" s="1150"/>
      <c r="L257" s="510">
        <v>46164</v>
      </c>
      <c r="M257" s="486" t="s">
        <v>784</v>
      </c>
      <c r="N257" s="374"/>
      <c r="O257" s="384"/>
      <c r="P257" s="384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s="402" customFormat="1" ht="13.5" customHeight="1" thickBot="1" x14ac:dyDescent="0.35">
      <c r="A258" s="397"/>
      <c r="B258" s="399"/>
      <c r="C258" s="1039"/>
      <c r="D258" s="1011"/>
      <c r="E258" s="1040"/>
      <c r="F258" s="1041"/>
      <c r="G258" s="1041"/>
      <c r="H258" s="856"/>
      <c r="I258" s="857"/>
      <c r="J258" s="857"/>
      <c r="K258" s="857"/>
      <c r="L258" s="819"/>
      <c r="M258" s="852"/>
      <c r="N258" s="400"/>
      <c r="O258" s="382"/>
      <c r="P258" s="382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ht="13.5" customHeight="1" thickBot="1" x14ac:dyDescent="0.35">
      <c r="B259" s="532" t="s">
        <v>101</v>
      </c>
      <c r="C259" s="403"/>
      <c r="D259" s="403"/>
      <c r="E259" s="403"/>
      <c r="F259" s="403"/>
      <c r="G259" s="403"/>
      <c r="H259" s="403"/>
      <c r="I259" s="403"/>
      <c r="J259" s="403"/>
      <c r="K259" s="403"/>
      <c r="L259" s="403"/>
      <c r="M259" s="403"/>
      <c r="N259" s="403"/>
      <c r="O259" s="436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B260" s="426" t="s">
        <v>69</v>
      </c>
      <c r="C260" s="425" t="s">
        <v>70</v>
      </c>
      <c r="D260" s="425" t="s">
        <v>71</v>
      </c>
      <c r="E260" s="425" t="s">
        <v>99</v>
      </c>
      <c r="F260" s="677"/>
      <c r="G260" s="677"/>
      <c r="H260" s="677"/>
      <c r="I260" s="677"/>
      <c r="J260" s="425" t="s">
        <v>82</v>
      </c>
      <c r="K260" s="425" t="s">
        <v>84</v>
      </c>
      <c r="L260" s="425" t="s">
        <v>102</v>
      </c>
      <c r="M260" s="425" t="s">
        <v>103</v>
      </c>
      <c r="N260" s="425" t="s">
        <v>104</v>
      </c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B261" s="421"/>
      <c r="C261" s="422"/>
      <c r="D261" s="423"/>
      <c r="E261" s="678"/>
      <c r="F261" s="674"/>
      <c r="G261" s="674"/>
      <c r="H261" s="674"/>
      <c r="I261" s="679"/>
      <c r="J261" s="422"/>
      <c r="K261" s="422"/>
      <c r="L261" s="421"/>
      <c r="M261" s="424"/>
      <c r="N261" s="424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thickBot="1" x14ac:dyDescent="0.35">
      <c r="B262" s="427"/>
      <c r="C262" s="48"/>
      <c r="D262" s="49"/>
      <c r="E262" s="50"/>
      <c r="F262" s="50"/>
      <c r="G262" s="50"/>
      <c r="H262" s="50"/>
      <c r="I262" s="50"/>
      <c r="J262" s="48"/>
      <c r="K262" s="48"/>
      <c r="L262" s="51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thickBot="1" x14ac:dyDescent="0.35">
      <c r="B263" s="531" t="s">
        <v>105</v>
      </c>
      <c r="C263" s="45"/>
      <c r="D263" s="45"/>
      <c r="E263" s="45"/>
      <c r="F263" s="45"/>
      <c r="G263" s="45"/>
      <c r="H263" s="45" t="s">
        <v>941</v>
      </c>
      <c r="I263" s="45"/>
      <c r="J263" s="45"/>
      <c r="K263" s="45"/>
      <c r="L263" s="46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B264" s="47" t="s">
        <v>69</v>
      </c>
      <c r="C264" s="47" t="s">
        <v>70</v>
      </c>
      <c r="D264" s="47" t="s">
        <v>71</v>
      </c>
      <c r="E264" s="681" t="s">
        <v>99</v>
      </c>
      <c r="F264" s="675"/>
      <c r="G264" s="675"/>
      <c r="H264" s="675"/>
      <c r="I264" s="676"/>
      <c r="J264" s="47" t="s">
        <v>82</v>
      </c>
      <c r="K264" s="47" t="s">
        <v>84</v>
      </c>
      <c r="L264" s="47" t="s">
        <v>33</v>
      </c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thickBot="1" x14ac:dyDescent="0.35">
      <c r="B265" s="380"/>
      <c r="C265" s="378"/>
      <c r="D265" s="591"/>
      <c r="E265" s="680"/>
      <c r="F265" s="672"/>
      <c r="G265" s="672"/>
      <c r="H265" s="672"/>
      <c r="I265" s="673"/>
      <c r="J265" s="41"/>
      <c r="K265" s="39"/>
      <c r="L265" s="3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customHeight="1" thickBot="1" x14ac:dyDescent="0.35">
      <c r="B266" s="1201" t="s">
        <v>106</v>
      </c>
      <c r="C266" s="1202"/>
      <c r="D266" s="1203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3.4" customHeight="1" x14ac:dyDescent="0.3">
      <c r="B267" s="428" t="s">
        <v>98</v>
      </c>
      <c r="C267" s="428" t="s">
        <v>74</v>
      </c>
      <c r="D267" s="428" t="s">
        <v>75</v>
      </c>
      <c r="E267" s="54" t="s">
        <v>76</v>
      </c>
      <c r="F267" s="54"/>
      <c r="G267" s="54" t="s">
        <v>78</v>
      </c>
      <c r="H267" s="54" t="s">
        <v>107</v>
      </c>
      <c r="I267" s="1164" t="s">
        <v>99</v>
      </c>
      <c r="J267" s="1165"/>
      <c r="K267" s="1165"/>
      <c r="L267" s="1166"/>
      <c r="M267" s="54" t="s">
        <v>81</v>
      </c>
      <c r="N267" s="54" t="s">
        <v>82</v>
      </c>
      <c r="O267" s="54" t="s">
        <v>84</v>
      </c>
      <c r="P267" s="54" t="s">
        <v>100</v>
      </c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B268" s="380">
        <v>1</v>
      </c>
      <c r="C268" s="419" t="s">
        <v>273</v>
      </c>
      <c r="D268" s="378" t="s">
        <v>87</v>
      </c>
      <c r="E268" s="378" t="s">
        <v>92</v>
      </c>
      <c r="F268" s="378"/>
      <c r="G268" s="524">
        <v>46006</v>
      </c>
      <c r="H268" s="527">
        <v>35.088999999999999</v>
      </c>
      <c r="I268" s="1154" t="s">
        <v>672</v>
      </c>
      <c r="J268" s="1155"/>
      <c r="K268" s="1155"/>
      <c r="L268" s="1156"/>
      <c r="M268" s="524">
        <v>46011</v>
      </c>
      <c r="N268" s="494" t="s">
        <v>671</v>
      </c>
      <c r="O268" s="378">
        <v>35</v>
      </c>
      <c r="P268" s="378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B269" s="380">
        <v>2</v>
      </c>
      <c r="C269" s="374" t="s">
        <v>276</v>
      </c>
      <c r="D269" s="385" t="s">
        <v>87</v>
      </c>
      <c r="E269" s="374" t="s">
        <v>547</v>
      </c>
      <c r="F269" s="374"/>
      <c r="G269" s="529">
        <v>46013</v>
      </c>
      <c r="H269" s="527">
        <v>35.088999999999999</v>
      </c>
      <c r="I269" s="1154" t="s">
        <v>672</v>
      </c>
      <c r="J269" s="1155"/>
      <c r="K269" s="1155"/>
      <c r="L269" s="1156"/>
      <c r="M269" s="434">
        <v>46018</v>
      </c>
      <c r="N269" s="494" t="s">
        <v>671</v>
      </c>
      <c r="O269" s="378">
        <v>35</v>
      </c>
      <c r="P269" s="420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B270" s="380">
        <v>3</v>
      </c>
      <c r="C270" s="431" t="s">
        <v>326</v>
      </c>
      <c r="D270" s="378" t="s">
        <v>87</v>
      </c>
      <c r="E270" s="378" t="s">
        <v>92</v>
      </c>
      <c r="F270" s="432"/>
      <c r="G270" s="528">
        <v>46013</v>
      </c>
      <c r="H270" s="527">
        <v>35.088999999999999</v>
      </c>
      <c r="I270" s="1154" t="s">
        <v>672</v>
      </c>
      <c r="J270" s="1155"/>
      <c r="K270" s="1155"/>
      <c r="L270" s="1156"/>
      <c r="M270" s="515">
        <v>46022</v>
      </c>
      <c r="N270" s="495" t="s">
        <v>699</v>
      </c>
      <c r="O270" s="385">
        <v>49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80">
        <v>4</v>
      </c>
      <c r="C271" s="384" t="s">
        <v>271</v>
      </c>
      <c r="D271" s="385" t="s">
        <v>87</v>
      </c>
      <c r="E271" s="374" t="s">
        <v>547</v>
      </c>
      <c r="F271" s="384"/>
      <c r="G271" s="386">
        <v>46016</v>
      </c>
      <c r="H271" s="527">
        <v>35.088999999999999</v>
      </c>
      <c r="I271" s="1145" t="s">
        <v>672</v>
      </c>
      <c r="J271" s="1146"/>
      <c r="K271" s="1146"/>
      <c r="L271" s="1146"/>
      <c r="M271" s="386">
        <v>46032</v>
      </c>
      <c r="N271" s="495" t="s">
        <v>671</v>
      </c>
      <c r="O271" s="385">
        <v>35</v>
      </c>
      <c r="P271" s="38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customHeight="1" x14ac:dyDescent="0.3">
      <c r="B272" s="380">
        <v>5</v>
      </c>
      <c r="C272" s="384" t="s">
        <v>325</v>
      </c>
      <c r="D272" s="385" t="s">
        <v>87</v>
      </c>
      <c r="E272" s="374" t="s">
        <v>547</v>
      </c>
      <c r="F272" s="384"/>
      <c r="G272" s="386">
        <v>46016</v>
      </c>
      <c r="H272" s="527">
        <v>35.088999999999999</v>
      </c>
      <c r="I272" s="1154" t="s">
        <v>672</v>
      </c>
      <c r="J272" s="1155"/>
      <c r="K272" s="1155"/>
      <c r="L272" s="1156"/>
      <c r="M272" s="386">
        <v>46030</v>
      </c>
      <c r="N272" s="495" t="s">
        <v>699</v>
      </c>
      <c r="O272" s="385">
        <v>49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2" customHeight="1" x14ac:dyDescent="0.3">
      <c r="B273" s="380">
        <v>6</v>
      </c>
      <c r="C273" s="384" t="s">
        <v>270</v>
      </c>
      <c r="D273" s="384" t="s">
        <v>95</v>
      </c>
      <c r="E273" s="374" t="s">
        <v>547</v>
      </c>
      <c r="F273" s="384"/>
      <c r="G273" s="386">
        <v>46024</v>
      </c>
      <c r="H273" s="493">
        <v>41.88</v>
      </c>
      <c r="I273" s="1145" t="s">
        <v>672</v>
      </c>
      <c r="J273" s="1146"/>
      <c r="K273" s="1146"/>
      <c r="L273" s="1146"/>
      <c r="M273" s="386">
        <v>46032</v>
      </c>
      <c r="N273" s="495" t="s">
        <v>671</v>
      </c>
      <c r="O273" s="385">
        <v>35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380">
        <v>7</v>
      </c>
      <c r="C274" s="384" t="s">
        <v>323</v>
      </c>
      <c r="D274" s="385" t="s">
        <v>87</v>
      </c>
      <c r="E274" s="374" t="s">
        <v>547</v>
      </c>
      <c r="F274" s="384"/>
      <c r="G274" s="386">
        <v>46023</v>
      </c>
      <c r="H274" s="527">
        <v>35.088999999999999</v>
      </c>
      <c r="I274" s="1145" t="s">
        <v>672</v>
      </c>
      <c r="J274" s="1146"/>
      <c r="K274" s="1146"/>
      <c r="L274" s="1146"/>
      <c r="M274" s="386">
        <v>46035</v>
      </c>
      <c r="N274" s="495" t="s">
        <v>699</v>
      </c>
      <c r="O274" s="385">
        <v>49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0">
        <v>8</v>
      </c>
      <c r="C275" s="384" t="s">
        <v>272</v>
      </c>
      <c r="D275" s="385" t="s">
        <v>87</v>
      </c>
      <c r="E275" s="374" t="s">
        <v>547</v>
      </c>
      <c r="F275" s="384"/>
      <c r="G275" s="386">
        <v>46031</v>
      </c>
      <c r="H275" s="527">
        <v>35.088999999999999</v>
      </c>
      <c r="I275" s="1145" t="s">
        <v>672</v>
      </c>
      <c r="J275" s="1146"/>
      <c r="K275" s="1146"/>
      <c r="L275" s="1146"/>
      <c r="M275" s="386">
        <v>46036</v>
      </c>
      <c r="N275" s="495" t="s">
        <v>671</v>
      </c>
      <c r="O275" s="385">
        <v>35</v>
      </c>
      <c r="P275" s="38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2" customHeight="1" x14ac:dyDescent="0.3">
      <c r="B276" s="380">
        <v>9</v>
      </c>
      <c r="C276" s="384" t="s">
        <v>327</v>
      </c>
      <c r="D276" s="442" t="s">
        <v>87</v>
      </c>
      <c r="E276" s="374" t="s">
        <v>547</v>
      </c>
      <c r="F276" s="441"/>
      <c r="G276" s="386">
        <v>46029</v>
      </c>
      <c r="H276" s="527">
        <v>35.088999999999999</v>
      </c>
      <c r="I276" s="1145" t="s">
        <v>672</v>
      </c>
      <c r="J276" s="1146"/>
      <c r="K276" s="1146"/>
      <c r="L276" s="1146"/>
      <c r="M276" s="386">
        <v>46038</v>
      </c>
      <c r="N276" s="496" t="s">
        <v>675</v>
      </c>
      <c r="O276" s="384">
        <v>21</v>
      </c>
      <c r="P276" s="38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0">
        <v>10</v>
      </c>
      <c r="C277" s="384" t="s">
        <v>86</v>
      </c>
      <c r="D277" s="385" t="s">
        <v>87</v>
      </c>
      <c r="E277" s="384" t="s">
        <v>88</v>
      </c>
      <c r="F277" s="384"/>
      <c r="G277" s="616">
        <v>46033</v>
      </c>
      <c r="H277" s="586">
        <v>35.088999999999999</v>
      </c>
      <c r="I277" s="1145" t="s">
        <v>672</v>
      </c>
      <c r="J277" s="1146"/>
      <c r="K277" s="1146"/>
      <c r="L277" s="1146"/>
      <c r="M277" s="386">
        <v>46038</v>
      </c>
      <c r="N277" s="496" t="s">
        <v>698</v>
      </c>
      <c r="O277" s="384">
        <v>31</v>
      </c>
      <c r="P277" s="38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2" customHeight="1" x14ac:dyDescent="0.3">
      <c r="B278" s="380">
        <v>11</v>
      </c>
      <c r="C278" s="384" t="s">
        <v>96</v>
      </c>
      <c r="D278" s="384" t="s">
        <v>87</v>
      </c>
      <c r="E278" s="384" t="s">
        <v>92</v>
      </c>
      <c r="F278" s="384"/>
      <c r="G278" s="616">
        <v>46037</v>
      </c>
      <c r="H278" s="586">
        <v>35.088999999999999</v>
      </c>
      <c r="I278" s="1145" t="s">
        <v>672</v>
      </c>
      <c r="J278" s="1146"/>
      <c r="K278" s="1146"/>
      <c r="L278" s="1146"/>
      <c r="M278" s="386">
        <v>46042</v>
      </c>
      <c r="N278" s="496" t="s">
        <v>698</v>
      </c>
      <c r="O278" s="384">
        <v>31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0">
        <v>12</v>
      </c>
      <c r="C279" s="535" t="s">
        <v>278</v>
      </c>
      <c r="D279" s="535" t="s">
        <v>95</v>
      </c>
      <c r="E279" s="535" t="s">
        <v>547</v>
      </c>
      <c r="F279" s="535"/>
      <c r="G279" s="386">
        <v>46037</v>
      </c>
      <c r="H279" s="611">
        <v>41.88</v>
      </c>
      <c r="I279" s="1152" t="s">
        <v>672</v>
      </c>
      <c r="J279" s="1153"/>
      <c r="K279" s="1153"/>
      <c r="L279" s="1153"/>
      <c r="M279" s="592">
        <v>46043</v>
      </c>
      <c r="N279" s="612" t="s">
        <v>671</v>
      </c>
      <c r="O279" s="432">
        <v>35</v>
      </c>
      <c r="P279" s="53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13</v>
      </c>
      <c r="C280" s="384" t="s">
        <v>330</v>
      </c>
      <c r="D280" s="384" t="s">
        <v>87</v>
      </c>
      <c r="E280" s="384" t="s">
        <v>92</v>
      </c>
      <c r="F280" s="384"/>
      <c r="G280" s="616">
        <v>46039</v>
      </c>
      <c r="H280" s="586">
        <v>35.088999999999999</v>
      </c>
      <c r="I280" s="1145" t="s">
        <v>672</v>
      </c>
      <c r="J280" s="1146"/>
      <c r="K280" s="1146"/>
      <c r="L280" s="1146"/>
      <c r="M280" s="386">
        <v>46043</v>
      </c>
      <c r="N280" s="496" t="s">
        <v>675</v>
      </c>
      <c r="O280" s="384">
        <v>21</v>
      </c>
      <c r="P280" s="38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14</v>
      </c>
      <c r="C281" s="384" t="s">
        <v>347</v>
      </c>
      <c r="D281" s="384" t="s">
        <v>87</v>
      </c>
      <c r="E281" s="384" t="s">
        <v>547</v>
      </c>
      <c r="F281" s="384"/>
      <c r="G281" s="616">
        <v>46038</v>
      </c>
      <c r="H281" s="586">
        <v>35.088999999999999</v>
      </c>
      <c r="I281" s="1145" t="s">
        <v>672</v>
      </c>
      <c r="J281" s="1146"/>
      <c r="K281" s="1146"/>
      <c r="L281" s="1146"/>
      <c r="M281" s="386">
        <v>46043</v>
      </c>
      <c r="N281" s="496" t="s">
        <v>701</v>
      </c>
      <c r="O281" s="384">
        <v>32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15</v>
      </c>
      <c r="C282" s="384" t="s">
        <v>403</v>
      </c>
      <c r="D282" s="384" t="s">
        <v>87</v>
      </c>
      <c r="E282" s="384" t="s">
        <v>92</v>
      </c>
      <c r="F282" s="384"/>
      <c r="G282" s="616">
        <v>46039</v>
      </c>
      <c r="H282" s="586">
        <v>35.088999999999999</v>
      </c>
      <c r="I282" s="1145" t="s">
        <v>672</v>
      </c>
      <c r="J282" s="1146"/>
      <c r="K282" s="1146"/>
      <c r="L282" s="1146"/>
      <c r="M282" s="386">
        <v>46043</v>
      </c>
      <c r="N282" s="536" t="s">
        <v>700</v>
      </c>
      <c r="O282" s="384">
        <v>45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16</v>
      </c>
      <c r="C283" s="384" t="s">
        <v>348</v>
      </c>
      <c r="D283" s="385" t="s">
        <v>87</v>
      </c>
      <c r="E283" s="384" t="s">
        <v>547</v>
      </c>
      <c r="F283" s="384"/>
      <c r="G283" s="616">
        <v>46041</v>
      </c>
      <c r="H283" s="586">
        <v>35.088999999999999</v>
      </c>
      <c r="I283" s="1145" t="s">
        <v>672</v>
      </c>
      <c r="J283" s="1146"/>
      <c r="K283" s="1146"/>
      <c r="L283" s="1146"/>
      <c r="M283" s="386">
        <v>46046</v>
      </c>
      <c r="N283" s="496" t="s">
        <v>701</v>
      </c>
      <c r="O283" s="384">
        <v>32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17</v>
      </c>
      <c r="C284" s="384" t="s">
        <v>94</v>
      </c>
      <c r="D284" s="384" t="s">
        <v>95</v>
      </c>
      <c r="E284" s="384" t="s">
        <v>546</v>
      </c>
      <c r="F284" s="384"/>
      <c r="G284" s="616">
        <v>46041</v>
      </c>
      <c r="H284" s="493">
        <v>41.88</v>
      </c>
      <c r="I284" s="1145" t="s">
        <v>672</v>
      </c>
      <c r="J284" s="1146"/>
      <c r="K284" s="1146"/>
      <c r="L284" s="1146"/>
      <c r="M284" s="386">
        <v>46047</v>
      </c>
      <c r="N284" s="496" t="s">
        <v>698</v>
      </c>
      <c r="O284" s="384">
        <v>31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18</v>
      </c>
      <c r="C285" s="384" t="s">
        <v>279</v>
      </c>
      <c r="D285" s="385" t="s">
        <v>87</v>
      </c>
      <c r="E285" s="384" t="s">
        <v>547</v>
      </c>
      <c r="F285" s="384"/>
      <c r="G285" s="386">
        <v>46044</v>
      </c>
      <c r="H285" s="527">
        <v>35.088999999999999</v>
      </c>
      <c r="I285" s="1145" t="s">
        <v>672</v>
      </c>
      <c r="J285" s="1146"/>
      <c r="K285" s="1146"/>
      <c r="L285" s="1146"/>
      <c r="M285" s="386">
        <v>46049</v>
      </c>
      <c r="N285" s="496" t="s">
        <v>671</v>
      </c>
      <c r="O285" s="385">
        <v>35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19</v>
      </c>
      <c r="C286" s="384" t="s">
        <v>402</v>
      </c>
      <c r="D286" s="384" t="s">
        <v>87</v>
      </c>
      <c r="E286" s="384" t="s">
        <v>92</v>
      </c>
      <c r="F286" s="384"/>
      <c r="G286" s="616">
        <v>46045</v>
      </c>
      <c r="H286" s="586">
        <v>35.088999999999999</v>
      </c>
      <c r="I286" s="1145" t="s">
        <v>672</v>
      </c>
      <c r="J286" s="1146"/>
      <c r="K286" s="1146"/>
      <c r="L286" s="1146"/>
      <c r="M286" s="386">
        <v>46049</v>
      </c>
      <c r="N286" s="536" t="s">
        <v>700</v>
      </c>
      <c r="O286" s="384">
        <v>45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80">
        <v>20</v>
      </c>
      <c r="C287" s="384" t="s">
        <v>346</v>
      </c>
      <c r="D287" s="384" t="s">
        <v>95</v>
      </c>
      <c r="E287" s="384" t="s">
        <v>547</v>
      </c>
      <c r="F287" s="384"/>
      <c r="G287" s="616">
        <v>46047</v>
      </c>
      <c r="H287" s="493">
        <v>41.88</v>
      </c>
      <c r="I287" s="1145" t="s">
        <v>672</v>
      </c>
      <c r="J287" s="1146"/>
      <c r="K287" s="1146"/>
      <c r="L287" s="1146"/>
      <c r="M287" s="386">
        <v>46050</v>
      </c>
      <c r="N287" s="496" t="s">
        <v>701</v>
      </c>
      <c r="O287" s="384">
        <v>32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80">
        <v>21</v>
      </c>
      <c r="C288" s="384" t="s">
        <v>399</v>
      </c>
      <c r="D288" s="385" t="s">
        <v>87</v>
      </c>
      <c r="E288" s="374" t="s">
        <v>547</v>
      </c>
      <c r="F288" s="384"/>
      <c r="G288" s="386">
        <v>46034</v>
      </c>
      <c r="H288" s="586">
        <v>35.088999999999999</v>
      </c>
      <c r="I288" s="1145" t="s">
        <v>672</v>
      </c>
      <c r="J288" s="1146"/>
      <c r="K288" s="1146"/>
      <c r="L288" s="1146"/>
      <c r="M288" s="386">
        <v>46051</v>
      </c>
      <c r="N288" s="495" t="s">
        <v>699</v>
      </c>
      <c r="O288" s="385">
        <v>49</v>
      </c>
      <c r="P288" s="38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B289" s="380">
        <v>22</v>
      </c>
      <c r="C289" s="384" t="s">
        <v>333</v>
      </c>
      <c r="D289" s="384" t="s">
        <v>91</v>
      </c>
      <c r="E289" s="384" t="s">
        <v>547</v>
      </c>
      <c r="F289" s="384"/>
      <c r="G289" s="616">
        <v>46048</v>
      </c>
      <c r="H289" s="493">
        <v>36.771000000000001</v>
      </c>
      <c r="I289" s="1145" t="s">
        <v>672</v>
      </c>
      <c r="J289" s="1146"/>
      <c r="K289" s="1146"/>
      <c r="L289" s="1146"/>
      <c r="M289" s="386">
        <v>46052</v>
      </c>
      <c r="N289" s="496" t="s">
        <v>675</v>
      </c>
      <c r="O289" s="384">
        <v>21</v>
      </c>
      <c r="P289" s="38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80">
        <v>23</v>
      </c>
      <c r="C290" s="384" t="s">
        <v>338</v>
      </c>
      <c r="D290" s="384" t="s">
        <v>95</v>
      </c>
      <c r="E290" s="384" t="s">
        <v>92</v>
      </c>
      <c r="F290" s="384"/>
      <c r="G290" s="616">
        <v>46049</v>
      </c>
      <c r="H290" s="493">
        <v>41.88</v>
      </c>
      <c r="I290" s="1145" t="s">
        <v>672</v>
      </c>
      <c r="J290" s="1146"/>
      <c r="K290" s="1146"/>
      <c r="L290" s="1146"/>
      <c r="M290" s="386">
        <v>46053</v>
      </c>
      <c r="N290" s="496" t="s">
        <v>698</v>
      </c>
      <c r="O290" s="384">
        <v>31</v>
      </c>
      <c r="P290" s="38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customHeight="1" x14ac:dyDescent="0.3">
      <c r="B291" s="380">
        <v>24</v>
      </c>
      <c r="C291" s="384" t="s">
        <v>406</v>
      </c>
      <c r="D291" s="384" t="s">
        <v>91</v>
      </c>
      <c r="E291" s="384" t="s">
        <v>92</v>
      </c>
      <c r="F291" s="384"/>
      <c r="G291" s="386">
        <v>46049</v>
      </c>
      <c r="H291" s="493">
        <v>36.771000000000001</v>
      </c>
      <c r="I291" s="1145" t="s">
        <v>672</v>
      </c>
      <c r="J291" s="1146"/>
      <c r="K291" s="1146"/>
      <c r="L291" s="1146"/>
      <c r="M291" s="386">
        <v>46053</v>
      </c>
      <c r="N291" s="495" t="s">
        <v>700</v>
      </c>
      <c r="O291" s="384">
        <v>45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s="760" customFormat="1" ht="13.5" customHeight="1" x14ac:dyDescent="0.3">
      <c r="B292" s="380">
        <v>25</v>
      </c>
      <c r="C292" s="684" t="s">
        <v>281</v>
      </c>
      <c r="D292" s="684" t="s">
        <v>87</v>
      </c>
      <c r="E292" s="684" t="s">
        <v>92</v>
      </c>
      <c r="F292" s="684"/>
      <c r="G292" s="761">
        <v>46049</v>
      </c>
      <c r="H292" s="762">
        <v>35.088999999999999</v>
      </c>
      <c r="I292" s="1145" t="s">
        <v>672</v>
      </c>
      <c r="J292" s="1146"/>
      <c r="K292" s="1146"/>
      <c r="L292" s="1146"/>
      <c r="M292" s="761">
        <v>46055</v>
      </c>
      <c r="N292" s="763" t="s">
        <v>671</v>
      </c>
      <c r="O292" s="764">
        <v>35</v>
      </c>
      <c r="P292" s="684"/>
      <c r="Q292" s="765"/>
      <c r="R292" s="765"/>
      <c r="S292" s="765"/>
      <c r="T292" s="765"/>
      <c r="U292" s="765"/>
      <c r="V292" s="765"/>
      <c r="W292" s="765"/>
      <c r="X292" s="765"/>
      <c r="Y292" s="765"/>
      <c r="Z292" s="765"/>
    </row>
    <row r="293" spans="1:26" ht="13.5" customHeight="1" x14ac:dyDescent="0.3">
      <c r="B293" s="380">
        <v>26</v>
      </c>
      <c r="C293" s="384" t="s">
        <v>400</v>
      </c>
      <c r="D293" s="384" t="s">
        <v>87</v>
      </c>
      <c r="E293" s="384" t="s">
        <v>92</v>
      </c>
      <c r="F293" s="384"/>
      <c r="G293" s="386">
        <v>46052</v>
      </c>
      <c r="H293" s="586">
        <v>35.088999999999999</v>
      </c>
      <c r="I293" s="1145" t="s">
        <v>672</v>
      </c>
      <c r="J293" s="1146"/>
      <c r="K293" s="1146"/>
      <c r="L293" s="1146"/>
      <c r="M293" s="386">
        <v>46056</v>
      </c>
      <c r="N293" s="495" t="s">
        <v>699</v>
      </c>
      <c r="O293" s="385">
        <v>49</v>
      </c>
      <c r="P293" s="38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B294" s="380">
        <v>27</v>
      </c>
      <c r="C294" s="626" t="s">
        <v>352</v>
      </c>
      <c r="D294" s="374" t="s">
        <v>87</v>
      </c>
      <c r="E294" s="429" t="s">
        <v>690</v>
      </c>
      <c r="F294" s="384"/>
      <c r="G294" s="386">
        <v>46053</v>
      </c>
      <c r="H294" s="586">
        <v>35.088999999999999</v>
      </c>
      <c r="I294" s="1145" t="s">
        <v>672</v>
      </c>
      <c r="J294" s="1146"/>
      <c r="K294" s="1146"/>
      <c r="L294" s="1146"/>
      <c r="M294" s="386">
        <v>46056</v>
      </c>
      <c r="N294" s="496" t="s">
        <v>701</v>
      </c>
      <c r="O294" s="384">
        <v>32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B295" s="380">
        <v>28</v>
      </c>
      <c r="C295" s="429" t="s">
        <v>339</v>
      </c>
      <c r="D295" s="374" t="s">
        <v>113</v>
      </c>
      <c r="E295" s="429" t="s">
        <v>92</v>
      </c>
      <c r="F295" s="384"/>
      <c r="G295" s="386">
        <v>46054</v>
      </c>
      <c r="H295" s="586">
        <v>43.575000000000003</v>
      </c>
      <c r="I295" s="1145" t="s">
        <v>672</v>
      </c>
      <c r="J295" s="1146"/>
      <c r="K295" s="1146"/>
      <c r="L295" s="1146"/>
      <c r="M295" s="386">
        <v>46057</v>
      </c>
      <c r="N295" s="496" t="s">
        <v>698</v>
      </c>
      <c r="O295" s="384">
        <v>31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80">
        <v>29</v>
      </c>
      <c r="C296" s="384" t="s">
        <v>349</v>
      </c>
      <c r="D296" s="384" t="s">
        <v>113</v>
      </c>
      <c r="E296" s="384" t="s">
        <v>547</v>
      </c>
      <c r="F296" s="384"/>
      <c r="G296" s="386">
        <v>46050</v>
      </c>
      <c r="H296" s="586">
        <v>43.575000000000003</v>
      </c>
      <c r="I296" s="1145" t="s">
        <v>672</v>
      </c>
      <c r="J296" s="1146"/>
      <c r="K296" s="1146"/>
      <c r="L296" s="1146"/>
      <c r="M296" s="386">
        <v>46058</v>
      </c>
      <c r="N296" s="496" t="s">
        <v>701</v>
      </c>
      <c r="O296" s="384">
        <v>32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customHeight="1" x14ac:dyDescent="0.3">
      <c r="B297" s="380">
        <v>30</v>
      </c>
      <c r="C297" s="429" t="s">
        <v>405</v>
      </c>
      <c r="D297" s="374" t="s">
        <v>91</v>
      </c>
      <c r="E297" s="429" t="s">
        <v>546</v>
      </c>
      <c r="F297" s="384"/>
      <c r="G297" s="386">
        <v>46052</v>
      </c>
      <c r="H297" s="493">
        <v>36.771000000000001</v>
      </c>
      <c r="I297" s="1145" t="s">
        <v>672</v>
      </c>
      <c r="J297" s="1146"/>
      <c r="K297" s="1146"/>
      <c r="L297" s="1146"/>
      <c r="M297" s="386">
        <v>46058</v>
      </c>
      <c r="N297" s="495" t="s">
        <v>700</v>
      </c>
      <c r="O297" s="384">
        <v>45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B298" s="380">
        <v>31</v>
      </c>
      <c r="C298" s="625" t="s">
        <v>265</v>
      </c>
      <c r="D298" s="374" t="s">
        <v>87</v>
      </c>
      <c r="E298" s="429" t="s">
        <v>88</v>
      </c>
      <c r="F298" s="384"/>
      <c r="G298" s="386">
        <v>46059</v>
      </c>
      <c r="H298" s="586">
        <v>35.088999999999999</v>
      </c>
      <c r="I298" s="1145" t="s">
        <v>672</v>
      </c>
      <c r="J298" s="1146"/>
      <c r="K298" s="1146"/>
      <c r="L298" s="1146"/>
      <c r="M298" s="386">
        <v>46062</v>
      </c>
      <c r="N298" s="496" t="s">
        <v>698</v>
      </c>
      <c r="O298" s="384">
        <v>35</v>
      </c>
      <c r="P298" s="38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customHeight="1" x14ac:dyDescent="0.3">
      <c r="B299" s="380">
        <v>32</v>
      </c>
      <c r="C299" s="384" t="s">
        <v>398</v>
      </c>
      <c r="D299" s="384" t="s">
        <v>87</v>
      </c>
      <c r="E299" s="384" t="s">
        <v>92</v>
      </c>
      <c r="F299" s="384"/>
      <c r="G299" s="386">
        <v>46361</v>
      </c>
      <c r="H299" s="586">
        <v>35.088999999999999</v>
      </c>
      <c r="I299" s="1145" t="s">
        <v>672</v>
      </c>
      <c r="J299" s="1146"/>
      <c r="K299" s="1146"/>
      <c r="L299" s="1146"/>
      <c r="M299" s="386">
        <v>46062</v>
      </c>
      <c r="N299" s="495" t="s">
        <v>699</v>
      </c>
      <c r="O299" s="385">
        <v>49</v>
      </c>
      <c r="P299" s="38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B300" s="380">
        <v>33</v>
      </c>
      <c r="C300" s="384" t="s">
        <v>469</v>
      </c>
      <c r="D300" s="384" t="s">
        <v>563</v>
      </c>
      <c r="E300" s="429" t="s">
        <v>92</v>
      </c>
      <c r="F300" s="384"/>
      <c r="G300" s="386">
        <v>46058</v>
      </c>
      <c r="H300" s="586">
        <v>54.72</v>
      </c>
      <c r="I300" s="1145" t="s">
        <v>672</v>
      </c>
      <c r="J300" s="1146"/>
      <c r="K300" s="1146"/>
      <c r="L300" s="1146"/>
      <c r="M300" s="386">
        <v>46063</v>
      </c>
      <c r="N300" s="496" t="s">
        <v>701</v>
      </c>
      <c r="O300" s="384">
        <v>32</v>
      </c>
      <c r="P300" s="38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0">
        <v>34</v>
      </c>
      <c r="C301" s="384" t="s">
        <v>263</v>
      </c>
      <c r="D301" s="432" t="s">
        <v>87</v>
      </c>
      <c r="E301" s="383" t="s">
        <v>547</v>
      </c>
      <c r="F301" s="384"/>
      <c r="G301" s="386">
        <v>46056</v>
      </c>
      <c r="H301" s="586">
        <v>35.088999999999999</v>
      </c>
      <c r="I301" s="1145" t="s">
        <v>672</v>
      </c>
      <c r="J301" s="1146"/>
      <c r="K301" s="1146"/>
      <c r="L301" s="1146"/>
      <c r="M301" s="386">
        <v>46064</v>
      </c>
      <c r="N301" s="495" t="s">
        <v>671</v>
      </c>
      <c r="O301" s="385">
        <v>35</v>
      </c>
      <c r="P301" s="38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35</v>
      </c>
      <c r="C302" s="629" t="s">
        <v>414</v>
      </c>
      <c r="D302" s="512" t="s">
        <v>87</v>
      </c>
      <c r="E302" s="443" t="s">
        <v>92</v>
      </c>
      <c r="F302" s="535"/>
      <c r="G302" s="386">
        <v>46058</v>
      </c>
      <c r="H302" s="630">
        <v>35.088999999999999</v>
      </c>
      <c r="I302" s="1145" t="s">
        <v>672</v>
      </c>
      <c r="J302" s="1146"/>
      <c r="K302" s="1146"/>
      <c r="L302" s="1146"/>
      <c r="M302" s="592">
        <v>46065</v>
      </c>
      <c r="N302" s="612" t="s">
        <v>700</v>
      </c>
      <c r="O302" s="535">
        <v>45</v>
      </c>
      <c r="P302" s="53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36</v>
      </c>
      <c r="C303" s="384" t="s">
        <v>266</v>
      </c>
      <c r="D303" s="384" t="s">
        <v>95</v>
      </c>
      <c r="E303" s="384" t="s">
        <v>547</v>
      </c>
      <c r="F303" s="384"/>
      <c r="G303" s="386">
        <v>46063</v>
      </c>
      <c r="H303" s="493">
        <v>41.88</v>
      </c>
      <c r="I303" s="1145" t="s">
        <v>672</v>
      </c>
      <c r="J303" s="1146"/>
      <c r="K303" s="1146"/>
      <c r="L303" s="1146"/>
      <c r="M303" s="592">
        <v>46066</v>
      </c>
      <c r="N303" s="496" t="s">
        <v>698</v>
      </c>
      <c r="O303" s="535">
        <v>31</v>
      </c>
      <c r="P303" s="53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37</v>
      </c>
      <c r="C304" s="384" t="s">
        <v>93</v>
      </c>
      <c r="D304" s="374" t="s">
        <v>87</v>
      </c>
      <c r="E304" s="429" t="s">
        <v>92</v>
      </c>
      <c r="F304" s="384"/>
      <c r="G304" s="386">
        <v>46063</v>
      </c>
      <c r="H304" s="586">
        <v>35.088999999999999</v>
      </c>
      <c r="I304" s="1145" t="s">
        <v>672</v>
      </c>
      <c r="J304" s="1146"/>
      <c r="K304" s="1146"/>
      <c r="L304" s="1146"/>
      <c r="M304" s="592">
        <v>46066</v>
      </c>
      <c r="N304" s="496" t="s">
        <v>701</v>
      </c>
      <c r="O304" s="384">
        <v>32</v>
      </c>
      <c r="P304" s="53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38</v>
      </c>
      <c r="C305" s="429" t="s">
        <v>401</v>
      </c>
      <c r="D305" s="374" t="s">
        <v>87</v>
      </c>
      <c r="E305" s="429" t="s">
        <v>547</v>
      </c>
      <c r="F305" s="384"/>
      <c r="G305" s="386">
        <v>46053</v>
      </c>
      <c r="H305" s="586">
        <v>35.088999999999999</v>
      </c>
      <c r="I305" s="1145" t="s">
        <v>672</v>
      </c>
      <c r="J305" s="1146"/>
      <c r="K305" s="1146"/>
      <c r="L305" s="1146"/>
      <c r="M305" s="386">
        <v>46069</v>
      </c>
      <c r="N305" s="495" t="s">
        <v>699</v>
      </c>
      <c r="O305" s="384">
        <v>49</v>
      </c>
      <c r="P305" s="38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39</v>
      </c>
      <c r="C306" s="384" t="s">
        <v>619</v>
      </c>
      <c r="D306" s="374" t="s">
        <v>87</v>
      </c>
      <c r="E306" s="429" t="s">
        <v>547</v>
      </c>
      <c r="F306" s="384"/>
      <c r="G306" s="386">
        <v>46065</v>
      </c>
      <c r="H306" s="586">
        <v>35.088999999999999</v>
      </c>
      <c r="I306" s="1145" t="s">
        <v>672</v>
      </c>
      <c r="J306" s="1146"/>
      <c r="K306" s="1146"/>
      <c r="L306" s="1146"/>
      <c r="M306" s="386">
        <v>46069</v>
      </c>
      <c r="N306" s="495" t="s">
        <v>700</v>
      </c>
      <c r="O306" s="384">
        <v>45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40</v>
      </c>
      <c r="C307" s="374" t="s">
        <v>630</v>
      </c>
      <c r="D307" s="374" t="s">
        <v>87</v>
      </c>
      <c r="E307" s="374" t="s">
        <v>92</v>
      </c>
      <c r="F307" s="374"/>
      <c r="G307" s="529">
        <v>46067</v>
      </c>
      <c r="H307" s="586">
        <v>35.088999999999999</v>
      </c>
      <c r="I307" s="1145" t="s">
        <v>672</v>
      </c>
      <c r="J307" s="1146"/>
      <c r="K307" s="1146"/>
      <c r="L307" s="1146"/>
      <c r="M307" s="386">
        <v>46070</v>
      </c>
      <c r="N307" s="495" t="s">
        <v>701</v>
      </c>
      <c r="O307" s="384">
        <v>32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41</v>
      </c>
      <c r="C308" s="384" t="s">
        <v>255</v>
      </c>
      <c r="D308" s="374" t="s">
        <v>87</v>
      </c>
      <c r="E308" s="429" t="s">
        <v>547</v>
      </c>
      <c r="F308" s="384"/>
      <c r="G308" s="386">
        <v>46067</v>
      </c>
      <c r="H308" s="586">
        <v>35.088999999999999</v>
      </c>
      <c r="I308" s="1145" t="s">
        <v>672</v>
      </c>
      <c r="J308" s="1146"/>
      <c r="K308" s="1146"/>
      <c r="L308" s="1146"/>
      <c r="M308" s="386">
        <v>46070</v>
      </c>
      <c r="N308" s="495" t="s">
        <v>698</v>
      </c>
      <c r="O308" s="384">
        <v>35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42</v>
      </c>
      <c r="C309" s="535" t="s">
        <v>631</v>
      </c>
      <c r="D309" s="512" t="s">
        <v>87</v>
      </c>
      <c r="E309" s="443" t="s">
        <v>546</v>
      </c>
      <c r="F309" s="535"/>
      <c r="G309" s="592">
        <v>46068</v>
      </c>
      <c r="H309" s="630">
        <v>35.088999999999999</v>
      </c>
      <c r="I309" s="1145" t="s">
        <v>672</v>
      </c>
      <c r="J309" s="1146"/>
      <c r="K309" s="1146"/>
      <c r="L309" s="1146"/>
      <c r="M309" s="592">
        <v>46072</v>
      </c>
      <c r="N309" s="612" t="s">
        <v>701</v>
      </c>
      <c r="O309" s="535">
        <v>32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43</v>
      </c>
      <c r="C310" s="535" t="s">
        <v>264</v>
      </c>
      <c r="D310" s="374" t="s">
        <v>563</v>
      </c>
      <c r="E310" s="443" t="s">
        <v>547</v>
      </c>
      <c r="F310" s="535"/>
      <c r="G310" s="592">
        <v>46065</v>
      </c>
      <c r="H310" s="630">
        <v>54.72</v>
      </c>
      <c r="I310" s="1145" t="s">
        <v>672</v>
      </c>
      <c r="J310" s="1146"/>
      <c r="K310" s="1146"/>
      <c r="L310" s="1146"/>
      <c r="M310" s="592">
        <v>46073</v>
      </c>
      <c r="N310" s="612" t="s">
        <v>671</v>
      </c>
      <c r="O310" s="535">
        <v>35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44</v>
      </c>
      <c r="C311" s="813" t="s">
        <v>413</v>
      </c>
      <c r="D311" s="374" t="s">
        <v>87</v>
      </c>
      <c r="E311" s="374" t="s">
        <v>547</v>
      </c>
      <c r="F311" s="374"/>
      <c r="G311" s="529">
        <v>46069</v>
      </c>
      <c r="H311" s="586">
        <v>35.088999999999999</v>
      </c>
      <c r="I311" s="1145" t="s">
        <v>672</v>
      </c>
      <c r="J311" s="1146"/>
      <c r="K311" s="1146"/>
      <c r="L311" s="1146"/>
      <c r="M311" s="592">
        <v>46073</v>
      </c>
      <c r="N311" s="495" t="s">
        <v>700</v>
      </c>
      <c r="O311" s="384">
        <v>45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45</v>
      </c>
      <c r="C312" s="384" t="s">
        <v>423</v>
      </c>
      <c r="D312" s="374" t="s">
        <v>691</v>
      </c>
      <c r="E312" s="429" t="s">
        <v>92</v>
      </c>
      <c r="F312" s="384"/>
      <c r="G312" s="386">
        <v>46070</v>
      </c>
      <c r="H312" s="586">
        <v>54.72</v>
      </c>
      <c r="I312" s="1145" t="s">
        <v>672</v>
      </c>
      <c r="J312" s="1146"/>
      <c r="K312" s="1146"/>
      <c r="L312" s="1146"/>
      <c r="M312" s="386">
        <v>46074</v>
      </c>
      <c r="N312" s="495" t="s">
        <v>698</v>
      </c>
      <c r="O312" s="384">
        <v>35</v>
      </c>
      <c r="P312" s="38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46</v>
      </c>
      <c r="C313" s="441" t="s">
        <v>628</v>
      </c>
      <c r="D313" s="374" t="s">
        <v>87</v>
      </c>
      <c r="E313" s="429" t="s">
        <v>92</v>
      </c>
      <c r="F313" s="384"/>
      <c r="G313" s="386">
        <v>46073</v>
      </c>
      <c r="H313" s="586">
        <v>35.088999999999999</v>
      </c>
      <c r="I313" s="1145" t="s">
        <v>672</v>
      </c>
      <c r="J313" s="1146"/>
      <c r="K313" s="1146"/>
      <c r="L313" s="1146"/>
      <c r="M313" s="386">
        <v>46075</v>
      </c>
      <c r="N313" s="495" t="s">
        <v>701</v>
      </c>
      <c r="O313" s="384">
        <v>32</v>
      </c>
      <c r="P313" s="38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47</v>
      </c>
      <c r="C314" s="441" t="s">
        <v>409</v>
      </c>
      <c r="D314" s="374" t="s">
        <v>87</v>
      </c>
      <c r="E314" s="429" t="s">
        <v>92</v>
      </c>
      <c r="F314" s="384"/>
      <c r="G314" s="386">
        <v>46061</v>
      </c>
      <c r="H314" s="586">
        <v>35.088999999999999</v>
      </c>
      <c r="I314" s="1145" t="s">
        <v>672</v>
      </c>
      <c r="J314" s="1146"/>
      <c r="K314" s="1146"/>
      <c r="L314" s="1146"/>
      <c r="M314" s="386">
        <v>46077</v>
      </c>
      <c r="N314" s="495" t="s">
        <v>700</v>
      </c>
      <c r="O314" s="384">
        <v>45</v>
      </c>
      <c r="P314" s="38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48</v>
      </c>
      <c r="C315" s="812" t="s">
        <v>629</v>
      </c>
      <c r="D315" s="374" t="s">
        <v>87</v>
      </c>
      <c r="E315" s="429" t="s">
        <v>92</v>
      </c>
      <c r="F315" s="384"/>
      <c r="G315" s="386">
        <v>46075</v>
      </c>
      <c r="H315" s="586">
        <v>35.088999999999999</v>
      </c>
      <c r="I315" s="1145" t="s">
        <v>672</v>
      </c>
      <c r="J315" s="1146"/>
      <c r="K315" s="1146"/>
      <c r="L315" s="1146"/>
      <c r="M315" s="386">
        <v>46077</v>
      </c>
      <c r="N315" s="495" t="s">
        <v>701</v>
      </c>
      <c r="O315" s="384">
        <v>32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49</v>
      </c>
      <c r="C316" s="537" t="s">
        <v>247</v>
      </c>
      <c r="D316" s="660" t="s">
        <v>91</v>
      </c>
      <c r="E316" s="659" t="s">
        <v>92</v>
      </c>
      <c r="F316" s="384"/>
      <c r="G316" s="690">
        <v>46075</v>
      </c>
      <c r="H316" s="691">
        <v>36.771000000000001</v>
      </c>
      <c r="I316" s="1145" t="s">
        <v>672</v>
      </c>
      <c r="J316" s="1146"/>
      <c r="K316" s="1146"/>
      <c r="L316" s="1146"/>
      <c r="M316" s="690">
        <v>46078</v>
      </c>
      <c r="N316" s="693" t="s">
        <v>698</v>
      </c>
      <c r="O316" s="692">
        <v>40</v>
      </c>
      <c r="P316" s="692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50</v>
      </c>
      <c r="C317" s="537" t="s">
        <v>259</v>
      </c>
      <c r="D317" s="374" t="s">
        <v>91</v>
      </c>
      <c r="E317" s="429" t="s">
        <v>547</v>
      </c>
      <c r="F317" s="17"/>
      <c r="G317" s="386">
        <v>46073</v>
      </c>
      <c r="H317" s="493">
        <v>36.771000000000001</v>
      </c>
      <c r="I317" s="1145" t="s">
        <v>672</v>
      </c>
      <c r="J317" s="1146"/>
      <c r="K317" s="1146"/>
      <c r="L317" s="1146"/>
      <c r="M317" s="386">
        <v>46079</v>
      </c>
      <c r="N317" s="612" t="s">
        <v>671</v>
      </c>
      <c r="O317" s="535">
        <v>30</v>
      </c>
      <c r="P317" s="38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51</v>
      </c>
      <c r="C318" s="441" t="s">
        <v>627</v>
      </c>
      <c r="D318" s="615" t="s">
        <v>87</v>
      </c>
      <c r="E318" s="429" t="s">
        <v>92</v>
      </c>
      <c r="F318" s="384"/>
      <c r="G318" s="386">
        <v>46077</v>
      </c>
      <c r="H318" s="586">
        <v>35.088999999999999</v>
      </c>
      <c r="I318" s="1145" t="s">
        <v>672</v>
      </c>
      <c r="J318" s="1146"/>
      <c r="K318" s="1146"/>
      <c r="L318" s="1146"/>
      <c r="M318" s="386">
        <v>46080</v>
      </c>
      <c r="N318" s="495" t="s">
        <v>701</v>
      </c>
      <c r="O318" s="384">
        <v>32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52</v>
      </c>
      <c r="C319" s="384" t="s">
        <v>332</v>
      </c>
      <c r="D319" s="615" t="s">
        <v>87</v>
      </c>
      <c r="E319" s="429" t="s">
        <v>92</v>
      </c>
      <c r="F319" s="384"/>
      <c r="G319" s="386">
        <v>46077</v>
      </c>
      <c r="H319" s="586">
        <v>35.088999999999999</v>
      </c>
      <c r="I319" s="1145" t="s">
        <v>672</v>
      </c>
      <c r="J319" s="1146"/>
      <c r="K319" s="1146"/>
      <c r="L319" s="1146"/>
      <c r="M319" s="386">
        <v>46081</v>
      </c>
      <c r="N319" s="496" t="s">
        <v>741</v>
      </c>
      <c r="O319" s="384">
        <v>24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53</v>
      </c>
      <c r="C320" s="694" t="s">
        <v>248</v>
      </c>
      <c r="D320" s="374" t="s">
        <v>87</v>
      </c>
      <c r="E320" s="429" t="s">
        <v>547</v>
      </c>
      <c r="F320" s="17"/>
      <c r="G320" s="386">
        <v>46078</v>
      </c>
      <c r="H320" s="586">
        <v>35.088999999999999</v>
      </c>
      <c r="I320" s="1145" t="s">
        <v>672</v>
      </c>
      <c r="J320" s="1146"/>
      <c r="K320" s="1146"/>
      <c r="L320" s="1146"/>
      <c r="M320" s="386">
        <v>46081</v>
      </c>
      <c r="N320" s="496" t="s">
        <v>698</v>
      </c>
      <c r="O320" s="384">
        <v>40</v>
      </c>
      <c r="P320" s="38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54</v>
      </c>
      <c r="C321" s="374" t="s">
        <v>621</v>
      </c>
      <c r="D321" s="374" t="s">
        <v>87</v>
      </c>
      <c r="E321" s="374" t="s">
        <v>547</v>
      </c>
      <c r="F321" s="844"/>
      <c r="G321" s="845">
        <v>46080</v>
      </c>
      <c r="H321" s="846">
        <v>35.088999999999999</v>
      </c>
      <c r="I321" s="1147" t="s">
        <v>672</v>
      </c>
      <c r="J321" s="1148"/>
      <c r="K321" s="1148"/>
      <c r="L321" s="1148"/>
      <c r="M321" s="845">
        <v>46083</v>
      </c>
      <c r="N321" s="847" t="s">
        <v>701</v>
      </c>
      <c r="O321" s="825">
        <v>32</v>
      </c>
      <c r="P321" s="38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55</v>
      </c>
      <c r="C322" s="374" t="s">
        <v>487</v>
      </c>
      <c r="D322" s="374" t="s">
        <v>563</v>
      </c>
      <c r="E322" s="429" t="s">
        <v>547</v>
      </c>
      <c r="F322" s="382"/>
      <c r="G322" s="386">
        <v>46073</v>
      </c>
      <c r="H322" s="586">
        <v>54.72</v>
      </c>
      <c r="I322" s="1145" t="s">
        <v>672</v>
      </c>
      <c r="J322" s="1146"/>
      <c r="K322" s="1146"/>
      <c r="L322" s="1146"/>
      <c r="M322" s="386">
        <v>46084</v>
      </c>
      <c r="N322" s="495" t="s">
        <v>700</v>
      </c>
      <c r="O322" s="384">
        <v>45</v>
      </c>
      <c r="P322" s="38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56</v>
      </c>
      <c r="C323" s="374" t="s">
        <v>240</v>
      </c>
      <c r="D323" s="384" t="s">
        <v>91</v>
      </c>
      <c r="E323" s="429" t="s">
        <v>92</v>
      </c>
      <c r="F323" s="384"/>
      <c r="G323" s="636">
        <v>46081</v>
      </c>
      <c r="H323" s="493">
        <v>36.771000000000001</v>
      </c>
      <c r="I323" s="1145" t="s">
        <v>672</v>
      </c>
      <c r="J323" s="1146"/>
      <c r="K323" s="1146"/>
      <c r="L323" s="1146"/>
      <c r="M323" s="386">
        <v>46086</v>
      </c>
      <c r="N323" s="496" t="s">
        <v>698</v>
      </c>
      <c r="O323" s="384">
        <v>40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57</v>
      </c>
      <c r="C324" s="374" t="s">
        <v>260</v>
      </c>
      <c r="D324" s="512" t="s">
        <v>87</v>
      </c>
      <c r="E324" s="443" t="s">
        <v>92</v>
      </c>
      <c r="F324" s="382"/>
      <c r="G324" s="592">
        <v>46078</v>
      </c>
      <c r="H324" s="630">
        <v>35.088999999999999</v>
      </c>
      <c r="I324" s="1145" t="s">
        <v>672</v>
      </c>
      <c r="J324" s="1146"/>
      <c r="K324" s="1146"/>
      <c r="L324" s="1146"/>
      <c r="M324" s="592">
        <v>46088</v>
      </c>
      <c r="N324" s="612" t="s">
        <v>671</v>
      </c>
      <c r="O324" s="535">
        <v>30</v>
      </c>
      <c r="P324" s="53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58</v>
      </c>
      <c r="C325" s="374" t="s">
        <v>345</v>
      </c>
      <c r="D325" s="615" t="s">
        <v>87</v>
      </c>
      <c r="E325" s="429" t="s">
        <v>92</v>
      </c>
      <c r="F325" s="384"/>
      <c r="G325" s="386">
        <v>46077</v>
      </c>
      <c r="H325" s="586">
        <v>35.088999999999999</v>
      </c>
      <c r="I325" s="1145" t="s">
        <v>672</v>
      </c>
      <c r="J325" s="1146"/>
      <c r="K325" s="1146"/>
      <c r="L325" s="1146"/>
      <c r="M325" s="386">
        <v>46090</v>
      </c>
      <c r="N325" s="496" t="s">
        <v>741</v>
      </c>
      <c r="O325" s="384">
        <v>24</v>
      </c>
      <c r="P325" s="38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59</v>
      </c>
      <c r="C326" s="374" t="s">
        <v>351</v>
      </c>
      <c r="D326" s="374" t="s">
        <v>113</v>
      </c>
      <c r="E326" s="429" t="s">
        <v>669</v>
      </c>
      <c r="F326" s="384"/>
      <c r="G326" s="386">
        <v>46089</v>
      </c>
      <c r="H326" s="586">
        <v>43.575000000000003</v>
      </c>
      <c r="I326" s="1145" t="s">
        <v>672</v>
      </c>
      <c r="J326" s="1146"/>
      <c r="K326" s="1146"/>
      <c r="L326" s="1146"/>
      <c r="M326" s="386">
        <v>46092</v>
      </c>
      <c r="N326" s="496" t="s">
        <v>698</v>
      </c>
      <c r="O326" s="384">
        <v>40</v>
      </c>
      <c r="P326" s="38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60</v>
      </c>
      <c r="C327" s="374" t="s">
        <v>410</v>
      </c>
      <c r="D327" s="374" t="s">
        <v>87</v>
      </c>
      <c r="E327" s="429" t="s">
        <v>92</v>
      </c>
      <c r="F327" s="384"/>
      <c r="G327" s="386">
        <v>46091</v>
      </c>
      <c r="H327" s="586">
        <v>35.088999999999999</v>
      </c>
      <c r="I327" s="1145" t="s">
        <v>672</v>
      </c>
      <c r="J327" s="1146"/>
      <c r="K327" s="1146"/>
      <c r="L327" s="1146"/>
      <c r="M327" s="386">
        <v>46097</v>
      </c>
      <c r="N327" s="496" t="s">
        <v>741</v>
      </c>
      <c r="O327" s="384">
        <v>24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61</v>
      </c>
      <c r="C328" s="374" t="s">
        <v>622</v>
      </c>
      <c r="D328" s="374" t="s">
        <v>87</v>
      </c>
      <c r="E328" s="429" t="s">
        <v>92</v>
      </c>
      <c r="F328" s="384"/>
      <c r="G328" s="386">
        <v>46094</v>
      </c>
      <c r="H328" s="586">
        <v>35.088999999999999</v>
      </c>
      <c r="I328" s="1145" t="s">
        <v>672</v>
      </c>
      <c r="J328" s="1146"/>
      <c r="K328" s="1146"/>
      <c r="L328" s="1146"/>
      <c r="M328" s="386">
        <v>46097</v>
      </c>
      <c r="N328" s="496" t="s">
        <v>698</v>
      </c>
      <c r="O328" s="384">
        <v>40</v>
      </c>
      <c r="P328" s="53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80">
        <v>62</v>
      </c>
      <c r="C329" s="374" t="s">
        <v>257</v>
      </c>
      <c r="D329" s="374" t="s">
        <v>87</v>
      </c>
      <c r="E329" s="429" t="s">
        <v>547</v>
      </c>
      <c r="F329" s="384"/>
      <c r="G329" s="386">
        <v>46092</v>
      </c>
      <c r="H329" s="586">
        <v>35.088999999999999</v>
      </c>
      <c r="I329" s="1145" t="s">
        <v>672</v>
      </c>
      <c r="J329" s="1146"/>
      <c r="K329" s="1146"/>
      <c r="L329" s="1146"/>
      <c r="M329" s="386">
        <v>46099</v>
      </c>
      <c r="N329" s="495" t="s">
        <v>671</v>
      </c>
      <c r="O329" s="384">
        <v>30</v>
      </c>
      <c r="P329" s="38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80">
        <v>63</v>
      </c>
      <c r="C330" s="374" t="s">
        <v>623</v>
      </c>
      <c r="D330" s="635" t="s">
        <v>87</v>
      </c>
      <c r="E330" s="429" t="s">
        <v>92</v>
      </c>
      <c r="F330" s="17"/>
      <c r="G330" s="386">
        <v>46097</v>
      </c>
      <c r="H330" s="586">
        <v>35.088999999999999</v>
      </c>
      <c r="I330" s="1145" t="s">
        <v>672</v>
      </c>
      <c r="J330" s="1146"/>
      <c r="K330" s="1146"/>
      <c r="L330" s="1146"/>
      <c r="M330" s="386">
        <v>46101</v>
      </c>
      <c r="N330" s="496" t="s">
        <v>698</v>
      </c>
      <c r="O330" s="384">
        <v>40</v>
      </c>
      <c r="P330" s="38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80">
        <v>64</v>
      </c>
      <c r="C331" s="374" t="s">
        <v>411</v>
      </c>
      <c r="D331" s="374" t="s">
        <v>91</v>
      </c>
      <c r="E331" s="429" t="s">
        <v>92</v>
      </c>
      <c r="F331" s="17"/>
      <c r="G331" s="386">
        <v>46097</v>
      </c>
      <c r="H331" s="493">
        <v>36.771000000000001</v>
      </c>
      <c r="I331" s="1145" t="s">
        <v>672</v>
      </c>
      <c r="J331" s="1146"/>
      <c r="K331" s="1146"/>
      <c r="L331" s="1146"/>
      <c r="M331" s="386">
        <v>46104</v>
      </c>
      <c r="N331" s="496" t="s">
        <v>741</v>
      </c>
      <c r="O331" s="384">
        <v>24</v>
      </c>
      <c r="P331" s="38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80">
        <v>65</v>
      </c>
      <c r="C332" s="374" t="s">
        <v>261</v>
      </c>
      <c r="D332" s="374" t="s">
        <v>91</v>
      </c>
      <c r="E332" s="384" t="s">
        <v>669</v>
      </c>
      <c r="F332" s="382"/>
      <c r="G332" s="386">
        <v>46099</v>
      </c>
      <c r="H332" s="493">
        <v>36.771000000000001</v>
      </c>
      <c r="I332" s="1145" t="s">
        <v>672</v>
      </c>
      <c r="J332" s="1146"/>
      <c r="K332" s="1146"/>
      <c r="L332" s="1146"/>
      <c r="M332" s="386">
        <v>46106</v>
      </c>
      <c r="N332" s="495" t="s">
        <v>671</v>
      </c>
      <c r="O332" s="384">
        <v>30</v>
      </c>
      <c r="P332" s="38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380">
        <v>66</v>
      </c>
      <c r="C333" s="629" t="s">
        <v>408</v>
      </c>
      <c r="D333" s="512" t="s">
        <v>87</v>
      </c>
      <c r="E333" s="443" t="s">
        <v>92</v>
      </c>
      <c r="F333" s="839"/>
      <c r="G333" s="840">
        <v>46101</v>
      </c>
      <c r="H333" s="841">
        <v>35.088999999999999</v>
      </c>
      <c r="I333" s="1147" t="s">
        <v>672</v>
      </c>
      <c r="J333" s="1148"/>
      <c r="K333" s="1148"/>
      <c r="L333" s="1148"/>
      <c r="M333" s="840">
        <v>46110</v>
      </c>
      <c r="N333" s="842" t="s">
        <v>741</v>
      </c>
      <c r="O333" s="843">
        <v>24</v>
      </c>
      <c r="P333" s="53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380">
        <v>67</v>
      </c>
      <c r="C334" s="384" t="s">
        <v>250</v>
      </c>
      <c r="D334" s="374" t="s">
        <v>87</v>
      </c>
      <c r="E334" s="384" t="s">
        <v>669</v>
      </c>
      <c r="F334" s="384"/>
      <c r="G334" s="386">
        <v>46107</v>
      </c>
      <c r="H334" s="586">
        <v>35.088999999999999</v>
      </c>
      <c r="I334" s="1145" t="s">
        <v>672</v>
      </c>
      <c r="J334" s="1146"/>
      <c r="K334" s="1146"/>
      <c r="L334" s="1146"/>
      <c r="M334" s="386">
        <v>46113</v>
      </c>
      <c r="N334" s="495" t="s">
        <v>671</v>
      </c>
      <c r="O334" s="384">
        <v>30</v>
      </c>
      <c r="P334" s="38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380">
        <v>68</v>
      </c>
      <c r="C335" s="443" t="s">
        <v>412</v>
      </c>
      <c r="D335" s="512" t="s">
        <v>87</v>
      </c>
      <c r="E335" s="443" t="s">
        <v>92</v>
      </c>
      <c r="F335" s="382"/>
      <c r="G335" s="592">
        <v>46111</v>
      </c>
      <c r="H335" s="630">
        <v>35.088999999999999</v>
      </c>
      <c r="I335" s="1145" t="s">
        <v>672</v>
      </c>
      <c r="J335" s="1146"/>
      <c r="K335" s="1146"/>
      <c r="L335" s="1146"/>
      <c r="M335" s="592">
        <v>46116</v>
      </c>
      <c r="N335" s="783" t="s">
        <v>741</v>
      </c>
      <c r="O335" s="535">
        <v>24</v>
      </c>
      <c r="P335" s="53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3">
      <c r="A336" s="1"/>
      <c r="B336" s="374">
        <v>69</v>
      </c>
      <c r="C336" s="441" t="s">
        <v>251</v>
      </c>
      <c r="D336" s="374" t="s">
        <v>87</v>
      </c>
      <c r="E336" s="429" t="s">
        <v>547</v>
      </c>
      <c r="F336" s="850"/>
      <c r="G336" s="386" t="s">
        <v>776</v>
      </c>
      <c r="H336" s="586">
        <v>35.088999999999999</v>
      </c>
      <c r="I336" s="1145" t="s">
        <v>672</v>
      </c>
      <c r="J336" s="1146"/>
      <c r="K336" s="1146"/>
      <c r="L336" s="1146"/>
      <c r="M336" s="386">
        <v>46119</v>
      </c>
      <c r="N336" s="495" t="s">
        <v>671</v>
      </c>
      <c r="O336" s="384">
        <v>30</v>
      </c>
      <c r="P336" s="38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3">
      <c r="A337" s="1"/>
      <c r="B337" s="374">
        <v>70</v>
      </c>
      <c r="C337" s="858" t="s">
        <v>486</v>
      </c>
      <c r="D337" s="740" t="s">
        <v>691</v>
      </c>
      <c r="E337" s="429" t="s">
        <v>92</v>
      </c>
      <c r="F337" s="382"/>
      <c r="G337" s="386">
        <v>46117</v>
      </c>
      <c r="H337" s="586">
        <v>54.72</v>
      </c>
      <c r="I337" s="1145" t="s">
        <v>672</v>
      </c>
      <c r="J337" s="1146"/>
      <c r="K337" s="1146"/>
      <c r="L337" s="1146"/>
      <c r="M337" s="386">
        <v>46124</v>
      </c>
      <c r="N337" s="496" t="s">
        <v>741</v>
      </c>
      <c r="O337" s="384">
        <v>24</v>
      </c>
      <c r="P337" s="38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512">
        <v>71</v>
      </c>
      <c r="C338" s="1032" t="s">
        <v>435</v>
      </c>
      <c r="D338" s="1029" t="s">
        <v>691</v>
      </c>
      <c r="E338" s="1030" t="s">
        <v>92</v>
      </c>
      <c r="F338" s="1033"/>
      <c r="G338" s="1034">
        <v>46147</v>
      </c>
      <c r="H338" s="1035">
        <v>54.72</v>
      </c>
      <c r="I338" s="1152" t="s">
        <v>672</v>
      </c>
      <c r="J338" s="1153"/>
      <c r="K338" s="1153"/>
      <c r="L338" s="1153"/>
      <c r="M338" s="592">
        <v>46160</v>
      </c>
      <c r="N338" s="783" t="s">
        <v>671</v>
      </c>
      <c r="O338" s="535">
        <v>24</v>
      </c>
      <c r="P338" s="53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4">
        <v>72</v>
      </c>
      <c r="C339" s="1036" t="s">
        <v>434</v>
      </c>
      <c r="D339" s="1036" t="s">
        <v>674</v>
      </c>
      <c r="E339" s="1031" t="s">
        <v>92</v>
      </c>
      <c r="F339" s="1036"/>
      <c r="G339" s="1037">
        <v>46161</v>
      </c>
      <c r="H339" s="1036">
        <v>62.500999999999998</v>
      </c>
      <c r="I339" s="1151" t="s">
        <v>956</v>
      </c>
      <c r="J339" s="1151"/>
      <c r="K339" s="1151"/>
      <c r="L339" s="1151"/>
      <c r="M339" s="384"/>
      <c r="N339" s="496" t="s">
        <v>671</v>
      </c>
      <c r="O339" s="384">
        <v>24</v>
      </c>
      <c r="P339" s="384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8" x14ac:dyDescent="0.3"/>
    <row r="437" spans="1:26" ht="13.8" x14ac:dyDescent="0.3"/>
    <row r="438" spans="1:26" ht="13.8" x14ac:dyDescent="0.3"/>
    <row r="439" spans="1:26" ht="13.8" x14ac:dyDescent="0.3"/>
    <row r="440" spans="1:26" ht="13.8" x14ac:dyDescent="0.3"/>
    <row r="441" spans="1:26" ht="13.8" x14ac:dyDescent="0.3"/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</sheetData>
  <autoFilter ref="A12:DD154" xr:uid="{00000000-0001-0000-0100-000000000000}">
    <filterColumn colId="8" showButton="0"/>
    <filterColumn colId="9" showButton="0"/>
    <filterColumn colId="10" showButton="0"/>
  </autoFilter>
  <mergeCells count="293">
    <mergeCell ref="I306:L306"/>
    <mergeCell ref="H234:K234"/>
    <mergeCell ref="H235:K235"/>
    <mergeCell ref="H174:K174"/>
    <mergeCell ref="H176:K176"/>
    <mergeCell ref="H188:K188"/>
    <mergeCell ref="H181:K181"/>
    <mergeCell ref="H183:K183"/>
    <mergeCell ref="H189:K189"/>
    <mergeCell ref="H250:K250"/>
    <mergeCell ref="H251:K251"/>
    <mergeCell ref="H252:K252"/>
    <mergeCell ref="H253:K253"/>
    <mergeCell ref="H254:K254"/>
    <mergeCell ref="H255:K255"/>
    <mergeCell ref="H256:K256"/>
    <mergeCell ref="H206:K206"/>
    <mergeCell ref="I270:L270"/>
    <mergeCell ref="H208:K208"/>
    <mergeCell ref="H209:K209"/>
    <mergeCell ref="H215:K215"/>
    <mergeCell ref="H216:K216"/>
    <mergeCell ref="I269:L269"/>
    <mergeCell ref="H221:K221"/>
    <mergeCell ref="I338:L338"/>
    <mergeCell ref="H229:K229"/>
    <mergeCell ref="H233:K233"/>
    <mergeCell ref="H243:K243"/>
    <mergeCell ref="H231:K231"/>
    <mergeCell ref="H241:K241"/>
    <mergeCell ref="H205:K205"/>
    <mergeCell ref="I294:L294"/>
    <mergeCell ref="I311:L311"/>
    <mergeCell ref="I307:L307"/>
    <mergeCell ref="I308:L308"/>
    <mergeCell ref="H232:K232"/>
    <mergeCell ref="H247:K247"/>
    <mergeCell ref="H248:K248"/>
    <mergeCell ref="H249:K249"/>
    <mergeCell ref="I312:L312"/>
    <mergeCell ref="I304:L304"/>
    <mergeCell ref="I291:L291"/>
    <mergeCell ref="H245:K245"/>
    <mergeCell ref="H236:K236"/>
    <mergeCell ref="H237:K237"/>
    <mergeCell ref="H238:K238"/>
    <mergeCell ref="H239:K239"/>
    <mergeCell ref="H240:K240"/>
    <mergeCell ref="H242:K242"/>
    <mergeCell ref="H244:K244"/>
    <mergeCell ref="H160:K160"/>
    <mergeCell ref="H168:K168"/>
    <mergeCell ref="H190:K190"/>
    <mergeCell ref="H187:K187"/>
    <mergeCell ref="H173:K173"/>
    <mergeCell ref="H186:K186"/>
    <mergeCell ref="H182:K182"/>
    <mergeCell ref="H191:K191"/>
    <mergeCell ref="H193:K193"/>
    <mergeCell ref="H169:K169"/>
    <mergeCell ref="H170:K170"/>
    <mergeCell ref="H162:K162"/>
    <mergeCell ref="H172:K172"/>
    <mergeCell ref="H161:K161"/>
    <mergeCell ref="H167:K167"/>
    <mergeCell ref="H163:K163"/>
    <mergeCell ref="H166:K166"/>
    <mergeCell ref="H165:K165"/>
    <mergeCell ref="H211:K211"/>
    <mergeCell ref="H212:K212"/>
    <mergeCell ref="H207:K207"/>
    <mergeCell ref="H217:K217"/>
    <mergeCell ref="I143:L143"/>
    <mergeCell ref="I146:L146"/>
    <mergeCell ref="H159:K159"/>
    <mergeCell ref="I148:L148"/>
    <mergeCell ref="I149:L149"/>
    <mergeCell ref="I139:L139"/>
    <mergeCell ref="I140:L140"/>
    <mergeCell ref="I138:L138"/>
    <mergeCell ref="I103:L103"/>
    <mergeCell ref="I137:L137"/>
    <mergeCell ref="B266:D266"/>
    <mergeCell ref="H192:K192"/>
    <mergeCell ref="H175:K175"/>
    <mergeCell ref="H164:K164"/>
    <mergeCell ref="H196:K196"/>
    <mergeCell ref="H200:K200"/>
    <mergeCell ref="H202:K202"/>
    <mergeCell ref="H201:K201"/>
    <mergeCell ref="H197:K197"/>
    <mergeCell ref="H195:K195"/>
    <mergeCell ref="H177:K177"/>
    <mergeCell ref="H180:K180"/>
    <mergeCell ref="H178:K178"/>
    <mergeCell ref="H184:K184"/>
    <mergeCell ref="H185:K185"/>
    <mergeCell ref="H198:K198"/>
    <mergeCell ref="H171:K171"/>
    <mergeCell ref="H199:K199"/>
    <mergeCell ref="H210:K210"/>
    <mergeCell ref="H194:K194"/>
    <mergeCell ref="H218:K218"/>
    <mergeCell ref="H179:K179"/>
    <mergeCell ref="H219:K219"/>
    <mergeCell ref="H225:K225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I70:L70"/>
    <mergeCell ref="I76:L76"/>
    <mergeCell ref="I77:L77"/>
    <mergeCell ref="I83:L83"/>
    <mergeCell ref="I93:L93"/>
    <mergeCell ref="I89:L89"/>
    <mergeCell ref="I38:L38"/>
    <mergeCell ref="I135:L13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98:L98"/>
    <mergeCell ref="I99:L99"/>
    <mergeCell ref="I136:L136"/>
    <mergeCell ref="I104:L104"/>
    <mergeCell ref="H203:K203"/>
    <mergeCell ref="H204:K204"/>
    <mergeCell ref="H214:K214"/>
    <mergeCell ref="H213:K213"/>
    <mergeCell ref="I277:L277"/>
    <mergeCell ref="I267:L267"/>
    <mergeCell ref="H220:K220"/>
    <mergeCell ref="H246:K246"/>
    <mergeCell ref="H226:K226"/>
    <mergeCell ref="H227:K227"/>
    <mergeCell ref="H228:K228"/>
    <mergeCell ref="H224:K224"/>
    <mergeCell ref="I100:L100"/>
    <mergeCell ref="I142:L142"/>
    <mergeCell ref="I141:L141"/>
    <mergeCell ref="I150:L150"/>
    <mergeCell ref="H158:K158"/>
    <mergeCell ref="I154:L154"/>
    <mergeCell ref="I152:L152"/>
    <mergeCell ref="I144:L144"/>
    <mergeCell ref="I290:L290"/>
    <mergeCell ref="I284:L284"/>
    <mergeCell ref="I288:L288"/>
    <mergeCell ref="I287:L287"/>
    <mergeCell ref="I289:L289"/>
    <mergeCell ref="I273:L273"/>
    <mergeCell ref="I268:L268"/>
    <mergeCell ref="I275:L275"/>
    <mergeCell ref="I276:L276"/>
    <mergeCell ref="I272:L272"/>
    <mergeCell ref="I286:L286"/>
    <mergeCell ref="I285:L285"/>
    <mergeCell ref="I282:L282"/>
    <mergeCell ref="I281:L281"/>
    <mergeCell ref="I271:L271"/>
    <mergeCell ref="I274:L274"/>
    <mergeCell ref="I339:L339"/>
    <mergeCell ref="I335:L335"/>
    <mergeCell ref="I334:L334"/>
    <mergeCell ref="H222:K222"/>
    <mergeCell ref="I332:L332"/>
    <mergeCell ref="I331:L331"/>
    <mergeCell ref="I279:L279"/>
    <mergeCell ref="I280:L280"/>
    <mergeCell ref="I278:L278"/>
    <mergeCell ref="I283:L283"/>
    <mergeCell ref="H223:K223"/>
    <mergeCell ref="H230:K230"/>
    <mergeCell ref="I329:L329"/>
    <mergeCell ref="I325:L325"/>
    <mergeCell ref="I314:L314"/>
    <mergeCell ref="I315:L315"/>
    <mergeCell ref="I328:L328"/>
    <mergeCell ref="I323:L323"/>
    <mergeCell ref="I322:L322"/>
    <mergeCell ref="I327:L327"/>
    <mergeCell ref="I300:L300"/>
    <mergeCell ref="I301:L301"/>
    <mergeCell ref="I305:L305"/>
    <mergeCell ref="I302:L302"/>
    <mergeCell ref="I326:L326"/>
    <mergeCell ref="I321:L321"/>
    <mergeCell ref="I319:L319"/>
    <mergeCell ref="I337:L337"/>
    <mergeCell ref="H257:K257"/>
    <mergeCell ref="I296:L296"/>
    <mergeCell ref="I297:L297"/>
    <mergeCell ref="I295:L295"/>
    <mergeCell ref="I293:L293"/>
    <mergeCell ref="I316:L316"/>
    <mergeCell ref="I317:L317"/>
    <mergeCell ref="I313:L313"/>
    <mergeCell ref="I309:L309"/>
    <mergeCell ref="I298:L298"/>
    <mergeCell ref="I299:L299"/>
    <mergeCell ref="I336:L336"/>
    <mergeCell ref="I330:L330"/>
    <mergeCell ref="I320:L320"/>
    <mergeCell ref="I324:L324"/>
    <mergeCell ref="I333:L333"/>
    <mergeCell ref="I318:L318"/>
    <mergeCell ref="I292:L292"/>
    <mergeCell ref="I303:L303"/>
    <mergeCell ref="I310:L310"/>
  </mergeCells>
  <phoneticPr fontId="57" type="noConversion"/>
  <conditionalFormatting sqref="C13:C155">
    <cfRule type="duplicateValues" dxfId="31" priority="95"/>
  </conditionalFormatting>
  <conditionalFormatting sqref="C222">
    <cfRule type="duplicateValues" dxfId="30" priority="33"/>
  </conditionalFormatting>
  <conditionalFormatting sqref="C223">
    <cfRule type="duplicateValues" dxfId="29" priority="32"/>
  </conditionalFormatting>
  <conditionalFormatting sqref="C224:C225">
    <cfRule type="duplicateValues" dxfId="28" priority="31"/>
  </conditionalFormatting>
  <conditionalFormatting sqref="C226:C228 C230:C232 C234:C237">
    <cfRule type="duplicateValues" dxfId="27" priority="89"/>
  </conditionalFormatting>
  <conditionalFormatting sqref="C229">
    <cfRule type="duplicateValues" dxfId="26" priority="18"/>
  </conditionalFormatting>
  <conditionalFormatting sqref="C233">
    <cfRule type="duplicateValues" dxfId="25" priority="17"/>
  </conditionalFormatting>
  <conditionalFormatting sqref="C238">
    <cfRule type="duplicateValues" dxfId="24" priority="21"/>
  </conditionalFormatting>
  <conditionalFormatting sqref="C239">
    <cfRule type="duplicateValues" dxfId="23" priority="20"/>
  </conditionalFormatting>
  <conditionalFormatting sqref="C240">
    <cfRule type="duplicateValues" dxfId="22" priority="19"/>
  </conditionalFormatting>
  <conditionalFormatting sqref="C241">
    <cfRule type="duplicateValues" dxfId="21" priority="16"/>
  </conditionalFormatting>
  <conditionalFormatting sqref="C242">
    <cfRule type="duplicateValues" dxfId="20" priority="15"/>
  </conditionalFormatting>
  <conditionalFormatting sqref="C243">
    <cfRule type="duplicateValues" dxfId="19" priority="14"/>
  </conditionalFormatting>
  <conditionalFormatting sqref="C244">
    <cfRule type="duplicateValues" dxfId="18" priority="13"/>
  </conditionalFormatting>
  <conditionalFormatting sqref="C245">
    <cfRule type="duplicateValues" dxfId="17" priority="12"/>
  </conditionalFormatting>
  <conditionalFormatting sqref="C246">
    <cfRule type="duplicateValues" dxfId="16" priority="11"/>
  </conditionalFormatting>
  <conditionalFormatting sqref="C247">
    <cfRule type="duplicateValues" dxfId="15" priority="10"/>
  </conditionalFormatting>
  <conditionalFormatting sqref="C248">
    <cfRule type="duplicateValues" dxfId="14" priority="9"/>
  </conditionalFormatting>
  <conditionalFormatting sqref="C249 C251">
    <cfRule type="duplicateValues" dxfId="13" priority="8"/>
  </conditionalFormatting>
  <conditionalFormatting sqref="C250">
    <cfRule type="duplicateValues" dxfId="12" priority="6"/>
  </conditionalFormatting>
  <conditionalFormatting sqref="C252">
    <cfRule type="duplicateValues" dxfId="11" priority="5"/>
  </conditionalFormatting>
  <conditionalFormatting sqref="C254">
    <cfRule type="duplicateValues" dxfId="10" priority="4"/>
  </conditionalFormatting>
  <conditionalFormatting sqref="C255">
    <cfRule type="duplicateValues" dxfId="9" priority="3"/>
  </conditionalFormatting>
  <conditionalFormatting sqref="C256 C258">
    <cfRule type="duplicateValues" dxfId="8" priority="2"/>
  </conditionalFormatting>
  <conditionalFormatting sqref="C257">
    <cfRule type="duplicateValues" dxfId="7" priority="1"/>
  </conditionalFormatting>
  <conditionalFormatting sqref="C337">
    <cfRule type="duplicateValues" dxfId="6" priority="29"/>
  </conditionalFormatting>
  <conditionalFormatting sqref="C338">
    <cfRule type="duplicateValues" dxfId="5" priority="7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85" t="s">
        <v>108</v>
      </c>
      <c r="B1" s="1286"/>
      <c r="C1" s="1286"/>
      <c r="D1" s="1286"/>
    </row>
    <row r="2" spans="1:4" ht="15.75" customHeight="1" x14ac:dyDescent="0.3">
      <c r="A2" s="1287" t="s">
        <v>45</v>
      </c>
      <c r="B2" s="1165"/>
      <c r="C2" s="1165"/>
      <c r="D2" s="1166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765</v>
      </c>
    </row>
    <row r="4" spans="1:4" ht="15.75" customHeight="1" x14ac:dyDescent="0.3">
      <c r="A4" s="57">
        <v>1</v>
      </c>
      <c r="B4" s="57" t="s">
        <v>421</v>
      </c>
      <c r="C4" s="58" t="s">
        <v>766</v>
      </c>
      <c r="D4" s="77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5"/>
    </row>
    <row r="6" spans="1:4" ht="15.75" customHeight="1" x14ac:dyDescent="0.3">
      <c r="A6" s="57">
        <f t="shared" si="0"/>
        <v>3</v>
      </c>
      <c r="B6" s="57" t="s">
        <v>422</v>
      </c>
      <c r="C6" s="58" t="s">
        <v>766</v>
      </c>
      <c r="D6" s="77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767</v>
      </c>
      <c r="D11" s="775"/>
    </row>
    <row r="12" spans="1:4" ht="15.75" customHeight="1" x14ac:dyDescent="0.3">
      <c r="A12" s="368">
        <f t="shared" si="0"/>
        <v>9</v>
      </c>
      <c r="B12" s="766" t="s">
        <v>353</v>
      </c>
      <c r="C12" s="767" t="s">
        <v>87</v>
      </c>
      <c r="D12" s="776"/>
    </row>
    <row r="13" spans="1:4" ht="15.75" customHeight="1" x14ac:dyDescent="0.3">
      <c r="A13" s="369">
        <f t="shared" si="0"/>
        <v>10</v>
      </c>
      <c r="B13" s="391" t="s">
        <v>354</v>
      </c>
      <c r="C13" s="774" t="s">
        <v>87</v>
      </c>
      <c r="D13" s="777"/>
    </row>
    <row r="14" spans="1:4" ht="15.75" customHeight="1" x14ac:dyDescent="0.3">
      <c r="A14" s="632"/>
      <c r="B14" s="768"/>
      <c r="C14" s="632"/>
      <c r="D14" s="769"/>
    </row>
    <row r="15" spans="1:4" ht="15.75" customHeight="1" x14ac:dyDescent="0.3">
      <c r="A15" s="632"/>
      <c r="B15" s="770"/>
      <c r="C15" s="632"/>
      <c r="D15" s="769"/>
    </row>
    <row r="16" spans="1:4" ht="15.75" customHeight="1" x14ac:dyDescent="0.3">
      <c r="A16" s="771"/>
      <c r="B16" s="768"/>
      <c r="C16" s="632"/>
      <c r="D16" s="772"/>
    </row>
    <row r="17" spans="1:4" ht="15.75" customHeight="1" x14ac:dyDescent="0.3">
      <c r="A17" s="771"/>
      <c r="B17" s="773"/>
      <c r="C17" s="632"/>
      <c r="D17" s="772"/>
    </row>
    <row r="18" spans="1:4" ht="15.75" customHeight="1" x14ac:dyDescent="0.3">
      <c r="A18" s="771"/>
      <c r="B18" s="773"/>
      <c r="C18" s="632"/>
      <c r="D18" s="772"/>
    </row>
    <row r="19" spans="1:4" ht="15.75" customHeight="1" x14ac:dyDescent="0.3">
      <c r="A19" s="771"/>
      <c r="B19" s="771"/>
      <c r="C19" s="771"/>
      <c r="D19" s="649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I32" sqref="I3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89" t="s">
        <v>115</v>
      </c>
      <c r="C1" s="1256"/>
      <c r="D1" s="1256"/>
      <c r="E1" s="1256"/>
      <c r="F1" s="1256"/>
      <c r="G1" s="1256"/>
      <c r="H1" s="1256"/>
      <c r="I1" s="1270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90" t="s">
        <v>116</v>
      </c>
      <c r="C2" s="1291"/>
      <c r="D2" s="1291"/>
      <c r="E2" s="1291"/>
      <c r="F2" s="1291"/>
      <c r="G2" s="1291"/>
      <c r="H2" s="1291"/>
      <c r="I2" s="1292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13">
        <v>181</v>
      </c>
      <c r="G4" s="70"/>
      <c r="H4" s="69"/>
      <c r="I4" s="71"/>
      <c r="J4" s="618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13">
        <v>27</v>
      </c>
      <c r="G5" s="70"/>
      <c r="H5" s="69"/>
      <c r="I5" s="71"/>
      <c r="J5" s="618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13">
        <v>17</v>
      </c>
      <c r="G6" s="70"/>
      <c r="H6" s="69"/>
      <c r="I6" s="71"/>
      <c r="J6" s="618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13">
        <v>6</v>
      </c>
      <c r="G7" s="70"/>
      <c r="H7" s="69"/>
      <c r="I7" s="71"/>
      <c r="J7" s="618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13">
        <v>4</v>
      </c>
      <c r="G8" s="70"/>
      <c r="H8" s="69"/>
      <c r="I8" s="71"/>
      <c r="J8" s="619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4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88" t="s">
        <v>127</v>
      </c>
      <c r="C11" s="1256"/>
      <c r="D11" s="1256"/>
      <c r="E11" s="1256"/>
      <c r="F11" s="1256"/>
      <c r="G11" s="1256"/>
      <c r="H11" s="1256"/>
      <c r="I11" s="1256"/>
      <c r="J11" s="1270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thickBot="1" x14ac:dyDescent="0.4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90">
        <v>1</v>
      </c>
      <c r="C13" s="1295" t="s">
        <v>130</v>
      </c>
      <c r="D13" s="65" t="s">
        <v>131</v>
      </c>
      <c r="E13" s="79"/>
      <c r="F13" s="1014">
        <v>195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93"/>
      <c r="C14" s="1296"/>
      <c r="D14" s="82" t="s">
        <v>132</v>
      </c>
      <c r="E14" s="83"/>
      <c r="F14" s="1015">
        <v>154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93"/>
      <c r="C15" s="1296"/>
      <c r="D15" s="82" t="s">
        <v>133</v>
      </c>
      <c r="E15" s="83"/>
      <c r="F15" s="1015">
        <v>41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93"/>
      <c r="C16" s="1296"/>
      <c r="D16" s="82" t="s">
        <v>134</v>
      </c>
      <c r="E16" s="83"/>
      <c r="F16" s="1015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thickBot="1" x14ac:dyDescent="0.4">
      <c r="A17" s="60"/>
      <c r="B17" s="1294"/>
      <c r="C17" s="1297"/>
      <c r="D17" s="82" t="s">
        <v>135</v>
      </c>
      <c r="E17" s="83"/>
      <c r="F17" s="1015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90">
        <v>2</v>
      </c>
      <c r="C18" s="1295" t="s">
        <v>136</v>
      </c>
      <c r="D18" s="65" t="s">
        <v>131</v>
      </c>
      <c r="E18" s="79"/>
      <c r="F18" s="1014">
        <v>31</v>
      </c>
      <c r="G18" s="65"/>
      <c r="H18" s="65"/>
      <c r="I18" s="80"/>
      <c r="J18" s="87"/>
      <c r="K18" s="1298"/>
      <c r="L18" s="631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93"/>
      <c r="C19" s="1296"/>
      <c r="D19" s="82" t="s">
        <v>132</v>
      </c>
      <c r="E19" s="83"/>
      <c r="F19" s="1014">
        <v>27</v>
      </c>
      <c r="G19" s="69"/>
      <c r="H19" s="69"/>
      <c r="I19" s="84"/>
      <c r="J19" s="408"/>
      <c r="K19" s="1299"/>
      <c r="L19" s="631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93"/>
      <c r="C20" s="1296"/>
      <c r="D20" s="82" t="s">
        <v>133</v>
      </c>
      <c r="E20" s="86"/>
      <c r="F20" s="1015">
        <v>4</v>
      </c>
      <c r="G20" s="69"/>
      <c r="H20" s="69"/>
      <c r="I20" s="84"/>
      <c r="J20" s="408"/>
      <c r="K20" s="1299"/>
      <c r="L20" s="631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93"/>
      <c r="C21" s="1296"/>
      <c r="D21" s="82" t="s">
        <v>134</v>
      </c>
      <c r="E21" s="83"/>
      <c r="F21" s="1015">
        <v>5</v>
      </c>
      <c r="G21" s="69"/>
      <c r="H21" s="69"/>
      <c r="I21" s="84"/>
      <c r="J21" s="408"/>
      <c r="K21" s="1299"/>
      <c r="L21" s="631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94"/>
      <c r="C22" s="1297"/>
      <c r="D22" s="82" t="s">
        <v>135</v>
      </c>
      <c r="E22" s="83"/>
      <c r="F22" s="1015">
        <v>7</v>
      </c>
      <c r="G22" s="69"/>
      <c r="H22" s="69"/>
      <c r="I22" s="84"/>
      <c r="J22" s="408"/>
      <c r="K22" s="1299"/>
      <c r="L22" s="631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90">
        <v>3</v>
      </c>
      <c r="C23" s="1295" t="s">
        <v>137</v>
      </c>
      <c r="D23" s="65" t="s">
        <v>131</v>
      </c>
      <c r="E23" s="79"/>
      <c r="F23" s="1014">
        <v>21</v>
      </c>
      <c r="G23" s="65"/>
      <c r="H23" s="65"/>
      <c r="I23" s="80"/>
      <c r="J23" s="87"/>
      <c r="K23" s="1299"/>
      <c r="L23" s="631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93"/>
      <c r="C24" s="1296"/>
      <c r="D24" s="82" t="s">
        <v>132</v>
      </c>
      <c r="E24" s="83"/>
      <c r="F24" s="1015">
        <v>18</v>
      </c>
      <c r="G24" s="69"/>
      <c r="H24" s="69"/>
      <c r="I24" s="84"/>
      <c r="J24" s="408"/>
      <c r="K24" s="1299"/>
      <c r="L24" s="631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93"/>
      <c r="C25" s="1296"/>
      <c r="D25" s="82" t="s">
        <v>133</v>
      </c>
      <c r="E25" s="83"/>
      <c r="F25" s="1015">
        <v>3</v>
      </c>
      <c r="G25" s="69"/>
      <c r="H25" s="69"/>
      <c r="I25" s="84"/>
      <c r="J25" s="408"/>
      <c r="K25" s="1299"/>
      <c r="L25" s="631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93"/>
      <c r="C26" s="1296"/>
      <c r="D26" s="82" t="s">
        <v>134</v>
      </c>
      <c r="E26" s="83"/>
      <c r="F26" s="1015">
        <v>2</v>
      </c>
      <c r="G26" s="69"/>
      <c r="H26" s="69"/>
      <c r="I26" s="84"/>
      <c r="J26" s="408"/>
      <c r="K26" s="1299"/>
      <c r="L26" s="632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93"/>
      <c r="C27" s="1296"/>
      <c r="D27" s="82" t="s">
        <v>135</v>
      </c>
      <c r="E27" s="83"/>
      <c r="F27" s="1015">
        <v>3</v>
      </c>
      <c r="G27" s="69"/>
      <c r="H27" s="69"/>
      <c r="I27" s="84"/>
      <c r="J27" s="408"/>
      <c r="K27" s="1299"/>
      <c r="L27" s="631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90">
        <v>4</v>
      </c>
      <c r="C28" s="1295" t="s">
        <v>138</v>
      </c>
      <c r="D28" s="65" t="s">
        <v>131</v>
      </c>
      <c r="E28" s="79"/>
      <c r="F28" s="1014">
        <v>7</v>
      </c>
      <c r="G28" s="65"/>
      <c r="H28" s="65"/>
      <c r="I28" s="87"/>
      <c r="J28" s="87"/>
      <c r="K28" s="1300"/>
      <c r="L28" s="1299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93"/>
      <c r="C29" s="1296"/>
      <c r="D29" s="82" t="s">
        <v>132</v>
      </c>
      <c r="E29" s="83"/>
      <c r="F29" s="1016">
        <v>6</v>
      </c>
      <c r="G29" s="69"/>
      <c r="H29" s="69"/>
      <c r="I29" s="88"/>
      <c r="J29" s="408"/>
      <c r="K29" s="1301"/>
      <c r="L29" s="1302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93"/>
      <c r="C30" s="1296"/>
      <c r="D30" s="82" t="s">
        <v>133</v>
      </c>
      <c r="E30" s="83"/>
      <c r="F30" s="1015">
        <v>1</v>
      </c>
      <c r="G30" s="69"/>
      <c r="H30" s="69"/>
      <c r="I30" s="84"/>
      <c r="J30" s="408"/>
      <c r="K30" s="1299"/>
      <c r="L30" s="1299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93"/>
      <c r="C31" s="1296"/>
      <c r="D31" s="82" t="s">
        <v>134</v>
      </c>
      <c r="E31" s="83"/>
      <c r="F31" s="1015">
        <v>0</v>
      </c>
      <c r="G31" s="69"/>
      <c r="H31" s="69"/>
      <c r="I31" s="84"/>
      <c r="J31" s="408"/>
      <c r="K31" s="1299"/>
      <c r="L31" s="1299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93"/>
      <c r="C32" s="1296"/>
      <c r="D32" s="90" t="s">
        <v>135</v>
      </c>
      <c r="E32" s="91"/>
      <c r="F32" s="1017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304">
        <v>5</v>
      </c>
      <c r="C33" s="1304" t="s">
        <v>139</v>
      </c>
      <c r="D33" s="69" t="s">
        <v>131</v>
      </c>
      <c r="E33" s="83"/>
      <c r="F33" s="1015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246"/>
      <c r="C34" s="1246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246"/>
      <c r="C35" s="1246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246"/>
      <c r="C36" s="1246"/>
      <c r="D36" s="82" t="s">
        <v>134</v>
      </c>
      <c r="E36" s="83"/>
      <c r="F36" s="69" t="s">
        <v>944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239"/>
      <c r="C37" s="1239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3">
        <f>F13+F18+F23+F28+F33</f>
        <v>256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303"/>
      <c r="C43" s="1256"/>
      <c r="D43" s="1256"/>
      <c r="E43" s="1256"/>
      <c r="F43" s="1256"/>
      <c r="G43" s="1256"/>
      <c r="H43" s="1256"/>
      <c r="I43" s="1256"/>
      <c r="J43" s="1256"/>
      <c r="K43" s="1270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Sheet'!D40</f>
        <v>292</v>
      </c>
      <c r="E46" s="353">
        <f>'Master Sheet'!E40</f>
        <v>230</v>
      </c>
      <c r="F46" s="353">
        <f>'Master Sheet'!F40</f>
        <v>230</v>
      </c>
      <c r="G46" s="353">
        <f>'Master Sheet'!G40</f>
        <v>62</v>
      </c>
      <c r="H46" s="353">
        <f>'Master Sheet'!H40</f>
        <v>60</v>
      </c>
      <c r="I46" s="353">
        <f>'Master Sheet'!I40</f>
        <v>60</v>
      </c>
      <c r="J46" s="353">
        <f>'Master Sheet'!J40</f>
        <v>26</v>
      </c>
      <c r="K46" s="353">
        <f>'Master Sheet'!K40</f>
        <v>256</v>
      </c>
      <c r="L46" s="353">
        <f>'Master Sheet'!L39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Sheet'!D41</f>
        <v>4314</v>
      </c>
      <c r="E47" s="355">
        <f>'Master Sheet'!E41</f>
        <v>3000</v>
      </c>
      <c r="F47" s="355">
        <f>'Master Sheet'!F41</f>
        <v>3285.1979999999999</v>
      </c>
      <c r="G47" s="355">
        <f>'Master Sheet'!G41</f>
        <v>1028.8020000000001</v>
      </c>
      <c r="H47" s="355">
        <f>'Master Sheet'!H41</f>
        <v>300</v>
      </c>
      <c r="I47" s="355">
        <f>'Master Sheet'!I41</f>
        <v>300</v>
      </c>
      <c r="J47" s="355">
        <f>'Master Sheet'!J41</f>
        <v>272.733</v>
      </c>
      <c r="K47" s="355">
        <f>'Master Sheet'!K41</f>
        <v>3621</v>
      </c>
      <c r="L47" s="355">
        <f>'Master Sheet'!L40</f>
        <v>34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88" t="s">
        <v>140</v>
      </c>
      <c r="C50" s="1256"/>
      <c r="D50" s="1256"/>
      <c r="E50" s="1256"/>
      <c r="F50" s="1256"/>
      <c r="G50" s="1256"/>
      <c r="H50" s="1256"/>
      <c r="I50" s="1256"/>
      <c r="J50" s="1270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777</v>
      </c>
      <c r="G51" s="111" t="s">
        <v>778</v>
      </c>
      <c r="H51" s="111" t="s">
        <v>144</v>
      </c>
      <c r="I51" s="112" t="s">
        <v>781</v>
      </c>
      <c r="J51" s="113" t="s">
        <v>779</v>
      </c>
      <c r="K51" s="113" t="s">
        <v>780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235</v>
      </c>
      <c r="H52" s="118">
        <f>'Master Sheet'!H39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230</v>
      </c>
      <c r="G53" s="39">
        <f>'Master Sheet'!F40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0">
        <v>85</v>
      </c>
      <c r="G54" s="620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3000</v>
      </c>
      <c r="G55" s="39">
        <f>'Master Sheet'!F41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6"/>
      <c r="B1" s="697"/>
      <c r="C1" s="696"/>
      <c r="D1" s="1305"/>
      <c r="E1" s="1306"/>
      <c r="F1" s="696"/>
      <c r="G1" s="741"/>
    </row>
    <row r="2" spans="1:20" s="397" customFormat="1" ht="13.5" customHeight="1" x14ac:dyDescent="0.3">
      <c r="A2" s="742" t="s">
        <v>98</v>
      </c>
      <c r="B2" s="742" t="s">
        <v>74</v>
      </c>
      <c r="C2" s="742" t="s">
        <v>75</v>
      </c>
      <c r="D2" s="742" t="s">
        <v>76</v>
      </c>
      <c r="E2" s="742" t="s">
        <v>78</v>
      </c>
      <c r="F2" s="742" t="s">
        <v>107</v>
      </c>
      <c r="G2" s="743" t="s">
        <v>99</v>
      </c>
      <c r="H2" s="742" t="s">
        <v>81</v>
      </c>
      <c r="I2" s="742" t="s">
        <v>82</v>
      </c>
      <c r="J2" s="742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08" t="s">
        <v>264</v>
      </c>
      <c r="C3" s="385" t="s">
        <v>87</v>
      </c>
      <c r="D3" s="385" t="s">
        <v>92</v>
      </c>
      <c r="E3" s="525">
        <v>46006</v>
      </c>
      <c r="F3" s="586">
        <v>35.088999999999999</v>
      </c>
      <c r="G3" s="744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6">
        <v>35.088999999999999</v>
      </c>
      <c r="G4" s="744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08" t="s">
        <v>326</v>
      </c>
      <c r="C5" s="385" t="s">
        <v>87</v>
      </c>
      <c r="D5" s="385" t="s">
        <v>92</v>
      </c>
      <c r="E5" s="525">
        <v>46013</v>
      </c>
      <c r="F5" s="586">
        <v>35.088999999999999</v>
      </c>
      <c r="G5" s="744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6">
        <v>35.088999999999999</v>
      </c>
      <c r="G6" s="744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78">
        <v>46016</v>
      </c>
      <c r="F7" s="586">
        <v>35.088999999999999</v>
      </c>
      <c r="G7" s="744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78">
        <v>46024</v>
      </c>
      <c r="F8" s="493">
        <v>41.88</v>
      </c>
      <c r="G8" s="744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78">
        <v>46023</v>
      </c>
      <c r="F9" s="586">
        <v>35.088999999999999</v>
      </c>
      <c r="G9" s="744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78">
        <v>46031</v>
      </c>
      <c r="F10" s="586">
        <v>35.088999999999999</v>
      </c>
      <c r="G10" s="744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78">
        <v>46029</v>
      </c>
      <c r="F11" s="586">
        <v>35.088999999999999</v>
      </c>
      <c r="G11" s="744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79">
        <v>46033</v>
      </c>
      <c r="F12" s="586">
        <v>35.088999999999999</v>
      </c>
      <c r="G12" s="744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79">
        <v>46037</v>
      </c>
      <c r="F13" s="586">
        <v>35.088999999999999</v>
      </c>
      <c r="G13" s="744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78">
        <v>46037</v>
      </c>
      <c r="F14" s="493">
        <v>41.88</v>
      </c>
      <c r="G14" s="744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79">
        <v>46039</v>
      </c>
      <c r="F15" s="586">
        <v>35.088999999999999</v>
      </c>
      <c r="G15" s="744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79">
        <v>46038</v>
      </c>
      <c r="F16" s="586">
        <v>35.088999999999999</v>
      </c>
      <c r="G16" s="744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79">
        <v>46039</v>
      </c>
      <c r="F17" s="586">
        <v>35.088999999999999</v>
      </c>
      <c r="G17" s="744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79">
        <v>46041</v>
      </c>
      <c r="F18" s="586">
        <v>35.088999999999999</v>
      </c>
      <c r="G18" s="744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79">
        <v>46041</v>
      </c>
      <c r="F19" s="493">
        <v>41.88</v>
      </c>
      <c r="G19" s="744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78">
        <v>46044</v>
      </c>
      <c r="F20" s="586">
        <v>35.088999999999999</v>
      </c>
      <c r="G20" s="744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79">
        <v>46045</v>
      </c>
      <c r="F21" s="586">
        <v>35.088999999999999</v>
      </c>
      <c r="G21" s="744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79">
        <v>46047</v>
      </c>
      <c r="F22" s="493">
        <v>41.88</v>
      </c>
      <c r="G22" s="744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78">
        <v>46034</v>
      </c>
      <c r="F23" s="586">
        <v>35.088999999999999</v>
      </c>
      <c r="G23" s="744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79">
        <v>46048</v>
      </c>
      <c r="F24" s="493">
        <v>36.771000000000001</v>
      </c>
      <c r="G24" s="744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79">
        <v>46049</v>
      </c>
      <c r="F25" s="493">
        <v>41.88</v>
      </c>
      <c r="G25" s="744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78">
        <v>46049</v>
      </c>
      <c r="F26" s="493">
        <v>36.771000000000001</v>
      </c>
      <c r="G26" s="744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78">
        <v>46049</v>
      </c>
      <c r="F27" s="586">
        <v>35.088999999999999</v>
      </c>
      <c r="G27" s="744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78">
        <v>46052</v>
      </c>
      <c r="F28" s="586">
        <v>35.088999999999999</v>
      </c>
      <c r="G28" s="744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78">
        <v>46053</v>
      </c>
      <c r="F29" s="586">
        <v>35.088999999999999</v>
      </c>
      <c r="G29" s="744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78">
        <v>46054</v>
      </c>
      <c r="F30" s="586">
        <v>43.575000000000003</v>
      </c>
      <c r="G30" s="744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78">
        <v>46050</v>
      </c>
      <c r="F31" s="586">
        <v>43.575000000000003</v>
      </c>
      <c r="G31" s="744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78">
        <v>46052</v>
      </c>
      <c r="F32" s="493">
        <v>36.771000000000001</v>
      </c>
      <c r="G32" s="744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5" t="s">
        <v>265</v>
      </c>
      <c r="C33" s="374" t="s">
        <v>87</v>
      </c>
      <c r="D33" s="429" t="s">
        <v>88</v>
      </c>
      <c r="E33" s="778">
        <v>46059</v>
      </c>
      <c r="F33" s="586">
        <v>35.088999999999999</v>
      </c>
      <c r="G33" s="744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78">
        <v>46361</v>
      </c>
      <c r="F34" s="586">
        <v>35.088999999999999</v>
      </c>
      <c r="G34" s="744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78">
        <v>46058</v>
      </c>
      <c r="F35" s="586">
        <v>54.72</v>
      </c>
      <c r="G35" s="744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78">
        <v>46056</v>
      </c>
      <c r="F36" s="586">
        <v>35.088999999999999</v>
      </c>
      <c r="G36" s="744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5" t="s">
        <v>414</v>
      </c>
      <c r="C37" s="374" t="s">
        <v>87</v>
      </c>
      <c r="D37" s="429" t="s">
        <v>92</v>
      </c>
      <c r="E37" s="778">
        <v>46058</v>
      </c>
      <c r="F37" s="586">
        <v>35.088999999999999</v>
      </c>
      <c r="G37" s="744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78">
        <v>46063</v>
      </c>
      <c r="F38" s="493">
        <v>41.88</v>
      </c>
      <c r="G38" s="744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78">
        <v>46063</v>
      </c>
      <c r="F39" s="586">
        <v>35.088999999999999</v>
      </c>
      <c r="G39" s="744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78">
        <v>46053</v>
      </c>
      <c r="F40" s="586">
        <v>35.088999999999999</v>
      </c>
      <c r="G40" s="744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78">
        <v>46065</v>
      </c>
      <c r="F41" s="586">
        <v>35.088999999999999</v>
      </c>
      <c r="G41" s="744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6">
        <v>35.088999999999999</v>
      </c>
      <c r="G42" s="744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78">
        <v>46067</v>
      </c>
      <c r="F43" s="586">
        <v>35.088999999999999</v>
      </c>
      <c r="G43" s="744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78">
        <v>46068</v>
      </c>
      <c r="F44" s="586">
        <v>35.088999999999999</v>
      </c>
      <c r="G44" s="744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78">
        <v>46065</v>
      </c>
      <c r="F45" s="586">
        <v>54.72</v>
      </c>
      <c r="G45" s="744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6">
        <v>35.088999999999999</v>
      </c>
      <c r="G46" s="744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78">
        <v>46070</v>
      </c>
      <c r="F47" s="586">
        <v>54.72</v>
      </c>
      <c r="G47" s="744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78">
        <v>46073</v>
      </c>
      <c r="F48" s="586">
        <v>35.088999999999999</v>
      </c>
      <c r="G48" s="744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78">
        <v>46061</v>
      </c>
      <c r="F49" s="586">
        <v>35.088999999999999</v>
      </c>
      <c r="G49" s="744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78">
        <v>46075</v>
      </c>
      <c r="F50" s="586">
        <v>35.088999999999999</v>
      </c>
      <c r="G50" s="744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78">
        <v>46075</v>
      </c>
      <c r="F51" s="493">
        <v>36.771000000000001</v>
      </c>
      <c r="G51" s="744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78">
        <v>46073</v>
      </c>
      <c r="F52" s="493">
        <v>36.771000000000001</v>
      </c>
      <c r="G52" s="744" t="s">
        <v>672</v>
      </c>
      <c r="H52" s="592">
        <v>46079</v>
      </c>
      <c r="I52" s="612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5" t="s">
        <v>87</v>
      </c>
      <c r="D53" s="429" t="s">
        <v>92</v>
      </c>
      <c r="E53" s="778">
        <v>46077</v>
      </c>
      <c r="F53" s="586">
        <v>35.088999999999999</v>
      </c>
      <c r="G53" s="748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5" t="s">
        <v>87</v>
      </c>
      <c r="D54" s="429" t="s">
        <v>92</v>
      </c>
      <c r="E54" s="778">
        <v>46077</v>
      </c>
      <c r="F54" s="586">
        <v>35.088999999999999</v>
      </c>
      <c r="G54" s="748" t="s">
        <v>672</v>
      </c>
      <c r="H54" s="386">
        <v>46081</v>
      </c>
      <c r="I54" s="496" t="s">
        <v>741</v>
      </c>
      <c r="J54" s="384">
        <v>24</v>
      </c>
      <c r="K54" s="750"/>
      <c r="L54" s="749"/>
      <c r="M54" s="621"/>
      <c r="N54" s="382"/>
    </row>
    <row r="55" spans="1:20" x14ac:dyDescent="0.3">
      <c r="A55" s="374">
        <f t="shared" si="0"/>
        <v>53</v>
      </c>
      <c r="B55" s="694" t="s">
        <v>248</v>
      </c>
      <c r="C55" s="374" t="s">
        <v>87</v>
      </c>
      <c r="D55" s="429" t="s">
        <v>547</v>
      </c>
      <c r="E55" s="778">
        <v>46078</v>
      </c>
      <c r="F55" s="586">
        <v>35.088999999999999</v>
      </c>
      <c r="G55" s="748" t="s">
        <v>672</v>
      </c>
      <c r="H55" s="386">
        <v>46081</v>
      </c>
      <c r="I55" s="496" t="s">
        <v>698</v>
      </c>
      <c r="J55" s="384">
        <v>40</v>
      </c>
      <c r="K55" s="750"/>
      <c r="L55" s="749"/>
      <c r="M55" s="621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46">
        <v>46080</v>
      </c>
      <c r="F56" s="586">
        <v>35.088999999999999</v>
      </c>
      <c r="G56" s="748" t="s">
        <v>672</v>
      </c>
      <c r="H56" s="746">
        <v>46083</v>
      </c>
      <c r="I56" s="495" t="s">
        <v>701</v>
      </c>
      <c r="J56" s="384">
        <v>32</v>
      </c>
      <c r="K56" s="753"/>
      <c r="L56" s="517"/>
      <c r="M56" s="754"/>
      <c r="N56" s="382"/>
    </row>
    <row r="57" spans="1:20" ht="13.8" customHeight="1" x14ac:dyDescent="0.3">
      <c r="A57" s="374">
        <f t="shared" si="0"/>
        <v>55</v>
      </c>
      <c r="B57" s="694" t="s">
        <v>487</v>
      </c>
      <c r="C57" s="374" t="s">
        <v>563</v>
      </c>
      <c r="D57" s="429" t="s">
        <v>547</v>
      </c>
      <c r="E57" s="386">
        <v>46073</v>
      </c>
      <c r="F57" s="586">
        <v>54.72</v>
      </c>
      <c r="G57" s="748" t="s">
        <v>672</v>
      </c>
      <c r="H57" s="386">
        <v>46084</v>
      </c>
      <c r="I57" s="495" t="s">
        <v>700</v>
      </c>
      <c r="J57" s="384">
        <v>45</v>
      </c>
      <c r="K57" s="750"/>
      <c r="L57" s="749"/>
      <c r="M57" s="754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1">
        <v>46081</v>
      </c>
      <c r="F58" s="611">
        <v>36.771000000000001</v>
      </c>
      <c r="G58" s="782" t="s">
        <v>672</v>
      </c>
      <c r="H58" s="592">
        <v>46086</v>
      </c>
      <c r="I58" s="783" t="s">
        <v>698</v>
      </c>
      <c r="J58" s="535">
        <v>40</v>
      </c>
      <c r="K58" s="750"/>
      <c r="L58" s="749"/>
      <c r="M58" s="621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6">
        <v>35.088999999999999</v>
      </c>
      <c r="G59" s="782" t="s">
        <v>672</v>
      </c>
      <c r="H59" s="386">
        <v>46089</v>
      </c>
      <c r="I59" s="495" t="s">
        <v>671</v>
      </c>
      <c r="J59" s="384">
        <v>30</v>
      </c>
      <c r="K59" s="750"/>
      <c r="L59" s="749"/>
      <c r="M59" s="754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5" t="s">
        <v>87</v>
      </c>
      <c r="D60" s="429" t="s">
        <v>92</v>
      </c>
      <c r="E60" s="386">
        <v>46077</v>
      </c>
      <c r="F60" s="586">
        <v>35.088999999999999</v>
      </c>
      <c r="G60" s="744" t="s">
        <v>672</v>
      </c>
      <c r="H60" s="386">
        <v>46090</v>
      </c>
      <c r="I60" s="496" t="s">
        <v>741</v>
      </c>
      <c r="J60" s="384">
        <v>24</v>
      </c>
      <c r="K60" s="750"/>
      <c r="L60" s="749"/>
      <c r="M60" s="621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6">
        <v>43.575000000000003</v>
      </c>
      <c r="G61" s="744" t="s">
        <v>672</v>
      </c>
      <c r="H61" s="386">
        <v>46092</v>
      </c>
      <c r="I61" s="496" t="s">
        <v>698</v>
      </c>
      <c r="J61" s="384">
        <v>40</v>
      </c>
      <c r="K61" s="750"/>
      <c r="L61" s="749"/>
      <c r="M61" s="621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6">
        <v>35.088999999999999</v>
      </c>
      <c r="G62" s="744" t="s">
        <v>672</v>
      </c>
      <c r="H62" s="386">
        <v>46097</v>
      </c>
      <c r="I62" s="496" t="s">
        <v>741</v>
      </c>
      <c r="J62" s="384">
        <v>24</v>
      </c>
      <c r="K62" s="750"/>
      <c r="L62" s="749"/>
      <c r="M62" s="621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6">
        <v>35.088999999999999</v>
      </c>
      <c r="G63" s="744" t="s">
        <v>672</v>
      </c>
      <c r="H63" s="386">
        <v>46097</v>
      </c>
      <c r="I63" s="496" t="s">
        <v>698</v>
      </c>
      <c r="J63" s="384">
        <v>40</v>
      </c>
      <c r="K63" s="750"/>
      <c r="L63" s="749"/>
      <c r="M63" s="621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6">
        <v>35.088999999999999</v>
      </c>
      <c r="G64" s="744" t="s">
        <v>672</v>
      </c>
      <c r="H64" s="386">
        <v>46099</v>
      </c>
      <c r="I64" s="495" t="s">
        <v>671</v>
      </c>
      <c r="J64" s="384">
        <v>30</v>
      </c>
      <c r="K64" s="750"/>
      <c r="L64" s="749"/>
      <c r="M64" s="754"/>
      <c r="N64" s="382"/>
    </row>
    <row r="65" spans="1:15" x14ac:dyDescent="0.3">
      <c r="A65" s="374">
        <f t="shared" si="0"/>
        <v>63</v>
      </c>
      <c r="B65" s="683" t="s">
        <v>623</v>
      </c>
      <c r="C65" s="635" t="s">
        <v>87</v>
      </c>
      <c r="D65" s="429" t="s">
        <v>92</v>
      </c>
      <c r="E65" s="386">
        <v>46097</v>
      </c>
      <c r="F65" s="586">
        <v>35.088999999999999</v>
      </c>
      <c r="G65" s="744" t="s">
        <v>672</v>
      </c>
      <c r="H65" s="386">
        <v>46101</v>
      </c>
      <c r="I65" s="496" t="s">
        <v>698</v>
      </c>
      <c r="J65" s="384">
        <v>40</v>
      </c>
      <c r="K65" s="810"/>
      <c r="L65" s="749"/>
      <c r="M65" s="621"/>
      <c r="N65" s="382"/>
    </row>
    <row r="66" spans="1:15" ht="13.8" customHeight="1" x14ac:dyDescent="0.3">
      <c r="A66" s="374">
        <f t="shared" si="0"/>
        <v>64</v>
      </c>
      <c r="B66" s="683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4" t="s">
        <v>672</v>
      </c>
      <c r="H66" s="386">
        <v>45739</v>
      </c>
      <c r="I66" s="496" t="s">
        <v>741</v>
      </c>
      <c r="J66" s="535">
        <v>24</v>
      </c>
      <c r="K66" s="750"/>
      <c r="L66" s="749"/>
      <c r="M66" s="621"/>
      <c r="N66" s="382"/>
    </row>
    <row r="67" spans="1:15" x14ac:dyDescent="0.3">
      <c r="A67" s="374">
        <f t="shared" si="0"/>
        <v>65</v>
      </c>
      <c r="B67" s="825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4" t="s">
        <v>672</v>
      </c>
      <c r="H67" s="386">
        <v>46106</v>
      </c>
      <c r="I67" s="495" t="s">
        <v>671</v>
      </c>
      <c r="J67" s="535">
        <v>24</v>
      </c>
      <c r="K67" s="750"/>
      <c r="L67" s="749"/>
      <c r="M67" s="754"/>
      <c r="N67" s="382"/>
    </row>
    <row r="68" spans="1:15" ht="13.8" customHeight="1" x14ac:dyDescent="0.3">
      <c r="A68" s="374">
        <f t="shared" si="0"/>
        <v>66</v>
      </c>
      <c r="B68" s="625" t="s">
        <v>408</v>
      </c>
      <c r="C68" s="374" t="s">
        <v>87</v>
      </c>
      <c r="D68" s="429" t="s">
        <v>92</v>
      </c>
      <c r="E68" s="386">
        <v>46101</v>
      </c>
      <c r="F68" s="586">
        <v>35.088999999999999</v>
      </c>
      <c r="G68" s="744" t="s">
        <v>672</v>
      </c>
      <c r="H68" s="386">
        <v>46110</v>
      </c>
      <c r="I68" s="496" t="s">
        <v>741</v>
      </c>
      <c r="J68" s="384">
        <v>24</v>
      </c>
      <c r="K68" s="750"/>
      <c r="L68" s="749"/>
      <c r="M68" s="621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6">
        <v>35.088999999999999</v>
      </c>
      <c r="G69" s="744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6">
        <v>35.088999999999999</v>
      </c>
      <c r="G70" s="744" t="s">
        <v>672</v>
      </c>
      <c r="H70" s="386">
        <v>46085</v>
      </c>
      <c r="I70" s="848" t="s">
        <v>741</v>
      </c>
      <c r="J70" s="384">
        <v>24</v>
      </c>
      <c r="K70" s="750"/>
      <c r="L70" s="749"/>
      <c r="M70" s="621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776</v>
      </c>
      <c r="F71" s="586">
        <v>35.088999999999999</v>
      </c>
      <c r="G71" s="744" t="s">
        <v>672</v>
      </c>
      <c r="H71" s="386">
        <v>46119</v>
      </c>
      <c r="I71" s="854" t="s">
        <v>671</v>
      </c>
      <c r="J71" s="384">
        <v>30</v>
      </c>
      <c r="K71" s="750"/>
      <c r="L71" s="749"/>
      <c r="M71" s="754"/>
      <c r="N71" s="382"/>
    </row>
    <row r="72" spans="1:15" ht="13.8" customHeight="1" x14ac:dyDescent="0.3">
      <c r="A72" s="374">
        <f t="shared" si="1"/>
        <v>70</v>
      </c>
      <c r="B72" s="1026" t="s">
        <v>486</v>
      </c>
      <c r="C72" s="902" t="s">
        <v>691</v>
      </c>
      <c r="D72" s="443" t="s">
        <v>92</v>
      </c>
      <c r="E72" s="592">
        <v>46117</v>
      </c>
      <c r="F72" s="630">
        <v>54.72</v>
      </c>
      <c r="G72" s="1024" t="s">
        <v>672</v>
      </c>
      <c r="H72" s="592">
        <v>46124</v>
      </c>
      <c r="I72" s="1027" t="s">
        <v>741</v>
      </c>
      <c r="J72" s="535">
        <v>24</v>
      </c>
      <c r="K72" s="750"/>
      <c r="L72" s="749"/>
      <c r="M72" s="621"/>
      <c r="N72" s="382"/>
      <c r="O72" s="382"/>
    </row>
    <row r="73" spans="1:15" ht="13.8" customHeight="1" x14ac:dyDescent="0.3">
      <c r="A73" s="1025">
        <f t="shared" si="1"/>
        <v>71</v>
      </c>
      <c r="B73" s="374" t="s">
        <v>435</v>
      </c>
      <c r="C73" s="990" t="s">
        <v>691</v>
      </c>
      <c r="D73" s="626" t="s">
        <v>92</v>
      </c>
      <c r="E73" s="386">
        <v>46147</v>
      </c>
      <c r="F73" s="586">
        <v>54.72</v>
      </c>
      <c r="G73" s="744" t="s">
        <v>672</v>
      </c>
      <c r="H73" s="386">
        <v>46160</v>
      </c>
      <c r="I73" s="496" t="s">
        <v>671</v>
      </c>
      <c r="J73" s="384">
        <v>24</v>
      </c>
      <c r="K73" s="750"/>
      <c r="L73" s="749"/>
      <c r="M73" s="621"/>
      <c r="N73" s="382"/>
      <c r="O73" s="382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07" t="s">
        <v>488</v>
      </c>
      <c r="C2" s="1308"/>
      <c r="D2" s="1308"/>
      <c r="E2" s="1308"/>
      <c r="F2" s="1308"/>
      <c r="G2" s="1308"/>
      <c r="H2" s="1308"/>
      <c r="I2" s="1308"/>
      <c r="J2" s="1308"/>
      <c r="K2" s="1309"/>
    </row>
    <row r="3" spans="2:11" ht="14.25" customHeight="1" x14ac:dyDescent="0.3">
      <c r="B3" s="1310"/>
      <c r="C3" s="1165"/>
      <c r="D3" s="1165"/>
      <c r="E3" s="1165"/>
      <c r="F3" s="1165"/>
      <c r="G3" s="1165"/>
      <c r="H3" s="1166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311" t="s">
        <v>499</v>
      </c>
      <c r="C12" s="1199"/>
      <c r="D12" s="1199"/>
      <c r="E12" s="1199"/>
      <c r="F12" s="1199"/>
      <c r="G12" s="1199"/>
      <c r="H12" s="1199"/>
      <c r="I12" s="1312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8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420" t="s">
        <v>164</v>
      </c>
      <c r="B1" s="1421"/>
      <c r="C1" s="1421"/>
      <c r="D1" s="1421"/>
      <c r="E1" s="1421"/>
      <c r="F1" s="1421"/>
      <c r="G1" s="1421"/>
      <c r="H1" s="1421"/>
      <c r="I1" s="1421"/>
      <c r="J1" s="1421"/>
      <c r="K1" s="1421"/>
      <c r="L1" s="1421"/>
      <c r="M1" s="1421"/>
      <c r="N1" s="1421"/>
      <c r="O1" s="1421"/>
      <c r="P1" s="1421"/>
      <c r="Q1" s="1421"/>
      <c r="R1" s="1421"/>
      <c r="S1" s="1421"/>
      <c r="T1" s="1421"/>
      <c r="U1" s="1421"/>
      <c r="V1" s="1421"/>
      <c r="W1" s="1421"/>
      <c r="X1" s="1421"/>
      <c r="Y1" s="1422"/>
    </row>
    <row r="2" spans="1:28" ht="15" thickBot="1" x14ac:dyDescent="0.35">
      <c r="A2" s="1423" t="s">
        <v>555</v>
      </c>
      <c r="B2" s="1424"/>
      <c r="C2" s="1424"/>
      <c r="D2" s="1424"/>
      <c r="E2" s="1424"/>
      <c r="F2" s="1424"/>
      <c r="G2" s="1424"/>
      <c r="H2" s="1424"/>
      <c r="I2" s="1424"/>
      <c r="J2" s="1424"/>
      <c r="K2" s="1424"/>
      <c r="L2" s="1424"/>
      <c r="M2" s="1424"/>
      <c r="N2" s="1424"/>
      <c r="O2" s="1424"/>
      <c r="P2" s="1424"/>
      <c r="Q2" s="1424"/>
      <c r="R2" s="1424"/>
      <c r="S2" s="1424"/>
      <c r="T2" s="1424"/>
      <c r="U2" s="1424"/>
      <c r="V2" s="1424"/>
      <c r="W2" s="1424"/>
      <c r="X2" s="1424"/>
      <c r="Y2" s="1425"/>
    </row>
    <row r="3" spans="1:28" ht="14.25" customHeight="1" thickBot="1" x14ac:dyDescent="0.35">
      <c r="A3" s="714"/>
      <c r="B3" s="1426" t="s">
        <v>165</v>
      </c>
      <c r="C3" s="1427"/>
      <c r="D3" s="867">
        <v>122</v>
      </c>
      <c r="E3" s="868" t="s">
        <v>556</v>
      </c>
      <c r="F3" s="1428" t="s">
        <v>166</v>
      </c>
      <c r="G3" s="1427"/>
      <c r="H3" s="869">
        <v>71</v>
      </c>
      <c r="I3" s="896" t="s">
        <v>556</v>
      </c>
      <c r="J3" s="1429" t="s">
        <v>167</v>
      </c>
      <c r="K3" s="1427"/>
      <c r="L3" s="869">
        <v>99</v>
      </c>
      <c r="M3" s="871" t="s">
        <v>556</v>
      </c>
      <c r="N3" s="1428" t="s">
        <v>168</v>
      </c>
      <c r="O3" s="1427"/>
      <c r="P3" s="872" t="s">
        <v>557</v>
      </c>
      <c r="Q3" s="870">
        <v>113.292</v>
      </c>
      <c r="R3" s="1428" t="s">
        <v>169</v>
      </c>
      <c r="S3" s="1427"/>
      <c r="T3" s="867" t="s">
        <v>558</v>
      </c>
      <c r="U3" s="870">
        <v>113.292</v>
      </c>
      <c r="V3" s="873" t="s">
        <v>170</v>
      </c>
      <c r="W3" s="1430">
        <f ca="1">TODAY()</f>
        <v>46167</v>
      </c>
      <c r="X3" s="1431"/>
      <c r="Y3" s="715"/>
    </row>
    <row r="4" spans="1:28" ht="14.25" customHeight="1" x14ac:dyDescent="0.3">
      <c r="A4" s="714"/>
      <c r="B4" s="1412" t="s">
        <v>171</v>
      </c>
      <c r="C4" s="1415" t="s">
        <v>23</v>
      </c>
      <c r="D4" s="1418">
        <v>0</v>
      </c>
      <c r="E4" s="1418" t="s">
        <v>173</v>
      </c>
      <c r="F4" s="1418">
        <v>6</v>
      </c>
      <c r="G4" s="1419" t="s">
        <v>175</v>
      </c>
      <c r="H4" s="1397" t="s">
        <v>176</v>
      </c>
      <c r="I4" s="1400" t="s">
        <v>119</v>
      </c>
      <c r="J4" s="539"/>
      <c r="K4" s="539"/>
      <c r="L4" s="540"/>
      <c r="M4" s="1403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74"/>
      <c r="Y4" s="715"/>
    </row>
    <row r="5" spans="1:28" ht="14.25" customHeight="1" x14ac:dyDescent="0.3">
      <c r="A5" s="714"/>
      <c r="B5" s="1413"/>
      <c r="C5" s="1416"/>
      <c r="D5" s="1398"/>
      <c r="E5" s="1398"/>
      <c r="F5" s="1398"/>
      <c r="G5" s="1398"/>
      <c r="H5" s="1398"/>
      <c r="I5" s="1401"/>
      <c r="J5" s="1060" t="s">
        <v>177</v>
      </c>
      <c r="K5" s="1061"/>
      <c r="L5" s="545"/>
      <c r="M5" s="1404"/>
      <c r="N5" s="546"/>
      <c r="O5" s="545"/>
      <c r="P5" s="547" t="s">
        <v>178</v>
      </c>
      <c r="Q5" s="546"/>
      <c r="R5" s="548" t="s">
        <v>179</v>
      </c>
      <c r="S5" s="1060"/>
      <c r="T5" s="1061"/>
      <c r="U5" s="547"/>
      <c r="V5" s="1405"/>
      <c r="W5" s="1406"/>
      <c r="X5" s="875"/>
      <c r="Y5" s="715"/>
    </row>
    <row r="6" spans="1:28" ht="14.25" customHeight="1" thickBot="1" x14ac:dyDescent="0.35">
      <c r="A6" s="714"/>
      <c r="B6" s="1414"/>
      <c r="C6" s="1417"/>
      <c r="D6" s="1399"/>
      <c r="E6" s="1399"/>
      <c r="F6" s="1399"/>
      <c r="G6" s="1399"/>
      <c r="H6" s="1399"/>
      <c r="I6" s="1402"/>
      <c r="J6" s="895" t="s">
        <v>180</v>
      </c>
      <c r="K6" s="1061"/>
      <c r="L6" s="545"/>
      <c r="M6" s="1061"/>
      <c r="N6" s="546"/>
      <c r="O6" s="545"/>
      <c r="P6" s="1061"/>
      <c r="Q6" s="547"/>
      <c r="R6" s="550"/>
      <c r="S6" s="1062"/>
      <c r="T6" s="1062"/>
      <c r="U6" s="547"/>
      <c r="V6" s="551" t="s">
        <v>181</v>
      </c>
      <c r="W6" s="1062"/>
      <c r="X6" s="875"/>
      <c r="Y6" s="715"/>
    </row>
    <row r="7" spans="1:28" ht="14.25" customHeight="1" x14ac:dyDescent="0.3">
      <c r="A7" s="714"/>
      <c r="B7" s="876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897">
        <f>H7</f>
        <v>216</v>
      </c>
      <c r="J7" s="1407" t="s">
        <v>187</v>
      </c>
      <c r="K7" s="1409" t="s">
        <v>183</v>
      </c>
      <c r="L7" s="1061"/>
      <c r="M7" s="1061" t="s">
        <v>184</v>
      </c>
      <c r="N7" s="546"/>
      <c r="O7" s="545"/>
      <c r="P7" s="1061"/>
      <c r="Q7" s="546"/>
      <c r="R7" s="545" t="s">
        <v>185</v>
      </c>
      <c r="S7" s="1062"/>
      <c r="T7" s="1062"/>
      <c r="U7" s="547"/>
      <c r="V7" s="1411"/>
      <c r="W7" s="1406"/>
      <c r="X7" s="875"/>
      <c r="Y7" s="715"/>
    </row>
    <row r="8" spans="1:28" ht="14.25" customHeight="1" x14ac:dyDescent="0.3">
      <c r="A8" s="714"/>
      <c r="B8" s="876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897">
        <f t="shared" ref="I8:I10" si="1">H8</f>
        <v>17</v>
      </c>
      <c r="J8" s="1408"/>
      <c r="K8" s="1410"/>
      <c r="L8" s="1061"/>
      <c r="M8" s="1061"/>
      <c r="N8" s="546"/>
      <c r="O8" s="545"/>
      <c r="P8" s="1061"/>
      <c r="Q8" s="546"/>
      <c r="R8" s="550"/>
      <c r="S8" s="1062"/>
      <c r="T8" s="1062"/>
      <c r="U8" s="547"/>
      <c r="V8" s="550"/>
      <c r="W8" s="1062"/>
      <c r="X8" s="875"/>
      <c r="Y8" s="715"/>
    </row>
    <row r="9" spans="1:28" ht="14.25" customHeight="1" x14ac:dyDescent="0.3">
      <c r="A9" s="714"/>
      <c r="B9" s="877" t="s">
        <v>188</v>
      </c>
      <c r="C9" s="860" t="s">
        <v>150</v>
      </c>
      <c r="D9" s="861">
        <v>13</v>
      </c>
      <c r="E9" s="861">
        <v>2</v>
      </c>
      <c r="F9" s="861">
        <v>4</v>
      </c>
      <c r="G9" s="861">
        <v>2</v>
      </c>
      <c r="H9" s="861">
        <f t="shared" si="0"/>
        <v>21</v>
      </c>
      <c r="I9" s="898">
        <f t="shared" si="1"/>
        <v>21</v>
      </c>
      <c r="J9" s="1063"/>
      <c r="K9" s="554"/>
      <c r="L9" s="1061"/>
      <c r="M9" s="1061"/>
      <c r="N9" s="546"/>
      <c r="O9" s="545" t="s">
        <v>189</v>
      </c>
      <c r="P9" s="1061"/>
      <c r="Q9" s="546"/>
      <c r="R9" s="550"/>
      <c r="S9" s="1062"/>
      <c r="T9" s="1062"/>
      <c r="U9" s="547"/>
      <c r="V9" s="550"/>
      <c r="W9" s="1062"/>
      <c r="X9" s="875"/>
      <c r="Y9" s="715"/>
    </row>
    <row r="10" spans="1:28" ht="14.25" customHeight="1" x14ac:dyDescent="0.3">
      <c r="A10" s="714"/>
      <c r="B10" s="878" t="s">
        <v>193</v>
      </c>
      <c r="C10" s="864" t="s">
        <v>150</v>
      </c>
      <c r="D10" s="866">
        <v>1</v>
      </c>
      <c r="E10" s="865"/>
      <c r="F10" s="865"/>
      <c r="G10" s="865"/>
      <c r="H10" s="866">
        <f t="shared" si="0"/>
        <v>1</v>
      </c>
      <c r="I10" s="899">
        <f t="shared" si="1"/>
        <v>1</v>
      </c>
      <c r="J10" s="1063"/>
      <c r="K10" s="1064"/>
      <c r="L10" s="545"/>
      <c r="M10" s="1061"/>
      <c r="N10" s="546"/>
      <c r="O10" s="545"/>
      <c r="P10" s="1061"/>
      <c r="Q10" s="546"/>
      <c r="R10" s="550"/>
      <c r="S10" s="1062"/>
      <c r="T10" s="1062"/>
      <c r="U10" s="547"/>
      <c r="V10" s="550"/>
      <c r="W10" s="1062"/>
      <c r="X10" s="875"/>
      <c r="Y10" s="715"/>
    </row>
    <row r="11" spans="1:28" ht="14.25" customHeight="1" x14ac:dyDescent="0.3">
      <c r="A11" s="714"/>
      <c r="B11" s="878" t="s">
        <v>190</v>
      </c>
      <c r="C11" s="864" t="s">
        <v>150</v>
      </c>
      <c r="D11" s="866">
        <v>10</v>
      </c>
      <c r="E11" s="866">
        <v>2</v>
      </c>
      <c r="F11" s="866">
        <v>1</v>
      </c>
      <c r="G11" s="866">
        <v>3</v>
      </c>
      <c r="H11" s="866">
        <f>SUM(D11:G11)</f>
        <v>16</v>
      </c>
      <c r="I11" s="899">
        <f>H11</f>
        <v>16</v>
      </c>
      <c r="J11" s="1065"/>
      <c r="K11" s="1066"/>
      <c r="L11" s="555"/>
      <c r="M11" s="1066"/>
      <c r="N11" s="556"/>
      <c r="O11" s="557"/>
      <c r="P11" s="1066"/>
      <c r="Q11" s="556"/>
      <c r="R11" s="550"/>
      <c r="S11" s="1062" t="s">
        <v>192</v>
      </c>
      <c r="T11" s="1062"/>
      <c r="U11" s="547"/>
      <c r="V11" s="550"/>
      <c r="W11" s="1062"/>
      <c r="X11" s="875"/>
      <c r="Y11" s="715"/>
    </row>
    <row r="12" spans="1:28" ht="14.25" customHeight="1" thickBot="1" x14ac:dyDescent="0.35">
      <c r="A12" s="714"/>
      <c r="B12" s="879" t="s">
        <v>191</v>
      </c>
      <c r="C12" s="862" t="s">
        <v>150</v>
      </c>
      <c r="D12" s="863">
        <v>3</v>
      </c>
      <c r="E12" s="863">
        <v>3</v>
      </c>
      <c r="F12" s="863">
        <v>1</v>
      </c>
      <c r="G12" s="863">
        <v>0</v>
      </c>
      <c r="H12" s="863">
        <f>SUM(D12:G12)</f>
        <v>7</v>
      </c>
      <c r="I12" s="900">
        <f>H12</f>
        <v>7</v>
      </c>
      <c r="J12" s="1065"/>
      <c r="K12" s="1066"/>
      <c r="L12" s="555"/>
      <c r="M12" s="1066"/>
      <c r="N12" s="556"/>
      <c r="O12" s="545"/>
      <c r="P12" s="1066"/>
      <c r="Q12" s="547" t="s">
        <v>180</v>
      </c>
      <c r="R12" s="550"/>
      <c r="S12" s="1062" t="s">
        <v>197</v>
      </c>
      <c r="T12" s="1062"/>
      <c r="U12" s="547"/>
      <c r="V12" s="550"/>
      <c r="W12" s="1062"/>
      <c r="X12" s="875"/>
      <c r="Y12" s="715"/>
    </row>
    <row r="13" spans="1:28" ht="14.25" customHeight="1" x14ac:dyDescent="0.3">
      <c r="A13" s="714"/>
      <c r="B13" s="876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897">
        <f>H13</f>
        <v>0</v>
      </c>
      <c r="J13" s="1067" t="s">
        <v>195</v>
      </c>
      <c r="K13" s="1068" t="s">
        <v>196</v>
      </c>
      <c r="L13" s="550"/>
      <c r="M13" s="1062"/>
      <c r="N13" s="547"/>
      <c r="O13" s="550"/>
      <c r="P13" s="1061"/>
      <c r="Q13" s="546"/>
      <c r="R13" s="550"/>
      <c r="T13" s="1060"/>
      <c r="U13" s="558"/>
      <c r="V13" s="1432" t="s">
        <v>703</v>
      </c>
      <c r="W13" s="1406"/>
      <c r="X13" s="880"/>
      <c r="Y13" s="715"/>
      <c r="Z13" s="1386" t="s">
        <v>45</v>
      </c>
      <c r="AA13" s="1388" t="s">
        <v>106</v>
      </c>
      <c r="AB13" s="1390" t="s">
        <v>46</v>
      </c>
    </row>
    <row r="14" spans="1:28" ht="14.25" customHeight="1" thickBot="1" x14ac:dyDescent="0.35">
      <c r="A14" s="714"/>
      <c r="B14" s="876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897">
        <f>H14</f>
        <v>9</v>
      </c>
      <c r="J14" s="1069" t="s">
        <v>200</v>
      </c>
      <c r="K14" s="1068" t="s">
        <v>201</v>
      </c>
      <c r="L14" s="559"/>
      <c r="M14" s="1070" t="s">
        <v>46</v>
      </c>
      <c r="N14" s="560"/>
      <c r="O14" s="1061"/>
      <c r="P14" s="1392" t="s">
        <v>50</v>
      </c>
      <c r="Q14" s="560"/>
      <c r="R14" s="550" t="s">
        <v>67</v>
      </c>
      <c r="S14" s="1062"/>
      <c r="T14" s="1062"/>
      <c r="U14" s="547"/>
      <c r="V14" s="549" t="s">
        <v>202</v>
      </c>
      <c r="W14" s="1062"/>
      <c r="X14" s="875"/>
      <c r="Y14" s="715"/>
      <c r="Z14" s="1387"/>
      <c r="AA14" s="1389"/>
      <c r="AB14" s="1391"/>
    </row>
    <row r="15" spans="1:28" ht="14.25" customHeight="1" thickBot="1" x14ac:dyDescent="0.35">
      <c r="A15" s="714"/>
      <c r="B15" s="881" t="s">
        <v>199</v>
      </c>
      <c r="C15" s="882" t="s">
        <v>150</v>
      </c>
      <c r="D15" s="883">
        <v>2</v>
      </c>
      <c r="E15" s="883">
        <v>1</v>
      </c>
      <c r="F15" s="883">
        <v>1</v>
      </c>
      <c r="G15" s="883">
        <v>1</v>
      </c>
      <c r="H15" s="883">
        <f>SUM(D15:G15)</f>
        <v>5</v>
      </c>
      <c r="I15" s="901">
        <f>H15</f>
        <v>5</v>
      </c>
      <c r="J15" s="884"/>
      <c r="K15" s="885"/>
      <c r="L15" s="886"/>
      <c r="M15" s="887"/>
      <c r="N15" s="888"/>
      <c r="O15" s="889"/>
      <c r="P15" s="1393"/>
      <c r="Q15" s="888"/>
      <c r="R15" s="890"/>
      <c r="S15" s="891"/>
      <c r="T15" s="891"/>
      <c r="U15" s="892"/>
      <c r="V15" s="893"/>
      <c r="W15" s="891"/>
      <c r="X15" s="894"/>
      <c r="Y15" s="715"/>
      <c r="Z15" s="597"/>
      <c r="AA15" s="597"/>
      <c r="AB15" s="598"/>
    </row>
    <row r="16" spans="1:28" ht="14.25" customHeight="1" thickBot="1" x14ac:dyDescent="0.35">
      <c r="A16" s="714"/>
      <c r="B16" s="1394" t="s">
        <v>203</v>
      </c>
      <c r="C16" s="1395"/>
      <c r="D16" s="1395"/>
      <c r="E16" s="1395"/>
      <c r="F16" s="1395"/>
      <c r="G16" s="1396"/>
      <c r="H16" s="561">
        <v>122</v>
      </c>
      <c r="I16" s="562">
        <f>292-H16</f>
        <v>170</v>
      </c>
      <c r="J16" s="1061"/>
      <c r="K16" s="1061"/>
      <c r="L16" s="1061"/>
      <c r="M16" s="1061"/>
      <c r="N16" s="1071"/>
      <c r="O16" s="563"/>
      <c r="P16" s="1064"/>
      <c r="Q16" s="1061"/>
      <c r="R16" s="1062"/>
      <c r="S16" s="1062"/>
      <c r="T16" s="1062"/>
      <c r="U16" s="1062"/>
      <c r="V16" s="1072"/>
      <c r="W16" s="1072"/>
      <c r="X16" s="1062"/>
      <c r="Y16" s="716"/>
      <c r="Z16" s="599">
        <f>SUM(Z18:Z254)</f>
        <v>122</v>
      </c>
      <c r="AA16" s="599">
        <f>SUM(AA18:AA254)</f>
        <v>71</v>
      </c>
      <c r="AB16" s="600">
        <f>SUM(AB18:AB254)</f>
        <v>99</v>
      </c>
    </row>
    <row r="17" spans="1:39" ht="14.25" customHeight="1" x14ac:dyDescent="0.3">
      <c r="A17" s="714"/>
      <c r="B17" s="1073" t="s">
        <v>559</v>
      </c>
      <c r="C17" s="1073"/>
      <c r="D17" s="1073"/>
      <c r="E17" s="1074"/>
      <c r="F17" s="1074"/>
      <c r="G17" s="1074"/>
      <c r="H17" s="1074"/>
      <c r="I17" s="1061"/>
      <c r="J17" s="1061"/>
      <c r="K17" s="1061"/>
      <c r="L17" s="1061"/>
      <c r="M17" s="1061"/>
      <c r="N17" s="1071"/>
      <c r="O17" s="563"/>
      <c r="P17" s="1064"/>
      <c r="Q17" s="1061"/>
      <c r="R17" s="1062"/>
      <c r="S17" s="1062"/>
      <c r="T17" s="1062"/>
      <c r="U17" s="1062"/>
      <c r="V17" s="1072"/>
      <c r="W17" s="1072"/>
      <c r="X17" s="1062"/>
      <c r="Y17" s="716"/>
      <c r="Z17" s="709"/>
      <c r="AA17" s="604"/>
      <c r="AB17" s="605"/>
    </row>
    <row r="18" spans="1:39" ht="14.25" customHeight="1" x14ac:dyDescent="0.3">
      <c r="A18" s="717" t="s">
        <v>704</v>
      </c>
      <c r="B18" s="564"/>
      <c r="C18" s="565"/>
      <c r="D18" s="1073"/>
      <c r="E18" s="1074"/>
      <c r="F18" s="1074"/>
      <c r="G18" s="1074"/>
      <c r="H18" s="1074"/>
      <c r="I18" s="1061"/>
      <c r="J18" s="1061"/>
      <c r="K18" s="1061"/>
      <c r="L18" s="1061"/>
      <c r="M18" s="1061"/>
      <c r="N18" s="1071"/>
      <c r="O18" s="563"/>
      <c r="P18" s="1064"/>
      <c r="Q18" s="1061"/>
      <c r="R18" s="1062"/>
      <c r="S18" s="1062"/>
      <c r="T18" s="1062"/>
      <c r="U18" s="1062"/>
      <c r="V18" s="1072"/>
      <c r="W18" s="1072"/>
      <c r="X18" s="1062"/>
      <c r="Y18" s="716"/>
      <c r="Z18" s="710"/>
      <c r="AA18" s="601"/>
      <c r="AB18" s="606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4"/>
      <c r="B19" s="1071"/>
      <c r="C19" s="566"/>
      <c r="D19" s="1061"/>
      <c r="E19" s="1061"/>
      <c r="F19" s="1061"/>
      <c r="G19" s="563"/>
      <c r="H19" s="1061"/>
      <c r="I19" s="566"/>
      <c r="J19" s="1061"/>
      <c r="K19" s="1061"/>
      <c r="L19" s="1061"/>
      <c r="M19" s="1061"/>
      <c r="N19" s="1061"/>
      <c r="O19" s="1061"/>
      <c r="P19" s="1061"/>
      <c r="Q19" s="1061"/>
      <c r="R19" s="1061"/>
      <c r="S19" s="1061"/>
      <c r="T19" s="1061"/>
      <c r="U19" s="1061"/>
      <c r="V19" s="1061"/>
      <c r="W19" s="1061"/>
      <c r="X19" s="1061"/>
      <c r="Y19" s="718"/>
      <c r="Z19" s="710"/>
      <c r="AA19" s="601"/>
      <c r="AB19" s="606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4"/>
      <c r="B20" s="1071"/>
      <c r="C20" s="1061"/>
      <c r="D20" s="1075"/>
      <c r="E20" s="1076"/>
      <c r="F20" s="1075"/>
      <c r="G20" s="1075"/>
      <c r="H20" s="1075"/>
      <c r="I20" s="1061"/>
      <c r="J20" s="1075"/>
      <c r="K20" s="1075"/>
      <c r="L20" s="1075"/>
      <c r="M20" s="1075"/>
      <c r="N20" s="1075"/>
      <c r="O20" s="1075"/>
      <c r="P20" s="1075"/>
      <c r="Q20" s="1077"/>
      <c r="R20" s="1077"/>
      <c r="S20" s="1077"/>
      <c r="T20" s="1075"/>
      <c r="U20" s="1077"/>
      <c r="V20" s="1075"/>
      <c r="W20" s="1077"/>
      <c r="X20" s="1075"/>
      <c r="Y20" s="719"/>
      <c r="Z20" s="710"/>
      <c r="AA20" s="601"/>
      <c r="AB20" s="606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4"/>
      <c r="B21" s="1384" t="s">
        <v>947</v>
      </c>
      <c r="C21" s="570">
        <v>411</v>
      </c>
      <c r="D21" s="1358" t="s">
        <v>787</v>
      </c>
      <c r="E21" s="571">
        <v>432</v>
      </c>
      <c r="F21" s="1326" t="s">
        <v>787</v>
      </c>
      <c r="G21" s="571">
        <v>411</v>
      </c>
      <c r="H21" s="1326" t="s">
        <v>787</v>
      </c>
      <c r="I21" s="571">
        <v>432</v>
      </c>
      <c r="J21" s="1331"/>
      <c r="K21" s="571">
        <v>411</v>
      </c>
      <c r="L21" s="1313"/>
      <c r="M21" s="571">
        <v>432</v>
      </c>
      <c r="N21" s="1331"/>
      <c r="O21" s="571">
        <v>411</v>
      </c>
      <c r="P21" s="1326" t="s">
        <v>787</v>
      </c>
      <c r="Q21" s="571">
        <v>374.43700000000001</v>
      </c>
      <c r="R21" s="1384" t="s">
        <v>952</v>
      </c>
      <c r="S21" s="571">
        <v>376.00299999999999</v>
      </c>
      <c r="T21" s="1313"/>
      <c r="U21" s="571">
        <v>405</v>
      </c>
      <c r="V21" s="1328" t="s">
        <v>560</v>
      </c>
      <c r="W21" s="571">
        <v>340</v>
      </c>
      <c r="X21" s="1331"/>
      <c r="Y21" s="720">
        <v>397</v>
      </c>
      <c r="Z21" s="710">
        <v>3</v>
      </c>
      <c r="AA21" s="601"/>
      <c r="AB21" s="606">
        <v>2</v>
      </c>
      <c r="AC21" s="572" t="s">
        <v>716</v>
      </c>
      <c r="AD21" s="572"/>
      <c r="AE21" s="572"/>
      <c r="AF21" s="572"/>
    </row>
    <row r="22" spans="1:39" ht="14.25" customHeight="1" x14ac:dyDescent="0.3">
      <c r="A22" s="714"/>
      <c r="B22" s="1385"/>
      <c r="C22" s="1075"/>
      <c r="D22" s="1359"/>
      <c r="E22" s="1075"/>
      <c r="F22" s="1327"/>
      <c r="G22" s="1075"/>
      <c r="H22" s="1327"/>
      <c r="I22" s="1075"/>
      <c r="J22" s="1332"/>
      <c r="K22" s="1075"/>
      <c r="L22" s="1314"/>
      <c r="M22" s="1075"/>
      <c r="N22" s="1332"/>
      <c r="O22" s="1075"/>
      <c r="P22" s="1327"/>
      <c r="Q22" s="1075"/>
      <c r="R22" s="1385"/>
      <c r="S22" s="1075"/>
      <c r="T22" s="1314"/>
      <c r="U22" s="1075"/>
      <c r="V22" s="1316"/>
      <c r="W22" s="1075"/>
      <c r="X22" s="1332"/>
      <c r="Y22" s="721"/>
      <c r="Z22" s="710"/>
      <c r="AA22" s="601"/>
      <c r="AB22" s="606"/>
    </row>
    <row r="23" spans="1:39" ht="14.25" customHeight="1" x14ac:dyDescent="0.3">
      <c r="A23" s="714"/>
      <c r="B23" s="1078" t="s">
        <v>561</v>
      </c>
      <c r="C23" s="573"/>
      <c r="D23" s="1078" t="s">
        <v>205</v>
      </c>
      <c r="E23" s="573"/>
      <c r="F23" s="1078" t="s">
        <v>206</v>
      </c>
      <c r="G23" s="573"/>
      <c r="H23" s="1078" t="s">
        <v>207</v>
      </c>
      <c r="I23" s="573"/>
      <c r="J23" s="1078" t="s">
        <v>208</v>
      </c>
      <c r="K23" s="573"/>
      <c r="L23" s="1078" t="s">
        <v>209</v>
      </c>
      <c r="M23" s="573"/>
      <c r="N23" s="1078" t="s">
        <v>210</v>
      </c>
      <c r="O23" s="573"/>
      <c r="P23" s="1078" t="s">
        <v>211</v>
      </c>
      <c r="Q23" s="1079"/>
      <c r="R23" s="1078" t="s">
        <v>562</v>
      </c>
      <c r="S23" s="1079"/>
      <c r="T23" s="1078" t="s">
        <v>212</v>
      </c>
      <c r="U23" s="1080"/>
      <c r="V23" s="1078" t="s">
        <v>213</v>
      </c>
      <c r="W23" s="1079"/>
      <c r="X23" s="1078" t="s">
        <v>214</v>
      </c>
      <c r="Y23" s="722"/>
      <c r="Z23" s="711"/>
      <c r="AA23" s="602"/>
      <c r="AB23" s="607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4"/>
      <c r="B24" s="573" t="s">
        <v>785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81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3"/>
      <c r="Z24" s="711"/>
      <c r="AA24" s="602"/>
      <c r="AB24" s="607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4"/>
      <c r="B25" s="573" t="s">
        <v>955</v>
      </c>
      <c r="C25" s="566"/>
      <c r="D25" s="573"/>
      <c r="E25" s="573"/>
      <c r="F25" s="573"/>
      <c r="G25" s="575"/>
      <c r="H25" s="573"/>
      <c r="I25" s="573"/>
      <c r="J25" s="573"/>
      <c r="K25" s="573"/>
      <c r="L25" s="573"/>
      <c r="M25" s="573"/>
      <c r="N25" s="573"/>
      <c r="O25" s="573"/>
      <c r="P25" s="573"/>
      <c r="Q25" s="1081"/>
      <c r="R25" s="573"/>
      <c r="S25" s="566"/>
      <c r="T25" s="573"/>
      <c r="U25" s="573"/>
      <c r="V25" s="1011"/>
      <c r="W25" s="573"/>
      <c r="X25" s="573"/>
      <c r="Y25" s="723"/>
      <c r="Z25" s="711"/>
      <c r="AA25" s="602"/>
      <c r="AB25" s="607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4"/>
      <c r="B26" s="573"/>
      <c r="C26" s="573"/>
      <c r="D26" s="573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3"/>
      <c r="S26" s="566"/>
      <c r="T26" s="573"/>
      <c r="U26" s="573"/>
      <c r="V26" s="573"/>
      <c r="W26" s="573"/>
      <c r="X26" s="573"/>
      <c r="Y26" s="723"/>
      <c r="Z26" s="711"/>
      <c r="AA26" s="602"/>
      <c r="AB26" s="607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4"/>
      <c r="B27" s="573"/>
      <c r="D27" s="573"/>
      <c r="E27" s="573"/>
      <c r="F27" s="573"/>
      <c r="G27" s="575"/>
      <c r="H27" s="573" t="s">
        <v>775</v>
      </c>
      <c r="I27" s="573"/>
      <c r="J27" s="573"/>
      <c r="K27" s="573"/>
      <c r="L27" s="573"/>
      <c r="M27" s="573"/>
      <c r="N27" s="573"/>
      <c r="O27" s="573"/>
      <c r="P27" s="573"/>
      <c r="Q27" s="1081"/>
      <c r="R27" s="573"/>
      <c r="T27" s="573"/>
      <c r="U27" s="573"/>
      <c r="V27" s="573"/>
      <c r="W27" s="573"/>
      <c r="X27" s="573"/>
      <c r="Y27" s="723"/>
      <c r="Z27" s="712"/>
      <c r="AA27" s="603"/>
      <c r="AB27" s="608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4"/>
      <c r="B28" s="1061"/>
      <c r="C28" s="1082"/>
      <c r="D28" s="1061"/>
      <c r="E28" s="1082"/>
      <c r="F28" s="1061"/>
      <c r="G28" s="1082"/>
      <c r="H28" s="1061"/>
      <c r="I28" s="1082"/>
      <c r="J28" s="1061"/>
      <c r="K28" s="1082"/>
      <c r="L28" s="1061"/>
      <c r="M28" s="1082"/>
      <c r="N28" s="1061"/>
      <c r="O28" s="1082"/>
      <c r="P28" s="1061"/>
      <c r="Q28" s="1082"/>
      <c r="R28" s="1061"/>
      <c r="S28" s="1082"/>
      <c r="T28" s="1061"/>
      <c r="U28" s="1082"/>
      <c r="V28" s="1061"/>
      <c r="W28" s="1082"/>
      <c r="X28" s="1061"/>
      <c r="Y28" s="724"/>
      <c r="Z28" s="710"/>
      <c r="AA28" s="601"/>
      <c r="AB28" s="606"/>
      <c r="AH28" s="563"/>
    </row>
    <row r="29" spans="1:39" ht="14.25" customHeight="1" x14ac:dyDescent="0.3">
      <c r="A29" s="714"/>
      <c r="B29" s="1075"/>
      <c r="C29" s="1082"/>
      <c r="D29" s="1075"/>
      <c r="E29" s="1082"/>
      <c r="F29" s="1075"/>
      <c r="G29" s="1082"/>
      <c r="H29" s="1075"/>
      <c r="I29" s="1082"/>
      <c r="J29" s="1075"/>
      <c r="K29" s="1082"/>
      <c r="L29" s="1075"/>
      <c r="M29" s="1082"/>
      <c r="N29" s="1075"/>
      <c r="O29" s="1082"/>
      <c r="P29" s="1075"/>
      <c r="Q29" s="1082"/>
      <c r="R29" s="1075"/>
      <c r="S29" s="1082"/>
      <c r="T29" s="1075"/>
      <c r="U29" s="1082"/>
      <c r="V29" s="1075"/>
      <c r="W29" s="1082"/>
      <c r="X29" s="1075"/>
      <c r="Y29" s="724"/>
      <c r="Z29" s="710"/>
      <c r="AA29" s="601"/>
      <c r="AB29" s="606"/>
    </row>
    <row r="30" spans="1:39" ht="14.25" customHeight="1" x14ac:dyDescent="0.3">
      <c r="A30" s="714"/>
      <c r="B30" s="1358" t="s">
        <v>952</v>
      </c>
      <c r="C30" s="570">
        <v>399</v>
      </c>
      <c r="D30" s="1315"/>
      <c r="E30" s="571">
        <v>393</v>
      </c>
      <c r="F30" s="1315"/>
      <c r="G30" s="571">
        <v>370</v>
      </c>
      <c r="H30" s="1382" t="s">
        <v>745</v>
      </c>
      <c r="I30" s="571">
        <v>350</v>
      </c>
      <c r="J30" s="1380" t="s">
        <v>745</v>
      </c>
      <c r="K30" s="571">
        <v>395</v>
      </c>
      <c r="L30" s="1380" t="s">
        <v>745</v>
      </c>
      <c r="M30" s="571">
        <v>413</v>
      </c>
      <c r="N30" s="1380" t="s">
        <v>745</v>
      </c>
      <c r="O30" s="571">
        <v>366</v>
      </c>
      <c r="P30" s="1380" t="s">
        <v>745</v>
      </c>
      <c r="Q30" s="571">
        <v>377.77</v>
      </c>
      <c r="R30" s="1380" t="s">
        <v>745</v>
      </c>
      <c r="S30" s="571">
        <v>300</v>
      </c>
      <c r="T30" s="1326" t="s">
        <v>718</v>
      </c>
      <c r="U30" s="571">
        <v>393</v>
      </c>
      <c r="V30" s="1326" t="s">
        <v>718</v>
      </c>
      <c r="W30" s="571">
        <v>415</v>
      </c>
      <c r="X30" s="1326" t="s">
        <v>718</v>
      </c>
      <c r="Y30" s="720">
        <v>411</v>
      </c>
      <c r="Z30" s="710">
        <v>8</v>
      </c>
      <c r="AA30" s="601"/>
      <c r="AB30" s="606">
        <v>7</v>
      </c>
    </row>
    <row r="31" spans="1:39" ht="14.25" customHeight="1" x14ac:dyDescent="0.3">
      <c r="A31" s="714"/>
      <c r="B31" s="1359"/>
      <c r="C31" s="1075"/>
      <c r="D31" s="1316"/>
      <c r="E31" s="1075"/>
      <c r="F31" s="1316"/>
      <c r="G31" s="1075"/>
      <c r="H31" s="1383"/>
      <c r="I31" s="1075"/>
      <c r="J31" s="1381"/>
      <c r="K31" s="1075"/>
      <c r="L31" s="1381"/>
      <c r="M31" s="1075"/>
      <c r="N31" s="1381"/>
      <c r="O31" s="1075"/>
      <c r="P31" s="1381"/>
      <c r="Q31" s="1075"/>
      <c r="R31" s="1381"/>
      <c r="S31" s="1075"/>
      <c r="T31" s="1327"/>
      <c r="U31" s="1075"/>
      <c r="V31" s="1327"/>
      <c r="W31" s="1075"/>
      <c r="X31" s="1327"/>
      <c r="Y31" s="721"/>
      <c r="Z31" s="710"/>
      <c r="AA31" s="601"/>
      <c r="AB31" s="606"/>
    </row>
    <row r="32" spans="1:39" ht="14.25" customHeight="1" x14ac:dyDescent="0.3">
      <c r="A32" s="714"/>
      <c r="B32" s="1078" t="s">
        <v>220</v>
      </c>
      <c r="C32" s="573"/>
      <c r="D32" s="1078" t="s">
        <v>221</v>
      </c>
      <c r="E32" s="1079"/>
      <c r="F32" s="1078" t="s">
        <v>222</v>
      </c>
      <c r="G32" s="1079"/>
      <c r="H32" s="1078" t="s">
        <v>223</v>
      </c>
      <c r="I32" s="1079"/>
      <c r="J32" s="1078" t="s">
        <v>224</v>
      </c>
      <c r="K32" s="1079"/>
      <c r="L32" s="1078" t="s">
        <v>225</v>
      </c>
      <c r="M32" s="1079"/>
      <c r="N32" s="1078" t="s">
        <v>226</v>
      </c>
      <c r="O32" s="1079"/>
      <c r="P32" s="1078" t="s">
        <v>227</v>
      </c>
      <c r="Q32" s="1079"/>
      <c r="R32" s="1078" t="s">
        <v>564</v>
      </c>
      <c r="S32" s="1079"/>
      <c r="T32" s="1078" t="s">
        <v>228</v>
      </c>
      <c r="U32" s="1080"/>
      <c r="V32" s="1078" t="s">
        <v>229</v>
      </c>
      <c r="W32" s="1079"/>
      <c r="X32" s="1078" t="s">
        <v>230</v>
      </c>
      <c r="Y32" s="722"/>
      <c r="Z32" s="711"/>
      <c r="AA32" s="602"/>
      <c r="AB32" s="607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4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81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5">
        <f>(S30+U30+W30+Y30)/1000</f>
        <v>1.5189999999999999</v>
      </c>
      <c r="Z33" s="711"/>
      <c r="AA33" s="602"/>
      <c r="AB33" s="607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4"/>
      <c r="B34" s="573"/>
      <c r="C34" s="573"/>
      <c r="D34" s="1011"/>
      <c r="E34" s="1011"/>
      <c r="F34" s="1011"/>
      <c r="G34" s="1011"/>
      <c r="H34" s="1011"/>
      <c r="I34" s="1011"/>
      <c r="J34" s="1011"/>
      <c r="K34" s="573"/>
      <c r="L34" s="573"/>
      <c r="M34" s="573"/>
      <c r="N34" s="573"/>
      <c r="O34" s="573"/>
      <c r="P34" s="573"/>
      <c r="Q34" s="1081"/>
      <c r="R34" s="1083"/>
      <c r="S34" s="573"/>
      <c r="T34" s="573"/>
      <c r="U34" s="573"/>
      <c r="V34" s="573"/>
      <c r="W34" s="573"/>
      <c r="X34" s="573"/>
      <c r="Y34" s="725"/>
      <c r="Z34" s="711"/>
      <c r="AA34" s="602"/>
      <c r="AB34" s="607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4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81"/>
      <c r="R35" s="573"/>
      <c r="S35" s="573"/>
      <c r="T35" s="573"/>
      <c r="U35" s="573"/>
      <c r="V35" s="573"/>
      <c r="W35" s="573"/>
      <c r="X35" s="573"/>
      <c r="Y35" s="725"/>
      <c r="Z35" s="711"/>
      <c r="AA35" s="602"/>
      <c r="AB35" s="607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4"/>
      <c r="B36" s="1071"/>
      <c r="C36" s="1071"/>
      <c r="D36" s="1071"/>
      <c r="E36" s="1071"/>
      <c r="F36" s="1071"/>
      <c r="G36" s="1071"/>
      <c r="H36" s="1071"/>
      <c r="I36" s="1071"/>
      <c r="J36" s="1071"/>
      <c r="K36" s="1071"/>
      <c r="L36" s="1071"/>
      <c r="M36" s="1071"/>
      <c r="N36" s="1074"/>
      <c r="O36" s="1077"/>
      <c r="P36" s="1074"/>
      <c r="Q36" s="1077"/>
      <c r="R36" s="1074"/>
      <c r="S36" s="1075"/>
      <c r="T36" s="1074"/>
      <c r="U36" s="1075"/>
      <c r="V36" s="1074"/>
      <c r="W36" s="1075"/>
      <c r="X36" s="1074"/>
      <c r="Y36" s="719"/>
      <c r="Z36" s="711"/>
      <c r="AA36" s="602"/>
      <c r="AB36" s="607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4"/>
      <c r="B37" s="1071"/>
      <c r="C37" s="1082"/>
      <c r="D37" s="1061"/>
      <c r="E37" s="1082"/>
      <c r="F37" s="1061"/>
      <c r="G37" s="1082"/>
      <c r="H37" s="1061"/>
      <c r="I37" s="1082"/>
      <c r="J37" s="1061"/>
      <c r="K37" s="1082"/>
      <c r="L37" s="1061"/>
      <c r="M37" s="1082"/>
      <c r="N37" s="1061"/>
      <c r="O37" s="1082"/>
      <c r="P37" s="1061"/>
      <c r="Q37" s="1082"/>
      <c r="R37" s="1061"/>
      <c r="S37" s="1082"/>
      <c r="T37" s="1061"/>
      <c r="U37" s="1082"/>
      <c r="V37" s="1061"/>
      <c r="W37" s="1082"/>
      <c r="X37" s="1082"/>
      <c r="Y37" s="724"/>
      <c r="Z37" s="711"/>
      <c r="AA37" s="602"/>
      <c r="AB37" s="607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4"/>
      <c r="B38" s="1071"/>
      <c r="C38" s="1084"/>
      <c r="D38" s="1080"/>
      <c r="E38" s="1084"/>
      <c r="F38" s="1080"/>
      <c r="G38" s="1084"/>
      <c r="H38" s="1080"/>
      <c r="I38" s="1084"/>
      <c r="J38" s="1080"/>
      <c r="K38" s="1084"/>
      <c r="L38" s="1080"/>
      <c r="M38" s="1084"/>
      <c r="N38" s="1080"/>
      <c r="O38" s="1084"/>
      <c r="P38" s="1080"/>
      <c r="Q38" s="1084"/>
      <c r="R38" s="1080"/>
      <c r="S38" s="1084"/>
      <c r="T38" s="1080"/>
      <c r="U38" s="1084"/>
      <c r="V38" s="1080"/>
      <c r="W38" s="1084"/>
      <c r="X38" s="1084"/>
      <c r="Y38" s="726"/>
      <c r="Z38" s="711"/>
      <c r="AA38" s="602"/>
      <c r="AB38" s="607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4"/>
      <c r="B39" s="1321"/>
      <c r="C39" s="570">
        <v>378</v>
      </c>
      <c r="D39" s="1313"/>
      <c r="E39" s="571">
        <v>370</v>
      </c>
      <c r="F39" s="1326" t="s">
        <v>718</v>
      </c>
      <c r="G39" s="571">
        <v>370</v>
      </c>
      <c r="H39" s="1313"/>
      <c r="I39" s="571">
        <v>404</v>
      </c>
      <c r="J39" s="1313"/>
      <c r="K39" s="571">
        <v>374</v>
      </c>
      <c r="L39" s="1313"/>
      <c r="M39" s="571">
        <v>416</v>
      </c>
      <c r="N39" s="1326" t="s">
        <v>718</v>
      </c>
      <c r="O39" s="571">
        <v>425</v>
      </c>
      <c r="P39" s="1326" t="s">
        <v>718</v>
      </c>
      <c r="Q39" s="571">
        <v>411</v>
      </c>
      <c r="R39" s="1326" t="s">
        <v>718</v>
      </c>
      <c r="S39" s="571">
        <v>427</v>
      </c>
      <c r="T39" s="1326" t="s">
        <v>718</v>
      </c>
      <c r="U39" s="571">
        <v>370</v>
      </c>
      <c r="V39" s="1326" t="s">
        <v>718</v>
      </c>
      <c r="W39" s="571">
        <v>356</v>
      </c>
      <c r="X39" s="1334" t="s">
        <v>738</v>
      </c>
      <c r="Y39" s="720">
        <v>459</v>
      </c>
      <c r="Z39" s="711"/>
      <c r="AA39" s="602"/>
      <c r="AB39" s="607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4"/>
      <c r="B40" s="1322"/>
      <c r="C40" s="1080"/>
      <c r="D40" s="1314"/>
      <c r="E40" s="1080"/>
      <c r="F40" s="1327"/>
      <c r="G40" s="1080"/>
      <c r="H40" s="1314"/>
      <c r="I40" s="1080"/>
      <c r="J40" s="1314"/>
      <c r="K40" s="1080"/>
      <c r="L40" s="1314"/>
      <c r="M40" s="1080"/>
      <c r="N40" s="1327"/>
      <c r="O40" s="1080"/>
      <c r="P40" s="1327"/>
      <c r="Q40" s="1080"/>
      <c r="R40" s="1327"/>
      <c r="S40" s="1080"/>
      <c r="T40" s="1327"/>
      <c r="U40" s="1080"/>
      <c r="V40" s="1327"/>
      <c r="W40" s="1080"/>
      <c r="X40" s="1379"/>
      <c r="Y40" s="721"/>
      <c r="Z40" s="711">
        <v>7</v>
      </c>
      <c r="AA40" s="602">
        <v>2</v>
      </c>
      <c r="AB40" s="607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4"/>
      <c r="B41" s="1078" t="s">
        <v>565</v>
      </c>
      <c r="C41" s="573"/>
      <c r="D41" s="1078" t="s">
        <v>232</v>
      </c>
      <c r="E41" s="1079"/>
      <c r="F41" s="1078" t="s">
        <v>233</v>
      </c>
      <c r="G41" s="1079"/>
      <c r="H41" s="1078" t="s">
        <v>234</v>
      </c>
      <c r="I41" s="1079"/>
      <c r="J41" s="1078" t="s">
        <v>235</v>
      </c>
      <c r="K41" s="1079"/>
      <c r="L41" s="1078" t="s">
        <v>236</v>
      </c>
      <c r="M41" s="1079"/>
      <c r="N41" s="1078" t="s">
        <v>237</v>
      </c>
      <c r="O41" s="1079"/>
      <c r="P41" s="1078" t="s">
        <v>238</v>
      </c>
      <c r="Q41" s="1079"/>
      <c r="R41" s="1078" t="s">
        <v>239</v>
      </c>
      <c r="S41" s="1079"/>
      <c r="T41" s="1078" t="s">
        <v>240</v>
      </c>
      <c r="U41" s="1080"/>
      <c r="V41" s="1078" t="s">
        <v>241</v>
      </c>
      <c r="W41" s="1079"/>
      <c r="X41" s="1078" t="s">
        <v>566</v>
      </c>
      <c r="Y41" s="722"/>
      <c r="Z41" s="711"/>
      <c r="AA41" s="602"/>
      <c r="AB41" s="607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4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74">
        <f>(C39+E39+G39+I39+K39+M39+O39+Q39+S39+U39+W39)/1000</f>
        <v>4.3010000000000002</v>
      </c>
      <c r="X42" s="573" t="s">
        <v>242</v>
      </c>
      <c r="Y42" s="723"/>
      <c r="Z42" s="711"/>
      <c r="AA42" s="602"/>
      <c r="AB42" s="607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4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11"/>
      <c r="O43" s="1011"/>
      <c r="P43" s="1011"/>
      <c r="Q43" s="1011"/>
      <c r="R43" s="1011"/>
      <c r="S43" s="573"/>
      <c r="T43" s="573"/>
      <c r="U43" s="573"/>
      <c r="V43" s="573"/>
      <c r="W43" s="1074"/>
      <c r="X43" s="573"/>
      <c r="Y43" s="723"/>
      <c r="Z43" s="711"/>
      <c r="AA43" s="602"/>
      <c r="AB43" s="607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4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74"/>
      <c r="X44" s="573"/>
      <c r="Y44" s="723"/>
      <c r="Z44" s="711"/>
      <c r="AA44" s="602"/>
      <c r="AB44" s="607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4"/>
      <c r="B45" s="1085"/>
      <c r="C45" s="1086"/>
      <c r="D45" s="1085"/>
      <c r="E45" s="1086"/>
      <c r="F45" s="1085"/>
      <c r="G45" s="1085"/>
      <c r="H45" s="1085"/>
      <c r="I45" s="1085"/>
      <c r="J45" s="1085"/>
      <c r="K45" s="1086"/>
      <c r="L45" s="1074"/>
      <c r="M45" s="1077"/>
      <c r="N45" s="1085"/>
      <c r="O45" s="1086"/>
      <c r="P45" s="573"/>
      <c r="Q45" s="1086"/>
      <c r="R45" s="1085"/>
      <c r="S45" s="1086"/>
      <c r="T45" s="1085"/>
      <c r="U45" s="1086"/>
      <c r="V45" s="1085"/>
      <c r="W45" s="1086"/>
      <c r="X45" s="1085"/>
      <c r="Y45" s="727"/>
      <c r="Z45" s="711"/>
      <c r="AA45" s="602"/>
      <c r="AB45" s="607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4"/>
      <c r="B46" s="1061"/>
      <c r="C46" s="1082"/>
      <c r="D46" s="1061"/>
      <c r="E46" s="1082"/>
      <c r="F46" s="1061"/>
      <c r="G46" s="1082"/>
      <c r="H46" s="1061"/>
      <c r="I46" s="1082"/>
      <c r="J46" s="1071"/>
      <c r="K46" s="1082"/>
      <c r="L46" s="1061"/>
      <c r="M46" s="1082"/>
      <c r="N46" s="1061"/>
      <c r="O46" s="1082"/>
      <c r="P46" s="1061"/>
      <c r="Q46" s="1082"/>
      <c r="R46" s="1061"/>
      <c r="S46" s="1082"/>
      <c r="T46" s="1061"/>
      <c r="U46" s="1082"/>
      <c r="V46" s="1061"/>
      <c r="W46" s="1082"/>
      <c r="X46" s="1082"/>
      <c r="Y46" s="724"/>
      <c r="Z46" s="711"/>
      <c r="AA46" s="602"/>
      <c r="AB46" s="607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4"/>
      <c r="B47" s="1075"/>
      <c r="C47" s="1082"/>
      <c r="D47" s="1075"/>
      <c r="E47" s="1082"/>
      <c r="F47" s="1075"/>
      <c r="G47" s="1082"/>
      <c r="H47" s="1075"/>
      <c r="I47" s="1082"/>
      <c r="J47" s="1071"/>
      <c r="K47" s="1082"/>
      <c r="L47" s="1075"/>
      <c r="M47" s="1082"/>
      <c r="N47" s="1075"/>
      <c r="O47" s="1082"/>
      <c r="P47" s="1075"/>
      <c r="Q47" s="1082"/>
      <c r="R47" s="1075"/>
      <c r="S47" s="1082"/>
      <c r="T47" s="1075"/>
      <c r="U47" s="1082"/>
      <c r="V47" s="1075"/>
      <c r="W47" s="1082"/>
      <c r="X47" s="1082"/>
      <c r="Y47" s="724"/>
      <c r="Z47" s="711"/>
      <c r="AA47" s="602"/>
      <c r="AB47" s="607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4"/>
      <c r="B48" s="1326" t="s">
        <v>718</v>
      </c>
      <c r="C48" s="570">
        <v>355</v>
      </c>
      <c r="D48" s="1315"/>
      <c r="E48" s="571">
        <v>348</v>
      </c>
      <c r="F48" s="1313"/>
      <c r="G48" s="571">
        <v>434</v>
      </c>
      <c r="H48" s="1315"/>
      <c r="I48" s="571">
        <v>401</v>
      </c>
      <c r="J48" s="1334" t="s">
        <v>718</v>
      </c>
      <c r="K48" s="571">
        <v>400</v>
      </c>
      <c r="L48" s="1326" t="s">
        <v>718</v>
      </c>
      <c r="M48" s="571">
        <v>413</v>
      </c>
      <c r="N48" s="1326" t="s">
        <v>718</v>
      </c>
      <c r="O48" s="571">
        <v>406</v>
      </c>
      <c r="P48" s="1326" t="s">
        <v>718</v>
      </c>
      <c r="Q48" s="571">
        <v>390</v>
      </c>
      <c r="R48" s="1326" t="s">
        <v>718</v>
      </c>
      <c r="S48" s="571">
        <v>390</v>
      </c>
      <c r="T48" s="1326" t="s">
        <v>718</v>
      </c>
      <c r="U48" s="571">
        <v>430</v>
      </c>
      <c r="V48" s="1315"/>
      <c r="W48" s="571">
        <v>332</v>
      </c>
      <c r="X48" s="1321"/>
      <c r="Y48" s="720">
        <v>229.642</v>
      </c>
      <c r="Z48" s="711"/>
      <c r="AA48" s="602"/>
      <c r="AB48" s="607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4"/>
      <c r="B49" s="1327"/>
      <c r="C49" s="1080"/>
      <c r="D49" s="1316"/>
      <c r="E49" s="1080"/>
      <c r="F49" s="1314"/>
      <c r="G49" s="1080"/>
      <c r="H49" s="1316"/>
      <c r="I49" s="1080"/>
      <c r="J49" s="1335"/>
      <c r="K49" s="1080"/>
      <c r="L49" s="1327"/>
      <c r="M49" s="1080"/>
      <c r="N49" s="1327"/>
      <c r="O49" s="1080"/>
      <c r="P49" s="1327"/>
      <c r="Q49" s="1080"/>
      <c r="R49" s="1327"/>
      <c r="S49" s="1080"/>
      <c r="T49" s="1327"/>
      <c r="U49" s="1080"/>
      <c r="V49" s="1316"/>
      <c r="W49" s="1080"/>
      <c r="X49" s="1322"/>
      <c r="Y49" s="721"/>
      <c r="Z49" s="711">
        <v>7</v>
      </c>
      <c r="AA49" s="602">
        <v>4</v>
      </c>
      <c r="AB49" s="607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4"/>
      <c r="B50" s="1078" t="s">
        <v>243</v>
      </c>
      <c r="C50" s="573"/>
      <c r="D50" s="1078" t="s">
        <v>244</v>
      </c>
      <c r="E50" s="1079"/>
      <c r="F50" s="1078" t="s">
        <v>245</v>
      </c>
      <c r="G50" s="1079"/>
      <c r="H50" s="1078" t="s">
        <v>246</v>
      </c>
      <c r="I50" s="1079"/>
      <c r="J50" s="1078" t="s">
        <v>567</v>
      </c>
      <c r="K50" s="1079"/>
      <c r="L50" s="1078" t="s">
        <v>247</v>
      </c>
      <c r="M50" s="1079"/>
      <c r="N50" s="1078" t="s">
        <v>248</v>
      </c>
      <c r="O50" s="1079"/>
      <c r="P50" s="1078" t="s">
        <v>249</v>
      </c>
      <c r="Q50" s="1079"/>
      <c r="R50" s="1078" t="s">
        <v>250</v>
      </c>
      <c r="S50" s="1079"/>
      <c r="T50" s="1078" t="s">
        <v>251</v>
      </c>
      <c r="U50" s="1080"/>
      <c r="V50" s="1078" t="s">
        <v>252</v>
      </c>
      <c r="W50" s="1079"/>
      <c r="X50" s="1078" t="s">
        <v>568</v>
      </c>
      <c r="Y50" s="722"/>
      <c r="Z50" s="711"/>
      <c r="AA50" s="602"/>
      <c r="AB50" s="607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4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74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74">
        <f>(K48+M48+O48+Q48+S48+U48+W48)/1000</f>
        <v>2.7610000000000001</v>
      </c>
      <c r="X51" s="573" t="s">
        <v>254</v>
      </c>
      <c r="Y51" s="728">
        <f>Y48/1000</f>
        <v>0.22964199999999999</v>
      </c>
      <c r="Z51" s="711"/>
      <c r="AA51" s="602"/>
      <c r="AB51" s="607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4"/>
      <c r="B52" s="573"/>
      <c r="C52" s="573"/>
      <c r="D52" s="1011"/>
      <c r="E52" s="1011"/>
      <c r="F52" s="1011"/>
      <c r="G52" s="1011"/>
      <c r="H52" s="1011"/>
      <c r="I52" s="1087"/>
      <c r="J52" s="1011"/>
      <c r="K52" s="1011"/>
      <c r="L52" s="1011"/>
      <c r="M52" s="1011"/>
      <c r="N52" s="1011"/>
      <c r="O52" s="1011"/>
      <c r="P52" s="1011"/>
      <c r="Q52" s="1011"/>
      <c r="R52" s="1011"/>
      <c r="S52" s="1011"/>
      <c r="T52" s="1011"/>
      <c r="U52" s="1011"/>
      <c r="V52" s="1011"/>
      <c r="W52" s="1074"/>
      <c r="X52" s="1083" t="s">
        <v>717</v>
      </c>
      <c r="Y52" s="728"/>
      <c r="Z52" s="711"/>
      <c r="AA52" s="602"/>
      <c r="AB52" s="607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4"/>
      <c r="B53" s="573"/>
      <c r="C53" s="573"/>
      <c r="D53" s="573"/>
      <c r="E53" s="573"/>
      <c r="F53" s="573"/>
      <c r="G53" s="573"/>
      <c r="H53" s="573"/>
      <c r="I53" s="1074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74"/>
      <c r="X53" s="573"/>
      <c r="Y53" s="728"/>
      <c r="Z53" s="711"/>
      <c r="AA53" s="602"/>
      <c r="AB53" s="607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4"/>
      <c r="B54" s="1071"/>
      <c r="C54" s="1071"/>
      <c r="D54" s="1074"/>
      <c r="E54" s="1077"/>
      <c r="F54" s="1074"/>
      <c r="G54" s="1075"/>
      <c r="H54" s="1074"/>
      <c r="I54" s="1075"/>
      <c r="J54" s="1074"/>
      <c r="K54" s="1077"/>
      <c r="L54" s="1074"/>
      <c r="M54" s="1075"/>
      <c r="N54" s="1088"/>
      <c r="O54" s="1077"/>
      <c r="P54" s="1088"/>
      <c r="Q54" s="1075"/>
      <c r="R54" s="1088"/>
      <c r="S54" s="1075"/>
      <c r="T54" s="1088"/>
      <c r="U54" s="1075"/>
      <c r="V54" s="1074"/>
      <c r="W54" s="1075"/>
      <c r="X54" s="1074"/>
      <c r="Y54" s="721"/>
      <c r="Z54" s="711"/>
      <c r="AA54" s="602"/>
      <c r="AB54" s="607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4"/>
      <c r="B55" s="1071"/>
      <c r="C55" s="1082"/>
      <c r="D55" s="1061"/>
      <c r="E55" s="1082"/>
      <c r="F55" s="1061"/>
      <c r="G55" s="1082"/>
      <c r="H55" s="1061"/>
      <c r="I55" s="1082"/>
      <c r="J55" s="1071"/>
      <c r="K55" s="1082"/>
      <c r="L55" s="1061"/>
      <c r="M55" s="1082"/>
      <c r="N55" s="1061"/>
      <c r="O55" s="1082"/>
      <c r="P55" s="1061"/>
      <c r="Q55" s="1082"/>
      <c r="R55" s="1061"/>
      <c r="S55" s="1082"/>
      <c r="T55" s="1061"/>
      <c r="U55" s="1082"/>
      <c r="V55" s="1061"/>
      <c r="W55" s="1082"/>
      <c r="X55" s="1071"/>
      <c r="Y55" s="724"/>
      <c r="Z55" s="711"/>
      <c r="AA55" s="602"/>
      <c r="AB55" s="607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4"/>
      <c r="B56" s="1071"/>
      <c r="C56" s="1082"/>
      <c r="D56" s="1075"/>
      <c r="E56" s="1082"/>
      <c r="F56" s="1075"/>
      <c r="G56" s="1082"/>
      <c r="H56" s="1075"/>
      <c r="I56" s="1082"/>
      <c r="J56" s="1071"/>
      <c r="K56" s="1082"/>
      <c r="L56" s="1075"/>
      <c r="M56" s="1082"/>
      <c r="N56" s="1075"/>
      <c r="O56" s="1082"/>
      <c r="P56" s="1075"/>
      <c r="Q56" s="1082"/>
      <c r="R56" s="1075"/>
      <c r="S56" s="1082"/>
      <c r="T56" s="1075"/>
      <c r="U56" s="1082"/>
      <c r="V56" s="1075"/>
      <c r="W56" s="1082"/>
      <c r="X56" s="1071"/>
      <c r="Y56" s="724"/>
      <c r="Z56" s="711"/>
      <c r="AA56" s="602"/>
      <c r="AB56" s="607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4"/>
      <c r="B57" s="1321"/>
      <c r="C57" s="570">
        <v>339</v>
      </c>
      <c r="D57" s="1326" t="s">
        <v>718</v>
      </c>
      <c r="E57" s="571">
        <v>365</v>
      </c>
      <c r="F57" s="1340"/>
      <c r="G57" s="571">
        <v>409</v>
      </c>
      <c r="H57" s="1326" t="s">
        <v>718</v>
      </c>
      <c r="I57" s="571">
        <v>340.46199999999999</v>
      </c>
      <c r="J57" s="1377" t="s">
        <v>953</v>
      </c>
      <c r="K57" s="571">
        <v>352</v>
      </c>
      <c r="L57" s="1326" t="s">
        <v>718</v>
      </c>
      <c r="M57" s="571">
        <v>419</v>
      </c>
      <c r="N57" s="1326" t="s">
        <v>718</v>
      </c>
      <c r="O57" s="571">
        <v>410</v>
      </c>
      <c r="P57" s="1326" t="s">
        <v>718</v>
      </c>
      <c r="Q57" s="571">
        <v>413</v>
      </c>
      <c r="R57" s="1326" t="s">
        <v>718</v>
      </c>
      <c r="S57" s="571">
        <v>407</v>
      </c>
      <c r="T57" s="1375" t="s">
        <v>560</v>
      </c>
      <c r="U57" s="571">
        <v>351</v>
      </c>
      <c r="V57" s="1326" t="s">
        <v>718</v>
      </c>
      <c r="W57" s="571">
        <v>405</v>
      </c>
      <c r="X57" s="1334" t="s">
        <v>718</v>
      </c>
      <c r="Y57" s="720">
        <v>393</v>
      </c>
      <c r="Z57" s="711"/>
      <c r="AA57" s="602"/>
      <c r="AB57" s="607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4"/>
      <c r="B58" s="1322"/>
      <c r="C58" s="1080"/>
      <c r="D58" s="1327"/>
      <c r="E58" s="1080"/>
      <c r="F58" s="1341"/>
      <c r="G58" s="1080"/>
      <c r="H58" s="1327"/>
      <c r="I58" s="1080"/>
      <c r="J58" s="1378"/>
      <c r="K58" s="1080"/>
      <c r="L58" s="1327"/>
      <c r="M58" s="1080"/>
      <c r="N58" s="1327"/>
      <c r="O58" s="1080"/>
      <c r="P58" s="1327"/>
      <c r="Q58" s="1080"/>
      <c r="R58" s="1327"/>
      <c r="S58" s="1080"/>
      <c r="T58" s="1376"/>
      <c r="U58" s="1080"/>
      <c r="V58" s="1327"/>
      <c r="W58" s="1080"/>
      <c r="X58" s="1335"/>
      <c r="Y58" s="721"/>
      <c r="Z58" s="711">
        <v>8</v>
      </c>
      <c r="AA58" s="602">
        <v>7</v>
      </c>
      <c r="AB58" s="607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4"/>
      <c r="B59" s="1078" t="s">
        <v>570</v>
      </c>
      <c r="C59" s="573"/>
      <c r="D59" s="1078" t="s">
        <v>255</v>
      </c>
      <c r="E59" s="1079"/>
      <c r="F59" s="1078" t="s">
        <v>256</v>
      </c>
      <c r="G59" s="1079"/>
      <c r="H59" s="1078" t="s">
        <v>257</v>
      </c>
      <c r="I59" s="1079"/>
      <c r="J59" s="1078" t="s">
        <v>571</v>
      </c>
      <c r="K59" s="1079"/>
      <c r="L59" s="1078" t="s">
        <v>258</v>
      </c>
      <c r="M59" s="1079"/>
      <c r="N59" s="1078" t="s">
        <v>259</v>
      </c>
      <c r="O59" s="1079"/>
      <c r="P59" s="1078" t="s">
        <v>260</v>
      </c>
      <c r="Q59" s="1079"/>
      <c r="R59" s="1078" t="s">
        <v>261</v>
      </c>
      <c r="S59" s="1079"/>
      <c r="T59" s="1078" t="s">
        <v>262</v>
      </c>
      <c r="U59" s="1080"/>
      <c r="V59" s="1078" t="s">
        <v>263</v>
      </c>
      <c r="W59" s="1079"/>
      <c r="X59" s="1078" t="s">
        <v>264</v>
      </c>
      <c r="Y59" s="722"/>
      <c r="Z59" s="711"/>
      <c r="AA59" s="602"/>
      <c r="AB59" s="607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4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81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81">
        <f>(K57+M57+O57+Q57+S57+U57+W57)/1000</f>
        <v>2.7570000000000001</v>
      </c>
      <c r="X60" s="573" t="s">
        <v>215</v>
      </c>
      <c r="Y60" s="723"/>
      <c r="Z60" s="711"/>
      <c r="AA60" s="602"/>
      <c r="AB60" s="607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4"/>
      <c r="B61" s="1083" t="s">
        <v>717</v>
      </c>
      <c r="C61" s="573"/>
      <c r="D61" s="573"/>
      <c r="E61" s="573"/>
      <c r="F61" s="1011"/>
      <c r="G61" s="1011"/>
      <c r="H61" s="1011"/>
      <c r="I61" s="1089"/>
      <c r="J61" s="1011"/>
      <c r="K61" s="573"/>
      <c r="L61" s="573"/>
      <c r="M61" s="573"/>
      <c r="N61" s="573"/>
      <c r="O61" s="573"/>
      <c r="P61" s="1011"/>
      <c r="Q61" s="573"/>
      <c r="R61" s="573"/>
      <c r="S61" s="573"/>
      <c r="T61" s="573"/>
      <c r="U61" s="573"/>
      <c r="V61" s="573"/>
      <c r="W61" s="1081"/>
      <c r="X61" s="573"/>
      <c r="Y61" s="723"/>
      <c r="Z61" s="711"/>
      <c r="AA61" s="602"/>
      <c r="AB61" s="607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4"/>
      <c r="B62" s="573"/>
      <c r="C62" s="573"/>
      <c r="D62" s="1011"/>
      <c r="E62" s="1011"/>
      <c r="F62" s="1011"/>
      <c r="G62" s="573"/>
      <c r="H62" s="573"/>
      <c r="I62" s="1081"/>
      <c r="J62" s="573"/>
      <c r="K62" s="573"/>
      <c r="L62" s="573"/>
      <c r="M62" s="573"/>
      <c r="N62" s="573"/>
      <c r="O62" s="573"/>
      <c r="P62" s="573"/>
      <c r="Q62" s="573"/>
      <c r="R62" s="1083"/>
      <c r="S62" s="573"/>
      <c r="T62" s="573"/>
      <c r="U62" s="573"/>
      <c r="V62" s="1083"/>
      <c r="W62" s="1081"/>
      <c r="X62" s="1083"/>
      <c r="Y62" s="723"/>
      <c r="Z62" s="711"/>
      <c r="AA62" s="602"/>
      <c r="AB62" s="607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4"/>
      <c r="B63" s="1074"/>
      <c r="C63" s="1075"/>
      <c r="D63" s="1088"/>
      <c r="E63" s="1075"/>
      <c r="F63" s="1088"/>
      <c r="G63" s="1075"/>
      <c r="H63" s="1088"/>
      <c r="I63" s="1075"/>
      <c r="J63" s="1074"/>
      <c r="K63" s="1075"/>
      <c r="L63" s="1088"/>
      <c r="M63" s="1075"/>
      <c r="N63" s="1074"/>
      <c r="O63" s="1075"/>
      <c r="P63" s="1074"/>
      <c r="Q63" s="1077"/>
      <c r="R63" s="1074"/>
      <c r="S63" s="1075"/>
      <c r="T63" s="1074"/>
      <c r="U63" s="1075"/>
      <c r="V63" s="1074"/>
      <c r="W63" s="1077"/>
      <c r="X63" s="1074"/>
      <c r="Y63" s="721"/>
      <c r="Z63" s="711"/>
      <c r="AA63" s="602"/>
      <c r="AB63" s="607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4"/>
      <c r="B64" s="1061"/>
      <c r="C64" s="1082"/>
      <c r="D64" s="1061"/>
      <c r="E64" s="1082"/>
      <c r="F64" s="1061"/>
      <c r="G64" s="1082"/>
      <c r="H64" s="1061"/>
      <c r="I64" s="1082"/>
      <c r="J64" s="1061"/>
      <c r="K64" s="1082"/>
      <c r="L64" s="1071"/>
      <c r="M64" s="1082"/>
      <c r="N64" s="1071"/>
      <c r="O64" s="1082"/>
      <c r="P64" s="1061"/>
      <c r="Q64" s="1082"/>
      <c r="R64" s="1061"/>
      <c r="S64" s="1082"/>
      <c r="T64" s="1061"/>
      <c r="U64" s="1082"/>
      <c r="V64" s="1071"/>
      <c r="W64" s="1082"/>
      <c r="X64" s="1061"/>
      <c r="Y64" s="724"/>
      <c r="Z64" s="711"/>
      <c r="AA64" s="602"/>
      <c r="AB64" s="607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4"/>
      <c r="B65" s="1075"/>
      <c r="C65" s="1082"/>
      <c r="D65" s="1075"/>
      <c r="E65" s="1082"/>
      <c r="F65" s="1075"/>
      <c r="G65" s="1082"/>
      <c r="H65" s="1075"/>
      <c r="I65" s="1082"/>
      <c r="J65" s="1075"/>
      <c r="K65" s="1082"/>
      <c r="L65" s="1071"/>
      <c r="M65" s="1082"/>
      <c r="N65" s="1071"/>
      <c r="O65" s="1082"/>
      <c r="P65" s="1075"/>
      <c r="Q65" s="1082"/>
      <c r="R65" s="1075"/>
      <c r="S65" s="1082"/>
      <c r="T65" s="1075"/>
      <c r="U65" s="1082"/>
      <c r="V65" s="1071"/>
      <c r="W65" s="1082"/>
      <c r="X65" s="1075"/>
      <c r="Y65" s="724"/>
      <c r="Z65" s="711"/>
      <c r="AA65" s="602"/>
      <c r="AB65" s="607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4"/>
      <c r="B66" s="1326" t="s">
        <v>718</v>
      </c>
      <c r="C66" s="570">
        <v>439</v>
      </c>
      <c r="D66" s="1326" t="s">
        <v>718</v>
      </c>
      <c r="E66" s="571">
        <v>398</v>
      </c>
      <c r="F66" s="1375" t="s">
        <v>560</v>
      </c>
      <c r="G66" s="571">
        <v>445</v>
      </c>
      <c r="H66" s="1328" t="s">
        <v>560</v>
      </c>
      <c r="I66" s="571">
        <v>355</v>
      </c>
      <c r="J66" s="1313"/>
      <c r="K66" s="571">
        <v>445.64499999999998</v>
      </c>
      <c r="L66" s="1315"/>
      <c r="M66" s="571">
        <v>214.74199999999999</v>
      </c>
      <c r="N66" s="1321"/>
      <c r="O66" s="571">
        <v>498</v>
      </c>
      <c r="P66" s="1326" t="s">
        <v>718</v>
      </c>
      <c r="Q66" s="571">
        <v>325</v>
      </c>
      <c r="R66" s="1326" t="s">
        <v>718</v>
      </c>
      <c r="S66" s="571">
        <v>372</v>
      </c>
      <c r="T66" s="1326" t="s">
        <v>718</v>
      </c>
      <c r="U66" s="571">
        <v>393.05399999999997</v>
      </c>
      <c r="V66" s="1334" t="s">
        <v>718</v>
      </c>
      <c r="W66" s="571">
        <v>349</v>
      </c>
      <c r="X66" s="1326" t="s">
        <v>718</v>
      </c>
      <c r="Y66" s="720">
        <v>373</v>
      </c>
      <c r="Z66" s="711">
        <v>7</v>
      </c>
      <c r="AA66" s="602">
        <v>6</v>
      </c>
      <c r="AB66" s="607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4"/>
      <c r="B67" s="1327"/>
      <c r="C67" s="1080"/>
      <c r="D67" s="1327"/>
      <c r="E67" s="1080"/>
      <c r="F67" s="1376"/>
      <c r="G67" s="1080"/>
      <c r="H67" s="1349"/>
      <c r="I67" s="1080"/>
      <c r="J67" s="1314"/>
      <c r="K67" s="1080"/>
      <c r="L67" s="1316"/>
      <c r="M67" s="1080"/>
      <c r="N67" s="1322"/>
      <c r="O67" s="1080"/>
      <c r="P67" s="1327"/>
      <c r="Q67" s="1080"/>
      <c r="R67" s="1327"/>
      <c r="S67" s="1080"/>
      <c r="T67" s="1327"/>
      <c r="U67" s="1080" t="s">
        <v>722</v>
      </c>
      <c r="V67" s="1344"/>
      <c r="W67" s="1080"/>
      <c r="X67" s="1327"/>
      <c r="Y67" s="721"/>
      <c r="Z67" s="711"/>
      <c r="AA67" s="602"/>
      <c r="AB67" s="607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4"/>
      <c r="B68" s="1078" t="s">
        <v>265</v>
      </c>
      <c r="C68" s="573"/>
      <c r="D68" s="1078" t="s">
        <v>266</v>
      </c>
      <c r="E68" s="1079"/>
      <c r="F68" s="1078" t="s">
        <v>267</v>
      </c>
      <c r="G68" s="1079"/>
      <c r="H68" s="1078" t="s">
        <v>268</v>
      </c>
      <c r="I68" s="1079"/>
      <c r="J68" s="1078" t="s">
        <v>269</v>
      </c>
      <c r="K68" s="1079"/>
      <c r="L68" s="1078" t="s">
        <v>572</v>
      </c>
      <c r="M68" s="1079"/>
      <c r="N68" s="1078" t="s">
        <v>573</v>
      </c>
      <c r="O68" s="1079"/>
      <c r="P68" s="1078" t="s">
        <v>270</v>
      </c>
      <c r="Q68" s="1079"/>
      <c r="R68" s="1078" t="s">
        <v>271</v>
      </c>
      <c r="S68" s="1079"/>
      <c r="T68" s="1078" t="s">
        <v>272</v>
      </c>
      <c r="U68" s="1080"/>
      <c r="V68" s="1078" t="s">
        <v>574</v>
      </c>
      <c r="W68" s="1079"/>
      <c r="X68" s="1078" t="s">
        <v>273</v>
      </c>
      <c r="Y68" s="722"/>
      <c r="Z68" s="711"/>
      <c r="AA68" s="602"/>
      <c r="AB68" s="607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4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81">
        <f>(Y57+C66+E66+G66+I66+K66)/1000</f>
        <v>2.4756450000000001</v>
      </c>
      <c r="L69" s="573" t="s">
        <v>274</v>
      </c>
      <c r="M69" s="1081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81">
        <f>(O66+Q66+S66+U66)/1000</f>
        <v>1.5880540000000001</v>
      </c>
      <c r="V69" s="573" t="s">
        <v>219</v>
      </c>
      <c r="W69" s="573"/>
      <c r="X69" s="573" t="s">
        <v>217</v>
      </c>
      <c r="Y69" s="723"/>
      <c r="Z69" s="711"/>
      <c r="AA69" s="602"/>
      <c r="AB69" s="607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4"/>
      <c r="B70" s="566"/>
      <c r="C70" s="566"/>
      <c r="D70" s="566"/>
      <c r="E70" s="573"/>
      <c r="F70" s="573"/>
      <c r="G70" s="573"/>
      <c r="H70" s="573"/>
      <c r="I70" s="573"/>
      <c r="K70" s="573"/>
      <c r="L70" s="573"/>
      <c r="M70" s="1081"/>
      <c r="N70" s="573"/>
      <c r="O70" s="573"/>
      <c r="P70" s="573"/>
      <c r="Q70" s="573"/>
      <c r="R70" s="573"/>
      <c r="S70" s="573"/>
      <c r="T70" s="573"/>
      <c r="U70" s="1081"/>
      <c r="V70" s="573"/>
      <c r="W70" s="573"/>
      <c r="X70" s="573"/>
      <c r="Y70" s="723"/>
      <c r="Z70" s="711"/>
      <c r="AA70" s="602"/>
      <c r="AB70" s="607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4"/>
      <c r="B71" s="573"/>
      <c r="C71" s="573"/>
      <c r="D71" s="573"/>
      <c r="E71" s="573"/>
      <c r="F71" s="573"/>
      <c r="G71" s="573"/>
      <c r="H71" s="573"/>
      <c r="I71" s="573"/>
      <c r="J71" s="573"/>
      <c r="K71" s="1081"/>
      <c r="L71" s="1090" t="s">
        <v>723</v>
      </c>
      <c r="M71" s="1081"/>
      <c r="N71" s="1090" t="s">
        <v>723</v>
      </c>
      <c r="O71" s="573"/>
      <c r="P71" s="573"/>
      <c r="Q71" s="573"/>
      <c r="R71" s="566"/>
      <c r="S71" s="573"/>
      <c r="T71" s="573"/>
      <c r="U71" s="1081"/>
      <c r="V71" s="573"/>
      <c r="W71" s="573"/>
      <c r="X71" s="573"/>
      <c r="Y71" s="723"/>
      <c r="Z71" s="711"/>
      <c r="AA71" s="602"/>
      <c r="AB71" s="607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4"/>
      <c r="B72" s="1083"/>
      <c r="C72" s="573"/>
      <c r="D72" s="1083"/>
      <c r="E72" s="573"/>
      <c r="F72" s="573"/>
      <c r="G72" s="573"/>
      <c r="H72" s="573"/>
      <c r="I72" s="573"/>
      <c r="J72" s="1083"/>
      <c r="K72" s="1081"/>
      <c r="L72" s="566"/>
      <c r="M72" s="1081"/>
      <c r="N72" s="573"/>
      <c r="O72" s="573"/>
      <c r="P72" s="573"/>
      <c r="Q72" s="573"/>
      <c r="R72" s="573"/>
      <c r="S72" s="573"/>
      <c r="T72" s="573"/>
      <c r="U72" s="1081"/>
      <c r="V72" s="573"/>
      <c r="W72" s="573"/>
      <c r="X72" s="573"/>
      <c r="Y72" s="723"/>
      <c r="Z72" s="711"/>
      <c r="AA72" s="602"/>
      <c r="AB72" s="607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4"/>
      <c r="B73" s="1088"/>
      <c r="C73" s="1077"/>
      <c r="D73" s="1085"/>
      <c r="E73" s="1086"/>
      <c r="F73" s="1085"/>
      <c r="G73" s="1086"/>
      <c r="H73" s="1085"/>
      <c r="I73" s="1085"/>
      <c r="K73" s="1091"/>
      <c r="L73" s="1085"/>
      <c r="M73" s="1086"/>
      <c r="N73" s="1085"/>
      <c r="O73" s="1086"/>
      <c r="P73" s="1085"/>
      <c r="Q73" s="1086"/>
      <c r="R73" s="1086"/>
      <c r="S73" s="1086"/>
      <c r="T73" s="1085"/>
      <c r="U73" s="1086"/>
      <c r="V73" s="1085"/>
      <c r="W73" s="1086"/>
      <c r="X73" s="1085"/>
      <c r="Y73" s="727"/>
      <c r="Z73" s="711"/>
      <c r="AA73" s="602"/>
      <c r="AB73" s="607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4"/>
      <c r="B74" s="1061"/>
      <c r="C74" s="1082"/>
      <c r="D74" s="1061"/>
      <c r="E74" s="1082"/>
      <c r="F74" s="1061"/>
      <c r="G74" s="1082"/>
      <c r="H74" s="1061"/>
      <c r="I74" s="1082"/>
      <c r="J74" s="1071"/>
      <c r="K74" s="1082"/>
      <c r="L74" s="1061"/>
      <c r="M74" s="1082"/>
      <c r="N74" s="1061"/>
      <c r="O74" s="1082"/>
      <c r="P74" s="1061"/>
      <c r="Q74" s="1082"/>
      <c r="R74" s="1061" t="s">
        <v>958</v>
      </c>
      <c r="S74" s="1082"/>
      <c r="T74" s="1061"/>
      <c r="U74" s="1082"/>
      <c r="V74" s="1061"/>
      <c r="W74" s="1082"/>
      <c r="X74" s="1061"/>
      <c r="Y74" s="724"/>
      <c r="Z74" s="711"/>
      <c r="AA74" s="602"/>
      <c r="AB74" s="607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4"/>
      <c r="B75" s="1075"/>
      <c r="C75" s="1082"/>
      <c r="D75" s="1075"/>
      <c r="E75" s="1082"/>
      <c r="F75" s="1075"/>
      <c r="G75" s="1082"/>
      <c r="H75" s="1075"/>
      <c r="I75" s="1082"/>
      <c r="J75" s="1071"/>
      <c r="K75" s="1082"/>
      <c r="L75" s="1075"/>
      <c r="M75" s="1082"/>
      <c r="N75" s="1075"/>
      <c r="O75" s="1082"/>
      <c r="P75" s="1075"/>
      <c r="Q75" s="1082"/>
      <c r="R75" s="1075"/>
      <c r="S75" s="1082"/>
      <c r="T75" s="1075"/>
      <c r="U75" s="1082"/>
      <c r="V75" s="1075"/>
      <c r="W75" s="1082"/>
      <c r="X75" s="1075"/>
      <c r="Y75" s="724"/>
      <c r="Z75" s="711"/>
      <c r="AA75" s="602"/>
      <c r="AB75" s="607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4"/>
      <c r="B76" s="1326" t="s">
        <v>718</v>
      </c>
      <c r="C76" s="570">
        <v>386</v>
      </c>
      <c r="D76" s="1347" t="s">
        <v>721</v>
      </c>
      <c r="E76" s="571">
        <v>429</v>
      </c>
      <c r="F76" s="1326" t="s">
        <v>718</v>
      </c>
      <c r="G76" s="571">
        <v>377</v>
      </c>
      <c r="H76" s="1326" t="s">
        <v>718</v>
      </c>
      <c r="I76" s="571">
        <v>401.83699999999999</v>
      </c>
      <c r="J76" s="1371" t="s">
        <v>771</v>
      </c>
      <c r="K76" s="571">
        <v>402</v>
      </c>
      <c r="L76" s="1373"/>
      <c r="M76" s="571">
        <v>344</v>
      </c>
      <c r="N76" s="1326" t="s">
        <v>718</v>
      </c>
      <c r="O76" s="571">
        <v>399</v>
      </c>
      <c r="P76" s="1326" t="s">
        <v>718</v>
      </c>
      <c r="Q76" s="571">
        <v>439</v>
      </c>
      <c r="R76" s="1315"/>
      <c r="S76" s="571">
        <v>403</v>
      </c>
      <c r="T76" s="1321"/>
      <c r="U76" s="571">
        <v>480</v>
      </c>
      <c r="V76" s="1317" t="s">
        <v>560</v>
      </c>
      <c r="W76" s="571">
        <v>535</v>
      </c>
      <c r="X76" s="1317" t="s">
        <v>560</v>
      </c>
      <c r="Y76" s="720">
        <v>389.00400000000002</v>
      </c>
      <c r="Z76" s="711"/>
      <c r="AA76" s="602"/>
      <c r="AB76" s="607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4"/>
      <c r="B77" s="1327"/>
      <c r="C77" s="1080"/>
      <c r="D77" s="1348"/>
      <c r="E77" s="1080"/>
      <c r="F77" s="1327"/>
      <c r="G77" s="1080"/>
      <c r="H77" s="1327"/>
      <c r="I77" s="1080"/>
      <c r="J77" s="1372"/>
      <c r="K77" s="1080"/>
      <c r="L77" s="1374"/>
      <c r="M77" s="1080"/>
      <c r="N77" s="1327"/>
      <c r="O77" s="1080"/>
      <c r="P77" s="1327"/>
      <c r="Q77" s="1080"/>
      <c r="R77" s="1316"/>
      <c r="S77" s="1080"/>
      <c r="T77" s="1322"/>
      <c r="U77" s="1080"/>
      <c r="V77" s="1346"/>
      <c r="W77" s="1080"/>
      <c r="X77" s="1367"/>
      <c r="Y77" s="721"/>
      <c r="Z77" s="711">
        <v>6</v>
      </c>
      <c r="AA77" s="602">
        <v>5</v>
      </c>
      <c r="AB77" s="607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4"/>
      <c r="B78" s="1078" t="s">
        <v>276</v>
      </c>
      <c r="C78" s="573"/>
      <c r="D78" s="1078" t="s">
        <v>277</v>
      </c>
      <c r="E78" s="1079"/>
      <c r="F78" s="1078" t="s">
        <v>278</v>
      </c>
      <c r="G78" s="1079"/>
      <c r="H78" s="1078" t="s">
        <v>279</v>
      </c>
      <c r="I78" s="1079"/>
      <c r="J78" s="1078" t="s">
        <v>575</v>
      </c>
      <c r="K78" s="1079"/>
      <c r="L78" s="1078" t="s">
        <v>280</v>
      </c>
      <c r="M78" s="1079"/>
      <c r="N78" s="1078" t="s">
        <v>281</v>
      </c>
      <c r="O78" s="1079"/>
      <c r="P78" s="1078" t="s">
        <v>282</v>
      </c>
      <c r="Q78" s="1079"/>
      <c r="R78" s="1078" t="s">
        <v>283</v>
      </c>
      <c r="S78" s="1079"/>
      <c r="T78" s="1078" t="s">
        <v>284</v>
      </c>
      <c r="U78" s="1080"/>
      <c r="V78" s="1078" t="s">
        <v>285</v>
      </c>
      <c r="W78" s="1079"/>
      <c r="X78" s="1078" t="s">
        <v>286</v>
      </c>
      <c r="Y78" s="722"/>
      <c r="Z78" s="711"/>
      <c r="AA78" s="602"/>
      <c r="AB78" s="607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4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81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81">
        <f>(K76+M76+O76+Q76+S76)/1000</f>
        <v>1.9870000000000001</v>
      </c>
      <c r="T79" s="573" t="s">
        <v>287</v>
      </c>
      <c r="U79" s="1081">
        <f>(U76)/1000</f>
        <v>0.48</v>
      </c>
      <c r="V79" s="573" t="s">
        <v>288</v>
      </c>
      <c r="W79" s="1081">
        <f>(W76)/1000</f>
        <v>0.53500000000000003</v>
      </c>
      <c r="X79" s="573" t="s">
        <v>288</v>
      </c>
      <c r="Y79" s="723"/>
      <c r="Z79" s="711"/>
      <c r="AA79" s="602"/>
      <c r="AB79" s="607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4"/>
      <c r="B80" s="573"/>
      <c r="C80" s="573"/>
      <c r="D80" s="573" t="s">
        <v>724</v>
      </c>
      <c r="E80" s="573"/>
      <c r="F80" s="573"/>
      <c r="G80" s="573"/>
      <c r="H80" s="573"/>
      <c r="I80" s="1081"/>
      <c r="J80" s="573"/>
      <c r="K80" s="573"/>
      <c r="L80" s="566"/>
      <c r="M80" s="573"/>
      <c r="N80" s="573"/>
      <c r="O80" s="573"/>
      <c r="P80" s="573"/>
      <c r="Q80" s="573"/>
      <c r="R80" s="1011"/>
      <c r="S80" s="1089"/>
      <c r="T80" s="1092"/>
      <c r="U80" s="1081"/>
      <c r="V80" s="1083"/>
      <c r="W80" s="1081"/>
      <c r="X80" s="1083"/>
      <c r="Y80" s="723"/>
      <c r="Z80" s="711"/>
      <c r="AA80" s="602"/>
      <c r="AB80" s="607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4"/>
      <c r="B81" s="1071"/>
      <c r="C81" s="1071"/>
      <c r="D81" s="1074"/>
      <c r="E81" s="1077"/>
      <c r="F81" s="1074"/>
      <c r="G81" s="1075"/>
      <c r="H81" s="1074"/>
      <c r="I81" s="1075"/>
      <c r="J81" s="1011"/>
      <c r="K81" s="1075"/>
      <c r="L81" s="566"/>
      <c r="M81" s="1075"/>
      <c r="N81" s="1088"/>
      <c r="O81" s="1075"/>
      <c r="P81" s="1074"/>
      <c r="Q81" s="1077"/>
      <c r="R81" s="1011"/>
      <c r="S81" s="1093"/>
      <c r="T81" s="1011"/>
      <c r="U81" s="1075"/>
      <c r="V81" s="1074"/>
      <c r="W81" s="1075"/>
      <c r="X81" s="1075"/>
      <c r="Y81" s="721"/>
      <c r="Z81" s="711"/>
      <c r="AA81" s="602"/>
      <c r="AB81" s="607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4"/>
      <c r="B82" s="1071"/>
      <c r="C82" s="1071"/>
      <c r="D82" s="1074"/>
      <c r="E82" s="1077"/>
      <c r="F82" s="1074"/>
      <c r="G82" s="1075"/>
      <c r="H82" s="1074"/>
      <c r="I82" s="1075"/>
      <c r="J82" s="1094"/>
      <c r="K82" s="1094"/>
      <c r="L82" s="1094"/>
      <c r="M82" s="1094"/>
      <c r="N82" s="1094"/>
      <c r="O82" s="1094"/>
      <c r="P82" s="1094"/>
      <c r="Q82" s="1094"/>
      <c r="R82" s="1094"/>
      <c r="S82" s="1094"/>
      <c r="T82" s="1094"/>
      <c r="U82" s="1094"/>
      <c r="V82" s="1094"/>
      <c r="W82" s="1094"/>
      <c r="X82" s="1094"/>
      <c r="Y82" s="729"/>
      <c r="Z82" s="711"/>
      <c r="AA82" s="602"/>
      <c r="AB82" s="607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4"/>
      <c r="B83" s="1071"/>
      <c r="C83" s="1071"/>
      <c r="D83" s="1074"/>
      <c r="E83" s="1077"/>
      <c r="F83" s="1074"/>
      <c r="G83" s="1075"/>
      <c r="H83" s="1074"/>
      <c r="I83" s="1075"/>
      <c r="J83" s="1074"/>
      <c r="K83" s="1075"/>
      <c r="L83" s="1074"/>
      <c r="M83" s="1075"/>
      <c r="N83" s="1088"/>
      <c r="O83" s="1075"/>
      <c r="P83" s="1074"/>
      <c r="Q83" s="1077"/>
      <c r="R83" s="1074"/>
      <c r="S83" s="1075"/>
      <c r="T83" s="1074"/>
      <c r="U83" s="1075"/>
      <c r="V83" s="1074"/>
      <c r="W83" s="1075"/>
      <c r="X83" s="1074"/>
      <c r="Y83" s="721"/>
      <c r="Z83" s="711"/>
      <c r="AA83" s="602"/>
      <c r="AB83" s="607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4"/>
      <c r="B84" s="1061"/>
      <c r="C84" s="1082"/>
      <c r="D84" s="1071"/>
      <c r="E84" s="1082"/>
      <c r="F84" s="1071"/>
      <c r="G84" s="1082"/>
      <c r="H84" s="1061"/>
      <c r="I84" s="1082"/>
      <c r="J84" s="1061"/>
      <c r="K84" s="1082"/>
      <c r="L84" s="1061"/>
      <c r="M84" s="1082"/>
      <c r="N84" s="1061"/>
      <c r="O84" s="1082"/>
      <c r="P84" s="1071"/>
      <c r="Q84" s="1082"/>
      <c r="R84" s="1061"/>
      <c r="S84" s="1082"/>
      <c r="T84" s="1061"/>
      <c r="U84" s="1082"/>
      <c r="V84" s="1061"/>
      <c r="W84" s="1082"/>
      <c r="X84" s="1071"/>
      <c r="Y84" s="724"/>
      <c r="Z84" s="711"/>
      <c r="AA84" s="602"/>
      <c r="AB84" s="607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4"/>
      <c r="B85" s="1075"/>
      <c r="C85" s="1082"/>
      <c r="D85" s="1071"/>
      <c r="E85" s="1082"/>
      <c r="F85" s="1071"/>
      <c r="G85" s="1082"/>
      <c r="H85" s="1075"/>
      <c r="I85" s="1082"/>
      <c r="J85" s="1075"/>
      <c r="K85" s="1082"/>
      <c r="L85" s="1075"/>
      <c r="M85" s="1082"/>
      <c r="N85" s="1075"/>
      <c r="O85" s="1082"/>
      <c r="P85" s="1071"/>
      <c r="Q85" s="1082"/>
      <c r="R85" s="1075"/>
      <c r="S85" s="1082"/>
      <c r="T85" s="1075"/>
      <c r="U85" s="1082"/>
      <c r="V85" s="1075"/>
      <c r="W85" s="1082"/>
      <c r="X85" s="1071"/>
      <c r="Y85" s="724"/>
      <c r="Z85" s="711"/>
      <c r="AA85" s="602"/>
      <c r="AB85" s="607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4"/>
      <c r="B86" s="1326" t="s">
        <v>718</v>
      </c>
      <c r="C86" s="570">
        <v>454.04700000000003</v>
      </c>
      <c r="D86" s="1321"/>
      <c r="E86" s="571">
        <v>247.49199999999999</v>
      </c>
      <c r="F86" s="1323"/>
      <c r="G86" s="571">
        <v>373</v>
      </c>
      <c r="H86" s="1328" t="s">
        <v>560</v>
      </c>
      <c r="I86" s="571">
        <v>401</v>
      </c>
      <c r="J86" s="1315"/>
      <c r="K86" s="571">
        <v>388</v>
      </c>
      <c r="L86" s="1328" t="s">
        <v>560</v>
      </c>
      <c r="M86" s="571">
        <v>328</v>
      </c>
      <c r="N86" s="1328" t="s">
        <v>560</v>
      </c>
      <c r="O86" s="571">
        <v>329.98200000000003</v>
      </c>
      <c r="P86" s="1323"/>
      <c r="Q86" s="571">
        <v>433</v>
      </c>
      <c r="R86" s="1313"/>
      <c r="S86" s="571">
        <v>410</v>
      </c>
      <c r="T86" s="1328" t="s">
        <v>560</v>
      </c>
      <c r="U86" s="571">
        <v>307</v>
      </c>
      <c r="V86" s="1328" t="s">
        <v>560</v>
      </c>
      <c r="W86" s="571">
        <v>461.92700000000002</v>
      </c>
      <c r="X86" s="1317" t="s">
        <v>560</v>
      </c>
      <c r="Y86" s="720">
        <v>439.04700000000003</v>
      </c>
      <c r="Z86" s="711"/>
      <c r="AA86" s="602"/>
      <c r="AB86" s="607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4"/>
      <c r="B87" s="1327"/>
      <c r="C87" s="1080"/>
      <c r="D87" s="1322"/>
      <c r="E87" s="1080"/>
      <c r="F87" s="1318"/>
      <c r="G87" s="1080"/>
      <c r="H87" s="1349"/>
      <c r="I87" s="1080"/>
      <c r="J87" s="1316"/>
      <c r="K87" s="1080"/>
      <c r="L87" s="1349"/>
      <c r="M87" s="1080"/>
      <c r="N87" s="1349"/>
      <c r="O87" s="1080"/>
      <c r="P87" s="1368"/>
      <c r="Q87" s="1080"/>
      <c r="R87" s="1314"/>
      <c r="S87" s="1080"/>
      <c r="T87" s="1349"/>
      <c r="U87" s="1080"/>
      <c r="V87" s="1349"/>
      <c r="W87" s="1080"/>
      <c r="X87" s="1346"/>
      <c r="Y87" s="721"/>
      <c r="Z87" s="711">
        <v>1</v>
      </c>
      <c r="AA87" s="602"/>
      <c r="AB87" s="607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4"/>
      <c r="B88" s="1078" t="s">
        <v>289</v>
      </c>
      <c r="C88" s="573"/>
      <c r="D88" s="1078" t="s">
        <v>576</v>
      </c>
      <c r="E88" s="1079"/>
      <c r="F88" s="1078" t="s">
        <v>577</v>
      </c>
      <c r="G88" s="1079"/>
      <c r="H88" s="1078" t="s">
        <v>290</v>
      </c>
      <c r="I88" s="1079"/>
      <c r="J88" s="1078" t="s">
        <v>291</v>
      </c>
      <c r="K88" s="1079"/>
      <c r="L88" s="1078" t="s">
        <v>292</v>
      </c>
      <c r="M88" s="1079"/>
      <c r="N88" s="1078" t="s">
        <v>293</v>
      </c>
      <c r="O88" s="1079"/>
      <c r="P88" s="1078" t="s">
        <v>578</v>
      </c>
      <c r="Q88" s="1079"/>
      <c r="R88" s="1078" t="s">
        <v>294</v>
      </c>
      <c r="S88" s="1079"/>
      <c r="T88" s="1078" t="s">
        <v>295</v>
      </c>
      <c r="U88" s="1080"/>
      <c r="V88" s="1078" t="s">
        <v>296</v>
      </c>
      <c r="W88" s="1079"/>
      <c r="X88" s="1078" t="s">
        <v>579</v>
      </c>
      <c r="Y88" s="722"/>
      <c r="Z88" s="711"/>
      <c r="AA88" s="602"/>
      <c r="AB88" s="607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4"/>
      <c r="B89" s="573" t="s">
        <v>218</v>
      </c>
      <c r="C89" s="1081">
        <f>(Y76+C86)/1000</f>
        <v>0.84305099999999999</v>
      </c>
      <c r="D89" s="573" t="s">
        <v>215</v>
      </c>
      <c r="E89" s="1081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81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81">
        <f>(Q86+S86+U86+W86)/1000</f>
        <v>1.6119270000000001</v>
      </c>
      <c r="X89" s="573" t="s">
        <v>297</v>
      </c>
      <c r="Y89" s="728">
        <f>(Y86)/1000</f>
        <v>0.43904700000000002</v>
      </c>
      <c r="Z89" s="711"/>
      <c r="AA89" s="602"/>
      <c r="AB89" s="607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4"/>
      <c r="B90" s="573"/>
      <c r="C90" s="1081"/>
      <c r="D90" s="1011"/>
      <c r="E90" s="1089"/>
      <c r="F90" s="1011"/>
      <c r="G90" s="1011"/>
      <c r="H90" s="1011"/>
      <c r="I90" s="1011"/>
      <c r="J90" s="1011"/>
      <c r="K90" s="1011"/>
      <c r="L90" s="1011"/>
      <c r="M90" s="1011"/>
      <c r="N90" s="1011"/>
      <c r="O90" s="1089"/>
      <c r="P90" s="1011"/>
      <c r="Q90" s="573"/>
      <c r="R90" s="573"/>
      <c r="S90" s="573"/>
      <c r="T90" s="573"/>
      <c r="U90" s="573"/>
      <c r="V90" s="573"/>
      <c r="W90" s="1081"/>
      <c r="X90" s="573"/>
      <c r="Y90" s="721"/>
      <c r="Z90" s="711"/>
      <c r="AA90" s="602"/>
      <c r="AB90" s="607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4"/>
      <c r="B91" s="573"/>
      <c r="C91" s="1081"/>
      <c r="D91" s="1095" t="s">
        <v>725</v>
      </c>
      <c r="E91" s="1081"/>
      <c r="F91" s="1095" t="s">
        <v>725</v>
      </c>
      <c r="G91" s="573"/>
      <c r="H91" s="573"/>
      <c r="I91" s="573"/>
      <c r="J91" s="1083" t="s">
        <v>721</v>
      </c>
      <c r="K91" s="573"/>
      <c r="L91" s="573"/>
      <c r="M91" s="573"/>
      <c r="N91" s="573"/>
      <c r="O91" s="1081"/>
      <c r="P91" s="573"/>
      <c r="Q91" s="573"/>
      <c r="R91" s="573"/>
      <c r="S91" s="573"/>
      <c r="T91" s="573"/>
      <c r="U91" s="573"/>
      <c r="V91" s="573"/>
      <c r="W91" s="1081"/>
      <c r="X91" s="573"/>
      <c r="Y91" s="721"/>
      <c r="Z91" s="711"/>
      <c r="AA91" s="602"/>
      <c r="AB91" s="607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0"/>
      <c r="B92" s="1096"/>
      <c r="C92" s="1096"/>
      <c r="D92" s="1096"/>
      <c r="E92" s="1096"/>
      <c r="F92" s="1096"/>
      <c r="G92" s="1096"/>
      <c r="H92" s="1096"/>
      <c r="I92" s="1096"/>
      <c r="J92" s="1096"/>
      <c r="K92" s="1096"/>
      <c r="L92" s="1096"/>
      <c r="M92" s="1096"/>
      <c r="N92" s="1096"/>
      <c r="O92" s="1096"/>
      <c r="P92" s="1096"/>
      <c r="Q92" s="1096"/>
      <c r="R92" s="1096"/>
      <c r="S92" s="1096"/>
      <c r="T92" s="1096"/>
      <c r="U92" s="1096"/>
      <c r="V92" s="1096"/>
      <c r="W92" s="1096"/>
      <c r="X92" s="1096"/>
      <c r="Y92" s="731"/>
      <c r="Z92" s="711"/>
      <c r="AA92" s="602"/>
      <c r="AB92" s="607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4"/>
      <c r="B93" s="1088"/>
      <c r="C93" s="1075"/>
      <c r="D93" s="1088"/>
      <c r="E93" s="1075"/>
      <c r="F93" s="1088"/>
      <c r="G93" s="1075"/>
      <c r="H93" s="1074"/>
      <c r="I93" s="1075"/>
      <c r="J93" s="1074"/>
      <c r="K93" s="1075"/>
      <c r="L93" s="1074"/>
      <c r="M93" s="1075"/>
      <c r="N93" s="1074"/>
      <c r="O93" s="1075"/>
      <c r="P93" s="1074"/>
      <c r="Q93" s="1075"/>
      <c r="R93" s="1074"/>
      <c r="S93" s="1075"/>
      <c r="T93" s="1074"/>
      <c r="U93" s="1075"/>
      <c r="V93" s="1074"/>
      <c r="W93" s="1075"/>
      <c r="X93" s="1074"/>
      <c r="Y93" s="721"/>
      <c r="Z93" s="711"/>
      <c r="AA93" s="602"/>
      <c r="AB93" s="607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4"/>
      <c r="B94" s="1071"/>
      <c r="C94" s="1082"/>
      <c r="D94" s="1061"/>
      <c r="E94" s="1082"/>
      <c r="F94" s="1061"/>
      <c r="G94" s="1082"/>
      <c r="H94" s="1061"/>
      <c r="I94" s="1082"/>
      <c r="J94" s="1071"/>
      <c r="K94" s="1082"/>
      <c r="L94" s="1071"/>
      <c r="M94" s="1082"/>
      <c r="N94" s="1071"/>
      <c r="O94" s="1082"/>
      <c r="P94" s="1061"/>
      <c r="Q94" s="1082"/>
      <c r="R94" s="1061"/>
      <c r="S94" s="1082"/>
      <c r="T94" s="1061"/>
      <c r="U94" s="1082"/>
      <c r="V94" s="1061"/>
      <c r="W94" s="1082"/>
      <c r="X94" s="1071"/>
      <c r="Y94" s="724"/>
      <c r="Z94" s="711"/>
      <c r="AA94" s="602"/>
      <c r="AB94" s="607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4"/>
      <c r="B95" s="1071"/>
      <c r="C95" s="1082"/>
      <c r="D95" s="1075"/>
      <c r="E95" s="1082"/>
      <c r="F95" s="1075"/>
      <c r="G95" s="1082"/>
      <c r="H95" s="1075"/>
      <c r="I95" s="1082"/>
      <c r="J95" s="1071"/>
      <c r="K95" s="1082"/>
      <c r="L95" s="1071"/>
      <c r="M95" s="1082"/>
      <c r="N95" s="1071"/>
      <c r="O95" s="1082"/>
      <c r="P95" s="1075"/>
      <c r="Q95" s="1082"/>
      <c r="R95" s="1075"/>
      <c r="S95" s="1082"/>
      <c r="T95" s="1075"/>
      <c r="U95" s="1082"/>
      <c r="V95" s="1075"/>
      <c r="W95" s="1082"/>
      <c r="X95" s="1071"/>
      <c r="Y95" s="724"/>
      <c r="Z95" s="711"/>
      <c r="AA95" s="602"/>
      <c r="AB95" s="607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4"/>
      <c r="B96" s="1317" t="s">
        <v>560</v>
      </c>
      <c r="C96" s="570">
        <v>401</v>
      </c>
      <c r="D96" s="1313"/>
      <c r="E96" s="571">
        <v>350</v>
      </c>
      <c r="F96" s="1328" t="s">
        <v>560</v>
      </c>
      <c r="G96" s="571">
        <v>335</v>
      </c>
      <c r="H96" s="1326" t="s">
        <v>774</v>
      </c>
      <c r="I96" s="571">
        <v>313.49</v>
      </c>
      <c r="J96" s="1369" t="s">
        <v>774</v>
      </c>
      <c r="K96" s="571">
        <v>421</v>
      </c>
      <c r="L96" s="1369" t="s">
        <v>774</v>
      </c>
      <c r="M96" s="571">
        <v>465.81799999999998</v>
      </c>
      <c r="N96" s="1369" t="s">
        <v>774</v>
      </c>
      <c r="O96" s="571">
        <v>352</v>
      </c>
      <c r="P96" s="1326" t="s">
        <v>774</v>
      </c>
      <c r="Q96" s="571">
        <v>403</v>
      </c>
      <c r="R96" s="1328" t="s">
        <v>560</v>
      </c>
      <c r="S96" s="571">
        <v>373</v>
      </c>
      <c r="T96" s="1328" t="s">
        <v>560</v>
      </c>
      <c r="U96" s="571">
        <v>362</v>
      </c>
      <c r="V96" s="1328" t="s">
        <v>560</v>
      </c>
      <c r="W96" s="571">
        <v>351.24</v>
      </c>
      <c r="X96" s="1360" t="s">
        <v>774</v>
      </c>
      <c r="Y96" s="720">
        <v>361</v>
      </c>
      <c r="Z96" s="711"/>
      <c r="AA96" s="602"/>
      <c r="AB96" s="607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4"/>
      <c r="B97" s="1346"/>
      <c r="C97" s="1080"/>
      <c r="D97" s="1314"/>
      <c r="E97" s="1080"/>
      <c r="F97" s="1349"/>
      <c r="G97" s="1080"/>
      <c r="H97" s="1327"/>
      <c r="I97" s="1080"/>
      <c r="J97" s="1370"/>
      <c r="K97" s="1080"/>
      <c r="L97" s="1370"/>
      <c r="M97" s="1080"/>
      <c r="N97" s="1370"/>
      <c r="O97" s="1080"/>
      <c r="P97" s="1327"/>
      <c r="Q97" s="1080"/>
      <c r="R97" s="1349"/>
      <c r="S97" s="1080"/>
      <c r="T97" s="1349"/>
      <c r="U97" s="1080"/>
      <c r="V97" s="1349"/>
      <c r="W97" s="1080"/>
      <c r="X97" s="1361"/>
      <c r="Y97" s="721"/>
      <c r="Z97" s="711">
        <v>5</v>
      </c>
      <c r="AA97" s="602"/>
      <c r="AB97" s="607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4"/>
      <c r="B98" s="1078" t="s">
        <v>580</v>
      </c>
      <c r="C98" s="573"/>
      <c r="D98" s="1078" t="s">
        <v>298</v>
      </c>
      <c r="E98" s="1079"/>
      <c r="F98" s="1078" t="s">
        <v>299</v>
      </c>
      <c r="G98" s="1079"/>
      <c r="H98" s="1078" t="s">
        <v>300</v>
      </c>
      <c r="I98" s="1079"/>
      <c r="J98" s="1078" t="s">
        <v>581</v>
      </c>
      <c r="K98" s="1079"/>
      <c r="L98" s="1078" t="s">
        <v>301</v>
      </c>
      <c r="M98" s="1079"/>
      <c r="N98" s="1078" t="s">
        <v>582</v>
      </c>
      <c r="O98" s="1079"/>
      <c r="P98" s="1078" t="s">
        <v>302</v>
      </c>
      <c r="Q98" s="1079"/>
      <c r="R98" s="1078" t="s">
        <v>303</v>
      </c>
      <c r="S98" s="1079"/>
      <c r="T98" s="1078" t="s">
        <v>304</v>
      </c>
      <c r="U98" s="1080"/>
      <c r="V98" s="1078" t="s">
        <v>305</v>
      </c>
      <c r="W98" s="1079"/>
      <c r="X98" s="1078" t="s">
        <v>583</v>
      </c>
      <c r="Y98" s="722"/>
      <c r="Z98" s="711"/>
      <c r="AA98" s="602"/>
      <c r="AB98" s="607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4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81">
        <f>(C96+E96+G96+I96)/1000</f>
        <v>1.3994899999999999</v>
      </c>
      <c r="J99" s="573" t="s">
        <v>242</v>
      </c>
      <c r="K99" s="1081">
        <f>(K96)/1000</f>
        <v>0.42099999999999999</v>
      </c>
      <c r="L99" s="573" t="s">
        <v>288</v>
      </c>
      <c r="M99" s="1081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81">
        <f>(O96+Q96+S96+U96+W96)/1000</f>
        <v>1.84124</v>
      </c>
      <c r="X99" s="573" t="s">
        <v>242</v>
      </c>
      <c r="Y99" s="728"/>
      <c r="Z99" s="711"/>
      <c r="AA99" s="602"/>
      <c r="AB99" s="607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4"/>
      <c r="B100" s="573"/>
      <c r="C100" s="573"/>
      <c r="D100" s="1096"/>
      <c r="E100" s="573"/>
      <c r="F100" s="573"/>
      <c r="G100" s="573"/>
      <c r="H100" s="1096"/>
      <c r="I100" s="1081"/>
      <c r="J100" s="1011"/>
      <c r="K100" s="1089"/>
      <c r="L100" s="1092"/>
      <c r="M100" s="1089"/>
      <c r="N100" s="1011"/>
      <c r="O100" s="1096"/>
      <c r="P100" s="1096"/>
      <c r="Q100" s="573"/>
      <c r="R100" s="573"/>
      <c r="S100" s="573"/>
      <c r="T100" s="573"/>
      <c r="U100" s="573"/>
      <c r="V100" s="573"/>
      <c r="W100" s="1081"/>
      <c r="X100" s="1011"/>
      <c r="Y100" s="728"/>
      <c r="Z100" s="711"/>
      <c r="AA100" s="602"/>
      <c r="AB100" s="607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4"/>
      <c r="B101" s="573"/>
      <c r="C101" s="573"/>
      <c r="D101" s="1096"/>
      <c r="E101" s="573"/>
      <c r="F101" s="573"/>
      <c r="G101" s="573"/>
      <c r="H101" s="1096"/>
      <c r="I101" s="1081"/>
      <c r="J101" s="573"/>
      <c r="K101" s="1081"/>
      <c r="L101" s="573"/>
      <c r="M101" s="1081"/>
      <c r="N101" s="573"/>
      <c r="O101" s="1096"/>
      <c r="P101" s="1096"/>
      <c r="Q101" s="573"/>
      <c r="R101" s="573"/>
      <c r="S101" s="573"/>
      <c r="T101" s="573"/>
      <c r="U101" s="573"/>
      <c r="V101" s="573"/>
      <c r="W101" s="1081"/>
      <c r="X101" s="1097"/>
      <c r="Y101" s="904"/>
      <c r="Z101" s="711"/>
      <c r="AA101" s="602"/>
      <c r="AB101" s="607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0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6"/>
      <c r="L102" s="1096"/>
      <c r="M102" s="1096"/>
      <c r="N102" s="1096"/>
      <c r="O102" s="1096"/>
      <c r="P102" s="1096"/>
      <c r="Q102" s="1096"/>
      <c r="R102" s="1096"/>
      <c r="S102" s="1096"/>
      <c r="T102" s="1096"/>
      <c r="U102" s="1096"/>
      <c r="V102" s="1096"/>
      <c r="W102" s="1096"/>
      <c r="X102" s="1096"/>
      <c r="Y102" s="731"/>
      <c r="Z102" s="711"/>
      <c r="AA102" s="602"/>
      <c r="AB102" s="607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4"/>
      <c r="B103" s="1074"/>
      <c r="C103" s="1075"/>
      <c r="D103" s="1085"/>
      <c r="E103" s="1086"/>
      <c r="F103" s="1085"/>
      <c r="G103" s="1086"/>
      <c r="H103" s="1085"/>
      <c r="I103" s="1085"/>
      <c r="J103" s="1085"/>
      <c r="K103" s="1086"/>
      <c r="L103" s="1085"/>
      <c r="M103" s="1086"/>
      <c r="N103" s="1085"/>
      <c r="O103" s="1086"/>
      <c r="P103" s="1085"/>
      <c r="Q103" s="1086"/>
      <c r="R103" s="1085"/>
      <c r="S103" s="1074"/>
      <c r="T103" s="1098"/>
      <c r="U103" s="1086"/>
      <c r="V103" s="1085"/>
      <c r="W103" s="1086"/>
      <c r="X103" s="1085"/>
      <c r="Y103" s="727"/>
      <c r="Z103" s="711"/>
      <c r="AA103" s="602"/>
      <c r="AB103" s="607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4"/>
      <c r="B104" s="1061"/>
      <c r="C104" s="1082"/>
      <c r="D104" s="1061"/>
      <c r="E104" s="1082"/>
      <c r="F104" s="1071"/>
      <c r="G104" s="1082"/>
      <c r="H104" s="1061"/>
      <c r="I104" s="1082"/>
      <c r="J104" s="1061"/>
      <c r="K104" s="1082"/>
      <c r="L104" s="1071"/>
      <c r="M104" s="1082"/>
      <c r="N104" s="1061"/>
      <c r="O104" s="1082"/>
      <c r="P104" s="1061"/>
      <c r="Q104" s="1082"/>
      <c r="R104" s="1061"/>
      <c r="S104" s="1082"/>
      <c r="T104" s="1061"/>
      <c r="U104" s="1082"/>
      <c r="V104" s="1071"/>
      <c r="W104" s="1082"/>
      <c r="X104" s="1071"/>
      <c r="Y104" s="724"/>
      <c r="Z104" s="711"/>
      <c r="AA104" s="602"/>
      <c r="AB104" s="607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4"/>
      <c r="B105" s="1075"/>
      <c r="C105" s="1082"/>
      <c r="D105" s="1075"/>
      <c r="E105" s="1082"/>
      <c r="F105" s="1071"/>
      <c r="G105" s="1082"/>
      <c r="H105" s="1075"/>
      <c r="I105" s="1082"/>
      <c r="J105" s="1075"/>
      <c r="K105" s="1082"/>
      <c r="L105" s="1071"/>
      <c r="M105" s="1082"/>
      <c r="N105" s="1075"/>
      <c r="O105" s="1082"/>
      <c r="P105" s="1075"/>
      <c r="Q105" s="1082"/>
      <c r="R105" s="1075"/>
      <c r="S105" s="1082"/>
      <c r="T105" s="1075"/>
      <c r="U105" s="1082"/>
      <c r="V105" s="1071"/>
      <c r="W105" s="1082"/>
      <c r="X105" s="1071"/>
      <c r="Y105" s="724"/>
      <c r="Z105" s="711"/>
      <c r="AA105" s="602"/>
      <c r="AB105" s="607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4"/>
      <c r="B106" s="1328" t="s">
        <v>560</v>
      </c>
      <c r="C106" s="570">
        <v>375</v>
      </c>
      <c r="D106" s="1326" t="s">
        <v>774</v>
      </c>
      <c r="E106" s="571">
        <v>424.851</v>
      </c>
      <c r="F106" s="1334" t="s">
        <v>774</v>
      </c>
      <c r="G106" s="571">
        <v>414</v>
      </c>
      <c r="H106" s="1326" t="s">
        <v>774</v>
      </c>
      <c r="I106" s="571">
        <v>345</v>
      </c>
      <c r="J106" s="1326" t="s">
        <v>774</v>
      </c>
      <c r="K106" s="571">
        <v>502.62799999999999</v>
      </c>
      <c r="L106" s="1328" t="s">
        <v>560</v>
      </c>
      <c r="M106" s="571">
        <v>453</v>
      </c>
      <c r="N106" s="1326" t="s">
        <v>774</v>
      </c>
      <c r="O106" s="571">
        <v>388</v>
      </c>
      <c r="P106" s="1326" t="s">
        <v>774</v>
      </c>
      <c r="Q106" s="571">
        <v>317</v>
      </c>
      <c r="R106" s="1326" t="s">
        <v>774</v>
      </c>
      <c r="S106" s="571">
        <v>324</v>
      </c>
      <c r="T106" s="1326" t="s">
        <v>774</v>
      </c>
      <c r="U106" s="571">
        <v>484.98399999999998</v>
      </c>
      <c r="V106" s="1323"/>
      <c r="W106" s="571">
        <v>248.518</v>
      </c>
      <c r="X106" s="1321"/>
      <c r="Y106" s="720">
        <v>429</v>
      </c>
      <c r="Z106" s="711">
        <v>8</v>
      </c>
      <c r="AA106" s="602"/>
      <c r="AB106" s="607">
        <v>5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4"/>
      <c r="B107" s="1349"/>
      <c r="C107" s="1080"/>
      <c r="D107" s="1327"/>
      <c r="E107" s="1080"/>
      <c r="F107" s="1335"/>
      <c r="G107" s="1080"/>
      <c r="H107" s="1327"/>
      <c r="I107" s="1080"/>
      <c r="J107" s="1327"/>
      <c r="K107" s="1080"/>
      <c r="L107" s="1349"/>
      <c r="M107" s="1080"/>
      <c r="N107" s="1327"/>
      <c r="O107" s="1080"/>
      <c r="P107" s="1327"/>
      <c r="Q107" s="1080"/>
      <c r="R107" s="1327"/>
      <c r="S107" s="1080"/>
      <c r="T107" s="1327"/>
      <c r="U107" s="1080"/>
      <c r="V107" s="1368"/>
      <c r="W107" s="1080"/>
      <c r="X107" s="1322"/>
      <c r="Y107" s="721"/>
      <c r="Z107" s="711"/>
      <c r="AA107" s="602"/>
      <c r="AB107" s="607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4"/>
      <c r="B108" s="1078" t="s">
        <v>307</v>
      </c>
      <c r="C108" s="573"/>
      <c r="D108" s="1078" t="s">
        <v>308</v>
      </c>
      <c r="E108" s="1079"/>
      <c r="F108" s="1078" t="s">
        <v>585</v>
      </c>
      <c r="G108" s="1079"/>
      <c r="H108" s="1078" t="s">
        <v>309</v>
      </c>
      <c r="I108" s="1079"/>
      <c r="J108" s="1078" t="s">
        <v>310</v>
      </c>
      <c r="K108" s="1079"/>
      <c r="L108" s="1078" t="s">
        <v>586</v>
      </c>
      <c r="M108" s="1079"/>
      <c r="N108" s="1078" t="s">
        <v>311</v>
      </c>
      <c r="O108" s="1079"/>
      <c r="P108" s="1078" t="s">
        <v>312</v>
      </c>
      <c r="Q108" s="1079"/>
      <c r="R108" s="1078" t="s">
        <v>313</v>
      </c>
      <c r="S108" s="1079"/>
      <c r="T108" s="1078" t="s">
        <v>314</v>
      </c>
      <c r="U108" s="1080"/>
      <c r="V108" s="1078" t="s">
        <v>587</v>
      </c>
      <c r="W108" s="1079"/>
      <c r="X108" s="1078" t="s">
        <v>588</v>
      </c>
      <c r="Y108" s="722"/>
      <c r="Z108" s="711"/>
      <c r="AA108" s="602"/>
      <c r="AB108" s="607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4"/>
      <c r="B109" s="573" t="s">
        <v>218</v>
      </c>
      <c r="C109" s="573"/>
      <c r="D109" s="573" t="s">
        <v>218</v>
      </c>
      <c r="E109" s="1081">
        <f>(Y96+C106+E106)/1000</f>
        <v>1.1608510000000001</v>
      </c>
      <c r="F109" s="573" t="s">
        <v>275</v>
      </c>
      <c r="G109" s="1081"/>
      <c r="H109" s="573" t="s">
        <v>253</v>
      </c>
      <c r="I109" s="573"/>
      <c r="J109" s="573" t="s">
        <v>216</v>
      </c>
      <c r="K109" s="1081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81">
        <f>(M106+O106+Q106+S106+U106)/1000</f>
        <v>1.9669839999999998</v>
      </c>
      <c r="V109" s="573" t="s">
        <v>589</v>
      </c>
      <c r="W109" s="1081">
        <f>(W106)/1000</f>
        <v>0.24851799999999999</v>
      </c>
      <c r="X109" s="573" t="s">
        <v>275</v>
      </c>
      <c r="Y109" s="723"/>
      <c r="Z109" s="711"/>
      <c r="AA109" s="602"/>
      <c r="AB109" s="607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4"/>
      <c r="B110" s="573"/>
      <c r="C110" s="573"/>
      <c r="D110" s="1011"/>
      <c r="E110" s="1089"/>
      <c r="F110" s="1011"/>
      <c r="G110" s="1089"/>
      <c r="H110" s="1011"/>
      <c r="I110" s="1011"/>
      <c r="J110" s="1011"/>
      <c r="K110" s="1089"/>
      <c r="L110" s="1011"/>
      <c r="M110" s="1011"/>
      <c r="N110" s="1011"/>
      <c r="O110" s="1011"/>
      <c r="P110" s="1011"/>
      <c r="Q110" s="1011"/>
      <c r="R110" s="573" t="s">
        <v>720</v>
      </c>
      <c r="S110" s="573"/>
      <c r="T110" s="573"/>
      <c r="U110" s="1081"/>
      <c r="V110" s="1011" t="s">
        <v>719</v>
      </c>
      <c r="W110" s="1081"/>
      <c r="X110" s="573"/>
      <c r="Y110" s="723"/>
      <c r="Z110" s="711"/>
      <c r="AA110" s="602"/>
      <c r="AB110" s="607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4"/>
      <c r="B111" s="1338"/>
      <c r="C111" s="1338"/>
      <c r="D111" s="1338"/>
      <c r="E111" s="1338"/>
      <c r="F111" s="1338"/>
      <c r="G111" s="1338"/>
      <c r="H111" s="1338"/>
      <c r="I111" s="1338"/>
      <c r="J111" s="1338"/>
      <c r="K111" s="1338"/>
      <c r="L111" s="1338"/>
      <c r="M111" s="573"/>
      <c r="N111" s="573"/>
      <c r="O111" s="573"/>
      <c r="P111" s="573"/>
      <c r="Q111" s="573"/>
      <c r="R111" s="573"/>
      <c r="S111" s="573"/>
      <c r="T111" s="573"/>
      <c r="U111" s="1081"/>
      <c r="V111" s="1090" t="s">
        <v>723</v>
      </c>
      <c r="W111" s="1081"/>
      <c r="X111" s="1090" t="s">
        <v>723</v>
      </c>
      <c r="Y111" s="723"/>
      <c r="Z111" s="711"/>
      <c r="AA111" s="602"/>
      <c r="AB111" s="607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0"/>
      <c r="B112" s="1096"/>
      <c r="C112" s="1096"/>
      <c r="D112" s="1096"/>
      <c r="E112" s="1096"/>
      <c r="F112" s="1096"/>
      <c r="G112" s="1096"/>
      <c r="H112" s="1096"/>
      <c r="I112" s="1096"/>
      <c r="J112" s="1096"/>
      <c r="K112" s="1096"/>
      <c r="L112" s="1353"/>
      <c r="M112" s="1353"/>
      <c r="N112" s="1353"/>
      <c r="O112" s="1353"/>
      <c r="P112" s="1353"/>
      <c r="Q112" s="1353"/>
      <c r="R112" s="1353"/>
      <c r="S112" s="1353"/>
      <c r="T112" s="1353"/>
      <c r="U112" s="1353"/>
      <c r="V112" s="1353"/>
      <c r="W112" s="1353"/>
      <c r="X112" s="1353"/>
      <c r="Y112" s="1354"/>
      <c r="Z112" s="711"/>
      <c r="AA112" s="602"/>
      <c r="AB112" s="607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4"/>
      <c r="B113" s="1099"/>
      <c r="C113" s="1100"/>
      <c r="D113" s="573"/>
      <c r="E113" s="1071"/>
      <c r="F113" s="573"/>
      <c r="G113" s="1101"/>
      <c r="H113" s="573"/>
      <c r="I113" s="1080"/>
      <c r="J113" s="573"/>
      <c r="K113" s="1080"/>
      <c r="L113" s="573"/>
      <c r="M113" s="1080"/>
      <c r="N113" s="1102"/>
      <c r="O113" s="1080"/>
      <c r="P113" s="1102"/>
      <c r="Q113" s="1080"/>
      <c r="R113" s="1102"/>
      <c r="S113" s="1080"/>
      <c r="T113" s="1102"/>
      <c r="U113" s="1080"/>
      <c r="V113" s="573"/>
      <c r="W113" s="1080"/>
      <c r="X113" s="573"/>
      <c r="Y113" s="721"/>
      <c r="Z113" s="711"/>
      <c r="AA113" s="602"/>
      <c r="AB113" s="607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4"/>
      <c r="B114" s="1103"/>
      <c r="C114" s="1084"/>
      <c r="D114" s="1071"/>
      <c r="E114" s="1084"/>
      <c r="F114" s="1103"/>
      <c r="G114" s="1084"/>
      <c r="H114" s="1103"/>
      <c r="I114" s="1084"/>
      <c r="J114" s="1071"/>
      <c r="K114" s="1084"/>
      <c r="L114" s="1071"/>
      <c r="M114" s="1084"/>
      <c r="N114" s="1103"/>
      <c r="O114" s="1084"/>
      <c r="P114" s="1103"/>
      <c r="Q114" s="1084"/>
      <c r="R114" s="1103"/>
      <c r="S114" s="1084"/>
      <c r="T114" s="1071"/>
      <c r="U114" s="1084"/>
      <c r="V114" s="1071"/>
      <c r="W114" s="1084"/>
      <c r="X114" s="1103"/>
      <c r="Y114" s="726"/>
      <c r="Z114" s="711"/>
      <c r="AA114" s="602"/>
      <c r="AB114" s="607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4"/>
      <c r="B115" s="1080"/>
      <c r="C115" s="1084"/>
      <c r="D115" s="1071"/>
      <c r="E115" s="1084"/>
      <c r="F115" s="1080"/>
      <c r="G115" s="1084"/>
      <c r="H115" s="1080"/>
      <c r="I115" s="1084"/>
      <c r="J115" s="1071"/>
      <c r="K115" s="1084"/>
      <c r="L115" s="1071"/>
      <c r="M115" s="1084"/>
      <c r="N115" s="1080"/>
      <c r="O115" s="1084"/>
      <c r="P115" s="1080"/>
      <c r="Q115" s="1084"/>
      <c r="R115" s="1080"/>
      <c r="S115" s="1084"/>
      <c r="T115" s="1071"/>
      <c r="U115" s="1084"/>
      <c r="V115" s="1071"/>
      <c r="W115" s="1084"/>
      <c r="X115" s="1080"/>
      <c r="Y115" s="726"/>
      <c r="Z115" s="711"/>
      <c r="AA115" s="602"/>
      <c r="AB115" s="607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4"/>
      <c r="B116" s="1358" t="s">
        <v>774</v>
      </c>
      <c r="C116" s="570">
        <v>398.68400000000003</v>
      </c>
      <c r="D116" s="1360" t="s">
        <v>774</v>
      </c>
      <c r="E116" s="571">
        <v>435</v>
      </c>
      <c r="F116" s="1362" t="s">
        <v>726</v>
      </c>
      <c r="G116" s="571">
        <v>404</v>
      </c>
      <c r="H116" s="1364" t="s">
        <v>726</v>
      </c>
      <c r="I116" s="571">
        <v>374.35300000000001</v>
      </c>
      <c r="J116" s="1321"/>
      <c r="K116" s="571">
        <v>250.119</v>
      </c>
      <c r="L116" s="1317" t="s">
        <v>560</v>
      </c>
      <c r="M116" s="571">
        <v>398</v>
      </c>
      <c r="N116" s="1328" t="s">
        <v>560</v>
      </c>
      <c r="O116" s="571">
        <v>364</v>
      </c>
      <c r="P116" s="1365"/>
      <c r="Q116" s="571">
        <v>380</v>
      </c>
      <c r="R116" s="1328" t="s">
        <v>560</v>
      </c>
      <c r="S116" s="571">
        <v>459.27199999999999</v>
      </c>
      <c r="T116" s="1317" t="s">
        <v>560</v>
      </c>
      <c r="U116" s="571">
        <v>206.441</v>
      </c>
      <c r="V116" s="1317" t="s">
        <v>560</v>
      </c>
      <c r="W116" s="571">
        <v>385</v>
      </c>
      <c r="X116" s="1326" t="s">
        <v>89</v>
      </c>
      <c r="Y116" s="720">
        <v>372</v>
      </c>
      <c r="Z116" s="711">
        <v>3</v>
      </c>
      <c r="AA116" s="602">
        <v>1</v>
      </c>
      <c r="AB116" s="607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4"/>
      <c r="B117" s="1359"/>
      <c r="C117" s="1080"/>
      <c r="D117" s="1361"/>
      <c r="E117" s="1080"/>
      <c r="F117" s="1363"/>
      <c r="G117" s="1080"/>
      <c r="H117" s="1325"/>
      <c r="I117" s="1080"/>
      <c r="J117" s="1322"/>
      <c r="K117" s="1080"/>
      <c r="L117" s="1346"/>
      <c r="M117" s="1080"/>
      <c r="N117" s="1349"/>
      <c r="O117" s="1080"/>
      <c r="P117" s="1366"/>
      <c r="Q117" s="1080"/>
      <c r="R117" s="1349"/>
      <c r="S117" s="1080"/>
      <c r="T117" s="1367"/>
      <c r="U117" s="1080"/>
      <c r="V117" s="1367"/>
      <c r="W117" s="1080"/>
      <c r="X117" s="1327"/>
      <c r="Y117" s="721"/>
      <c r="Z117" s="711"/>
      <c r="AA117" s="602"/>
      <c r="AB117" s="607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4"/>
      <c r="B118" s="1078" t="s">
        <v>317</v>
      </c>
      <c r="C118" s="573"/>
      <c r="D118" s="1078" t="s">
        <v>590</v>
      </c>
      <c r="E118" s="1079"/>
      <c r="F118" s="1078" t="s">
        <v>318</v>
      </c>
      <c r="G118" s="1079"/>
      <c r="H118" s="1078" t="s">
        <v>319</v>
      </c>
      <c r="I118" s="1079"/>
      <c r="J118" s="1078" t="s">
        <v>591</v>
      </c>
      <c r="K118" s="1079"/>
      <c r="L118" s="1078" t="s">
        <v>592</v>
      </c>
      <c r="M118" s="1079"/>
      <c r="N118" s="1078" t="s">
        <v>320</v>
      </c>
      <c r="O118" s="1079"/>
      <c r="P118" s="1078" t="s">
        <v>321</v>
      </c>
      <c r="Q118" s="1079"/>
      <c r="R118" s="1078" t="s">
        <v>322</v>
      </c>
      <c r="S118" s="1079"/>
      <c r="T118" s="1078" t="s">
        <v>593</v>
      </c>
      <c r="U118" s="1080"/>
      <c r="V118" s="1078" t="s">
        <v>594</v>
      </c>
      <c r="W118" s="1079"/>
      <c r="X118" s="1078" t="s">
        <v>323</v>
      </c>
      <c r="Y118" s="722"/>
      <c r="Z118" s="711"/>
      <c r="AA118" s="602"/>
      <c r="AB118" s="607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4"/>
      <c r="B119" s="573" t="s">
        <v>218</v>
      </c>
      <c r="C119" s="1081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81">
        <f>(E116+G116+I116)/1000</f>
        <v>1.2133530000000001</v>
      </c>
      <c r="J119" s="573" t="s">
        <v>219</v>
      </c>
      <c r="K119" s="1081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81">
        <f>(M116+O116+Q116+S116)/1000</f>
        <v>1.601272</v>
      </c>
      <c r="T119" s="573" t="s">
        <v>274</v>
      </c>
      <c r="U119" s="1081">
        <f>(U116)/1000</f>
        <v>0.20644100000000001</v>
      </c>
      <c r="V119" s="573" t="s">
        <v>297</v>
      </c>
      <c r="W119" s="573"/>
      <c r="X119" s="573" t="s">
        <v>217</v>
      </c>
      <c r="Y119" s="723"/>
      <c r="Z119" s="711"/>
      <c r="AA119" s="602"/>
      <c r="AB119" s="607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4"/>
      <c r="B120" s="573"/>
      <c r="C120" s="1081"/>
      <c r="D120" s="573"/>
      <c r="E120" s="573"/>
      <c r="F120" s="573"/>
      <c r="G120" s="573"/>
      <c r="H120" s="1011"/>
      <c r="I120" s="1081"/>
      <c r="J120" s="573"/>
      <c r="K120" s="1081"/>
      <c r="L120" s="573"/>
      <c r="M120" s="573"/>
      <c r="N120" s="573"/>
      <c r="O120" s="573"/>
      <c r="P120" s="1011"/>
      <c r="Q120" s="573"/>
      <c r="R120" s="573"/>
      <c r="S120" s="1081"/>
      <c r="T120" s="573"/>
      <c r="U120" s="1081"/>
      <c r="V120" s="573"/>
      <c r="W120" s="573"/>
      <c r="X120" s="573"/>
      <c r="Y120" s="723"/>
      <c r="Z120" s="711"/>
      <c r="AA120" s="602"/>
      <c r="AB120" s="607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4"/>
      <c r="B121" s="573"/>
      <c r="C121" s="1081"/>
      <c r="D121" s="573"/>
      <c r="E121" s="573"/>
      <c r="F121" s="573"/>
      <c r="G121" s="573"/>
      <c r="H121" s="573"/>
      <c r="I121" s="1081"/>
      <c r="J121" s="1095" t="s">
        <v>727</v>
      </c>
      <c r="K121" s="1081"/>
      <c r="L121" s="1095" t="s">
        <v>727</v>
      </c>
      <c r="M121" s="573"/>
      <c r="N121" s="573"/>
      <c r="O121" s="573"/>
      <c r="P121" s="573"/>
      <c r="Q121" s="573"/>
      <c r="R121" s="573"/>
      <c r="S121" s="1081"/>
      <c r="T121" s="1090" t="s">
        <v>723</v>
      </c>
      <c r="U121" s="1081"/>
      <c r="V121" s="1090" t="s">
        <v>723</v>
      </c>
      <c r="W121" s="573"/>
      <c r="X121" s="573"/>
      <c r="Y121" s="723"/>
      <c r="Z121" s="711"/>
      <c r="AA121" s="602"/>
      <c r="AB121" s="607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352"/>
      <c r="B122" s="1353"/>
      <c r="C122" s="1353"/>
      <c r="D122" s="1353"/>
      <c r="E122" s="1353"/>
      <c r="F122" s="1353"/>
      <c r="G122" s="1353"/>
      <c r="H122" s="1353"/>
      <c r="I122" s="1353"/>
      <c r="J122" s="1353"/>
      <c r="K122" s="1353"/>
      <c r="L122" s="1353"/>
      <c r="M122" s="1353"/>
      <c r="N122" s="1353"/>
      <c r="O122" s="1353"/>
      <c r="P122" s="1353"/>
      <c r="Q122" s="1353"/>
      <c r="R122" s="1353"/>
      <c r="S122" s="1353"/>
      <c r="T122" s="1353"/>
      <c r="U122" s="1353"/>
      <c r="V122" s="1353"/>
      <c r="W122" s="1353"/>
      <c r="X122" s="1353"/>
      <c r="Y122" s="1354"/>
      <c r="Z122" s="711"/>
      <c r="AA122" s="602"/>
      <c r="AB122" s="607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4"/>
      <c r="B123" s="573"/>
      <c r="C123" s="1080"/>
      <c r="D123" s="1104"/>
      <c r="E123" s="1104"/>
      <c r="F123" s="1104"/>
      <c r="G123" s="1104"/>
      <c r="H123" s="573"/>
      <c r="I123" s="1104"/>
      <c r="J123" s="573"/>
      <c r="K123" s="1104"/>
      <c r="L123" s="573"/>
      <c r="M123" s="1104"/>
      <c r="N123" s="1104"/>
      <c r="O123" s="1104"/>
      <c r="P123" s="1104"/>
      <c r="Q123" s="1104"/>
      <c r="R123" s="1104"/>
      <c r="S123" s="1104"/>
      <c r="T123" s="1104"/>
      <c r="U123" s="1104"/>
      <c r="V123" s="1104"/>
      <c r="W123" s="1102"/>
      <c r="X123" s="1104"/>
      <c r="Y123" s="716"/>
      <c r="Z123" s="711"/>
      <c r="AA123" s="602"/>
      <c r="AB123" s="607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4"/>
      <c r="B124" s="1103"/>
      <c r="C124" s="1084"/>
      <c r="D124" s="1103"/>
      <c r="E124" s="1084"/>
      <c r="F124" s="1103"/>
      <c r="G124" s="1084"/>
      <c r="H124" s="1103"/>
      <c r="I124" s="1084"/>
      <c r="J124" s="1103"/>
      <c r="K124" s="1084"/>
      <c r="L124" s="1103"/>
      <c r="M124" s="1084"/>
      <c r="N124" s="1103"/>
      <c r="O124" s="1084"/>
      <c r="P124" s="1103"/>
      <c r="Q124" s="1084"/>
      <c r="R124" s="1103"/>
      <c r="S124" s="1084"/>
      <c r="T124" s="1071"/>
      <c r="U124" s="1084"/>
      <c r="V124" s="1103"/>
      <c r="W124" s="1084"/>
      <c r="X124" s="1103"/>
      <c r="Y124" s="726"/>
      <c r="Z124" s="711"/>
      <c r="AA124" s="602"/>
      <c r="AB124" s="607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4"/>
      <c r="B125" s="1080"/>
      <c r="C125" s="1084"/>
      <c r="D125" s="1080"/>
      <c r="E125" s="1084"/>
      <c r="F125" s="1080"/>
      <c r="G125" s="1084"/>
      <c r="H125" s="1080"/>
      <c r="I125" s="1084"/>
      <c r="J125" s="1080"/>
      <c r="K125" s="1084"/>
      <c r="L125" s="1080"/>
      <c r="M125" s="1084"/>
      <c r="N125" s="1080"/>
      <c r="O125" s="1084"/>
      <c r="P125" s="1080"/>
      <c r="Q125" s="1084"/>
      <c r="R125" s="1080"/>
      <c r="S125" s="1084"/>
      <c r="T125" s="1071"/>
      <c r="U125" s="1084"/>
      <c r="V125" s="1080"/>
      <c r="W125" s="1084"/>
      <c r="X125" s="1080"/>
      <c r="Y125" s="726"/>
      <c r="Z125" s="711"/>
      <c r="AA125" s="602"/>
      <c r="AB125" s="607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4"/>
      <c r="B126" s="1326" t="s">
        <v>89</v>
      </c>
      <c r="C126" s="570">
        <v>384</v>
      </c>
      <c r="D126" s="1326" t="s">
        <v>89</v>
      </c>
      <c r="E126" s="571">
        <v>400</v>
      </c>
      <c r="F126" s="1326" t="s">
        <v>664</v>
      </c>
      <c r="G126" s="571">
        <v>386</v>
      </c>
      <c r="H126" s="1313"/>
      <c r="I126" s="571">
        <v>398</v>
      </c>
      <c r="J126" s="1326" t="s">
        <v>89</v>
      </c>
      <c r="K126" s="571">
        <v>393</v>
      </c>
      <c r="L126" s="1326" t="s">
        <v>664</v>
      </c>
      <c r="M126" s="571">
        <v>387</v>
      </c>
      <c r="N126" s="1326" t="s">
        <v>89</v>
      </c>
      <c r="O126" s="571">
        <v>378</v>
      </c>
      <c r="P126" s="1326" t="s">
        <v>89</v>
      </c>
      <c r="Q126" s="571">
        <v>410</v>
      </c>
      <c r="R126" s="1326" t="s">
        <v>664</v>
      </c>
      <c r="S126" s="571">
        <v>367.58</v>
      </c>
      <c r="T126" s="1317" t="s">
        <v>560</v>
      </c>
      <c r="U126" s="571">
        <v>396</v>
      </c>
      <c r="V126" s="1328" t="s">
        <v>560</v>
      </c>
      <c r="W126" s="571">
        <v>395</v>
      </c>
      <c r="X126" s="1313"/>
      <c r="Y126" s="720">
        <v>414</v>
      </c>
      <c r="Z126" s="711"/>
      <c r="AA126" s="602"/>
      <c r="AB126" s="607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4"/>
      <c r="B127" s="1327"/>
      <c r="C127" s="1080"/>
      <c r="D127" s="1327"/>
      <c r="E127" s="1080"/>
      <c r="F127" s="1327"/>
      <c r="G127" s="1080"/>
      <c r="H127" s="1314"/>
      <c r="I127" s="1080"/>
      <c r="J127" s="1327"/>
      <c r="K127" s="1080"/>
      <c r="L127" s="1327"/>
      <c r="M127" s="1080"/>
      <c r="N127" s="1327"/>
      <c r="O127" s="1080"/>
      <c r="P127" s="1327"/>
      <c r="Q127" s="1080"/>
      <c r="R127" s="1327"/>
      <c r="S127" s="1080"/>
      <c r="T127" s="1318"/>
      <c r="U127" s="1080"/>
      <c r="V127" s="1316"/>
      <c r="W127" s="1080"/>
      <c r="X127" s="1314"/>
      <c r="Y127" s="721"/>
      <c r="Z127" s="711">
        <v>8</v>
      </c>
      <c r="AA127" s="602">
        <v>6</v>
      </c>
      <c r="AB127" s="607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4"/>
      <c r="B128" s="1078" t="s">
        <v>325</v>
      </c>
      <c r="C128" s="573"/>
      <c r="D128" s="1078" t="s">
        <v>326</v>
      </c>
      <c r="E128" s="1079"/>
      <c r="F128" s="1078" t="s">
        <v>327</v>
      </c>
      <c r="G128" s="1079"/>
      <c r="H128" s="1078" t="s">
        <v>328</v>
      </c>
      <c r="I128" s="1079"/>
      <c r="J128" s="1078" t="s">
        <v>329</v>
      </c>
      <c r="K128" s="1079"/>
      <c r="L128" s="1078" t="s">
        <v>330</v>
      </c>
      <c r="M128" s="1079"/>
      <c r="N128" s="1078" t="s">
        <v>331</v>
      </c>
      <c r="O128" s="1079"/>
      <c r="P128" s="1078" t="s">
        <v>332</v>
      </c>
      <c r="Q128" s="1079"/>
      <c r="R128" s="1078" t="s">
        <v>333</v>
      </c>
      <c r="S128" s="1079"/>
      <c r="T128" s="1078" t="s">
        <v>595</v>
      </c>
      <c r="U128" s="1080"/>
      <c r="V128" s="1078" t="s">
        <v>334</v>
      </c>
      <c r="W128" s="1079"/>
      <c r="X128" s="1078" t="s">
        <v>335</v>
      </c>
      <c r="Y128" s="722"/>
      <c r="Z128" s="711"/>
      <c r="AA128" s="602"/>
      <c r="AB128" s="607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4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81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3"/>
      <c r="Z129" s="711"/>
      <c r="AA129" s="602"/>
      <c r="AB129" s="607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4"/>
      <c r="B130" s="573"/>
      <c r="C130" s="573"/>
      <c r="D130" s="573"/>
      <c r="E130" s="573"/>
      <c r="F130" s="573"/>
      <c r="G130" s="573"/>
      <c r="H130" s="573" t="s">
        <v>728</v>
      </c>
      <c r="I130" s="573"/>
      <c r="J130" s="573"/>
      <c r="K130" s="573"/>
      <c r="L130" s="1011"/>
      <c r="M130" s="1011"/>
      <c r="N130" s="1011"/>
      <c r="O130" s="573"/>
      <c r="P130" s="573"/>
      <c r="Q130" s="573"/>
      <c r="R130" s="573"/>
      <c r="S130" s="1081"/>
      <c r="T130" s="573"/>
      <c r="U130" s="573"/>
      <c r="V130" s="573"/>
      <c r="W130" s="573"/>
      <c r="X130" s="573" t="s">
        <v>728</v>
      </c>
      <c r="Y130" s="723"/>
      <c r="Z130" s="711"/>
      <c r="AA130" s="602"/>
      <c r="AB130" s="607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4"/>
      <c r="B131" s="1105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81"/>
      <c r="T131" s="573"/>
      <c r="U131" s="573"/>
      <c r="V131" s="573"/>
      <c r="W131" s="573"/>
      <c r="X131" s="573"/>
      <c r="Y131" s="723"/>
      <c r="Z131" s="711"/>
      <c r="AA131" s="602"/>
      <c r="AB131" s="607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352"/>
      <c r="B132" s="1353"/>
      <c r="C132" s="1353"/>
      <c r="D132" s="1353"/>
      <c r="E132" s="1353"/>
      <c r="F132" s="1353"/>
      <c r="G132" s="1353"/>
      <c r="H132" s="1353"/>
      <c r="I132" s="1353"/>
      <c r="J132" s="1353"/>
      <c r="K132" s="1353"/>
      <c r="L132" s="1353"/>
      <c r="M132" s="1353"/>
      <c r="N132" s="1353"/>
      <c r="O132" s="1353"/>
      <c r="P132" s="1353"/>
      <c r="Q132" s="1353"/>
      <c r="R132" s="1353"/>
      <c r="S132" s="1353"/>
      <c r="T132" s="1353"/>
      <c r="U132" s="573"/>
      <c r="V132" s="573"/>
      <c r="W132" s="573"/>
      <c r="X132" s="573"/>
      <c r="Y132" s="723"/>
      <c r="Z132" s="711"/>
      <c r="AA132" s="602"/>
      <c r="AB132" s="607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4"/>
      <c r="B133" s="1104"/>
      <c r="C133" s="1102"/>
      <c r="D133" s="1071"/>
      <c r="E133" s="1071"/>
      <c r="F133" s="1071"/>
      <c r="G133" s="1071"/>
      <c r="H133" s="1071"/>
      <c r="I133" s="1071"/>
      <c r="J133" s="1071"/>
      <c r="K133" s="1071"/>
      <c r="L133" s="1071"/>
      <c r="M133" s="1071"/>
      <c r="N133" s="1071"/>
      <c r="O133" s="1071"/>
      <c r="P133" s="573"/>
      <c r="Q133" s="1071"/>
      <c r="R133" s="573"/>
      <c r="S133" s="1071"/>
      <c r="T133" s="1071"/>
      <c r="U133" s="1071"/>
      <c r="V133" s="1071"/>
      <c r="W133" s="1071"/>
      <c r="X133" s="1071"/>
      <c r="Y133" s="719"/>
      <c r="Z133" s="711"/>
      <c r="AA133" s="602"/>
      <c r="AB133" s="607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4"/>
      <c r="B134" s="1103"/>
      <c r="C134" s="1084"/>
      <c r="D134" s="1071"/>
      <c r="E134" s="1084"/>
      <c r="F134" s="1103"/>
      <c r="G134" s="1084"/>
      <c r="H134" s="1103"/>
      <c r="I134" s="1084"/>
      <c r="J134" s="1103"/>
      <c r="K134" s="1084"/>
      <c r="L134" s="1071"/>
      <c r="M134" s="1084"/>
      <c r="N134" s="1103"/>
      <c r="O134" s="1084"/>
      <c r="P134" s="1103"/>
      <c r="Q134" s="1084"/>
      <c r="R134" s="1084"/>
      <c r="S134" s="1084"/>
      <c r="T134" s="1103"/>
      <c r="U134" s="1084"/>
      <c r="V134" s="1103"/>
      <c r="W134" s="1084"/>
      <c r="X134" s="1071"/>
      <c r="Y134" s="726"/>
      <c r="Z134" s="711"/>
      <c r="AA134" s="602"/>
      <c r="AB134" s="607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4"/>
      <c r="B135" s="1080"/>
      <c r="C135" s="1084"/>
      <c r="D135" s="1071"/>
      <c r="E135" s="1084"/>
      <c r="F135" s="1080"/>
      <c r="G135" s="1084"/>
      <c r="H135" s="1080"/>
      <c r="I135" s="1084"/>
      <c r="J135" s="1080"/>
      <c r="K135" s="1084"/>
      <c r="L135" s="1071"/>
      <c r="M135" s="1084"/>
      <c r="N135" s="1080"/>
      <c r="O135" s="1084"/>
      <c r="P135" s="1080"/>
      <c r="Q135" s="1084"/>
      <c r="R135" s="1084"/>
      <c r="S135" s="1084"/>
      <c r="T135" s="1080"/>
      <c r="U135" s="1084"/>
      <c r="V135" s="1080"/>
      <c r="W135" s="1084"/>
      <c r="X135" s="1071"/>
      <c r="Y135" s="726"/>
      <c r="Z135" s="711"/>
      <c r="AA135" s="602"/>
      <c r="AB135" s="607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4"/>
      <c r="B136" s="1326" t="s">
        <v>89</v>
      </c>
      <c r="C136" s="570">
        <v>350.09</v>
      </c>
      <c r="D136" s="1323"/>
      <c r="E136" s="571">
        <v>364</v>
      </c>
      <c r="F136" s="1326" t="s">
        <v>89</v>
      </c>
      <c r="G136" s="571">
        <v>452</v>
      </c>
      <c r="H136" s="1326" t="s">
        <v>89</v>
      </c>
      <c r="I136" s="571">
        <v>392</v>
      </c>
      <c r="J136" s="1326" t="s">
        <v>89</v>
      </c>
      <c r="K136" s="571">
        <v>369.64499999999998</v>
      </c>
      <c r="L136" s="1317" t="s">
        <v>560</v>
      </c>
      <c r="M136" s="571">
        <v>446</v>
      </c>
      <c r="N136" s="1326" t="s">
        <v>89</v>
      </c>
      <c r="O136" s="571">
        <v>386</v>
      </c>
      <c r="P136" s="1313"/>
      <c r="Q136" s="571">
        <v>451</v>
      </c>
      <c r="R136" s="1321"/>
      <c r="S136" s="571">
        <v>428.50400000000002</v>
      </c>
      <c r="T136" s="1326" t="s">
        <v>89</v>
      </c>
      <c r="U136" s="571">
        <v>354.49599999999998</v>
      </c>
      <c r="V136" s="1326" t="s">
        <v>89</v>
      </c>
      <c r="W136" s="571">
        <v>430.20699999999999</v>
      </c>
      <c r="X136" s="1317" t="s">
        <v>560</v>
      </c>
      <c r="Y136" s="720">
        <v>394</v>
      </c>
      <c r="Z136" s="711"/>
      <c r="AA136" s="602"/>
      <c r="AB136" s="607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4"/>
      <c r="B137" s="1327"/>
      <c r="C137" s="1080"/>
      <c r="D137" s="1318"/>
      <c r="E137" s="1080"/>
      <c r="F137" s="1327"/>
      <c r="G137" s="1080"/>
      <c r="H137" s="1327"/>
      <c r="I137" s="1080"/>
      <c r="J137" s="1327"/>
      <c r="K137" s="1080"/>
      <c r="L137" s="1346"/>
      <c r="M137" s="1080"/>
      <c r="N137" s="1327"/>
      <c r="O137" s="1080"/>
      <c r="P137" s="1314"/>
      <c r="Q137" s="1080"/>
      <c r="R137" s="1322"/>
      <c r="S137" s="1080"/>
      <c r="T137" s="1327"/>
      <c r="U137" s="1080"/>
      <c r="V137" s="1327"/>
      <c r="W137" s="1080"/>
      <c r="X137" s="1346"/>
      <c r="Y137" s="721"/>
      <c r="Z137" s="711">
        <v>7</v>
      </c>
      <c r="AA137" s="602">
        <v>4</v>
      </c>
      <c r="AB137" s="607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4"/>
      <c r="B138" s="1078" t="s">
        <v>336</v>
      </c>
      <c r="C138" s="573"/>
      <c r="D138" s="1078" t="s">
        <v>596</v>
      </c>
      <c r="E138" s="1079"/>
      <c r="F138" s="1078" t="s">
        <v>337</v>
      </c>
      <c r="G138" s="1079"/>
      <c r="H138" s="1078" t="s">
        <v>338</v>
      </c>
      <c r="I138" s="1079"/>
      <c r="J138" s="1078" t="s">
        <v>339</v>
      </c>
      <c r="K138" s="1079"/>
      <c r="L138" s="1078" t="s">
        <v>597</v>
      </c>
      <c r="M138" s="1079"/>
      <c r="N138" s="1078" t="s">
        <v>94</v>
      </c>
      <c r="O138" s="1079"/>
      <c r="P138" s="1078" t="s">
        <v>340</v>
      </c>
      <c r="Q138" s="1079"/>
      <c r="R138" s="1078" t="s">
        <v>341</v>
      </c>
      <c r="S138" s="1079"/>
      <c r="T138" s="1078" t="s">
        <v>342</v>
      </c>
      <c r="U138" s="1080"/>
      <c r="V138" s="1078" t="s">
        <v>96</v>
      </c>
      <c r="W138" s="1079"/>
      <c r="X138" s="1078" t="s">
        <v>598</v>
      </c>
      <c r="Y138" s="722"/>
      <c r="Z138" s="711"/>
      <c r="AA138" s="602"/>
      <c r="AB138" s="607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4"/>
      <c r="B139" s="573" t="s">
        <v>217</v>
      </c>
      <c r="C139" s="1081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81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81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81">
        <f>(S136+U136+W136)/1000</f>
        <v>1.2132069999999999</v>
      </c>
      <c r="X139" s="573" t="s">
        <v>297</v>
      </c>
      <c r="Y139" s="723"/>
      <c r="Z139" s="711"/>
      <c r="AA139" s="602"/>
      <c r="AB139" s="607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4"/>
      <c r="B140" s="573" t="s">
        <v>728</v>
      </c>
      <c r="C140" s="1081"/>
      <c r="D140" s="1011"/>
      <c r="E140" s="1011"/>
      <c r="F140" s="1011"/>
      <c r="G140" s="1011"/>
      <c r="H140" s="1011"/>
      <c r="I140" s="1011"/>
      <c r="J140" s="1011"/>
      <c r="K140" s="1089"/>
      <c r="L140" s="1011"/>
      <c r="M140" s="573"/>
      <c r="N140" s="573"/>
      <c r="O140" s="573"/>
      <c r="P140" s="573"/>
      <c r="Q140" s="1081"/>
      <c r="R140" s="573" t="s">
        <v>728</v>
      </c>
      <c r="S140" s="573"/>
      <c r="T140" s="573"/>
      <c r="U140" s="573"/>
      <c r="V140" s="573"/>
      <c r="W140" s="1081"/>
      <c r="X140" s="573"/>
      <c r="Y140" s="723"/>
      <c r="Z140" s="711"/>
      <c r="AA140" s="602"/>
      <c r="AB140" s="607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4"/>
      <c r="B141" s="1081"/>
      <c r="C141" s="1081"/>
      <c r="D141" s="573"/>
      <c r="E141" s="573"/>
      <c r="F141" s="573"/>
      <c r="G141" s="573"/>
      <c r="H141" s="1105"/>
      <c r="I141" s="573"/>
      <c r="J141" s="573"/>
      <c r="K141" s="1081"/>
      <c r="L141" s="573"/>
      <c r="M141" s="573"/>
      <c r="N141" s="573"/>
      <c r="O141" s="573"/>
      <c r="P141" s="573"/>
      <c r="Q141" s="1081"/>
      <c r="R141" s="573"/>
      <c r="S141" s="573"/>
      <c r="T141" s="573"/>
      <c r="U141" s="573"/>
      <c r="V141" s="573"/>
      <c r="W141" s="1081"/>
      <c r="X141" s="573"/>
      <c r="Y141" s="723"/>
      <c r="Z141" s="712"/>
      <c r="AA141" s="603"/>
      <c r="AB141" s="608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4"/>
      <c r="B142" s="573"/>
      <c r="C142" s="1080"/>
      <c r="D142" s="1102"/>
      <c r="E142" s="1080"/>
      <c r="F142" s="1102"/>
      <c r="G142" s="573"/>
      <c r="H142" s="1102"/>
      <c r="I142" s="1080"/>
      <c r="J142" s="573"/>
      <c r="K142" s="1080"/>
      <c r="L142" s="1102"/>
      <c r="M142" s="1080"/>
      <c r="N142" s="573"/>
      <c r="O142" s="1080"/>
      <c r="P142" s="1099"/>
      <c r="Q142" s="1100"/>
      <c r="R142" s="1099"/>
      <c r="S142" s="1100"/>
      <c r="T142" s="1099"/>
      <c r="U142" s="1099"/>
      <c r="V142" s="1099"/>
      <c r="W142" s="1100"/>
      <c r="X142" s="1099"/>
      <c r="Y142" s="727"/>
      <c r="Z142" s="711"/>
      <c r="AA142" s="602"/>
      <c r="AB142" s="607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4"/>
      <c r="B143" s="1103"/>
      <c r="C143" s="1084"/>
      <c r="D143" s="1103"/>
      <c r="E143" s="1084"/>
      <c r="F143" s="1103"/>
      <c r="G143" s="1084"/>
      <c r="H143" s="1071"/>
      <c r="I143" s="1084"/>
      <c r="J143" s="1103"/>
      <c r="K143" s="1084"/>
      <c r="L143" s="1103"/>
      <c r="M143" s="1084"/>
      <c r="N143" s="1071"/>
      <c r="O143" s="1084"/>
      <c r="P143" s="1103"/>
      <c r="Q143" s="1084"/>
      <c r="R143" s="1103"/>
      <c r="S143" s="1084"/>
      <c r="T143" s="1071"/>
      <c r="U143" s="1084"/>
      <c r="V143" s="1103"/>
      <c r="W143" s="1084"/>
      <c r="X143" s="1103"/>
      <c r="Y143" s="726"/>
      <c r="Z143" s="711"/>
      <c r="AA143" s="602"/>
      <c r="AB143" s="607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4"/>
      <c r="B144" s="1080"/>
      <c r="C144" s="1084"/>
      <c r="D144" s="1080"/>
      <c r="E144" s="1084"/>
      <c r="F144" s="1080"/>
      <c r="G144" s="1084"/>
      <c r="H144" s="1071"/>
      <c r="I144" s="1084"/>
      <c r="J144" s="1080"/>
      <c r="K144" s="1084"/>
      <c r="L144" s="1080"/>
      <c r="M144" s="1084"/>
      <c r="N144" s="1071"/>
      <c r="O144" s="1084"/>
      <c r="P144" s="1080"/>
      <c r="Q144" s="1084"/>
      <c r="R144" s="1080"/>
      <c r="S144" s="1084"/>
      <c r="T144" s="1071"/>
      <c r="U144" s="1084"/>
      <c r="V144" s="1080"/>
      <c r="W144" s="1084"/>
      <c r="X144" s="1080"/>
      <c r="Y144" s="726"/>
      <c r="Z144" s="711"/>
      <c r="AA144" s="602"/>
      <c r="AB144" s="607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4"/>
      <c r="B145" s="1326" t="s">
        <v>89</v>
      </c>
      <c r="C145" s="570">
        <v>415</v>
      </c>
      <c r="D145" s="1326" t="s">
        <v>89</v>
      </c>
      <c r="E145" s="571">
        <v>399</v>
      </c>
      <c r="F145" s="1313"/>
      <c r="G145" s="571">
        <v>436.29500000000002</v>
      </c>
      <c r="H145" s="1355"/>
      <c r="I145" s="571">
        <v>437</v>
      </c>
      <c r="J145" s="1326" t="s">
        <v>89</v>
      </c>
      <c r="K145" s="571">
        <v>406</v>
      </c>
      <c r="L145" s="1328" t="s">
        <v>560</v>
      </c>
      <c r="M145" s="571">
        <v>437.79599999999999</v>
      </c>
      <c r="N145" s="1334" t="s">
        <v>89</v>
      </c>
      <c r="O145" s="571">
        <v>412</v>
      </c>
      <c r="P145" s="1326" t="s">
        <v>89</v>
      </c>
      <c r="Q145" s="571">
        <v>356.62799999999999</v>
      </c>
      <c r="R145" s="1328" t="s">
        <v>560</v>
      </c>
      <c r="S145" s="571">
        <v>384.62400000000002</v>
      </c>
      <c r="T145" s="1350" t="s">
        <v>89</v>
      </c>
      <c r="U145" s="571">
        <v>391</v>
      </c>
      <c r="V145" s="1326" t="s">
        <v>729</v>
      </c>
      <c r="W145" s="571">
        <v>436</v>
      </c>
      <c r="X145" s="1331"/>
      <c r="Y145" s="720">
        <v>406</v>
      </c>
      <c r="Z145" s="711">
        <v>7</v>
      </c>
      <c r="AA145" s="602">
        <v>5</v>
      </c>
      <c r="AB145" s="607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4"/>
      <c r="B146" s="1327"/>
      <c r="C146" s="1080"/>
      <c r="D146" s="1327"/>
      <c r="E146" s="1080"/>
      <c r="F146" s="1314"/>
      <c r="G146" s="1080"/>
      <c r="H146" s="1356"/>
      <c r="I146" s="1080"/>
      <c r="J146" s="1327"/>
      <c r="K146" s="1080"/>
      <c r="L146" s="1357"/>
      <c r="M146" s="1080"/>
      <c r="N146" s="1344"/>
      <c r="O146" s="1080"/>
      <c r="P146" s="1327"/>
      <c r="Q146" s="1080"/>
      <c r="R146" s="1349"/>
      <c r="S146" s="1080"/>
      <c r="T146" s="1351"/>
      <c r="U146" s="1080"/>
      <c r="V146" s="1327"/>
      <c r="W146" s="1080"/>
      <c r="X146" s="1332"/>
      <c r="Y146" s="721"/>
      <c r="Z146" s="711"/>
      <c r="AA146" s="602"/>
      <c r="AB146" s="607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4"/>
      <c r="B147" s="1078" t="s">
        <v>93</v>
      </c>
      <c r="C147" s="573"/>
      <c r="D147" s="1078" t="s">
        <v>90</v>
      </c>
      <c r="E147" s="1079"/>
      <c r="F147" s="1078" t="s">
        <v>343</v>
      </c>
      <c r="G147" s="1079"/>
      <c r="H147" s="1078" t="s">
        <v>599</v>
      </c>
      <c r="I147" s="1079"/>
      <c r="J147" s="1078" t="s">
        <v>86</v>
      </c>
      <c r="K147" s="1079"/>
      <c r="L147" s="1078" t="s">
        <v>344</v>
      </c>
      <c r="M147" s="1079"/>
      <c r="N147" s="1078" t="s">
        <v>600</v>
      </c>
      <c r="O147" s="1079"/>
      <c r="P147" s="1078" t="s">
        <v>345</v>
      </c>
      <c r="Q147" s="1079"/>
      <c r="R147" s="1078" t="s">
        <v>112</v>
      </c>
      <c r="S147" s="1079"/>
      <c r="T147" s="1078" t="s">
        <v>601</v>
      </c>
      <c r="U147" s="1080"/>
      <c r="V147" s="1078" t="s">
        <v>346</v>
      </c>
      <c r="W147" s="1079"/>
      <c r="X147" s="1078" t="s">
        <v>114</v>
      </c>
      <c r="Y147" s="722"/>
      <c r="Z147" s="711"/>
      <c r="AA147" s="602"/>
      <c r="AB147" s="607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4"/>
      <c r="B148" s="573" t="s">
        <v>217</v>
      </c>
      <c r="C148" s="573"/>
      <c r="D148" s="573" t="s">
        <v>218</v>
      </c>
      <c r="E148" s="573"/>
      <c r="F148" s="573" t="s">
        <v>217</v>
      </c>
      <c r="G148" s="1081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81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81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3"/>
      <c r="Z148" s="711"/>
      <c r="AA148" s="602"/>
      <c r="AB148" s="607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4"/>
      <c r="B149" s="573"/>
      <c r="C149" s="573"/>
      <c r="D149" s="573"/>
      <c r="E149" s="573"/>
      <c r="F149" s="573" t="s">
        <v>728</v>
      </c>
      <c r="G149" s="1081"/>
      <c r="H149" s="573" t="s">
        <v>728</v>
      </c>
      <c r="I149" s="573"/>
      <c r="J149" s="573"/>
      <c r="K149" s="573"/>
      <c r="L149" s="573"/>
      <c r="M149" s="1081"/>
      <c r="N149" s="573"/>
      <c r="O149" s="573"/>
      <c r="P149" s="573"/>
      <c r="Q149" s="573"/>
      <c r="R149" s="573"/>
      <c r="S149" s="1081"/>
      <c r="T149" s="1011"/>
      <c r="U149" s="573"/>
      <c r="V149" s="573"/>
      <c r="W149" s="573"/>
      <c r="X149" s="573"/>
      <c r="Y149" s="723"/>
      <c r="Z149" s="711"/>
      <c r="AA149" s="602"/>
      <c r="AB149" s="607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4"/>
      <c r="B150" s="573"/>
      <c r="C150" s="573"/>
      <c r="D150" s="573"/>
      <c r="E150" s="573"/>
      <c r="F150" s="573"/>
      <c r="G150" s="1081"/>
      <c r="H150" s="573"/>
      <c r="I150" s="573"/>
      <c r="J150" s="573"/>
      <c r="K150" s="573"/>
      <c r="L150" s="573"/>
      <c r="M150" s="1081"/>
      <c r="N150" s="573"/>
      <c r="O150" s="573"/>
      <c r="P150" s="1011"/>
      <c r="Q150" s="573"/>
      <c r="R150" s="573"/>
      <c r="S150" s="1081"/>
      <c r="T150" s="1081"/>
      <c r="U150" s="573"/>
      <c r="V150" s="573"/>
      <c r="W150" s="573"/>
      <c r="X150" s="573"/>
      <c r="Y150" s="723"/>
      <c r="Z150" s="711"/>
      <c r="AA150" s="602"/>
      <c r="AB150" s="607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4"/>
      <c r="B151" s="1071"/>
      <c r="C151" s="1071"/>
      <c r="D151" s="1102"/>
      <c r="E151" s="1080"/>
      <c r="F151" s="573"/>
      <c r="G151" s="1080"/>
      <c r="H151" s="573"/>
      <c r="I151" s="1080"/>
      <c r="J151" s="573"/>
      <c r="K151" s="1071"/>
      <c r="L151" s="573"/>
      <c r="M151" s="1080"/>
      <c r="N151" s="573"/>
      <c r="O151" s="1080"/>
      <c r="P151" s="573"/>
      <c r="Q151" s="573"/>
      <c r="R151" s="573"/>
      <c r="S151" s="573"/>
      <c r="T151" s="573"/>
      <c r="U151" s="573"/>
      <c r="V151" s="573"/>
      <c r="W151" s="573"/>
      <c r="X151" s="573"/>
      <c r="Y151" s="723"/>
      <c r="Z151" s="711"/>
      <c r="AA151" s="602"/>
      <c r="AB151" s="607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4"/>
      <c r="B152" s="1103"/>
      <c r="C152" s="1084"/>
      <c r="D152" s="1103"/>
      <c r="E152" s="1084"/>
      <c r="F152" s="1103"/>
      <c r="G152" s="1084"/>
      <c r="H152" s="1103"/>
      <c r="I152" s="1084"/>
      <c r="J152" s="1071"/>
      <c r="K152" s="1084"/>
      <c r="L152" s="1103"/>
      <c r="M152" s="1084"/>
      <c r="N152" s="1103"/>
      <c r="O152" s="1084"/>
      <c r="P152" s="1103"/>
      <c r="Q152" s="1084"/>
      <c r="R152" s="1103"/>
      <c r="S152" s="1084"/>
      <c r="T152" s="1103"/>
      <c r="U152" s="1084"/>
      <c r="V152" s="1103"/>
      <c r="W152" s="1084"/>
      <c r="X152" s="1071"/>
      <c r="Y152" s="726"/>
      <c r="Z152" s="711"/>
      <c r="AA152" s="602"/>
      <c r="AB152" s="607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4"/>
      <c r="B153" s="1080"/>
      <c r="C153" s="1084"/>
      <c r="D153" s="1080"/>
      <c r="E153" s="1084"/>
      <c r="F153" s="1080"/>
      <c r="G153" s="1084"/>
      <c r="H153" s="1080"/>
      <c r="I153" s="1084"/>
      <c r="J153" s="1071"/>
      <c r="K153" s="1084"/>
      <c r="L153" s="1080"/>
      <c r="M153" s="1084"/>
      <c r="N153" s="1080"/>
      <c r="O153" s="1084"/>
      <c r="P153" s="1080"/>
      <c r="Q153" s="1084"/>
      <c r="R153" s="1080"/>
      <c r="S153" s="1084"/>
      <c r="T153" s="1080"/>
      <c r="U153" s="1084"/>
      <c r="V153" s="1080"/>
      <c r="W153" s="1084"/>
      <c r="X153" s="1071"/>
      <c r="Y153" s="726"/>
      <c r="Z153" s="711"/>
      <c r="AA153" s="602"/>
      <c r="AB153" s="607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4"/>
      <c r="B154" s="1326" t="s">
        <v>664</v>
      </c>
      <c r="C154" s="570">
        <v>359</v>
      </c>
      <c r="D154" s="1326" t="s">
        <v>664</v>
      </c>
      <c r="E154" s="571">
        <v>439</v>
      </c>
      <c r="F154" s="1326" t="s">
        <v>664</v>
      </c>
      <c r="G154" s="571">
        <v>393</v>
      </c>
      <c r="H154" s="1333" t="s">
        <v>731</v>
      </c>
      <c r="I154" s="571">
        <v>314.94900000000001</v>
      </c>
      <c r="J154" s="1329" t="s">
        <v>89</v>
      </c>
      <c r="K154" s="571">
        <v>437.00099999999998</v>
      </c>
      <c r="L154" s="1333" t="s">
        <v>730</v>
      </c>
      <c r="M154" s="571">
        <v>399</v>
      </c>
      <c r="N154" s="1333" t="s">
        <v>730</v>
      </c>
      <c r="O154" s="571">
        <v>303</v>
      </c>
      <c r="P154" s="1347" t="s">
        <v>721</v>
      </c>
      <c r="Q154" s="571">
        <v>337</v>
      </c>
      <c r="R154" s="1347" t="s">
        <v>721</v>
      </c>
      <c r="S154" s="571">
        <v>339.16899999999998</v>
      </c>
      <c r="T154" s="1317" t="s">
        <v>560</v>
      </c>
      <c r="U154" s="571">
        <v>400</v>
      </c>
      <c r="V154" s="1315"/>
      <c r="W154" s="571">
        <v>358.84899999999999</v>
      </c>
      <c r="X154" s="1317" t="s">
        <v>560</v>
      </c>
      <c r="Y154" s="720">
        <v>468.49200000000002</v>
      </c>
      <c r="Z154" s="711"/>
      <c r="AA154" s="602"/>
      <c r="AB154" s="607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4"/>
      <c r="B155" s="1327"/>
      <c r="C155" s="1080"/>
      <c r="D155" s="1327"/>
      <c r="E155" s="1080"/>
      <c r="F155" s="1327"/>
      <c r="G155" s="1080"/>
      <c r="H155" s="1327"/>
      <c r="I155" s="1080"/>
      <c r="J155" s="1330"/>
      <c r="K155" s="1080"/>
      <c r="L155" s="1327"/>
      <c r="M155" s="1080"/>
      <c r="N155" s="1327"/>
      <c r="O155" s="1080"/>
      <c r="P155" s="1348"/>
      <c r="Q155" s="1080"/>
      <c r="R155" s="1348"/>
      <c r="S155" s="1080"/>
      <c r="T155" s="1346"/>
      <c r="U155" s="1080"/>
      <c r="V155" s="1316"/>
      <c r="W155" s="1080"/>
      <c r="X155" s="1318"/>
      <c r="Y155" s="721"/>
      <c r="Z155" s="711">
        <v>6</v>
      </c>
      <c r="AA155" s="602">
        <v>5</v>
      </c>
      <c r="AB155" s="607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4"/>
      <c r="B156" s="1078" t="s">
        <v>347</v>
      </c>
      <c r="C156" s="573"/>
      <c r="D156" s="1078" t="s">
        <v>348</v>
      </c>
      <c r="E156" s="1079"/>
      <c r="F156" s="1078" t="s">
        <v>349</v>
      </c>
      <c r="G156" s="1079"/>
      <c r="H156" s="1078" t="s">
        <v>350</v>
      </c>
      <c r="I156" s="1079"/>
      <c r="J156" s="1078" t="s">
        <v>602</v>
      </c>
      <c r="K156" s="1079"/>
      <c r="L156" s="1078" t="s">
        <v>351</v>
      </c>
      <c r="M156" s="1079"/>
      <c r="N156" s="1078" t="s">
        <v>352</v>
      </c>
      <c r="O156" s="1079"/>
      <c r="P156" s="1078" t="s">
        <v>353</v>
      </c>
      <c r="Q156" s="1079"/>
      <c r="R156" s="1078" t="s">
        <v>354</v>
      </c>
      <c r="S156" s="1079"/>
      <c r="T156" s="1078" t="s">
        <v>603</v>
      </c>
      <c r="U156" s="1080"/>
      <c r="V156" s="1078" t="s">
        <v>355</v>
      </c>
      <c r="W156" s="1079"/>
      <c r="X156" s="1078" t="s">
        <v>604</v>
      </c>
      <c r="Y156" s="722"/>
      <c r="Z156" s="711"/>
      <c r="AA156" s="602"/>
      <c r="AB156" s="607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4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81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81">
        <f>(K154+M154++O154+Q154+S154)/1000</f>
        <v>1.8151700000000002</v>
      </c>
      <c r="T157" s="573" t="s">
        <v>356</v>
      </c>
      <c r="U157" s="573"/>
      <c r="V157" s="573" t="s">
        <v>218</v>
      </c>
      <c r="W157" s="1081">
        <f>(U154+W154)/1000</f>
        <v>0.75884899999999988</v>
      </c>
      <c r="X157" s="573" t="s">
        <v>357</v>
      </c>
      <c r="Y157" s="728">
        <f>(Y154)/1000</f>
        <v>0.46849200000000002</v>
      </c>
      <c r="Z157" s="711"/>
      <c r="AA157" s="602"/>
      <c r="AB157" s="607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4"/>
      <c r="B158" s="573"/>
      <c r="C158" s="573"/>
      <c r="D158" s="573"/>
      <c r="E158" s="573"/>
      <c r="F158" s="573"/>
      <c r="G158" s="573"/>
      <c r="H158" s="573"/>
      <c r="I158" s="1081"/>
      <c r="J158" s="573"/>
      <c r="K158" s="566"/>
      <c r="L158" s="573"/>
      <c r="M158" s="573"/>
      <c r="N158" s="573"/>
      <c r="O158" s="573"/>
      <c r="P158" s="573"/>
      <c r="Q158" s="573"/>
      <c r="R158" s="1011"/>
      <c r="S158" s="1089"/>
      <c r="T158" s="1011"/>
      <c r="U158" s="1011"/>
      <c r="V158" s="1011"/>
      <c r="W158" s="1081"/>
      <c r="X158" s="573"/>
      <c r="Y158" s="719"/>
      <c r="Z158" s="711"/>
      <c r="AA158" s="602"/>
      <c r="AB158" s="607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4"/>
      <c r="B159" s="573"/>
      <c r="C159" s="573"/>
      <c r="D159" s="573"/>
      <c r="E159" s="573"/>
      <c r="F159" s="573"/>
      <c r="G159" s="573"/>
      <c r="H159" s="573"/>
      <c r="I159" s="1081"/>
      <c r="J159" s="573"/>
      <c r="K159" s="566"/>
      <c r="L159" s="573"/>
      <c r="M159" s="573"/>
      <c r="N159" s="573"/>
      <c r="O159" s="573"/>
      <c r="P159" s="573"/>
      <c r="Q159" s="573"/>
      <c r="R159" s="573"/>
      <c r="S159" s="1081"/>
      <c r="T159" s="573"/>
      <c r="U159" s="573"/>
      <c r="V159" s="573"/>
      <c r="W159" s="1081"/>
      <c r="X159" s="573"/>
      <c r="Y159" s="719"/>
      <c r="Z159" s="711"/>
      <c r="AA159" s="602"/>
      <c r="AB159" s="607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4"/>
      <c r="B160" s="1071"/>
      <c r="C160" s="1071"/>
      <c r="D160" s="1071"/>
      <c r="E160" s="1084"/>
      <c r="F160" s="1071"/>
      <c r="G160" s="1071"/>
      <c r="H160" s="1071"/>
      <c r="I160" s="1071"/>
      <c r="J160" s="1071"/>
      <c r="K160" s="1071"/>
      <c r="L160" s="1071"/>
      <c r="M160" s="1071"/>
      <c r="N160" s="1071"/>
      <c r="O160" s="1071"/>
      <c r="P160" s="1071"/>
      <c r="Q160" s="1071"/>
      <c r="R160" s="1071"/>
      <c r="S160" s="1071"/>
      <c r="T160" s="1071"/>
      <c r="U160" s="1071"/>
      <c r="V160" s="1071"/>
      <c r="W160" s="1071"/>
      <c r="X160" s="1071"/>
      <c r="Y160" s="719"/>
      <c r="Z160" s="711"/>
      <c r="AA160" s="602"/>
      <c r="AB160" s="607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4"/>
      <c r="B161" s="1071"/>
      <c r="C161" s="1084"/>
      <c r="D161" s="1071"/>
      <c r="E161" s="566"/>
      <c r="F161" s="1103"/>
      <c r="G161" s="1084"/>
      <c r="H161" s="1071"/>
      <c r="I161" s="1084"/>
      <c r="J161" s="1103"/>
      <c r="K161" s="1084"/>
      <c r="L161" s="1103"/>
      <c r="M161" s="1084"/>
      <c r="N161" s="1103"/>
      <c r="O161" s="1084"/>
      <c r="P161" s="1103"/>
      <c r="Q161" s="1084"/>
      <c r="R161" s="1071"/>
      <c r="S161" s="1084"/>
      <c r="T161" s="1103"/>
      <c r="U161" s="1084"/>
      <c r="V161" s="1103"/>
      <c r="W161" s="1084"/>
      <c r="X161" s="1103"/>
      <c r="Y161" s="726"/>
      <c r="Z161" s="711"/>
      <c r="AA161" s="602"/>
      <c r="AB161" s="607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4"/>
      <c r="B162" s="1071"/>
      <c r="C162" s="1084"/>
      <c r="D162" s="1071"/>
      <c r="E162" s="1084"/>
      <c r="F162" s="1080"/>
      <c r="G162" s="1084"/>
      <c r="H162" s="1071"/>
      <c r="I162" s="1084"/>
      <c r="J162" s="1080"/>
      <c r="K162" s="1084"/>
      <c r="L162" s="1080"/>
      <c r="M162" s="1084"/>
      <c r="N162" s="1080"/>
      <c r="O162" s="1084"/>
      <c r="P162" s="1080"/>
      <c r="Q162" s="1084"/>
      <c r="R162" s="1071"/>
      <c r="S162" s="1084"/>
      <c r="T162" s="1080"/>
      <c r="U162" s="1084"/>
      <c r="V162" s="1080"/>
      <c r="W162" s="1084"/>
      <c r="X162" s="1080"/>
      <c r="Y162" s="726"/>
      <c r="Z162" s="711"/>
      <c r="AA162" s="602"/>
      <c r="AB162" s="607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4"/>
      <c r="B163" s="1323"/>
      <c r="C163" s="570">
        <v>287.35199999999998</v>
      </c>
      <c r="D163" s="1323"/>
      <c r="E163" s="571">
        <v>416</v>
      </c>
      <c r="F163" s="1342" t="s">
        <v>89</v>
      </c>
      <c r="G163" s="571">
        <v>352.35399999999998</v>
      </c>
      <c r="H163" s="1334" t="s">
        <v>89</v>
      </c>
      <c r="I163" s="571">
        <v>361</v>
      </c>
      <c r="J163" s="1331"/>
      <c r="K163" s="571">
        <v>426</v>
      </c>
      <c r="L163" s="1331"/>
      <c r="M163" s="571">
        <v>394</v>
      </c>
      <c r="N163" s="1331"/>
      <c r="O163" s="571">
        <v>384</v>
      </c>
      <c r="P163" s="1315" t="s">
        <v>560</v>
      </c>
      <c r="Q163" s="571">
        <v>414</v>
      </c>
      <c r="R163" s="1323"/>
      <c r="S163" s="571">
        <v>480</v>
      </c>
      <c r="T163" s="1323"/>
      <c r="U163" s="571">
        <v>395</v>
      </c>
      <c r="V163" s="1315"/>
      <c r="W163" s="571">
        <v>329</v>
      </c>
      <c r="X163" s="1315"/>
      <c r="Y163" s="720">
        <v>417.94499999999999</v>
      </c>
      <c r="Z163" s="711">
        <v>2</v>
      </c>
      <c r="AA163" s="602"/>
      <c r="AB163" s="607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4"/>
      <c r="B164" s="1318"/>
      <c r="C164" s="1080"/>
      <c r="D164" s="1318"/>
      <c r="E164" s="1080"/>
      <c r="F164" s="1343"/>
      <c r="G164" s="1080"/>
      <c r="H164" s="1344"/>
      <c r="I164" s="1080"/>
      <c r="J164" s="1345"/>
      <c r="K164" s="1080"/>
      <c r="L164" s="1332"/>
      <c r="M164" s="1080"/>
      <c r="N164" s="1332"/>
      <c r="O164" s="1080"/>
      <c r="P164" s="1316"/>
      <c r="Q164" s="1080"/>
      <c r="R164" s="1318"/>
      <c r="S164" s="1080"/>
      <c r="T164" s="1318"/>
      <c r="U164" s="1080"/>
      <c r="V164" s="1316"/>
      <c r="W164" s="1080"/>
      <c r="X164" s="1316"/>
      <c r="Y164" s="721"/>
      <c r="Z164" s="711"/>
      <c r="AA164" s="602"/>
      <c r="AB164" s="607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4"/>
      <c r="B165" s="1078" t="s">
        <v>605</v>
      </c>
      <c r="C165" s="573"/>
      <c r="D165" s="1078" t="s">
        <v>606</v>
      </c>
      <c r="E165" s="1079"/>
      <c r="F165" s="1078" t="s">
        <v>358</v>
      </c>
      <c r="G165" s="1079"/>
      <c r="H165" s="1078" t="s">
        <v>607</v>
      </c>
      <c r="I165" s="1079"/>
      <c r="J165" s="1078" t="s">
        <v>359</v>
      </c>
      <c r="K165" s="1079"/>
      <c r="L165" s="1078" t="s">
        <v>360</v>
      </c>
      <c r="M165" s="1079"/>
      <c r="N165" s="1078" t="s">
        <v>361</v>
      </c>
      <c r="O165" s="1079"/>
      <c r="P165" s="1078" t="s">
        <v>362</v>
      </c>
      <c r="Q165" s="1079"/>
      <c r="R165" s="1078" t="s">
        <v>363</v>
      </c>
      <c r="S165" s="1079"/>
      <c r="T165" s="1078" t="s">
        <v>608</v>
      </c>
      <c r="U165" s="1080"/>
      <c r="V165" s="1078" t="s">
        <v>364</v>
      </c>
      <c r="W165" s="1079"/>
      <c r="X165" s="1078" t="s">
        <v>365</v>
      </c>
      <c r="Y165" s="722"/>
      <c r="Z165" s="711"/>
      <c r="AA165" s="602"/>
      <c r="AB165" s="607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4"/>
      <c r="B166" s="573" t="s">
        <v>288</v>
      </c>
      <c r="C166" s="1081">
        <v>0.287352</v>
      </c>
      <c r="D166" s="1106" t="s">
        <v>316</v>
      </c>
      <c r="E166" s="573"/>
      <c r="F166" s="573" t="s">
        <v>217</v>
      </c>
      <c r="G166" s="1081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81">
        <f>(I163+K163+M163++O163+Q163)/1000</f>
        <v>1.9790000000000001</v>
      </c>
      <c r="R166" s="573" t="s">
        <v>569</v>
      </c>
      <c r="S166" s="1081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28">
        <f>(U163+W163+Y163)/1000</f>
        <v>1.141945</v>
      </c>
      <c r="Z166" s="711"/>
      <c r="AA166" s="602"/>
      <c r="AB166" s="607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4"/>
      <c r="B167" s="1011"/>
      <c r="C167" s="1089"/>
      <c r="D167" s="1011"/>
      <c r="E167" s="1011"/>
      <c r="F167" s="1011"/>
      <c r="G167" s="1089"/>
      <c r="H167" s="1011"/>
      <c r="I167" s="1011"/>
      <c r="J167" s="1011"/>
      <c r="K167" s="1011"/>
      <c r="L167" s="1011"/>
      <c r="M167" s="1011"/>
      <c r="N167" s="1011"/>
      <c r="O167" s="1011"/>
      <c r="P167" s="1011"/>
      <c r="Q167" s="1089"/>
      <c r="R167" s="1011"/>
      <c r="S167" s="1089"/>
      <c r="T167" s="1011"/>
      <c r="U167" s="1011"/>
      <c r="V167" s="1011"/>
      <c r="W167" s="1011"/>
      <c r="X167" s="1011"/>
      <c r="Y167" s="727"/>
      <c r="Z167" s="711"/>
      <c r="AA167" s="602"/>
      <c r="AB167" s="607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4"/>
      <c r="B168" s="573"/>
      <c r="C168" s="1081"/>
      <c r="D168" s="573"/>
      <c r="E168" s="573"/>
      <c r="F168" s="573"/>
      <c r="G168" s="1081"/>
      <c r="H168" s="573"/>
      <c r="I168" s="573"/>
      <c r="J168" s="573"/>
      <c r="K168" s="573"/>
      <c r="L168" s="573"/>
      <c r="M168" s="573"/>
      <c r="N168" s="573"/>
      <c r="O168" s="573"/>
      <c r="P168" s="573"/>
      <c r="Q168" s="1081"/>
      <c r="R168" s="573"/>
      <c r="S168" s="1081"/>
      <c r="T168" s="573"/>
      <c r="U168" s="573"/>
      <c r="V168" s="573"/>
      <c r="W168" s="573"/>
      <c r="X168" s="573"/>
      <c r="Y168" s="727"/>
      <c r="Z168" s="711"/>
      <c r="AA168" s="602"/>
      <c r="AB168" s="607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4"/>
      <c r="B169" s="573"/>
      <c r="C169" s="1080"/>
      <c r="D169" s="1102"/>
      <c r="E169" s="1080"/>
      <c r="F169" s="1102"/>
      <c r="G169" s="573"/>
      <c r="H169" s="1102"/>
      <c r="I169" s="1080"/>
      <c r="J169" s="573"/>
      <c r="K169" s="1080"/>
      <c r="L169" s="1102"/>
      <c r="M169" s="1080"/>
      <c r="N169" s="573"/>
      <c r="O169" s="1080"/>
      <c r="P169" s="1099"/>
      <c r="Q169" s="1100"/>
      <c r="R169" s="1099"/>
      <c r="S169" s="1100"/>
      <c r="T169" s="1099"/>
      <c r="U169" s="1099"/>
      <c r="V169" s="1099"/>
      <c r="W169" s="1100"/>
      <c r="X169" s="1099"/>
      <c r="Y169" s="727"/>
      <c r="Z169" s="711"/>
      <c r="AA169" s="602"/>
      <c r="AB169" s="607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4"/>
      <c r="B170" s="1071"/>
      <c r="C170" s="1084"/>
      <c r="D170" s="1071"/>
      <c r="E170" s="1084"/>
      <c r="F170" s="1103"/>
      <c r="G170" s="1084"/>
      <c r="H170" s="1071"/>
      <c r="I170" s="1084"/>
      <c r="J170" s="1103"/>
      <c r="K170" s="1084"/>
      <c r="L170" s="1103"/>
      <c r="M170" s="1084"/>
      <c r="N170" s="1071"/>
      <c r="O170" s="1084"/>
      <c r="P170" s="1071"/>
      <c r="Q170" s="1084"/>
      <c r="R170" s="1103"/>
      <c r="S170" s="1084"/>
      <c r="T170" s="1103"/>
      <c r="U170" s="1084"/>
      <c r="V170" s="1071"/>
      <c r="W170" s="1084"/>
      <c r="X170" s="1071"/>
      <c r="Y170" s="726"/>
      <c r="Z170" s="711"/>
      <c r="AA170" s="602"/>
      <c r="AB170" s="607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4"/>
      <c r="B171" s="1071"/>
      <c r="C171" s="1084"/>
      <c r="D171" s="1071"/>
      <c r="E171" s="1084"/>
      <c r="F171" s="1080"/>
      <c r="G171" s="1084"/>
      <c r="H171" s="1071"/>
      <c r="I171" s="1084"/>
      <c r="J171" s="1080"/>
      <c r="K171" s="1084"/>
      <c r="L171" s="1080"/>
      <c r="M171" s="1084"/>
      <c r="N171" s="1071"/>
      <c r="O171" s="1084"/>
      <c r="P171" s="1071"/>
      <c r="Q171" s="1084"/>
      <c r="R171" s="1080"/>
      <c r="S171" s="1084"/>
      <c r="T171" s="1080"/>
      <c r="U171" s="1084"/>
      <c r="V171" s="1071"/>
      <c r="W171" s="1084"/>
      <c r="X171" s="1071"/>
      <c r="Y171" s="726"/>
      <c r="Z171" s="711"/>
      <c r="AA171" s="602"/>
      <c r="AB171" s="607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4"/>
      <c r="B172" s="1323"/>
      <c r="C172" s="570">
        <v>467</v>
      </c>
      <c r="D172" s="1323"/>
      <c r="E172" s="571">
        <v>443</v>
      </c>
      <c r="F172" s="1315"/>
      <c r="G172" s="571">
        <v>310.74299999999999</v>
      </c>
      <c r="H172" s="1323"/>
      <c r="I172" s="571">
        <v>479</v>
      </c>
      <c r="J172" s="1328" t="s">
        <v>560</v>
      </c>
      <c r="K172" s="571">
        <v>321</v>
      </c>
      <c r="L172" s="1313"/>
      <c r="M172" s="571">
        <v>506</v>
      </c>
      <c r="N172" s="1323"/>
      <c r="O172" s="571">
        <v>421.20699999999999</v>
      </c>
      <c r="P172" s="1323"/>
      <c r="Q172" s="571">
        <v>421</v>
      </c>
      <c r="R172" s="1326" t="s">
        <v>732</v>
      </c>
      <c r="S172" s="571">
        <v>406</v>
      </c>
      <c r="T172" s="1340"/>
      <c r="U172" s="571">
        <v>435</v>
      </c>
      <c r="V172" s="1323"/>
      <c r="W172" s="571">
        <v>532.75900000000001</v>
      </c>
      <c r="X172" s="1317" t="s">
        <v>560</v>
      </c>
      <c r="Y172" s="720">
        <v>265.46499999999997</v>
      </c>
      <c r="Z172" s="711"/>
      <c r="AA172" s="602"/>
      <c r="AB172" s="607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4"/>
      <c r="B173" s="1318"/>
      <c r="C173" s="1080"/>
      <c r="D173" s="1318"/>
      <c r="E173" s="1080"/>
      <c r="F173" s="1316"/>
      <c r="G173" s="1080"/>
      <c r="H173" s="1318"/>
      <c r="I173" s="1080"/>
      <c r="J173" s="1316"/>
      <c r="K173" s="1080"/>
      <c r="L173" s="1314"/>
      <c r="M173" s="1080"/>
      <c r="N173" s="1318"/>
      <c r="O173" s="1080"/>
      <c r="P173" s="1318"/>
      <c r="Q173" s="1080"/>
      <c r="R173" s="1327"/>
      <c r="S173" s="1080"/>
      <c r="T173" s="1341"/>
      <c r="U173" s="1080"/>
      <c r="V173" s="1318"/>
      <c r="W173" s="1080"/>
      <c r="X173" s="1318"/>
      <c r="Y173" s="721"/>
      <c r="Z173" s="711">
        <v>1</v>
      </c>
      <c r="AA173" s="602"/>
      <c r="AB173" s="607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4"/>
      <c r="B174" s="1078" t="s">
        <v>609</v>
      </c>
      <c r="C174" s="573"/>
      <c r="D174" s="1078" t="s">
        <v>366</v>
      </c>
      <c r="E174" s="1079"/>
      <c r="F174" s="1078" t="s">
        <v>367</v>
      </c>
      <c r="G174" s="1079"/>
      <c r="H174" s="1078" t="s">
        <v>610</v>
      </c>
      <c r="I174" s="1079"/>
      <c r="J174" s="1078" t="s">
        <v>368</v>
      </c>
      <c r="K174" s="1079"/>
      <c r="L174" s="1078" t="s">
        <v>369</v>
      </c>
      <c r="M174" s="1079"/>
      <c r="N174" s="1078" t="s">
        <v>370</v>
      </c>
      <c r="O174" s="1079"/>
      <c r="P174" s="1078" t="s">
        <v>611</v>
      </c>
      <c r="Q174" s="1079"/>
      <c r="R174" s="1078" t="s">
        <v>371</v>
      </c>
      <c r="S174" s="1079"/>
      <c r="T174" s="1078" t="s">
        <v>372</v>
      </c>
      <c r="U174" s="1080"/>
      <c r="V174" s="1078" t="s">
        <v>373</v>
      </c>
      <c r="W174" s="1079"/>
      <c r="X174" s="1078" t="s">
        <v>612</v>
      </c>
      <c r="Y174" s="722"/>
      <c r="Z174" s="711"/>
      <c r="AA174" s="602"/>
      <c r="AB174" s="607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4"/>
      <c r="B175" s="573" t="s">
        <v>374</v>
      </c>
      <c r="C175" s="1081">
        <f>C172/1000</f>
        <v>0.46700000000000003</v>
      </c>
      <c r="D175" s="573" t="s">
        <v>288</v>
      </c>
      <c r="E175" s="573"/>
      <c r="F175" s="573" t="s">
        <v>217</v>
      </c>
      <c r="G175" s="1081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81">
        <f>(I172+K172+M172)/1000</f>
        <v>1.306</v>
      </c>
      <c r="N175" s="573" t="s">
        <v>288</v>
      </c>
      <c r="O175" s="1081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81">
        <f>(+Q172+S172+U172)/1000</f>
        <v>1.262</v>
      </c>
      <c r="V175" s="573" t="s">
        <v>288</v>
      </c>
      <c r="W175" s="1081">
        <f>(W172)/1000</f>
        <v>0.53275899999999998</v>
      </c>
      <c r="X175" s="573" t="s">
        <v>297</v>
      </c>
      <c r="Y175" s="728">
        <f>(Y172)/1000</f>
        <v>0.26546499999999995</v>
      </c>
      <c r="Z175" s="711"/>
      <c r="AA175" s="602"/>
      <c r="AB175" s="607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4"/>
      <c r="B176" s="1011"/>
      <c r="C176" s="1089"/>
      <c r="D176" s="1011"/>
      <c r="E176" s="1011"/>
      <c r="F176" s="1011"/>
      <c r="G176" s="1089"/>
      <c r="H176" s="1011"/>
      <c r="I176" s="1011"/>
      <c r="J176" s="1011"/>
      <c r="K176" s="1011"/>
      <c r="L176" s="1011"/>
      <c r="M176" s="1089"/>
      <c r="N176" s="1011"/>
      <c r="O176" s="1089"/>
      <c r="P176" s="1011"/>
      <c r="Q176" s="1011"/>
      <c r="R176" s="573"/>
      <c r="S176" s="573"/>
      <c r="T176" s="573" t="s">
        <v>733</v>
      </c>
      <c r="U176" s="1081"/>
      <c r="V176" s="1011"/>
      <c r="W176" s="1081"/>
      <c r="X176" s="573"/>
      <c r="Y176" s="728"/>
      <c r="Z176" s="711"/>
      <c r="AA176" s="602"/>
      <c r="AB176" s="607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4"/>
      <c r="B177" s="573"/>
      <c r="C177" s="1081"/>
      <c r="D177" s="573"/>
      <c r="E177" s="573"/>
      <c r="F177" s="573"/>
      <c r="G177" s="1081"/>
      <c r="H177" s="573"/>
      <c r="I177" s="573"/>
      <c r="J177" s="573"/>
      <c r="K177" s="573"/>
      <c r="L177" s="573"/>
      <c r="M177" s="1081"/>
      <c r="N177" s="573"/>
      <c r="O177" s="1081"/>
      <c r="P177" s="573"/>
      <c r="Q177" s="573"/>
      <c r="R177" s="573"/>
      <c r="S177" s="573"/>
      <c r="T177" s="573"/>
      <c r="U177" s="1081"/>
      <c r="V177" s="573"/>
      <c r="W177" s="1081"/>
      <c r="X177" s="573"/>
      <c r="Y177" s="728"/>
      <c r="Z177" s="711"/>
      <c r="AA177" s="602"/>
      <c r="AB177" s="607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4"/>
      <c r="B178" s="573"/>
      <c r="C178" s="1081"/>
      <c r="D178" s="573"/>
      <c r="E178" s="573"/>
      <c r="F178" s="573"/>
      <c r="G178" s="1081"/>
      <c r="H178" s="573"/>
      <c r="I178" s="573"/>
      <c r="J178" s="573"/>
      <c r="K178" s="573"/>
      <c r="L178" s="573"/>
      <c r="M178" s="1081"/>
      <c r="N178" s="573"/>
      <c r="O178" s="1081"/>
      <c r="P178" s="573"/>
      <c r="Q178" s="573"/>
      <c r="R178" s="1105"/>
      <c r="S178" s="573"/>
      <c r="T178" s="573"/>
      <c r="U178" s="1081"/>
      <c r="V178" s="1105"/>
      <c r="W178" s="1081"/>
      <c r="X178" s="573"/>
      <c r="Y178" s="728"/>
      <c r="Z178" s="711"/>
      <c r="AA178" s="602"/>
      <c r="AB178" s="607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4"/>
      <c r="B179" s="1071"/>
      <c r="C179" s="1071"/>
      <c r="D179" s="1102"/>
      <c r="E179" s="1080"/>
      <c r="F179" s="573"/>
      <c r="G179" s="1080"/>
      <c r="H179" s="573"/>
      <c r="I179" s="1080"/>
      <c r="J179" s="573"/>
      <c r="K179" s="1071"/>
      <c r="L179" s="573"/>
      <c r="M179" s="1080"/>
      <c r="N179" s="573"/>
      <c r="O179" s="1080"/>
      <c r="P179" s="573"/>
      <c r="Q179" s="1071"/>
      <c r="R179" s="573"/>
      <c r="S179" s="573"/>
      <c r="T179" s="573"/>
      <c r="U179" s="573"/>
      <c r="V179" s="573"/>
      <c r="W179" s="573"/>
      <c r="X179" s="573"/>
      <c r="Y179" s="723"/>
      <c r="Z179" s="711"/>
      <c r="AA179" s="602"/>
      <c r="AB179" s="607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4"/>
      <c r="B180" s="1071"/>
      <c r="C180" s="1084"/>
      <c r="D180" s="1071"/>
      <c r="E180" s="1084"/>
      <c r="F180" s="1071"/>
      <c r="G180" s="1084"/>
      <c r="H180" s="1103"/>
      <c r="I180" s="1084"/>
      <c r="J180" s="1103"/>
      <c r="K180" s="1084"/>
      <c r="L180" s="1103"/>
      <c r="M180" s="1084"/>
      <c r="N180" s="1103"/>
      <c r="O180" s="1084"/>
      <c r="P180" s="1103"/>
      <c r="Q180" s="1084"/>
      <c r="R180" s="1103"/>
      <c r="S180" s="1084"/>
      <c r="T180" s="1071"/>
      <c r="U180" s="1084"/>
      <c r="V180" s="1103"/>
      <c r="W180" s="1084"/>
      <c r="X180" s="1103"/>
      <c r="Y180" s="726"/>
      <c r="Z180" s="711"/>
      <c r="AA180" s="602"/>
      <c r="AB180" s="607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4"/>
      <c r="B181" s="1071"/>
      <c r="C181" s="1084"/>
      <c r="D181" s="1071"/>
      <c r="E181" s="1084"/>
      <c r="F181" s="1071"/>
      <c r="G181" s="1084"/>
      <c r="H181" s="1080"/>
      <c r="I181" s="1084"/>
      <c r="J181" s="1080"/>
      <c r="K181" s="1084"/>
      <c r="L181" s="1080"/>
      <c r="M181" s="1084"/>
      <c r="N181" s="1080"/>
      <c r="O181" s="1084"/>
      <c r="P181" s="1080"/>
      <c r="Q181" s="1084"/>
      <c r="R181" s="1080"/>
      <c r="S181" s="1084"/>
      <c r="T181" s="1071"/>
      <c r="U181" s="1084"/>
      <c r="V181" s="1080"/>
      <c r="W181" s="1084"/>
      <c r="X181" s="1080"/>
      <c r="Y181" s="726"/>
      <c r="Z181" s="711"/>
      <c r="AA181" s="602"/>
      <c r="AB181" s="607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4"/>
      <c r="B182" s="1323"/>
      <c r="C182" s="570">
        <v>484</v>
      </c>
      <c r="D182" s="1317" t="s">
        <v>560</v>
      </c>
      <c r="E182" s="571">
        <v>611</v>
      </c>
      <c r="F182" s="1323"/>
      <c r="G182" s="571">
        <v>367</v>
      </c>
      <c r="H182" s="1328" t="s">
        <v>560</v>
      </c>
      <c r="I182" s="571">
        <v>468.584</v>
      </c>
      <c r="J182" s="1315"/>
      <c r="K182" s="571">
        <v>371.416</v>
      </c>
      <c r="L182" s="1315"/>
      <c r="M182" s="571">
        <v>370</v>
      </c>
      <c r="N182" s="1313"/>
      <c r="O182" s="571">
        <v>327</v>
      </c>
      <c r="P182" s="1315"/>
      <c r="Q182" s="571">
        <v>318</v>
      </c>
      <c r="R182" s="1315"/>
      <c r="S182" s="571">
        <v>339.76900000000001</v>
      </c>
      <c r="T182" s="1321"/>
      <c r="U182" s="571">
        <v>395.99900000000002</v>
      </c>
      <c r="V182" s="1313"/>
      <c r="W182" s="571">
        <v>377</v>
      </c>
      <c r="X182" s="1313"/>
      <c r="Y182" s="720">
        <v>398</v>
      </c>
      <c r="Z182" s="711"/>
      <c r="AA182" s="602"/>
      <c r="AB182" s="607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4"/>
      <c r="B183" s="1318"/>
      <c r="C183" s="1080"/>
      <c r="D183" s="1318"/>
      <c r="E183" s="1080"/>
      <c r="F183" s="1318"/>
      <c r="G183" s="1080"/>
      <c r="H183" s="1316"/>
      <c r="I183" s="1080"/>
      <c r="J183" s="1316"/>
      <c r="K183" s="1080"/>
      <c r="L183" s="1316"/>
      <c r="M183" s="1080"/>
      <c r="N183" s="1314"/>
      <c r="O183" s="1080"/>
      <c r="P183" s="1316"/>
      <c r="Q183" s="1080"/>
      <c r="R183" s="1316"/>
      <c r="S183" s="1080"/>
      <c r="T183" s="1322"/>
      <c r="U183" s="1080"/>
      <c r="V183" s="1314"/>
      <c r="W183" s="1080"/>
      <c r="X183" s="1314"/>
      <c r="Y183" s="721"/>
      <c r="Z183" s="711"/>
      <c r="AA183" s="602"/>
      <c r="AB183" s="607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4"/>
      <c r="B184" s="1078" t="s">
        <v>613</v>
      </c>
      <c r="C184" s="573"/>
      <c r="D184" s="1078" t="s">
        <v>376</v>
      </c>
      <c r="E184" s="1079"/>
      <c r="F184" s="1078" t="s">
        <v>377</v>
      </c>
      <c r="G184" s="1079"/>
      <c r="H184" s="1078" t="s">
        <v>378</v>
      </c>
      <c r="I184" s="1079"/>
      <c r="J184" s="1078" t="s">
        <v>379</v>
      </c>
      <c r="K184" s="1079"/>
      <c r="L184" s="1078" t="s">
        <v>380</v>
      </c>
      <c r="M184" s="1079"/>
      <c r="N184" s="1078" t="s">
        <v>381</v>
      </c>
      <c r="O184" s="1079"/>
      <c r="P184" s="1078" t="s">
        <v>382</v>
      </c>
      <c r="Q184" s="1079"/>
      <c r="R184" s="1078" t="s">
        <v>383</v>
      </c>
      <c r="S184" s="1079"/>
      <c r="T184" s="1078" t="s">
        <v>614</v>
      </c>
      <c r="U184" s="1080"/>
      <c r="V184" s="1078" t="s">
        <v>384</v>
      </c>
      <c r="W184" s="1079"/>
      <c r="X184" s="1078" t="s">
        <v>385</v>
      </c>
      <c r="Y184" s="722"/>
      <c r="Z184" s="711"/>
      <c r="AA184" s="602"/>
      <c r="AB184" s="607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4"/>
      <c r="B185" s="573" t="s">
        <v>324</v>
      </c>
      <c r="C185" s="1081">
        <f>C182/1000</f>
        <v>0.48399999999999999</v>
      </c>
      <c r="D185" s="573" t="s">
        <v>242</v>
      </c>
      <c r="E185" s="1081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81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3"/>
      <c r="Z185" s="711"/>
      <c r="AA185" s="602"/>
      <c r="AB185" s="607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4"/>
      <c r="B186" s="1011"/>
      <c r="C186" s="1089"/>
      <c r="D186" s="1011"/>
      <c r="E186" s="1089"/>
      <c r="F186" s="1011"/>
      <c r="G186" s="1011"/>
      <c r="H186" s="1011"/>
      <c r="I186" s="1011"/>
      <c r="J186" s="1011"/>
      <c r="K186" s="1011"/>
      <c r="L186" s="1011"/>
      <c r="M186" s="1011"/>
      <c r="N186" s="1011"/>
      <c r="O186" s="1011"/>
      <c r="P186" s="1011"/>
      <c r="Q186" s="1011"/>
      <c r="R186" s="1011"/>
      <c r="S186" s="1081"/>
      <c r="T186" s="1104"/>
      <c r="U186" s="1104"/>
      <c r="V186" s="1104"/>
      <c r="W186" s="1104"/>
      <c r="X186" s="1104"/>
      <c r="Y186" s="723"/>
      <c r="Z186" s="711"/>
      <c r="AA186" s="602"/>
      <c r="AB186" s="607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4"/>
      <c r="B187" s="573"/>
      <c r="C187" s="1081"/>
      <c r="D187" s="573"/>
      <c r="E187" s="1081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81"/>
      <c r="T187" s="1338"/>
      <c r="U187" s="1338"/>
      <c r="V187" s="1338"/>
      <c r="W187" s="1338"/>
      <c r="X187" s="1338"/>
      <c r="Y187" s="1339"/>
      <c r="Z187" s="711"/>
      <c r="AA187" s="602"/>
      <c r="AB187" s="607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4"/>
      <c r="B188" s="573"/>
      <c r="C188" s="1080"/>
      <c r="D188" s="1104"/>
      <c r="E188" s="1104"/>
      <c r="F188" s="1104"/>
      <c r="G188" s="1104"/>
      <c r="H188" s="573"/>
      <c r="I188" s="1104"/>
      <c r="J188" s="573"/>
      <c r="K188" s="1104"/>
      <c r="L188" s="573"/>
      <c r="M188" s="1104"/>
      <c r="N188" s="1104"/>
      <c r="O188" s="1104"/>
      <c r="P188" s="1104"/>
      <c r="Q188" s="1104"/>
      <c r="R188" s="1104"/>
      <c r="S188" s="1104"/>
      <c r="T188" s="1104"/>
      <c r="U188" s="1104"/>
      <c r="V188" s="1104"/>
      <c r="W188" s="1102"/>
      <c r="X188" s="1104"/>
      <c r="Y188" s="716"/>
      <c r="Z188" s="711"/>
      <c r="AA188" s="602"/>
      <c r="AB188" s="607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4"/>
      <c r="B189" s="1103"/>
      <c r="C189" s="1084"/>
      <c r="D189" s="1103"/>
      <c r="E189" s="1084"/>
      <c r="F189" s="1071"/>
      <c r="G189" s="1084"/>
      <c r="H189" s="1103"/>
      <c r="I189" s="1084"/>
      <c r="J189" s="1103"/>
      <c r="K189" s="1084"/>
      <c r="L189" s="1103"/>
      <c r="M189" s="1084"/>
      <c r="N189" s="1103"/>
      <c r="O189" s="1084"/>
      <c r="P189" s="1103"/>
      <c r="Q189" s="1084"/>
      <c r="R189" s="1071"/>
      <c r="S189" s="1084"/>
      <c r="T189" s="1103"/>
      <c r="U189" s="1084"/>
      <c r="V189" s="1103"/>
      <c r="W189" s="1084"/>
      <c r="X189" s="1103"/>
      <c r="Y189" s="726"/>
      <c r="Z189" s="711"/>
      <c r="AA189" s="602"/>
      <c r="AB189" s="607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4"/>
      <c r="B190" s="1080"/>
      <c r="C190" s="1084"/>
      <c r="D190" s="1080"/>
      <c r="E190" s="1084"/>
      <c r="F190" s="1071"/>
      <c r="G190" s="1084"/>
      <c r="H190" s="1080"/>
      <c r="I190" s="1084"/>
      <c r="J190" s="1080"/>
      <c r="K190" s="1084"/>
      <c r="L190" s="1080"/>
      <c r="M190" s="1084"/>
      <c r="N190" s="1080"/>
      <c r="O190" s="1084"/>
      <c r="P190" s="1080"/>
      <c r="Q190" s="1084"/>
      <c r="R190" s="1071"/>
      <c r="S190" s="1084"/>
      <c r="T190" s="1080"/>
      <c r="U190" s="1084"/>
      <c r="V190" s="1080"/>
      <c r="W190" s="1084"/>
      <c r="X190" s="1080"/>
      <c r="Y190" s="726"/>
      <c r="Z190" s="711"/>
      <c r="AA190" s="602"/>
      <c r="AB190" s="607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4"/>
      <c r="B191" s="1313"/>
      <c r="C191" s="570">
        <v>393</v>
      </c>
      <c r="D191" s="1313"/>
      <c r="E191" s="571">
        <v>373.66</v>
      </c>
      <c r="F191" s="1321"/>
      <c r="G191" s="571">
        <v>363</v>
      </c>
      <c r="H191" s="1313"/>
      <c r="I191" s="571">
        <v>349</v>
      </c>
      <c r="J191" s="1313"/>
      <c r="K191" s="571">
        <v>386</v>
      </c>
      <c r="L191" s="1313"/>
      <c r="M191" s="571">
        <v>390</v>
      </c>
      <c r="N191" s="1313"/>
      <c r="O191" s="571">
        <v>417</v>
      </c>
      <c r="P191" s="1313"/>
      <c r="Q191" s="571">
        <v>422.99700000000001</v>
      </c>
      <c r="R191" s="1321"/>
      <c r="S191" s="571">
        <v>340</v>
      </c>
      <c r="T191" s="1313"/>
      <c r="U191" s="571">
        <v>365</v>
      </c>
      <c r="V191" s="1315"/>
      <c r="W191" s="571">
        <v>403</v>
      </c>
      <c r="X191" s="1313"/>
      <c r="Y191" s="720">
        <v>382</v>
      </c>
      <c r="Z191" s="711"/>
      <c r="AA191" s="602"/>
      <c r="AB191" s="607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4"/>
      <c r="B192" s="1314"/>
      <c r="C192" s="1080"/>
      <c r="D192" s="1314"/>
      <c r="E192" s="1080"/>
      <c r="F192" s="1322"/>
      <c r="G192" s="1080"/>
      <c r="H192" s="1314"/>
      <c r="I192" s="1080"/>
      <c r="J192" s="1314"/>
      <c r="K192" s="1080"/>
      <c r="L192" s="1314"/>
      <c r="M192" s="1080"/>
      <c r="N192" s="1314"/>
      <c r="O192" s="1080"/>
      <c r="P192" s="1314"/>
      <c r="Q192" s="1080"/>
      <c r="R192" s="1322"/>
      <c r="S192" s="1080"/>
      <c r="T192" s="1314"/>
      <c r="U192" s="1080"/>
      <c r="V192" s="1316"/>
      <c r="W192" s="1080"/>
      <c r="X192" s="1314"/>
      <c r="Y192" s="721"/>
      <c r="Z192" s="711"/>
      <c r="AA192" s="602"/>
      <c r="AB192" s="607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4"/>
      <c r="B193" s="1078" t="s">
        <v>386</v>
      </c>
      <c r="C193" s="573"/>
      <c r="D193" s="1078" t="s">
        <v>387</v>
      </c>
      <c r="E193" s="1079"/>
      <c r="F193" s="1078" t="s">
        <v>615</v>
      </c>
      <c r="G193" s="1079"/>
      <c r="H193" s="1078" t="s">
        <v>388</v>
      </c>
      <c r="I193" s="1079"/>
      <c r="J193" s="1078" t="s">
        <v>389</v>
      </c>
      <c r="K193" s="1079"/>
      <c r="L193" s="1078" t="s">
        <v>390</v>
      </c>
      <c r="M193" s="1079"/>
      <c r="N193" s="1078" t="s">
        <v>391</v>
      </c>
      <c r="O193" s="1079"/>
      <c r="P193" s="1078" t="s">
        <v>392</v>
      </c>
      <c r="Q193" s="1079"/>
      <c r="R193" s="1078" t="s">
        <v>616</v>
      </c>
      <c r="S193" s="1079"/>
      <c r="T193" s="1078" t="s">
        <v>393</v>
      </c>
      <c r="U193" s="1080"/>
      <c r="V193" s="1078" t="s">
        <v>394</v>
      </c>
      <c r="W193" s="1079"/>
      <c r="X193" s="1078" t="s">
        <v>395</v>
      </c>
      <c r="Y193" s="722"/>
      <c r="Z193" s="711"/>
      <c r="AA193" s="602"/>
      <c r="AB193" s="607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4"/>
      <c r="B194" s="573" t="s">
        <v>217</v>
      </c>
      <c r="C194" s="573"/>
      <c r="D194" s="573" t="s">
        <v>217</v>
      </c>
      <c r="E194" s="1081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81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3"/>
      <c r="Z194" s="711"/>
      <c r="AA194" s="602"/>
      <c r="AB194" s="607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12"/>
      <c r="B195" s="1071"/>
      <c r="C195" s="1071"/>
      <c r="D195" s="1071"/>
      <c r="E195" s="1071"/>
      <c r="F195" s="1071"/>
      <c r="G195" s="1071"/>
      <c r="H195" s="1071"/>
      <c r="I195" s="1071"/>
      <c r="J195" s="1071"/>
      <c r="K195" s="1071"/>
      <c r="L195" s="1071"/>
      <c r="M195" s="1071"/>
      <c r="N195" s="1071"/>
      <c r="O195" s="1071"/>
      <c r="P195" s="1071"/>
      <c r="Q195" s="573"/>
      <c r="R195" s="714"/>
      <c r="S195" s="573"/>
      <c r="T195" s="573"/>
      <c r="U195" s="573"/>
      <c r="V195" s="1011"/>
      <c r="W195" s="573"/>
      <c r="X195" s="573"/>
      <c r="Y195" s="723"/>
      <c r="Z195" s="711"/>
      <c r="AA195" s="602"/>
      <c r="AB195" s="607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4"/>
      <c r="B196" s="1336"/>
      <c r="C196" s="1337"/>
      <c r="D196" s="1337"/>
      <c r="E196" s="1337"/>
      <c r="F196" s="1337"/>
      <c r="G196" s="1337"/>
      <c r="H196" s="1337"/>
      <c r="I196" s="1337"/>
      <c r="J196" s="1337"/>
      <c r="K196" s="1337"/>
      <c r="L196" s="1337"/>
      <c r="M196" s="1337"/>
      <c r="N196" s="1337"/>
      <c r="O196" s="1337"/>
      <c r="P196" s="1337"/>
      <c r="Q196" s="1337"/>
      <c r="R196" s="1095"/>
      <c r="S196" s="573"/>
      <c r="T196" s="573"/>
      <c r="U196" s="573"/>
      <c r="V196" s="573"/>
      <c r="W196" s="573"/>
      <c r="X196" s="573"/>
      <c r="Y196" s="723"/>
      <c r="Z196" s="711"/>
      <c r="AA196" s="602"/>
      <c r="AB196" s="607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4"/>
      <c r="B197" s="1071"/>
      <c r="C197" s="1071"/>
      <c r="D197" s="1071"/>
      <c r="E197" s="1071"/>
      <c r="F197" s="1071"/>
      <c r="G197" s="1071"/>
      <c r="H197" s="1071"/>
      <c r="I197" s="1071"/>
      <c r="J197" s="1071"/>
      <c r="K197" s="1071"/>
      <c r="L197" s="1071"/>
      <c r="M197" s="1071"/>
      <c r="N197" s="1071"/>
      <c r="O197" s="1071"/>
      <c r="P197" s="1071"/>
      <c r="Q197" s="1071"/>
      <c r="R197" s="1071"/>
      <c r="S197" s="1071"/>
      <c r="T197" s="1071"/>
      <c r="U197" s="1071"/>
      <c r="V197" s="1071"/>
      <c r="W197" s="1071"/>
      <c r="X197" s="1071"/>
      <c r="Y197" s="719"/>
      <c r="Z197" s="711"/>
      <c r="AA197" s="602"/>
      <c r="AB197" s="607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4"/>
      <c r="B198" s="1103"/>
      <c r="C198" s="1084"/>
      <c r="D198" s="1103"/>
      <c r="E198" s="1084"/>
      <c r="F198" s="1103"/>
      <c r="G198" s="1084"/>
      <c r="H198" s="1103"/>
      <c r="I198" s="1084"/>
      <c r="J198" s="1103"/>
      <c r="K198" s="1084"/>
      <c r="L198" s="1103"/>
      <c r="M198" s="1084"/>
      <c r="N198" s="1103"/>
      <c r="O198" s="1084"/>
      <c r="P198" s="1103"/>
      <c r="Q198" s="1084"/>
      <c r="R198" s="1103"/>
      <c r="S198" s="1084"/>
      <c r="T198" s="1071"/>
      <c r="U198" s="1084"/>
      <c r="V198" s="1103"/>
      <c r="W198" s="1084"/>
      <c r="X198" s="1103"/>
      <c r="Y198" s="726"/>
      <c r="Z198" s="711"/>
      <c r="AA198" s="602"/>
      <c r="AB198" s="607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4"/>
      <c r="B199" s="1080"/>
      <c r="C199" s="1084"/>
      <c r="D199" s="1080"/>
      <c r="E199" s="1084"/>
      <c r="F199" s="1080"/>
      <c r="G199" s="1084"/>
      <c r="H199" s="1080"/>
      <c r="I199" s="1084"/>
      <c r="J199" s="1080"/>
      <c r="K199" s="1084"/>
      <c r="L199" s="1080"/>
      <c r="M199" s="1084"/>
      <c r="N199" s="1080"/>
      <c r="O199" s="1084"/>
      <c r="P199" s="1080"/>
      <c r="Q199" s="1084"/>
      <c r="R199" s="1080"/>
      <c r="S199" s="1084"/>
      <c r="T199" s="1071"/>
      <c r="U199" s="1084"/>
      <c r="V199" s="1080"/>
      <c r="W199" s="1084"/>
      <c r="X199" s="1080"/>
      <c r="Y199" s="726"/>
      <c r="Z199" s="711"/>
      <c r="AA199" s="602"/>
      <c r="AB199" s="607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4"/>
      <c r="B200" s="1315"/>
      <c r="C200" s="570">
        <v>395</v>
      </c>
      <c r="D200" s="1451" t="s">
        <v>988</v>
      </c>
      <c r="E200" s="571">
        <v>385</v>
      </c>
      <c r="F200" s="1333" t="s">
        <v>734</v>
      </c>
      <c r="G200" s="571">
        <v>381</v>
      </c>
      <c r="H200" s="1333" t="s">
        <v>734</v>
      </c>
      <c r="I200" s="571">
        <v>395</v>
      </c>
      <c r="J200" s="1333" t="s">
        <v>734</v>
      </c>
      <c r="K200" s="571">
        <v>403</v>
      </c>
      <c r="L200" s="1333" t="s">
        <v>734</v>
      </c>
      <c r="M200" s="571">
        <v>383</v>
      </c>
      <c r="N200" s="1333" t="s">
        <v>734</v>
      </c>
      <c r="O200" s="571">
        <v>386</v>
      </c>
      <c r="P200" s="1333" t="s">
        <v>734</v>
      </c>
      <c r="Q200" s="571">
        <v>397</v>
      </c>
      <c r="R200" s="1333" t="s">
        <v>734</v>
      </c>
      <c r="S200" s="571">
        <v>370.834</v>
      </c>
      <c r="T200" s="1334" t="s">
        <v>769</v>
      </c>
      <c r="U200" s="571">
        <v>422</v>
      </c>
      <c r="V200" s="1326" t="s">
        <v>735</v>
      </c>
      <c r="W200" s="571">
        <v>417</v>
      </c>
      <c r="X200" s="1326" t="s">
        <v>735</v>
      </c>
      <c r="Y200" s="720">
        <v>400</v>
      </c>
      <c r="Z200" s="711"/>
      <c r="AA200" s="602"/>
      <c r="AB200" s="607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4"/>
      <c r="B201" s="1316"/>
      <c r="C201" s="1080"/>
      <c r="D201" s="1452"/>
      <c r="E201" s="1080"/>
      <c r="F201" s="1327"/>
      <c r="G201" s="1080"/>
      <c r="H201" s="1327"/>
      <c r="I201" s="1080"/>
      <c r="J201" s="1327"/>
      <c r="K201" s="1080"/>
      <c r="L201" s="1327"/>
      <c r="M201" s="1080"/>
      <c r="N201" s="1327"/>
      <c r="O201" s="1080"/>
      <c r="P201" s="1327"/>
      <c r="Q201" s="1080"/>
      <c r="R201" s="1327"/>
      <c r="S201" s="1080"/>
      <c r="T201" s="1335"/>
      <c r="U201" s="1080"/>
      <c r="V201" s="1327"/>
      <c r="W201" s="1080"/>
      <c r="X201" s="1327"/>
      <c r="Y201" s="721"/>
      <c r="Z201" s="711">
        <v>10</v>
      </c>
      <c r="AA201" s="602">
        <v>9</v>
      </c>
      <c r="AB201" s="607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4"/>
      <c r="B202" s="1078" t="s">
        <v>396</v>
      </c>
      <c r="C202" s="573"/>
      <c r="D202" s="1078" t="s">
        <v>397</v>
      </c>
      <c r="E202" s="1079"/>
      <c r="F202" s="1078" t="s">
        <v>398</v>
      </c>
      <c r="G202" s="1079"/>
      <c r="H202" s="1078" t="s">
        <v>399</v>
      </c>
      <c r="I202" s="1079"/>
      <c r="J202" s="1078" t="s">
        <v>400</v>
      </c>
      <c r="K202" s="1079"/>
      <c r="L202" s="1078" t="s">
        <v>401</v>
      </c>
      <c r="M202" s="1079"/>
      <c r="N202" s="1078" t="s">
        <v>402</v>
      </c>
      <c r="O202" s="1079"/>
      <c r="P202" s="1078" t="s">
        <v>403</v>
      </c>
      <c r="Q202" s="1079"/>
      <c r="R202" s="1078" t="s">
        <v>404</v>
      </c>
      <c r="S202" s="1079"/>
      <c r="T202" s="1078" t="s">
        <v>617</v>
      </c>
      <c r="U202" s="1080"/>
      <c r="V202" s="1078" t="s">
        <v>405</v>
      </c>
      <c r="W202" s="1079"/>
      <c r="X202" s="1078" t="s">
        <v>406</v>
      </c>
      <c r="Y202" s="722"/>
      <c r="Z202" s="711"/>
      <c r="AA202" s="602"/>
      <c r="AB202" s="607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4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81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3"/>
      <c r="Z203" s="711"/>
      <c r="AA203" s="602"/>
      <c r="AB203" s="607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4"/>
      <c r="B204" s="1011"/>
      <c r="C204" s="1011"/>
      <c r="D204" s="1011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81"/>
      <c r="T204" s="573"/>
      <c r="U204" s="573"/>
      <c r="V204" s="573"/>
      <c r="W204" s="573"/>
      <c r="X204" s="573"/>
      <c r="Y204" s="723"/>
      <c r="Z204" s="711"/>
      <c r="AA204" s="602"/>
      <c r="AB204" s="607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4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105"/>
      <c r="Q205" s="573"/>
      <c r="R205" s="1105"/>
      <c r="S205" s="1081"/>
      <c r="T205" s="573"/>
      <c r="U205" s="573"/>
      <c r="V205" s="1105"/>
      <c r="W205" s="573"/>
      <c r="X205" s="1105"/>
      <c r="Y205" s="723"/>
      <c r="Z205" s="711"/>
      <c r="AA205" s="602"/>
      <c r="AB205" s="607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4"/>
      <c r="B206" s="1071"/>
      <c r="C206" s="1071"/>
      <c r="D206" s="1071"/>
      <c r="E206" s="1071"/>
      <c r="F206" s="1071"/>
      <c r="G206" s="1071"/>
      <c r="H206" s="1071"/>
      <c r="I206" s="1071"/>
      <c r="J206" s="1071"/>
      <c r="K206" s="1071"/>
      <c r="L206" s="1071"/>
      <c r="M206" s="1071"/>
      <c r="N206" s="573"/>
      <c r="O206" s="1071"/>
      <c r="P206" s="573"/>
      <c r="Q206" s="1071"/>
      <c r="R206" s="573"/>
      <c r="S206" s="1080"/>
      <c r="T206" s="573"/>
      <c r="U206" s="1080"/>
      <c r="V206" s="573"/>
      <c r="W206" s="1080"/>
      <c r="X206" s="573"/>
      <c r="Y206" s="719"/>
      <c r="Z206" s="711"/>
      <c r="AA206" s="602"/>
      <c r="AB206" s="607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4"/>
      <c r="B207" s="1103"/>
      <c r="C207" s="1084"/>
      <c r="D207" s="1103"/>
      <c r="E207" s="1084"/>
      <c r="F207" s="1103"/>
      <c r="G207" s="566"/>
      <c r="H207" s="1103"/>
      <c r="I207" s="1084"/>
      <c r="J207" s="1103"/>
      <c r="K207" s="1084"/>
      <c r="L207" s="1103"/>
      <c r="M207" s="1084"/>
      <c r="N207" s="1103"/>
      <c r="O207" s="1084"/>
      <c r="P207" s="1103"/>
      <c r="Q207" s="1084"/>
      <c r="R207" s="1103"/>
      <c r="S207" s="1084"/>
      <c r="T207" s="1103"/>
      <c r="U207" s="1084"/>
      <c r="V207" s="1103"/>
      <c r="W207" s="1084"/>
      <c r="X207" s="1103"/>
      <c r="Y207" s="726"/>
      <c r="Z207" s="711"/>
      <c r="AA207" s="602"/>
      <c r="AB207" s="607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4"/>
      <c r="B208" s="1080"/>
      <c r="C208" s="1084"/>
      <c r="D208" s="1080"/>
      <c r="E208" s="1084"/>
      <c r="F208" s="1080"/>
      <c r="G208" s="1084"/>
      <c r="H208" s="1080"/>
      <c r="I208" s="1084"/>
      <c r="J208" s="1080"/>
      <c r="K208" s="1084"/>
      <c r="L208" s="1080"/>
      <c r="M208" s="1084"/>
      <c r="N208" s="1080"/>
      <c r="O208" s="1084"/>
      <c r="P208" s="1080"/>
      <c r="Q208" s="1084"/>
      <c r="R208" s="1080"/>
      <c r="S208" s="1084"/>
      <c r="T208" s="1080"/>
      <c r="U208" s="1084"/>
      <c r="V208" s="1080"/>
      <c r="W208" s="1084"/>
      <c r="X208" s="1080"/>
      <c r="Y208" s="726"/>
      <c r="Z208" s="711"/>
      <c r="AA208" s="602"/>
      <c r="AB208" s="607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4"/>
      <c r="B209" s="1326" t="s">
        <v>735</v>
      </c>
      <c r="C209" s="570">
        <v>421</v>
      </c>
      <c r="D209" s="1326" t="s">
        <v>735</v>
      </c>
      <c r="E209" s="571">
        <v>419</v>
      </c>
      <c r="F209" s="1326" t="s">
        <v>735</v>
      </c>
      <c r="G209" s="571">
        <v>402</v>
      </c>
      <c r="H209" s="1324" t="s">
        <v>689</v>
      </c>
      <c r="I209" s="571">
        <v>402</v>
      </c>
      <c r="J209" s="1324" t="s">
        <v>689</v>
      </c>
      <c r="K209" s="571">
        <v>411</v>
      </c>
      <c r="L209" s="1324" t="s">
        <v>689</v>
      </c>
      <c r="M209" s="571">
        <v>355.16899999999998</v>
      </c>
      <c r="N209" s="1326" t="s">
        <v>735</v>
      </c>
      <c r="O209" s="571">
        <v>390</v>
      </c>
      <c r="P209" s="1326" t="s">
        <v>732</v>
      </c>
      <c r="Q209" s="571">
        <v>380</v>
      </c>
      <c r="R209" s="1326" t="s">
        <v>732</v>
      </c>
      <c r="S209" s="571">
        <v>390</v>
      </c>
      <c r="T209" s="1326" t="s">
        <v>732</v>
      </c>
      <c r="U209" s="571">
        <v>398</v>
      </c>
      <c r="V209" s="1331"/>
      <c r="W209" s="571">
        <v>406</v>
      </c>
      <c r="X209" s="1326" t="s">
        <v>732</v>
      </c>
      <c r="Y209" s="720">
        <v>371</v>
      </c>
      <c r="Z209" s="711">
        <v>11</v>
      </c>
      <c r="AA209" s="602">
        <v>10</v>
      </c>
      <c r="AB209" s="607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4"/>
      <c r="B210" s="1327"/>
      <c r="C210" s="1080"/>
      <c r="D210" s="1327"/>
      <c r="E210" s="1080"/>
      <c r="F210" s="1327"/>
      <c r="G210" s="1080"/>
      <c r="H210" s="1325"/>
      <c r="I210" s="1080"/>
      <c r="J210" s="1325"/>
      <c r="K210" s="1080"/>
      <c r="L210" s="1325"/>
      <c r="M210" s="1080"/>
      <c r="N210" s="1327"/>
      <c r="O210" s="1080"/>
      <c r="P210" s="1327"/>
      <c r="Q210" s="1080"/>
      <c r="R210" s="1327"/>
      <c r="S210" s="1080"/>
      <c r="T210" s="1327"/>
      <c r="U210" s="1080"/>
      <c r="V210" s="1332"/>
      <c r="W210" s="1080"/>
      <c r="X210" s="1327"/>
      <c r="Y210" s="721"/>
      <c r="Z210" s="711"/>
      <c r="AA210" s="602"/>
      <c r="AB210" s="607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4"/>
      <c r="B211" s="1078" t="s">
        <v>407</v>
      </c>
      <c r="C211" s="573"/>
      <c r="D211" s="1078" t="s">
        <v>408</v>
      </c>
      <c r="E211" s="1079"/>
      <c r="F211" s="1078" t="s">
        <v>409</v>
      </c>
      <c r="G211" s="1079"/>
      <c r="H211" s="1078" t="s">
        <v>410</v>
      </c>
      <c r="I211" s="1079"/>
      <c r="J211" s="1078" t="s">
        <v>411</v>
      </c>
      <c r="K211" s="1079"/>
      <c r="L211" s="1078" t="s">
        <v>412</v>
      </c>
      <c r="M211" s="1079"/>
      <c r="N211" s="1078" t="s">
        <v>618</v>
      </c>
      <c r="O211" s="1079"/>
      <c r="P211" s="1078" t="s">
        <v>413</v>
      </c>
      <c r="Q211" s="1079"/>
      <c r="R211" s="1078" t="s">
        <v>414</v>
      </c>
      <c r="S211" s="1079"/>
      <c r="T211" s="1078" t="s">
        <v>619</v>
      </c>
      <c r="U211" s="1080"/>
      <c r="V211" s="1078" t="s">
        <v>620</v>
      </c>
      <c r="W211" s="1079"/>
      <c r="X211" s="1078" t="s">
        <v>621</v>
      </c>
      <c r="Y211" s="722"/>
      <c r="Z211" s="711"/>
      <c r="AA211" s="602"/>
      <c r="AB211" s="607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4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81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3"/>
      <c r="Z212" s="711"/>
      <c r="AA212" s="602"/>
      <c r="AB212" s="607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4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81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3"/>
      <c r="Z213" s="711"/>
      <c r="AA213" s="602"/>
      <c r="AB213" s="607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4"/>
      <c r="B214" s="1011"/>
      <c r="C214" s="1011"/>
      <c r="D214" s="1011"/>
      <c r="E214" s="1011"/>
      <c r="F214" s="1011"/>
      <c r="G214" s="1011"/>
      <c r="H214" s="1011"/>
      <c r="I214" s="1011"/>
      <c r="J214" s="1011"/>
      <c r="K214" s="1011"/>
      <c r="L214" s="1011"/>
      <c r="M214" s="1081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3"/>
      <c r="Z214" s="711"/>
      <c r="AA214" s="602"/>
      <c r="AB214" s="607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4"/>
      <c r="B215" s="1071"/>
      <c r="C215" s="1071"/>
      <c r="D215" s="1071"/>
      <c r="E215" s="1071"/>
      <c r="F215" s="1071"/>
      <c r="G215" s="1071"/>
      <c r="H215" s="1071"/>
      <c r="I215" s="1071"/>
      <c r="J215" s="1071"/>
      <c r="K215" s="1071"/>
      <c r="L215" s="1071"/>
      <c r="M215" s="1071"/>
      <c r="N215" s="573"/>
      <c r="O215" s="1071"/>
      <c r="P215" s="573"/>
      <c r="Q215" s="1071"/>
      <c r="R215" s="573"/>
      <c r="S215" s="1080"/>
      <c r="T215" s="573"/>
      <c r="U215" s="1080"/>
      <c r="V215" s="573"/>
      <c r="W215" s="1080"/>
      <c r="X215" s="573"/>
      <c r="Y215" s="719"/>
      <c r="Z215" s="711"/>
      <c r="AA215" s="602"/>
      <c r="AB215" s="607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4"/>
      <c r="B216" s="1103"/>
      <c r="C216" s="1084"/>
      <c r="D216" s="1103"/>
      <c r="E216" s="1084"/>
      <c r="F216" s="1103"/>
      <c r="G216" s="1084"/>
      <c r="H216" s="1103"/>
      <c r="I216" s="1084"/>
      <c r="J216" s="1071"/>
      <c r="K216" s="1084"/>
      <c r="L216" s="1103"/>
      <c r="M216" s="1084"/>
      <c r="N216" s="1103"/>
      <c r="O216" s="1084"/>
      <c r="P216" s="1103"/>
      <c r="Q216" s="1084"/>
      <c r="R216" s="1103"/>
      <c r="S216" s="1084"/>
      <c r="T216" s="1103"/>
      <c r="U216" s="1084"/>
      <c r="V216" s="1103"/>
      <c r="W216" s="1084"/>
      <c r="X216" s="1071"/>
      <c r="Y216" s="726"/>
      <c r="Z216" s="711"/>
      <c r="AA216" s="602"/>
      <c r="AB216" s="607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4"/>
      <c r="B217" s="1080"/>
      <c r="C217" s="1084"/>
      <c r="D217" s="1080"/>
      <c r="E217" s="1084"/>
      <c r="F217" s="1080"/>
      <c r="G217" s="1084"/>
      <c r="H217" s="1080"/>
      <c r="I217" s="1084"/>
      <c r="J217" s="1071"/>
      <c r="K217" s="1084"/>
      <c r="L217" s="1080"/>
      <c r="M217" s="1084"/>
      <c r="N217" s="1080"/>
      <c r="O217" s="1084"/>
      <c r="P217" s="1080"/>
      <c r="Q217" s="1084"/>
      <c r="R217" s="1080"/>
      <c r="S217" s="1084"/>
      <c r="T217" s="1080"/>
      <c r="U217" s="1084"/>
      <c r="V217" s="1080"/>
      <c r="W217" s="1084"/>
      <c r="X217" s="1071"/>
      <c r="Y217" s="726"/>
      <c r="Z217" s="711"/>
      <c r="AA217" s="602"/>
      <c r="AB217" s="607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4"/>
      <c r="B218" s="1326" t="s">
        <v>732</v>
      </c>
      <c r="C218" s="570">
        <v>392</v>
      </c>
      <c r="D218" s="1326" t="s">
        <v>732</v>
      </c>
      <c r="E218" s="571">
        <v>390</v>
      </c>
      <c r="F218" s="1328" t="s">
        <v>560</v>
      </c>
      <c r="G218" s="571">
        <v>401</v>
      </c>
      <c r="H218" s="1328" t="s">
        <v>560</v>
      </c>
      <c r="I218" s="571">
        <v>406.005</v>
      </c>
      <c r="J218" s="1329"/>
      <c r="K218" s="571">
        <v>385</v>
      </c>
      <c r="L218" s="1324" t="s">
        <v>689</v>
      </c>
      <c r="M218" s="571">
        <v>380</v>
      </c>
      <c r="N218" s="1324" t="s">
        <v>689</v>
      </c>
      <c r="O218" s="571">
        <v>380</v>
      </c>
      <c r="P218" s="1324" t="s">
        <v>689</v>
      </c>
      <c r="Q218" s="571">
        <v>382</v>
      </c>
      <c r="R218" s="1324" t="s">
        <v>689</v>
      </c>
      <c r="S218" s="571">
        <v>383.99099999999999</v>
      </c>
      <c r="T218" s="1324" t="s">
        <v>689</v>
      </c>
      <c r="U218" s="571">
        <v>392.29500000000002</v>
      </c>
      <c r="V218" s="1315"/>
      <c r="W218" s="571">
        <v>401.31</v>
      </c>
      <c r="X218" s="1321"/>
      <c r="Y218" s="720">
        <v>352</v>
      </c>
      <c r="Z218" s="711"/>
      <c r="AA218" s="602"/>
      <c r="AB218" s="607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4"/>
      <c r="B219" s="1327"/>
      <c r="C219" s="1080"/>
      <c r="D219" s="1327"/>
      <c r="E219" s="1080"/>
      <c r="F219" s="1316"/>
      <c r="G219" s="1080"/>
      <c r="H219" s="1316"/>
      <c r="I219" s="1080"/>
      <c r="J219" s="1330"/>
      <c r="K219" s="1080"/>
      <c r="L219" s="1325"/>
      <c r="M219" s="1080"/>
      <c r="N219" s="1325"/>
      <c r="O219" s="1080"/>
      <c r="P219" s="1325"/>
      <c r="Q219" s="1080"/>
      <c r="R219" s="1325"/>
      <c r="S219" s="1080"/>
      <c r="T219" s="1325"/>
      <c r="U219" s="1080"/>
      <c r="V219" s="1316"/>
      <c r="W219" s="1080"/>
      <c r="X219" s="1322"/>
      <c r="Y219" s="721"/>
      <c r="Z219" s="711">
        <v>7</v>
      </c>
      <c r="AA219" s="602">
        <v>7</v>
      </c>
      <c r="AB219" s="607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4"/>
      <c r="B220" s="1078" t="s">
        <v>622</v>
      </c>
      <c r="C220" s="573"/>
      <c r="D220" s="1078" t="s">
        <v>623</v>
      </c>
      <c r="E220" s="1079"/>
      <c r="F220" s="1078" t="s">
        <v>624</v>
      </c>
      <c r="G220" s="1079"/>
      <c r="H220" s="1078" t="s">
        <v>625</v>
      </c>
      <c r="I220" s="1079"/>
      <c r="J220" s="1078" t="s">
        <v>626</v>
      </c>
      <c r="K220" s="1079"/>
      <c r="L220" s="1078" t="s">
        <v>627</v>
      </c>
      <c r="M220" s="1079"/>
      <c r="N220" s="1078" t="s">
        <v>628</v>
      </c>
      <c r="O220" s="1079"/>
      <c r="P220" s="1078" t="s">
        <v>629</v>
      </c>
      <c r="Q220" s="1079"/>
      <c r="R220" s="1078" t="s">
        <v>630</v>
      </c>
      <c r="S220" s="1079"/>
      <c r="T220" s="1078" t="s">
        <v>631</v>
      </c>
      <c r="U220" s="1080"/>
      <c r="V220" s="1078" t="s">
        <v>632</v>
      </c>
      <c r="W220" s="1079"/>
      <c r="X220" s="1078" t="s">
        <v>633</v>
      </c>
      <c r="Y220" s="722"/>
      <c r="Z220" s="711"/>
      <c r="AA220" s="602"/>
      <c r="AB220" s="607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4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81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81">
        <f>(K218+M218+O218+Q218+S218+U218+W218)/1000</f>
        <v>2.704596</v>
      </c>
      <c r="X221" s="573" t="s">
        <v>242</v>
      </c>
      <c r="Y221" s="723"/>
      <c r="Z221" s="711"/>
      <c r="AA221" s="602"/>
      <c r="AB221" s="607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4"/>
      <c r="B222" s="573"/>
      <c r="C222" s="573"/>
      <c r="D222" s="573"/>
      <c r="E222" s="573"/>
      <c r="F222" s="573"/>
      <c r="G222" s="573"/>
      <c r="H222" s="573"/>
      <c r="I222" s="1081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3"/>
      <c r="W222" s="1081"/>
      <c r="X222" s="573"/>
      <c r="Y222" s="723"/>
      <c r="Z222" s="711"/>
      <c r="AA222" s="602"/>
      <c r="AB222" s="607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4"/>
      <c r="B223" s="573"/>
      <c r="C223" s="573"/>
      <c r="D223" s="573"/>
      <c r="E223" s="573"/>
      <c r="F223" s="573"/>
      <c r="G223" s="573"/>
      <c r="H223" s="573"/>
      <c r="I223" s="1081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81"/>
      <c r="X223" s="573"/>
      <c r="Y223" s="723"/>
      <c r="Z223" s="711"/>
      <c r="AA223" s="602"/>
      <c r="AB223" s="607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4"/>
      <c r="B224" s="1071"/>
      <c r="C224" s="1071"/>
      <c r="D224" s="1071"/>
      <c r="E224" s="1071"/>
      <c r="F224" s="1071"/>
      <c r="G224" s="1071"/>
      <c r="H224" s="1071"/>
      <c r="I224" s="1071"/>
      <c r="J224" s="1071"/>
      <c r="K224" s="1071"/>
      <c r="L224" s="1071"/>
      <c r="M224" s="1071"/>
      <c r="N224" s="1071"/>
      <c r="O224" s="1071"/>
      <c r="P224" s="1071"/>
      <c r="Q224" s="1071"/>
      <c r="R224" s="1071"/>
      <c r="S224" s="1071"/>
      <c r="T224" s="1071"/>
      <c r="U224" s="1071"/>
      <c r="V224" s="1071"/>
      <c r="W224" s="1071"/>
      <c r="X224" s="1071"/>
      <c r="Y224" s="719"/>
      <c r="Z224" s="711"/>
      <c r="AA224" s="602"/>
      <c r="AB224" s="607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4"/>
      <c r="B225" s="1103"/>
      <c r="C225" s="1084"/>
      <c r="D225" s="1103"/>
      <c r="E225" s="1084"/>
      <c r="F225" s="1103"/>
      <c r="G225" s="1084"/>
      <c r="H225" s="1071"/>
      <c r="I225" s="1084"/>
      <c r="J225" s="1103"/>
      <c r="K225" s="1084"/>
      <c r="L225" s="1103"/>
      <c r="M225" s="1084"/>
      <c r="N225" s="1103"/>
      <c r="O225" s="1084"/>
      <c r="P225" s="1103"/>
      <c r="Q225" s="1084"/>
      <c r="R225" s="1103"/>
      <c r="S225" s="1084"/>
      <c r="T225" s="1103"/>
      <c r="U225" s="1084"/>
      <c r="V225" s="1103"/>
      <c r="W225" s="1084"/>
      <c r="X225" s="1103"/>
      <c r="Y225" s="726"/>
      <c r="Z225" s="711"/>
      <c r="AA225" s="602"/>
      <c r="AB225" s="607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4"/>
      <c r="B226" s="1080"/>
      <c r="C226" s="1084"/>
      <c r="D226" s="1080"/>
      <c r="E226" s="1084"/>
      <c r="F226" s="1080"/>
      <c r="G226" s="1084"/>
      <c r="H226" s="1071"/>
      <c r="I226" s="1084"/>
      <c r="J226" s="1080"/>
      <c r="K226" s="1084"/>
      <c r="L226" s="1080"/>
      <c r="M226" s="1084"/>
      <c r="N226" s="1080"/>
      <c r="O226" s="1084"/>
      <c r="P226" s="1080"/>
      <c r="Q226" s="1084"/>
      <c r="R226" s="1080"/>
      <c r="S226" s="1084"/>
      <c r="T226" s="1080"/>
      <c r="U226" s="1084"/>
      <c r="V226" s="1080"/>
      <c r="W226" s="1084"/>
      <c r="X226" s="1080"/>
      <c r="Y226" s="726"/>
      <c r="Z226" s="711"/>
      <c r="AA226" s="602"/>
      <c r="AB226" s="607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4"/>
      <c r="B227" s="1313"/>
      <c r="C227" s="570">
        <v>368</v>
      </c>
      <c r="D227" s="1313"/>
      <c r="E227" s="571">
        <v>440</v>
      </c>
      <c r="F227" s="1313"/>
      <c r="G227" s="571">
        <v>364.13200000000001</v>
      </c>
      <c r="H227" s="1321"/>
      <c r="I227" s="571">
        <v>407</v>
      </c>
      <c r="J227" s="1313"/>
      <c r="K227" s="571">
        <v>375</v>
      </c>
      <c r="L227" s="1313"/>
      <c r="M227" s="571">
        <v>313</v>
      </c>
      <c r="N227" s="1313"/>
      <c r="O227" s="571">
        <v>388</v>
      </c>
      <c r="P227" s="1315"/>
      <c r="Q227" s="571">
        <v>414</v>
      </c>
      <c r="R227" s="1315"/>
      <c r="S227" s="571">
        <v>385</v>
      </c>
      <c r="T227" s="1313"/>
      <c r="U227" s="571">
        <v>360</v>
      </c>
      <c r="V227" s="1313"/>
      <c r="W227" s="577">
        <v>382</v>
      </c>
      <c r="X227" s="1313"/>
      <c r="Y227" s="732">
        <v>415</v>
      </c>
      <c r="Z227" s="711"/>
      <c r="AA227" s="602"/>
      <c r="AB227" s="607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4"/>
      <c r="B228" s="1314"/>
      <c r="C228" s="1080"/>
      <c r="D228" s="1314"/>
      <c r="E228" s="1080"/>
      <c r="F228" s="1314"/>
      <c r="G228" s="1080"/>
      <c r="H228" s="1322"/>
      <c r="I228" s="1080"/>
      <c r="J228" s="1314"/>
      <c r="K228" s="1080"/>
      <c r="L228" s="1314"/>
      <c r="M228" s="1080"/>
      <c r="N228" s="1314"/>
      <c r="O228" s="1080"/>
      <c r="P228" s="1316"/>
      <c r="Q228" s="1080"/>
      <c r="R228" s="1316"/>
      <c r="S228" s="1080"/>
      <c r="T228" s="1314"/>
      <c r="U228" s="1080"/>
      <c r="V228" s="1314"/>
      <c r="W228" s="1080"/>
      <c r="X228" s="1314"/>
      <c r="Y228" s="721"/>
      <c r="Z228" s="711"/>
      <c r="AA228" s="602"/>
      <c r="AB228" s="607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4"/>
      <c r="B229" s="1078" t="s">
        <v>634</v>
      </c>
      <c r="C229" s="573"/>
      <c r="D229" s="1078" t="s">
        <v>635</v>
      </c>
      <c r="E229" s="1079"/>
      <c r="F229" s="1078" t="s">
        <v>636</v>
      </c>
      <c r="G229" s="1079"/>
      <c r="H229" s="1078" t="s">
        <v>637</v>
      </c>
      <c r="I229" s="1079"/>
      <c r="J229" s="1078" t="s">
        <v>638</v>
      </c>
      <c r="K229" s="1079"/>
      <c r="L229" s="1078" t="s">
        <v>639</v>
      </c>
      <c r="M229" s="1079"/>
      <c r="N229" s="1078" t="s">
        <v>640</v>
      </c>
      <c r="O229" s="1079"/>
      <c r="P229" s="1078" t="s">
        <v>641</v>
      </c>
      <c r="Q229" s="1079"/>
      <c r="R229" s="1078" t="s">
        <v>642</v>
      </c>
      <c r="S229" s="1079"/>
      <c r="T229" s="1078" t="s">
        <v>643</v>
      </c>
      <c r="U229" s="1080"/>
      <c r="V229" s="1078" t="s">
        <v>644</v>
      </c>
      <c r="W229" s="1079"/>
      <c r="X229" s="1107" t="s">
        <v>645</v>
      </c>
      <c r="Y229" s="722"/>
      <c r="Z229" s="711"/>
      <c r="AA229" s="602"/>
      <c r="AB229" s="607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4"/>
      <c r="B230" s="573" t="s">
        <v>217</v>
      </c>
      <c r="C230" s="573"/>
      <c r="D230" s="573" t="s">
        <v>217</v>
      </c>
      <c r="E230" s="573"/>
      <c r="F230" s="573" t="s">
        <v>216</v>
      </c>
      <c r="G230" s="1081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3"/>
      <c r="Z230" s="711"/>
      <c r="AA230" s="602"/>
      <c r="AB230" s="607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4"/>
      <c r="B231" s="573"/>
      <c r="C231" s="573"/>
      <c r="D231" s="573"/>
      <c r="E231" s="573"/>
      <c r="F231" s="573"/>
      <c r="G231" s="1081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3"/>
      <c r="Z231" s="711"/>
      <c r="AA231" s="602"/>
      <c r="AB231" s="607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4"/>
      <c r="B232" s="573"/>
      <c r="C232" s="573"/>
      <c r="D232" s="573"/>
      <c r="E232" s="573"/>
      <c r="F232" s="573"/>
      <c r="G232" s="1081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3"/>
      <c r="Z232" s="711"/>
      <c r="AA232" s="602"/>
      <c r="AB232" s="607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4"/>
      <c r="B233" s="1071"/>
      <c r="C233" s="1071"/>
      <c r="D233" s="1071"/>
      <c r="E233" s="1071"/>
      <c r="F233" s="1071"/>
      <c r="G233" s="1071"/>
      <c r="H233" s="1071"/>
      <c r="I233" s="1071"/>
      <c r="J233" s="1071"/>
      <c r="K233" s="1071"/>
      <c r="L233" s="1071"/>
      <c r="M233" s="1071"/>
      <c r="N233" s="573"/>
      <c r="O233" s="1071"/>
      <c r="P233" s="573"/>
      <c r="Q233" s="1071"/>
      <c r="R233" s="573"/>
      <c r="S233" s="1080"/>
      <c r="T233" s="573"/>
      <c r="U233" s="1080"/>
      <c r="V233" s="573"/>
      <c r="W233" s="1084"/>
      <c r="X233" s="573"/>
      <c r="Y233" s="719"/>
      <c r="Z233" s="711"/>
      <c r="AA233" s="602"/>
      <c r="AB233" s="607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4"/>
      <c r="B234" s="1103"/>
      <c r="C234" s="1084"/>
      <c r="D234" s="1103"/>
      <c r="E234" s="1084"/>
      <c r="F234" s="1103"/>
      <c r="G234" s="1084"/>
      <c r="H234" s="1071"/>
      <c r="I234" s="1084"/>
      <c r="J234" s="1103"/>
      <c r="K234" s="1084"/>
      <c r="L234" s="1103"/>
      <c r="M234" s="1084"/>
      <c r="N234" s="1103"/>
      <c r="O234" s="1084"/>
      <c r="P234" s="1071"/>
      <c r="Q234" s="1084"/>
      <c r="R234" s="1071"/>
      <c r="S234" s="1084"/>
      <c r="T234" s="1103"/>
      <c r="U234" s="1084"/>
      <c r="V234" s="1071"/>
      <c r="W234" s="575"/>
      <c r="X234" s="1103"/>
      <c r="Y234" s="726"/>
      <c r="Z234" s="711"/>
      <c r="AA234" s="602"/>
      <c r="AB234" s="607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4"/>
      <c r="B235" s="1080"/>
      <c r="C235" s="1084"/>
      <c r="D235" s="1080"/>
      <c r="E235" s="1084"/>
      <c r="F235" s="1080"/>
      <c r="G235" s="1084"/>
      <c r="H235" s="1071"/>
      <c r="I235" s="1084"/>
      <c r="J235" s="1080"/>
      <c r="K235" s="1084"/>
      <c r="L235" s="1080"/>
      <c r="M235" s="1084"/>
      <c r="N235" s="1080"/>
      <c r="O235" s="1084"/>
      <c r="P235" s="1071"/>
      <c r="Q235" s="1084"/>
      <c r="R235" s="1071"/>
      <c r="S235" s="1084"/>
      <c r="T235" s="1080"/>
      <c r="U235" s="1084"/>
      <c r="V235" s="1071"/>
      <c r="W235" s="1084"/>
      <c r="X235" s="1080"/>
      <c r="Y235" s="726"/>
      <c r="Z235" s="711"/>
      <c r="AA235" s="602"/>
      <c r="AB235" s="607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4"/>
      <c r="B236" s="1315"/>
      <c r="C236" s="570">
        <v>429</v>
      </c>
      <c r="D236" s="1313"/>
      <c r="E236" s="571">
        <v>383</v>
      </c>
      <c r="F236" s="1313"/>
      <c r="G236" s="571">
        <v>447.10700000000003</v>
      </c>
      <c r="H236" s="1317" t="s">
        <v>560</v>
      </c>
      <c r="I236" s="571">
        <v>416</v>
      </c>
      <c r="J236" s="1313"/>
      <c r="K236" s="571">
        <v>389</v>
      </c>
      <c r="L236" s="1313"/>
      <c r="M236" s="571">
        <v>380</v>
      </c>
      <c r="N236" s="1315"/>
      <c r="O236" s="571">
        <v>362.38400000000001</v>
      </c>
      <c r="P236" s="1323"/>
      <c r="Q236" s="571">
        <v>263.31</v>
      </c>
      <c r="R236" s="1321"/>
      <c r="S236" s="571">
        <v>393</v>
      </c>
      <c r="T236" s="1315"/>
      <c r="U236" s="571">
        <v>384.17</v>
      </c>
      <c r="V236" s="1321"/>
      <c r="W236" s="571">
        <v>348</v>
      </c>
      <c r="X236" s="1313"/>
      <c r="Y236" s="720">
        <v>350</v>
      </c>
      <c r="Z236" s="711"/>
      <c r="AA236" s="602"/>
      <c r="AB236" s="607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4"/>
      <c r="B237" s="1316"/>
      <c r="C237" s="1080"/>
      <c r="D237" s="1314"/>
      <c r="E237" s="1080"/>
      <c r="F237" s="1314"/>
      <c r="G237" s="1080"/>
      <c r="H237" s="1318"/>
      <c r="I237" s="1080"/>
      <c r="J237" s="1314"/>
      <c r="K237" s="1080"/>
      <c r="L237" s="1314"/>
      <c r="M237" s="1080"/>
      <c r="N237" s="1316"/>
      <c r="O237" s="1080"/>
      <c r="P237" s="1318"/>
      <c r="Q237" s="1080"/>
      <c r="R237" s="1322"/>
      <c r="S237" s="1080"/>
      <c r="T237" s="1316"/>
      <c r="U237" s="1080"/>
      <c r="V237" s="1322"/>
      <c r="W237" s="1080"/>
      <c r="X237" s="1314"/>
      <c r="Y237" s="721"/>
      <c r="Z237" s="711"/>
      <c r="AA237" s="602"/>
      <c r="AB237" s="607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4"/>
      <c r="B238" s="1078" t="s">
        <v>646</v>
      </c>
      <c r="C238" s="573"/>
      <c r="D238" s="1078" t="s">
        <v>647</v>
      </c>
      <c r="E238" s="1079"/>
      <c r="F238" s="1078" t="s">
        <v>648</v>
      </c>
      <c r="G238" s="1079"/>
      <c r="H238" s="1078" t="s">
        <v>649</v>
      </c>
      <c r="I238" s="1079"/>
      <c r="J238" s="1078" t="s">
        <v>650</v>
      </c>
      <c r="K238" s="1079"/>
      <c r="L238" s="1078" t="s">
        <v>651</v>
      </c>
      <c r="M238" s="1079"/>
      <c r="N238" s="1078" t="s">
        <v>652</v>
      </c>
      <c r="O238" s="1079"/>
      <c r="P238" s="1078" t="s">
        <v>653</v>
      </c>
      <c r="Q238" s="1079"/>
      <c r="R238" s="1078" t="s">
        <v>654</v>
      </c>
      <c r="S238" s="1079"/>
      <c r="T238" s="1078" t="s">
        <v>655</v>
      </c>
      <c r="U238" s="1080"/>
      <c r="V238" s="1078" t="s">
        <v>656</v>
      </c>
      <c r="W238" s="1079"/>
      <c r="X238" s="1078" t="s">
        <v>657</v>
      </c>
      <c r="Y238" s="722"/>
      <c r="Z238" s="711"/>
      <c r="AA238" s="602"/>
      <c r="AB238" s="607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4"/>
      <c r="B239" s="573" t="s">
        <v>218</v>
      </c>
      <c r="C239" s="573"/>
      <c r="D239" s="573" t="s">
        <v>216</v>
      </c>
      <c r="E239" s="573"/>
      <c r="F239" s="573" t="s">
        <v>216</v>
      </c>
      <c r="G239" s="1081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81">
        <f>(I236+K236+M236+O236)/1000</f>
        <v>1.5473840000000001</v>
      </c>
      <c r="P239" s="573" t="s">
        <v>658</v>
      </c>
      <c r="Q239" s="1081">
        <f>Q236/1000</f>
        <v>0.26330999999999999</v>
      </c>
      <c r="R239" s="573" t="s">
        <v>786</v>
      </c>
      <c r="S239" s="573"/>
      <c r="T239" s="573" t="s">
        <v>217</v>
      </c>
      <c r="U239" s="1081">
        <f>(S236+U236)/1000</f>
        <v>0.77717000000000003</v>
      </c>
      <c r="V239" s="573" t="s">
        <v>374</v>
      </c>
      <c r="W239" s="573"/>
      <c r="X239" s="573" t="s">
        <v>217</v>
      </c>
      <c r="Y239" s="723"/>
      <c r="Z239" s="711"/>
      <c r="AA239" s="602"/>
      <c r="AB239" s="607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4"/>
      <c r="B240" s="573"/>
      <c r="C240" s="573"/>
      <c r="D240" s="573"/>
      <c r="E240" s="573"/>
      <c r="F240" s="573"/>
      <c r="G240" s="1081"/>
      <c r="H240" s="573"/>
      <c r="I240" s="573"/>
      <c r="J240" s="573"/>
      <c r="K240" s="573"/>
      <c r="L240" s="573"/>
      <c r="M240" s="573"/>
      <c r="N240" s="573"/>
      <c r="O240" s="1081"/>
      <c r="P240" s="1083" t="s">
        <v>717</v>
      </c>
      <c r="Q240" s="1081"/>
      <c r="R240" s="1083" t="s">
        <v>717</v>
      </c>
      <c r="S240" s="573"/>
      <c r="T240" s="573"/>
      <c r="U240" s="1081"/>
      <c r="V240" s="573"/>
      <c r="W240" s="573"/>
      <c r="X240" s="573"/>
      <c r="Y240" s="723"/>
      <c r="Z240" s="711"/>
      <c r="AA240" s="602"/>
      <c r="AB240" s="607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4"/>
      <c r="B241" s="573"/>
      <c r="C241" s="573"/>
      <c r="D241" s="573"/>
      <c r="E241" s="573"/>
      <c r="F241" s="573"/>
      <c r="G241" s="1081"/>
      <c r="H241" s="573"/>
      <c r="I241" s="573"/>
      <c r="J241" s="573"/>
      <c r="K241" s="573"/>
      <c r="L241" s="573"/>
      <c r="M241" s="573"/>
      <c r="N241" s="573"/>
      <c r="O241" s="1108"/>
      <c r="P241" s="1046"/>
      <c r="Q241" s="1046"/>
      <c r="R241" s="1047" t="s">
        <v>960</v>
      </c>
      <c r="S241" s="1046"/>
      <c r="T241" s="1048"/>
      <c r="U241" s="1048"/>
      <c r="V241" s="1048"/>
      <c r="W241" s="1049"/>
      <c r="X241" s="1108"/>
      <c r="Y241" s="723"/>
      <c r="Z241" s="711"/>
      <c r="AA241" s="602"/>
      <c r="AB241" s="607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4"/>
      <c r="B242" s="1071"/>
      <c r="C242" s="1082"/>
      <c r="D242" s="1082"/>
      <c r="E242" s="1082"/>
      <c r="F242" s="1082"/>
      <c r="G242" s="1082"/>
      <c r="H242" s="1082"/>
      <c r="I242" s="1082"/>
      <c r="J242" s="1082"/>
      <c r="K242" s="1082"/>
      <c r="L242" s="1082"/>
      <c r="M242" s="1082"/>
      <c r="N242" s="1082"/>
      <c r="O242" s="1108"/>
      <c r="P242" s="1108"/>
      <c r="Q242" s="1108"/>
      <c r="R242" s="1108"/>
      <c r="S242" s="1108"/>
      <c r="T242" s="1050" t="s">
        <v>961</v>
      </c>
      <c r="U242" s="1051"/>
      <c r="V242" s="1052" t="s">
        <v>962</v>
      </c>
      <c r="W242" s="1052"/>
      <c r="X242" s="1052" t="s">
        <v>963</v>
      </c>
      <c r="Y242" s="733"/>
      <c r="Z242" s="711"/>
      <c r="AA242" s="602"/>
      <c r="AB242" s="607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4"/>
      <c r="B243" s="1061"/>
      <c r="C243" s="1082"/>
      <c r="D243" s="1071"/>
      <c r="E243" s="1082"/>
      <c r="F243" s="1071"/>
      <c r="G243" s="1082"/>
      <c r="H243" s="1071"/>
      <c r="I243" s="1082"/>
      <c r="J243" s="566"/>
      <c r="K243" s="566"/>
      <c r="L243" s="566"/>
      <c r="M243" s="566"/>
      <c r="N243" s="566"/>
      <c r="O243" s="1124">
        <v>1</v>
      </c>
      <c r="P243" s="1125" t="s">
        <v>964</v>
      </c>
      <c r="Q243" s="1125" t="s">
        <v>89</v>
      </c>
      <c r="R243" s="1125"/>
      <c r="S243" s="1123" t="s">
        <v>962</v>
      </c>
      <c r="T243" s="1126">
        <v>45854</v>
      </c>
      <c r="U243" s="1125"/>
      <c r="V243" s="1126">
        <v>46099</v>
      </c>
      <c r="W243" s="1125"/>
      <c r="X243" s="1125"/>
      <c r="Y243" s="733"/>
      <c r="Z243" s="711"/>
      <c r="AA243" s="602"/>
      <c r="AB243" s="607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4"/>
      <c r="B244" s="1075"/>
      <c r="C244" s="1082"/>
      <c r="D244" s="1071"/>
      <c r="E244" s="1082"/>
      <c r="F244" s="1071"/>
      <c r="G244" s="1082"/>
      <c r="H244" s="1071"/>
      <c r="I244" s="1082"/>
      <c r="J244" s="566"/>
      <c r="K244" s="566"/>
      <c r="L244" s="566"/>
      <c r="M244" s="566"/>
      <c r="N244" s="566"/>
      <c r="O244" s="1124">
        <f>O243+1</f>
        <v>2</v>
      </c>
      <c r="P244" s="1125" t="s">
        <v>966</v>
      </c>
      <c r="Q244" s="1125" t="s">
        <v>967</v>
      </c>
      <c r="R244" s="1125"/>
      <c r="S244" s="1123" t="s">
        <v>962</v>
      </c>
      <c r="T244" s="1127">
        <v>45916</v>
      </c>
      <c r="U244" s="1127"/>
      <c r="V244" s="1126">
        <v>46290</v>
      </c>
      <c r="W244" s="1125"/>
      <c r="X244" s="1125"/>
      <c r="Y244" s="733"/>
      <c r="Z244" s="711"/>
      <c r="AA244" s="602"/>
      <c r="AB244" s="607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4"/>
      <c r="B245" s="1313"/>
      <c r="C245" s="570">
        <v>428.52600000000001</v>
      </c>
      <c r="D245" s="1319" t="s">
        <v>560</v>
      </c>
      <c r="E245" s="571">
        <v>194.62799999999999</v>
      </c>
      <c r="F245" s="1321"/>
      <c r="G245" s="571">
        <v>203.14099999999999</v>
      </c>
      <c r="H245" s="1321"/>
      <c r="I245" s="1109"/>
      <c r="J245" s="1110"/>
      <c r="K245" s="566"/>
      <c r="L245" s="566"/>
      <c r="M245" s="566"/>
      <c r="N245" s="566"/>
      <c r="O245" s="1124">
        <f>O244+1</f>
        <v>3</v>
      </c>
      <c r="P245" s="1128" t="s">
        <v>968</v>
      </c>
      <c r="Q245" s="1125" t="s">
        <v>664</v>
      </c>
      <c r="R245" s="1129"/>
      <c r="S245" s="1123" t="s">
        <v>962</v>
      </c>
      <c r="T245" s="1127">
        <v>45940</v>
      </c>
      <c r="U245" s="1127"/>
      <c r="V245" s="1126">
        <v>45970</v>
      </c>
      <c r="W245" s="1126"/>
      <c r="X245" s="1125"/>
      <c r="Y245" s="733"/>
      <c r="Z245" s="711"/>
      <c r="AA245" s="602"/>
      <c r="AB245" s="607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4"/>
      <c r="B246" s="1314"/>
      <c r="C246" s="1075"/>
      <c r="D246" s="1320"/>
      <c r="E246" s="1075"/>
      <c r="F246" s="1322"/>
      <c r="G246" s="1075"/>
      <c r="H246" s="1322"/>
      <c r="I246" s="1075"/>
      <c r="J246" s="1110"/>
      <c r="K246" s="566"/>
      <c r="L246" s="566"/>
      <c r="M246" s="566"/>
      <c r="N246" s="566"/>
      <c r="O246" s="1124">
        <f>O245+1</f>
        <v>4</v>
      </c>
      <c r="P246" s="1130" t="s">
        <v>969</v>
      </c>
      <c r="Q246" s="1131" t="s">
        <v>970</v>
      </c>
      <c r="R246" s="1132"/>
      <c r="S246" s="1123" t="s">
        <v>965</v>
      </c>
      <c r="T246" s="1127">
        <v>45938</v>
      </c>
      <c r="U246" s="1127"/>
      <c r="V246" s="1133">
        <v>46125</v>
      </c>
      <c r="W246" s="1129"/>
      <c r="X246" s="1125"/>
      <c r="Y246" s="733"/>
      <c r="Z246" s="711"/>
      <c r="AA246" s="602"/>
      <c r="AB246" s="607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4"/>
      <c r="B247" s="1078" t="s">
        <v>659</v>
      </c>
      <c r="C247" s="573"/>
      <c r="D247" s="1078" t="s">
        <v>660</v>
      </c>
      <c r="E247" s="1079"/>
      <c r="F247" s="1078" t="s">
        <v>661</v>
      </c>
      <c r="G247" s="1079"/>
      <c r="H247" s="1078" t="s">
        <v>662</v>
      </c>
      <c r="I247" s="575"/>
      <c r="J247" s="1111"/>
      <c r="K247" s="566"/>
      <c r="L247" s="566"/>
      <c r="M247" s="566"/>
      <c r="N247" s="566"/>
      <c r="O247" s="1124">
        <f>O246+1</f>
        <v>5</v>
      </c>
      <c r="P247" s="1130" t="s">
        <v>971</v>
      </c>
      <c r="Q247" s="1131" t="s">
        <v>665</v>
      </c>
      <c r="R247" s="1132"/>
      <c r="S247" s="1123" t="s">
        <v>965</v>
      </c>
      <c r="T247" s="1127">
        <v>45995</v>
      </c>
      <c r="U247" s="1127"/>
      <c r="V247" s="1134">
        <v>46099</v>
      </c>
      <c r="W247" s="1134"/>
      <c r="X247" s="1125"/>
      <c r="Y247" s="722"/>
      <c r="Z247" s="711"/>
      <c r="AA247" s="602"/>
      <c r="AB247" s="607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4"/>
      <c r="B248" s="573" t="s">
        <v>217</v>
      </c>
      <c r="C248" s="1081">
        <f>(W236+Y236+C245)/1000</f>
        <v>1.1265260000000001</v>
      </c>
      <c r="D248" s="573" t="s">
        <v>288</v>
      </c>
      <c r="E248" s="1081">
        <f>E245/1000</f>
        <v>0.194628</v>
      </c>
      <c r="F248" s="573" t="s">
        <v>663</v>
      </c>
      <c r="G248" s="1081">
        <f>G245/1000</f>
        <v>0.20314099999999999</v>
      </c>
      <c r="H248" s="573" t="s">
        <v>374</v>
      </c>
      <c r="I248" s="575"/>
      <c r="J248" s="1111"/>
      <c r="K248" s="566"/>
      <c r="L248" s="566"/>
      <c r="M248" s="566"/>
      <c r="N248" s="566"/>
      <c r="O248" s="1124">
        <f>O247+1</f>
        <v>6</v>
      </c>
      <c r="P248" s="1130" t="s">
        <v>972</v>
      </c>
      <c r="Q248" s="1131" t="s">
        <v>973</v>
      </c>
      <c r="R248" s="1132"/>
      <c r="S248" s="1123" t="s">
        <v>962</v>
      </c>
      <c r="T248" s="1127">
        <v>45998</v>
      </c>
      <c r="U248" s="1127"/>
      <c r="V248" s="1134">
        <v>46053</v>
      </c>
      <c r="W248" s="1134"/>
      <c r="X248" s="1125"/>
      <c r="Y248" s="723"/>
      <c r="Z248" s="711"/>
      <c r="AA248" s="602"/>
      <c r="AB248" s="607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4"/>
      <c r="B249" s="573"/>
      <c r="C249" s="1081"/>
      <c r="D249" s="573"/>
      <c r="E249" s="1081"/>
      <c r="F249" s="573"/>
      <c r="G249" s="1081"/>
      <c r="H249" s="578" t="s">
        <v>736</v>
      </c>
      <c r="I249" s="579"/>
      <c r="J249" s="580"/>
      <c r="K249" s="566"/>
      <c r="L249" s="566"/>
      <c r="M249" s="566"/>
      <c r="N249" s="566"/>
      <c r="O249" s="1124">
        <v>7</v>
      </c>
      <c r="P249" s="1130" t="s">
        <v>974</v>
      </c>
      <c r="Q249" s="1131" t="s">
        <v>666</v>
      </c>
      <c r="R249" s="1132"/>
      <c r="S249" s="1123" t="s">
        <v>962</v>
      </c>
      <c r="T249" s="1127">
        <v>46001</v>
      </c>
      <c r="U249" s="1127"/>
      <c r="V249" s="1134">
        <v>46081</v>
      </c>
      <c r="W249" s="1134"/>
      <c r="X249" s="1125"/>
      <c r="Y249" s="723"/>
      <c r="Z249" s="711"/>
      <c r="AA249" s="602"/>
      <c r="AB249" s="607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59"/>
      <c r="B250" s="1112"/>
      <c r="C250" s="1112"/>
      <c r="D250" s="1112"/>
      <c r="E250" s="1112"/>
      <c r="F250" s="1112" t="s">
        <v>788</v>
      </c>
      <c r="G250" s="1112"/>
      <c r="H250" s="1112" t="s">
        <v>788</v>
      </c>
      <c r="I250" s="575"/>
      <c r="J250" s="1111"/>
      <c r="K250" s="566"/>
      <c r="L250" s="566"/>
      <c r="M250" s="566"/>
      <c r="N250" s="566"/>
      <c r="O250" s="1124">
        <v>8</v>
      </c>
      <c r="P250" s="1130" t="s">
        <v>975</v>
      </c>
      <c r="Q250" s="1131" t="s">
        <v>976</v>
      </c>
      <c r="R250" s="1132"/>
      <c r="S250" s="1123" t="s">
        <v>962</v>
      </c>
      <c r="T250" s="1127">
        <v>46029</v>
      </c>
      <c r="U250" s="1127"/>
      <c r="V250" s="1135">
        <v>46046</v>
      </c>
      <c r="W250" s="1131"/>
      <c r="X250" s="1126"/>
      <c r="Y250" s="723"/>
      <c r="Z250" s="711"/>
      <c r="AA250" s="602"/>
      <c r="AB250" s="607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4"/>
      <c r="B251" s="1113"/>
      <c r="C251" s="1113"/>
      <c r="D251" s="1113"/>
      <c r="E251" s="1113"/>
      <c r="F251" s="1113"/>
      <c r="G251" s="1113"/>
      <c r="H251" s="1113"/>
      <c r="I251" s="575"/>
      <c r="J251" s="1111"/>
      <c r="K251" s="566"/>
      <c r="L251" s="566"/>
      <c r="M251" s="566"/>
      <c r="N251" s="566"/>
      <c r="O251" s="1124">
        <v>9</v>
      </c>
      <c r="P251" s="1130" t="s">
        <v>977</v>
      </c>
      <c r="Q251" s="1131" t="s">
        <v>978</v>
      </c>
      <c r="R251" s="1132"/>
      <c r="S251" s="1123" t="s">
        <v>965</v>
      </c>
      <c r="T251" s="1127">
        <v>46044</v>
      </c>
      <c r="U251" s="1127"/>
      <c r="V251" s="1134">
        <v>46061</v>
      </c>
      <c r="W251" s="1134"/>
      <c r="X251" s="1125"/>
      <c r="Y251" s="723"/>
      <c r="Z251" s="711"/>
      <c r="AA251" s="602"/>
      <c r="AB251" s="607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5" t="s">
        <v>737</v>
      </c>
      <c r="B252" s="1114"/>
      <c r="C252" s="1114"/>
      <c r="D252" s="1114"/>
      <c r="E252" s="1114"/>
      <c r="F252" s="1114"/>
      <c r="G252" s="1114"/>
      <c r="H252" s="1114"/>
      <c r="I252" s="1115"/>
      <c r="J252" s="1116"/>
      <c r="K252" s="1117"/>
      <c r="L252" s="1117"/>
      <c r="M252" s="566"/>
      <c r="N252" s="566"/>
      <c r="O252" s="1053">
        <v>10</v>
      </c>
      <c r="P252" s="1056" t="s">
        <v>979</v>
      </c>
      <c r="Q252" s="1056" t="s">
        <v>952</v>
      </c>
      <c r="R252" s="1057"/>
      <c r="S252" s="1054" t="s">
        <v>962</v>
      </c>
      <c r="T252" s="1048"/>
      <c r="U252" s="1048"/>
      <c r="V252" s="1048"/>
      <c r="W252" s="1057"/>
      <c r="X252" s="1059"/>
      <c r="Y252" s="723"/>
      <c r="Z252" s="711"/>
      <c r="AA252" s="602"/>
      <c r="AB252" s="607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4"/>
      <c r="B253" s="1113"/>
      <c r="C253" s="1113"/>
      <c r="D253" s="1113"/>
      <c r="E253" s="1113"/>
      <c r="F253" s="1113"/>
      <c r="G253" s="1113"/>
      <c r="H253" s="1113"/>
      <c r="I253" s="575"/>
      <c r="J253" s="1111"/>
      <c r="K253" s="566"/>
      <c r="L253" s="566"/>
      <c r="M253" s="566"/>
      <c r="N253" s="566"/>
      <c r="O253" s="1058">
        <v>11</v>
      </c>
      <c r="P253" s="1049" t="s">
        <v>980</v>
      </c>
      <c r="Q253" s="1049" t="s">
        <v>745</v>
      </c>
      <c r="R253" s="1049"/>
      <c r="S253" s="1054" t="s">
        <v>965</v>
      </c>
      <c r="T253" s="1055">
        <v>46077</v>
      </c>
      <c r="U253" s="1055"/>
      <c r="V253" s="1048"/>
      <c r="W253" s="1057"/>
      <c r="X253" s="1059"/>
      <c r="Y253" s="723"/>
      <c r="Z253" s="711"/>
      <c r="AA253" s="602"/>
      <c r="AB253" s="607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6"/>
      <c r="B254" s="737"/>
      <c r="C254" s="737"/>
      <c r="D254" s="738"/>
      <c r="E254" s="737"/>
      <c r="F254" s="738"/>
      <c r="G254" s="737"/>
      <c r="H254" s="737"/>
      <c r="I254" s="737"/>
      <c r="J254" s="737"/>
      <c r="K254" s="737"/>
      <c r="L254" s="737"/>
      <c r="M254" s="737"/>
      <c r="N254" s="737"/>
      <c r="O254" s="1118">
        <v>12</v>
      </c>
      <c r="P254" s="1119" t="s">
        <v>981</v>
      </c>
      <c r="Q254" s="1119" t="s">
        <v>982</v>
      </c>
      <c r="R254" s="1120"/>
      <c r="S254" s="1121" t="s">
        <v>965</v>
      </c>
      <c r="T254" s="1122">
        <v>46122</v>
      </c>
      <c r="U254" s="1120"/>
      <c r="V254" s="1120"/>
      <c r="W254" s="1120"/>
      <c r="X254" s="1120"/>
      <c r="Y254" s="739"/>
      <c r="Z254" s="713"/>
      <c r="AA254" s="609"/>
      <c r="AB254" s="610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A255" s="1136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1144">
        <v>13</v>
      </c>
      <c r="P255" s="1117" t="s">
        <v>983</v>
      </c>
      <c r="Q255" s="1117" t="s">
        <v>787</v>
      </c>
      <c r="R255" s="1117"/>
      <c r="S255" s="1054" t="s">
        <v>965</v>
      </c>
      <c r="T255" s="1137">
        <v>46125</v>
      </c>
      <c r="U255" s="1117"/>
      <c r="V255" s="1117"/>
      <c r="W255" s="1117"/>
      <c r="X255" s="1117"/>
      <c r="Y255" s="1138"/>
    </row>
    <row r="256" spans="1:35" ht="14.25" customHeight="1" thickBot="1" x14ac:dyDescent="0.35">
      <c r="A256" s="1139"/>
      <c r="B256" s="1140"/>
      <c r="C256" s="1140"/>
      <c r="D256" s="1140"/>
      <c r="E256" s="1140"/>
      <c r="F256" s="1140"/>
      <c r="G256" s="1140"/>
      <c r="H256" s="1140"/>
      <c r="I256" s="1140"/>
      <c r="J256" s="1140"/>
      <c r="K256" s="1140"/>
      <c r="L256" s="1140"/>
      <c r="M256" s="1140"/>
      <c r="N256" s="1140"/>
      <c r="O256" s="1118">
        <v>14</v>
      </c>
      <c r="P256" s="1119" t="s">
        <v>985</v>
      </c>
      <c r="Q256" s="1119" t="s">
        <v>984</v>
      </c>
      <c r="R256" s="1119"/>
      <c r="S256" s="1141"/>
      <c r="T256" s="1141"/>
      <c r="U256" s="1141"/>
      <c r="V256" s="1141"/>
      <c r="W256" s="1141"/>
      <c r="X256" s="1142"/>
      <c r="Y256" s="1143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V5" sqref="V5"/>
    </sheetView>
  </sheetViews>
  <sheetFormatPr defaultRowHeight="13.2" x14ac:dyDescent="0.25"/>
  <cols>
    <col min="1" max="1" width="8.88671875" style="909"/>
    <col min="2" max="2" width="11.6640625" style="906" customWidth="1"/>
    <col min="3" max="3" width="12" style="906" customWidth="1"/>
    <col min="4" max="4" width="14.88671875" style="906" customWidth="1"/>
    <col min="5" max="5" width="22" style="906" customWidth="1"/>
    <col min="6" max="6" width="19.33203125" style="908" customWidth="1"/>
    <col min="7" max="9" width="21.6640625" style="906" customWidth="1"/>
    <col min="10" max="10" width="19.6640625" style="906" customWidth="1"/>
    <col min="11" max="11" width="41.21875" style="906" customWidth="1"/>
    <col min="12" max="12" width="19.44140625" style="906" customWidth="1"/>
    <col min="13" max="13" width="25" style="906" customWidth="1"/>
    <col min="14" max="14" width="19.109375" style="906" customWidth="1"/>
    <col min="15" max="16" width="22.6640625" style="906" customWidth="1"/>
    <col min="17" max="17" width="18.88671875" style="907" customWidth="1"/>
    <col min="18" max="18" width="21.33203125" style="906" customWidth="1"/>
    <col min="19" max="19" width="19.5546875" style="905" bestFit="1" customWidth="1"/>
    <col min="20" max="16384" width="8.88671875" style="905"/>
  </cols>
  <sheetData>
    <row r="1" spans="1:19" ht="41.25" customHeight="1" x14ac:dyDescent="0.25">
      <c r="A1" s="1433" t="s">
        <v>118</v>
      </c>
      <c r="B1" s="1433"/>
      <c r="C1" s="1433"/>
      <c r="D1" s="1433"/>
      <c r="E1" s="1433"/>
      <c r="F1" s="1433"/>
      <c r="G1" s="1434" t="s">
        <v>834</v>
      </c>
      <c r="H1" s="1434"/>
      <c r="I1" s="1434"/>
      <c r="J1" s="1434"/>
      <c r="K1" s="1434"/>
      <c r="L1" s="1435" t="s">
        <v>833</v>
      </c>
      <c r="M1" s="1435"/>
      <c r="N1" s="1436" t="s">
        <v>832</v>
      </c>
      <c r="O1" s="1436"/>
      <c r="P1" s="1436"/>
      <c r="Q1" s="1436"/>
      <c r="R1" s="1436"/>
      <c r="S1" s="1436"/>
    </row>
    <row r="2" spans="1:19" s="919" customFormat="1" ht="54" x14ac:dyDescent="0.25">
      <c r="A2" s="924" t="s">
        <v>831</v>
      </c>
      <c r="B2" s="924" t="s">
        <v>830</v>
      </c>
      <c r="C2" s="923" t="s">
        <v>829</v>
      </c>
      <c r="D2" s="921" t="s">
        <v>828</v>
      </c>
      <c r="E2" s="921" t="s">
        <v>827</v>
      </c>
      <c r="F2" s="921" t="s">
        <v>826</v>
      </c>
      <c r="G2" s="920" t="s">
        <v>825</v>
      </c>
      <c r="H2" s="920" t="s">
        <v>824</v>
      </c>
      <c r="I2" s="921" t="s">
        <v>818</v>
      </c>
      <c r="J2" s="921" t="s">
        <v>817</v>
      </c>
      <c r="K2" s="921" t="s">
        <v>82</v>
      </c>
      <c r="L2" s="920" t="s">
        <v>823</v>
      </c>
      <c r="M2" s="920" t="s">
        <v>822</v>
      </c>
      <c r="N2" s="920" t="s">
        <v>821</v>
      </c>
      <c r="O2" s="920" t="s">
        <v>820</v>
      </c>
      <c r="P2" s="920" t="s">
        <v>819</v>
      </c>
      <c r="Q2" s="922" t="s">
        <v>818</v>
      </c>
      <c r="R2" s="921" t="s">
        <v>817</v>
      </c>
      <c r="S2" s="920" t="s">
        <v>816</v>
      </c>
    </row>
    <row r="3" spans="1:19" ht="18" x14ac:dyDescent="0.25">
      <c r="A3" s="915">
        <v>1</v>
      </c>
      <c r="B3" s="915" t="s">
        <v>419</v>
      </c>
      <c r="C3" s="916" t="s">
        <v>785</v>
      </c>
      <c r="D3" s="915" t="s">
        <v>92</v>
      </c>
      <c r="E3" s="915" t="s">
        <v>794</v>
      </c>
      <c r="F3" s="915" t="s">
        <v>795</v>
      </c>
      <c r="G3" s="915"/>
      <c r="H3" s="915"/>
      <c r="I3" s="913"/>
      <c r="J3" s="913"/>
      <c r="K3" s="915"/>
      <c r="L3" s="915"/>
      <c r="M3" s="913"/>
      <c r="N3" s="915"/>
      <c r="O3" s="915"/>
      <c r="P3" s="915"/>
      <c r="Q3" s="913"/>
      <c r="R3" s="912"/>
      <c r="S3" s="911"/>
    </row>
    <row r="4" spans="1:19" ht="18" x14ac:dyDescent="0.25">
      <c r="A4" s="915">
        <v>2</v>
      </c>
      <c r="B4" s="915" t="s">
        <v>205</v>
      </c>
      <c r="C4" s="916" t="s">
        <v>216</v>
      </c>
      <c r="D4" s="915" t="s">
        <v>92</v>
      </c>
      <c r="E4" s="915" t="s">
        <v>794</v>
      </c>
      <c r="F4" s="915" t="s">
        <v>798</v>
      </c>
      <c r="G4" s="915" t="s">
        <v>798</v>
      </c>
      <c r="H4" s="915" t="s">
        <v>789</v>
      </c>
      <c r="I4" s="913"/>
      <c r="J4" s="913"/>
      <c r="K4" s="915"/>
      <c r="L4" s="915"/>
      <c r="M4" s="913"/>
      <c r="N4" s="917" t="s">
        <v>798</v>
      </c>
      <c r="O4" s="915">
        <v>41.88</v>
      </c>
      <c r="P4" s="915"/>
      <c r="Q4" s="913"/>
      <c r="R4" s="912"/>
      <c r="S4" s="911"/>
    </row>
    <row r="5" spans="1:19" ht="18" x14ac:dyDescent="0.25">
      <c r="A5" s="915">
        <v>3</v>
      </c>
      <c r="B5" s="915" t="s">
        <v>206</v>
      </c>
      <c r="C5" s="916" t="s">
        <v>217</v>
      </c>
      <c r="D5" s="915" t="s">
        <v>92</v>
      </c>
      <c r="E5" s="915" t="s">
        <v>794</v>
      </c>
      <c r="F5" s="915" t="s">
        <v>798</v>
      </c>
      <c r="G5" s="915" t="s">
        <v>798</v>
      </c>
      <c r="H5" s="915" t="s">
        <v>954</v>
      </c>
      <c r="I5" s="913">
        <v>46162</v>
      </c>
      <c r="J5" s="913">
        <v>46166</v>
      </c>
      <c r="K5" s="915" t="s">
        <v>947</v>
      </c>
      <c r="L5" s="915"/>
      <c r="M5" s="913"/>
      <c r="N5" s="917" t="s">
        <v>798</v>
      </c>
      <c r="O5" s="915">
        <v>35.088999999999999</v>
      </c>
      <c r="P5" s="915"/>
      <c r="Q5" s="913"/>
      <c r="R5" s="912"/>
      <c r="S5" s="911"/>
    </row>
    <row r="6" spans="1:19" ht="18" x14ac:dyDescent="0.25">
      <c r="A6" s="915">
        <v>4</v>
      </c>
      <c r="B6" s="915" t="s">
        <v>207</v>
      </c>
      <c r="C6" s="916" t="s">
        <v>216</v>
      </c>
      <c r="D6" s="915" t="s">
        <v>92</v>
      </c>
      <c r="E6" s="915" t="s">
        <v>794</v>
      </c>
      <c r="F6" s="915" t="s">
        <v>798</v>
      </c>
      <c r="G6" s="915" t="s">
        <v>798</v>
      </c>
      <c r="H6" s="915" t="s">
        <v>792</v>
      </c>
      <c r="I6" s="913">
        <v>46153</v>
      </c>
      <c r="J6" s="913">
        <v>46161</v>
      </c>
      <c r="K6" s="915" t="s">
        <v>947</v>
      </c>
      <c r="L6" s="915" t="s">
        <v>806</v>
      </c>
      <c r="M6" s="913">
        <v>46164</v>
      </c>
      <c r="N6" s="917" t="s">
        <v>798</v>
      </c>
      <c r="O6" s="915">
        <v>41.88</v>
      </c>
      <c r="P6" s="915"/>
      <c r="Q6" s="913"/>
      <c r="R6" s="912"/>
      <c r="S6" s="911"/>
    </row>
    <row r="7" spans="1:19" ht="18" x14ac:dyDescent="0.25">
      <c r="A7" s="915">
        <v>5</v>
      </c>
      <c r="B7" s="915" t="s">
        <v>208</v>
      </c>
      <c r="C7" s="916" t="s">
        <v>218</v>
      </c>
      <c r="D7" s="915" t="s">
        <v>92</v>
      </c>
      <c r="E7" s="915" t="s">
        <v>794</v>
      </c>
      <c r="F7" s="915" t="s">
        <v>798</v>
      </c>
      <c r="G7" s="915" t="s">
        <v>798</v>
      </c>
      <c r="H7" s="915" t="s">
        <v>789</v>
      </c>
      <c r="I7" s="913"/>
      <c r="J7" s="913"/>
      <c r="K7" s="915"/>
      <c r="L7" s="915"/>
      <c r="M7" s="913"/>
      <c r="N7" s="917" t="s">
        <v>798</v>
      </c>
      <c r="O7" s="915">
        <v>36.771000000000001</v>
      </c>
      <c r="P7" s="915"/>
      <c r="Q7" s="913"/>
      <c r="R7" s="912"/>
      <c r="S7" s="911"/>
    </row>
    <row r="8" spans="1:19" ht="18" x14ac:dyDescent="0.25">
      <c r="A8" s="915">
        <v>6</v>
      </c>
      <c r="B8" s="915" t="s">
        <v>209</v>
      </c>
      <c r="C8" s="916" t="s">
        <v>218</v>
      </c>
      <c r="D8" s="915" t="s">
        <v>92</v>
      </c>
      <c r="E8" s="915" t="s">
        <v>794</v>
      </c>
      <c r="F8" s="915" t="s">
        <v>798</v>
      </c>
      <c r="G8" s="915" t="s">
        <v>798</v>
      </c>
      <c r="H8" s="915" t="s">
        <v>807</v>
      </c>
      <c r="I8" s="913"/>
      <c r="J8" s="913"/>
      <c r="K8" s="915"/>
      <c r="L8" s="915"/>
      <c r="M8" s="913"/>
      <c r="N8" s="917" t="s">
        <v>798</v>
      </c>
      <c r="O8" s="915">
        <v>36.771000000000001</v>
      </c>
      <c r="P8" s="915"/>
      <c r="Q8" s="913"/>
      <c r="R8" s="912"/>
      <c r="S8" s="911"/>
    </row>
    <row r="9" spans="1:19" ht="18" x14ac:dyDescent="0.25">
      <c r="A9" s="915">
        <v>7</v>
      </c>
      <c r="B9" s="915" t="s">
        <v>210</v>
      </c>
      <c r="C9" s="916" t="s">
        <v>218</v>
      </c>
      <c r="D9" s="915" t="s">
        <v>92</v>
      </c>
      <c r="E9" s="915" t="s">
        <v>794</v>
      </c>
      <c r="F9" s="915" t="s">
        <v>798</v>
      </c>
      <c r="G9" s="915" t="s">
        <v>798</v>
      </c>
      <c r="H9" s="915" t="s">
        <v>815</v>
      </c>
      <c r="I9" s="913"/>
      <c r="J9" s="913"/>
      <c r="K9" s="915"/>
      <c r="L9" s="915"/>
      <c r="M9" s="913"/>
      <c r="N9" s="917" t="s">
        <v>798</v>
      </c>
      <c r="O9" s="915">
        <v>36.771000000000001</v>
      </c>
      <c r="P9" s="915"/>
      <c r="Q9" s="913"/>
      <c r="R9" s="912"/>
      <c r="S9" s="911"/>
    </row>
    <row r="10" spans="1:19" ht="18" x14ac:dyDescent="0.25">
      <c r="A10" s="915">
        <v>8</v>
      </c>
      <c r="B10" s="915" t="s">
        <v>211</v>
      </c>
      <c r="C10" s="916" t="s">
        <v>218</v>
      </c>
      <c r="D10" s="915" t="s">
        <v>92</v>
      </c>
      <c r="E10" s="915" t="s">
        <v>794</v>
      </c>
      <c r="F10" s="915" t="s">
        <v>798</v>
      </c>
      <c r="G10" s="915" t="s">
        <v>798</v>
      </c>
      <c r="H10" s="915" t="s">
        <v>789</v>
      </c>
      <c r="I10" s="913">
        <v>46132</v>
      </c>
      <c r="J10" s="913">
        <v>46152</v>
      </c>
      <c r="K10" s="915" t="s">
        <v>947</v>
      </c>
      <c r="L10" s="915" t="s">
        <v>806</v>
      </c>
      <c r="M10" s="913">
        <v>46154</v>
      </c>
      <c r="N10" s="917" t="s">
        <v>798</v>
      </c>
      <c r="O10" s="915">
        <v>36.771000000000001</v>
      </c>
      <c r="P10" s="915"/>
      <c r="Q10" s="913"/>
      <c r="R10" s="912"/>
      <c r="S10" s="911"/>
    </row>
    <row r="11" spans="1:19" ht="18" x14ac:dyDescent="0.25">
      <c r="A11" s="915">
        <v>9</v>
      </c>
      <c r="B11" s="915" t="s">
        <v>420</v>
      </c>
      <c r="C11" s="916" t="s">
        <v>219</v>
      </c>
      <c r="D11" s="915" t="s">
        <v>92</v>
      </c>
      <c r="E11" s="915" t="s">
        <v>794</v>
      </c>
      <c r="F11" s="915" t="s">
        <v>795</v>
      </c>
      <c r="G11" s="915" t="s">
        <v>798</v>
      </c>
      <c r="H11" s="915" t="s">
        <v>812</v>
      </c>
      <c r="I11" s="913"/>
      <c r="J11" s="913"/>
      <c r="K11" s="915"/>
      <c r="L11" s="915"/>
      <c r="M11" s="913"/>
      <c r="N11" s="917" t="s">
        <v>798</v>
      </c>
      <c r="O11" s="915">
        <v>62.500999999999998</v>
      </c>
      <c r="P11" s="915"/>
      <c r="Q11" s="913"/>
      <c r="R11" s="912"/>
      <c r="S11" s="911"/>
    </row>
    <row r="12" spans="1:19" ht="18" x14ac:dyDescent="0.35">
      <c r="A12" s="915">
        <v>10</v>
      </c>
      <c r="B12" s="915" t="s">
        <v>212</v>
      </c>
      <c r="C12" s="916" t="s">
        <v>217</v>
      </c>
      <c r="D12" s="915" t="s">
        <v>92</v>
      </c>
      <c r="E12" s="915" t="s">
        <v>794</v>
      </c>
      <c r="F12" s="915" t="s">
        <v>798</v>
      </c>
      <c r="G12" s="915" t="s">
        <v>798</v>
      </c>
      <c r="H12" s="918" t="s">
        <v>814</v>
      </c>
      <c r="I12" s="913"/>
      <c r="J12" s="913"/>
      <c r="K12" s="915"/>
      <c r="L12" s="915"/>
      <c r="M12" s="913"/>
      <c r="N12" s="917" t="s">
        <v>798</v>
      </c>
      <c r="O12" s="915">
        <v>35.088999999999999</v>
      </c>
      <c r="P12" s="915"/>
      <c r="Q12" s="913"/>
      <c r="R12" s="912"/>
      <c r="S12" s="911"/>
    </row>
    <row r="13" spans="1:19" ht="18" x14ac:dyDescent="0.25">
      <c r="A13" s="915">
        <v>11</v>
      </c>
      <c r="B13" s="915" t="s">
        <v>213</v>
      </c>
      <c r="C13" s="916" t="s">
        <v>217</v>
      </c>
      <c r="D13" s="915" t="s">
        <v>92</v>
      </c>
      <c r="E13" s="915" t="s">
        <v>798</v>
      </c>
      <c r="F13" s="915" t="s">
        <v>798</v>
      </c>
      <c r="G13" s="915" t="s">
        <v>798</v>
      </c>
      <c r="H13" s="915" t="s">
        <v>812</v>
      </c>
      <c r="I13" s="913"/>
      <c r="J13" s="913"/>
      <c r="K13" s="915"/>
      <c r="L13" s="915"/>
      <c r="M13" s="913"/>
      <c r="N13" s="917" t="s">
        <v>798</v>
      </c>
      <c r="O13" s="915">
        <v>35.088999999999999</v>
      </c>
      <c r="P13" s="915"/>
      <c r="Q13" s="913"/>
      <c r="R13" s="912"/>
      <c r="S13" s="911"/>
    </row>
    <row r="14" spans="1:19" ht="18" x14ac:dyDescent="0.25">
      <c r="A14" s="915">
        <v>12</v>
      </c>
      <c r="B14" s="915" t="s">
        <v>214</v>
      </c>
      <c r="C14" s="916" t="s">
        <v>217</v>
      </c>
      <c r="D14" s="915" t="s">
        <v>92</v>
      </c>
      <c r="E14" s="915" t="s">
        <v>794</v>
      </c>
      <c r="F14" s="915" t="s">
        <v>798</v>
      </c>
      <c r="G14" s="915" t="s">
        <v>798</v>
      </c>
      <c r="H14" s="915" t="s">
        <v>812</v>
      </c>
      <c r="I14" s="913"/>
      <c r="J14" s="913"/>
      <c r="K14" s="915"/>
      <c r="L14" s="915"/>
      <c r="M14" s="913"/>
      <c r="N14" s="917" t="s">
        <v>798</v>
      </c>
      <c r="O14" s="915">
        <v>35.088999999999999</v>
      </c>
      <c r="P14" s="915"/>
      <c r="Q14" s="913"/>
      <c r="R14" s="912"/>
      <c r="S14" s="911"/>
    </row>
    <row r="15" spans="1:19" ht="18" x14ac:dyDescent="0.25">
      <c r="A15" s="915">
        <v>13</v>
      </c>
      <c r="B15" s="915" t="s">
        <v>220</v>
      </c>
      <c r="C15" s="916" t="s">
        <v>217</v>
      </c>
      <c r="D15" s="915" t="s">
        <v>92</v>
      </c>
      <c r="E15" s="915" t="s">
        <v>794</v>
      </c>
      <c r="F15" s="915" t="s">
        <v>798</v>
      </c>
      <c r="G15" s="915" t="s">
        <v>798</v>
      </c>
      <c r="H15" s="915" t="s">
        <v>812</v>
      </c>
      <c r="I15" s="913"/>
      <c r="J15" s="913"/>
      <c r="K15" s="915"/>
      <c r="L15" s="915"/>
      <c r="M15" s="913"/>
      <c r="N15" s="917" t="s">
        <v>798</v>
      </c>
      <c r="O15" s="915">
        <v>35.088999999999999</v>
      </c>
      <c r="P15" s="915"/>
      <c r="Q15" s="913"/>
      <c r="R15" s="912"/>
      <c r="S15" s="911"/>
    </row>
    <row r="16" spans="1:19" ht="18" x14ac:dyDescent="0.25">
      <c r="A16" s="915">
        <v>14</v>
      </c>
      <c r="B16" s="915" t="s">
        <v>221</v>
      </c>
      <c r="C16" s="916" t="s">
        <v>218</v>
      </c>
      <c r="D16" s="915" t="s">
        <v>92</v>
      </c>
      <c r="E16" s="915" t="s">
        <v>794</v>
      </c>
      <c r="F16" s="915" t="s">
        <v>798</v>
      </c>
      <c r="G16" s="915" t="s">
        <v>798</v>
      </c>
      <c r="H16" s="915" t="s">
        <v>812</v>
      </c>
      <c r="I16" s="913"/>
      <c r="J16" s="913"/>
      <c r="K16" s="915"/>
      <c r="L16" s="915"/>
      <c r="M16" s="913"/>
      <c r="N16" s="917" t="s">
        <v>798</v>
      </c>
      <c r="O16" s="915">
        <v>36.771000000000001</v>
      </c>
      <c r="P16" s="915"/>
      <c r="Q16" s="913"/>
      <c r="R16" s="912"/>
      <c r="S16" s="911"/>
    </row>
    <row r="17" spans="1:19" ht="18" x14ac:dyDescent="0.25">
      <c r="A17" s="915">
        <v>15</v>
      </c>
      <c r="B17" s="915" t="s">
        <v>222</v>
      </c>
      <c r="C17" s="916" t="s">
        <v>217</v>
      </c>
      <c r="D17" s="915" t="s">
        <v>92</v>
      </c>
      <c r="E17" s="915" t="s">
        <v>794</v>
      </c>
      <c r="F17" s="915" t="s">
        <v>798</v>
      </c>
      <c r="G17" s="915" t="s">
        <v>798</v>
      </c>
      <c r="H17" s="915" t="s">
        <v>812</v>
      </c>
      <c r="I17" s="913"/>
      <c r="J17" s="913"/>
      <c r="K17" s="915"/>
      <c r="L17" s="915"/>
      <c r="M17" s="913"/>
      <c r="N17" s="917" t="s">
        <v>798</v>
      </c>
      <c r="O17" s="915">
        <v>35.088999999999999</v>
      </c>
      <c r="P17" s="915"/>
      <c r="Q17" s="913"/>
      <c r="R17" s="912"/>
      <c r="S17" s="911"/>
    </row>
    <row r="18" spans="1:19" ht="18" x14ac:dyDescent="0.25">
      <c r="A18" s="915">
        <v>16</v>
      </c>
      <c r="B18" s="915" t="s">
        <v>223</v>
      </c>
      <c r="C18" s="916" t="s">
        <v>217</v>
      </c>
      <c r="D18" s="915" t="s">
        <v>92</v>
      </c>
      <c r="E18" s="915" t="s">
        <v>794</v>
      </c>
      <c r="F18" s="915" t="s">
        <v>798</v>
      </c>
      <c r="G18" s="915" t="s">
        <v>798</v>
      </c>
      <c r="H18" s="915" t="s">
        <v>812</v>
      </c>
      <c r="I18" s="913"/>
      <c r="J18" s="913"/>
      <c r="K18" s="915"/>
      <c r="L18" s="915"/>
      <c r="M18" s="913"/>
      <c r="N18" s="917" t="s">
        <v>798</v>
      </c>
      <c r="O18" s="915">
        <v>35.088999999999999</v>
      </c>
      <c r="P18" s="915"/>
      <c r="Q18" s="913"/>
      <c r="R18" s="912"/>
      <c r="S18" s="911"/>
    </row>
    <row r="19" spans="1:19" ht="18" x14ac:dyDescent="0.25">
      <c r="A19" s="915">
        <v>17</v>
      </c>
      <c r="B19" s="915" t="s">
        <v>224</v>
      </c>
      <c r="C19" s="916" t="s">
        <v>217</v>
      </c>
      <c r="D19" s="915" t="s">
        <v>92</v>
      </c>
      <c r="E19" s="915" t="s">
        <v>794</v>
      </c>
      <c r="F19" s="915" t="s">
        <v>798</v>
      </c>
      <c r="G19" s="915" t="s">
        <v>798</v>
      </c>
      <c r="H19" s="915" t="s">
        <v>792</v>
      </c>
      <c r="I19" s="913">
        <v>46136</v>
      </c>
      <c r="J19" s="913">
        <v>46142</v>
      </c>
      <c r="K19" s="915" t="s">
        <v>743</v>
      </c>
      <c r="L19" s="915" t="s">
        <v>806</v>
      </c>
      <c r="M19" s="913">
        <v>46142</v>
      </c>
      <c r="N19" s="917" t="s">
        <v>798</v>
      </c>
      <c r="O19" s="915">
        <v>35.088999999999999</v>
      </c>
      <c r="P19" s="915"/>
      <c r="Q19" s="913"/>
      <c r="R19" s="912"/>
      <c r="S19" s="911"/>
    </row>
    <row r="20" spans="1:19" ht="18" x14ac:dyDescent="0.25">
      <c r="A20" s="915">
        <v>18</v>
      </c>
      <c r="B20" s="915" t="s">
        <v>225</v>
      </c>
      <c r="C20" s="916" t="s">
        <v>217</v>
      </c>
      <c r="D20" s="915" t="s">
        <v>92</v>
      </c>
      <c r="E20" s="915" t="s">
        <v>794</v>
      </c>
      <c r="F20" s="915" t="s">
        <v>798</v>
      </c>
      <c r="G20" s="915" t="s">
        <v>798</v>
      </c>
      <c r="H20" s="915" t="s">
        <v>792</v>
      </c>
      <c r="I20" s="913">
        <v>46127</v>
      </c>
      <c r="J20" s="913">
        <v>46135</v>
      </c>
      <c r="K20" s="915" t="s">
        <v>743</v>
      </c>
      <c r="L20" s="915"/>
      <c r="M20" s="913"/>
      <c r="N20" s="917" t="s">
        <v>798</v>
      </c>
      <c r="O20" s="915">
        <v>35.088999999999999</v>
      </c>
      <c r="P20" s="915" t="s">
        <v>792</v>
      </c>
      <c r="Q20" s="913"/>
      <c r="R20" s="912"/>
      <c r="S20" s="911"/>
    </row>
    <row r="21" spans="1:19" ht="18" x14ac:dyDescent="0.25">
      <c r="A21" s="915">
        <v>19</v>
      </c>
      <c r="B21" s="915" t="s">
        <v>226</v>
      </c>
      <c r="C21" s="916" t="s">
        <v>217</v>
      </c>
      <c r="D21" s="915" t="s">
        <v>92</v>
      </c>
      <c r="E21" s="915" t="s">
        <v>794</v>
      </c>
      <c r="F21" s="915" t="s">
        <v>798</v>
      </c>
      <c r="G21" s="915" t="s">
        <v>798</v>
      </c>
      <c r="H21" s="915" t="s">
        <v>792</v>
      </c>
      <c r="I21" s="913">
        <v>46077</v>
      </c>
      <c r="J21" s="913">
        <v>46092</v>
      </c>
      <c r="K21" s="915" t="s">
        <v>743</v>
      </c>
      <c r="L21" s="915" t="s">
        <v>806</v>
      </c>
      <c r="M21" s="913">
        <v>46136</v>
      </c>
      <c r="N21" s="917" t="s">
        <v>798</v>
      </c>
      <c r="O21" s="915">
        <v>35.088999999999999</v>
      </c>
      <c r="P21" s="915" t="s">
        <v>792</v>
      </c>
      <c r="Q21" s="913"/>
      <c r="R21" s="912"/>
      <c r="S21" s="911"/>
    </row>
    <row r="22" spans="1:19" ht="18" x14ac:dyDescent="0.25">
      <c r="A22" s="915">
        <v>20</v>
      </c>
      <c r="B22" s="915" t="s">
        <v>227</v>
      </c>
      <c r="C22" s="916" t="s">
        <v>217</v>
      </c>
      <c r="D22" s="915" t="s">
        <v>546</v>
      </c>
      <c r="E22" s="915" t="s">
        <v>794</v>
      </c>
      <c r="F22" s="915" t="s">
        <v>798</v>
      </c>
      <c r="G22" s="915" t="s">
        <v>798</v>
      </c>
      <c r="H22" s="915" t="s">
        <v>792</v>
      </c>
      <c r="I22" s="913">
        <v>46077</v>
      </c>
      <c r="J22" s="913">
        <v>46095</v>
      </c>
      <c r="K22" s="915" t="s">
        <v>743</v>
      </c>
      <c r="L22" s="915" t="s">
        <v>806</v>
      </c>
      <c r="M22" s="913">
        <v>46136</v>
      </c>
      <c r="N22" s="917" t="s">
        <v>798</v>
      </c>
      <c r="O22" s="915">
        <v>35.088999999999999</v>
      </c>
      <c r="P22" s="915" t="s">
        <v>792</v>
      </c>
      <c r="Q22" s="913"/>
      <c r="R22" s="912"/>
      <c r="S22" s="911"/>
    </row>
    <row r="23" spans="1:19" ht="18" x14ac:dyDescent="0.25">
      <c r="A23" s="915">
        <v>21</v>
      </c>
      <c r="B23" s="915" t="s">
        <v>421</v>
      </c>
      <c r="C23" s="916" t="s">
        <v>231</v>
      </c>
      <c r="D23" s="915" t="s">
        <v>546</v>
      </c>
      <c r="E23" s="915" t="s">
        <v>794</v>
      </c>
      <c r="F23" s="915" t="s">
        <v>795</v>
      </c>
      <c r="G23" s="915" t="s">
        <v>798</v>
      </c>
      <c r="H23" s="915" t="s">
        <v>792</v>
      </c>
      <c r="I23" s="913">
        <v>46077</v>
      </c>
      <c r="J23" s="913">
        <v>46128</v>
      </c>
      <c r="K23" s="915" t="s">
        <v>743</v>
      </c>
      <c r="L23" s="915" t="s">
        <v>806</v>
      </c>
      <c r="M23" s="913">
        <v>46114</v>
      </c>
      <c r="N23" s="917" t="s">
        <v>798</v>
      </c>
      <c r="O23" s="915">
        <v>62.500999999999998</v>
      </c>
      <c r="P23" s="915" t="s">
        <v>792</v>
      </c>
      <c r="Q23" s="913"/>
      <c r="R23" s="912"/>
      <c r="S23" s="911"/>
    </row>
    <row r="24" spans="1:19" ht="18" x14ac:dyDescent="0.25">
      <c r="A24" s="915">
        <v>22</v>
      </c>
      <c r="B24" s="915" t="s">
        <v>228</v>
      </c>
      <c r="C24" s="916" t="s">
        <v>217</v>
      </c>
      <c r="D24" s="915" t="s">
        <v>92</v>
      </c>
      <c r="E24" s="915" t="s">
        <v>794</v>
      </c>
      <c r="F24" s="915" t="s">
        <v>798</v>
      </c>
      <c r="G24" s="915" t="s">
        <v>798</v>
      </c>
      <c r="H24" s="915" t="s">
        <v>792</v>
      </c>
      <c r="I24" s="913">
        <v>46060</v>
      </c>
      <c r="J24" s="913">
        <v>46065</v>
      </c>
      <c r="K24" s="915" t="s">
        <v>696</v>
      </c>
      <c r="L24" s="915" t="s">
        <v>806</v>
      </c>
      <c r="M24" s="913">
        <v>46068</v>
      </c>
      <c r="N24" s="917" t="s">
        <v>798</v>
      </c>
      <c r="O24" s="915">
        <v>35.088999999999999</v>
      </c>
      <c r="P24" s="915" t="s">
        <v>792</v>
      </c>
      <c r="Q24" s="913"/>
      <c r="R24" s="912"/>
      <c r="S24" s="911"/>
    </row>
    <row r="25" spans="1:19" ht="18" x14ac:dyDescent="0.25">
      <c r="A25" s="915">
        <v>23</v>
      </c>
      <c r="B25" s="915" t="s">
        <v>229</v>
      </c>
      <c r="C25" s="916" t="s">
        <v>217</v>
      </c>
      <c r="D25" s="915" t="s">
        <v>669</v>
      </c>
      <c r="E25" s="915" t="s">
        <v>794</v>
      </c>
      <c r="F25" s="915" t="s">
        <v>798</v>
      </c>
      <c r="G25" s="915" t="s">
        <v>798</v>
      </c>
      <c r="H25" s="915" t="s">
        <v>792</v>
      </c>
      <c r="I25" s="913">
        <v>46059</v>
      </c>
      <c r="J25" s="913">
        <v>46070</v>
      </c>
      <c r="K25" s="915" t="s">
        <v>696</v>
      </c>
      <c r="L25" s="915" t="s">
        <v>942</v>
      </c>
      <c r="M25" s="913">
        <v>46070</v>
      </c>
      <c r="N25" s="917" t="s">
        <v>798</v>
      </c>
      <c r="O25" s="915">
        <v>35.088999999999999</v>
      </c>
      <c r="P25" s="915" t="s">
        <v>792</v>
      </c>
      <c r="Q25" s="913"/>
      <c r="R25" s="912"/>
      <c r="S25" s="911"/>
    </row>
    <row r="26" spans="1:19" ht="18" x14ac:dyDescent="0.25">
      <c r="A26" s="915">
        <v>24</v>
      </c>
      <c r="B26" s="915" t="s">
        <v>230</v>
      </c>
      <c r="C26" s="916" t="s">
        <v>218</v>
      </c>
      <c r="D26" s="915" t="s">
        <v>92</v>
      </c>
      <c r="E26" s="915" t="s">
        <v>794</v>
      </c>
      <c r="F26" s="915" t="s">
        <v>798</v>
      </c>
      <c r="G26" s="915" t="s">
        <v>798</v>
      </c>
      <c r="H26" s="915" t="s">
        <v>792</v>
      </c>
      <c r="I26" s="913">
        <v>46101</v>
      </c>
      <c r="J26" s="913">
        <v>46106</v>
      </c>
      <c r="K26" s="915" t="s">
        <v>696</v>
      </c>
      <c r="L26" s="915" t="s">
        <v>806</v>
      </c>
      <c r="M26" s="913">
        <v>46110</v>
      </c>
      <c r="N26" s="917" t="s">
        <v>798</v>
      </c>
      <c r="O26" s="915">
        <v>36.771000000000001</v>
      </c>
      <c r="P26" s="915" t="s">
        <v>792</v>
      </c>
      <c r="Q26" s="913"/>
      <c r="R26" s="912"/>
      <c r="S26" s="911"/>
    </row>
    <row r="27" spans="1:19" ht="18" x14ac:dyDescent="0.25">
      <c r="A27" s="915">
        <v>25</v>
      </c>
      <c r="B27" s="915" t="s">
        <v>422</v>
      </c>
      <c r="C27" s="916" t="s">
        <v>231</v>
      </c>
      <c r="D27" s="915" t="s">
        <v>92</v>
      </c>
      <c r="E27" s="915" t="s">
        <v>794</v>
      </c>
      <c r="F27" s="915" t="s">
        <v>795</v>
      </c>
      <c r="G27" s="915" t="s">
        <v>798</v>
      </c>
      <c r="H27" s="915" t="s">
        <v>813</v>
      </c>
      <c r="I27" s="913"/>
      <c r="J27" s="913"/>
      <c r="K27" s="915"/>
      <c r="L27" s="915"/>
      <c r="M27" s="913"/>
      <c r="N27" s="917" t="s">
        <v>798</v>
      </c>
      <c r="O27" s="915">
        <v>62.500999999999998</v>
      </c>
      <c r="P27" s="915"/>
      <c r="Q27" s="913"/>
      <c r="R27" s="912"/>
      <c r="S27" s="911"/>
    </row>
    <row r="28" spans="1:19" ht="18" x14ac:dyDescent="0.25">
      <c r="A28" s="915">
        <v>26</v>
      </c>
      <c r="B28" s="915" t="s">
        <v>232</v>
      </c>
      <c r="C28" s="916" t="s">
        <v>218</v>
      </c>
      <c r="D28" s="915" t="s">
        <v>92</v>
      </c>
      <c r="E28" s="915" t="s">
        <v>794</v>
      </c>
      <c r="F28" s="915" t="s">
        <v>798</v>
      </c>
      <c r="G28" s="915" t="s">
        <v>798</v>
      </c>
      <c r="H28" s="915" t="s">
        <v>813</v>
      </c>
      <c r="I28" s="913"/>
      <c r="J28" s="913"/>
      <c r="K28" s="915"/>
      <c r="L28" s="915"/>
      <c r="M28" s="913"/>
      <c r="N28" s="917" t="s">
        <v>798</v>
      </c>
      <c r="O28" s="915">
        <v>36.771000000000001</v>
      </c>
      <c r="P28" s="915"/>
      <c r="Q28" s="913"/>
      <c r="R28" s="912"/>
      <c r="S28" s="911"/>
    </row>
    <row r="29" spans="1:19" ht="18" x14ac:dyDescent="0.25">
      <c r="A29" s="915">
        <v>27</v>
      </c>
      <c r="B29" s="915" t="s">
        <v>233</v>
      </c>
      <c r="C29" s="916" t="s">
        <v>217</v>
      </c>
      <c r="D29" s="915" t="s">
        <v>92</v>
      </c>
      <c r="E29" s="915" t="s">
        <v>794</v>
      </c>
      <c r="F29" s="915" t="s">
        <v>798</v>
      </c>
      <c r="G29" s="915" t="s">
        <v>798</v>
      </c>
      <c r="H29" s="915" t="s">
        <v>792</v>
      </c>
      <c r="I29" s="913">
        <v>46102</v>
      </c>
      <c r="J29" s="913">
        <v>46108</v>
      </c>
      <c r="K29" s="915" t="s">
        <v>696</v>
      </c>
      <c r="L29" s="915" t="s">
        <v>806</v>
      </c>
      <c r="M29" s="913">
        <v>46112</v>
      </c>
      <c r="N29" s="917" t="s">
        <v>798</v>
      </c>
      <c r="O29" s="915">
        <v>35.088999999999999</v>
      </c>
      <c r="P29" s="915" t="s">
        <v>792</v>
      </c>
      <c r="Q29" s="913"/>
      <c r="R29" s="912"/>
      <c r="S29" s="911"/>
    </row>
    <row r="30" spans="1:19" ht="18" x14ac:dyDescent="0.25">
      <c r="A30" s="915">
        <v>28</v>
      </c>
      <c r="B30" s="915" t="s">
        <v>234</v>
      </c>
      <c r="C30" s="916" t="s">
        <v>217</v>
      </c>
      <c r="D30" s="915" t="s">
        <v>92</v>
      </c>
      <c r="E30" s="915" t="s">
        <v>794</v>
      </c>
      <c r="F30" s="915" t="s">
        <v>798</v>
      </c>
      <c r="G30" s="915" t="s">
        <v>798</v>
      </c>
      <c r="H30" s="915" t="s">
        <v>813</v>
      </c>
      <c r="I30" s="913"/>
      <c r="J30" s="913"/>
      <c r="K30" s="915"/>
      <c r="L30" s="915"/>
      <c r="M30" s="913"/>
      <c r="N30" s="917" t="s">
        <v>798</v>
      </c>
      <c r="O30" s="915">
        <v>35.088999999999999</v>
      </c>
      <c r="P30" s="915"/>
      <c r="Q30" s="913"/>
      <c r="R30" s="912"/>
      <c r="S30" s="911"/>
    </row>
    <row r="31" spans="1:19" ht="18" x14ac:dyDescent="0.25">
      <c r="A31" s="915">
        <v>29</v>
      </c>
      <c r="B31" s="915" t="s">
        <v>235</v>
      </c>
      <c r="C31" s="916" t="s">
        <v>217</v>
      </c>
      <c r="D31" s="915" t="s">
        <v>669</v>
      </c>
      <c r="E31" s="915" t="s">
        <v>794</v>
      </c>
      <c r="F31" s="915" t="s">
        <v>798</v>
      </c>
      <c r="G31" s="915" t="s">
        <v>798</v>
      </c>
      <c r="H31" s="915" t="s">
        <v>809</v>
      </c>
      <c r="I31" s="913"/>
      <c r="J31" s="913"/>
      <c r="K31" s="915"/>
      <c r="L31" s="915"/>
      <c r="M31" s="913"/>
      <c r="N31" s="917" t="s">
        <v>798</v>
      </c>
      <c r="O31" s="915">
        <v>35.088999999999999</v>
      </c>
      <c r="P31" s="915"/>
      <c r="Q31" s="913"/>
      <c r="R31" s="912"/>
      <c r="S31" s="911"/>
    </row>
    <row r="32" spans="1:19" ht="18" x14ac:dyDescent="0.25">
      <c r="A32" s="915">
        <v>30</v>
      </c>
      <c r="B32" s="915" t="s">
        <v>236</v>
      </c>
      <c r="C32" s="916" t="s">
        <v>217</v>
      </c>
      <c r="D32" s="915" t="s">
        <v>92</v>
      </c>
      <c r="E32" s="915" t="s">
        <v>794</v>
      </c>
      <c r="F32" s="915" t="s">
        <v>798</v>
      </c>
      <c r="G32" s="915" t="s">
        <v>798</v>
      </c>
      <c r="H32" s="915" t="s">
        <v>809</v>
      </c>
      <c r="I32" s="913"/>
      <c r="J32" s="913"/>
      <c r="K32" s="915"/>
      <c r="L32" s="915"/>
      <c r="M32" s="913"/>
      <c r="N32" s="917" t="s">
        <v>798</v>
      </c>
      <c r="O32" s="915">
        <v>35.088999999999999</v>
      </c>
      <c r="P32" s="915"/>
      <c r="Q32" s="913"/>
      <c r="R32" s="912"/>
      <c r="S32" s="911"/>
    </row>
    <row r="33" spans="1:19" ht="18" x14ac:dyDescent="0.25">
      <c r="A33" s="915">
        <v>31</v>
      </c>
      <c r="B33" s="915" t="s">
        <v>237</v>
      </c>
      <c r="C33" s="916" t="s">
        <v>218</v>
      </c>
      <c r="D33" s="915" t="s">
        <v>92</v>
      </c>
      <c r="E33" s="915" t="s">
        <v>794</v>
      </c>
      <c r="F33" s="915" t="s">
        <v>798</v>
      </c>
      <c r="G33" s="915" t="s">
        <v>798</v>
      </c>
      <c r="H33" s="915" t="s">
        <v>792</v>
      </c>
      <c r="I33" s="913">
        <v>46092</v>
      </c>
      <c r="J33" s="913">
        <v>46100</v>
      </c>
      <c r="K33" s="915" t="s">
        <v>696</v>
      </c>
      <c r="L33" s="915" t="s">
        <v>806</v>
      </c>
      <c r="M33" s="913">
        <v>46110</v>
      </c>
      <c r="N33" s="917" t="s">
        <v>798</v>
      </c>
      <c r="O33" s="915">
        <v>36.771000000000001</v>
      </c>
      <c r="P33" s="915" t="s">
        <v>792</v>
      </c>
      <c r="Q33" s="913"/>
      <c r="R33" s="912"/>
      <c r="S33" s="911"/>
    </row>
    <row r="34" spans="1:19" ht="18" x14ac:dyDescent="0.25">
      <c r="A34" s="915">
        <v>32</v>
      </c>
      <c r="B34" s="915" t="s">
        <v>238</v>
      </c>
      <c r="C34" s="916" t="s">
        <v>218</v>
      </c>
      <c r="D34" s="915" t="s">
        <v>92</v>
      </c>
      <c r="E34" s="915" t="s">
        <v>794</v>
      </c>
      <c r="F34" s="915" t="s">
        <v>798</v>
      </c>
      <c r="G34" s="915" t="s">
        <v>798</v>
      </c>
      <c r="H34" s="915" t="s">
        <v>792</v>
      </c>
      <c r="I34" s="913">
        <v>46087</v>
      </c>
      <c r="J34" s="913">
        <v>46094</v>
      </c>
      <c r="K34" s="915" t="s">
        <v>696</v>
      </c>
      <c r="L34" s="915" t="s">
        <v>806</v>
      </c>
      <c r="M34" s="913">
        <v>46095</v>
      </c>
      <c r="N34" s="917" t="s">
        <v>798</v>
      </c>
      <c r="O34" s="915">
        <v>36.771000000000001</v>
      </c>
      <c r="P34" s="915" t="s">
        <v>792</v>
      </c>
      <c r="Q34" s="913"/>
      <c r="R34" s="912"/>
      <c r="S34" s="911"/>
    </row>
    <row r="35" spans="1:19" ht="18" x14ac:dyDescent="0.25">
      <c r="A35" s="915">
        <v>33</v>
      </c>
      <c r="B35" s="915" t="s">
        <v>239</v>
      </c>
      <c r="C35" s="916" t="s">
        <v>217</v>
      </c>
      <c r="D35" s="915" t="s">
        <v>92</v>
      </c>
      <c r="E35" s="915" t="s">
        <v>794</v>
      </c>
      <c r="F35" s="915" t="s">
        <v>798</v>
      </c>
      <c r="G35" s="915" t="s">
        <v>798</v>
      </c>
      <c r="H35" s="915" t="s">
        <v>792</v>
      </c>
      <c r="I35" s="913">
        <v>46088</v>
      </c>
      <c r="J35" s="913">
        <v>46095</v>
      </c>
      <c r="K35" s="915" t="s">
        <v>696</v>
      </c>
      <c r="L35" s="915" t="s">
        <v>806</v>
      </c>
      <c r="M35" s="913">
        <v>46098</v>
      </c>
      <c r="N35" s="917" t="s">
        <v>798</v>
      </c>
      <c r="O35" s="915">
        <v>35.088999999999999</v>
      </c>
      <c r="P35" s="915" t="s">
        <v>792</v>
      </c>
      <c r="Q35" s="913"/>
      <c r="R35" s="912"/>
      <c r="S35" s="911"/>
    </row>
    <row r="36" spans="1:19" ht="18" x14ac:dyDescent="0.25">
      <c r="A36" s="915">
        <v>34</v>
      </c>
      <c r="B36" s="915" t="s">
        <v>240</v>
      </c>
      <c r="C36" s="916" t="s">
        <v>218</v>
      </c>
      <c r="D36" s="915" t="s">
        <v>92</v>
      </c>
      <c r="E36" s="915" t="s">
        <v>794</v>
      </c>
      <c r="F36" s="915" t="s">
        <v>798</v>
      </c>
      <c r="G36" s="915" t="s">
        <v>798</v>
      </c>
      <c r="H36" s="915" t="s">
        <v>792</v>
      </c>
      <c r="I36" s="913">
        <v>46054</v>
      </c>
      <c r="J36" s="913">
        <v>46058</v>
      </c>
      <c r="K36" s="915" t="s">
        <v>696</v>
      </c>
      <c r="L36" s="915" t="s">
        <v>806</v>
      </c>
      <c r="M36" s="913">
        <v>46069</v>
      </c>
      <c r="N36" s="917" t="s">
        <v>798</v>
      </c>
      <c r="O36" s="915">
        <v>36.771000000000001</v>
      </c>
      <c r="P36" s="915" t="s">
        <v>792</v>
      </c>
      <c r="Q36" s="913">
        <v>46081</v>
      </c>
      <c r="R36" s="912">
        <v>46086</v>
      </c>
      <c r="S36" s="911" t="e">
        <f>VLOOKUP(B36,#REF!,4,0)</f>
        <v>#REF!</v>
      </c>
    </row>
    <row r="37" spans="1:19" ht="18" x14ac:dyDescent="0.25">
      <c r="A37" s="915">
        <v>35</v>
      </c>
      <c r="B37" s="915" t="s">
        <v>241</v>
      </c>
      <c r="C37" s="916" t="s">
        <v>217</v>
      </c>
      <c r="D37" s="915" t="s">
        <v>669</v>
      </c>
      <c r="E37" s="915" t="s">
        <v>794</v>
      </c>
      <c r="F37" s="915" t="s">
        <v>798</v>
      </c>
      <c r="G37" s="915" t="s">
        <v>798</v>
      </c>
      <c r="H37" s="915" t="s">
        <v>792</v>
      </c>
      <c r="I37" s="913">
        <v>46090</v>
      </c>
      <c r="J37" s="913">
        <v>46098</v>
      </c>
      <c r="K37" s="915" t="s">
        <v>696</v>
      </c>
      <c r="L37" s="915" t="s">
        <v>808</v>
      </c>
      <c r="M37" s="913">
        <v>46127</v>
      </c>
      <c r="N37" s="917" t="s">
        <v>798</v>
      </c>
      <c r="O37" s="915">
        <v>35.088999999999999</v>
      </c>
      <c r="P37" s="915" t="s">
        <v>792</v>
      </c>
      <c r="Q37" s="913"/>
      <c r="R37" s="912"/>
      <c r="S37" s="911"/>
    </row>
    <row r="38" spans="1:19" ht="18" x14ac:dyDescent="0.25">
      <c r="A38" s="915">
        <v>36</v>
      </c>
      <c r="B38" s="915" t="s">
        <v>423</v>
      </c>
      <c r="C38" s="916" t="s">
        <v>242</v>
      </c>
      <c r="D38" s="915" t="s">
        <v>92</v>
      </c>
      <c r="E38" s="915" t="s">
        <v>794</v>
      </c>
      <c r="F38" s="915"/>
      <c r="G38" s="915" t="s">
        <v>798</v>
      </c>
      <c r="H38" s="915" t="s">
        <v>792</v>
      </c>
      <c r="I38" s="913">
        <v>46045</v>
      </c>
      <c r="J38" s="913">
        <v>46053</v>
      </c>
      <c r="K38" s="915" t="s">
        <v>696</v>
      </c>
      <c r="L38" s="915" t="s">
        <v>806</v>
      </c>
      <c r="M38" s="913">
        <v>46056</v>
      </c>
      <c r="N38" s="917" t="s">
        <v>798</v>
      </c>
      <c r="O38" s="915">
        <v>54.72</v>
      </c>
      <c r="P38" s="915" t="s">
        <v>792</v>
      </c>
      <c r="Q38" s="913">
        <v>46070</v>
      </c>
      <c r="R38" s="912">
        <v>46074</v>
      </c>
      <c r="S38" s="911" t="e">
        <f>VLOOKUP(B38,#REF!,4,0)</f>
        <v>#REF!</v>
      </c>
    </row>
    <row r="39" spans="1:19" ht="18" x14ac:dyDescent="0.25">
      <c r="A39" s="915">
        <v>37</v>
      </c>
      <c r="B39" s="915" t="s">
        <v>243</v>
      </c>
      <c r="C39" s="916" t="s">
        <v>253</v>
      </c>
      <c r="D39" s="915" t="s">
        <v>92</v>
      </c>
      <c r="E39" s="915" t="s">
        <v>794</v>
      </c>
      <c r="F39" s="915" t="s">
        <v>798</v>
      </c>
      <c r="G39" s="915" t="s">
        <v>798</v>
      </c>
      <c r="H39" s="915" t="s">
        <v>792</v>
      </c>
      <c r="I39" s="913">
        <v>46098</v>
      </c>
      <c r="J39" s="913">
        <v>46103</v>
      </c>
      <c r="K39" s="915" t="s">
        <v>696</v>
      </c>
      <c r="L39" s="915" t="s">
        <v>806</v>
      </c>
      <c r="M39" s="913">
        <v>46112</v>
      </c>
      <c r="N39" s="917" t="s">
        <v>798</v>
      </c>
      <c r="O39" s="915">
        <v>43.575000000000003</v>
      </c>
      <c r="P39" s="915" t="s">
        <v>792</v>
      </c>
      <c r="Q39" s="913"/>
      <c r="R39" s="912"/>
      <c r="S39" s="911"/>
    </row>
    <row r="40" spans="1:19" ht="18" x14ac:dyDescent="0.25">
      <c r="A40" s="915">
        <v>38</v>
      </c>
      <c r="B40" s="915" t="s">
        <v>244</v>
      </c>
      <c r="C40" s="916" t="s">
        <v>217</v>
      </c>
      <c r="D40" s="915" t="s">
        <v>546</v>
      </c>
      <c r="E40" s="915" t="s">
        <v>794</v>
      </c>
      <c r="F40" s="915" t="s">
        <v>798</v>
      </c>
      <c r="G40" s="915" t="s">
        <v>798</v>
      </c>
      <c r="H40" s="915" t="s">
        <v>809</v>
      </c>
      <c r="I40" s="913"/>
      <c r="J40" s="913"/>
      <c r="K40" s="915"/>
      <c r="L40" s="915"/>
      <c r="M40" s="913"/>
      <c r="N40" s="917" t="s">
        <v>798</v>
      </c>
      <c r="O40" s="915">
        <v>35.088999999999999</v>
      </c>
      <c r="P40" s="915"/>
      <c r="Q40" s="913"/>
      <c r="R40" s="912"/>
      <c r="S40" s="911"/>
    </row>
    <row r="41" spans="1:19" ht="18" x14ac:dyDescent="0.25">
      <c r="A41" s="915">
        <v>39</v>
      </c>
      <c r="B41" s="915" t="s">
        <v>245</v>
      </c>
      <c r="C41" s="916" t="s">
        <v>217</v>
      </c>
      <c r="D41" s="915" t="s">
        <v>92</v>
      </c>
      <c r="E41" s="915" t="s">
        <v>794</v>
      </c>
      <c r="F41" s="915" t="s">
        <v>798</v>
      </c>
      <c r="G41" s="915" t="s">
        <v>798</v>
      </c>
      <c r="H41" s="915" t="s">
        <v>813</v>
      </c>
      <c r="I41" s="913"/>
      <c r="J41" s="913"/>
      <c r="K41" s="915"/>
      <c r="L41" s="915"/>
      <c r="M41" s="913"/>
      <c r="N41" s="917" t="s">
        <v>798</v>
      </c>
      <c r="O41" s="915">
        <v>35.088999999999999</v>
      </c>
      <c r="P41" s="915"/>
      <c r="Q41" s="913"/>
      <c r="R41" s="912"/>
      <c r="S41" s="911"/>
    </row>
    <row r="42" spans="1:19" ht="18" x14ac:dyDescent="0.25">
      <c r="A42" s="915">
        <v>40</v>
      </c>
      <c r="B42" s="915" t="s">
        <v>246</v>
      </c>
      <c r="C42" s="916" t="s">
        <v>217</v>
      </c>
      <c r="D42" s="915" t="s">
        <v>92</v>
      </c>
      <c r="E42" s="915" t="s">
        <v>794</v>
      </c>
      <c r="F42" s="915" t="s">
        <v>798</v>
      </c>
      <c r="G42" s="915" t="s">
        <v>798</v>
      </c>
      <c r="H42" s="915" t="s">
        <v>813</v>
      </c>
      <c r="I42" s="913"/>
      <c r="J42" s="913"/>
      <c r="K42" s="915"/>
      <c r="L42" s="915"/>
      <c r="M42" s="913"/>
      <c r="N42" s="917" t="s">
        <v>798</v>
      </c>
      <c r="O42" s="915">
        <v>35.088999999999999</v>
      </c>
      <c r="P42" s="915"/>
      <c r="Q42" s="913"/>
      <c r="R42" s="912"/>
      <c r="S42" s="911"/>
    </row>
    <row r="43" spans="1:19" ht="18" x14ac:dyDescent="0.25">
      <c r="A43" s="915">
        <v>41</v>
      </c>
      <c r="B43" s="915" t="s">
        <v>426</v>
      </c>
      <c r="C43" s="916" t="s">
        <v>569</v>
      </c>
      <c r="D43" s="915" t="s">
        <v>782</v>
      </c>
      <c r="E43" s="915" t="s">
        <v>794</v>
      </c>
      <c r="F43" s="915" t="s">
        <v>798</v>
      </c>
      <c r="G43" s="915" t="s">
        <v>798</v>
      </c>
      <c r="H43" s="915" t="s">
        <v>792</v>
      </c>
      <c r="I43" s="913">
        <v>46111</v>
      </c>
      <c r="J43" s="913">
        <v>46125</v>
      </c>
      <c r="K43" s="915" t="s">
        <v>770</v>
      </c>
      <c r="L43" s="915" t="s">
        <v>806</v>
      </c>
      <c r="M43" s="913">
        <v>46125</v>
      </c>
      <c r="N43" s="917" t="s">
        <v>798</v>
      </c>
      <c r="O43" s="915">
        <v>57.484000000000002</v>
      </c>
      <c r="P43" s="915" t="s">
        <v>792</v>
      </c>
      <c r="Q43" s="913"/>
      <c r="R43" s="912"/>
      <c r="S43" s="911"/>
    </row>
    <row r="44" spans="1:19" ht="18" x14ac:dyDescent="0.25">
      <c r="A44" s="915">
        <v>42</v>
      </c>
      <c r="B44" s="915" t="s">
        <v>247</v>
      </c>
      <c r="C44" s="916" t="s">
        <v>218</v>
      </c>
      <c r="D44" s="915" t="s">
        <v>92</v>
      </c>
      <c r="E44" s="915" t="s">
        <v>794</v>
      </c>
      <c r="F44" s="915" t="s">
        <v>798</v>
      </c>
      <c r="G44" s="915" t="s">
        <v>798</v>
      </c>
      <c r="H44" s="915" t="s">
        <v>792</v>
      </c>
      <c r="I44" s="913">
        <v>46050</v>
      </c>
      <c r="J44" s="913">
        <v>46061</v>
      </c>
      <c r="K44" s="915" t="s">
        <v>696</v>
      </c>
      <c r="L44" s="915" t="s">
        <v>806</v>
      </c>
      <c r="M44" s="913">
        <v>46070</v>
      </c>
      <c r="N44" s="917" t="s">
        <v>798</v>
      </c>
      <c r="O44" s="915">
        <v>36.771000000000001</v>
      </c>
      <c r="P44" s="915" t="s">
        <v>792</v>
      </c>
      <c r="Q44" s="913">
        <v>46075</v>
      </c>
      <c r="R44" s="912">
        <v>46078</v>
      </c>
      <c r="S44" s="911" t="e">
        <f>VLOOKUP(B44,#REF!,4,0)</f>
        <v>#REF!</v>
      </c>
    </row>
    <row r="45" spans="1:19" ht="18" x14ac:dyDescent="0.25">
      <c r="A45" s="915">
        <v>43</v>
      </c>
      <c r="B45" s="915" t="s">
        <v>248</v>
      </c>
      <c r="C45" s="916" t="s">
        <v>217</v>
      </c>
      <c r="D45" s="915" t="s">
        <v>547</v>
      </c>
      <c r="E45" s="915" t="s">
        <v>794</v>
      </c>
      <c r="F45" s="915" t="s">
        <v>798</v>
      </c>
      <c r="G45" s="915" t="s">
        <v>798</v>
      </c>
      <c r="H45" s="915" t="s">
        <v>792</v>
      </c>
      <c r="I45" s="913">
        <v>46048</v>
      </c>
      <c r="J45" s="913">
        <v>46052</v>
      </c>
      <c r="K45" s="915" t="s">
        <v>696</v>
      </c>
      <c r="L45" s="915" t="s">
        <v>808</v>
      </c>
      <c r="M45" s="913">
        <v>46072</v>
      </c>
      <c r="N45" s="917" t="s">
        <v>798</v>
      </c>
      <c r="O45" s="915">
        <v>35.088999999999999</v>
      </c>
      <c r="P45" s="915" t="s">
        <v>792</v>
      </c>
      <c r="Q45" s="913">
        <v>46078</v>
      </c>
      <c r="R45" s="912">
        <v>46081</v>
      </c>
      <c r="S45" s="911" t="e">
        <f>VLOOKUP(B45,#REF!,4,0)</f>
        <v>#REF!</v>
      </c>
    </row>
    <row r="46" spans="1:19" ht="18" x14ac:dyDescent="0.25">
      <c r="A46" s="915">
        <v>44</v>
      </c>
      <c r="B46" s="915" t="s">
        <v>249</v>
      </c>
      <c r="C46" s="916" t="s">
        <v>218</v>
      </c>
      <c r="D46" s="915" t="s">
        <v>669</v>
      </c>
      <c r="E46" s="915" t="s">
        <v>794</v>
      </c>
      <c r="F46" s="915" t="s">
        <v>798</v>
      </c>
      <c r="G46" s="915" t="s">
        <v>798</v>
      </c>
      <c r="H46" s="915" t="s">
        <v>792</v>
      </c>
      <c r="I46" s="913">
        <v>46106</v>
      </c>
      <c r="J46" s="913">
        <v>46112</v>
      </c>
      <c r="K46" s="915" t="s">
        <v>696</v>
      </c>
      <c r="L46" s="915" t="s">
        <v>808</v>
      </c>
      <c r="M46" s="913">
        <v>46125</v>
      </c>
      <c r="N46" s="917" t="s">
        <v>798</v>
      </c>
      <c r="O46" s="915">
        <v>36.771000000000001</v>
      </c>
      <c r="P46" s="915" t="s">
        <v>792</v>
      </c>
      <c r="Q46" s="913"/>
      <c r="R46" s="912"/>
      <c r="S46" s="911"/>
    </row>
    <row r="47" spans="1:19" ht="18" x14ac:dyDescent="0.25">
      <c r="A47" s="915">
        <v>45</v>
      </c>
      <c r="B47" s="915" t="s">
        <v>250</v>
      </c>
      <c r="C47" s="916" t="s">
        <v>217</v>
      </c>
      <c r="D47" s="915" t="s">
        <v>669</v>
      </c>
      <c r="E47" s="915" t="s">
        <v>794</v>
      </c>
      <c r="F47" s="915" t="s">
        <v>798</v>
      </c>
      <c r="G47" s="915" t="s">
        <v>798</v>
      </c>
      <c r="H47" s="915" t="s">
        <v>792</v>
      </c>
      <c r="I47" s="913">
        <v>46058</v>
      </c>
      <c r="J47" s="913">
        <v>46087</v>
      </c>
      <c r="K47" s="915" t="s">
        <v>696</v>
      </c>
      <c r="L47" s="915" t="s">
        <v>808</v>
      </c>
      <c r="M47" s="913">
        <v>46125</v>
      </c>
      <c r="N47" s="917" t="s">
        <v>798</v>
      </c>
      <c r="O47" s="915">
        <v>35.088999999999999</v>
      </c>
      <c r="P47" s="915" t="s">
        <v>792</v>
      </c>
      <c r="Q47" s="913">
        <v>46107</v>
      </c>
      <c r="R47" s="912">
        <v>46113</v>
      </c>
      <c r="S47" s="911" t="e">
        <f>VLOOKUP(B47,#REF!,4,0)</f>
        <v>#REF!</v>
      </c>
    </row>
    <row r="48" spans="1:19" ht="18" x14ac:dyDescent="0.25">
      <c r="A48" s="915">
        <v>46</v>
      </c>
      <c r="B48" s="915" t="s">
        <v>251</v>
      </c>
      <c r="C48" s="916" t="s">
        <v>217</v>
      </c>
      <c r="D48" s="915" t="s">
        <v>547</v>
      </c>
      <c r="E48" s="915" t="s">
        <v>794</v>
      </c>
      <c r="F48" s="915" t="s">
        <v>798</v>
      </c>
      <c r="G48" s="915" t="s">
        <v>798</v>
      </c>
      <c r="H48" s="915" t="s">
        <v>792</v>
      </c>
      <c r="I48" s="913">
        <v>46055</v>
      </c>
      <c r="J48" s="913">
        <v>46089</v>
      </c>
      <c r="K48" s="915" t="s">
        <v>696</v>
      </c>
      <c r="L48" s="915" t="s">
        <v>808</v>
      </c>
      <c r="M48" s="913">
        <v>46125</v>
      </c>
      <c r="N48" s="917" t="s">
        <v>798</v>
      </c>
      <c r="O48" s="915">
        <v>35.088999999999999</v>
      </c>
      <c r="P48" s="915" t="s">
        <v>792</v>
      </c>
      <c r="Q48" s="913" t="s">
        <v>776</v>
      </c>
      <c r="R48" s="912">
        <v>46119</v>
      </c>
      <c r="S48" s="911" t="e">
        <f>VLOOKUP(B48,#REF!,4,0)</f>
        <v>#REF!</v>
      </c>
    </row>
    <row r="49" spans="1:19" ht="18" x14ac:dyDescent="0.25">
      <c r="A49" s="915">
        <v>47</v>
      </c>
      <c r="B49" s="915" t="s">
        <v>252</v>
      </c>
      <c r="C49" s="916" t="s">
        <v>218</v>
      </c>
      <c r="D49" s="915" t="s">
        <v>547</v>
      </c>
      <c r="E49" s="915" t="s">
        <v>794</v>
      </c>
      <c r="F49" s="915" t="s">
        <v>798</v>
      </c>
      <c r="G49" s="915" t="s">
        <v>798</v>
      </c>
      <c r="H49" s="915" t="s">
        <v>812</v>
      </c>
      <c r="I49" s="913"/>
      <c r="J49" s="913"/>
      <c r="K49" s="915"/>
      <c r="L49" s="915"/>
      <c r="M49" s="913"/>
      <c r="N49" s="917" t="s">
        <v>798</v>
      </c>
      <c r="O49" s="915">
        <v>36.771000000000001</v>
      </c>
      <c r="P49" s="915"/>
      <c r="Q49" s="913"/>
      <c r="R49" s="912"/>
      <c r="S49" s="911"/>
    </row>
    <row r="50" spans="1:19" ht="18" x14ac:dyDescent="0.25">
      <c r="A50" s="915">
        <v>48</v>
      </c>
      <c r="B50" s="915" t="s">
        <v>427</v>
      </c>
      <c r="C50" s="916" t="s">
        <v>254</v>
      </c>
      <c r="D50" s="915" t="s">
        <v>546</v>
      </c>
      <c r="E50" s="915" t="s">
        <v>794</v>
      </c>
      <c r="F50" s="915" t="s">
        <v>795</v>
      </c>
      <c r="G50" s="915" t="s">
        <v>798</v>
      </c>
      <c r="H50" s="915"/>
      <c r="I50" s="913"/>
      <c r="J50" s="913"/>
      <c r="K50" s="915"/>
      <c r="L50" s="915"/>
      <c r="M50" s="913"/>
      <c r="N50" s="917" t="s">
        <v>798</v>
      </c>
      <c r="O50" s="915">
        <v>74.188999999999993</v>
      </c>
      <c r="P50" s="915"/>
      <c r="Q50" s="913"/>
      <c r="R50" s="912"/>
      <c r="S50" s="911"/>
    </row>
    <row r="51" spans="1:19" ht="18" x14ac:dyDescent="0.25">
      <c r="A51" s="915">
        <v>49</v>
      </c>
      <c r="B51" s="915" t="s">
        <v>428</v>
      </c>
      <c r="C51" s="916" t="s">
        <v>254</v>
      </c>
      <c r="D51" s="915" t="s">
        <v>546</v>
      </c>
      <c r="E51" s="915" t="s">
        <v>794</v>
      </c>
      <c r="F51" s="915" t="s">
        <v>795</v>
      </c>
      <c r="G51" s="915" t="s">
        <v>798</v>
      </c>
      <c r="H51" s="915"/>
      <c r="I51" s="913"/>
      <c r="J51" s="913"/>
      <c r="K51" s="915"/>
      <c r="L51" s="915"/>
      <c r="M51" s="913"/>
      <c r="N51" s="917" t="s">
        <v>798</v>
      </c>
      <c r="O51" s="915">
        <v>74.188999999999993</v>
      </c>
      <c r="P51" s="915"/>
      <c r="Q51" s="913"/>
      <c r="R51" s="912"/>
      <c r="S51" s="911"/>
    </row>
    <row r="52" spans="1:19" ht="18" x14ac:dyDescent="0.25">
      <c r="A52" s="915">
        <v>50</v>
      </c>
      <c r="B52" s="915" t="s">
        <v>255</v>
      </c>
      <c r="C52" s="916" t="s">
        <v>217</v>
      </c>
      <c r="D52" s="915" t="s">
        <v>547</v>
      </c>
      <c r="E52" s="915" t="s">
        <v>794</v>
      </c>
      <c r="F52" s="915" t="s">
        <v>798</v>
      </c>
      <c r="G52" s="915" t="s">
        <v>798</v>
      </c>
      <c r="H52" s="915" t="s">
        <v>792</v>
      </c>
      <c r="I52" s="913">
        <v>46047</v>
      </c>
      <c r="J52" s="913">
        <v>46050</v>
      </c>
      <c r="K52" s="915" t="s">
        <v>696</v>
      </c>
      <c r="L52" s="915" t="s">
        <v>808</v>
      </c>
      <c r="M52" s="913">
        <v>46072</v>
      </c>
      <c r="N52" s="917" t="s">
        <v>798</v>
      </c>
      <c r="O52" s="915">
        <v>35.088999999999999</v>
      </c>
      <c r="P52" s="915" t="s">
        <v>792</v>
      </c>
      <c r="Q52" s="913">
        <v>46067</v>
      </c>
      <c r="R52" s="912">
        <v>46070</v>
      </c>
      <c r="S52" s="911" t="e">
        <f>VLOOKUP(B52,#REF!,4,0)</f>
        <v>#REF!</v>
      </c>
    </row>
    <row r="53" spans="1:19" ht="18" x14ac:dyDescent="0.25">
      <c r="A53" s="915">
        <v>51</v>
      </c>
      <c r="B53" s="915" t="s">
        <v>256</v>
      </c>
      <c r="C53" s="916" t="s">
        <v>217</v>
      </c>
      <c r="D53" s="915" t="s">
        <v>92</v>
      </c>
      <c r="E53" s="915" t="s">
        <v>794</v>
      </c>
      <c r="F53" s="915" t="s">
        <v>798</v>
      </c>
      <c r="G53" s="915" t="s">
        <v>798</v>
      </c>
      <c r="H53" s="915" t="s">
        <v>813</v>
      </c>
      <c r="I53" s="913"/>
      <c r="J53" s="913"/>
      <c r="K53" s="915"/>
      <c r="L53" s="915"/>
      <c r="M53" s="913"/>
      <c r="N53" s="917" t="s">
        <v>798</v>
      </c>
      <c r="O53" s="915">
        <v>35.088999999999999</v>
      </c>
      <c r="P53" s="915"/>
      <c r="Q53" s="913"/>
      <c r="R53" s="912"/>
      <c r="S53" s="911"/>
    </row>
    <row r="54" spans="1:19" ht="18" x14ac:dyDescent="0.25">
      <c r="A54" s="915">
        <v>52</v>
      </c>
      <c r="B54" s="915" t="s">
        <v>257</v>
      </c>
      <c r="C54" s="916" t="s">
        <v>217</v>
      </c>
      <c r="D54" s="915" t="s">
        <v>547</v>
      </c>
      <c r="E54" s="915" t="s">
        <v>794</v>
      </c>
      <c r="F54" s="915" t="s">
        <v>798</v>
      </c>
      <c r="G54" s="915" t="s">
        <v>798</v>
      </c>
      <c r="H54" s="915" t="s">
        <v>792</v>
      </c>
      <c r="I54" s="913">
        <v>46016</v>
      </c>
      <c r="J54" s="913">
        <v>46022</v>
      </c>
      <c r="K54" s="915" t="s">
        <v>696</v>
      </c>
      <c r="L54" s="915" t="s">
        <v>808</v>
      </c>
      <c r="M54" s="913">
        <v>46075</v>
      </c>
      <c r="N54" s="917" t="s">
        <v>798</v>
      </c>
      <c r="O54" s="915">
        <v>35.088999999999999</v>
      </c>
      <c r="P54" s="915" t="s">
        <v>792</v>
      </c>
      <c r="Q54" s="913">
        <v>46092</v>
      </c>
      <c r="R54" s="912">
        <v>46099</v>
      </c>
      <c r="S54" s="911" t="e">
        <f>VLOOKUP(B54,#REF!,4,0)</f>
        <v>#REF!</v>
      </c>
    </row>
    <row r="55" spans="1:19" ht="18" x14ac:dyDescent="0.25">
      <c r="A55" s="915">
        <v>53</v>
      </c>
      <c r="B55" s="915" t="s">
        <v>429</v>
      </c>
      <c r="C55" s="916" t="s">
        <v>242</v>
      </c>
      <c r="D55" s="915" t="s">
        <v>92</v>
      </c>
      <c r="E55" s="915" t="s">
        <v>794</v>
      </c>
      <c r="F55" s="915"/>
      <c r="G55" s="915" t="s">
        <v>798</v>
      </c>
      <c r="H55" s="915" t="s">
        <v>812</v>
      </c>
      <c r="I55" s="913"/>
      <c r="J55" s="913"/>
      <c r="K55" s="915"/>
      <c r="L55" s="915"/>
      <c r="M55" s="913"/>
      <c r="N55" s="917" t="s">
        <v>798</v>
      </c>
      <c r="O55" s="915">
        <v>54.72</v>
      </c>
      <c r="P55" s="915"/>
      <c r="Q55" s="913"/>
      <c r="R55" s="912"/>
      <c r="S55" s="911"/>
    </row>
    <row r="56" spans="1:19" ht="18" x14ac:dyDescent="0.25">
      <c r="A56" s="915">
        <v>54</v>
      </c>
      <c r="B56" s="915" t="s">
        <v>258</v>
      </c>
      <c r="C56" s="916" t="s">
        <v>218</v>
      </c>
      <c r="D56" s="915" t="s">
        <v>92</v>
      </c>
      <c r="E56" s="915" t="s">
        <v>794</v>
      </c>
      <c r="F56" s="915" t="s">
        <v>798</v>
      </c>
      <c r="G56" s="915" t="s">
        <v>798</v>
      </c>
      <c r="H56" s="915" t="s">
        <v>792</v>
      </c>
      <c r="I56" s="913">
        <v>46012</v>
      </c>
      <c r="J56" s="913">
        <v>46015</v>
      </c>
      <c r="K56" s="915" t="s">
        <v>696</v>
      </c>
      <c r="L56" s="915"/>
      <c r="M56" s="913"/>
      <c r="N56" s="917" t="s">
        <v>798</v>
      </c>
      <c r="O56" s="915">
        <v>36.771000000000001</v>
      </c>
      <c r="P56" s="915" t="s">
        <v>792</v>
      </c>
      <c r="Q56" s="913"/>
      <c r="R56" s="912"/>
      <c r="S56" s="911"/>
    </row>
    <row r="57" spans="1:19" ht="18" x14ac:dyDescent="0.25">
      <c r="A57" s="915">
        <v>55</v>
      </c>
      <c r="B57" s="915" t="s">
        <v>259</v>
      </c>
      <c r="C57" s="916" t="s">
        <v>218</v>
      </c>
      <c r="D57" s="915" t="s">
        <v>547</v>
      </c>
      <c r="E57" s="915" t="s">
        <v>794</v>
      </c>
      <c r="F57" s="915" t="s">
        <v>798</v>
      </c>
      <c r="G57" s="915" t="s">
        <v>798</v>
      </c>
      <c r="H57" s="915" t="s">
        <v>792</v>
      </c>
      <c r="I57" s="913">
        <v>46008</v>
      </c>
      <c r="J57" s="913">
        <v>46018</v>
      </c>
      <c r="K57" s="915" t="s">
        <v>696</v>
      </c>
      <c r="L57" s="915" t="s">
        <v>808</v>
      </c>
      <c r="M57" s="913">
        <v>46037</v>
      </c>
      <c r="N57" s="917" t="s">
        <v>798</v>
      </c>
      <c r="O57" s="915">
        <v>36.771000000000001</v>
      </c>
      <c r="P57" s="915" t="s">
        <v>792</v>
      </c>
      <c r="Q57" s="913">
        <v>46073</v>
      </c>
      <c r="R57" s="912">
        <v>46079</v>
      </c>
      <c r="S57" s="911" t="e">
        <f>VLOOKUP(B57,#REF!,4,0)</f>
        <v>#REF!</v>
      </c>
    </row>
    <row r="58" spans="1:19" ht="18" x14ac:dyDescent="0.25">
      <c r="A58" s="915">
        <v>56</v>
      </c>
      <c r="B58" s="915" t="s">
        <v>260</v>
      </c>
      <c r="C58" s="916" t="s">
        <v>217</v>
      </c>
      <c r="D58" s="915" t="s">
        <v>92</v>
      </c>
      <c r="E58" s="915" t="s">
        <v>794</v>
      </c>
      <c r="F58" s="915" t="s">
        <v>798</v>
      </c>
      <c r="G58" s="915" t="s">
        <v>798</v>
      </c>
      <c r="H58" s="915" t="s">
        <v>792</v>
      </c>
      <c r="I58" s="913">
        <v>46005</v>
      </c>
      <c r="J58" s="913">
        <v>46010</v>
      </c>
      <c r="K58" s="915" t="s">
        <v>696</v>
      </c>
      <c r="L58" s="915" t="s">
        <v>806</v>
      </c>
      <c r="M58" s="913">
        <v>46016</v>
      </c>
      <c r="N58" s="917" t="s">
        <v>798</v>
      </c>
      <c r="O58" s="915">
        <v>35.088999999999999</v>
      </c>
      <c r="P58" s="915" t="s">
        <v>792</v>
      </c>
      <c r="Q58" s="913">
        <v>46078</v>
      </c>
      <c r="R58" s="912">
        <v>46088</v>
      </c>
      <c r="S58" s="911" t="e">
        <f>VLOOKUP(B58,#REF!,4,0)</f>
        <v>#REF!</v>
      </c>
    </row>
    <row r="59" spans="1:19" ht="18" x14ac:dyDescent="0.25">
      <c r="A59" s="915">
        <v>57</v>
      </c>
      <c r="B59" s="915" t="s">
        <v>261</v>
      </c>
      <c r="C59" s="916" t="s">
        <v>218</v>
      </c>
      <c r="D59" s="915" t="s">
        <v>669</v>
      </c>
      <c r="E59" s="915" t="s">
        <v>794</v>
      </c>
      <c r="F59" s="915" t="s">
        <v>798</v>
      </c>
      <c r="G59" s="915" t="s">
        <v>798</v>
      </c>
      <c r="H59" s="915" t="s">
        <v>792</v>
      </c>
      <c r="I59" s="913">
        <v>45992</v>
      </c>
      <c r="J59" s="913">
        <v>46028</v>
      </c>
      <c r="K59" s="915" t="s">
        <v>696</v>
      </c>
      <c r="L59" s="915" t="s">
        <v>808</v>
      </c>
      <c r="M59" s="913">
        <v>46037</v>
      </c>
      <c r="N59" s="917" t="s">
        <v>798</v>
      </c>
      <c r="O59" s="915">
        <v>36.771000000000001</v>
      </c>
      <c r="P59" s="915" t="s">
        <v>792</v>
      </c>
      <c r="Q59" s="913">
        <v>46099</v>
      </c>
      <c r="R59" s="912">
        <v>46106</v>
      </c>
      <c r="S59" s="911" t="e">
        <f>VLOOKUP(B59,#REF!,4,0)</f>
        <v>#REF!</v>
      </c>
    </row>
    <row r="60" spans="1:19" ht="18" x14ac:dyDescent="0.25">
      <c r="A60" s="915">
        <v>58</v>
      </c>
      <c r="B60" s="915" t="s">
        <v>262</v>
      </c>
      <c r="C60" s="916" t="s">
        <v>218</v>
      </c>
      <c r="D60" s="915" t="s">
        <v>88</v>
      </c>
      <c r="E60" s="915" t="s">
        <v>798</v>
      </c>
      <c r="F60" s="915" t="s">
        <v>798</v>
      </c>
      <c r="G60" s="915" t="s">
        <v>798</v>
      </c>
      <c r="H60" s="915" t="s">
        <v>789</v>
      </c>
      <c r="I60" s="913"/>
      <c r="J60" s="913"/>
      <c r="K60" s="915"/>
      <c r="L60" s="915"/>
      <c r="M60" s="913"/>
      <c r="N60" s="917" t="s">
        <v>798</v>
      </c>
      <c r="O60" s="915">
        <v>36.771000000000001</v>
      </c>
      <c r="P60" s="915"/>
      <c r="Q60" s="913"/>
      <c r="R60" s="912"/>
      <c r="S60" s="911"/>
    </row>
    <row r="61" spans="1:19" ht="18" x14ac:dyDescent="0.25">
      <c r="A61" s="915">
        <v>59</v>
      </c>
      <c r="B61" s="915" t="s">
        <v>263</v>
      </c>
      <c r="C61" s="916" t="s">
        <v>217</v>
      </c>
      <c r="D61" s="915" t="s">
        <v>547</v>
      </c>
      <c r="E61" s="915" t="s">
        <v>794</v>
      </c>
      <c r="F61" s="915" t="s">
        <v>798</v>
      </c>
      <c r="G61" s="915" t="s">
        <v>798</v>
      </c>
      <c r="H61" s="915" t="s">
        <v>792</v>
      </c>
      <c r="I61" s="913">
        <v>46031</v>
      </c>
      <c r="J61" s="913">
        <v>46039</v>
      </c>
      <c r="K61" s="915" t="s">
        <v>696</v>
      </c>
      <c r="L61" s="915" t="s">
        <v>808</v>
      </c>
      <c r="M61" s="913">
        <v>46043</v>
      </c>
      <c r="N61" s="917" t="s">
        <v>798</v>
      </c>
      <c r="O61" s="915">
        <v>35.088999999999999</v>
      </c>
      <c r="P61" s="915" t="s">
        <v>792</v>
      </c>
      <c r="Q61" s="913">
        <v>46056</v>
      </c>
      <c r="R61" s="912">
        <v>46064</v>
      </c>
      <c r="S61" s="911" t="e">
        <f>VLOOKUP(B61,#REF!,4,0)</f>
        <v>#REF!</v>
      </c>
    </row>
    <row r="62" spans="1:19" ht="18" x14ac:dyDescent="0.25">
      <c r="A62" s="915">
        <v>60</v>
      </c>
      <c r="B62" s="915" t="s">
        <v>264</v>
      </c>
      <c r="C62" s="916" t="s">
        <v>215</v>
      </c>
      <c r="D62" s="915" t="s">
        <v>547</v>
      </c>
      <c r="E62" s="915" t="s">
        <v>794</v>
      </c>
      <c r="F62" s="915" t="s">
        <v>798</v>
      </c>
      <c r="G62" s="915" t="s">
        <v>798</v>
      </c>
      <c r="H62" s="915" t="s">
        <v>792</v>
      </c>
      <c r="I62" s="913">
        <v>46029</v>
      </c>
      <c r="J62" s="913">
        <v>46038</v>
      </c>
      <c r="K62" s="915" t="s">
        <v>696</v>
      </c>
      <c r="L62" s="915" t="s">
        <v>808</v>
      </c>
      <c r="M62" s="913">
        <v>46040</v>
      </c>
      <c r="N62" s="917" t="s">
        <v>798</v>
      </c>
      <c r="O62" s="915">
        <v>54.72</v>
      </c>
      <c r="P62" s="915" t="s">
        <v>792</v>
      </c>
      <c r="Q62" s="913">
        <v>46065</v>
      </c>
      <c r="R62" s="912">
        <v>46073</v>
      </c>
      <c r="S62" s="911" t="e">
        <f>VLOOKUP(B62,#REF!,4,0)</f>
        <v>#REF!</v>
      </c>
    </row>
    <row r="63" spans="1:19" ht="18" x14ac:dyDescent="0.25">
      <c r="A63" s="915">
        <v>61</v>
      </c>
      <c r="B63" s="915" t="s">
        <v>265</v>
      </c>
      <c r="C63" s="916" t="s">
        <v>217</v>
      </c>
      <c r="D63" s="915" t="s">
        <v>88</v>
      </c>
      <c r="E63" s="915" t="s">
        <v>794</v>
      </c>
      <c r="F63" s="915" t="s">
        <v>798</v>
      </c>
      <c r="G63" s="915" t="s">
        <v>798</v>
      </c>
      <c r="H63" s="915" t="s">
        <v>792</v>
      </c>
      <c r="I63" s="913">
        <v>46039</v>
      </c>
      <c r="J63" s="913">
        <v>46043</v>
      </c>
      <c r="K63" s="915" t="s">
        <v>696</v>
      </c>
      <c r="L63" s="915" t="s">
        <v>808</v>
      </c>
      <c r="M63" s="913">
        <v>46072</v>
      </c>
      <c r="N63" s="917" t="s">
        <v>798</v>
      </c>
      <c r="O63" s="915">
        <v>35.088999999999999</v>
      </c>
      <c r="P63" s="915" t="s">
        <v>792</v>
      </c>
      <c r="Q63" s="913">
        <v>46059</v>
      </c>
      <c r="R63" s="912">
        <v>46062</v>
      </c>
      <c r="S63" s="911" t="e">
        <f>VLOOKUP(B63,#REF!,4,0)</f>
        <v>#REF!</v>
      </c>
    </row>
    <row r="64" spans="1:19" ht="18" x14ac:dyDescent="0.25">
      <c r="A64" s="915">
        <v>62</v>
      </c>
      <c r="B64" s="915" t="s">
        <v>266</v>
      </c>
      <c r="C64" s="916" t="s">
        <v>216</v>
      </c>
      <c r="D64" s="915" t="s">
        <v>547</v>
      </c>
      <c r="E64" s="915" t="s">
        <v>794</v>
      </c>
      <c r="F64" s="915" t="s">
        <v>798</v>
      </c>
      <c r="G64" s="915" t="s">
        <v>798</v>
      </c>
      <c r="H64" s="915" t="s">
        <v>792</v>
      </c>
      <c r="I64" s="913">
        <v>46026</v>
      </c>
      <c r="J64" s="913">
        <v>46032</v>
      </c>
      <c r="K64" s="915" t="s">
        <v>696</v>
      </c>
      <c r="L64" s="915" t="s">
        <v>808</v>
      </c>
      <c r="M64" s="913">
        <v>46072</v>
      </c>
      <c r="N64" s="917" t="s">
        <v>798</v>
      </c>
      <c r="O64" s="915">
        <v>41.88</v>
      </c>
      <c r="P64" s="915" t="s">
        <v>792</v>
      </c>
      <c r="Q64" s="913">
        <v>46063</v>
      </c>
      <c r="R64" s="912">
        <v>46066</v>
      </c>
      <c r="S64" s="911" t="e">
        <f>VLOOKUP(B64,#REF!,4,0)</f>
        <v>#REF!</v>
      </c>
    </row>
    <row r="65" spans="1:19" ht="18" x14ac:dyDescent="0.25">
      <c r="A65" s="915">
        <v>63</v>
      </c>
      <c r="B65" s="915" t="s">
        <v>267</v>
      </c>
      <c r="C65" s="916" t="s">
        <v>217</v>
      </c>
      <c r="D65" s="915" t="s">
        <v>92</v>
      </c>
      <c r="E65" s="915" t="s">
        <v>798</v>
      </c>
      <c r="F65" s="915" t="s">
        <v>798</v>
      </c>
      <c r="G65" s="915" t="s">
        <v>798</v>
      </c>
      <c r="H65" s="915" t="s">
        <v>812</v>
      </c>
      <c r="I65" s="913"/>
      <c r="J65" s="913"/>
      <c r="K65" s="915"/>
      <c r="L65" s="915"/>
      <c r="M65" s="913"/>
      <c r="N65" s="917" t="s">
        <v>798</v>
      </c>
      <c r="O65" s="915">
        <v>35.088999999999999</v>
      </c>
      <c r="P65" s="915"/>
      <c r="Q65" s="913"/>
      <c r="R65" s="912"/>
      <c r="S65" s="911"/>
    </row>
    <row r="66" spans="1:19" ht="18" x14ac:dyDescent="0.25">
      <c r="A66" s="915">
        <v>64</v>
      </c>
      <c r="B66" s="915" t="s">
        <v>268</v>
      </c>
      <c r="C66" s="916" t="s">
        <v>217</v>
      </c>
      <c r="D66" s="915" t="s">
        <v>546</v>
      </c>
      <c r="E66" s="915" t="s">
        <v>798</v>
      </c>
      <c r="F66" s="915" t="s">
        <v>798</v>
      </c>
      <c r="G66" s="915" t="s">
        <v>798</v>
      </c>
      <c r="H66" s="915" t="s">
        <v>809</v>
      </c>
      <c r="I66" s="913"/>
      <c r="J66" s="913"/>
      <c r="K66" s="915"/>
      <c r="L66" s="915"/>
      <c r="M66" s="913"/>
      <c r="N66" s="917" t="s">
        <v>798</v>
      </c>
      <c r="O66" s="915">
        <v>35.088999999999999</v>
      </c>
      <c r="P66" s="915"/>
      <c r="Q66" s="913"/>
      <c r="R66" s="912"/>
      <c r="S66" s="911"/>
    </row>
    <row r="67" spans="1:19" ht="18" x14ac:dyDescent="0.25">
      <c r="A67" s="915">
        <v>65</v>
      </c>
      <c r="B67" s="915" t="s">
        <v>269</v>
      </c>
      <c r="C67" s="916" t="s">
        <v>217</v>
      </c>
      <c r="D67" s="915" t="s">
        <v>92</v>
      </c>
      <c r="E67" s="915" t="s">
        <v>794</v>
      </c>
      <c r="F67" s="915" t="s">
        <v>798</v>
      </c>
      <c r="G67" s="915" t="s">
        <v>798</v>
      </c>
      <c r="H67" s="915" t="s">
        <v>809</v>
      </c>
      <c r="I67" s="913"/>
      <c r="J67" s="913"/>
      <c r="K67" s="915"/>
      <c r="L67" s="915"/>
      <c r="M67" s="913"/>
      <c r="N67" s="917" t="s">
        <v>798</v>
      </c>
      <c r="O67" s="915">
        <v>35.088999999999999</v>
      </c>
      <c r="P67" s="915"/>
      <c r="Q67" s="913"/>
      <c r="R67" s="912"/>
      <c r="S67" s="911"/>
    </row>
    <row r="68" spans="1:19" ht="18" x14ac:dyDescent="0.25">
      <c r="A68" s="915">
        <v>66</v>
      </c>
      <c r="B68" s="915" t="s">
        <v>432</v>
      </c>
      <c r="C68" s="916" t="s">
        <v>274</v>
      </c>
      <c r="D68" s="915" t="s">
        <v>669</v>
      </c>
      <c r="E68" s="915" t="s">
        <v>794</v>
      </c>
      <c r="F68" s="915" t="s">
        <v>795</v>
      </c>
      <c r="G68" s="915" t="s">
        <v>798</v>
      </c>
      <c r="H68" s="915"/>
      <c r="I68" s="913"/>
      <c r="J68" s="913"/>
      <c r="K68" s="915"/>
      <c r="L68" s="915"/>
      <c r="M68" s="913"/>
      <c r="N68" s="917" t="s">
        <v>798</v>
      </c>
      <c r="O68" s="915">
        <v>75.873999999999995</v>
      </c>
      <c r="P68" s="915"/>
      <c r="Q68" s="913"/>
      <c r="R68" s="912"/>
      <c r="S68" s="911"/>
    </row>
    <row r="69" spans="1:19" ht="18" x14ac:dyDescent="0.25">
      <c r="A69" s="915">
        <v>67</v>
      </c>
      <c r="B69" s="915" t="s">
        <v>433</v>
      </c>
      <c r="C69" s="916" t="s">
        <v>275</v>
      </c>
      <c r="D69" s="915" t="s">
        <v>669</v>
      </c>
      <c r="E69" s="915" t="s">
        <v>794</v>
      </c>
      <c r="F69" s="915"/>
      <c r="G69" s="915" t="s">
        <v>798</v>
      </c>
      <c r="H69" s="915"/>
      <c r="I69" s="913"/>
      <c r="J69" s="913"/>
      <c r="K69" s="915"/>
      <c r="L69" s="915"/>
      <c r="M69" s="913"/>
      <c r="N69" s="917" t="s">
        <v>798</v>
      </c>
      <c r="O69" s="915">
        <v>64.671999999999997</v>
      </c>
      <c r="P69" s="915"/>
      <c r="Q69" s="913"/>
      <c r="R69" s="912"/>
      <c r="S69" s="911"/>
    </row>
    <row r="70" spans="1:19" ht="18" x14ac:dyDescent="0.25">
      <c r="A70" s="915">
        <v>68</v>
      </c>
      <c r="B70" s="915" t="s">
        <v>270</v>
      </c>
      <c r="C70" s="916" t="s">
        <v>216</v>
      </c>
      <c r="D70" s="915" t="s">
        <v>547</v>
      </c>
      <c r="E70" s="915" t="s">
        <v>794</v>
      </c>
      <c r="F70" s="915" t="s">
        <v>798</v>
      </c>
      <c r="G70" s="915" t="s">
        <v>798</v>
      </c>
      <c r="H70" s="915" t="s">
        <v>792</v>
      </c>
      <c r="I70" s="913">
        <v>45992</v>
      </c>
      <c r="J70" s="913">
        <v>45999</v>
      </c>
      <c r="K70" s="915" t="s">
        <v>696</v>
      </c>
      <c r="L70" s="915" t="s">
        <v>808</v>
      </c>
      <c r="M70" s="913">
        <v>46044</v>
      </c>
      <c r="N70" s="917" t="s">
        <v>798</v>
      </c>
      <c r="O70" s="915">
        <v>41.88</v>
      </c>
      <c r="P70" s="915" t="s">
        <v>792</v>
      </c>
      <c r="Q70" s="913">
        <v>46024</v>
      </c>
      <c r="R70" s="912">
        <v>46032</v>
      </c>
      <c r="S70" s="911" t="e">
        <f>VLOOKUP(B70,#REF!,4,0)</f>
        <v>#REF!</v>
      </c>
    </row>
    <row r="71" spans="1:19" ht="18" x14ac:dyDescent="0.25">
      <c r="A71" s="915">
        <v>69</v>
      </c>
      <c r="B71" s="915" t="s">
        <v>271</v>
      </c>
      <c r="C71" s="916" t="s">
        <v>217</v>
      </c>
      <c r="D71" s="915" t="s">
        <v>547</v>
      </c>
      <c r="E71" s="915" t="s">
        <v>794</v>
      </c>
      <c r="F71" s="915" t="s">
        <v>798</v>
      </c>
      <c r="G71" s="915" t="s">
        <v>798</v>
      </c>
      <c r="H71" s="915" t="s">
        <v>792</v>
      </c>
      <c r="I71" s="913">
        <v>45988</v>
      </c>
      <c r="J71" s="913">
        <v>45994</v>
      </c>
      <c r="K71" s="915" t="s">
        <v>696</v>
      </c>
      <c r="L71" s="915" t="s">
        <v>808</v>
      </c>
      <c r="M71" s="913">
        <v>46038</v>
      </c>
      <c r="N71" s="917" t="s">
        <v>798</v>
      </c>
      <c r="O71" s="915">
        <v>35.088999999999999</v>
      </c>
      <c r="P71" s="915" t="s">
        <v>792</v>
      </c>
      <c r="Q71" s="913">
        <v>46016</v>
      </c>
      <c r="R71" s="912">
        <v>46032</v>
      </c>
      <c r="S71" s="911" t="e">
        <f>VLOOKUP(B71,#REF!,4,0)</f>
        <v>#REF!</v>
      </c>
    </row>
    <row r="72" spans="1:19" ht="18" x14ac:dyDescent="0.25">
      <c r="A72" s="915">
        <v>70</v>
      </c>
      <c r="B72" s="915" t="s">
        <v>272</v>
      </c>
      <c r="C72" s="916" t="s">
        <v>217</v>
      </c>
      <c r="D72" s="915" t="s">
        <v>547</v>
      </c>
      <c r="E72" s="915" t="s">
        <v>794</v>
      </c>
      <c r="F72" s="915" t="s">
        <v>798</v>
      </c>
      <c r="G72" s="915" t="s">
        <v>798</v>
      </c>
      <c r="H72" s="915" t="s">
        <v>792</v>
      </c>
      <c r="I72" s="913">
        <v>46000</v>
      </c>
      <c r="J72" s="913">
        <v>46005</v>
      </c>
      <c r="K72" s="915" t="s">
        <v>696</v>
      </c>
      <c r="L72" s="915" t="s">
        <v>808</v>
      </c>
      <c r="M72" s="913">
        <v>46038</v>
      </c>
      <c r="N72" s="917" t="s">
        <v>798</v>
      </c>
      <c r="O72" s="915">
        <v>35.088999999999999</v>
      </c>
      <c r="P72" s="915" t="s">
        <v>792</v>
      </c>
      <c r="Q72" s="913">
        <v>46031</v>
      </c>
      <c r="R72" s="912">
        <v>46036</v>
      </c>
      <c r="S72" s="911" t="e">
        <f>VLOOKUP(B72,#REF!,4,0)</f>
        <v>#REF!</v>
      </c>
    </row>
    <row r="73" spans="1:19" ht="18" x14ac:dyDescent="0.25">
      <c r="A73" s="915">
        <v>71</v>
      </c>
      <c r="B73" s="915" t="s">
        <v>434</v>
      </c>
      <c r="C73" s="916" t="s">
        <v>219</v>
      </c>
      <c r="D73" s="915" t="s">
        <v>92</v>
      </c>
      <c r="E73" s="915" t="s">
        <v>794</v>
      </c>
      <c r="F73" s="915" t="s">
        <v>795</v>
      </c>
      <c r="G73" s="915" t="s">
        <v>798</v>
      </c>
      <c r="H73" s="915" t="s">
        <v>792</v>
      </c>
      <c r="I73" s="913">
        <v>46029</v>
      </c>
      <c r="J73" s="913">
        <v>46048</v>
      </c>
      <c r="K73" s="915" t="s">
        <v>681</v>
      </c>
      <c r="L73" s="915" t="s">
        <v>806</v>
      </c>
      <c r="M73" s="913">
        <v>46050</v>
      </c>
      <c r="N73" s="917" t="s">
        <v>798</v>
      </c>
      <c r="O73" s="915">
        <v>62.500999999999998</v>
      </c>
      <c r="P73" s="915" t="s">
        <v>792</v>
      </c>
      <c r="Q73" s="913">
        <v>46147</v>
      </c>
      <c r="R73" s="912">
        <v>46160</v>
      </c>
      <c r="S73" s="911"/>
    </row>
    <row r="74" spans="1:19" ht="18" x14ac:dyDescent="0.25">
      <c r="A74" s="915">
        <v>72</v>
      </c>
      <c r="B74" s="915" t="s">
        <v>273</v>
      </c>
      <c r="C74" s="916" t="s">
        <v>217</v>
      </c>
      <c r="D74" s="915" t="s">
        <v>92</v>
      </c>
      <c r="E74" s="915" t="s">
        <v>794</v>
      </c>
      <c r="F74" s="915" t="s">
        <v>798</v>
      </c>
      <c r="G74" s="915" t="s">
        <v>798</v>
      </c>
      <c r="H74" s="915" t="s">
        <v>792</v>
      </c>
      <c r="I74" s="913">
        <v>45984</v>
      </c>
      <c r="J74" s="913">
        <v>45990</v>
      </c>
      <c r="K74" s="915" t="s">
        <v>696</v>
      </c>
      <c r="L74" s="915" t="s">
        <v>806</v>
      </c>
      <c r="M74" s="913">
        <v>46044</v>
      </c>
      <c r="N74" s="917" t="s">
        <v>798</v>
      </c>
      <c r="O74" s="915">
        <v>35.088999999999999</v>
      </c>
      <c r="P74" s="915" t="s">
        <v>792</v>
      </c>
      <c r="Q74" s="913">
        <v>46006</v>
      </c>
      <c r="R74" s="912">
        <v>46011</v>
      </c>
      <c r="S74" s="911" t="e">
        <f>VLOOKUP(B74,#REF!,4,0)</f>
        <v>#REF!</v>
      </c>
    </row>
    <row r="75" spans="1:19" ht="18" x14ac:dyDescent="0.25">
      <c r="A75" s="915">
        <v>73</v>
      </c>
      <c r="B75" s="915" t="s">
        <v>276</v>
      </c>
      <c r="C75" s="916" t="s">
        <v>217</v>
      </c>
      <c r="D75" s="915" t="s">
        <v>547</v>
      </c>
      <c r="E75" s="915" t="s">
        <v>794</v>
      </c>
      <c r="F75" s="915" t="s">
        <v>798</v>
      </c>
      <c r="G75" s="915" t="s">
        <v>798</v>
      </c>
      <c r="H75" s="915" t="s">
        <v>792</v>
      </c>
      <c r="I75" s="913">
        <v>45959</v>
      </c>
      <c r="J75" s="913">
        <v>45969</v>
      </c>
      <c r="K75" s="915" t="s">
        <v>696</v>
      </c>
      <c r="L75" s="915" t="s">
        <v>808</v>
      </c>
      <c r="M75" s="913">
        <v>46075</v>
      </c>
      <c r="N75" s="917" t="s">
        <v>798</v>
      </c>
      <c r="O75" s="915">
        <v>35.088999999999999</v>
      </c>
      <c r="P75" s="915" t="s">
        <v>792</v>
      </c>
      <c r="Q75" s="913">
        <v>46013</v>
      </c>
      <c r="R75" s="912">
        <v>46018</v>
      </c>
      <c r="S75" s="911" t="e">
        <f>VLOOKUP(B75,#REF!,4,0)</f>
        <v>#REF!</v>
      </c>
    </row>
    <row r="76" spans="1:19" ht="18" x14ac:dyDescent="0.25">
      <c r="A76" s="915">
        <v>74</v>
      </c>
      <c r="B76" s="915" t="s">
        <v>277</v>
      </c>
      <c r="C76" s="916" t="s">
        <v>217</v>
      </c>
      <c r="D76" s="915" t="s">
        <v>92</v>
      </c>
      <c r="E76" s="915" t="s">
        <v>794</v>
      </c>
      <c r="F76" s="915" t="s">
        <v>798</v>
      </c>
      <c r="G76" s="915" t="s">
        <v>798</v>
      </c>
      <c r="H76" s="915" t="s">
        <v>813</v>
      </c>
      <c r="I76" s="913"/>
      <c r="J76" s="913"/>
      <c r="K76" s="915"/>
      <c r="L76" s="915"/>
      <c r="M76" s="913"/>
      <c r="N76" s="917" t="s">
        <v>798</v>
      </c>
      <c r="O76" s="915">
        <v>35.088999999999999</v>
      </c>
      <c r="P76" s="915"/>
      <c r="Q76" s="913"/>
      <c r="R76" s="912"/>
      <c r="S76" s="911"/>
    </row>
    <row r="77" spans="1:19" ht="18" x14ac:dyDescent="0.25">
      <c r="A77" s="915">
        <v>75</v>
      </c>
      <c r="B77" s="915" t="s">
        <v>278</v>
      </c>
      <c r="C77" s="916" t="s">
        <v>216</v>
      </c>
      <c r="D77" s="915" t="s">
        <v>547</v>
      </c>
      <c r="E77" s="915" t="s">
        <v>794</v>
      </c>
      <c r="F77" s="915" t="s">
        <v>798</v>
      </c>
      <c r="G77" s="915" t="s">
        <v>798</v>
      </c>
      <c r="H77" s="915" t="s">
        <v>792</v>
      </c>
      <c r="I77" s="913">
        <v>45938</v>
      </c>
      <c r="J77" s="913">
        <v>45951</v>
      </c>
      <c r="K77" s="915" t="s">
        <v>696</v>
      </c>
      <c r="L77" s="915" t="s">
        <v>808</v>
      </c>
      <c r="M77" s="913">
        <v>45949</v>
      </c>
      <c r="N77" s="917" t="s">
        <v>798</v>
      </c>
      <c r="O77" s="915">
        <v>41.88</v>
      </c>
      <c r="P77" s="915" t="s">
        <v>792</v>
      </c>
      <c r="Q77" s="913">
        <v>46037</v>
      </c>
      <c r="R77" s="912">
        <v>46043</v>
      </c>
      <c r="S77" s="911" t="e">
        <f>VLOOKUP(B77,#REF!,4,0)</f>
        <v>#REF!</v>
      </c>
    </row>
    <row r="78" spans="1:19" ht="18" x14ac:dyDescent="0.25">
      <c r="A78" s="915">
        <v>76</v>
      </c>
      <c r="B78" s="915" t="s">
        <v>279</v>
      </c>
      <c r="C78" s="916" t="s">
        <v>217</v>
      </c>
      <c r="D78" s="915" t="s">
        <v>547</v>
      </c>
      <c r="E78" s="915" t="s">
        <v>794</v>
      </c>
      <c r="F78" s="915" t="s">
        <v>798</v>
      </c>
      <c r="G78" s="915" t="s">
        <v>798</v>
      </c>
      <c r="H78" s="915" t="s">
        <v>792</v>
      </c>
      <c r="I78" s="913">
        <v>45938</v>
      </c>
      <c r="J78" s="913">
        <v>45949</v>
      </c>
      <c r="K78" s="915" t="s">
        <v>696</v>
      </c>
      <c r="L78" s="915" t="s">
        <v>808</v>
      </c>
      <c r="M78" s="913">
        <v>46075</v>
      </c>
      <c r="N78" s="917" t="s">
        <v>798</v>
      </c>
      <c r="O78" s="915">
        <v>35.088999999999999</v>
      </c>
      <c r="P78" s="915" t="s">
        <v>792</v>
      </c>
      <c r="Q78" s="913">
        <v>46044</v>
      </c>
      <c r="R78" s="912">
        <v>46049</v>
      </c>
      <c r="S78" s="911" t="e">
        <f>VLOOKUP(B78,#REF!,4,0)</f>
        <v>#REF!</v>
      </c>
    </row>
    <row r="79" spans="1:19" ht="18" x14ac:dyDescent="0.25">
      <c r="A79" s="915">
        <v>77</v>
      </c>
      <c r="B79" s="915" t="s">
        <v>435</v>
      </c>
      <c r="C79" s="916" t="s">
        <v>242</v>
      </c>
      <c r="D79" s="915" t="s">
        <v>92</v>
      </c>
      <c r="E79" s="915" t="s">
        <v>794</v>
      </c>
      <c r="F79" s="915"/>
      <c r="G79" s="915" t="s">
        <v>798</v>
      </c>
      <c r="H79" s="915" t="s">
        <v>792</v>
      </c>
      <c r="I79" s="913">
        <v>46097</v>
      </c>
      <c r="J79" s="913">
        <v>46118</v>
      </c>
      <c r="K79" s="915" t="s">
        <v>681</v>
      </c>
      <c r="L79" s="915" t="s">
        <v>806</v>
      </c>
      <c r="M79" s="913">
        <v>46127</v>
      </c>
      <c r="N79" s="917" t="s">
        <v>798</v>
      </c>
      <c r="O79" s="915">
        <v>54.72</v>
      </c>
      <c r="P79" s="915" t="s">
        <v>792</v>
      </c>
      <c r="Q79" s="913">
        <v>46147</v>
      </c>
      <c r="R79" s="912">
        <v>46160</v>
      </c>
      <c r="S79" s="911"/>
    </row>
    <row r="80" spans="1:19" ht="18" x14ac:dyDescent="0.25">
      <c r="A80" s="915">
        <v>78</v>
      </c>
      <c r="B80" s="915" t="s">
        <v>280</v>
      </c>
      <c r="C80" s="916" t="s">
        <v>217</v>
      </c>
      <c r="D80" s="915" t="s">
        <v>92</v>
      </c>
      <c r="E80" s="915" t="s">
        <v>794</v>
      </c>
      <c r="F80" s="915" t="s">
        <v>798</v>
      </c>
      <c r="G80" s="915" t="s">
        <v>798</v>
      </c>
      <c r="H80" s="915" t="s">
        <v>812</v>
      </c>
      <c r="I80" s="913"/>
      <c r="J80" s="913"/>
      <c r="K80" s="915"/>
      <c r="L80" s="915"/>
      <c r="M80" s="913"/>
      <c r="N80" s="917" t="s">
        <v>798</v>
      </c>
      <c r="O80" s="915">
        <v>35.088999999999999</v>
      </c>
      <c r="P80" s="915"/>
      <c r="Q80" s="913"/>
      <c r="R80" s="912"/>
      <c r="S80" s="911"/>
    </row>
    <row r="81" spans="1:19" ht="18" x14ac:dyDescent="0.25">
      <c r="A81" s="915">
        <v>79</v>
      </c>
      <c r="B81" s="915" t="s">
        <v>281</v>
      </c>
      <c r="C81" s="916" t="s">
        <v>217</v>
      </c>
      <c r="D81" s="915" t="s">
        <v>92</v>
      </c>
      <c r="E81" s="915" t="s">
        <v>794</v>
      </c>
      <c r="F81" s="915" t="s">
        <v>798</v>
      </c>
      <c r="G81" s="915" t="s">
        <v>798</v>
      </c>
      <c r="H81" s="915" t="s">
        <v>792</v>
      </c>
      <c r="I81" s="913">
        <v>45944</v>
      </c>
      <c r="J81" s="913">
        <v>45955</v>
      </c>
      <c r="K81" s="915" t="s">
        <v>696</v>
      </c>
      <c r="L81" s="915" t="s">
        <v>806</v>
      </c>
      <c r="M81" s="913">
        <v>46045</v>
      </c>
      <c r="N81" s="917" t="s">
        <v>798</v>
      </c>
      <c r="O81" s="915">
        <v>35.088999999999999</v>
      </c>
      <c r="P81" s="915" t="s">
        <v>792</v>
      </c>
      <c r="Q81" s="913">
        <v>46049</v>
      </c>
      <c r="R81" s="912">
        <v>46055</v>
      </c>
      <c r="S81" s="911" t="e">
        <f>VLOOKUP(B81,#REF!,4,0)</f>
        <v>#REF!</v>
      </c>
    </row>
    <row r="82" spans="1:19" ht="18" x14ac:dyDescent="0.25">
      <c r="A82" s="915">
        <v>80</v>
      </c>
      <c r="B82" s="915" t="s">
        <v>282</v>
      </c>
      <c r="C82" s="916" t="s">
        <v>216</v>
      </c>
      <c r="D82" s="915" t="s">
        <v>547</v>
      </c>
      <c r="E82" s="915" t="s">
        <v>794</v>
      </c>
      <c r="F82" s="915" t="s">
        <v>798</v>
      </c>
      <c r="G82" s="915" t="s">
        <v>798</v>
      </c>
      <c r="H82" s="915" t="s">
        <v>792</v>
      </c>
      <c r="I82" s="913">
        <v>45953</v>
      </c>
      <c r="J82" s="913">
        <v>45976</v>
      </c>
      <c r="K82" s="915" t="s">
        <v>696</v>
      </c>
      <c r="L82" s="915" t="s">
        <v>808</v>
      </c>
      <c r="M82" s="913">
        <v>46075</v>
      </c>
      <c r="N82" s="917" t="s">
        <v>798</v>
      </c>
      <c r="O82" s="915">
        <v>41.88</v>
      </c>
      <c r="P82" s="915" t="s">
        <v>792</v>
      </c>
      <c r="Q82" s="913"/>
      <c r="R82" s="912"/>
      <c r="S82" s="911"/>
    </row>
    <row r="83" spans="1:19" ht="18" x14ac:dyDescent="0.35">
      <c r="A83" s="915">
        <v>81</v>
      </c>
      <c r="B83" s="915" t="s">
        <v>283</v>
      </c>
      <c r="C83" s="916" t="s">
        <v>217</v>
      </c>
      <c r="D83" s="915" t="s">
        <v>546</v>
      </c>
      <c r="E83" s="915" t="s">
        <v>794</v>
      </c>
      <c r="F83" s="915" t="s">
        <v>798</v>
      </c>
      <c r="G83" s="915" t="s">
        <v>798</v>
      </c>
      <c r="H83" s="918" t="s">
        <v>811</v>
      </c>
      <c r="I83" s="913"/>
      <c r="J83" s="913"/>
      <c r="K83" s="915"/>
      <c r="L83" s="915"/>
      <c r="M83" s="913"/>
      <c r="N83" s="917" t="s">
        <v>798</v>
      </c>
      <c r="O83" s="915">
        <v>35.088999999999999</v>
      </c>
      <c r="P83" s="915"/>
      <c r="Q83" s="913"/>
      <c r="R83" s="912"/>
      <c r="S83" s="911"/>
    </row>
    <row r="84" spans="1:19" ht="18" x14ac:dyDescent="0.25">
      <c r="A84" s="915">
        <v>82</v>
      </c>
      <c r="B84" s="915" t="s">
        <v>284</v>
      </c>
      <c r="C84" s="916" t="s">
        <v>287</v>
      </c>
      <c r="D84" s="915" t="s">
        <v>546</v>
      </c>
      <c r="E84" s="915" t="s">
        <v>794</v>
      </c>
      <c r="F84" s="915" t="s">
        <v>798</v>
      </c>
      <c r="G84" s="915" t="s">
        <v>798</v>
      </c>
      <c r="H84" s="915" t="s">
        <v>809</v>
      </c>
      <c r="I84" s="913"/>
      <c r="J84" s="913"/>
      <c r="K84" s="915"/>
      <c r="L84" s="915"/>
      <c r="M84" s="913"/>
      <c r="N84" s="917" t="s">
        <v>798</v>
      </c>
      <c r="O84" s="915">
        <v>64.671999999999997</v>
      </c>
      <c r="P84" s="915"/>
      <c r="Q84" s="913"/>
      <c r="R84" s="912"/>
      <c r="S84" s="911"/>
    </row>
    <row r="85" spans="1:19" ht="18" x14ac:dyDescent="0.25">
      <c r="A85" s="915">
        <v>83</v>
      </c>
      <c r="B85" s="915" t="s">
        <v>285</v>
      </c>
      <c r="C85" s="916" t="s">
        <v>288</v>
      </c>
      <c r="D85" s="915" t="s">
        <v>810</v>
      </c>
      <c r="E85" s="915" t="s">
        <v>798</v>
      </c>
      <c r="F85" s="915" t="s">
        <v>798</v>
      </c>
      <c r="G85" s="915" t="s">
        <v>798</v>
      </c>
      <c r="H85" s="915" t="s">
        <v>809</v>
      </c>
      <c r="I85" s="913"/>
      <c r="J85" s="913"/>
      <c r="K85" s="915"/>
      <c r="L85" s="915"/>
      <c r="M85" s="913"/>
      <c r="N85" s="917" t="s">
        <v>798</v>
      </c>
      <c r="O85" s="915">
        <v>66.436000000000007</v>
      </c>
      <c r="P85" s="915"/>
      <c r="Q85" s="913"/>
      <c r="R85" s="912"/>
      <c r="S85" s="911"/>
    </row>
    <row r="86" spans="1:19" ht="18" x14ac:dyDescent="0.25">
      <c r="A86" s="915">
        <v>84</v>
      </c>
      <c r="B86" s="915" t="s">
        <v>286</v>
      </c>
      <c r="C86" s="916" t="s">
        <v>288</v>
      </c>
      <c r="D86" s="915" t="s">
        <v>810</v>
      </c>
      <c r="E86" s="915" t="s">
        <v>798</v>
      </c>
      <c r="F86" s="915" t="s">
        <v>798</v>
      </c>
      <c r="G86" s="915" t="s">
        <v>798</v>
      </c>
      <c r="H86" s="915" t="s">
        <v>809</v>
      </c>
      <c r="I86" s="913"/>
      <c r="J86" s="913"/>
      <c r="K86" s="915"/>
      <c r="L86" s="915"/>
      <c r="M86" s="913"/>
      <c r="N86" s="917" t="s">
        <v>798</v>
      </c>
      <c r="O86" s="915">
        <v>66.436000000000007</v>
      </c>
      <c r="P86" s="915"/>
      <c r="Q86" s="913"/>
      <c r="R86" s="912"/>
      <c r="S86" s="911"/>
    </row>
    <row r="87" spans="1:19" ht="18" x14ac:dyDescent="0.25">
      <c r="A87" s="915">
        <v>85</v>
      </c>
      <c r="B87" s="915" t="s">
        <v>289</v>
      </c>
      <c r="C87" s="916" t="s">
        <v>218</v>
      </c>
      <c r="D87" s="915" t="s">
        <v>92</v>
      </c>
      <c r="E87" s="915" t="s">
        <v>794</v>
      </c>
      <c r="F87" s="915" t="s">
        <v>798</v>
      </c>
      <c r="G87" s="915" t="s">
        <v>798</v>
      </c>
      <c r="H87" s="915" t="s">
        <v>792</v>
      </c>
      <c r="I87" s="913">
        <v>45973</v>
      </c>
      <c r="J87" s="913">
        <v>45984</v>
      </c>
      <c r="K87" s="915" t="s">
        <v>696</v>
      </c>
      <c r="L87" s="915" t="s">
        <v>806</v>
      </c>
      <c r="M87" s="913">
        <v>46046</v>
      </c>
      <c r="N87" s="917" t="s">
        <v>798</v>
      </c>
      <c r="O87" s="915">
        <v>36.771000000000001</v>
      </c>
      <c r="P87" s="915" t="s">
        <v>792</v>
      </c>
      <c r="Q87" s="913"/>
      <c r="R87" s="912"/>
      <c r="S87" s="911"/>
    </row>
    <row r="88" spans="1:19" ht="18" x14ac:dyDescent="0.25">
      <c r="A88" s="915">
        <v>86</v>
      </c>
      <c r="B88" s="915" t="s">
        <v>438</v>
      </c>
      <c r="C88" s="916" t="s">
        <v>215</v>
      </c>
      <c r="D88" s="915" t="s">
        <v>92</v>
      </c>
      <c r="E88" s="915" t="s">
        <v>794</v>
      </c>
      <c r="F88" s="915" t="s">
        <v>798</v>
      </c>
      <c r="G88" s="915" t="s">
        <v>798</v>
      </c>
      <c r="H88" s="915"/>
      <c r="I88" s="913"/>
      <c r="J88" s="913"/>
      <c r="K88" s="915"/>
      <c r="L88" s="915"/>
      <c r="M88" s="913"/>
      <c r="N88" s="917" t="s">
        <v>798</v>
      </c>
      <c r="O88" s="915">
        <v>54.72</v>
      </c>
      <c r="P88" s="915"/>
      <c r="Q88" s="913"/>
      <c r="R88" s="912"/>
      <c r="S88" s="911"/>
    </row>
    <row r="89" spans="1:19" ht="18" x14ac:dyDescent="0.25">
      <c r="A89" s="915">
        <v>87</v>
      </c>
      <c r="B89" s="915" t="s">
        <v>439</v>
      </c>
      <c r="C89" s="916" t="s">
        <v>219</v>
      </c>
      <c r="D89" s="915" t="s">
        <v>92</v>
      </c>
      <c r="E89" s="915" t="s">
        <v>794</v>
      </c>
      <c r="F89" s="915" t="s">
        <v>795</v>
      </c>
      <c r="G89" s="915" t="s">
        <v>798</v>
      </c>
      <c r="H89" s="915"/>
      <c r="I89" s="913"/>
      <c r="J89" s="913"/>
      <c r="K89" s="915"/>
      <c r="L89" s="915"/>
      <c r="M89" s="913"/>
      <c r="N89" s="917" t="s">
        <v>798</v>
      </c>
      <c r="O89" s="915">
        <v>62.500999999999998</v>
      </c>
      <c r="P89" s="915"/>
      <c r="Q89" s="913"/>
      <c r="R89" s="912"/>
      <c r="S89" s="911"/>
    </row>
    <row r="90" spans="1:19" ht="18" x14ac:dyDescent="0.25">
      <c r="A90" s="915">
        <v>88</v>
      </c>
      <c r="B90" s="915" t="s">
        <v>290</v>
      </c>
      <c r="C90" s="916" t="s">
        <v>217</v>
      </c>
      <c r="D90" s="915" t="s">
        <v>92</v>
      </c>
      <c r="E90" s="915" t="s">
        <v>798</v>
      </c>
      <c r="F90" s="915" t="s">
        <v>798</v>
      </c>
      <c r="G90" s="915" t="s">
        <v>798</v>
      </c>
      <c r="H90" s="915"/>
      <c r="I90" s="913"/>
      <c r="J90" s="913"/>
      <c r="K90" s="915"/>
      <c r="L90" s="915"/>
      <c r="M90" s="913"/>
      <c r="N90" s="917" t="s">
        <v>798</v>
      </c>
      <c r="O90" s="915">
        <v>35.088999999999999</v>
      </c>
      <c r="P90" s="915"/>
      <c r="Q90" s="913"/>
      <c r="R90" s="912"/>
      <c r="S90" s="911"/>
    </row>
    <row r="91" spans="1:19" ht="18" x14ac:dyDescent="0.25">
      <c r="A91" s="915">
        <v>89</v>
      </c>
      <c r="B91" s="915" t="s">
        <v>291</v>
      </c>
      <c r="C91" s="916" t="s">
        <v>253</v>
      </c>
      <c r="D91" s="915" t="s">
        <v>92</v>
      </c>
      <c r="E91" s="915" t="s">
        <v>794</v>
      </c>
      <c r="F91" s="915" t="s">
        <v>798</v>
      </c>
      <c r="G91" s="915" t="s">
        <v>798</v>
      </c>
      <c r="H91" s="915"/>
      <c r="I91" s="913"/>
      <c r="J91" s="913"/>
      <c r="K91" s="915"/>
      <c r="L91" s="915"/>
      <c r="M91" s="913"/>
      <c r="N91" s="917" t="s">
        <v>798</v>
      </c>
      <c r="O91" s="915">
        <v>43.575000000000003</v>
      </c>
      <c r="P91" s="915"/>
      <c r="Q91" s="913"/>
      <c r="R91" s="912"/>
      <c r="S91" s="911"/>
    </row>
    <row r="92" spans="1:19" ht="18" x14ac:dyDescent="0.25">
      <c r="A92" s="915">
        <v>90</v>
      </c>
      <c r="B92" s="915" t="s">
        <v>292</v>
      </c>
      <c r="C92" s="916" t="s">
        <v>217</v>
      </c>
      <c r="D92" s="915" t="s">
        <v>92</v>
      </c>
      <c r="E92" s="915" t="s">
        <v>798</v>
      </c>
      <c r="F92" s="915" t="s">
        <v>798</v>
      </c>
      <c r="G92" s="915" t="s">
        <v>798</v>
      </c>
      <c r="H92" s="915"/>
      <c r="I92" s="913"/>
      <c r="J92" s="913"/>
      <c r="K92" s="915"/>
      <c r="L92" s="915"/>
      <c r="M92" s="913"/>
      <c r="N92" s="917" t="s">
        <v>798</v>
      </c>
      <c r="O92" s="915">
        <v>35.088999999999999</v>
      </c>
      <c r="P92" s="915"/>
      <c r="Q92" s="913"/>
      <c r="R92" s="912"/>
      <c r="S92" s="911"/>
    </row>
    <row r="93" spans="1:19" ht="18" x14ac:dyDescent="0.25">
      <c r="A93" s="915">
        <v>91</v>
      </c>
      <c r="B93" s="915" t="s">
        <v>293</v>
      </c>
      <c r="C93" s="916" t="s">
        <v>217</v>
      </c>
      <c r="D93" s="915" t="s">
        <v>92</v>
      </c>
      <c r="E93" s="915" t="s">
        <v>798</v>
      </c>
      <c r="F93" s="915" t="s">
        <v>798</v>
      </c>
      <c r="G93" s="915" t="s">
        <v>798</v>
      </c>
      <c r="H93" s="915"/>
      <c r="I93" s="913"/>
      <c r="J93" s="913"/>
      <c r="K93" s="915"/>
      <c r="L93" s="915"/>
      <c r="M93" s="913"/>
      <c r="N93" s="917" t="s">
        <v>798</v>
      </c>
      <c r="O93" s="915">
        <v>35.088999999999999</v>
      </c>
      <c r="P93" s="915"/>
      <c r="Q93" s="913"/>
      <c r="R93" s="912"/>
      <c r="S93" s="911"/>
    </row>
    <row r="94" spans="1:19" ht="18" x14ac:dyDescent="0.25">
      <c r="A94" s="915">
        <v>92</v>
      </c>
      <c r="B94" s="915" t="s">
        <v>440</v>
      </c>
      <c r="C94" s="916" t="s">
        <v>231</v>
      </c>
      <c r="D94" s="915" t="s">
        <v>92</v>
      </c>
      <c r="E94" s="915" t="s">
        <v>794</v>
      </c>
      <c r="F94" s="915" t="s">
        <v>795</v>
      </c>
      <c r="G94" s="915" t="s">
        <v>798</v>
      </c>
      <c r="H94" s="915"/>
      <c r="I94" s="913"/>
      <c r="J94" s="913"/>
      <c r="K94" s="915"/>
      <c r="L94" s="915"/>
      <c r="M94" s="913"/>
      <c r="N94" s="917"/>
      <c r="O94" s="915"/>
      <c r="P94" s="915"/>
      <c r="Q94" s="913"/>
      <c r="R94" s="912"/>
      <c r="S94" s="911"/>
    </row>
    <row r="95" spans="1:19" ht="18" x14ac:dyDescent="0.25">
      <c r="A95" s="915">
        <v>93</v>
      </c>
      <c r="B95" s="915" t="s">
        <v>294</v>
      </c>
      <c r="C95" s="916" t="s">
        <v>253</v>
      </c>
      <c r="D95" s="915" t="s">
        <v>92</v>
      </c>
      <c r="E95" s="915" t="s">
        <v>794</v>
      </c>
      <c r="F95" s="915" t="s">
        <v>798</v>
      </c>
      <c r="G95" s="915" t="s">
        <v>798</v>
      </c>
      <c r="H95" s="915"/>
      <c r="I95" s="913"/>
      <c r="J95" s="913"/>
      <c r="K95" s="915"/>
      <c r="L95" s="915"/>
      <c r="M95" s="913"/>
      <c r="N95" s="917" t="s">
        <v>798</v>
      </c>
      <c r="O95" s="915">
        <v>43.575000000000003</v>
      </c>
      <c r="P95" s="915"/>
      <c r="Q95" s="913"/>
      <c r="R95" s="912"/>
      <c r="S95" s="911"/>
    </row>
    <row r="96" spans="1:19" ht="18" x14ac:dyDescent="0.25">
      <c r="A96" s="915">
        <v>94</v>
      </c>
      <c r="B96" s="915" t="s">
        <v>295</v>
      </c>
      <c r="C96" s="916" t="s">
        <v>218</v>
      </c>
      <c r="D96" s="915" t="s">
        <v>669</v>
      </c>
      <c r="E96" s="915" t="s">
        <v>798</v>
      </c>
      <c r="F96" s="915" t="s">
        <v>798</v>
      </c>
      <c r="G96" s="915" t="s">
        <v>798</v>
      </c>
      <c r="H96" s="915"/>
      <c r="I96" s="913"/>
      <c r="J96" s="913"/>
      <c r="K96" s="915"/>
      <c r="L96" s="915"/>
      <c r="M96" s="913"/>
      <c r="N96" s="917" t="s">
        <v>798</v>
      </c>
      <c r="O96" s="915">
        <v>36.771000000000001</v>
      </c>
      <c r="P96" s="915"/>
      <c r="Q96" s="913"/>
      <c r="R96" s="912"/>
      <c r="S96" s="911"/>
    </row>
    <row r="97" spans="1:19" ht="18" x14ac:dyDescent="0.25">
      <c r="A97" s="915">
        <v>95</v>
      </c>
      <c r="B97" s="915" t="s">
        <v>296</v>
      </c>
      <c r="C97" s="916" t="s">
        <v>253</v>
      </c>
      <c r="D97" s="915" t="s">
        <v>546</v>
      </c>
      <c r="E97" s="915" t="s">
        <v>798</v>
      </c>
      <c r="F97" s="915" t="s">
        <v>798</v>
      </c>
      <c r="G97" s="915" t="s">
        <v>798</v>
      </c>
      <c r="H97" s="915"/>
      <c r="I97" s="913"/>
      <c r="J97" s="913"/>
      <c r="K97" s="915"/>
      <c r="L97" s="915"/>
      <c r="M97" s="913"/>
      <c r="N97" s="917" t="s">
        <v>798</v>
      </c>
      <c r="O97" s="915">
        <v>43.575000000000003</v>
      </c>
      <c r="P97" s="915"/>
      <c r="Q97" s="913"/>
      <c r="R97" s="912"/>
      <c r="S97" s="911"/>
    </row>
    <row r="98" spans="1:19" ht="18" x14ac:dyDescent="0.25">
      <c r="A98" s="915">
        <v>96</v>
      </c>
      <c r="B98" s="915" t="s">
        <v>442</v>
      </c>
      <c r="C98" s="916" t="s">
        <v>297</v>
      </c>
      <c r="D98" s="915" t="s">
        <v>88</v>
      </c>
      <c r="E98" s="915" t="s">
        <v>798</v>
      </c>
      <c r="F98" s="915" t="s">
        <v>795</v>
      </c>
      <c r="G98" s="915" t="s">
        <v>798</v>
      </c>
      <c r="H98" s="915"/>
      <c r="I98" s="913"/>
      <c r="J98" s="913"/>
      <c r="K98" s="915"/>
      <c r="L98" s="915"/>
      <c r="M98" s="913"/>
      <c r="N98" s="917" t="s">
        <v>798</v>
      </c>
      <c r="O98" s="915">
        <v>83.715999999999994</v>
      </c>
      <c r="P98" s="915"/>
      <c r="Q98" s="913"/>
      <c r="R98" s="912"/>
      <c r="S98" s="911"/>
    </row>
    <row r="99" spans="1:19" ht="18" x14ac:dyDescent="0.25">
      <c r="A99" s="915">
        <v>97</v>
      </c>
      <c r="B99" s="915" t="s">
        <v>443</v>
      </c>
      <c r="C99" s="916" t="s">
        <v>306</v>
      </c>
      <c r="D99" s="915" t="s">
        <v>92</v>
      </c>
      <c r="E99" s="915" t="s">
        <v>798</v>
      </c>
      <c r="F99" s="915" t="s">
        <v>795</v>
      </c>
      <c r="G99" s="915" t="s">
        <v>798</v>
      </c>
      <c r="H99" s="915"/>
      <c r="I99" s="913"/>
      <c r="J99" s="913"/>
      <c r="K99" s="915"/>
      <c r="L99" s="915"/>
      <c r="M99" s="913"/>
      <c r="N99" s="917" t="s">
        <v>798</v>
      </c>
      <c r="O99" s="915">
        <v>65.37</v>
      </c>
      <c r="P99" s="915"/>
      <c r="Q99" s="913"/>
      <c r="R99" s="912"/>
      <c r="S99" s="911"/>
    </row>
    <row r="100" spans="1:19" ht="18" x14ac:dyDescent="0.25">
      <c r="A100" s="915">
        <v>98</v>
      </c>
      <c r="B100" s="915" t="s">
        <v>298</v>
      </c>
      <c r="C100" s="916" t="s">
        <v>217</v>
      </c>
      <c r="D100" s="915" t="s">
        <v>546</v>
      </c>
      <c r="E100" s="915" t="s">
        <v>794</v>
      </c>
      <c r="F100" s="915" t="s">
        <v>798</v>
      </c>
      <c r="G100" s="915" t="s">
        <v>798</v>
      </c>
      <c r="H100" s="915"/>
      <c r="I100" s="913"/>
      <c r="J100" s="913"/>
      <c r="K100" s="915"/>
      <c r="L100" s="915"/>
      <c r="M100" s="913"/>
      <c r="N100" s="917" t="s">
        <v>798</v>
      </c>
      <c r="O100" s="915">
        <v>35.088999999999999</v>
      </c>
      <c r="P100" s="915"/>
      <c r="Q100" s="913"/>
      <c r="R100" s="912"/>
      <c r="S100" s="911"/>
    </row>
    <row r="101" spans="1:19" ht="18" x14ac:dyDescent="0.25">
      <c r="A101" s="915">
        <v>99</v>
      </c>
      <c r="B101" s="915" t="s">
        <v>299</v>
      </c>
      <c r="C101" s="916" t="s">
        <v>218</v>
      </c>
      <c r="D101" s="915" t="s">
        <v>92</v>
      </c>
      <c r="E101" s="915" t="s">
        <v>798</v>
      </c>
      <c r="F101" s="915" t="s">
        <v>798</v>
      </c>
      <c r="G101" s="915" t="s">
        <v>798</v>
      </c>
      <c r="H101" s="915"/>
      <c r="I101" s="913"/>
      <c r="J101" s="913"/>
      <c r="K101" s="915"/>
      <c r="L101" s="915"/>
      <c r="M101" s="913"/>
      <c r="N101" s="917" t="s">
        <v>798</v>
      </c>
      <c r="O101" s="915">
        <v>36.771000000000001</v>
      </c>
      <c r="P101" s="915"/>
      <c r="Q101" s="913"/>
      <c r="R101" s="912"/>
      <c r="S101" s="911"/>
    </row>
    <row r="102" spans="1:19" ht="18" x14ac:dyDescent="0.25">
      <c r="A102" s="915">
        <v>100</v>
      </c>
      <c r="B102" s="915" t="s">
        <v>300</v>
      </c>
      <c r="C102" s="916" t="s">
        <v>217</v>
      </c>
      <c r="D102" s="915" t="s">
        <v>92</v>
      </c>
      <c r="E102" s="915" t="s">
        <v>794</v>
      </c>
      <c r="F102" s="915" t="s">
        <v>798</v>
      </c>
      <c r="G102" s="915" t="s">
        <v>798</v>
      </c>
      <c r="H102" s="915" t="s">
        <v>792</v>
      </c>
      <c r="I102" s="913">
        <v>46139</v>
      </c>
      <c r="J102" s="913">
        <v>46141</v>
      </c>
      <c r="K102" s="915" t="s">
        <v>774</v>
      </c>
      <c r="L102" s="915" t="s">
        <v>943</v>
      </c>
      <c r="M102" s="913">
        <v>46143</v>
      </c>
      <c r="N102" s="917" t="s">
        <v>798</v>
      </c>
      <c r="O102" s="915">
        <v>35.088999999999999</v>
      </c>
      <c r="P102" s="915"/>
      <c r="Q102" s="913"/>
      <c r="R102" s="912"/>
      <c r="S102" s="911"/>
    </row>
    <row r="103" spans="1:19" ht="18" x14ac:dyDescent="0.25">
      <c r="A103" s="915">
        <v>101</v>
      </c>
      <c r="B103" s="915" t="s">
        <v>444</v>
      </c>
      <c r="C103" s="916" t="s">
        <v>242</v>
      </c>
      <c r="D103" s="915" t="s">
        <v>92</v>
      </c>
      <c r="E103" s="915" t="s">
        <v>794</v>
      </c>
      <c r="F103" s="915"/>
      <c r="G103" s="915" t="s">
        <v>798</v>
      </c>
      <c r="H103" s="915" t="s">
        <v>792</v>
      </c>
      <c r="I103" s="913">
        <v>46142</v>
      </c>
      <c r="J103" s="913">
        <v>46145</v>
      </c>
      <c r="K103" s="915" t="s">
        <v>774</v>
      </c>
      <c r="L103" s="915" t="s">
        <v>940</v>
      </c>
      <c r="M103" s="913">
        <v>46147</v>
      </c>
      <c r="N103" s="917" t="s">
        <v>798</v>
      </c>
      <c r="O103" s="915">
        <v>54.72</v>
      </c>
      <c r="P103" s="915"/>
      <c r="Q103" s="913"/>
      <c r="R103" s="912"/>
      <c r="S103" s="911"/>
    </row>
    <row r="104" spans="1:19" ht="18" x14ac:dyDescent="0.25">
      <c r="A104" s="915">
        <v>102</v>
      </c>
      <c r="B104" s="915" t="s">
        <v>301</v>
      </c>
      <c r="C104" s="916" t="s">
        <v>288</v>
      </c>
      <c r="D104" s="915" t="s">
        <v>547</v>
      </c>
      <c r="E104" s="915" t="s">
        <v>794</v>
      </c>
      <c r="F104" s="915" t="s">
        <v>798</v>
      </c>
      <c r="G104" s="915" t="s">
        <v>798</v>
      </c>
      <c r="H104" s="915" t="s">
        <v>792</v>
      </c>
      <c r="I104" s="913">
        <v>46129</v>
      </c>
      <c r="J104" s="913">
        <v>46133</v>
      </c>
      <c r="K104" s="915" t="s">
        <v>774</v>
      </c>
      <c r="L104" s="915" t="s">
        <v>940</v>
      </c>
      <c r="M104" s="913">
        <v>46136</v>
      </c>
      <c r="N104" s="917" t="s">
        <v>798</v>
      </c>
      <c r="O104" s="915">
        <v>66.436000000000007</v>
      </c>
      <c r="P104" s="915" t="s">
        <v>792</v>
      </c>
      <c r="Q104" s="913"/>
      <c r="R104" s="912"/>
      <c r="S104" s="911"/>
    </row>
    <row r="105" spans="1:19" ht="18" x14ac:dyDescent="0.25">
      <c r="A105" s="915">
        <v>103</v>
      </c>
      <c r="B105" s="915" t="s">
        <v>445</v>
      </c>
      <c r="C105" s="916" t="s">
        <v>584</v>
      </c>
      <c r="D105" s="915" t="s">
        <v>92</v>
      </c>
      <c r="E105" s="915" t="s">
        <v>794</v>
      </c>
      <c r="F105" s="915" t="s">
        <v>795</v>
      </c>
      <c r="G105" s="915" t="s">
        <v>798</v>
      </c>
      <c r="H105" s="915" t="s">
        <v>792</v>
      </c>
      <c r="I105" s="913">
        <v>46132</v>
      </c>
      <c r="J105" s="913">
        <v>46138</v>
      </c>
      <c r="K105" s="915" t="s">
        <v>774</v>
      </c>
      <c r="L105" s="915" t="s">
        <v>940</v>
      </c>
      <c r="M105" s="913">
        <v>46140</v>
      </c>
      <c r="N105" s="917" t="s">
        <v>798</v>
      </c>
      <c r="O105" s="915">
        <v>72.045000000000002</v>
      </c>
      <c r="P105" s="915"/>
      <c r="Q105" s="913"/>
      <c r="R105" s="912"/>
      <c r="S105" s="911"/>
    </row>
    <row r="106" spans="1:19" ht="18" x14ac:dyDescent="0.25">
      <c r="A106" s="915">
        <v>104</v>
      </c>
      <c r="B106" s="915" t="s">
        <v>302</v>
      </c>
      <c r="C106" s="916" t="s">
        <v>216</v>
      </c>
      <c r="D106" s="915" t="s">
        <v>88</v>
      </c>
      <c r="E106" s="915" t="s">
        <v>794</v>
      </c>
      <c r="F106" s="915" t="s">
        <v>798</v>
      </c>
      <c r="G106" s="915" t="s">
        <v>798</v>
      </c>
      <c r="H106" s="915" t="s">
        <v>792</v>
      </c>
      <c r="I106" s="913">
        <v>46141</v>
      </c>
      <c r="J106" s="913">
        <v>46147</v>
      </c>
      <c r="K106" s="915" t="s">
        <v>774</v>
      </c>
      <c r="L106" s="915"/>
      <c r="M106" s="913"/>
      <c r="N106" s="917" t="s">
        <v>798</v>
      </c>
      <c r="O106" s="915">
        <v>41.88</v>
      </c>
      <c r="P106" s="915"/>
      <c r="Q106" s="913"/>
      <c r="R106" s="912"/>
      <c r="S106" s="911"/>
    </row>
    <row r="107" spans="1:19" ht="18" x14ac:dyDescent="0.25">
      <c r="A107" s="915">
        <v>105</v>
      </c>
      <c r="B107" s="915" t="s">
        <v>303</v>
      </c>
      <c r="C107" s="916" t="s">
        <v>217</v>
      </c>
      <c r="D107" s="915" t="s">
        <v>92</v>
      </c>
      <c r="E107" s="915" t="s">
        <v>798</v>
      </c>
      <c r="F107" s="915" t="s">
        <v>798</v>
      </c>
      <c r="G107" s="915" t="s">
        <v>798</v>
      </c>
      <c r="H107" s="915"/>
      <c r="I107" s="913"/>
      <c r="J107" s="913"/>
      <c r="K107" s="915"/>
      <c r="L107" s="915"/>
      <c r="M107" s="913"/>
      <c r="N107" s="917" t="s">
        <v>798</v>
      </c>
      <c r="O107" s="915">
        <v>35.088999999999999</v>
      </c>
      <c r="P107" s="915"/>
      <c r="Q107" s="913"/>
      <c r="R107" s="912"/>
      <c r="S107" s="911"/>
    </row>
    <row r="108" spans="1:19" ht="18" x14ac:dyDescent="0.25">
      <c r="A108" s="915">
        <v>106</v>
      </c>
      <c r="B108" s="915" t="s">
        <v>304</v>
      </c>
      <c r="C108" s="916" t="s">
        <v>217</v>
      </c>
      <c r="D108" s="915" t="s">
        <v>92</v>
      </c>
      <c r="E108" s="915" t="s">
        <v>798</v>
      </c>
      <c r="F108" s="915" t="s">
        <v>798</v>
      </c>
      <c r="G108" s="915" t="s">
        <v>798</v>
      </c>
      <c r="H108" s="915"/>
      <c r="I108" s="913"/>
      <c r="J108" s="913"/>
      <c r="K108" s="915"/>
      <c r="L108" s="915"/>
      <c r="M108" s="913"/>
      <c r="N108" s="917" t="s">
        <v>798</v>
      </c>
      <c r="O108" s="915">
        <v>35.088999999999999</v>
      </c>
      <c r="P108" s="915"/>
      <c r="Q108" s="913"/>
      <c r="R108" s="912"/>
      <c r="S108" s="911"/>
    </row>
    <row r="109" spans="1:19" ht="18" x14ac:dyDescent="0.25">
      <c r="A109" s="915">
        <v>107</v>
      </c>
      <c r="B109" s="915" t="s">
        <v>305</v>
      </c>
      <c r="C109" s="916" t="s">
        <v>218</v>
      </c>
      <c r="D109" s="915" t="s">
        <v>92</v>
      </c>
      <c r="E109" s="915" t="s">
        <v>798</v>
      </c>
      <c r="F109" s="915" t="s">
        <v>798</v>
      </c>
      <c r="G109" s="915" t="s">
        <v>798</v>
      </c>
      <c r="H109" s="915"/>
      <c r="I109" s="913"/>
      <c r="J109" s="913"/>
      <c r="K109" s="915"/>
      <c r="L109" s="915"/>
      <c r="M109" s="913"/>
      <c r="N109" s="917" t="s">
        <v>798</v>
      </c>
      <c r="O109" s="915">
        <v>36.771000000000001</v>
      </c>
      <c r="P109" s="915"/>
      <c r="Q109" s="913"/>
      <c r="R109" s="912"/>
      <c r="S109" s="911"/>
    </row>
    <row r="110" spans="1:19" ht="18" x14ac:dyDescent="0.25">
      <c r="A110" s="915">
        <v>108</v>
      </c>
      <c r="B110" s="915" t="s">
        <v>447</v>
      </c>
      <c r="C110" s="916" t="s">
        <v>242</v>
      </c>
      <c r="D110" s="915" t="s">
        <v>92</v>
      </c>
      <c r="E110" s="915" t="s">
        <v>794</v>
      </c>
      <c r="F110" s="915"/>
      <c r="G110" s="915" t="s">
        <v>798</v>
      </c>
      <c r="H110" s="915"/>
      <c r="I110" s="913"/>
      <c r="J110" s="913"/>
      <c r="K110" s="915"/>
      <c r="L110" s="915"/>
      <c r="M110" s="913"/>
      <c r="N110" s="917" t="s">
        <v>798</v>
      </c>
      <c r="O110" s="915">
        <v>54.72</v>
      </c>
      <c r="P110" s="915"/>
      <c r="Q110" s="913"/>
      <c r="R110" s="912"/>
      <c r="S110" s="911"/>
    </row>
    <row r="111" spans="1:19" ht="18" x14ac:dyDescent="0.25">
      <c r="A111" s="915">
        <v>109</v>
      </c>
      <c r="B111" s="915" t="s">
        <v>307</v>
      </c>
      <c r="C111" s="916" t="s">
        <v>218</v>
      </c>
      <c r="D111" s="915" t="s">
        <v>92</v>
      </c>
      <c r="E111" s="915" t="s">
        <v>798</v>
      </c>
      <c r="F111" s="915" t="s">
        <v>798</v>
      </c>
      <c r="G111" s="915" t="s">
        <v>798</v>
      </c>
      <c r="H111" s="915"/>
      <c r="I111" s="913"/>
      <c r="J111" s="913"/>
      <c r="K111" s="915"/>
      <c r="L111" s="915"/>
      <c r="M111" s="913"/>
      <c r="N111" s="917" t="s">
        <v>798</v>
      </c>
      <c r="O111" s="915">
        <v>36.771000000000001</v>
      </c>
      <c r="P111" s="915"/>
      <c r="Q111" s="913"/>
      <c r="R111" s="912"/>
      <c r="S111" s="911"/>
    </row>
    <row r="112" spans="1:19" ht="18" x14ac:dyDescent="0.25">
      <c r="A112" s="915">
        <v>110</v>
      </c>
      <c r="B112" s="915" t="s">
        <v>308</v>
      </c>
      <c r="C112" s="916" t="s">
        <v>218</v>
      </c>
      <c r="D112" s="915" t="s">
        <v>92</v>
      </c>
      <c r="E112" s="915" t="s">
        <v>794</v>
      </c>
      <c r="F112" s="915" t="s">
        <v>798</v>
      </c>
      <c r="G112" s="915" t="s">
        <v>798</v>
      </c>
      <c r="H112" s="915" t="s">
        <v>792</v>
      </c>
      <c r="I112" s="913">
        <v>46163</v>
      </c>
      <c r="J112" s="913">
        <v>46165</v>
      </c>
      <c r="K112" s="915" t="s">
        <v>774</v>
      </c>
      <c r="L112" s="915"/>
      <c r="M112" s="913"/>
      <c r="N112" s="917" t="s">
        <v>798</v>
      </c>
      <c r="O112" s="915">
        <v>36.771000000000001</v>
      </c>
      <c r="P112" s="915"/>
      <c r="Q112" s="913"/>
      <c r="R112" s="912"/>
      <c r="S112" s="911"/>
    </row>
    <row r="113" spans="1:19" ht="18" x14ac:dyDescent="0.25">
      <c r="A113" s="915">
        <v>111</v>
      </c>
      <c r="B113" s="915" t="s">
        <v>448</v>
      </c>
      <c r="C113" s="916" t="s">
        <v>275</v>
      </c>
      <c r="D113" s="915" t="s">
        <v>88</v>
      </c>
      <c r="E113" s="915" t="s">
        <v>794</v>
      </c>
      <c r="F113" s="915"/>
      <c r="G113" s="915" t="s">
        <v>798</v>
      </c>
      <c r="H113" s="915" t="s">
        <v>792</v>
      </c>
      <c r="I113" s="913">
        <v>46148</v>
      </c>
      <c r="J113" s="913">
        <v>46155</v>
      </c>
      <c r="K113" s="915" t="s">
        <v>774</v>
      </c>
      <c r="L113" s="915"/>
      <c r="M113" s="913"/>
      <c r="N113" s="917" t="s">
        <v>798</v>
      </c>
      <c r="O113" s="915">
        <v>64.671999999999997</v>
      </c>
      <c r="P113" s="915"/>
      <c r="Q113" s="913"/>
      <c r="R113" s="912"/>
      <c r="S113" s="911"/>
    </row>
    <row r="114" spans="1:19" ht="18" x14ac:dyDescent="0.25">
      <c r="A114" s="915">
        <v>112</v>
      </c>
      <c r="B114" s="915" t="s">
        <v>309</v>
      </c>
      <c r="C114" s="916" t="s">
        <v>253</v>
      </c>
      <c r="D114" s="915" t="s">
        <v>92</v>
      </c>
      <c r="E114" s="915" t="s">
        <v>794</v>
      </c>
      <c r="F114" s="915" t="s">
        <v>798</v>
      </c>
      <c r="G114" s="915" t="s">
        <v>798</v>
      </c>
      <c r="H114" s="915" t="s">
        <v>792</v>
      </c>
      <c r="I114" s="913">
        <v>46159</v>
      </c>
      <c r="J114" s="913">
        <v>46162</v>
      </c>
      <c r="K114" s="915" t="s">
        <v>774</v>
      </c>
      <c r="L114" s="915"/>
      <c r="M114" s="913"/>
      <c r="N114" s="917" t="s">
        <v>798</v>
      </c>
      <c r="O114" s="915">
        <v>43.575000000000003</v>
      </c>
      <c r="P114" s="915"/>
      <c r="Q114" s="913"/>
      <c r="R114" s="912"/>
      <c r="S114" s="911"/>
    </row>
    <row r="115" spans="1:19" ht="18" x14ac:dyDescent="0.25">
      <c r="A115" s="915">
        <v>113</v>
      </c>
      <c r="B115" s="915" t="s">
        <v>310</v>
      </c>
      <c r="C115" s="916" t="s">
        <v>216</v>
      </c>
      <c r="D115" s="915" t="s">
        <v>546</v>
      </c>
      <c r="E115" s="915" t="s">
        <v>794</v>
      </c>
      <c r="F115" s="915" t="s">
        <v>798</v>
      </c>
      <c r="G115" s="915" t="s">
        <v>798</v>
      </c>
      <c r="H115" s="915" t="s">
        <v>792</v>
      </c>
      <c r="I115" s="913">
        <v>46155</v>
      </c>
      <c r="J115" s="913">
        <v>46158</v>
      </c>
      <c r="K115" s="915" t="s">
        <v>774</v>
      </c>
      <c r="L115" s="915" t="s">
        <v>806</v>
      </c>
      <c r="M115" s="913">
        <v>46162</v>
      </c>
      <c r="N115" s="917" t="s">
        <v>798</v>
      </c>
      <c r="O115" s="915">
        <v>41.88</v>
      </c>
      <c r="P115" s="915"/>
      <c r="Q115" s="913"/>
      <c r="R115" s="912"/>
      <c r="S115" s="911"/>
    </row>
    <row r="116" spans="1:19" ht="18" x14ac:dyDescent="0.25">
      <c r="A116" s="915">
        <v>114</v>
      </c>
      <c r="B116" s="915" t="s">
        <v>449</v>
      </c>
      <c r="C116" s="916" t="s">
        <v>306</v>
      </c>
      <c r="D116" s="915" t="s">
        <v>546</v>
      </c>
      <c r="E116" s="915" t="s">
        <v>798</v>
      </c>
      <c r="F116" s="915" t="s">
        <v>795</v>
      </c>
      <c r="G116" s="915" t="s">
        <v>798</v>
      </c>
      <c r="H116" s="915"/>
      <c r="I116" s="913"/>
      <c r="J116" s="913"/>
      <c r="K116" s="915"/>
      <c r="L116" s="915"/>
      <c r="M116" s="913"/>
      <c r="N116" s="917"/>
      <c r="O116" s="915"/>
      <c r="P116" s="915"/>
      <c r="Q116" s="913"/>
      <c r="R116" s="912"/>
      <c r="S116" s="911"/>
    </row>
    <row r="117" spans="1:19" ht="18" x14ac:dyDescent="0.25">
      <c r="A117" s="915">
        <v>115</v>
      </c>
      <c r="B117" s="915" t="s">
        <v>311</v>
      </c>
      <c r="C117" s="916" t="s">
        <v>253</v>
      </c>
      <c r="D117" s="915" t="s">
        <v>92</v>
      </c>
      <c r="E117" s="915" t="s">
        <v>794</v>
      </c>
      <c r="F117" s="915" t="s">
        <v>798</v>
      </c>
      <c r="G117" s="915" t="s">
        <v>798</v>
      </c>
      <c r="H117" s="915" t="s">
        <v>792</v>
      </c>
      <c r="I117" s="913">
        <v>46106</v>
      </c>
      <c r="J117" s="913">
        <v>46123</v>
      </c>
      <c r="K117" s="915" t="s">
        <v>774</v>
      </c>
      <c r="L117" s="915" t="s">
        <v>806</v>
      </c>
      <c r="M117" s="913">
        <v>46125</v>
      </c>
      <c r="N117" s="917" t="s">
        <v>798</v>
      </c>
      <c r="O117" s="915">
        <v>43.575000000000003</v>
      </c>
      <c r="P117" s="915" t="s">
        <v>792</v>
      </c>
      <c r="Q117" s="913"/>
      <c r="R117" s="912"/>
      <c r="S117" s="911"/>
    </row>
    <row r="118" spans="1:19" ht="18" x14ac:dyDescent="0.25">
      <c r="A118" s="915">
        <v>116</v>
      </c>
      <c r="B118" s="915" t="s">
        <v>312</v>
      </c>
      <c r="C118" s="916" t="s">
        <v>217</v>
      </c>
      <c r="D118" s="915" t="s">
        <v>92</v>
      </c>
      <c r="E118" s="915" t="s">
        <v>794</v>
      </c>
      <c r="F118" s="915" t="s">
        <v>798</v>
      </c>
      <c r="G118" s="915" t="s">
        <v>798</v>
      </c>
      <c r="H118" s="915" t="s">
        <v>792</v>
      </c>
      <c r="I118" s="913">
        <v>46107</v>
      </c>
      <c r="J118" s="913">
        <v>46125</v>
      </c>
      <c r="K118" s="915" t="s">
        <v>774</v>
      </c>
      <c r="L118" s="915" t="s">
        <v>806</v>
      </c>
      <c r="M118" s="913">
        <v>46127</v>
      </c>
      <c r="N118" s="917" t="s">
        <v>798</v>
      </c>
      <c r="O118" s="915">
        <v>35.088999999999999</v>
      </c>
      <c r="P118" s="915" t="s">
        <v>792</v>
      </c>
      <c r="Q118" s="913"/>
      <c r="R118" s="912"/>
      <c r="S118" s="911"/>
    </row>
    <row r="119" spans="1:19" ht="18" x14ac:dyDescent="0.25">
      <c r="A119" s="915">
        <v>117</v>
      </c>
      <c r="B119" s="915" t="s">
        <v>313</v>
      </c>
      <c r="C119" s="916" t="s">
        <v>217</v>
      </c>
      <c r="D119" s="915" t="s">
        <v>92</v>
      </c>
      <c r="E119" s="915" t="s">
        <v>794</v>
      </c>
      <c r="F119" s="915" t="s">
        <v>798</v>
      </c>
      <c r="G119" s="915" t="s">
        <v>798</v>
      </c>
      <c r="H119" s="915" t="s">
        <v>792</v>
      </c>
      <c r="I119" s="913">
        <v>46121</v>
      </c>
      <c r="J119" s="913">
        <v>46130</v>
      </c>
      <c r="K119" s="915" t="s">
        <v>774</v>
      </c>
      <c r="L119" s="915" t="s">
        <v>806</v>
      </c>
      <c r="M119" s="913">
        <v>46131</v>
      </c>
      <c r="N119" s="917" t="s">
        <v>798</v>
      </c>
      <c r="O119" s="915">
        <v>35.088999999999999</v>
      </c>
      <c r="P119" s="915" t="s">
        <v>792</v>
      </c>
      <c r="Q119" s="913"/>
      <c r="R119" s="912"/>
      <c r="S119" s="911"/>
    </row>
    <row r="120" spans="1:19" ht="18" x14ac:dyDescent="0.25">
      <c r="A120" s="915">
        <v>118</v>
      </c>
      <c r="B120" s="915" t="s">
        <v>314</v>
      </c>
      <c r="C120" s="916" t="s">
        <v>216</v>
      </c>
      <c r="D120" s="915" t="s">
        <v>92</v>
      </c>
      <c r="E120" s="915" t="s">
        <v>794</v>
      </c>
      <c r="F120" s="915" t="s">
        <v>798</v>
      </c>
      <c r="G120" s="915" t="s">
        <v>798</v>
      </c>
      <c r="H120" s="915" t="s">
        <v>792</v>
      </c>
      <c r="I120" s="913">
        <v>46107</v>
      </c>
      <c r="J120" s="913">
        <v>46128</v>
      </c>
      <c r="K120" s="915" t="s">
        <v>774</v>
      </c>
      <c r="L120" s="915" t="s">
        <v>806</v>
      </c>
      <c r="M120" s="913">
        <v>46131</v>
      </c>
      <c r="N120" s="917" t="s">
        <v>798</v>
      </c>
      <c r="O120" s="915">
        <v>41.88</v>
      </c>
      <c r="P120" s="915" t="s">
        <v>792</v>
      </c>
      <c r="Q120" s="913"/>
      <c r="R120" s="912"/>
      <c r="S120" s="911"/>
    </row>
    <row r="121" spans="1:19" ht="18" x14ac:dyDescent="0.25">
      <c r="A121" s="915">
        <v>119</v>
      </c>
      <c r="B121" s="915" t="s">
        <v>450</v>
      </c>
      <c r="C121" s="916" t="s">
        <v>589</v>
      </c>
      <c r="D121" s="915" t="s">
        <v>92</v>
      </c>
      <c r="E121" s="915" t="s">
        <v>794</v>
      </c>
      <c r="F121" s="915" t="s">
        <v>795</v>
      </c>
      <c r="G121" s="915" t="s">
        <v>798</v>
      </c>
      <c r="H121" s="915"/>
      <c r="I121" s="913"/>
      <c r="J121" s="913"/>
      <c r="K121" s="915"/>
      <c r="L121" s="915"/>
      <c r="M121" s="913"/>
      <c r="N121" s="917" t="s">
        <v>798</v>
      </c>
      <c r="O121" s="915">
        <v>73.494</v>
      </c>
      <c r="P121" s="915"/>
      <c r="Q121" s="913"/>
      <c r="R121" s="912"/>
      <c r="S121" s="911"/>
    </row>
    <row r="122" spans="1:19" ht="18" x14ac:dyDescent="0.25">
      <c r="A122" s="915">
        <v>120</v>
      </c>
      <c r="B122" s="915" t="s">
        <v>455</v>
      </c>
      <c r="C122" s="916" t="s">
        <v>275</v>
      </c>
      <c r="D122" s="915" t="s">
        <v>92</v>
      </c>
      <c r="E122" s="915" t="s">
        <v>794</v>
      </c>
      <c r="F122" s="915"/>
      <c r="G122" s="915" t="s">
        <v>798</v>
      </c>
      <c r="H122" s="915"/>
      <c r="I122" s="913"/>
      <c r="J122" s="913"/>
      <c r="K122" s="915"/>
      <c r="L122" s="915"/>
      <c r="M122" s="913"/>
      <c r="N122" s="917" t="s">
        <v>798</v>
      </c>
      <c r="O122" s="915">
        <v>64.671999999999997</v>
      </c>
      <c r="P122" s="915"/>
      <c r="Q122" s="913"/>
      <c r="R122" s="912"/>
      <c r="S122" s="911"/>
    </row>
    <row r="123" spans="1:19" ht="18" x14ac:dyDescent="0.25">
      <c r="A123" s="915">
        <v>121</v>
      </c>
      <c r="B123" s="915" t="s">
        <v>317</v>
      </c>
      <c r="C123" s="916" t="s">
        <v>218</v>
      </c>
      <c r="D123" s="915" t="s">
        <v>547</v>
      </c>
      <c r="E123" s="915" t="s">
        <v>794</v>
      </c>
      <c r="F123" s="915" t="s">
        <v>798</v>
      </c>
      <c r="G123" s="915" t="s">
        <v>798</v>
      </c>
      <c r="H123" s="915"/>
      <c r="I123" s="913"/>
      <c r="J123" s="913"/>
      <c r="K123" s="915"/>
      <c r="L123" s="915"/>
      <c r="M123" s="913"/>
      <c r="N123" s="917" t="s">
        <v>798</v>
      </c>
      <c r="O123" s="915">
        <v>36.771000000000001</v>
      </c>
      <c r="P123" s="915"/>
      <c r="Q123" s="913"/>
      <c r="R123" s="912"/>
      <c r="S123" s="911"/>
    </row>
    <row r="124" spans="1:19" ht="18" x14ac:dyDescent="0.25">
      <c r="A124" s="915">
        <v>122</v>
      </c>
      <c r="B124" s="915" t="s">
        <v>456</v>
      </c>
      <c r="C124" s="916" t="s">
        <v>242</v>
      </c>
      <c r="D124" s="915" t="s">
        <v>92</v>
      </c>
      <c r="E124" s="915" t="s">
        <v>794</v>
      </c>
      <c r="F124" s="915"/>
      <c r="G124" s="915" t="s">
        <v>798</v>
      </c>
      <c r="H124" s="915"/>
      <c r="I124" s="913"/>
      <c r="J124" s="913"/>
      <c r="K124" s="915"/>
      <c r="L124" s="915"/>
      <c r="M124" s="913"/>
      <c r="N124" s="917" t="s">
        <v>798</v>
      </c>
      <c r="O124" s="915">
        <v>54.72</v>
      </c>
      <c r="P124" s="915"/>
      <c r="Q124" s="913"/>
      <c r="R124" s="912"/>
      <c r="S124" s="911"/>
    </row>
    <row r="125" spans="1:19" ht="18" x14ac:dyDescent="0.25">
      <c r="A125" s="915">
        <v>123</v>
      </c>
      <c r="B125" s="915" t="s">
        <v>318</v>
      </c>
      <c r="C125" s="916" t="s">
        <v>216</v>
      </c>
      <c r="D125" s="915" t="s">
        <v>88</v>
      </c>
      <c r="E125" s="915" t="s">
        <v>794</v>
      </c>
      <c r="F125" s="915" t="s">
        <v>798</v>
      </c>
      <c r="G125" s="915" t="s">
        <v>798</v>
      </c>
      <c r="H125" s="915" t="s">
        <v>792</v>
      </c>
      <c r="I125" s="913">
        <v>45995</v>
      </c>
      <c r="J125" s="913">
        <v>46009</v>
      </c>
      <c r="K125" s="915" t="s">
        <v>694</v>
      </c>
      <c r="L125" s="915" t="s">
        <v>808</v>
      </c>
      <c r="M125" s="913">
        <v>46033</v>
      </c>
      <c r="N125" s="917" t="s">
        <v>798</v>
      </c>
      <c r="O125" s="915">
        <v>41.88</v>
      </c>
      <c r="P125" s="915" t="s">
        <v>792</v>
      </c>
      <c r="Q125" s="913"/>
      <c r="R125" s="912"/>
      <c r="S125" s="911"/>
    </row>
    <row r="126" spans="1:19" ht="18" x14ac:dyDescent="0.25">
      <c r="A126" s="915">
        <v>124</v>
      </c>
      <c r="B126" s="915" t="s">
        <v>319</v>
      </c>
      <c r="C126" s="916" t="s">
        <v>217</v>
      </c>
      <c r="D126" s="915" t="s">
        <v>88</v>
      </c>
      <c r="E126" s="915" t="s">
        <v>794</v>
      </c>
      <c r="F126" s="915" t="s">
        <v>798</v>
      </c>
      <c r="G126" s="915" t="s">
        <v>798</v>
      </c>
      <c r="H126" s="915" t="s">
        <v>792</v>
      </c>
      <c r="I126" s="913">
        <v>45995</v>
      </c>
      <c r="J126" s="913">
        <v>46015</v>
      </c>
      <c r="K126" s="915" t="s">
        <v>694</v>
      </c>
      <c r="L126" s="915" t="s">
        <v>808</v>
      </c>
      <c r="M126" s="913">
        <v>46033</v>
      </c>
      <c r="N126" s="917" t="s">
        <v>798</v>
      </c>
      <c r="O126" s="915">
        <v>35.088999999999999</v>
      </c>
      <c r="P126" s="915" t="s">
        <v>792</v>
      </c>
      <c r="Q126" s="913"/>
      <c r="R126" s="912"/>
      <c r="S126" s="911"/>
    </row>
    <row r="127" spans="1:19" ht="18" x14ac:dyDescent="0.25">
      <c r="A127" s="915">
        <v>125</v>
      </c>
      <c r="B127" s="915" t="s">
        <v>457</v>
      </c>
      <c r="C127" s="916" t="s">
        <v>219</v>
      </c>
      <c r="D127" s="915" t="s">
        <v>546</v>
      </c>
      <c r="E127" s="915" t="s">
        <v>794</v>
      </c>
      <c r="F127" s="915" t="s">
        <v>795</v>
      </c>
      <c r="G127" s="915" t="s">
        <v>798</v>
      </c>
      <c r="H127" s="915"/>
      <c r="I127" s="913"/>
      <c r="J127" s="913"/>
      <c r="K127" s="915"/>
      <c r="L127" s="915"/>
      <c r="M127" s="913"/>
      <c r="N127" s="917" t="s">
        <v>798</v>
      </c>
      <c r="O127" s="915">
        <v>62.500999999999998</v>
      </c>
      <c r="P127" s="915"/>
      <c r="Q127" s="913"/>
      <c r="R127" s="912"/>
      <c r="S127" s="911"/>
    </row>
    <row r="128" spans="1:19" ht="18" x14ac:dyDescent="0.25">
      <c r="A128" s="915">
        <v>126</v>
      </c>
      <c r="B128" s="915" t="s">
        <v>458</v>
      </c>
      <c r="C128" s="916" t="s">
        <v>219</v>
      </c>
      <c r="D128" s="915" t="s">
        <v>546</v>
      </c>
      <c r="E128" s="915" t="s">
        <v>798</v>
      </c>
      <c r="F128" s="915" t="s">
        <v>795</v>
      </c>
      <c r="G128" s="915" t="s">
        <v>798</v>
      </c>
      <c r="H128" s="915"/>
      <c r="I128" s="913"/>
      <c r="J128" s="913"/>
      <c r="K128" s="915"/>
      <c r="L128" s="915"/>
      <c r="M128" s="913"/>
      <c r="N128" s="917" t="s">
        <v>798</v>
      </c>
      <c r="O128" s="915">
        <v>62.500999999999998</v>
      </c>
      <c r="P128" s="915"/>
      <c r="Q128" s="913"/>
      <c r="R128" s="912"/>
      <c r="S128" s="911"/>
    </row>
    <row r="129" spans="1:19" ht="18" x14ac:dyDescent="0.25">
      <c r="A129" s="915">
        <v>127</v>
      </c>
      <c r="B129" s="915" t="s">
        <v>320</v>
      </c>
      <c r="C129" s="916" t="s">
        <v>218</v>
      </c>
      <c r="D129" s="915" t="s">
        <v>669</v>
      </c>
      <c r="E129" s="915" t="s">
        <v>798</v>
      </c>
      <c r="F129" s="915" t="s">
        <v>798</v>
      </c>
      <c r="G129" s="915" t="s">
        <v>798</v>
      </c>
      <c r="H129" s="915"/>
      <c r="I129" s="913"/>
      <c r="J129" s="913"/>
      <c r="K129" s="915"/>
      <c r="L129" s="915"/>
      <c r="M129" s="913"/>
      <c r="N129" s="917" t="s">
        <v>798</v>
      </c>
      <c r="O129" s="915">
        <v>36.771000000000001</v>
      </c>
      <c r="P129" s="915"/>
      <c r="Q129" s="913"/>
      <c r="R129" s="912"/>
      <c r="S129" s="911"/>
    </row>
    <row r="130" spans="1:19" ht="18" x14ac:dyDescent="0.25">
      <c r="A130" s="915">
        <v>128</v>
      </c>
      <c r="B130" s="915" t="s">
        <v>321</v>
      </c>
      <c r="C130" s="916" t="s">
        <v>217</v>
      </c>
      <c r="D130" s="915" t="s">
        <v>669</v>
      </c>
      <c r="E130" s="915" t="s">
        <v>794</v>
      </c>
      <c r="F130" s="915" t="s">
        <v>798</v>
      </c>
      <c r="G130" s="915" t="s">
        <v>798</v>
      </c>
      <c r="H130" s="915"/>
      <c r="I130" s="913"/>
      <c r="J130" s="913"/>
      <c r="K130" s="915"/>
      <c r="L130" s="915"/>
      <c r="M130" s="913"/>
      <c r="N130" s="917" t="s">
        <v>798</v>
      </c>
      <c r="O130" s="915">
        <v>35.088999999999999</v>
      </c>
      <c r="P130" s="915"/>
      <c r="Q130" s="913"/>
      <c r="R130" s="912"/>
      <c r="S130" s="911"/>
    </row>
    <row r="131" spans="1:19" ht="18" x14ac:dyDescent="0.25">
      <c r="A131" s="915">
        <v>129</v>
      </c>
      <c r="B131" s="915" t="s">
        <v>322</v>
      </c>
      <c r="C131" s="916" t="s">
        <v>217</v>
      </c>
      <c r="D131" s="915" t="s">
        <v>669</v>
      </c>
      <c r="E131" s="915" t="s">
        <v>798</v>
      </c>
      <c r="F131" s="915" t="s">
        <v>798</v>
      </c>
      <c r="G131" s="915" t="s">
        <v>798</v>
      </c>
      <c r="H131" s="915"/>
      <c r="I131" s="913"/>
      <c r="J131" s="913"/>
      <c r="K131" s="915"/>
      <c r="L131" s="915"/>
      <c r="M131" s="913"/>
      <c r="N131" s="917" t="s">
        <v>798</v>
      </c>
      <c r="O131" s="915">
        <v>35.088999999999999</v>
      </c>
      <c r="P131" s="915"/>
      <c r="Q131" s="913"/>
      <c r="R131" s="912"/>
      <c r="S131" s="911"/>
    </row>
    <row r="132" spans="1:19" ht="18" x14ac:dyDescent="0.25">
      <c r="A132" s="915">
        <v>130</v>
      </c>
      <c r="B132" s="915" t="s">
        <v>459</v>
      </c>
      <c r="C132" s="916" t="s">
        <v>274</v>
      </c>
      <c r="D132" s="915" t="s">
        <v>92</v>
      </c>
      <c r="E132" s="915" t="s">
        <v>798</v>
      </c>
      <c r="F132" s="915" t="s">
        <v>795</v>
      </c>
      <c r="G132" s="915" t="s">
        <v>798</v>
      </c>
      <c r="H132" s="915"/>
      <c r="I132" s="913"/>
      <c r="J132" s="913"/>
      <c r="K132" s="915"/>
      <c r="L132" s="915"/>
      <c r="M132" s="913"/>
      <c r="N132" s="917" t="s">
        <v>798</v>
      </c>
      <c r="O132" s="915">
        <v>75.873999999999995</v>
      </c>
      <c r="P132" s="915"/>
      <c r="Q132" s="913"/>
      <c r="R132" s="912"/>
      <c r="S132" s="911"/>
    </row>
    <row r="133" spans="1:19" ht="18" x14ac:dyDescent="0.25">
      <c r="A133" s="915">
        <v>131</v>
      </c>
      <c r="B133" s="915" t="s">
        <v>460</v>
      </c>
      <c r="C133" s="916" t="s">
        <v>297</v>
      </c>
      <c r="D133" s="915" t="s">
        <v>92</v>
      </c>
      <c r="E133" s="915" t="s">
        <v>798</v>
      </c>
      <c r="F133" s="915" t="s">
        <v>795</v>
      </c>
      <c r="G133" s="915" t="s">
        <v>798</v>
      </c>
      <c r="H133" s="915"/>
      <c r="I133" s="913"/>
      <c r="J133" s="913"/>
      <c r="K133" s="915"/>
      <c r="L133" s="915"/>
      <c r="M133" s="913"/>
      <c r="N133" s="917" t="s">
        <v>798</v>
      </c>
      <c r="O133" s="915">
        <v>83.715999999999994</v>
      </c>
      <c r="P133" s="915"/>
      <c r="Q133" s="913"/>
      <c r="R133" s="912"/>
      <c r="S133" s="911"/>
    </row>
    <row r="134" spans="1:19" ht="18" x14ac:dyDescent="0.25">
      <c r="A134" s="915">
        <v>132</v>
      </c>
      <c r="B134" s="915" t="s">
        <v>323</v>
      </c>
      <c r="C134" s="916" t="s">
        <v>217</v>
      </c>
      <c r="D134" s="915" t="s">
        <v>547</v>
      </c>
      <c r="E134" s="915" t="s">
        <v>794</v>
      </c>
      <c r="F134" s="915" t="s">
        <v>798</v>
      </c>
      <c r="G134" s="915" t="s">
        <v>798</v>
      </c>
      <c r="H134" s="915" t="s">
        <v>792</v>
      </c>
      <c r="I134" s="913">
        <v>45968</v>
      </c>
      <c r="J134" s="913">
        <v>45986</v>
      </c>
      <c r="K134" s="915" t="s">
        <v>89</v>
      </c>
      <c r="L134" s="915" t="s">
        <v>808</v>
      </c>
      <c r="M134" s="913">
        <v>45992</v>
      </c>
      <c r="N134" s="917" t="s">
        <v>798</v>
      </c>
      <c r="O134" s="915">
        <v>35.088999999999999</v>
      </c>
      <c r="P134" s="915" t="s">
        <v>792</v>
      </c>
      <c r="Q134" s="913">
        <v>46023</v>
      </c>
      <c r="R134" s="912">
        <v>46035</v>
      </c>
      <c r="S134" s="911" t="e">
        <f>VLOOKUP(B134,#REF!,4,0)</f>
        <v>#REF!</v>
      </c>
    </row>
    <row r="135" spans="1:19" ht="18" x14ac:dyDescent="0.25">
      <c r="A135" s="915">
        <v>133</v>
      </c>
      <c r="B135" s="915" t="s">
        <v>325</v>
      </c>
      <c r="C135" s="916" t="s">
        <v>217</v>
      </c>
      <c r="D135" s="915" t="s">
        <v>547</v>
      </c>
      <c r="E135" s="915" t="s">
        <v>794</v>
      </c>
      <c r="F135" s="915" t="s">
        <v>798</v>
      </c>
      <c r="G135" s="915" t="s">
        <v>798</v>
      </c>
      <c r="H135" s="915" t="s">
        <v>792</v>
      </c>
      <c r="I135" s="913">
        <v>45979</v>
      </c>
      <c r="J135" s="913">
        <v>45991</v>
      </c>
      <c r="K135" s="915" t="s">
        <v>89</v>
      </c>
      <c r="L135" s="915" t="s">
        <v>808</v>
      </c>
      <c r="M135" s="913">
        <v>46010</v>
      </c>
      <c r="N135" s="917" t="s">
        <v>798</v>
      </c>
      <c r="O135" s="915">
        <v>35.088999999999999</v>
      </c>
      <c r="P135" s="915" t="s">
        <v>792</v>
      </c>
      <c r="Q135" s="913">
        <v>46016</v>
      </c>
      <c r="R135" s="912">
        <v>46030</v>
      </c>
      <c r="S135" s="911" t="e">
        <f>VLOOKUP(B135,#REF!,4,0)</f>
        <v>#REF!</v>
      </c>
    </row>
    <row r="136" spans="1:19" ht="18" x14ac:dyDescent="0.25">
      <c r="A136" s="915">
        <v>134</v>
      </c>
      <c r="B136" s="915" t="s">
        <v>326</v>
      </c>
      <c r="C136" s="916" t="s">
        <v>217</v>
      </c>
      <c r="D136" s="915" t="s">
        <v>92</v>
      </c>
      <c r="E136" s="915" t="s">
        <v>794</v>
      </c>
      <c r="F136" s="915" t="s">
        <v>798</v>
      </c>
      <c r="G136" s="915" t="s">
        <v>798</v>
      </c>
      <c r="H136" s="915" t="s">
        <v>792</v>
      </c>
      <c r="I136" s="913">
        <v>45968</v>
      </c>
      <c r="J136" s="913">
        <v>45980</v>
      </c>
      <c r="K136" s="915" t="s">
        <v>89</v>
      </c>
      <c r="L136" s="915" t="s">
        <v>806</v>
      </c>
      <c r="M136" s="913">
        <v>46153</v>
      </c>
      <c r="N136" s="917" t="s">
        <v>798</v>
      </c>
      <c r="O136" s="915">
        <v>35.088999999999999</v>
      </c>
      <c r="P136" s="915" t="s">
        <v>792</v>
      </c>
      <c r="Q136" s="913">
        <v>46013</v>
      </c>
      <c r="R136" s="912">
        <v>46022</v>
      </c>
      <c r="S136" s="911" t="e">
        <f>VLOOKUP(B136,#REF!,4,0)</f>
        <v>#REF!</v>
      </c>
    </row>
    <row r="137" spans="1:19" ht="18" x14ac:dyDescent="0.25">
      <c r="A137" s="915">
        <v>135</v>
      </c>
      <c r="B137" s="915" t="s">
        <v>327</v>
      </c>
      <c r="C137" s="916" t="s">
        <v>217</v>
      </c>
      <c r="D137" s="915" t="s">
        <v>547</v>
      </c>
      <c r="E137" s="915" t="s">
        <v>794</v>
      </c>
      <c r="F137" s="915" t="s">
        <v>798</v>
      </c>
      <c r="G137" s="915" t="s">
        <v>798</v>
      </c>
      <c r="H137" s="915" t="s">
        <v>792</v>
      </c>
      <c r="I137" s="913">
        <v>45917</v>
      </c>
      <c r="J137" s="913">
        <v>45961</v>
      </c>
      <c r="K137" s="915" t="s">
        <v>695</v>
      </c>
      <c r="L137" s="915"/>
      <c r="M137" s="913"/>
      <c r="N137" s="917" t="s">
        <v>798</v>
      </c>
      <c r="O137" s="915">
        <v>35.088999999999999</v>
      </c>
      <c r="P137" s="915" t="s">
        <v>792</v>
      </c>
      <c r="Q137" s="913">
        <v>46029</v>
      </c>
      <c r="R137" s="912">
        <v>46038</v>
      </c>
      <c r="S137" s="911" t="e">
        <f>VLOOKUP(B137,#REF!,4,0)</f>
        <v>#REF!</v>
      </c>
    </row>
    <row r="138" spans="1:19" ht="18" x14ac:dyDescent="0.25">
      <c r="A138" s="915">
        <v>136</v>
      </c>
      <c r="B138" s="915" t="s">
        <v>328</v>
      </c>
      <c r="C138" s="916" t="s">
        <v>217</v>
      </c>
      <c r="D138" s="915" t="s">
        <v>88</v>
      </c>
      <c r="E138" s="915" t="s">
        <v>794</v>
      </c>
      <c r="F138" s="915" t="s">
        <v>798</v>
      </c>
      <c r="G138" s="915" t="s">
        <v>798</v>
      </c>
      <c r="H138" s="915"/>
      <c r="I138" s="913"/>
      <c r="J138" s="913"/>
      <c r="K138" s="915"/>
      <c r="L138" s="915"/>
      <c r="M138" s="913"/>
      <c r="N138" s="917" t="s">
        <v>798</v>
      </c>
      <c r="O138" s="915">
        <v>35.088999999999999</v>
      </c>
      <c r="P138" s="915"/>
      <c r="Q138" s="913"/>
      <c r="R138" s="912"/>
      <c r="S138" s="911"/>
    </row>
    <row r="139" spans="1:19" ht="18" x14ac:dyDescent="0.25">
      <c r="A139" s="915">
        <v>137</v>
      </c>
      <c r="B139" s="915" t="s">
        <v>329</v>
      </c>
      <c r="C139" s="916" t="s">
        <v>217</v>
      </c>
      <c r="D139" s="915" t="s">
        <v>88</v>
      </c>
      <c r="E139" s="915" t="s">
        <v>794</v>
      </c>
      <c r="F139" s="915" t="s">
        <v>798</v>
      </c>
      <c r="G139" s="915" t="s">
        <v>798</v>
      </c>
      <c r="H139" s="915" t="s">
        <v>792</v>
      </c>
      <c r="I139" s="913">
        <v>45988</v>
      </c>
      <c r="J139" s="913">
        <v>46003</v>
      </c>
      <c r="K139" s="915" t="s">
        <v>89</v>
      </c>
      <c r="L139" s="915" t="s">
        <v>808</v>
      </c>
      <c r="M139" s="913">
        <v>46011</v>
      </c>
      <c r="N139" s="917" t="s">
        <v>798</v>
      </c>
      <c r="O139" s="915">
        <v>35.088999999999999</v>
      </c>
      <c r="P139" s="915" t="s">
        <v>792</v>
      </c>
      <c r="Q139" s="913"/>
      <c r="R139" s="912"/>
      <c r="S139" s="911"/>
    </row>
    <row r="140" spans="1:19" ht="18" x14ac:dyDescent="0.25">
      <c r="A140" s="915">
        <v>138</v>
      </c>
      <c r="B140" s="915" t="s">
        <v>330</v>
      </c>
      <c r="C140" s="916" t="s">
        <v>217</v>
      </c>
      <c r="D140" s="915" t="s">
        <v>92</v>
      </c>
      <c r="E140" s="915" t="s">
        <v>794</v>
      </c>
      <c r="F140" s="915" t="s">
        <v>798</v>
      </c>
      <c r="G140" s="915" t="s">
        <v>798</v>
      </c>
      <c r="H140" s="915" t="s">
        <v>792</v>
      </c>
      <c r="I140" s="913">
        <v>45963</v>
      </c>
      <c r="J140" s="913">
        <v>45970</v>
      </c>
      <c r="K140" s="915" t="s">
        <v>695</v>
      </c>
      <c r="L140" s="915" t="s">
        <v>806</v>
      </c>
      <c r="M140" s="913">
        <v>46153</v>
      </c>
      <c r="N140" s="917" t="s">
        <v>798</v>
      </c>
      <c r="O140" s="915">
        <v>35.088999999999999</v>
      </c>
      <c r="P140" s="915" t="s">
        <v>792</v>
      </c>
      <c r="Q140" s="913">
        <v>46039</v>
      </c>
      <c r="R140" s="912">
        <v>46043</v>
      </c>
      <c r="S140" s="911" t="e">
        <f>VLOOKUP(B140,#REF!,4,0)</f>
        <v>#REF!</v>
      </c>
    </row>
    <row r="141" spans="1:19" ht="18" x14ac:dyDescent="0.25">
      <c r="A141" s="915">
        <v>139</v>
      </c>
      <c r="B141" s="915" t="s">
        <v>331</v>
      </c>
      <c r="C141" s="916" t="s">
        <v>217</v>
      </c>
      <c r="D141" s="915" t="s">
        <v>92</v>
      </c>
      <c r="E141" s="915" t="s">
        <v>794</v>
      </c>
      <c r="F141" s="915" t="s">
        <v>798</v>
      </c>
      <c r="G141" s="915" t="s">
        <v>798</v>
      </c>
      <c r="H141" s="915" t="s">
        <v>792</v>
      </c>
      <c r="I141" s="913">
        <v>45963</v>
      </c>
      <c r="J141" s="913">
        <v>45974</v>
      </c>
      <c r="K141" s="915" t="s">
        <v>89</v>
      </c>
      <c r="L141" s="915" t="s">
        <v>806</v>
      </c>
      <c r="M141" s="913">
        <v>46152</v>
      </c>
      <c r="N141" s="917" t="s">
        <v>798</v>
      </c>
      <c r="O141" s="915">
        <v>35.088999999999999</v>
      </c>
      <c r="P141" s="915" t="s">
        <v>792</v>
      </c>
      <c r="Q141" s="913"/>
      <c r="R141" s="912"/>
      <c r="S141" s="911"/>
    </row>
    <row r="142" spans="1:19" ht="18" x14ac:dyDescent="0.25">
      <c r="A142" s="915">
        <v>140</v>
      </c>
      <c r="B142" s="915" t="s">
        <v>332</v>
      </c>
      <c r="C142" s="916" t="s">
        <v>217</v>
      </c>
      <c r="D142" s="915" t="s">
        <v>92</v>
      </c>
      <c r="E142" s="915" t="s">
        <v>794</v>
      </c>
      <c r="F142" s="915" t="s">
        <v>798</v>
      </c>
      <c r="G142" s="915" t="s">
        <v>798</v>
      </c>
      <c r="H142" s="915" t="s">
        <v>792</v>
      </c>
      <c r="I142" s="913">
        <v>46055</v>
      </c>
      <c r="J142" s="913">
        <v>46063</v>
      </c>
      <c r="K142" s="915" t="s">
        <v>89</v>
      </c>
      <c r="L142" s="915" t="s">
        <v>806</v>
      </c>
      <c r="M142" s="913">
        <v>46066</v>
      </c>
      <c r="N142" s="917" t="s">
        <v>798</v>
      </c>
      <c r="O142" s="915">
        <v>35.088999999999999</v>
      </c>
      <c r="P142" s="915" t="s">
        <v>792</v>
      </c>
      <c r="Q142" s="913">
        <v>46077</v>
      </c>
      <c r="R142" s="912">
        <v>46081</v>
      </c>
      <c r="S142" s="911" t="e">
        <f>VLOOKUP(B142,#REF!,4,0)</f>
        <v>#REF!</v>
      </c>
    </row>
    <row r="143" spans="1:19" ht="18" x14ac:dyDescent="0.25">
      <c r="A143" s="915">
        <v>141</v>
      </c>
      <c r="B143" s="915" t="s">
        <v>333</v>
      </c>
      <c r="C143" s="916" t="s">
        <v>218</v>
      </c>
      <c r="D143" s="915" t="s">
        <v>547</v>
      </c>
      <c r="E143" s="915" t="s">
        <v>794</v>
      </c>
      <c r="F143" s="915" t="s">
        <v>798</v>
      </c>
      <c r="G143" s="915" t="s">
        <v>798</v>
      </c>
      <c r="H143" s="915" t="s">
        <v>792</v>
      </c>
      <c r="I143" s="913">
        <v>45957</v>
      </c>
      <c r="J143" s="913">
        <v>45966</v>
      </c>
      <c r="K143" s="915" t="s">
        <v>695</v>
      </c>
      <c r="L143" s="915"/>
      <c r="M143" s="913"/>
      <c r="N143" s="917" t="s">
        <v>798</v>
      </c>
      <c r="O143" s="915">
        <v>36.771000000000001</v>
      </c>
      <c r="P143" s="915" t="s">
        <v>792</v>
      </c>
      <c r="Q143" s="913">
        <v>46048</v>
      </c>
      <c r="R143" s="912">
        <v>46052</v>
      </c>
      <c r="S143" s="911" t="e">
        <f>VLOOKUP(B143,#REF!,4,0)</f>
        <v>#REF!</v>
      </c>
    </row>
    <row r="144" spans="1:19" ht="18" x14ac:dyDescent="0.25">
      <c r="A144" s="915">
        <v>142</v>
      </c>
      <c r="B144" s="915" t="s">
        <v>461</v>
      </c>
      <c r="C144" s="916" t="s">
        <v>219</v>
      </c>
      <c r="D144" s="915" t="s">
        <v>546</v>
      </c>
      <c r="E144" s="915" t="s">
        <v>798</v>
      </c>
      <c r="F144" s="915" t="s">
        <v>795</v>
      </c>
      <c r="G144" s="915" t="s">
        <v>798</v>
      </c>
      <c r="H144" s="915"/>
      <c r="I144" s="913"/>
      <c r="J144" s="913"/>
      <c r="K144" s="915"/>
      <c r="L144" s="915"/>
      <c r="M144" s="913"/>
      <c r="N144" s="917" t="s">
        <v>798</v>
      </c>
      <c r="O144" s="915">
        <v>62.500999999999998</v>
      </c>
      <c r="P144" s="915"/>
      <c r="Q144" s="913"/>
      <c r="R144" s="912"/>
      <c r="S144" s="911"/>
    </row>
    <row r="145" spans="1:19" ht="18" x14ac:dyDescent="0.25">
      <c r="A145" s="915">
        <v>143</v>
      </c>
      <c r="B145" s="915" t="s">
        <v>334</v>
      </c>
      <c r="C145" s="916" t="s">
        <v>218</v>
      </c>
      <c r="D145" s="915" t="s">
        <v>546</v>
      </c>
      <c r="E145" s="915" t="s">
        <v>798</v>
      </c>
      <c r="F145" s="915" t="s">
        <v>798</v>
      </c>
      <c r="G145" s="915" t="s">
        <v>798</v>
      </c>
      <c r="H145" s="915"/>
      <c r="I145" s="913"/>
      <c r="J145" s="913"/>
      <c r="K145" s="915"/>
      <c r="L145" s="915"/>
      <c r="M145" s="913"/>
      <c r="N145" s="917" t="s">
        <v>798</v>
      </c>
      <c r="O145" s="915">
        <v>36.771000000000001</v>
      </c>
      <c r="P145" s="915"/>
      <c r="Q145" s="913"/>
      <c r="R145" s="912"/>
      <c r="S145" s="911"/>
    </row>
    <row r="146" spans="1:19" ht="18" x14ac:dyDescent="0.25">
      <c r="A146" s="915">
        <v>144</v>
      </c>
      <c r="B146" s="915" t="s">
        <v>335</v>
      </c>
      <c r="C146" s="916" t="s">
        <v>218</v>
      </c>
      <c r="D146" s="915" t="s">
        <v>546</v>
      </c>
      <c r="E146" s="915" t="s">
        <v>794</v>
      </c>
      <c r="F146" s="915" t="s">
        <v>798</v>
      </c>
      <c r="G146" s="915" t="s">
        <v>798</v>
      </c>
      <c r="H146" s="915"/>
      <c r="I146" s="913"/>
      <c r="J146" s="913"/>
      <c r="K146" s="915"/>
      <c r="L146" s="915"/>
      <c r="M146" s="913"/>
      <c r="N146" s="917"/>
      <c r="O146" s="915"/>
      <c r="P146" s="915"/>
      <c r="Q146" s="913"/>
      <c r="R146" s="912"/>
      <c r="S146" s="911"/>
    </row>
    <row r="147" spans="1:19" ht="18" x14ac:dyDescent="0.25">
      <c r="A147" s="915">
        <v>145</v>
      </c>
      <c r="B147" s="915" t="s">
        <v>336</v>
      </c>
      <c r="C147" s="916" t="s">
        <v>217</v>
      </c>
      <c r="D147" s="915" t="s">
        <v>547</v>
      </c>
      <c r="E147" s="915" t="s">
        <v>794</v>
      </c>
      <c r="F147" s="915" t="s">
        <v>798</v>
      </c>
      <c r="G147" s="915" t="s">
        <v>798</v>
      </c>
      <c r="H147" s="915" t="s">
        <v>792</v>
      </c>
      <c r="I147" s="913">
        <v>46048</v>
      </c>
      <c r="J147" s="913">
        <v>46059</v>
      </c>
      <c r="K147" s="915" t="s">
        <v>89</v>
      </c>
      <c r="L147" s="915" t="s">
        <v>808</v>
      </c>
      <c r="M147" s="913">
        <v>46067</v>
      </c>
      <c r="N147" s="917" t="s">
        <v>798</v>
      </c>
      <c r="O147" s="915">
        <v>35.088999999999999</v>
      </c>
      <c r="P147" s="915" t="s">
        <v>792</v>
      </c>
      <c r="Q147" s="913"/>
      <c r="R147" s="912"/>
      <c r="S147" s="911"/>
    </row>
    <row r="148" spans="1:19" ht="18" x14ac:dyDescent="0.25">
      <c r="A148" s="915">
        <v>146</v>
      </c>
      <c r="B148" s="915" t="s">
        <v>463</v>
      </c>
      <c r="C148" s="916" t="s">
        <v>219</v>
      </c>
      <c r="D148" s="915" t="s">
        <v>92</v>
      </c>
      <c r="E148" s="915" t="s">
        <v>794</v>
      </c>
      <c r="F148" s="915" t="s">
        <v>795</v>
      </c>
      <c r="G148" s="915" t="s">
        <v>798</v>
      </c>
      <c r="H148" s="915"/>
      <c r="I148" s="913"/>
      <c r="J148" s="913"/>
      <c r="K148" s="915"/>
      <c r="L148" s="915"/>
      <c r="M148" s="913"/>
      <c r="N148" s="917" t="s">
        <v>798</v>
      </c>
      <c r="O148" s="915">
        <v>62.500999999999998</v>
      </c>
      <c r="P148" s="915"/>
      <c r="Q148" s="913"/>
      <c r="R148" s="912"/>
      <c r="S148" s="911"/>
    </row>
    <row r="149" spans="1:19" ht="18" x14ac:dyDescent="0.25">
      <c r="A149" s="915">
        <v>147</v>
      </c>
      <c r="B149" s="915" t="s">
        <v>337</v>
      </c>
      <c r="C149" s="916" t="s">
        <v>218</v>
      </c>
      <c r="D149" s="915" t="s">
        <v>669</v>
      </c>
      <c r="E149" s="915" t="s">
        <v>794</v>
      </c>
      <c r="F149" s="915" t="s">
        <v>798</v>
      </c>
      <c r="G149" s="915" t="s">
        <v>798</v>
      </c>
      <c r="H149" s="915" t="s">
        <v>792</v>
      </c>
      <c r="I149" s="913">
        <v>45997</v>
      </c>
      <c r="J149" s="913">
        <v>46016</v>
      </c>
      <c r="K149" s="915" t="s">
        <v>89</v>
      </c>
      <c r="L149" s="915" t="s">
        <v>808</v>
      </c>
      <c r="M149" s="913">
        <v>46020</v>
      </c>
      <c r="N149" s="917" t="s">
        <v>798</v>
      </c>
      <c r="O149" s="915">
        <v>36.771000000000001</v>
      </c>
      <c r="P149" s="915" t="s">
        <v>792</v>
      </c>
      <c r="Q149" s="913"/>
      <c r="R149" s="912"/>
      <c r="S149" s="911"/>
    </row>
    <row r="150" spans="1:19" ht="18" x14ac:dyDescent="0.25">
      <c r="A150" s="915">
        <v>148</v>
      </c>
      <c r="B150" s="915" t="s">
        <v>338</v>
      </c>
      <c r="C150" s="916" t="s">
        <v>216</v>
      </c>
      <c r="D150" s="915" t="s">
        <v>92</v>
      </c>
      <c r="E150" s="915" t="s">
        <v>794</v>
      </c>
      <c r="F150" s="915" t="s">
        <v>798</v>
      </c>
      <c r="G150" s="915" t="s">
        <v>798</v>
      </c>
      <c r="H150" s="915" t="s">
        <v>792</v>
      </c>
      <c r="I150" s="913">
        <v>46017</v>
      </c>
      <c r="J150" s="913">
        <v>46027</v>
      </c>
      <c r="K150" s="915" t="s">
        <v>89</v>
      </c>
      <c r="L150" s="915" t="s">
        <v>806</v>
      </c>
      <c r="M150" s="913">
        <v>46129</v>
      </c>
      <c r="N150" s="917" t="s">
        <v>798</v>
      </c>
      <c r="O150" s="915">
        <v>41.88</v>
      </c>
      <c r="P150" s="915" t="s">
        <v>792</v>
      </c>
      <c r="Q150" s="913">
        <v>46049</v>
      </c>
      <c r="R150" s="912">
        <v>46053</v>
      </c>
      <c r="S150" s="911" t="e">
        <f>VLOOKUP(B150,#REF!,4,0)</f>
        <v>#REF!</v>
      </c>
    </row>
    <row r="151" spans="1:19" ht="18" x14ac:dyDescent="0.25">
      <c r="A151" s="915">
        <v>149</v>
      </c>
      <c r="B151" s="915" t="s">
        <v>339</v>
      </c>
      <c r="C151" s="916" t="s">
        <v>253</v>
      </c>
      <c r="D151" s="915" t="s">
        <v>92</v>
      </c>
      <c r="E151" s="915" t="s">
        <v>794</v>
      </c>
      <c r="F151" s="915" t="s">
        <v>798</v>
      </c>
      <c r="G151" s="915" t="s">
        <v>798</v>
      </c>
      <c r="H151" s="915" t="s">
        <v>792</v>
      </c>
      <c r="I151" s="913">
        <v>46010</v>
      </c>
      <c r="J151" s="913">
        <v>46021</v>
      </c>
      <c r="K151" s="915" t="s">
        <v>89</v>
      </c>
      <c r="L151" s="915" t="s">
        <v>806</v>
      </c>
      <c r="M151" s="913">
        <v>46129</v>
      </c>
      <c r="N151" s="917" t="s">
        <v>798</v>
      </c>
      <c r="O151" s="915">
        <v>43.575000000000003</v>
      </c>
      <c r="P151" s="915" t="s">
        <v>792</v>
      </c>
      <c r="Q151" s="913">
        <v>46054</v>
      </c>
      <c r="R151" s="912">
        <v>46057</v>
      </c>
      <c r="S151" s="911" t="e">
        <f>VLOOKUP(B151,#REF!,4,0)</f>
        <v>#REF!</v>
      </c>
    </row>
    <row r="152" spans="1:19" ht="18" x14ac:dyDescent="0.25">
      <c r="A152" s="915">
        <v>150</v>
      </c>
      <c r="B152" s="915" t="s">
        <v>464</v>
      </c>
      <c r="C152" s="916" t="s">
        <v>316</v>
      </c>
      <c r="D152" s="915" t="s">
        <v>92</v>
      </c>
      <c r="E152" s="915" t="s">
        <v>798</v>
      </c>
      <c r="F152" s="915"/>
      <c r="G152" s="915" t="s">
        <v>798</v>
      </c>
      <c r="H152" s="915"/>
      <c r="I152" s="913"/>
      <c r="J152" s="913"/>
      <c r="K152" s="915"/>
      <c r="L152" s="915"/>
      <c r="M152" s="913"/>
      <c r="N152" s="917" t="s">
        <v>798</v>
      </c>
      <c r="O152" s="915">
        <v>66.436000000000007</v>
      </c>
      <c r="P152" s="915"/>
      <c r="Q152" s="913"/>
      <c r="R152" s="912"/>
      <c r="S152" s="911"/>
    </row>
    <row r="153" spans="1:19" ht="18" x14ac:dyDescent="0.25">
      <c r="A153" s="915">
        <v>151</v>
      </c>
      <c r="B153" s="915" t="s">
        <v>94</v>
      </c>
      <c r="C153" s="916" t="s">
        <v>216</v>
      </c>
      <c r="D153" s="915" t="s">
        <v>546</v>
      </c>
      <c r="E153" s="915" t="s">
        <v>794</v>
      </c>
      <c r="F153" s="915" t="s">
        <v>798</v>
      </c>
      <c r="G153" s="915" t="s">
        <v>798</v>
      </c>
      <c r="H153" s="915" t="s">
        <v>792</v>
      </c>
      <c r="I153" s="913">
        <v>45898</v>
      </c>
      <c r="J153" s="913">
        <v>45940</v>
      </c>
      <c r="K153" s="915" t="s">
        <v>89</v>
      </c>
      <c r="L153" s="915" t="s">
        <v>806</v>
      </c>
      <c r="M153" s="913">
        <v>46021</v>
      </c>
      <c r="N153" s="917" t="s">
        <v>798</v>
      </c>
      <c r="O153" s="915">
        <v>41.88</v>
      </c>
      <c r="P153" s="915" t="s">
        <v>792</v>
      </c>
      <c r="Q153" s="913">
        <v>46041</v>
      </c>
      <c r="R153" s="912">
        <v>46047</v>
      </c>
      <c r="S153" s="911" t="e">
        <f>VLOOKUP(B153,#REF!,4,0)</f>
        <v>#REF!</v>
      </c>
    </row>
    <row r="154" spans="1:19" ht="18" x14ac:dyDescent="0.25">
      <c r="A154" s="915">
        <v>152</v>
      </c>
      <c r="B154" s="915" t="s">
        <v>340</v>
      </c>
      <c r="C154" s="916" t="s">
        <v>253</v>
      </c>
      <c r="D154" s="915" t="s">
        <v>546</v>
      </c>
      <c r="E154" s="915" t="s">
        <v>794</v>
      </c>
      <c r="F154" s="915" t="s">
        <v>798</v>
      </c>
      <c r="G154" s="915" t="s">
        <v>798</v>
      </c>
      <c r="H154" s="915"/>
      <c r="I154" s="913"/>
      <c r="J154" s="913"/>
      <c r="K154" s="915"/>
      <c r="L154" s="915"/>
      <c r="M154" s="913"/>
      <c r="N154" s="917" t="s">
        <v>798</v>
      </c>
      <c r="O154" s="915">
        <v>43.575000000000003</v>
      </c>
      <c r="P154" s="915"/>
      <c r="Q154" s="913"/>
      <c r="R154" s="912"/>
      <c r="S154" s="911"/>
    </row>
    <row r="155" spans="1:19" ht="18" x14ac:dyDescent="0.25">
      <c r="A155" s="915">
        <v>153</v>
      </c>
      <c r="B155" s="915" t="s">
        <v>341</v>
      </c>
      <c r="C155" s="916" t="s">
        <v>569</v>
      </c>
      <c r="D155" s="915" t="s">
        <v>546</v>
      </c>
      <c r="E155" s="915" t="s">
        <v>794</v>
      </c>
      <c r="F155" s="915" t="s">
        <v>798</v>
      </c>
      <c r="G155" s="915" t="s">
        <v>798</v>
      </c>
      <c r="H155" s="915"/>
      <c r="I155" s="913"/>
      <c r="J155" s="913"/>
      <c r="K155" s="915"/>
      <c r="L155" s="915"/>
      <c r="M155" s="913"/>
      <c r="N155" s="917" t="s">
        <v>798</v>
      </c>
      <c r="O155" s="915">
        <v>57.484000000000002</v>
      </c>
      <c r="P155" s="915"/>
      <c r="Q155" s="913"/>
      <c r="R155" s="912"/>
      <c r="S155" s="911"/>
    </row>
    <row r="156" spans="1:19" ht="18" x14ac:dyDescent="0.25">
      <c r="A156" s="915">
        <v>154</v>
      </c>
      <c r="B156" s="915" t="s">
        <v>342</v>
      </c>
      <c r="C156" s="916" t="s">
        <v>218</v>
      </c>
      <c r="D156" s="915" t="s">
        <v>546</v>
      </c>
      <c r="E156" s="915" t="s">
        <v>794</v>
      </c>
      <c r="F156" s="915" t="s">
        <v>798</v>
      </c>
      <c r="G156" s="915" t="s">
        <v>798</v>
      </c>
      <c r="H156" s="915" t="s">
        <v>792</v>
      </c>
      <c r="I156" s="913">
        <v>45923</v>
      </c>
      <c r="J156" s="913">
        <v>45957</v>
      </c>
      <c r="K156" s="915" t="s">
        <v>89</v>
      </c>
      <c r="L156" s="915"/>
      <c r="M156" s="913"/>
      <c r="N156" s="917" t="s">
        <v>798</v>
      </c>
      <c r="O156" s="915">
        <v>36.771000000000001</v>
      </c>
      <c r="P156" s="915" t="s">
        <v>792</v>
      </c>
      <c r="Q156" s="913"/>
      <c r="R156" s="912"/>
      <c r="S156" s="911"/>
    </row>
    <row r="157" spans="1:19" ht="18" x14ac:dyDescent="0.25">
      <c r="A157" s="915">
        <v>155</v>
      </c>
      <c r="B157" s="915" t="s">
        <v>96</v>
      </c>
      <c r="C157" s="916" t="s">
        <v>217</v>
      </c>
      <c r="D157" s="915" t="s">
        <v>547</v>
      </c>
      <c r="E157" s="915" t="s">
        <v>794</v>
      </c>
      <c r="F157" s="915" t="s">
        <v>798</v>
      </c>
      <c r="G157" s="915" t="s">
        <v>798</v>
      </c>
      <c r="H157" s="915" t="s">
        <v>792</v>
      </c>
      <c r="I157" s="913">
        <v>45902</v>
      </c>
      <c r="J157" s="913">
        <v>45918</v>
      </c>
      <c r="K157" s="915" t="s">
        <v>89</v>
      </c>
      <c r="L157" s="915" t="s">
        <v>808</v>
      </c>
      <c r="M157" s="913">
        <v>45924</v>
      </c>
      <c r="N157" s="917" t="s">
        <v>798</v>
      </c>
      <c r="O157" s="915">
        <v>35.088999999999999</v>
      </c>
      <c r="P157" s="915" t="s">
        <v>792</v>
      </c>
      <c r="Q157" s="913">
        <v>46037</v>
      </c>
      <c r="R157" s="912">
        <v>46042</v>
      </c>
      <c r="S157" s="911" t="e">
        <f>VLOOKUP(B157,#REF!,4,0)</f>
        <v>#REF!</v>
      </c>
    </row>
    <row r="158" spans="1:19" ht="18" x14ac:dyDescent="0.25">
      <c r="A158" s="915">
        <v>156</v>
      </c>
      <c r="B158" s="915" t="s">
        <v>466</v>
      </c>
      <c r="C158" s="916" t="s">
        <v>297</v>
      </c>
      <c r="D158" s="915" t="s">
        <v>92</v>
      </c>
      <c r="E158" s="915" t="s">
        <v>798</v>
      </c>
      <c r="F158" s="915" t="s">
        <v>795</v>
      </c>
      <c r="G158" s="915" t="s">
        <v>798</v>
      </c>
      <c r="H158" s="915"/>
      <c r="I158" s="913"/>
      <c r="J158" s="913"/>
      <c r="K158" s="915"/>
      <c r="L158" s="915"/>
      <c r="M158" s="913"/>
      <c r="N158" s="917" t="s">
        <v>798</v>
      </c>
      <c r="O158" s="915">
        <v>83.715999999999994</v>
      </c>
      <c r="P158" s="915"/>
      <c r="Q158" s="913"/>
      <c r="R158" s="912"/>
      <c r="S158" s="911"/>
    </row>
    <row r="159" spans="1:19" ht="18" x14ac:dyDescent="0.25">
      <c r="A159" s="915">
        <v>157</v>
      </c>
      <c r="B159" s="915" t="s">
        <v>93</v>
      </c>
      <c r="C159" s="916" t="s">
        <v>217</v>
      </c>
      <c r="D159" s="915" t="s">
        <v>92</v>
      </c>
      <c r="E159" s="915" t="s">
        <v>794</v>
      </c>
      <c r="F159" s="915" t="s">
        <v>798</v>
      </c>
      <c r="G159" s="915" t="s">
        <v>798</v>
      </c>
      <c r="H159" s="915" t="s">
        <v>792</v>
      </c>
      <c r="I159" s="913">
        <v>45892</v>
      </c>
      <c r="J159" s="913">
        <v>45913</v>
      </c>
      <c r="K159" s="915" t="s">
        <v>89</v>
      </c>
      <c r="L159" s="915" t="s">
        <v>806</v>
      </c>
      <c r="M159" s="913">
        <v>46151</v>
      </c>
      <c r="N159" s="917" t="s">
        <v>798</v>
      </c>
      <c r="O159" s="915">
        <v>35.088999999999999</v>
      </c>
      <c r="P159" s="915" t="s">
        <v>792</v>
      </c>
      <c r="Q159" s="913">
        <v>46063</v>
      </c>
      <c r="R159" s="912">
        <v>46066</v>
      </c>
      <c r="S159" s="911" t="e">
        <f>VLOOKUP(B159,#REF!,4,0)</f>
        <v>#REF!</v>
      </c>
    </row>
    <row r="160" spans="1:19" ht="18" x14ac:dyDescent="0.25">
      <c r="A160" s="915">
        <v>158</v>
      </c>
      <c r="B160" s="915" t="s">
        <v>90</v>
      </c>
      <c r="C160" s="916" t="s">
        <v>218</v>
      </c>
      <c r="D160" s="915" t="s">
        <v>92</v>
      </c>
      <c r="E160" s="915" t="s">
        <v>794</v>
      </c>
      <c r="F160" s="915" t="s">
        <v>798</v>
      </c>
      <c r="G160" s="915" t="s">
        <v>798</v>
      </c>
      <c r="H160" s="915" t="s">
        <v>792</v>
      </c>
      <c r="I160" s="913">
        <v>45854</v>
      </c>
      <c r="J160" s="913">
        <v>45876</v>
      </c>
      <c r="K160" s="915" t="s">
        <v>89</v>
      </c>
      <c r="L160" s="915" t="s">
        <v>806</v>
      </c>
      <c r="M160" s="913">
        <v>46151</v>
      </c>
      <c r="N160" s="917" t="s">
        <v>798</v>
      </c>
      <c r="O160" s="915">
        <v>36.771000000000001</v>
      </c>
      <c r="P160" s="915" t="s">
        <v>792</v>
      </c>
      <c r="Q160" s="913"/>
      <c r="R160" s="912"/>
      <c r="S160" s="911"/>
    </row>
    <row r="161" spans="1:19" ht="18" x14ac:dyDescent="0.25">
      <c r="A161" s="915">
        <v>159</v>
      </c>
      <c r="B161" s="915" t="s">
        <v>343</v>
      </c>
      <c r="C161" s="916" t="s">
        <v>217</v>
      </c>
      <c r="D161" s="915" t="s">
        <v>546</v>
      </c>
      <c r="E161" s="915" t="s">
        <v>794</v>
      </c>
      <c r="F161" s="915" t="s">
        <v>798</v>
      </c>
      <c r="G161" s="915" t="s">
        <v>798</v>
      </c>
      <c r="H161" s="915"/>
      <c r="I161" s="913"/>
      <c r="J161" s="913"/>
      <c r="K161" s="915"/>
      <c r="L161" s="915"/>
      <c r="M161" s="913"/>
      <c r="N161" s="917" t="s">
        <v>798</v>
      </c>
      <c r="O161" s="915">
        <v>35.088999999999999</v>
      </c>
      <c r="P161" s="915"/>
      <c r="Q161" s="913"/>
      <c r="R161" s="912"/>
      <c r="S161" s="911"/>
    </row>
    <row r="162" spans="1:19" ht="18" x14ac:dyDescent="0.25">
      <c r="A162" s="915">
        <v>160</v>
      </c>
      <c r="B162" s="915" t="s">
        <v>467</v>
      </c>
      <c r="C162" s="916" t="s">
        <v>274</v>
      </c>
      <c r="D162" s="915" t="s">
        <v>546</v>
      </c>
      <c r="E162" s="915" t="s">
        <v>794</v>
      </c>
      <c r="F162" s="915" t="s">
        <v>795</v>
      </c>
      <c r="G162" s="915" t="s">
        <v>794</v>
      </c>
      <c r="H162" s="915"/>
      <c r="I162" s="913"/>
      <c r="J162" s="913"/>
      <c r="K162" s="915"/>
      <c r="L162" s="915"/>
      <c r="M162" s="913"/>
      <c r="N162" s="917" t="s">
        <v>798</v>
      </c>
      <c r="O162" s="915">
        <v>75.873999999999995</v>
      </c>
      <c r="P162" s="915"/>
      <c r="Q162" s="913"/>
      <c r="R162" s="912"/>
      <c r="S162" s="911"/>
    </row>
    <row r="163" spans="1:19" ht="18" x14ac:dyDescent="0.25">
      <c r="A163" s="915">
        <v>161</v>
      </c>
      <c r="B163" s="915" t="s">
        <v>86</v>
      </c>
      <c r="C163" s="916" t="s">
        <v>217</v>
      </c>
      <c r="D163" s="915" t="s">
        <v>88</v>
      </c>
      <c r="E163" s="915" t="s">
        <v>794</v>
      </c>
      <c r="F163" s="915" t="s">
        <v>798</v>
      </c>
      <c r="G163" s="915" t="s">
        <v>798</v>
      </c>
      <c r="H163" s="915" t="s">
        <v>792</v>
      </c>
      <c r="I163" s="913">
        <v>45849</v>
      </c>
      <c r="J163" s="913">
        <v>45891</v>
      </c>
      <c r="K163" s="915" t="s">
        <v>89</v>
      </c>
      <c r="L163" s="915" t="s">
        <v>808</v>
      </c>
      <c r="M163" s="913">
        <v>45908</v>
      </c>
      <c r="N163" s="917" t="s">
        <v>798</v>
      </c>
      <c r="O163" s="915">
        <v>35.088999999999999</v>
      </c>
      <c r="P163" s="915" t="s">
        <v>792</v>
      </c>
      <c r="Q163" s="913">
        <v>46033</v>
      </c>
      <c r="R163" s="912">
        <v>46038</v>
      </c>
      <c r="S163" s="911" t="e">
        <f>VLOOKUP(B163,#REF!,4,0)</f>
        <v>#REF!</v>
      </c>
    </row>
    <row r="164" spans="1:19" ht="18" x14ac:dyDescent="0.25">
      <c r="A164" s="915">
        <v>162</v>
      </c>
      <c r="B164" s="915" t="s">
        <v>344</v>
      </c>
      <c r="C164" s="916" t="s">
        <v>216</v>
      </c>
      <c r="D164" s="915" t="s">
        <v>92</v>
      </c>
      <c r="E164" s="915" t="s">
        <v>798</v>
      </c>
      <c r="F164" s="915" t="s">
        <v>798</v>
      </c>
      <c r="G164" s="915" t="s">
        <v>798</v>
      </c>
      <c r="H164" s="915"/>
      <c r="I164" s="913"/>
      <c r="J164" s="913"/>
      <c r="K164" s="915"/>
      <c r="L164" s="915"/>
      <c r="M164" s="913"/>
      <c r="N164" s="917" t="s">
        <v>798</v>
      </c>
      <c r="O164" s="915">
        <v>41.88</v>
      </c>
      <c r="P164" s="915"/>
      <c r="Q164" s="913"/>
      <c r="R164" s="912"/>
      <c r="S164" s="911"/>
    </row>
    <row r="165" spans="1:19" ht="18" x14ac:dyDescent="0.25">
      <c r="A165" s="915">
        <v>163</v>
      </c>
      <c r="B165" s="915" t="s">
        <v>468</v>
      </c>
      <c r="C165" s="916" t="s">
        <v>275</v>
      </c>
      <c r="D165" s="915" t="s">
        <v>92</v>
      </c>
      <c r="E165" s="915" t="s">
        <v>794</v>
      </c>
      <c r="F165" s="915"/>
      <c r="G165" s="915" t="s">
        <v>798</v>
      </c>
      <c r="H165" s="915" t="s">
        <v>792</v>
      </c>
      <c r="I165" s="913">
        <v>46028</v>
      </c>
      <c r="J165" s="913">
        <v>46036</v>
      </c>
      <c r="K165" s="915" t="s">
        <v>89</v>
      </c>
      <c r="L165" s="915" t="s">
        <v>806</v>
      </c>
      <c r="M165" s="913">
        <v>46131</v>
      </c>
      <c r="N165" s="917" t="s">
        <v>798</v>
      </c>
      <c r="O165" s="915">
        <v>64.671999999999997</v>
      </c>
      <c r="P165" s="915" t="s">
        <v>792</v>
      </c>
      <c r="Q165" s="913"/>
      <c r="R165" s="912"/>
      <c r="S165" s="911"/>
    </row>
    <row r="166" spans="1:19" ht="18" x14ac:dyDescent="0.25">
      <c r="A166" s="915">
        <v>164</v>
      </c>
      <c r="B166" s="915" t="s">
        <v>345</v>
      </c>
      <c r="C166" s="916" t="s">
        <v>217</v>
      </c>
      <c r="D166" s="915" t="s">
        <v>92</v>
      </c>
      <c r="E166" s="915" t="s">
        <v>794</v>
      </c>
      <c r="F166" s="915" t="s">
        <v>798</v>
      </c>
      <c r="G166" s="915" t="s">
        <v>798</v>
      </c>
      <c r="H166" s="915" t="s">
        <v>792</v>
      </c>
      <c r="I166" s="913">
        <v>46061</v>
      </c>
      <c r="J166" s="913">
        <v>46068</v>
      </c>
      <c r="K166" s="915" t="s">
        <v>89</v>
      </c>
      <c r="L166" s="915" t="s">
        <v>806</v>
      </c>
      <c r="M166" s="913">
        <v>46077</v>
      </c>
      <c r="N166" s="917" t="s">
        <v>798</v>
      </c>
      <c r="O166" s="915">
        <v>35.088999999999999</v>
      </c>
      <c r="P166" s="915" t="s">
        <v>792</v>
      </c>
      <c r="Q166" s="913">
        <v>46077</v>
      </c>
      <c r="R166" s="912">
        <v>46090</v>
      </c>
      <c r="S166" s="911" t="e">
        <f>VLOOKUP(B166,#REF!,4,0)</f>
        <v>#REF!</v>
      </c>
    </row>
    <row r="167" spans="1:19" ht="18" x14ac:dyDescent="0.25">
      <c r="A167" s="915">
        <v>165</v>
      </c>
      <c r="B167" s="915" t="s">
        <v>112</v>
      </c>
      <c r="C167" s="916" t="s">
        <v>253</v>
      </c>
      <c r="D167" s="915" t="s">
        <v>92</v>
      </c>
      <c r="E167" s="915" t="s">
        <v>798</v>
      </c>
      <c r="F167" s="915" t="s">
        <v>798</v>
      </c>
      <c r="G167" s="915" t="s">
        <v>798</v>
      </c>
      <c r="H167" s="915"/>
      <c r="I167" s="913"/>
      <c r="J167" s="913"/>
      <c r="K167" s="915"/>
      <c r="L167" s="915"/>
      <c r="M167" s="913"/>
      <c r="N167" s="917" t="s">
        <v>798</v>
      </c>
      <c r="O167" s="915">
        <v>43.575000000000003</v>
      </c>
      <c r="P167" s="915"/>
      <c r="Q167" s="913"/>
      <c r="R167" s="912"/>
      <c r="S167" s="911"/>
    </row>
    <row r="168" spans="1:19" ht="18" x14ac:dyDescent="0.25">
      <c r="A168" s="915">
        <v>166</v>
      </c>
      <c r="B168" s="915" t="s">
        <v>469</v>
      </c>
      <c r="C168" s="916" t="s">
        <v>215</v>
      </c>
      <c r="D168" s="915" t="s">
        <v>92</v>
      </c>
      <c r="E168" s="915" t="s">
        <v>794</v>
      </c>
      <c r="F168" s="915" t="s">
        <v>798</v>
      </c>
      <c r="G168" s="915" t="s">
        <v>798</v>
      </c>
      <c r="H168" s="915" t="s">
        <v>792</v>
      </c>
      <c r="I168" s="913">
        <v>46044</v>
      </c>
      <c r="J168" s="913">
        <v>46048</v>
      </c>
      <c r="K168" s="915" t="s">
        <v>89</v>
      </c>
      <c r="L168" s="915" t="s">
        <v>806</v>
      </c>
      <c r="M168" s="913">
        <v>46130</v>
      </c>
      <c r="N168" s="917" t="s">
        <v>798</v>
      </c>
      <c r="O168" s="915">
        <v>54.72</v>
      </c>
      <c r="P168" s="915" t="s">
        <v>792</v>
      </c>
      <c r="Q168" s="913">
        <v>46058</v>
      </c>
      <c r="R168" s="912">
        <v>46063</v>
      </c>
      <c r="S168" s="911" t="e">
        <f>VLOOKUP(B168,#REF!,4,0)</f>
        <v>#REF!</v>
      </c>
    </row>
    <row r="169" spans="1:19" ht="18" x14ac:dyDescent="0.25">
      <c r="A169" s="915">
        <v>167</v>
      </c>
      <c r="B169" s="915" t="s">
        <v>346</v>
      </c>
      <c r="C169" s="916" t="s">
        <v>216</v>
      </c>
      <c r="D169" s="915" t="s">
        <v>547</v>
      </c>
      <c r="E169" s="915" t="s">
        <v>794</v>
      </c>
      <c r="F169" s="915" t="s">
        <v>798</v>
      </c>
      <c r="G169" s="915" t="s">
        <v>798</v>
      </c>
      <c r="H169" s="915" t="s">
        <v>792</v>
      </c>
      <c r="I169" s="913">
        <v>46026</v>
      </c>
      <c r="J169" s="913">
        <v>46034</v>
      </c>
      <c r="K169" s="915" t="s">
        <v>694</v>
      </c>
      <c r="L169" s="915" t="s">
        <v>808</v>
      </c>
      <c r="M169" s="913">
        <v>46131</v>
      </c>
      <c r="N169" s="917" t="s">
        <v>798</v>
      </c>
      <c r="O169" s="915">
        <v>41.88</v>
      </c>
      <c r="P169" s="915" t="s">
        <v>792</v>
      </c>
      <c r="Q169" s="913">
        <v>46047</v>
      </c>
      <c r="R169" s="912">
        <v>46050</v>
      </c>
      <c r="S169" s="911" t="e">
        <f>VLOOKUP(B169,#REF!,4,0)</f>
        <v>#REF!</v>
      </c>
    </row>
    <row r="170" spans="1:19" ht="18" x14ac:dyDescent="0.25">
      <c r="A170" s="915">
        <v>168</v>
      </c>
      <c r="B170" s="915" t="s">
        <v>114</v>
      </c>
      <c r="C170" s="916" t="s">
        <v>217</v>
      </c>
      <c r="D170" s="915" t="s">
        <v>92</v>
      </c>
      <c r="E170" s="915" t="s">
        <v>794</v>
      </c>
      <c r="F170" s="915" t="s">
        <v>798</v>
      </c>
      <c r="G170" s="915" t="s">
        <v>798</v>
      </c>
      <c r="H170" s="915"/>
      <c r="I170" s="913"/>
      <c r="J170" s="913"/>
      <c r="K170" s="915"/>
      <c r="L170" s="915"/>
      <c r="M170" s="913"/>
      <c r="N170" s="917" t="s">
        <v>798</v>
      </c>
      <c r="O170" s="915">
        <v>35.088999999999999</v>
      </c>
      <c r="P170" s="915"/>
      <c r="Q170" s="913"/>
      <c r="R170" s="912"/>
      <c r="S170" s="911"/>
    </row>
    <row r="171" spans="1:19" ht="18" x14ac:dyDescent="0.25">
      <c r="A171" s="915">
        <v>169</v>
      </c>
      <c r="B171" s="915" t="s">
        <v>347</v>
      </c>
      <c r="C171" s="916" t="s">
        <v>217</v>
      </c>
      <c r="D171" s="915" t="s">
        <v>547</v>
      </c>
      <c r="E171" s="915" t="s">
        <v>794</v>
      </c>
      <c r="F171" s="915" t="s">
        <v>798</v>
      </c>
      <c r="G171" s="915" t="s">
        <v>798</v>
      </c>
      <c r="H171" s="915" t="s">
        <v>792</v>
      </c>
      <c r="I171" s="913">
        <v>45940</v>
      </c>
      <c r="J171" s="913">
        <v>45949</v>
      </c>
      <c r="K171" s="915" t="s">
        <v>695</v>
      </c>
      <c r="L171" s="915"/>
      <c r="M171" s="913"/>
      <c r="N171" s="917" t="s">
        <v>798</v>
      </c>
      <c r="O171" s="915">
        <v>35.088999999999999</v>
      </c>
      <c r="P171" s="915" t="s">
        <v>792</v>
      </c>
      <c r="Q171" s="913">
        <v>46038</v>
      </c>
      <c r="R171" s="912">
        <v>46043</v>
      </c>
      <c r="S171" s="911" t="e">
        <f>VLOOKUP(B171,#REF!,4,0)</f>
        <v>#REF!</v>
      </c>
    </row>
    <row r="172" spans="1:19" ht="18" x14ac:dyDescent="0.25">
      <c r="A172" s="915">
        <v>170</v>
      </c>
      <c r="B172" s="915" t="s">
        <v>348</v>
      </c>
      <c r="C172" s="916" t="s">
        <v>217</v>
      </c>
      <c r="D172" s="915" t="s">
        <v>547</v>
      </c>
      <c r="E172" s="915" t="s">
        <v>794</v>
      </c>
      <c r="F172" s="915" t="s">
        <v>798</v>
      </c>
      <c r="G172" s="915" t="s">
        <v>798</v>
      </c>
      <c r="H172" s="915" t="s">
        <v>792</v>
      </c>
      <c r="I172" s="913">
        <v>45941</v>
      </c>
      <c r="J172" s="913">
        <v>45954</v>
      </c>
      <c r="K172" s="915" t="s">
        <v>695</v>
      </c>
      <c r="L172" s="915" t="s">
        <v>808</v>
      </c>
      <c r="M172" s="913">
        <v>46134</v>
      </c>
      <c r="N172" s="917" t="s">
        <v>798</v>
      </c>
      <c r="O172" s="915">
        <v>35.088999999999999</v>
      </c>
      <c r="P172" s="915" t="s">
        <v>792</v>
      </c>
      <c r="Q172" s="913">
        <v>46041</v>
      </c>
      <c r="R172" s="912">
        <v>46046</v>
      </c>
      <c r="S172" s="911" t="e">
        <f>VLOOKUP(B172,#REF!,4,0)</f>
        <v>#REF!</v>
      </c>
    </row>
    <row r="173" spans="1:19" ht="18" x14ac:dyDescent="0.25">
      <c r="A173" s="915">
        <v>171</v>
      </c>
      <c r="B173" s="915" t="s">
        <v>349</v>
      </c>
      <c r="C173" s="916" t="s">
        <v>253</v>
      </c>
      <c r="D173" s="915" t="s">
        <v>547</v>
      </c>
      <c r="E173" s="915" t="s">
        <v>794</v>
      </c>
      <c r="F173" s="915" t="s">
        <v>798</v>
      </c>
      <c r="G173" s="915" t="s">
        <v>798</v>
      </c>
      <c r="H173" s="915" t="s">
        <v>792</v>
      </c>
      <c r="I173" s="913">
        <v>46024</v>
      </c>
      <c r="J173" s="913">
        <v>46030</v>
      </c>
      <c r="K173" s="915" t="s">
        <v>694</v>
      </c>
      <c r="L173" s="915"/>
      <c r="M173" s="913"/>
      <c r="N173" s="917" t="s">
        <v>798</v>
      </c>
      <c r="O173" s="915">
        <v>43.575000000000003</v>
      </c>
      <c r="P173" s="915" t="s">
        <v>792</v>
      </c>
      <c r="Q173" s="913">
        <v>46050</v>
      </c>
      <c r="R173" s="912">
        <v>46058</v>
      </c>
      <c r="S173" s="911" t="e">
        <f>VLOOKUP(B173,#REF!,4,0)</f>
        <v>#REF!</v>
      </c>
    </row>
    <row r="174" spans="1:19" ht="18" x14ac:dyDescent="0.25">
      <c r="A174" s="915">
        <v>172</v>
      </c>
      <c r="B174" s="915" t="s">
        <v>350</v>
      </c>
      <c r="C174" s="916" t="s">
        <v>217</v>
      </c>
      <c r="D174" s="915" t="s">
        <v>88</v>
      </c>
      <c r="E174" s="915" t="s">
        <v>794</v>
      </c>
      <c r="F174" s="915" t="s">
        <v>798</v>
      </c>
      <c r="G174" s="915" t="s">
        <v>798</v>
      </c>
      <c r="H174" s="915" t="s">
        <v>792</v>
      </c>
      <c r="I174" s="913">
        <v>46377</v>
      </c>
      <c r="J174" s="913">
        <v>46022</v>
      </c>
      <c r="K174" s="915" t="s">
        <v>694</v>
      </c>
      <c r="L174" s="915"/>
      <c r="M174" s="913"/>
      <c r="N174" s="917" t="s">
        <v>798</v>
      </c>
      <c r="O174" s="915">
        <v>35.088999999999999</v>
      </c>
      <c r="P174" s="915" t="s">
        <v>792</v>
      </c>
      <c r="Q174" s="913"/>
      <c r="R174" s="912"/>
      <c r="S174" s="911"/>
    </row>
    <row r="175" spans="1:19" ht="18" x14ac:dyDescent="0.25">
      <c r="A175" s="915">
        <v>173</v>
      </c>
      <c r="B175" s="915" t="s">
        <v>471</v>
      </c>
      <c r="C175" s="916" t="s">
        <v>215</v>
      </c>
      <c r="D175" s="915" t="s">
        <v>546</v>
      </c>
      <c r="E175" s="915" t="s">
        <v>794</v>
      </c>
      <c r="F175" s="915" t="s">
        <v>798</v>
      </c>
      <c r="G175" s="915" t="s">
        <v>798</v>
      </c>
      <c r="H175" s="915" t="s">
        <v>807</v>
      </c>
      <c r="I175" s="913"/>
      <c r="J175" s="913"/>
      <c r="K175" s="915"/>
      <c r="L175" s="915"/>
      <c r="M175" s="913"/>
      <c r="N175" s="917" t="s">
        <v>798</v>
      </c>
      <c r="O175" s="915">
        <v>54.72</v>
      </c>
      <c r="P175" s="915"/>
      <c r="Q175" s="913"/>
      <c r="R175" s="912"/>
      <c r="S175" s="911"/>
    </row>
    <row r="176" spans="1:19" ht="18" x14ac:dyDescent="0.25">
      <c r="A176" s="915">
        <v>174</v>
      </c>
      <c r="B176" s="915" t="s">
        <v>351</v>
      </c>
      <c r="C176" s="916" t="s">
        <v>253</v>
      </c>
      <c r="D176" s="915" t="s">
        <v>669</v>
      </c>
      <c r="E176" s="915" t="s">
        <v>794</v>
      </c>
      <c r="F176" s="915" t="s">
        <v>798</v>
      </c>
      <c r="G176" s="915" t="s">
        <v>798</v>
      </c>
      <c r="H176" s="915" t="s">
        <v>792</v>
      </c>
      <c r="I176" s="913">
        <v>46049</v>
      </c>
      <c r="J176" s="913">
        <v>46078</v>
      </c>
      <c r="K176" s="915" t="s">
        <v>89</v>
      </c>
      <c r="L176" s="915" t="s">
        <v>808</v>
      </c>
      <c r="M176" s="913">
        <v>46089</v>
      </c>
      <c r="N176" s="917" t="s">
        <v>798</v>
      </c>
      <c r="O176" s="915">
        <v>43.575000000000003</v>
      </c>
      <c r="P176" s="915" t="s">
        <v>792</v>
      </c>
      <c r="Q176" s="913">
        <v>46089</v>
      </c>
      <c r="R176" s="912">
        <v>46092</v>
      </c>
      <c r="S176" s="911" t="e">
        <f>VLOOKUP(B176,#REF!,4,0)</f>
        <v>#REF!</v>
      </c>
    </row>
    <row r="177" spans="1:19" ht="18" x14ac:dyDescent="0.25">
      <c r="A177" s="915">
        <v>175</v>
      </c>
      <c r="B177" s="915" t="s">
        <v>352</v>
      </c>
      <c r="C177" s="916" t="s">
        <v>217</v>
      </c>
      <c r="D177" s="915" t="s">
        <v>690</v>
      </c>
      <c r="E177" s="915" t="s">
        <v>794</v>
      </c>
      <c r="F177" s="915" t="s">
        <v>798</v>
      </c>
      <c r="G177" s="915" t="s">
        <v>798</v>
      </c>
      <c r="H177" s="915" t="s">
        <v>792</v>
      </c>
      <c r="I177" s="913">
        <v>46028</v>
      </c>
      <c r="J177" s="913">
        <v>46044</v>
      </c>
      <c r="K177" s="915" t="s">
        <v>694</v>
      </c>
      <c r="L177" s="915"/>
      <c r="M177" s="913"/>
      <c r="N177" s="917" t="s">
        <v>798</v>
      </c>
      <c r="O177" s="915">
        <v>35.088999999999999</v>
      </c>
      <c r="P177" s="915" t="s">
        <v>792</v>
      </c>
      <c r="Q177" s="913">
        <v>46053</v>
      </c>
      <c r="R177" s="912">
        <v>46056</v>
      </c>
      <c r="S177" s="911" t="e">
        <f>VLOOKUP(B177,#REF!,4,0)</f>
        <v>#REF!</v>
      </c>
    </row>
    <row r="178" spans="1:19" ht="18" x14ac:dyDescent="0.25">
      <c r="A178" s="915">
        <v>176</v>
      </c>
      <c r="B178" s="915" t="s">
        <v>353</v>
      </c>
      <c r="C178" s="916" t="s">
        <v>217</v>
      </c>
      <c r="D178" s="915" t="s">
        <v>546</v>
      </c>
      <c r="E178" s="915" t="s">
        <v>794</v>
      </c>
      <c r="F178" s="915" t="s">
        <v>798</v>
      </c>
      <c r="G178" s="915" t="s">
        <v>798</v>
      </c>
      <c r="H178" s="915"/>
      <c r="I178" s="913"/>
      <c r="J178" s="913"/>
      <c r="K178" s="915"/>
      <c r="L178" s="915"/>
      <c r="M178" s="913"/>
      <c r="N178" s="917" t="s">
        <v>798</v>
      </c>
      <c r="O178" s="915">
        <v>35.088999999999999</v>
      </c>
      <c r="P178" s="915"/>
      <c r="Q178" s="913"/>
      <c r="R178" s="912"/>
      <c r="S178" s="911"/>
    </row>
    <row r="179" spans="1:19" ht="18" x14ac:dyDescent="0.25">
      <c r="A179" s="915">
        <v>177</v>
      </c>
      <c r="B179" s="915" t="s">
        <v>354</v>
      </c>
      <c r="C179" s="916" t="s">
        <v>217</v>
      </c>
      <c r="D179" s="915" t="s">
        <v>669</v>
      </c>
      <c r="E179" s="915" t="s">
        <v>794</v>
      </c>
      <c r="F179" s="915" t="s">
        <v>798</v>
      </c>
      <c r="G179" s="915" t="s">
        <v>798</v>
      </c>
      <c r="H179" s="915"/>
      <c r="I179" s="913"/>
      <c r="J179" s="913"/>
      <c r="K179" s="915"/>
      <c r="L179" s="915"/>
      <c r="M179" s="913"/>
      <c r="N179" s="917" t="s">
        <v>798</v>
      </c>
      <c r="O179" s="915">
        <v>35.088999999999999</v>
      </c>
      <c r="P179" s="915"/>
      <c r="Q179" s="913"/>
      <c r="R179" s="912"/>
      <c r="S179" s="911"/>
    </row>
    <row r="180" spans="1:19" ht="18" x14ac:dyDescent="0.25">
      <c r="A180" s="915">
        <v>178</v>
      </c>
      <c r="B180" s="915" t="s">
        <v>472</v>
      </c>
      <c r="C180" s="916" t="s">
        <v>356</v>
      </c>
      <c r="D180" s="915" t="s">
        <v>92</v>
      </c>
      <c r="E180" s="915" t="s">
        <v>798</v>
      </c>
      <c r="F180" s="915" t="s">
        <v>795</v>
      </c>
      <c r="G180" s="915" t="s">
        <v>798</v>
      </c>
      <c r="H180" s="915"/>
      <c r="I180" s="913"/>
      <c r="J180" s="913"/>
      <c r="K180" s="915"/>
      <c r="L180" s="915"/>
      <c r="M180" s="913"/>
      <c r="N180" s="917" t="s">
        <v>798</v>
      </c>
      <c r="O180" s="915">
        <v>73.494</v>
      </c>
      <c r="P180" s="915"/>
      <c r="Q180" s="913"/>
      <c r="R180" s="912"/>
      <c r="S180" s="911"/>
    </row>
    <row r="181" spans="1:19" ht="18" x14ac:dyDescent="0.25">
      <c r="A181" s="915">
        <v>179</v>
      </c>
      <c r="B181" s="915" t="s">
        <v>355</v>
      </c>
      <c r="C181" s="916" t="s">
        <v>218</v>
      </c>
      <c r="D181" s="915" t="s">
        <v>88</v>
      </c>
      <c r="E181" s="915" t="s">
        <v>794</v>
      </c>
      <c r="F181" s="915" t="s">
        <v>798</v>
      </c>
      <c r="G181" s="915" t="s">
        <v>798</v>
      </c>
      <c r="H181" s="915"/>
      <c r="I181" s="913"/>
      <c r="J181" s="913"/>
      <c r="K181" s="915"/>
      <c r="L181" s="915"/>
      <c r="M181" s="913"/>
      <c r="N181" s="917" t="s">
        <v>798</v>
      </c>
      <c r="O181" s="915">
        <v>36.771000000000001</v>
      </c>
      <c r="P181" s="915"/>
      <c r="Q181" s="913"/>
      <c r="R181" s="912"/>
      <c r="S181" s="911"/>
    </row>
    <row r="182" spans="1:19" ht="18" x14ac:dyDescent="0.25">
      <c r="A182" s="915">
        <v>180</v>
      </c>
      <c r="B182" s="915" t="s">
        <v>473</v>
      </c>
      <c r="C182" s="916" t="s">
        <v>357</v>
      </c>
      <c r="D182" s="915" t="s">
        <v>92</v>
      </c>
      <c r="E182" s="915" t="s">
        <v>798</v>
      </c>
      <c r="F182" s="915" t="s">
        <v>795</v>
      </c>
      <c r="G182" s="915" t="s">
        <v>798</v>
      </c>
      <c r="H182" s="915"/>
      <c r="I182" s="913"/>
      <c r="J182" s="913"/>
      <c r="K182" s="915"/>
      <c r="L182" s="915"/>
      <c r="M182" s="913"/>
      <c r="N182" s="917" t="s">
        <v>798</v>
      </c>
      <c r="O182" s="915">
        <v>65.37</v>
      </c>
      <c r="P182" s="915"/>
      <c r="Q182" s="913"/>
      <c r="R182" s="912"/>
      <c r="S182" s="911"/>
    </row>
    <row r="183" spans="1:19" ht="18" x14ac:dyDescent="0.25">
      <c r="A183" s="915">
        <v>181</v>
      </c>
      <c r="B183" s="915" t="s">
        <v>474</v>
      </c>
      <c r="C183" s="916" t="s">
        <v>288</v>
      </c>
      <c r="D183" s="915" t="s">
        <v>88</v>
      </c>
      <c r="E183" s="915" t="s">
        <v>794</v>
      </c>
      <c r="F183" s="915" t="s">
        <v>798</v>
      </c>
      <c r="G183" s="915" t="s">
        <v>798</v>
      </c>
      <c r="H183" s="915"/>
      <c r="I183" s="913"/>
      <c r="J183" s="913"/>
      <c r="K183" s="915"/>
      <c r="L183" s="915"/>
      <c r="M183" s="913"/>
      <c r="N183" s="917"/>
      <c r="O183" s="915"/>
      <c r="P183" s="915"/>
      <c r="Q183" s="913"/>
      <c r="R183" s="912"/>
      <c r="S183" s="911"/>
    </row>
    <row r="184" spans="1:19" ht="18" x14ac:dyDescent="0.25">
      <c r="A184" s="915">
        <v>182</v>
      </c>
      <c r="B184" s="915" t="s">
        <v>475</v>
      </c>
      <c r="C184" s="916" t="s">
        <v>274</v>
      </c>
      <c r="D184" s="915" t="s">
        <v>92</v>
      </c>
      <c r="E184" s="915" t="s">
        <v>794</v>
      </c>
      <c r="F184" s="915" t="s">
        <v>795</v>
      </c>
      <c r="G184" s="915" t="s">
        <v>794</v>
      </c>
      <c r="H184" s="915"/>
      <c r="I184" s="913"/>
      <c r="J184" s="913"/>
      <c r="K184" s="915"/>
      <c r="L184" s="915"/>
      <c r="M184" s="913"/>
      <c r="N184" s="917" t="s">
        <v>798</v>
      </c>
      <c r="O184" s="915">
        <v>75.873999999999995</v>
      </c>
      <c r="P184" s="915"/>
      <c r="Q184" s="913"/>
      <c r="R184" s="912"/>
      <c r="S184" s="911"/>
    </row>
    <row r="185" spans="1:19" ht="18" x14ac:dyDescent="0.25">
      <c r="A185" s="915">
        <v>183</v>
      </c>
      <c r="B185" s="915" t="s">
        <v>358</v>
      </c>
      <c r="C185" s="916" t="s">
        <v>217</v>
      </c>
      <c r="D185" s="915" t="s">
        <v>92</v>
      </c>
      <c r="E185" s="915" t="s">
        <v>794</v>
      </c>
      <c r="F185" s="915" t="s">
        <v>798</v>
      </c>
      <c r="G185" s="915" t="s">
        <v>798</v>
      </c>
      <c r="H185" s="915" t="s">
        <v>792</v>
      </c>
      <c r="I185" s="913">
        <v>46076</v>
      </c>
      <c r="J185" s="913">
        <v>46084</v>
      </c>
      <c r="K185" s="915" t="s">
        <v>89</v>
      </c>
      <c r="L185" s="915" t="s">
        <v>806</v>
      </c>
      <c r="M185" s="913">
        <v>46094</v>
      </c>
      <c r="N185" s="917" t="s">
        <v>798</v>
      </c>
      <c r="O185" s="915">
        <v>35.088999999999999</v>
      </c>
      <c r="P185" s="915" t="s">
        <v>792</v>
      </c>
      <c r="Q185" s="913"/>
      <c r="R185" s="912"/>
      <c r="S185" s="911"/>
    </row>
    <row r="186" spans="1:19" ht="18" x14ac:dyDescent="0.25">
      <c r="A186" s="915">
        <v>184</v>
      </c>
      <c r="B186" s="915" t="s">
        <v>476</v>
      </c>
      <c r="C186" s="916" t="s">
        <v>242</v>
      </c>
      <c r="D186" s="915" t="s">
        <v>92</v>
      </c>
      <c r="E186" s="915" t="s">
        <v>794</v>
      </c>
      <c r="F186" s="915"/>
      <c r="G186" s="915" t="s">
        <v>798</v>
      </c>
      <c r="H186" s="915" t="s">
        <v>792</v>
      </c>
      <c r="I186" s="913">
        <v>46087</v>
      </c>
      <c r="J186" s="913">
        <v>46099</v>
      </c>
      <c r="K186" s="915" t="s">
        <v>89</v>
      </c>
      <c r="L186" s="915"/>
      <c r="M186" s="913"/>
      <c r="N186" s="917" t="s">
        <v>798</v>
      </c>
      <c r="O186" s="915">
        <v>54.72</v>
      </c>
      <c r="P186" s="915" t="s">
        <v>792</v>
      </c>
      <c r="Q186" s="913"/>
      <c r="R186" s="912"/>
      <c r="S186" s="911"/>
    </row>
    <row r="187" spans="1:19" ht="18" x14ac:dyDescent="0.25">
      <c r="A187" s="915">
        <v>185</v>
      </c>
      <c r="B187" s="915" t="s">
        <v>359</v>
      </c>
      <c r="C187" s="916" t="s">
        <v>218</v>
      </c>
      <c r="D187" s="915" t="s">
        <v>92</v>
      </c>
      <c r="E187" s="915" t="s">
        <v>794</v>
      </c>
      <c r="F187" s="915" t="s">
        <v>798</v>
      </c>
      <c r="G187" s="915" t="s">
        <v>798</v>
      </c>
      <c r="H187" s="915" t="s">
        <v>807</v>
      </c>
      <c r="I187" s="913"/>
      <c r="J187" s="913"/>
      <c r="K187" s="915"/>
      <c r="L187" s="915"/>
      <c r="M187" s="913"/>
      <c r="N187" s="917" t="s">
        <v>798</v>
      </c>
      <c r="O187" s="915">
        <v>36.771000000000001</v>
      </c>
      <c r="P187" s="915"/>
      <c r="Q187" s="913"/>
      <c r="R187" s="912"/>
      <c r="S187" s="911"/>
    </row>
    <row r="188" spans="1:19" ht="18" x14ac:dyDescent="0.25">
      <c r="A188" s="915">
        <v>186</v>
      </c>
      <c r="B188" s="915" t="s">
        <v>360</v>
      </c>
      <c r="C188" s="916" t="s">
        <v>218</v>
      </c>
      <c r="D188" s="915" t="s">
        <v>92</v>
      </c>
      <c r="E188" s="915" t="s">
        <v>794</v>
      </c>
      <c r="F188" s="915" t="s">
        <v>798</v>
      </c>
      <c r="G188" s="915" t="s">
        <v>798</v>
      </c>
      <c r="H188" s="915" t="s">
        <v>807</v>
      </c>
      <c r="I188" s="913"/>
      <c r="J188" s="913"/>
      <c r="K188" s="915"/>
      <c r="L188" s="915"/>
      <c r="M188" s="913"/>
      <c r="N188" s="917" t="s">
        <v>798</v>
      </c>
      <c r="O188" s="915">
        <v>36.771000000000001</v>
      </c>
      <c r="P188" s="915"/>
      <c r="Q188" s="913"/>
      <c r="R188" s="912"/>
      <c r="S188" s="911"/>
    </row>
    <row r="189" spans="1:19" ht="18" x14ac:dyDescent="0.25">
      <c r="A189" s="915">
        <v>187</v>
      </c>
      <c r="B189" s="915" t="s">
        <v>361</v>
      </c>
      <c r="C189" s="916" t="s">
        <v>218</v>
      </c>
      <c r="D189" s="915" t="s">
        <v>92</v>
      </c>
      <c r="E189" s="915" t="s">
        <v>794</v>
      </c>
      <c r="F189" s="915" t="s">
        <v>798</v>
      </c>
      <c r="G189" s="915" t="s">
        <v>798</v>
      </c>
      <c r="H189" s="915" t="s">
        <v>807</v>
      </c>
      <c r="I189" s="913"/>
      <c r="J189" s="913"/>
      <c r="K189" s="915"/>
      <c r="L189" s="915"/>
      <c r="M189" s="913"/>
      <c r="N189" s="917" t="s">
        <v>798</v>
      </c>
      <c r="O189" s="915">
        <v>36.771000000000001</v>
      </c>
      <c r="P189" s="915"/>
      <c r="Q189" s="913"/>
      <c r="R189" s="912"/>
      <c r="S189" s="911"/>
    </row>
    <row r="190" spans="1:19" ht="18" x14ac:dyDescent="0.25">
      <c r="A190" s="915">
        <v>188</v>
      </c>
      <c r="B190" s="915" t="s">
        <v>362</v>
      </c>
      <c r="C190" s="916" t="s">
        <v>217</v>
      </c>
      <c r="D190" s="915" t="s">
        <v>546</v>
      </c>
      <c r="E190" s="915" t="s">
        <v>798</v>
      </c>
      <c r="F190" s="915" t="s">
        <v>798</v>
      </c>
      <c r="G190" s="915" t="s">
        <v>798</v>
      </c>
      <c r="H190" s="915"/>
      <c r="I190" s="913"/>
      <c r="J190" s="913"/>
      <c r="K190" s="915"/>
      <c r="L190" s="915"/>
      <c r="M190" s="913"/>
      <c r="N190" s="917" t="s">
        <v>798</v>
      </c>
      <c r="O190" s="915">
        <v>35.088999999999999</v>
      </c>
      <c r="P190" s="915"/>
      <c r="Q190" s="913"/>
      <c r="R190" s="912"/>
      <c r="S190" s="911"/>
    </row>
    <row r="191" spans="1:19" ht="18" x14ac:dyDescent="0.25">
      <c r="A191" s="915">
        <v>189</v>
      </c>
      <c r="B191" s="915" t="s">
        <v>363</v>
      </c>
      <c r="C191" s="916" t="s">
        <v>288</v>
      </c>
      <c r="D191" s="915" t="s">
        <v>92</v>
      </c>
      <c r="E191" s="915" t="s">
        <v>794</v>
      </c>
      <c r="F191" s="915" t="s">
        <v>798</v>
      </c>
      <c r="G191" s="915" t="s">
        <v>798</v>
      </c>
      <c r="H191" s="915"/>
      <c r="I191" s="913"/>
      <c r="J191" s="913"/>
      <c r="K191" s="915"/>
      <c r="L191" s="915"/>
      <c r="M191" s="913"/>
      <c r="N191" s="917"/>
      <c r="O191" s="915"/>
      <c r="P191" s="915"/>
      <c r="Q191" s="913"/>
      <c r="R191" s="912"/>
      <c r="S191" s="911"/>
    </row>
    <row r="192" spans="1:19" ht="18" x14ac:dyDescent="0.25">
      <c r="A192" s="915">
        <v>190</v>
      </c>
      <c r="B192" s="915" t="s">
        <v>477</v>
      </c>
      <c r="C192" s="916" t="s">
        <v>306</v>
      </c>
      <c r="D192" s="915" t="s">
        <v>92</v>
      </c>
      <c r="E192" s="915" t="s">
        <v>794</v>
      </c>
      <c r="F192" s="915" t="s">
        <v>795</v>
      </c>
      <c r="G192" s="915" t="s">
        <v>794</v>
      </c>
      <c r="H192" s="915"/>
      <c r="I192" s="913"/>
      <c r="J192" s="913"/>
      <c r="K192" s="915"/>
      <c r="L192" s="915"/>
      <c r="M192" s="913"/>
      <c r="N192" s="917" t="s">
        <v>798</v>
      </c>
      <c r="O192" s="915">
        <v>65.37</v>
      </c>
      <c r="P192" s="915"/>
      <c r="Q192" s="913"/>
      <c r="R192" s="912"/>
      <c r="S192" s="911"/>
    </row>
    <row r="193" spans="1:19" ht="18" x14ac:dyDescent="0.25">
      <c r="A193" s="915">
        <v>191</v>
      </c>
      <c r="B193" s="915" t="s">
        <v>364</v>
      </c>
      <c r="C193" s="916" t="s">
        <v>218</v>
      </c>
      <c r="D193" s="915" t="s">
        <v>92</v>
      </c>
      <c r="E193" s="915" t="s">
        <v>794</v>
      </c>
      <c r="F193" s="915" t="s">
        <v>798</v>
      </c>
      <c r="G193" s="915" t="s">
        <v>798</v>
      </c>
      <c r="H193" s="915"/>
      <c r="I193" s="913"/>
      <c r="J193" s="913"/>
      <c r="K193" s="915"/>
      <c r="L193" s="915"/>
      <c r="M193" s="913"/>
      <c r="N193" s="917" t="s">
        <v>798</v>
      </c>
      <c r="O193" s="915">
        <v>36.771000000000001</v>
      </c>
      <c r="P193" s="915"/>
      <c r="Q193" s="913"/>
      <c r="R193" s="912"/>
      <c r="S193" s="911"/>
    </row>
    <row r="194" spans="1:19" ht="18" x14ac:dyDescent="0.25">
      <c r="A194" s="915">
        <v>192</v>
      </c>
      <c r="B194" s="915" t="s">
        <v>365</v>
      </c>
      <c r="C194" s="916" t="s">
        <v>216</v>
      </c>
      <c r="D194" s="915" t="s">
        <v>92</v>
      </c>
      <c r="E194" s="915" t="s">
        <v>794</v>
      </c>
      <c r="F194" s="915" t="s">
        <v>798</v>
      </c>
      <c r="G194" s="915" t="s">
        <v>798</v>
      </c>
      <c r="H194" s="915"/>
      <c r="I194" s="913"/>
      <c r="J194" s="913"/>
      <c r="K194" s="915"/>
      <c r="L194" s="915"/>
      <c r="M194" s="913"/>
      <c r="N194" s="917" t="s">
        <v>798</v>
      </c>
      <c r="O194" s="915">
        <v>41.88</v>
      </c>
      <c r="P194" s="915"/>
      <c r="Q194" s="913"/>
      <c r="R194" s="912"/>
      <c r="S194" s="911"/>
    </row>
    <row r="195" spans="1:19" ht="18" x14ac:dyDescent="0.25">
      <c r="A195" s="915">
        <v>193</v>
      </c>
      <c r="B195" s="915" t="s">
        <v>478</v>
      </c>
      <c r="C195" s="916" t="s">
        <v>374</v>
      </c>
      <c r="D195" s="915" t="s">
        <v>546</v>
      </c>
      <c r="E195" s="915" t="s">
        <v>794</v>
      </c>
      <c r="F195" s="915" t="s">
        <v>795</v>
      </c>
      <c r="G195" s="915" t="s">
        <v>798</v>
      </c>
      <c r="H195" s="915"/>
      <c r="I195" s="913"/>
      <c r="J195" s="913"/>
      <c r="K195" s="915"/>
      <c r="L195" s="915"/>
      <c r="M195" s="913"/>
      <c r="N195" s="917" t="s">
        <v>798</v>
      </c>
      <c r="O195" s="915">
        <v>68.265000000000001</v>
      </c>
      <c r="P195" s="915"/>
      <c r="Q195" s="913"/>
      <c r="R195" s="912"/>
      <c r="S195" s="911"/>
    </row>
    <row r="196" spans="1:19" ht="18" x14ac:dyDescent="0.25">
      <c r="A196" s="915">
        <v>194</v>
      </c>
      <c r="B196" s="915" t="s">
        <v>366</v>
      </c>
      <c r="C196" s="916" t="s">
        <v>288</v>
      </c>
      <c r="D196" s="915" t="s">
        <v>92</v>
      </c>
      <c r="E196" s="915" t="s">
        <v>794</v>
      </c>
      <c r="F196" s="915" t="s">
        <v>798</v>
      </c>
      <c r="G196" s="915" t="s">
        <v>798</v>
      </c>
      <c r="H196" s="915"/>
      <c r="I196" s="913"/>
      <c r="J196" s="913"/>
      <c r="K196" s="915"/>
      <c r="L196" s="915"/>
      <c r="M196" s="913"/>
      <c r="N196" s="917" t="s">
        <v>798</v>
      </c>
      <c r="O196" s="915">
        <v>66.436000000000007</v>
      </c>
      <c r="P196" s="915"/>
      <c r="Q196" s="913"/>
      <c r="R196" s="912"/>
      <c r="S196" s="911"/>
    </row>
    <row r="197" spans="1:19" ht="18" x14ac:dyDescent="0.25">
      <c r="A197" s="915">
        <v>195</v>
      </c>
      <c r="B197" s="915" t="s">
        <v>367</v>
      </c>
      <c r="C197" s="916" t="s">
        <v>217</v>
      </c>
      <c r="D197" s="915" t="s">
        <v>92</v>
      </c>
      <c r="E197" s="915" t="s">
        <v>794</v>
      </c>
      <c r="F197" s="915" t="s">
        <v>798</v>
      </c>
      <c r="G197" s="915" t="s">
        <v>798</v>
      </c>
      <c r="H197" s="915"/>
      <c r="I197" s="913"/>
      <c r="J197" s="913"/>
      <c r="K197" s="915"/>
      <c r="L197" s="915"/>
      <c r="M197" s="913"/>
      <c r="N197" s="917" t="s">
        <v>798</v>
      </c>
      <c r="O197" s="915">
        <v>35.088999999999999</v>
      </c>
      <c r="P197" s="915"/>
      <c r="Q197" s="913"/>
      <c r="R197" s="912"/>
      <c r="S197" s="911"/>
    </row>
    <row r="198" spans="1:19" ht="18" x14ac:dyDescent="0.25">
      <c r="A198" s="915">
        <v>196</v>
      </c>
      <c r="B198" s="915" t="s">
        <v>479</v>
      </c>
      <c r="C198" s="916" t="s">
        <v>375</v>
      </c>
      <c r="D198" s="915" t="s">
        <v>546</v>
      </c>
      <c r="E198" s="915" t="s">
        <v>794</v>
      </c>
      <c r="F198" s="915"/>
      <c r="G198" s="915" t="s">
        <v>794</v>
      </c>
      <c r="H198" s="915"/>
      <c r="I198" s="913"/>
      <c r="J198" s="913"/>
      <c r="K198" s="915"/>
      <c r="L198" s="915"/>
      <c r="M198" s="913"/>
      <c r="N198" s="917" t="s">
        <v>798</v>
      </c>
      <c r="O198" s="915">
        <v>57.484000000000002</v>
      </c>
      <c r="P198" s="915"/>
      <c r="Q198" s="913"/>
      <c r="R198" s="912"/>
      <c r="S198" s="911"/>
    </row>
    <row r="199" spans="1:19" ht="18" x14ac:dyDescent="0.25">
      <c r="A199" s="915">
        <v>197</v>
      </c>
      <c r="B199" s="915" t="s">
        <v>368</v>
      </c>
      <c r="C199" s="916" t="s">
        <v>218</v>
      </c>
      <c r="D199" s="915" t="s">
        <v>92</v>
      </c>
      <c r="E199" s="915" t="s">
        <v>798</v>
      </c>
      <c r="F199" s="915" t="s">
        <v>798</v>
      </c>
      <c r="G199" s="915" t="s">
        <v>798</v>
      </c>
      <c r="H199" s="915"/>
      <c r="I199" s="913"/>
      <c r="J199" s="913"/>
      <c r="K199" s="915"/>
      <c r="L199" s="915"/>
      <c r="M199" s="913"/>
      <c r="N199" s="917" t="s">
        <v>798</v>
      </c>
      <c r="O199" s="915">
        <v>36.771000000000001</v>
      </c>
      <c r="P199" s="915"/>
      <c r="Q199" s="913"/>
      <c r="R199" s="912"/>
      <c r="S199" s="911"/>
    </row>
    <row r="200" spans="1:19" ht="18" x14ac:dyDescent="0.25">
      <c r="A200" s="915">
        <v>198</v>
      </c>
      <c r="B200" s="915" t="s">
        <v>369</v>
      </c>
      <c r="C200" s="916" t="s">
        <v>253</v>
      </c>
      <c r="D200" s="915" t="s">
        <v>92</v>
      </c>
      <c r="E200" s="915" t="s">
        <v>794</v>
      </c>
      <c r="F200" s="915" t="s">
        <v>798</v>
      </c>
      <c r="G200" s="915" t="s">
        <v>798</v>
      </c>
      <c r="H200" s="915"/>
      <c r="I200" s="913"/>
      <c r="J200" s="913"/>
      <c r="K200" s="915"/>
      <c r="L200" s="915"/>
      <c r="M200" s="913"/>
      <c r="N200" s="917"/>
      <c r="O200" s="915"/>
      <c r="P200" s="915"/>
      <c r="Q200" s="913"/>
      <c r="R200" s="912"/>
      <c r="S200" s="911"/>
    </row>
    <row r="201" spans="1:19" ht="18" x14ac:dyDescent="0.25">
      <c r="A201" s="915">
        <v>199</v>
      </c>
      <c r="B201" s="915" t="s">
        <v>370</v>
      </c>
      <c r="C201" s="916" t="s">
        <v>288</v>
      </c>
      <c r="D201" s="915" t="s">
        <v>546</v>
      </c>
      <c r="E201" s="915" t="s">
        <v>794</v>
      </c>
      <c r="F201" s="915" t="s">
        <v>798</v>
      </c>
      <c r="G201" s="915" t="s">
        <v>794</v>
      </c>
      <c r="H201" s="915"/>
      <c r="I201" s="913"/>
      <c r="J201" s="913"/>
      <c r="K201" s="915"/>
      <c r="L201" s="915"/>
      <c r="M201" s="913"/>
      <c r="N201" s="917" t="s">
        <v>798</v>
      </c>
      <c r="O201" s="915">
        <v>66.436000000000007</v>
      </c>
      <c r="P201" s="915"/>
      <c r="Q201" s="913"/>
      <c r="R201" s="912"/>
      <c r="S201" s="911"/>
    </row>
    <row r="202" spans="1:19" ht="18" x14ac:dyDescent="0.25">
      <c r="A202" s="915">
        <v>200</v>
      </c>
      <c r="B202" s="915" t="s">
        <v>480</v>
      </c>
      <c r="C202" s="916" t="s">
        <v>357</v>
      </c>
      <c r="D202" s="915" t="s">
        <v>92</v>
      </c>
      <c r="E202" s="915" t="s">
        <v>794</v>
      </c>
      <c r="F202" s="915" t="s">
        <v>795</v>
      </c>
      <c r="G202" s="915" t="s">
        <v>794</v>
      </c>
      <c r="H202" s="915"/>
      <c r="I202" s="913"/>
      <c r="J202" s="913"/>
      <c r="K202" s="915"/>
      <c r="L202" s="915"/>
      <c r="M202" s="913"/>
      <c r="N202" s="917" t="s">
        <v>798</v>
      </c>
      <c r="O202" s="915">
        <v>65.37</v>
      </c>
      <c r="P202" s="915"/>
      <c r="Q202" s="913"/>
      <c r="R202" s="912"/>
      <c r="S202" s="911"/>
    </row>
    <row r="203" spans="1:19" ht="18" x14ac:dyDescent="0.25">
      <c r="A203" s="915">
        <v>201</v>
      </c>
      <c r="B203" s="915" t="s">
        <v>371</v>
      </c>
      <c r="C203" s="916" t="s">
        <v>217</v>
      </c>
      <c r="D203" s="915" t="s">
        <v>547</v>
      </c>
      <c r="E203" s="915" t="s">
        <v>794</v>
      </c>
      <c r="F203" s="915" t="s">
        <v>798</v>
      </c>
      <c r="G203" s="915" t="s">
        <v>798</v>
      </c>
      <c r="H203" s="915" t="s">
        <v>792</v>
      </c>
      <c r="I203" s="913">
        <v>46001</v>
      </c>
      <c r="J203" s="913">
        <v>46022</v>
      </c>
      <c r="K203" s="915" t="s">
        <v>666</v>
      </c>
      <c r="L203" s="915"/>
      <c r="M203" s="913"/>
      <c r="N203" s="917" t="s">
        <v>798</v>
      </c>
      <c r="O203" s="915">
        <v>35.088999999999999</v>
      </c>
      <c r="P203" s="915" t="s">
        <v>792</v>
      </c>
      <c r="Q203" s="913"/>
      <c r="R203" s="912"/>
      <c r="S203" s="911"/>
    </row>
    <row r="204" spans="1:19" ht="18" x14ac:dyDescent="0.25">
      <c r="A204" s="915">
        <v>202</v>
      </c>
      <c r="B204" s="915" t="s">
        <v>372</v>
      </c>
      <c r="C204" s="916" t="s">
        <v>218</v>
      </c>
      <c r="D204" s="915" t="s">
        <v>92</v>
      </c>
      <c r="E204" s="915" t="s">
        <v>794</v>
      </c>
      <c r="F204" s="915" t="s">
        <v>798</v>
      </c>
      <c r="G204" s="915" t="s">
        <v>794</v>
      </c>
      <c r="H204" s="915"/>
      <c r="I204" s="913"/>
      <c r="J204" s="913"/>
      <c r="K204" s="915"/>
      <c r="L204" s="915"/>
      <c r="M204" s="913"/>
      <c r="N204" s="917"/>
      <c r="O204" s="915"/>
      <c r="P204" s="915"/>
      <c r="Q204" s="913"/>
      <c r="R204" s="912"/>
      <c r="S204" s="911"/>
    </row>
    <row r="205" spans="1:19" ht="18" x14ac:dyDescent="0.25">
      <c r="A205" s="915">
        <v>203</v>
      </c>
      <c r="B205" s="915" t="s">
        <v>373</v>
      </c>
      <c r="C205" s="916" t="s">
        <v>288</v>
      </c>
      <c r="D205" s="915" t="s">
        <v>92</v>
      </c>
      <c r="E205" s="915" t="s">
        <v>794</v>
      </c>
      <c r="F205" s="915" t="s">
        <v>798</v>
      </c>
      <c r="G205" s="915" t="s">
        <v>794</v>
      </c>
      <c r="H205" s="915"/>
      <c r="I205" s="913"/>
      <c r="J205" s="913"/>
      <c r="K205" s="915"/>
      <c r="L205" s="915"/>
      <c r="M205" s="913"/>
      <c r="N205" s="917" t="s">
        <v>798</v>
      </c>
      <c r="O205" s="915">
        <v>66.436000000000007</v>
      </c>
      <c r="P205" s="915"/>
      <c r="Q205" s="913"/>
      <c r="R205" s="912"/>
      <c r="S205" s="911"/>
    </row>
    <row r="206" spans="1:19" ht="18" x14ac:dyDescent="0.25">
      <c r="A206" s="915">
        <v>204</v>
      </c>
      <c r="B206" s="915" t="s">
        <v>481</v>
      </c>
      <c r="C206" s="916" t="s">
        <v>297</v>
      </c>
      <c r="D206" s="915" t="s">
        <v>92</v>
      </c>
      <c r="E206" s="915" t="s">
        <v>798</v>
      </c>
      <c r="F206" s="915" t="s">
        <v>795</v>
      </c>
      <c r="G206" s="915" t="s">
        <v>798</v>
      </c>
      <c r="H206" s="915"/>
      <c r="I206" s="913"/>
      <c r="J206" s="913"/>
      <c r="K206" s="915"/>
      <c r="L206" s="915"/>
      <c r="M206" s="913"/>
      <c r="N206" s="917" t="s">
        <v>798</v>
      </c>
      <c r="O206" s="915">
        <v>83.715999999999994</v>
      </c>
      <c r="P206" s="915"/>
      <c r="Q206" s="913"/>
      <c r="R206" s="912"/>
      <c r="S206" s="911"/>
    </row>
    <row r="207" spans="1:19" ht="18" x14ac:dyDescent="0.25">
      <c r="A207" s="915">
        <v>205</v>
      </c>
      <c r="B207" s="915" t="s">
        <v>482</v>
      </c>
      <c r="C207" s="916" t="s">
        <v>324</v>
      </c>
      <c r="D207" s="915" t="s">
        <v>92</v>
      </c>
      <c r="E207" s="915" t="s">
        <v>794</v>
      </c>
      <c r="F207" s="915" t="s">
        <v>795</v>
      </c>
      <c r="G207" s="915" t="s">
        <v>794</v>
      </c>
      <c r="H207" s="915"/>
      <c r="I207" s="913"/>
      <c r="J207" s="913"/>
      <c r="K207" s="915"/>
      <c r="L207" s="915"/>
      <c r="M207" s="913"/>
      <c r="N207" s="917"/>
      <c r="O207" s="915"/>
      <c r="P207" s="915"/>
      <c r="Q207" s="913"/>
      <c r="R207" s="912"/>
      <c r="S207" s="911"/>
    </row>
    <row r="208" spans="1:19" ht="18" x14ac:dyDescent="0.25">
      <c r="A208" s="915">
        <v>206</v>
      </c>
      <c r="B208" s="915" t="s">
        <v>376</v>
      </c>
      <c r="C208" s="916" t="s">
        <v>242</v>
      </c>
      <c r="D208" s="915" t="s">
        <v>92</v>
      </c>
      <c r="E208" s="915" t="s">
        <v>798</v>
      </c>
      <c r="F208" s="915"/>
      <c r="G208" s="915" t="s">
        <v>794</v>
      </c>
      <c r="H208" s="915"/>
      <c r="I208" s="913"/>
      <c r="J208" s="913"/>
      <c r="K208" s="915"/>
      <c r="L208" s="915"/>
      <c r="M208" s="913"/>
      <c r="N208" s="917"/>
      <c r="O208" s="915"/>
      <c r="P208" s="915"/>
      <c r="Q208" s="913"/>
      <c r="R208" s="912"/>
      <c r="S208" s="911"/>
    </row>
    <row r="209" spans="1:19" ht="18" x14ac:dyDescent="0.25">
      <c r="A209" s="915">
        <v>207</v>
      </c>
      <c r="B209" s="915" t="s">
        <v>377</v>
      </c>
      <c r="C209" s="916" t="s">
        <v>242</v>
      </c>
      <c r="D209" s="915" t="s">
        <v>92</v>
      </c>
      <c r="E209" s="915" t="s">
        <v>794</v>
      </c>
      <c r="F209" s="915"/>
      <c r="G209" s="915" t="s">
        <v>794</v>
      </c>
      <c r="H209" s="915"/>
      <c r="I209" s="913"/>
      <c r="J209" s="913"/>
      <c r="K209" s="915"/>
      <c r="L209" s="915"/>
      <c r="M209" s="913"/>
      <c r="N209" s="917" t="s">
        <v>798</v>
      </c>
      <c r="O209" s="915">
        <v>54.72</v>
      </c>
      <c r="P209" s="915"/>
      <c r="Q209" s="913"/>
      <c r="R209" s="912"/>
      <c r="S209" s="911"/>
    </row>
    <row r="210" spans="1:19" ht="18" x14ac:dyDescent="0.25">
      <c r="A210" s="915">
        <v>208</v>
      </c>
      <c r="B210" s="915" t="s">
        <v>378</v>
      </c>
      <c r="C210" s="916" t="s">
        <v>216</v>
      </c>
      <c r="D210" s="915" t="s">
        <v>92</v>
      </c>
      <c r="E210" s="915" t="s">
        <v>798</v>
      </c>
      <c r="F210" s="915" t="s">
        <v>798</v>
      </c>
      <c r="G210" s="915" t="s">
        <v>798</v>
      </c>
      <c r="H210" s="915"/>
      <c r="I210" s="913"/>
      <c r="J210" s="913"/>
      <c r="K210" s="915"/>
      <c r="L210" s="915"/>
      <c r="M210" s="913"/>
      <c r="N210" s="917"/>
      <c r="O210" s="915"/>
      <c r="P210" s="915"/>
      <c r="Q210" s="913"/>
      <c r="R210" s="912"/>
      <c r="S210" s="911"/>
    </row>
    <row r="211" spans="1:19" ht="18" x14ac:dyDescent="0.25">
      <c r="A211" s="915">
        <v>209</v>
      </c>
      <c r="B211" s="915" t="s">
        <v>379</v>
      </c>
      <c r="C211" s="916" t="s">
        <v>218</v>
      </c>
      <c r="D211" s="915" t="s">
        <v>92</v>
      </c>
      <c r="E211" s="915" t="s">
        <v>794</v>
      </c>
      <c r="F211" s="915" t="s">
        <v>798</v>
      </c>
      <c r="G211" s="915" t="s">
        <v>794</v>
      </c>
      <c r="H211" s="915"/>
      <c r="I211" s="913"/>
      <c r="J211" s="913"/>
      <c r="K211" s="915"/>
      <c r="L211" s="915"/>
      <c r="M211" s="913"/>
      <c r="N211" s="917"/>
      <c r="O211" s="915"/>
      <c r="P211" s="915"/>
      <c r="Q211" s="913"/>
      <c r="R211" s="912"/>
      <c r="S211" s="911"/>
    </row>
    <row r="212" spans="1:19" ht="18" x14ac:dyDescent="0.25">
      <c r="A212" s="915">
        <v>210</v>
      </c>
      <c r="B212" s="915" t="s">
        <v>380</v>
      </c>
      <c r="C212" s="916" t="s">
        <v>217</v>
      </c>
      <c r="D212" s="915" t="s">
        <v>92</v>
      </c>
      <c r="E212" s="915" t="s">
        <v>794</v>
      </c>
      <c r="F212" s="915" t="s">
        <v>798</v>
      </c>
      <c r="G212" s="915" t="s">
        <v>794</v>
      </c>
      <c r="H212" s="915"/>
      <c r="I212" s="913"/>
      <c r="J212" s="913"/>
      <c r="K212" s="915"/>
      <c r="L212" s="915"/>
      <c r="M212" s="913"/>
      <c r="N212" s="917"/>
      <c r="O212" s="915"/>
      <c r="P212" s="915"/>
      <c r="Q212" s="913"/>
      <c r="R212" s="912"/>
      <c r="S212" s="911"/>
    </row>
    <row r="213" spans="1:19" ht="18" x14ac:dyDescent="0.25">
      <c r="A213" s="915">
        <v>211</v>
      </c>
      <c r="B213" s="915" t="s">
        <v>381</v>
      </c>
      <c r="C213" s="916" t="s">
        <v>217</v>
      </c>
      <c r="D213" s="915" t="s">
        <v>92</v>
      </c>
      <c r="E213" s="915" t="s">
        <v>794</v>
      </c>
      <c r="F213" s="915" t="s">
        <v>798</v>
      </c>
      <c r="G213" s="915" t="s">
        <v>794</v>
      </c>
      <c r="H213" s="915"/>
      <c r="I213" s="913"/>
      <c r="J213" s="913"/>
      <c r="K213" s="915"/>
      <c r="L213" s="915"/>
      <c r="M213" s="913"/>
      <c r="N213" s="917"/>
      <c r="O213" s="915"/>
      <c r="P213" s="915"/>
      <c r="Q213" s="913"/>
      <c r="R213" s="912"/>
      <c r="S213" s="911"/>
    </row>
    <row r="214" spans="1:19" ht="18" x14ac:dyDescent="0.25">
      <c r="A214" s="915">
        <v>212</v>
      </c>
      <c r="B214" s="915" t="s">
        <v>382</v>
      </c>
      <c r="C214" s="916" t="s">
        <v>217</v>
      </c>
      <c r="D214" s="915" t="s">
        <v>669</v>
      </c>
      <c r="E214" s="915" t="s">
        <v>794</v>
      </c>
      <c r="F214" s="915" t="s">
        <v>798</v>
      </c>
      <c r="G214" s="915" t="s">
        <v>794</v>
      </c>
      <c r="H214" s="915"/>
      <c r="I214" s="913"/>
      <c r="J214" s="913"/>
      <c r="K214" s="915"/>
      <c r="L214" s="915"/>
      <c r="M214" s="913"/>
      <c r="N214" s="917"/>
      <c r="O214" s="915"/>
      <c r="P214" s="915"/>
      <c r="Q214" s="913"/>
      <c r="R214" s="912"/>
      <c r="S214" s="911"/>
    </row>
    <row r="215" spans="1:19" ht="18" x14ac:dyDescent="0.25">
      <c r="A215" s="915">
        <v>213</v>
      </c>
      <c r="B215" s="915" t="s">
        <v>383</v>
      </c>
      <c r="C215" s="916" t="s">
        <v>217</v>
      </c>
      <c r="D215" s="915" t="s">
        <v>669</v>
      </c>
      <c r="E215" s="915" t="s">
        <v>794</v>
      </c>
      <c r="F215" s="915" t="s">
        <v>798</v>
      </c>
      <c r="G215" s="915" t="s">
        <v>798</v>
      </c>
      <c r="H215" s="915"/>
      <c r="I215" s="913"/>
      <c r="J215" s="913"/>
      <c r="K215" s="915"/>
      <c r="L215" s="915"/>
      <c r="M215" s="913"/>
      <c r="N215" s="917"/>
      <c r="O215" s="915"/>
      <c r="P215" s="915"/>
      <c r="Q215" s="913"/>
      <c r="R215" s="912"/>
      <c r="S215" s="911"/>
    </row>
    <row r="216" spans="1:19" ht="18" x14ac:dyDescent="0.25">
      <c r="A216" s="915">
        <v>214</v>
      </c>
      <c r="B216" s="915" t="s">
        <v>483</v>
      </c>
      <c r="C216" s="916" t="s">
        <v>242</v>
      </c>
      <c r="D216" s="915" t="s">
        <v>669</v>
      </c>
      <c r="E216" s="915" t="s">
        <v>794</v>
      </c>
      <c r="F216" s="915"/>
      <c r="G216" s="915" t="s">
        <v>794</v>
      </c>
      <c r="H216" s="915"/>
      <c r="I216" s="913"/>
      <c r="J216" s="913"/>
      <c r="K216" s="915"/>
      <c r="L216" s="915"/>
      <c r="M216" s="913"/>
      <c r="N216" s="917" t="s">
        <v>798</v>
      </c>
      <c r="O216" s="915">
        <v>54.72</v>
      </c>
      <c r="P216" s="915"/>
      <c r="Q216" s="913"/>
      <c r="R216" s="912"/>
      <c r="S216" s="911"/>
    </row>
    <row r="217" spans="1:19" ht="18" x14ac:dyDescent="0.25">
      <c r="A217" s="915">
        <v>215</v>
      </c>
      <c r="B217" s="915" t="s">
        <v>384</v>
      </c>
      <c r="C217" s="916" t="s">
        <v>218</v>
      </c>
      <c r="D217" s="915" t="s">
        <v>546</v>
      </c>
      <c r="E217" s="915" t="s">
        <v>794</v>
      </c>
      <c r="F217" s="915" t="s">
        <v>798</v>
      </c>
      <c r="G217" s="915" t="s">
        <v>794</v>
      </c>
      <c r="H217" s="915"/>
      <c r="I217" s="913"/>
      <c r="J217" s="913"/>
      <c r="K217" s="915"/>
      <c r="L217" s="915"/>
      <c r="M217" s="913"/>
      <c r="N217" s="917"/>
      <c r="O217" s="915"/>
      <c r="P217" s="915"/>
      <c r="Q217" s="913"/>
      <c r="R217" s="912"/>
      <c r="S217" s="911"/>
    </row>
    <row r="218" spans="1:19" ht="18" x14ac:dyDescent="0.25">
      <c r="A218" s="915">
        <v>216</v>
      </c>
      <c r="B218" s="915" t="s">
        <v>385</v>
      </c>
      <c r="C218" s="916" t="s">
        <v>217</v>
      </c>
      <c r="D218" s="915" t="s">
        <v>546</v>
      </c>
      <c r="E218" s="915" t="s">
        <v>794</v>
      </c>
      <c r="F218" s="915" t="s">
        <v>798</v>
      </c>
      <c r="G218" s="915" t="s">
        <v>794</v>
      </c>
      <c r="H218" s="915"/>
      <c r="I218" s="913"/>
      <c r="J218" s="913"/>
      <c r="K218" s="915"/>
      <c r="L218" s="915"/>
      <c r="M218" s="913"/>
      <c r="N218" s="917"/>
      <c r="O218" s="915"/>
      <c r="P218" s="915"/>
      <c r="Q218" s="913"/>
      <c r="R218" s="912"/>
      <c r="S218" s="911"/>
    </row>
    <row r="219" spans="1:19" ht="18" x14ac:dyDescent="0.25">
      <c r="A219" s="915">
        <v>217</v>
      </c>
      <c r="B219" s="915" t="s">
        <v>386</v>
      </c>
      <c r="C219" s="916" t="s">
        <v>217</v>
      </c>
      <c r="D219" s="915" t="s">
        <v>546</v>
      </c>
      <c r="E219" s="915" t="s">
        <v>794</v>
      </c>
      <c r="F219" s="915" t="s">
        <v>798</v>
      </c>
      <c r="G219" s="915" t="s">
        <v>794</v>
      </c>
      <c r="H219" s="915"/>
      <c r="I219" s="913"/>
      <c r="J219" s="913"/>
      <c r="K219" s="915"/>
      <c r="L219" s="915"/>
      <c r="M219" s="913"/>
      <c r="N219" s="917"/>
      <c r="O219" s="915"/>
      <c r="P219" s="915"/>
      <c r="Q219" s="913"/>
      <c r="R219" s="912"/>
      <c r="S219" s="911"/>
    </row>
    <row r="220" spans="1:19" ht="18" x14ac:dyDescent="0.25">
      <c r="A220" s="915">
        <v>218</v>
      </c>
      <c r="B220" s="915" t="s">
        <v>387</v>
      </c>
      <c r="C220" s="916" t="s">
        <v>217</v>
      </c>
      <c r="D220" s="915" t="s">
        <v>92</v>
      </c>
      <c r="E220" s="915" t="s">
        <v>794</v>
      </c>
      <c r="F220" s="915" t="s">
        <v>798</v>
      </c>
      <c r="G220" s="915" t="s">
        <v>794</v>
      </c>
      <c r="H220" s="915"/>
      <c r="I220" s="913"/>
      <c r="J220" s="913"/>
      <c r="K220" s="915"/>
      <c r="L220" s="915"/>
      <c r="M220" s="913"/>
      <c r="N220" s="917"/>
      <c r="O220" s="915"/>
      <c r="P220" s="915"/>
      <c r="Q220" s="913"/>
      <c r="R220" s="912"/>
      <c r="S220" s="911"/>
    </row>
    <row r="221" spans="1:19" ht="18" x14ac:dyDescent="0.25">
      <c r="A221" s="915">
        <v>219</v>
      </c>
      <c r="B221" s="915" t="s">
        <v>484</v>
      </c>
      <c r="C221" s="916" t="s">
        <v>219</v>
      </c>
      <c r="D221" s="915" t="s">
        <v>92</v>
      </c>
      <c r="E221" s="915" t="s">
        <v>794</v>
      </c>
      <c r="F221" s="915" t="s">
        <v>795</v>
      </c>
      <c r="G221" s="915" t="s">
        <v>794</v>
      </c>
      <c r="H221" s="915"/>
      <c r="I221" s="913"/>
      <c r="J221" s="913"/>
      <c r="K221" s="915"/>
      <c r="L221" s="915"/>
      <c r="M221" s="913"/>
      <c r="N221" s="917" t="s">
        <v>798</v>
      </c>
      <c r="O221" s="915">
        <v>62.500999999999998</v>
      </c>
      <c r="P221" s="915"/>
      <c r="Q221" s="913"/>
      <c r="R221" s="912"/>
      <c r="S221" s="911"/>
    </row>
    <row r="222" spans="1:19" ht="18" x14ac:dyDescent="0.25">
      <c r="A222" s="915">
        <v>220</v>
      </c>
      <c r="B222" s="915" t="s">
        <v>388</v>
      </c>
      <c r="C222" s="916" t="s">
        <v>218</v>
      </c>
      <c r="D222" s="915" t="s">
        <v>92</v>
      </c>
      <c r="E222" s="915" t="s">
        <v>794</v>
      </c>
      <c r="F222" s="915" t="s">
        <v>798</v>
      </c>
      <c r="G222" s="915" t="s">
        <v>794</v>
      </c>
      <c r="H222" s="915"/>
      <c r="I222" s="913"/>
      <c r="J222" s="913"/>
      <c r="K222" s="915"/>
      <c r="L222" s="915"/>
      <c r="M222" s="913"/>
      <c r="N222" s="917"/>
      <c r="O222" s="915"/>
      <c r="P222" s="915"/>
      <c r="Q222" s="913"/>
      <c r="R222" s="912"/>
      <c r="S222" s="911"/>
    </row>
    <row r="223" spans="1:19" ht="18" x14ac:dyDescent="0.25">
      <c r="A223" s="915">
        <v>221</v>
      </c>
      <c r="B223" s="915" t="s">
        <v>389</v>
      </c>
      <c r="C223" s="916" t="s">
        <v>217</v>
      </c>
      <c r="D223" s="915" t="s">
        <v>92</v>
      </c>
      <c r="E223" s="915" t="s">
        <v>794</v>
      </c>
      <c r="F223" s="915" t="s">
        <v>798</v>
      </c>
      <c r="G223" s="915" t="s">
        <v>794</v>
      </c>
      <c r="H223" s="915"/>
      <c r="I223" s="913"/>
      <c r="J223" s="913"/>
      <c r="K223" s="915"/>
      <c r="L223" s="915"/>
      <c r="M223" s="913"/>
      <c r="N223" s="917"/>
      <c r="O223" s="915"/>
      <c r="P223" s="915"/>
      <c r="Q223" s="913"/>
      <c r="R223" s="912"/>
      <c r="S223" s="911"/>
    </row>
    <row r="224" spans="1:19" ht="18" x14ac:dyDescent="0.25">
      <c r="A224" s="915">
        <v>222</v>
      </c>
      <c r="B224" s="915" t="s">
        <v>390</v>
      </c>
      <c r="C224" s="916" t="s">
        <v>217</v>
      </c>
      <c r="D224" s="915" t="s">
        <v>92</v>
      </c>
      <c r="E224" s="915" t="s">
        <v>794</v>
      </c>
      <c r="F224" s="915" t="s">
        <v>798</v>
      </c>
      <c r="G224" s="915" t="s">
        <v>794</v>
      </c>
      <c r="H224" s="915"/>
      <c r="I224" s="913"/>
      <c r="J224" s="913"/>
      <c r="K224" s="915"/>
      <c r="L224" s="915"/>
      <c r="M224" s="913"/>
      <c r="N224" s="917"/>
      <c r="O224" s="915"/>
      <c r="P224" s="915"/>
      <c r="Q224" s="913"/>
      <c r="R224" s="912"/>
      <c r="S224" s="911"/>
    </row>
    <row r="225" spans="1:19" ht="18" x14ac:dyDescent="0.25">
      <c r="A225" s="915">
        <v>223</v>
      </c>
      <c r="B225" s="915" t="s">
        <v>391</v>
      </c>
      <c r="C225" s="916" t="s">
        <v>217</v>
      </c>
      <c r="D225" s="915" t="s">
        <v>92</v>
      </c>
      <c r="E225" s="915" t="s">
        <v>794</v>
      </c>
      <c r="F225" s="915" t="s">
        <v>798</v>
      </c>
      <c r="G225" s="915" t="s">
        <v>794</v>
      </c>
      <c r="H225" s="915"/>
      <c r="I225" s="913"/>
      <c r="J225" s="913"/>
      <c r="K225" s="915"/>
      <c r="L225" s="915"/>
      <c r="M225" s="913"/>
      <c r="N225" s="917"/>
      <c r="O225" s="915"/>
      <c r="P225" s="915"/>
      <c r="Q225" s="913"/>
      <c r="R225" s="912"/>
      <c r="S225" s="911"/>
    </row>
    <row r="226" spans="1:19" ht="18" x14ac:dyDescent="0.25">
      <c r="A226" s="915">
        <v>224</v>
      </c>
      <c r="B226" s="915" t="s">
        <v>392</v>
      </c>
      <c r="C226" s="916" t="s">
        <v>216</v>
      </c>
      <c r="D226" s="915" t="s">
        <v>92</v>
      </c>
      <c r="E226" s="915" t="s">
        <v>794</v>
      </c>
      <c r="F226" s="915" t="s">
        <v>798</v>
      </c>
      <c r="G226" s="915" t="s">
        <v>794</v>
      </c>
      <c r="H226" s="915"/>
      <c r="I226" s="913"/>
      <c r="J226" s="913"/>
      <c r="K226" s="915"/>
      <c r="L226" s="915"/>
      <c r="M226" s="913"/>
      <c r="N226" s="917"/>
      <c r="O226" s="915"/>
      <c r="P226" s="915"/>
      <c r="Q226" s="913"/>
      <c r="R226" s="912"/>
      <c r="S226" s="911"/>
    </row>
    <row r="227" spans="1:19" ht="18" x14ac:dyDescent="0.25">
      <c r="A227" s="915">
        <v>225</v>
      </c>
      <c r="B227" s="915" t="s">
        <v>485</v>
      </c>
      <c r="C227" s="916" t="s">
        <v>219</v>
      </c>
      <c r="D227" s="915" t="s">
        <v>92</v>
      </c>
      <c r="E227" s="915" t="s">
        <v>794</v>
      </c>
      <c r="F227" s="915" t="s">
        <v>795</v>
      </c>
      <c r="G227" s="915" t="s">
        <v>794</v>
      </c>
      <c r="H227" s="915"/>
      <c r="I227" s="913"/>
      <c r="J227" s="913"/>
      <c r="K227" s="915"/>
      <c r="L227" s="915"/>
      <c r="M227" s="913"/>
      <c r="N227" s="917"/>
      <c r="O227" s="915"/>
      <c r="P227" s="915"/>
      <c r="Q227" s="913"/>
      <c r="R227" s="912"/>
      <c r="S227" s="911"/>
    </row>
    <row r="228" spans="1:19" ht="18" x14ac:dyDescent="0.25">
      <c r="A228" s="915">
        <v>226</v>
      </c>
      <c r="B228" s="915" t="s">
        <v>393</v>
      </c>
      <c r="C228" s="916" t="s">
        <v>217</v>
      </c>
      <c r="D228" s="915" t="s">
        <v>92</v>
      </c>
      <c r="E228" s="915" t="s">
        <v>794</v>
      </c>
      <c r="F228" s="915" t="s">
        <v>798</v>
      </c>
      <c r="G228" s="915" t="s">
        <v>794</v>
      </c>
      <c r="H228" s="915"/>
      <c r="I228" s="913"/>
      <c r="J228" s="913"/>
      <c r="K228" s="915"/>
      <c r="L228" s="915"/>
      <c r="M228" s="913"/>
      <c r="N228" s="917"/>
      <c r="O228" s="915"/>
      <c r="P228" s="915"/>
      <c r="Q228" s="913"/>
      <c r="R228" s="912"/>
      <c r="S228" s="911"/>
    </row>
    <row r="229" spans="1:19" ht="18" x14ac:dyDescent="0.25">
      <c r="A229" s="915">
        <v>227</v>
      </c>
      <c r="B229" s="915" t="s">
        <v>394</v>
      </c>
      <c r="C229" s="916" t="s">
        <v>217</v>
      </c>
      <c r="D229" s="915" t="s">
        <v>92</v>
      </c>
      <c r="E229" s="915" t="s">
        <v>794</v>
      </c>
      <c r="F229" s="915" t="s">
        <v>798</v>
      </c>
      <c r="G229" s="915" t="s">
        <v>798</v>
      </c>
      <c r="H229" s="915"/>
      <c r="I229" s="913"/>
      <c r="J229" s="913"/>
      <c r="K229" s="915"/>
      <c r="L229" s="915"/>
      <c r="M229" s="913"/>
      <c r="N229" s="917"/>
      <c r="O229" s="915"/>
      <c r="P229" s="915"/>
      <c r="Q229" s="913"/>
      <c r="R229" s="912"/>
      <c r="S229" s="911"/>
    </row>
    <row r="230" spans="1:19" ht="18" x14ac:dyDescent="0.25">
      <c r="A230" s="915">
        <v>228</v>
      </c>
      <c r="B230" s="915" t="s">
        <v>395</v>
      </c>
      <c r="C230" s="916" t="s">
        <v>218</v>
      </c>
      <c r="D230" s="915" t="s">
        <v>92</v>
      </c>
      <c r="E230" s="915" t="s">
        <v>794</v>
      </c>
      <c r="F230" s="915" t="s">
        <v>798</v>
      </c>
      <c r="G230" s="915" t="s">
        <v>798</v>
      </c>
      <c r="H230" s="915"/>
      <c r="I230" s="913"/>
      <c r="J230" s="913"/>
      <c r="K230" s="915"/>
      <c r="L230" s="915"/>
      <c r="M230" s="913"/>
      <c r="N230" s="917"/>
      <c r="O230" s="915"/>
      <c r="P230" s="915"/>
      <c r="Q230" s="913"/>
      <c r="R230" s="912"/>
      <c r="S230" s="911"/>
    </row>
    <row r="231" spans="1:19" ht="18" x14ac:dyDescent="0.25">
      <c r="A231" s="915">
        <v>229</v>
      </c>
      <c r="B231" s="915" t="s">
        <v>396</v>
      </c>
      <c r="C231" s="916" t="s">
        <v>218</v>
      </c>
      <c r="D231" s="915" t="s">
        <v>92</v>
      </c>
      <c r="E231" s="915" t="s">
        <v>794</v>
      </c>
      <c r="F231" s="915" t="s">
        <v>798</v>
      </c>
      <c r="G231" s="915" t="s">
        <v>798</v>
      </c>
      <c r="H231" s="915"/>
      <c r="I231" s="913"/>
      <c r="J231" s="913"/>
      <c r="K231" s="915"/>
      <c r="L231" s="915"/>
      <c r="M231" s="913"/>
      <c r="N231" s="917"/>
      <c r="O231" s="915"/>
      <c r="P231" s="915"/>
      <c r="Q231" s="913"/>
      <c r="R231" s="912"/>
      <c r="S231" s="911"/>
    </row>
    <row r="232" spans="1:19" ht="18" x14ac:dyDescent="0.25">
      <c r="A232" s="915">
        <v>230</v>
      </c>
      <c r="B232" s="915" t="s">
        <v>397</v>
      </c>
      <c r="C232" s="916" t="s">
        <v>217</v>
      </c>
      <c r="D232" s="915" t="s">
        <v>92</v>
      </c>
      <c r="E232" s="915" t="s">
        <v>794</v>
      </c>
      <c r="F232" s="915" t="s">
        <v>798</v>
      </c>
      <c r="G232" s="915" t="s">
        <v>798</v>
      </c>
      <c r="H232" s="915" t="s">
        <v>807</v>
      </c>
      <c r="I232" s="913"/>
      <c r="J232" s="913"/>
      <c r="K232" s="915"/>
      <c r="L232" s="915"/>
      <c r="M232" s="913"/>
      <c r="N232" s="917"/>
      <c r="O232" s="915"/>
      <c r="P232" s="915"/>
      <c r="Q232" s="913"/>
      <c r="R232" s="912"/>
      <c r="S232" s="911"/>
    </row>
    <row r="233" spans="1:19" ht="18" x14ac:dyDescent="0.25">
      <c r="A233" s="915">
        <v>231</v>
      </c>
      <c r="B233" s="915" t="s">
        <v>398</v>
      </c>
      <c r="C233" s="916" t="s">
        <v>217</v>
      </c>
      <c r="D233" s="915" t="s">
        <v>92</v>
      </c>
      <c r="E233" s="915" t="s">
        <v>794</v>
      </c>
      <c r="F233" s="915" t="s">
        <v>798</v>
      </c>
      <c r="G233" s="915" t="s">
        <v>798</v>
      </c>
      <c r="H233" s="915" t="s">
        <v>792</v>
      </c>
      <c r="I233" s="913">
        <v>45998</v>
      </c>
      <c r="J233" s="913">
        <v>46011</v>
      </c>
      <c r="K233" s="915" t="s">
        <v>667</v>
      </c>
      <c r="L233" s="915" t="s">
        <v>806</v>
      </c>
      <c r="M233" s="913">
        <v>46029</v>
      </c>
      <c r="N233" s="917" t="s">
        <v>798</v>
      </c>
      <c r="O233" s="915">
        <v>35.088999999999999</v>
      </c>
      <c r="P233" s="915" t="s">
        <v>792</v>
      </c>
      <c r="Q233" s="913">
        <v>46361</v>
      </c>
      <c r="R233" s="912">
        <v>46062</v>
      </c>
      <c r="S233" s="911" t="e">
        <f>VLOOKUP(B233,#REF!,4,0)</f>
        <v>#REF!</v>
      </c>
    </row>
    <row r="234" spans="1:19" ht="18" x14ac:dyDescent="0.25">
      <c r="A234" s="915">
        <v>232</v>
      </c>
      <c r="B234" s="915" t="s">
        <v>399</v>
      </c>
      <c r="C234" s="916" t="s">
        <v>217</v>
      </c>
      <c r="D234" s="915" t="s">
        <v>547</v>
      </c>
      <c r="E234" s="915" t="s">
        <v>794</v>
      </c>
      <c r="F234" s="915" t="s">
        <v>798</v>
      </c>
      <c r="G234" s="915" t="s">
        <v>798</v>
      </c>
      <c r="H234" s="915" t="s">
        <v>792</v>
      </c>
      <c r="I234" s="913">
        <v>45998</v>
      </c>
      <c r="J234" s="913">
        <v>46006</v>
      </c>
      <c r="K234" s="915" t="s">
        <v>667</v>
      </c>
      <c r="L234" s="915" t="s">
        <v>808</v>
      </c>
      <c r="M234" s="913">
        <v>46029</v>
      </c>
      <c r="N234" s="917" t="s">
        <v>798</v>
      </c>
      <c r="O234" s="915">
        <v>35.088999999999999</v>
      </c>
      <c r="P234" s="915" t="s">
        <v>792</v>
      </c>
      <c r="Q234" s="913">
        <v>46034</v>
      </c>
      <c r="R234" s="912">
        <v>46051</v>
      </c>
      <c r="S234" s="911" t="e">
        <f>VLOOKUP(B234,#REF!,4,0)</f>
        <v>#REF!</v>
      </c>
    </row>
    <row r="235" spans="1:19" ht="18" x14ac:dyDescent="0.25">
      <c r="A235" s="915">
        <v>233</v>
      </c>
      <c r="B235" s="915" t="s">
        <v>400</v>
      </c>
      <c r="C235" s="916" t="s">
        <v>217</v>
      </c>
      <c r="D235" s="915" t="s">
        <v>92</v>
      </c>
      <c r="E235" s="915" t="s">
        <v>794</v>
      </c>
      <c r="F235" s="915" t="s">
        <v>798</v>
      </c>
      <c r="G235" s="915" t="s">
        <v>798</v>
      </c>
      <c r="H235" s="915" t="s">
        <v>792</v>
      </c>
      <c r="I235" s="913">
        <v>46005</v>
      </c>
      <c r="J235" s="913">
        <v>46017</v>
      </c>
      <c r="K235" s="915" t="s">
        <v>667</v>
      </c>
      <c r="L235" s="915" t="s">
        <v>806</v>
      </c>
      <c r="M235" s="913">
        <v>46028</v>
      </c>
      <c r="N235" s="917" t="s">
        <v>798</v>
      </c>
      <c r="O235" s="915">
        <v>35.088999999999999</v>
      </c>
      <c r="P235" s="915" t="s">
        <v>792</v>
      </c>
      <c r="Q235" s="913">
        <v>46052</v>
      </c>
      <c r="R235" s="912">
        <v>46056</v>
      </c>
      <c r="S235" s="911" t="e">
        <f>VLOOKUP(B235,#REF!,4,0)</f>
        <v>#REF!</v>
      </c>
    </row>
    <row r="236" spans="1:19" ht="18" x14ac:dyDescent="0.25">
      <c r="A236" s="915">
        <v>234</v>
      </c>
      <c r="B236" s="915" t="s">
        <v>401</v>
      </c>
      <c r="C236" s="916" t="s">
        <v>217</v>
      </c>
      <c r="D236" s="915" t="s">
        <v>547</v>
      </c>
      <c r="E236" s="915" t="s">
        <v>794</v>
      </c>
      <c r="F236" s="915" t="s">
        <v>798</v>
      </c>
      <c r="G236" s="915" t="s">
        <v>798</v>
      </c>
      <c r="H236" s="915" t="s">
        <v>792</v>
      </c>
      <c r="I236" s="913">
        <v>46005</v>
      </c>
      <c r="J236" s="913">
        <v>46014</v>
      </c>
      <c r="K236" s="915" t="s">
        <v>667</v>
      </c>
      <c r="L236" s="915" t="s">
        <v>808</v>
      </c>
      <c r="M236" s="913">
        <v>46023</v>
      </c>
      <c r="N236" s="917" t="s">
        <v>798</v>
      </c>
      <c r="O236" s="915">
        <v>35.088999999999999</v>
      </c>
      <c r="P236" s="915" t="s">
        <v>792</v>
      </c>
      <c r="Q236" s="913">
        <v>46053</v>
      </c>
      <c r="R236" s="912">
        <v>46069</v>
      </c>
      <c r="S236" s="911" t="e">
        <f>VLOOKUP(B236,#REF!,4,0)</f>
        <v>#REF!</v>
      </c>
    </row>
    <row r="237" spans="1:19" ht="18" x14ac:dyDescent="0.25">
      <c r="A237" s="915">
        <v>235</v>
      </c>
      <c r="B237" s="915" t="s">
        <v>402</v>
      </c>
      <c r="C237" s="916" t="s">
        <v>217</v>
      </c>
      <c r="D237" s="915" t="s">
        <v>92</v>
      </c>
      <c r="E237" s="915" t="s">
        <v>794</v>
      </c>
      <c r="F237" s="915" t="s">
        <v>798</v>
      </c>
      <c r="G237" s="915" t="s">
        <v>798</v>
      </c>
      <c r="H237" s="915" t="s">
        <v>792</v>
      </c>
      <c r="I237" s="913">
        <v>46013</v>
      </c>
      <c r="J237" s="913">
        <v>46020</v>
      </c>
      <c r="K237" s="915" t="s">
        <v>667</v>
      </c>
      <c r="L237" s="915" t="s">
        <v>806</v>
      </c>
      <c r="M237" s="913">
        <v>46028</v>
      </c>
      <c r="N237" s="917" t="s">
        <v>798</v>
      </c>
      <c r="O237" s="915">
        <v>35.088999999999999</v>
      </c>
      <c r="P237" s="915" t="s">
        <v>792</v>
      </c>
      <c r="Q237" s="913">
        <v>46045</v>
      </c>
      <c r="R237" s="912">
        <v>46049</v>
      </c>
      <c r="S237" s="911" t="e">
        <f>VLOOKUP(B237,#REF!,4,0)</f>
        <v>#REF!</v>
      </c>
    </row>
    <row r="238" spans="1:19" ht="18" x14ac:dyDescent="0.25">
      <c r="A238" s="915">
        <v>236</v>
      </c>
      <c r="B238" s="915" t="s">
        <v>403</v>
      </c>
      <c r="C238" s="916" t="s">
        <v>217</v>
      </c>
      <c r="D238" s="915" t="s">
        <v>92</v>
      </c>
      <c r="E238" s="915" t="s">
        <v>794</v>
      </c>
      <c r="F238" s="915" t="s">
        <v>798</v>
      </c>
      <c r="G238" s="915" t="s">
        <v>798</v>
      </c>
      <c r="H238" s="915" t="s">
        <v>792</v>
      </c>
      <c r="I238" s="913">
        <v>46018</v>
      </c>
      <c r="J238" s="913">
        <v>46022</v>
      </c>
      <c r="K238" s="915" t="s">
        <v>667</v>
      </c>
      <c r="L238" s="915" t="s">
        <v>806</v>
      </c>
      <c r="M238" s="913">
        <v>46028</v>
      </c>
      <c r="N238" s="917" t="s">
        <v>798</v>
      </c>
      <c r="O238" s="915">
        <v>35.088999999999999</v>
      </c>
      <c r="P238" s="915" t="s">
        <v>792</v>
      </c>
      <c r="Q238" s="913">
        <v>46039</v>
      </c>
      <c r="R238" s="912">
        <v>46043</v>
      </c>
      <c r="S238" s="911" t="e">
        <f>VLOOKUP(B238,#REF!,4,0)</f>
        <v>#REF!</v>
      </c>
    </row>
    <row r="239" spans="1:19" ht="18" x14ac:dyDescent="0.25">
      <c r="A239" s="915">
        <v>237</v>
      </c>
      <c r="B239" s="915" t="s">
        <v>404</v>
      </c>
      <c r="C239" s="916" t="s">
        <v>217</v>
      </c>
      <c r="D239" s="915" t="s">
        <v>547</v>
      </c>
      <c r="E239" s="915" t="s">
        <v>794</v>
      </c>
      <c r="F239" s="915" t="s">
        <v>798</v>
      </c>
      <c r="G239" s="915" t="s">
        <v>798</v>
      </c>
      <c r="H239" s="915" t="s">
        <v>792</v>
      </c>
      <c r="I239" s="913">
        <v>46022</v>
      </c>
      <c r="J239" s="913">
        <v>46028</v>
      </c>
      <c r="K239" s="915" t="s">
        <v>667</v>
      </c>
      <c r="L239" s="915"/>
      <c r="M239" s="913"/>
      <c r="N239" s="917" t="s">
        <v>798</v>
      </c>
      <c r="O239" s="915">
        <v>35.088999999999999</v>
      </c>
      <c r="P239" s="915" t="s">
        <v>792</v>
      </c>
      <c r="Q239" s="913"/>
      <c r="R239" s="912"/>
      <c r="S239" s="911"/>
    </row>
    <row r="240" spans="1:19" ht="18" x14ac:dyDescent="0.25">
      <c r="A240" s="915">
        <v>238</v>
      </c>
      <c r="B240" s="915" t="s">
        <v>486</v>
      </c>
      <c r="C240" s="916" t="s">
        <v>242</v>
      </c>
      <c r="D240" s="915" t="s">
        <v>92</v>
      </c>
      <c r="E240" s="915" t="s">
        <v>794</v>
      </c>
      <c r="F240" s="915"/>
      <c r="G240" s="915" t="s">
        <v>798</v>
      </c>
      <c r="H240" s="915" t="s">
        <v>792</v>
      </c>
      <c r="I240" s="997">
        <v>46105</v>
      </c>
      <c r="J240" s="913">
        <v>46099</v>
      </c>
      <c r="K240" s="915" t="s">
        <v>665</v>
      </c>
      <c r="L240" s="915" t="s">
        <v>806</v>
      </c>
      <c r="M240" s="913">
        <v>46104</v>
      </c>
      <c r="N240" s="917" t="s">
        <v>798</v>
      </c>
      <c r="O240" s="915">
        <v>54.72</v>
      </c>
      <c r="P240" s="915" t="s">
        <v>792</v>
      </c>
      <c r="Q240" s="913">
        <v>46117</v>
      </c>
      <c r="R240" s="912">
        <v>46124</v>
      </c>
      <c r="S240" s="911" t="e">
        <f>VLOOKUP(B240,#REF!,4,0)</f>
        <v>#REF!</v>
      </c>
    </row>
    <row r="241" spans="1:19" ht="18" x14ac:dyDescent="0.25">
      <c r="A241" s="915">
        <v>239</v>
      </c>
      <c r="B241" s="915" t="s">
        <v>405</v>
      </c>
      <c r="C241" s="916" t="s">
        <v>218</v>
      </c>
      <c r="D241" s="915" t="s">
        <v>546</v>
      </c>
      <c r="E241" s="915" t="s">
        <v>794</v>
      </c>
      <c r="F241" s="915" t="s">
        <v>798</v>
      </c>
      <c r="G241" s="915" t="s">
        <v>798</v>
      </c>
      <c r="H241" s="915" t="s">
        <v>792</v>
      </c>
      <c r="I241" s="913">
        <v>46026</v>
      </c>
      <c r="J241" s="913">
        <v>46045</v>
      </c>
      <c r="K241" s="915" t="s">
        <v>667</v>
      </c>
      <c r="L241" s="915"/>
      <c r="M241" s="913"/>
      <c r="N241" s="917" t="s">
        <v>798</v>
      </c>
      <c r="O241" s="915">
        <v>36.771000000000001</v>
      </c>
      <c r="P241" s="915" t="s">
        <v>792</v>
      </c>
      <c r="Q241" s="913">
        <v>46052</v>
      </c>
      <c r="R241" s="912">
        <v>46058</v>
      </c>
      <c r="S241" s="911" t="e">
        <f>VLOOKUP(B241,#REF!,4,0)</f>
        <v>#REF!</v>
      </c>
    </row>
    <row r="242" spans="1:19" ht="18" x14ac:dyDescent="0.25">
      <c r="A242" s="915">
        <v>240</v>
      </c>
      <c r="B242" s="915" t="s">
        <v>406</v>
      </c>
      <c r="C242" s="916" t="s">
        <v>218</v>
      </c>
      <c r="D242" s="915" t="s">
        <v>92</v>
      </c>
      <c r="E242" s="915" t="s">
        <v>794</v>
      </c>
      <c r="F242" s="915" t="s">
        <v>798</v>
      </c>
      <c r="G242" s="915" t="s">
        <v>798</v>
      </c>
      <c r="H242" s="915" t="s">
        <v>792</v>
      </c>
      <c r="I242" s="913">
        <v>46027</v>
      </c>
      <c r="J242" s="913">
        <v>46034</v>
      </c>
      <c r="K242" s="915" t="s">
        <v>667</v>
      </c>
      <c r="L242" s="915"/>
      <c r="M242" s="913"/>
      <c r="N242" s="917" t="s">
        <v>798</v>
      </c>
      <c r="O242" s="915">
        <v>36.771000000000001</v>
      </c>
      <c r="P242" s="915" t="s">
        <v>792</v>
      </c>
      <c r="Q242" s="913">
        <v>46049</v>
      </c>
      <c r="R242" s="912">
        <v>46053</v>
      </c>
      <c r="S242" s="911" t="e">
        <f>VLOOKUP(B242,#REF!,4,0)</f>
        <v>#REF!</v>
      </c>
    </row>
    <row r="243" spans="1:19" ht="18" x14ac:dyDescent="0.25">
      <c r="A243" s="915">
        <v>241</v>
      </c>
      <c r="B243" s="915" t="s">
        <v>407</v>
      </c>
      <c r="C243" s="916" t="s">
        <v>218</v>
      </c>
      <c r="D243" s="915" t="s">
        <v>547</v>
      </c>
      <c r="E243" s="915" t="s">
        <v>794</v>
      </c>
      <c r="F243" s="915" t="s">
        <v>798</v>
      </c>
      <c r="G243" s="915" t="s">
        <v>798</v>
      </c>
      <c r="H243" s="915" t="s">
        <v>792</v>
      </c>
      <c r="I243" s="913">
        <v>46032</v>
      </c>
      <c r="J243" s="913">
        <v>46036</v>
      </c>
      <c r="K243" s="915" t="s">
        <v>667</v>
      </c>
      <c r="L243" s="915" t="s">
        <v>808</v>
      </c>
      <c r="M243" s="913">
        <v>46047</v>
      </c>
      <c r="N243" s="917" t="s">
        <v>798</v>
      </c>
      <c r="O243" s="915">
        <v>36.771000000000001</v>
      </c>
      <c r="P243" s="915" t="s">
        <v>792</v>
      </c>
      <c r="Q243" s="913"/>
      <c r="R243" s="912"/>
      <c r="S243" s="911"/>
    </row>
    <row r="244" spans="1:19" ht="18" x14ac:dyDescent="0.25">
      <c r="A244" s="915">
        <v>242</v>
      </c>
      <c r="B244" s="915" t="s">
        <v>408</v>
      </c>
      <c r="C244" s="916" t="s">
        <v>217</v>
      </c>
      <c r="D244" s="915" t="s">
        <v>92</v>
      </c>
      <c r="E244" s="915" t="s">
        <v>794</v>
      </c>
      <c r="F244" s="915" t="s">
        <v>798</v>
      </c>
      <c r="G244" s="915" t="s">
        <v>798</v>
      </c>
      <c r="H244" s="915" t="s">
        <v>792</v>
      </c>
      <c r="I244" s="913">
        <v>46043</v>
      </c>
      <c r="J244" s="913">
        <v>46046</v>
      </c>
      <c r="K244" s="915" t="s">
        <v>667</v>
      </c>
      <c r="L244" s="915"/>
      <c r="M244" s="913"/>
      <c r="N244" s="917" t="s">
        <v>798</v>
      </c>
      <c r="O244" s="915">
        <v>35.088999999999999</v>
      </c>
      <c r="P244" s="915" t="s">
        <v>792</v>
      </c>
      <c r="Q244" s="913">
        <v>46101</v>
      </c>
      <c r="R244" s="912">
        <v>46110</v>
      </c>
      <c r="S244" s="911" t="e">
        <f>VLOOKUP(B244,#REF!,4,0)</f>
        <v>#REF!</v>
      </c>
    </row>
    <row r="245" spans="1:19" ht="18" x14ac:dyDescent="0.25">
      <c r="A245" s="915">
        <v>243</v>
      </c>
      <c r="B245" s="915" t="s">
        <v>409</v>
      </c>
      <c r="C245" s="916" t="s">
        <v>217</v>
      </c>
      <c r="D245" s="915" t="s">
        <v>92</v>
      </c>
      <c r="E245" s="915" t="s">
        <v>794</v>
      </c>
      <c r="F245" s="915" t="s">
        <v>798</v>
      </c>
      <c r="G245" s="915" t="s">
        <v>798</v>
      </c>
      <c r="H245" s="915" t="s">
        <v>792</v>
      </c>
      <c r="I245" s="913">
        <v>46044</v>
      </c>
      <c r="J245" s="913">
        <v>46049</v>
      </c>
      <c r="K245" s="915" t="s">
        <v>667</v>
      </c>
      <c r="L245" s="915" t="s">
        <v>806</v>
      </c>
      <c r="M245" s="913">
        <v>46055</v>
      </c>
      <c r="N245" s="917" t="s">
        <v>798</v>
      </c>
      <c r="O245" s="915">
        <v>35.088999999999999</v>
      </c>
      <c r="P245" s="915" t="s">
        <v>792</v>
      </c>
      <c r="Q245" s="913">
        <v>46061</v>
      </c>
      <c r="R245" s="912">
        <v>46077</v>
      </c>
      <c r="S245" s="911" t="e">
        <f>VLOOKUP(B245,#REF!,4,0)</f>
        <v>#REF!</v>
      </c>
    </row>
    <row r="246" spans="1:19" ht="18" x14ac:dyDescent="0.25">
      <c r="A246" s="915">
        <v>244</v>
      </c>
      <c r="B246" s="915" t="s">
        <v>410</v>
      </c>
      <c r="C246" s="916" t="s">
        <v>217</v>
      </c>
      <c r="D246" s="915" t="s">
        <v>92</v>
      </c>
      <c r="E246" s="915" t="s">
        <v>794</v>
      </c>
      <c r="F246" s="915" t="s">
        <v>798</v>
      </c>
      <c r="G246" s="915" t="s">
        <v>798</v>
      </c>
      <c r="H246" s="915" t="s">
        <v>792</v>
      </c>
      <c r="I246" s="997">
        <v>46048</v>
      </c>
      <c r="J246" s="913">
        <v>46077</v>
      </c>
      <c r="K246" s="915" t="s">
        <v>694</v>
      </c>
      <c r="L246" s="915" t="s">
        <v>806</v>
      </c>
      <c r="M246" s="913">
        <v>46088</v>
      </c>
      <c r="N246" s="917" t="s">
        <v>798</v>
      </c>
      <c r="O246" s="915">
        <v>35.088999999999999</v>
      </c>
      <c r="P246" s="915" t="s">
        <v>792</v>
      </c>
      <c r="Q246" s="913">
        <v>46091</v>
      </c>
      <c r="R246" s="912">
        <v>46097</v>
      </c>
      <c r="S246" s="911" t="e">
        <f>VLOOKUP(B246,#REF!,4,0)</f>
        <v>#REF!</v>
      </c>
    </row>
    <row r="247" spans="1:19" ht="18" x14ac:dyDescent="0.25">
      <c r="A247" s="915">
        <v>245</v>
      </c>
      <c r="B247" s="915" t="s">
        <v>411</v>
      </c>
      <c r="C247" s="916" t="s">
        <v>218</v>
      </c>
      <c r="D247" s="915" t="s">
        <v>92</v>
      </c>
      <c r="E247" s="915" t="s">
        <v>794</v>
      </c>
      <c r="F247" s="915" t="s">
        <v>798</v>
      </c>
      <c r="G247" s="915" t="s">
        <v>798</v>
      </c>
      <c r="H247" s="915" t="s">
        <v>792</v>
      </c>
      <c r="I247" s="913">
        <v>46049</v>
      </c>
      <c r="J247" s="913">
        <v>46081</v>
      </c>
      <c r="K247" s="915" t="s">
        <v>694</v>
      </c>
      <c r="L247" s="915" t="s">
        <v>806</v>
      </c>
      <c r="M247" s="913">
        <v>46088</v>
      </c>
      <c r="N247" s="917" t="s">
        <v>798</v>
      </c>
      <c r="O247" s="915">
        <v>36.771000000000001</v>
      </c>
      <c r="P247" s="915" t="s">
        <v>792</v>
      </c>
      <c r="Q247" s="913">
        <v>46097</v>
      </c>
      <c r="R247" s="912">
        <v>46104</v>
      </c>
      <c r="S247" s="911" t="e">
        <f>VLOOKUP(B247,#REF!,4,0)</f>
        <v>#REF!</v>
      </c>
    </row>
    <row r="248" spans="1:19" ht="18" x14ac:dyDescent="0.25">
      <c r="A248" s="915">
        <v>246</v>
      </c>
      <c r="B248" s="915" t="s">
        <v>412</v>
      </c>
      <c r="C248" s="916" t="s">
        <v>217</v>
      </c>
      <c r="D248" s="915" t="s">
        <v>92</v>
      </c>
      <c r="E248" s="915" t="s">
        <v>794</v>
      </c>
      <c r="F248" s="915" t="s">
        <v>798</v>
      </c>
      <c r="G248" s="915" t="s">
        <v>798</v>
      </c>
      <c r="H248" s="915" t="s">
        <v>792</v>
      </c>
      <c r="I248" s="913">
        <v>46065</v>
      </c>
      <c r="J248" s="913">
        <v>46079</v>
      </c>
      <c r="K248" s="915" t="s">
        <v>694</v>
      </c>
      <c r="L248" s="915" t="s">
        <v>806</v>
      </c>
      <c r="M248" s="913">
        <v>46084</v>
      </c>
      <c r="N248" s="917" t="s">
        <v>798</v>
      </c>
      <c r="O248" s="915">
        <v>35.088999999999999</v>
      </c>
      <c r="P248" s="915" t="s">
        <v>792</v>
      </c>
      <c r="Q248" s="913">
        <v>46111</v>
      </c>
      <c r="R248" s="912">
        <v>46116</v>
      </c>
      <c r="S248" s="911" t="e">
        <f>VLOOKUP(B248,#REF!,4,0)</f>
        <v>#REF!</v>
      </c>
    </row>
    <row r="249" spans="1:19" ht="18" x14ac:dyDescent="0.25">
      <c r="A249" s="915">
        <v>247</v>
      </c>
      <c r="B249" s="915" t="s">
        <v>487</v>
      </c>
      <c r="C249" s="916" t="s">
        <v>215</v>
      </c>
      <c r="D249" s="915" t="s">
        <v>547</v>
      </c>
      <c r="E249" s="915" t="s">
        <v>794</v>
      </c>
      <c r="F249" s="915" t="s">
        <v>798</v>
      </c>
      <c r="G249" s="915" t="s">
        <v>798</v>
      </c>
      <c r="H249" s="915" t="s">
        <v>792</v>
      </c>
      <c r="I249" s="913">
        <v>46049</v>
      </c>
      <c r="J249" s="913">
        <v>46053</v>
      </c>
      <c r="K249" s="915" t="s">
        <v>667</v>
      </c>
      <c r="L249" s="915" t="s">
        <v>808</v>
      </c>
      <c r="M249" s="913">
        <v>46054</v>
      </c>
      <c r="N249" s="917" t="s">
        <v>798</v>
      </c>
      <c r="O249" s="915">
        <v>54.72</v>
      </c>
      <c r="P249" s="915" t="s">
        <v>792</v>
      </c>
      <c r="Q249" s="913">
        <v>46073</v>
      </c>
      <c r="R249" s="912">
        <v>46084</v>
      </c>
      <c r="S249" s="911" t="e">
        <f>VLOOKUP(B249,#REF!,4,0)</f>
        <v>#REF!</v>
      </c>
    </row>
    <row r="250" spans="1:19" ht="18" x14ac:dyDescent="0.25">
      <c r="A250" s="915">
        <v>248</v>
      </c>
      <c r="B250" s="915" t="s">
        <v>413</v>
      </c>
      <c r="C250" s="916" t="s">
        <v>217</v>
      </c>
      <c r="D250" s="915" t="s">
        <v>547</v>
      </c>
      <c r="E250" s="915" t="s">
        <v>794</v>
      </c>
      <c r="F250" s="915" t="s">
        <v>798</v>
      </c>
      <c r="G250" s="915" t="s">
        <v>798</v>
      </c>
      <c r="H250" s="915" t="s">
        <v>792</v>
      </c>
      <c r="I250" s="913">
        <v>46046</v>
      </c>
      <c r="J250" s="913">
        <v>46050</v>
      </c>
      <c r="K250" s="915" t="s">
        <v>666</v>
      </c>
      <c r="L250" s="915" t="s">
        <v>808</v>
      </c>
      <c r="M250" s="913">
        <v>46083</v>
      </c>
      <c r="N250" s="917" t="s">
        <v>798</v>
      </c>
      <c r="O250" s="915">
        <v>35.088999999999999</v>
      </c>
      <c r="P250" s="915" t="s">
        <v>792</v>
      </c>
      <c r="Q250" s="913">
        <v>46069</v>
      </c>
      <c r="R250" s="912">
        <v>46073</v>
      </c>
      <c r="S250" s="911" t="e">
        <f>VLOOKUP(B250,#REF!,4,0)</f>
        <v>#REF!</v>
      </c>
    </row>
    <row r="251" spans="1:19" ht="18" x14ac:dyDescent="0.25">
      <c r="A251" s="915">
        <v>249</v>
      </c>
      <c r="B251" s="915" t="s">
        <v>414</v>
      </c>
      <c r="C251" s="916" t="s">
        <v>217</v>
      </c>
      <c r="D251" s="915" t="s">
        <v>92</v>
      </c>
      <c r="E251" s="915" t="s">
        <v>794</v>
      </c>
      <c r="F251" s="915" t="s">
        <v>798</v>
      </c>
      <c r="G251" s="915" t="s">
        <v>798</v>
      </c>
      <c r="H251" s="915" t="s">
        <v>792</v>
      </c>
      <c r="I251" s="913">
        <v>46040</v>
      </c>
      <c r="J251" s="913">
        <v>46044</v>
      </c>
      <c r="K251" s="915" t="s">
        <v>666</v>
      </c>
      <c r="L251" s="915" t="s">
        <v>806</v>
      </c>
      <c r="M251" s="913">
        <v>46083</v>
      </c>
      <c r="N251" s="917" t="s">
        <v>798</v>
      </c>
      <c r="O251" s="915">
        <v>35.088999999999999</v>
      </c>
      <c r="P251" s="915" t="s">
        <v>792</v>
      </c>
      <c r="Q251" s="913">
        <v>46058</v>
      </c>
      <c r="R251" s="912">
        <v>46065</v>
      </c>
      <c r="S251" s="911" t="e">
        <f>VLOOKUP(B251,#REF!,4,0)</f>
        <v>#REF!</v>
      </c>
    </row>
    <row r="252" spans="1:19" ht="18" x14ac:dyDescent="0.25">
      <c r="A252" s="915">
        <v>250</v>
      </c>
      <c r="B252" s="915" t="s">
        <v>619</v>
      </c>
      <c r="C252" s="916" t="s">
        <v>217</v>
      </c>
      <c r="D252" s="915" t="s">
        <v>547</v>
      </c>
      <c r="E252" s="915" t="s">
        <v>794</v>
      </c>
      <c r="F252" s="915" t="s">
        <v>798</v>
      </c>
      <c r="G252" s="915" t="s">
        <v>798</v>
      </c>
      <c r="H252" s="915" t="s">
        <v>792</v>
      </c>
      <c r="I252" s="913">
        <v>46048</v>
      </c>
      <c r="J252" s="913">
        <v>46053</v>
      </c>
      <c r="K252" s="915" t="s">
        <v>666</v>
      </c>
      <c r="L252" s="915" t="s">
        <v>808</v>
      </c>
      <c r="M252" s="913">
        <v>46083</v>
      </c>
      <c r="N252" s="917" t="s">
        <v>798</v>
      </c>
      <c r="O252" s="915">
        <v>35.088999999999999</v>
      </c>
      <c r="P252" s="915" t="s">
        <v>792</v>
      </c>
      <c r="Q252" s="913">
        <v>46065</v>
      </c>
      <c r="R252" s="912">
        <v>46069</v>
      </c>
      <c r="S252" s="911" t="e">
        <f>VLOOKUP(B252,#REF!,4,0)</f>
        <v>#REF!</v>
      </c>
    </row>
    <row r="253" spans="1:19" ht="18" x14ac:dyDescent="0.25">
      <c r="A253" s="915">
        <v>251</v>
      </c>
      <c r="B253" s="915" t="s">
        <v>620</v>
      </c>
      <c r="C253" s="916" t="s">
        <v>217</v>
      </c>
      <c r="D253" s="915" t="s">
        <v>669</v>
      </c>
      <c r="E253" s="915" t="s">
        <v>794</v>
      </c>
      <c r="F253" s="915" t="s">
        <v>798</v>
      </c>
      <c r="G253" s="915" t="s">
        <v>798</v>
      </c>
      <c r="H253" s="915" t="s">
        <v>807</v>
      </c>
      <c r="I253" s="913"/>
      <c r="J253" s="913"/>
      <c r="K253" s="915"/>
      <c r="L253" s="915"/>
      <c r="M253" s="913"/>
      <c r="N253" s="917"/>
      <c r="O253" s="915"/>
      <c r="P253" s="915"/>
      <c r="Q253" s="913"/>
      <c r="R253" s="912"/>
      <c r="S253" s="911"/>
    </row>
    <row r="254" spans="1:19" ht="18" x14ac:dyDescent="0.25">
      <c r="A254" s="915">
        <v>252</v>
      </c>
      <c r="B254" s="915" t="s">
        <v>621</v>
      </c>
      <c r="C254" s="916" t="s">
        <v>217</v>
      </c>
      <c r="D254" s="915" t="s">
        <v>547</v>
      </c>
      <c r="E254" s="915" t="s">
        <v>794</v>
      </c>
      <c r="F254" s="915" t="s">
        <v>798</v>
      </c>
      <c r="G254" s="915" t="s">
        <v>798</v>
      </c>
      <c r="H254" s="915" t="s">
        <v>792</v>
      </c>
      <c r="I254" s="913">
        <v>46055</v>
      </c>
      <c r="J254" s="913">
        <v>46067</v>
      </c>
      <c r="K254" s="915" t="s">
        <v>666</v>
      </c>
      <c r="L254" s="915" t="s">
        <v>808</v>
      </c>
      <c r="M254" s="913">
        <v>46083</v>
      </c>
      <c r="N254" s="917" t="s">
        <v>798</v>
      </c>
      <c r="O254" s="915">
        <v>35.088999999999999</v>
      </c>
      <c r="P254" s="915" t="s">
        <v>792</v>
      </c>
      <c r="Q254" s="913">
        <v>46080</v>
      </c>
      <c r="R254" s="912">
        <v>46083</v>
      </c>
      <c r="S254" s="911" t="e">
        <f>VLOOKUP(B254,#REF!,4,0)</f>
        <v>#REF!</v>
      </c>
    </row>
    <row r="255" spans="1:19" ht="18" x14ac:dyDescent="0.25">
      <c r="A255" s="915">
        <v>253</v>
      </c>
      <c r="B255" s="915" t="s">
        <v>622</v>
      </c>
      <c r="C255" s="916" t="s">
        <v>217</v>
      </c>
      <c r="D255" s="915" t="s">
        <v>92</v>
      </c>
      <c r="E255" s="915" t="s">
        <v>794</v>
      </c>
      <c r="F255" s="915" t="s">
        <v>798</v>
      </c>
      <c r="G255" s="915" t="s">
        <v>798</v>
      </c>
      <c r="H255" s="915" t="s">
        <v>792</v>
      </c>
      <c r="I255" s="913">
        <v>46062</v>
      </c>
      <c r="J255" s="913">
        <v>46075</v>
      </c>
      <c r="K255" s="915" t="s">
        <v>666</v>
      </c>
      <c r="L255" s="915" t="s">
        <v>806</v>
      </c>
      <c r="M255" s="913">
        <v>46084</v>
      </c>
      <c r="N255" s="917" t="s">
        <v>798</v>
      </c>
      <c r="O255" s="915">
        <v>35.088999999999999</v>
      </c>
      <c r="P255" s="915" t="s">
        <v>792</v>
      </c>
      <c r="Q255" s="913">
        <v>46094</v>
      </c>
      <c r="R255" s="912">
        <v>46097</v>
      </c>
      <c r="S255" s="911" t="e">
        <f>VLOOKUP(B255,#REF!,4,0)</f>
        <v>#REF!</v>
      </c>
    </row>
    <row r="256" spans="1:19" ht="18" x14ac:dyDescent="0.25">
      <c r="A256" s="915">
        <v>254</v>
      </c>
      <c r="B256" s="915" t="s">
        <v>623</v>
      </c>
      <c r="C256" s="916" t="s">
        <v>217</v>
      </c>
      <c r="D256" s="915" t="s">
        <v>92</v>
      </c>
      <c r="E256" s="915" t="s">
        <v>794</v>
      </c>
      <c r="F256" s="915" t="s">
        <v>798</v>
      </c>
      <c r="G256" s="915" t="s">
        <v>798</v>
      </c>
      <c r="H256" s="915" t="s">
        <v>792</v>
      </c>
      <c r="I256" s="913">
        <v>46069</v>
      </c>
      <c r="J256" s="913">
        <v>46081</v>
      </c>
      <c r="K256" s="915" t="s">
        <v>666</v>
      </c>
      <c r="L256" s="915" t="s">
        <v>806</v>
      </c>
      <c r="M256" s="913">
        <v>46084</v>
      </c>
      <c r="N256" s="917" t="s">
        <v>798</v>
      </c>
      <c r="O256" s="915">
        <v>35.088999999999999</v>
      </c>
      <c r="P256" s="915" t="s">
        <v>792</v>
      </c>
      <c r="Q256" s="913">
        <v>46097</v>
      </c>
      <c r="R256" s="912">
        <v>46101</v>
      </c>
      <c r="S256" s="911" t="e">
        <f>VLOOKUP(B256,#REF!,4,0)</f>
        <v>#REF!</v>
      </c>
    </row>
    <row r="257" spans="1:19" ht="18" x14ac:dyDescent="0.25">
      <c r="A257" s="915">
        <v>255</v>
      </c>
      <c r="B257" s="915" t="s">
        <v>624</v>
      </c>
      <c r="C257" s="916" t="s">
        <v>217</v>
      </c>
      <c r="D257" s="915" t="s">
        <v>669</v>
      </c>
      <c r="E257" s="915" t="s">
        <v>798</v>
      </c>
      <c r="F257" s="915" t="s">
        <v>798</v>
      </c>
      <c r="G257" s="915" t="s">
        <v>798</v>
      </c>
      <c r="H257" s="915"/>
      <c r="I257" s="913"/>
      <c r="J257" s="913"/>
      <c r="K257" s="915"/>
      <c r="L257" s="915"/>
      <c r="M257" s="913"/>
      <c r="N257" s="917"/>
      <c r="O257" s="915"/>
      <c r="P257" s="915"/>
      <c r="Q257" s="913"/>
      <c r="R257" s="912"/>
      <c r="S257" s="911"/>
    </row>
    <row r="258" spans="1:19" ht="18" x14ac:dyDescent="0.25">
      <c r="A258" s="915">
        <v>256</v>
      </c>
      <c r="B258" s="915" t="s">
        <v>625</v>
      </c>
      <c r="C258" s="916" t="s">
        <v>217</v>
      </c>
      <c r="D258" s="915" t="s">
        <v>92</v>
      </c>
      <c r="E258" s="915" t="s">
        <v>798</v>
      </c>
      <c r="F258" s="915" t="s">
        <v>798</v>
      </c>
      <c r="G258" s="915" t="s">
        <v>798</v>
      </c>
      <c r="H258" s="915"/>
      <c r="I258" s="913"/>
      <c r="J258" s="913"/>
      <c r="K258" s="915"/>
      <c r="L258" s="915"/>
      <c r="M258" s="913"/>
      <c r="N258" s="917"/>
      <c r="O258" s="915"/>
      <c r="P258" s="915"/>
      <c r="Q258" s="913"/>
      <c r="R258" s="912"/>
      <c r="S258" s="911"/>
    </row>
    <row r="259" spans="1:19" ht="18" x14ac:dyDescent="0.25">
      <c r="A259" s="915">
        <v>257</v>
      </c>
      <c r="B259" s="915" t="s">
        <v>742</v>
      </c>
      <c r="C259" s="916" t="s">
        <v>242</v>
      </c>
      <c r="D259" s="915" t="s">
        <v>92</v>
      </c>
      <c r="E259" s="915" t="s">
        <v>794</v>
      </c>
      <c r="F259" s="915"/>
      <c r="G259" s="915" t="s">
        <v>794</v>
      </c>
      <c r="H259" s="915" t="s">
        <v>807</v>
      </c>
      <c r="I259" s="913"/>
      <c r="J259" s="913"/>
      <c r="K259" s="915"/>
      <c r="L259" s="915"/>
      <c r="M259" s="913"/>
      <c r="N259" s="917"/>
      <c r="O259" s="915"/>
      <c r="P259" s="915"/>
      <c r="Q259" s="913"/>
      <c r="R259" s="912"/>
      <c r="S259" s="911"/>
    </row>
    <row r="260" spans="1:19" ht="18" x14ac:dyDescent="0.25">
      <c r="A260" s="915">
        <v>258</v>
      </c>
      <c r="B260" s="915" t="s">
        <v>627</v>
      </c>
      <c r="C260" s="916" t="s">
        <v>217</v>
      </c>
      <c r="D260" s="915" t="s">
        <v>92</v>
      </c>
      <c r="E260" s="915" t="s">
        <v>794</v>
      </c>
      <c r="F260" s="915" t="s">
        <v>798</v>
      </c>
      <c r="G260" s="915" t="s">
        <v>798</v>
      </c>
      <c r="H260" s="915" t="s">
        <v>792</v>
      </c>
      <c r="I260" s="913">
        <v>46055</v>
      </c>
      <c r="J260" s="913">
        <v>46067</v>
      </c>
      <c r="K260" s="915" t="s">
        <v>694</v>
      </c>
      <c r="L260" s="915" t="s">
        <v>806</v>
      </c>
      <c r="M260" s="913">
        <v>46070</v>
      </c>
      <c r="N260" s="917" t="s">
        <v>798</v>
      </c>
      <c r="O260" s="915">
        <v>35.088999999999999</v>
      </c>
      <c r="P260" s="915" t="s">
        <v>792</v>
      </c>
      <c r="Q260" s="913">
        <v>46077</v>
      </c>
      <c r="R260" s="912">
        <v>46080</v>
      </c>
      <c r="S260" s="911" t="e">
        <f>VLOOKUP(B260,#REF!,4,0)</f>
        <v>#REF!</v>
      </c>
    </row>
    <row r="261" spans="1:19" ht="18" x14ac:dyDescent="0.25">
      <c r="A261" s="915">
        <v>259</v>
      </c>
      <c r="B261" s="915" t="s">
        <v>628</v>
      </c>
      <c r="C261" s="916" t="s">
        <v>217</v>
      </c>
      <c r="D261" s="915" t="s">
        <v>92</v>
      </c>
      <c r="E261" s="915" t="s">
        <v>794</v>
      </c>
      <c r="F261" s="915" t="s">
        <v>798</v>
      </c>
      <c r="G261" s="915" t="s">
        <v>798</v>
      </c>
      <c r="H261" s="915" t="s">
        <v>792</v>
      </c>
      <c r="I261" s="913">
        <v>46055</v>
      </c>
      <c r="J261" s="913">
        <v>46064</v>
      </c>
      <c r="K261" s="915" t="s">
        <v>694</v>
      </c>
      <c r="L261" s="915"/>
      <c r="M261" s="913"/>
      <c r="N261" s="917" t="s">
        <v>798</v>
      </c>
      <c r="O261" s="915">
        <v>35.088999999999999</v>
      </c>
      <c r="P261" s="915" t="s">
        <v>792</v>
      </c>
      <c r="Q261" s="913">
        <v>46073</v>
      </c>
      <c r="R261" s="912">
        <v>46075</v>
      </c>
      <c r="S261" s="911" t="e">
        <f>VLOOKUP(B261,#REF!,4,0)</f>
        <v>#REF!</v>
      </c>
    </row>
    <row r="262" spans="1:19" ht="18" x14ac:dyDescent="0.25">
      <c r="A262" s="915">
        <v>260</v>
      </c>
      <c r="B262" s="915" t="s">
        <v>629</v>
      </c>
      <c r="C262" s="916" t="s">
        <v>217</v>
      </c>
      <c r="D262" s="915" t="s">
        <v>92</v>
      </c>
      <c r="E262" s="915" t="s">
        <v>794</v>
      </c>
      <c r="F262" s="915" t="s">
        <v>798</v>
      </c>
      <c r="G262" s="915" t="s">
        <v>798</v>
      </c>
      <c r="H262" s="915" t="s">
        <v>792</v>
      </c>
      <c r="I262" s="913">
        <v>46048</v>
      </c>
      <c r="J262" s="913">
        <v>46061</v>
      </c>
      <c r="K262" s="915" t="s">
        <v>689</v>
      </c>
      <c r="L262" s="915"/>
      <c r="M262" s="913"/>
      <c r="N262" s="917" t="s">
        <v>798</v>
      </c>
      <c r="O262" s="915">
        <v>35.088999999999999</v>
      </c>
      <c r="P262" s="915" t="s">
        <v>792</v>
      </c>
      <c r="Q262" s="913">
        <v>46075</v>
      </c>
      <c r="R262" s="912">
        <v>46077</v>
      </c>
      <c r="S262" s="911" t="e">
        <f>VLOOKUP(B262,#REF!,4,0)</f>
        <v>#REF!</v>
      </c>
    </row>
    <row r="263" spans="1:19" ht="18" x14ac:dyDescent="0.25">
      <c r="A263" s="915">
        <v>261</v>
      </c>
      <c r="B263" s="915" t="s">
        <v>630</v>
      </c>
      <c r="C263" s="916" t="s">
        <v>217</v>
      </c>
      <c r="D263" s="915" t="s">
        <v>92</v>
      </c>
      <c r="E263" s="915" t="s">
        <v>794</v>
      </c>
      <c r="F263" s="915" t="s">
        <v>798</v>
      </c>
      <c r="G263" s="915" t="s">
        <v>798</v>
      </c>
      <c r="H263" s="915" t="s">
        <v>792</v>
      </c>
      <c r="I263" s="913">
        <v>46044</v>
      </c>
      <c r="J263" s="913">
        <v>46048</v>
      </c>
      <c r="K263" s="915" t="s">
        <v>689</v>
      </c>
      <c r="L263" s="915" t="s">
        <v>806</v>
      </c>
      <c r="M263" s="913">
        <v>46067</v>
      </c>
      <c r="N263" s="917" t="s">
        <v>798</v>
      </c>
      <c r="O263" s="915">
        <v>35.088999999999999</v>
      </c>
      <c r="P263" s="915" t="s">
        <v>792</v>
      </c>
      <c r="Q263" s="913">
        <v>46067</v>
      </c>
      <c r="R263" s="912">
        <v>46070</v>
      </c>
      <c r="S263" s="911" t="e">
        <f>VLOOKUP(B263,#REF!,4,0)</f>
        <v>#REF!</v>
      </c>
    </row>
    <row r="264" spans="1:19" ht="18" x14ac:dyDescent="0.25">
      <c r="A264" s="915">
        <v>262</v>
      </c>
      <c r="B264" s="915" t="s">
        <v>631</v>
      </c>
      <c r="C264" s="916" t="s">
        <v>217</v>
      </c>
      <c r="D264" s="915" t="s">
        <v>546</v>
      </c>
      <c r="E264" s="915" t="s">
        <v>794</v>
      </c>
      <c r="F264" s="915" t="s">
        <v>798</v>
      </c>
      <c r="G264" s="915" t="s">
        <v>798</v>
      </c>
      <c r="H264" s="915" t="s">
        <v>792</v>
      </c>
      <c r="I264" s="913">
        <v>46033</v>
      </c>
      <c r="J264" s="913">
        <v>46053</v>
      </c>
      <c r="K264" s="915" t="s">
        <v>689</v>
      </c>
      <c r="L264" s="915"/>
      <c r="M264" s="913"/>
      <c r="N264" s="917" t="s">
        <v>798</v>
      </c>
      <c r="O264" s="915">
        <v>35.088999999999999</v>
      </c>
      <c r="P264" s="915" t="s">
        <v>792</v>
      </c>
      <c r="Q264" s="913">
        <v>46068</v>
      </c>
      <c r="R264" s="912">
        <v>46072</v>
      </c>
      <c r="S264" s="911" t="e">
        <f>VLOOKUP(B264,#REF!,4,0)</f>
        <v>#REF!</v>
      </c>
    </row>
    <row r="265" spans="1:19" ht="18" x14ac:dyDescent="0.25">
      <c r="A265" s="915">
        <v>263</v>
      </c>
      <c r="B265" s="915" t="s">
        <v>632</v>
      </c>
      <c r="C265" s="916" t="s">
        <v>217</v>
      </c>
      <c r="D265" s="915" t="s">
        <v>546</v>
      </c>
      <c r="E265" s="915" t="s">
        <v>794</v>
      </c>
      <c r="F265" s="915" t="s">
        <v>798</v>
      </c>
      <c r="G265" s="915" t="s">
        <v>798</v>
      </c>
      <c r="H265" s="915"/>
      <c r="I265" s="913"/>
      <c r="J265" s="913"/>
      <c r="K265" s="915"/>
      <c r="L265" s="915"/>
      <c r="M265" s="913"/>
      <c r="N265" s="917"/>
      <c r="O265" s="915"/>
      <c r="P265" s="915"/>
      <c r="Q265" s="913"/>
      <c r="R265" s="912"/>
      <c r="S265" s="911"/>
    </row>
    <row r="266" spans="1:19" ht="18" x14ac:dyDescent="0.25">
      <c r="A266" s="915">
        <v>264</v>
      </c>
      <c r="B266" s="915" t="s">
        <v>805</v>
      </c>
      <c r="C266" s="916" t="s">
        <v>242</v>
      </c>
      <c r="D266" s="915" t="s">
        <v>92</v>
      </c>
      <c r="E266" s="915" t="s">
        <v>794</v>
      </c>
      <c r="F266" s="915"/>
      <c r="G266" s="915" t="s">
        <v>794</v>
      </c>
      <c r="H266" s="915"/>
      <c r="I266" s="913"/>
      <c r="J266" s="913"/>
      <c r="K266" s="915"/>
      <c r="L266" s="915"/>
      <c r="M266" s="913"/>
      <c r="N266" s="917" t="s">
        <v>798</v>
      </c>
      <c r="O266" s="915">
        <v>54.72</v>
      </c>
      <c r="P266" s="915"/>
      <c r="Q266" s="913"/>
      <c r="R266" s="912"/>
      <c r="S266" s="911"/>
    </row>
    <row r="267" spans="1:19" ht="18" x14ac:dyDescent="0.25">
      <c r="A267" s="915">
        <v>265</v>
      </c>
      <c r="B267" s="915" t="s">
        <v>634</v>
      </c>
      <c r="C267" s="916" t="s">
        <v>217</v>
      </c>
      <c r="D267" s="915" t="s">
        <v>92</v>
      </c>
      <c r="E267" s="915" t="s">
        <v>794</v>
      </c>
      <c r="F267" s="915" t="s">
        <v>798</v>
      </c>
      <c r="G267" s="915" t="s">
        <v>794</v>
      </c>
      <c r="H267" s="915"/>
      <c r="I267" s="913"/>
      <c r="J267" s="913"/>
      <c r="K267" s="915"/>
      <c r="L267" s="915"/>
      <c r="M267" s="913"/>
      <c r="N267" s="917"/>
      <c r="O267" s="915"/>
      <c r="P267" s="915"/>
      <c r="Q267" s="913"/>
      <c r="R267" s="912"/>
      <c r="S267" s="911"/>
    </row>
    <row r="268" spans="1:19" ht="18" x14ac:dyDescent="0.25">
      <c r="A268" s="915">
        <v>266</v>
      </c>
      <c r="B268" s="915" t="s">
        <v>635</v>
      </c>
      <c r="C268" s="916" t="s">
        <v>217</v>
      </c>
      <c r="D268" s="915" t="s">
        <v>92</v>
      </c>
      <c r="E268" s="915" t="s">
        <v>794</v>
      </c>
      <c r="F268" s="915" t="s">
        <v>798</v>
      </c>
      <c r="G268" s="915" t="s">
        <v>794</v>
      </c>
      <c r="H268" s="915"/>
      <c r="I268" s="913"/>
      <c r="J268" s="913"/>
      <c r="K268" s="915"/>
      <c r="L268" s="915"/>
      <c r="M268" s="913"/>
      <c r="N268" s="917"/>
      <c r="O268" s="915"/>
      <c r="P268" s="915"/>
      <c r="Q268" s="913"/>
      <c r="R268" s="912"/>
      <c r="S268" s="911"/>
    </row>
    <row r="269" spans="1:19" ht="18" x14ac:dyDescent="0.25">
      <c r="A269" s="915">
        <v>267</v>
      </c>
      <c r="B269" s="915" t="s">
        <v>636</v>
      </c>
      <c r="C269" s="916" t="s">
        <v>216</v>
      </c>
      <c r="D269" s="915" t="s">
        <v>92</v>
      </c>
      <c r="E269" s="915" t="s">
        <v>794</v>
      </c>
      <c r="F269" s="915" t="s">
        <v>798</v>
      </c>
      <c r="G269" s="915" t="s">
        <v>794</v>
      </c>
      <c r="H269" s="915"/>
      <c r="I269" s="913"/>
      <c r="J269" s="913"/>
      <c r="K269" s="915"/>
      <c r="L269" s="915"/>
      <c r="M269" s="913"/>
      <c r="N269" s="917"/>
      <c r="O269" s="915"/>
      <c r="P269" s="915"/>
      <c r="Q269" s="913"/>
      <c r="R269" s="912"/>
      <c r="S269" s="911"/>
    </row>
    <row r="270" spans="1:19" ht="18" x14ac:dyDescent="0.25">
      <c r="A270" s="915">
        <v>268</v>
      </c>
      <c r="B270" s="915" t="s">
        <v>804</v>
      </c>
      <c r="C270" s="916" t="s">
        <v>219</v>
      </c>
      <c r="D270" s="915" t="s">
        <v>92</v>
      </c>
      <c r="E270" s="915" t="s">
        <v>794</v>
      </c>
      <c r="F270" s="915" t="s">
        <v>795</v>
      </c>
      <c r="G270" s="915" t="s">
        <v>794</v>
      </c>
      <c r="H270" s="915"/>
      <c r="I270" s="913"/>
      <c r="J270" s="913"/>
      <c r="K270" s="915"/>
      <c r="L270" s="915"/>
      <c r="M270" s="913"/>
      <c r="N270" s="917" t="s">
        <v>798</v>
      </c>
      <c r="O270" s="915">
        <v>62.500999999999998</v>
      </c>
      <c r="P270" s="915"/>
      <c r="Q270" s="913"/>
      <c r="R270" s="912"/>
      <c r="S270" s="911"/>
    </row>
    <row r="271" spans="1:19" ht="18" x14ac:dyDescent="0.25">
      <c r="A271" s="915">
        <v>269</v>
      </c>
      <c r="B271" s="915" t="s">
        <v>638</v>
      </c>
      <c r="C271" s="916" t="s">
        <v>217</v>
      </c>
      <c r="D271" s="915" t="s">
        <v>669</v>
      </c>
      <c r="E271" s="915" t="s">
        <v>794</v>
      </c>
      <c r="F271" s="915" t="s">
        <v>798</v>
      </c>
      <c r="G271" s="915" t="s">
        <v>794</v>
      </c>
      <c r="H271" s="915"/>
      <c r="I271" s="913"/>
      <c r="J271" s="913"/>
      <c r="K271" s="915"/>
      <c r="L271" s="915"/>
      <c r="M271" s="913"/>
      <c r="N271" s="917"/>
      <c r="O271" s="915"/>
      <c r="P271" s="915"/>
      <c r="Q271" s="913"/>
      <c r="R271" s="912"/>
      <c r="S271" s="911"/>
    </row>
    <row r="272" spans="1:19" ht="18" x14ac:dyDescent="0.25">
      <c r="A272" s="915">
        <v>270</v>
      </c>
      <c r="B272" s="915" t="s">
        <v>639</v>
      </c>
      <c r="C272" s="916" t="s">
        <v>217</v>
      </c>
      <c r="D272" s="915" t="s">
        <v>669</v>
      </c>
      <c r="E272" s="915" t="s">
        <v>794</v>
      </c>
      <c r="F272" s="915" t="s">
        <v>798</v>
      </c>
      <c r="G272" s="915" t="s">
        <v>794</v>
      </c>
      <c r="H272" s="915"/>
      <c r="I272" s="913"/>
      <c r="J272" s="913"/>
      <c r="K272" s="915"/>
      <c r="L272" s="915"/>
      <c r="M272" s="913"/>
      <c r="N272" s="917"/>
      <c r="O272" s="915"/>
      <c r="P272" s="915"/>
      <c r="Q272" s="913"/>
      <c r="R272" s="912"/>
      <c r="S272" s="911"/>
    </row>
    <row r="273" spans="1:19" ht="18" x14ac:dyDescent="0.25">
      <c r="A273" s="915">
        <v>271</v>
      </c>
      <c r="B273" s="915" t="s">
        <v>640</v>
      </c>
      <c r="C273" s="916" t="s">
        <v>217</v>
      </c>
      <c r="D273" s="915" t="s">
        <v>92</v>
      </c>
      <c r="E273" s="915" t="s">
        <v>794</v>
      </c>
      <c r="F273" s="915" t="s">
        <v>798</v>
      </c>
      <c r="G273" s="915" t="s">
        <v>794</v>
      </c>
      <c r="H273" s="915"/>
      <c r="I273" s="913"/>
      <c r="J273" s="913"/>
      <c r="K273" s="915"/>
      <c r="L273" s="915"/>
      <c r="M273" s="913"/>
      <c r="N273" s="917"/>
      <c r="O273" s="915"/>
      <c r="P273" s="915"/>
      <c r="Q273" s="913"/>
      <c r="R273" s="912"/>
      <c r="S273" s="911"/>
    </row>
    <row r="274" spans="1:19" ht="18" x14ac:dyDescent="0.25">
      <c r="A274" s="915">
        <v>272</v>
      </c>
      <c r="B274" s="915" t="s">
        <v>641</v>
      </c>
      <c r="C274" s="916" t="s">
        <v>216</v>
      </c>
      <c r="D274" s="915" t="s">
        <v>92</v>
      </c>
      <c r="E274" s="915" t="s">
        <v>794</v>
      </c>
      <c r="F274" s="915" t="s">
        <v>798</v>
      </c>
      <c r="G274" s="915" t="s">
        <v>794</v>
      </c>
      <c r="H274" s="915"/>
      <c r="I274" s="913"/>
      <c r="J274" s="913"/>
      <c r="K274" s="915"/>
      <c r="L274" s="915"/>
      <c r="M274" s="913"/>
      <c r="N274" s="917"/>
      <c r="O274" s="915"/>
      <c r="P274" s="915"/>
      <c r="Q274" s="913"/>
      <c r="R274" s="912"/>
      <c r="S274" s="911"/>
    </row>
    <row r="275" spans="1:19" ht="18" x14ac:dyDescent="0.25">
      <c r="A275" s="915">
        <v>273</v>
      </c>
      <c r="B275" s="915" t="s">
        <v>642</v>
      </c>
      <c r="C275" s="916" t="s">
        <v>217</v>
      </c>
      <c r="D275" s="915" t="s">
        <v>92</v>
      </c>
      <c r="E275" s="915" t="s">
        <v>794</v>
      </c>
      <c r="F275" s="915" t="s">
        <v>798</v>
      </c>
      <c r="G275" s="915" t="s">
        <v>794</v>
      </c>
      <c r="H275" s="915"/>
      <c r="I275" s="913"/>
      <c r="J275" s="913"/>
      <c r="K275" s="915"/>
      <c r="L275" s="915"/>
      <c r="M275" s="913"/>
      <c r="N275" s="917"/>
      <c r="O275" s="915"/>
      <c r="P275" s="915"/>
      <c r="Q275" s="913"/>
      <c r="R275" s="912"/>
      <c r="S275" s="911"/>
    </row>
    <row r="276" spans="1:19" ht="18" x14ac:dyDescent="0.25">
      <c r="A276" s="915">
        <v>274</v>
      </c>
      <c r="B276" s="915" t="s">
        <v>643</v>
      </c>
      <c r="C276" s="916" t="s">
        <v>217</v>
      </c>
      <c r="D276" s="915" t="s">
        <v>92</v>
      </c>
      <c r="E276" s="915" t="s">
        <v>794</v>
      </c>
      <c r="F276" s="915" t="s">
        <v>798</v>
      </c>
      <c r="G276" s="915" t="s">
        <v>794</v>
      </c>
      <c r="H276" s="915"/>
      <c r="I276" s="913"/>
      <c r="J276" s="913"/>
      <c r="K276" s="915"/>
      <c r="L276" s="915"/>
      <c r="M276" s="913"/>
      <c r="N276" s="917"/>
      <c r="O276" s="915"/>
      <c r="P276" s="915"/>
      <c r="Q276" s="913"/>
      <c r="R276" s="912"/>
      <c r="S276" s="911"/>
    </row>
    <row r="277" spans="1:19" ht="18" x14ac:dyDescent="0.25">
      <c r="A277" s="915">
        <v>275</v>
      </c>
      <c r="B277" s="915" t="s">
        <v>644</v>
      </c>
      <c r="C277" s="916" t="s">
        <v>217</v>
      </c>
      <c r="D277" s="915" t="s">
        <v>92</v>
      </c>
      <c r="E277" s="915" t="s">
        <v>794</v>
      </c>
      <c r="F277" s="915" t="s">
        <v>798</v>
      </c>
      <c r="G277" s="915" t="s">
        <v>794</v>
      </c>
      <c r="H277" s="915"/>
      <c r="I277" s="913"/>
      <c r="J277" s="913"/>
      <c r="K277" s="915"/>
      <c r="L277" s="915"/>
      <c r="M277" s="913"/>
      <c r="N277" s="917"/>
      <c r="O277" s="915"/>
      <c r="P277" s="915"/>
      <c r="Q277" s="913"/>
      <c r="R277" s="912"/>
      <c r="S277" s="911"/>
    </row>
    <row r="278" spans="1:19" ht="18" x14ac:dyDescent="0.25">
      <c r="A278" s="915">
        <v>276</v>
      </c>
      <c r="B278" s="915" t="s">
        <v>645</v>
      </c>
      <c r="C278" s="916" t="s">
        <v>217</v>
      </c>
      <c r="D278" s="915" t="s">
        <v>92</v>
      </c>
      <c r="E278" s="915" t="s">
        <v>794</v>
      </c>
      <c r="F278" s="915" t="s">
        <v>798</v>
      </c>
      <c r="G278" s="915" t="s">
        <v>794</v>
      </c>
      <c r="H278" s="915"/>
      <c r="I278" s="913"/>
      <c r="J278" s="913"/>
      <c r="K278" s="915"/>
      <c r="L278" s="915"/>
      <c r="M278" s="913"/>
      <c r="N278" s="917"/>
      <c r="O278" s="915"/>
      <c r="P278" s="915"/>
      <c r="Q278" s="913"/>
      <c r="R278" s="912"/>
      <c r="S278" s="911"/>
    </row>
    <row r="279" spans="1:19" ht="18" x14ac:dyDescent="0.25">
      <c r="A279" s="915">
        <v>277</v>
      </c>
      <c r="B279" s="915" t="s">
        <v>646</v>
      </c>
      <c r="C279" s="916" t="s">
        <v>218</v>
      </c>
      <c r="D279" s="915" t="s">
        <v>92</v>
      </c>
      <c r="E279" s="915" t="s">
        <v>794</v>
      </c>
      <c r="F279" s="915" t="s">
        <v>798</v>
      </c>
      <c r="G279" s="915" t="s">
        <v>794</v>
      </c>
      <c r="H279" s="915"/>
      <c r="I279" s="913"/>
      <c r="J279" s="913"/>
      <c r="K279" s="915"/>
      <c r="L279" s="915"/>
      <c r="M279" s="913"/>
      <c r="N279" s="917"/>
      <c r="O279" s="915"/>
      <c r="P279" s="915"/>
      <c r="Q279" s="913"/>
      <c r="R279" s="912"/>
      <c r="S279" s="911"/>
    </row>
    <row r="280" spans="1:19" ht="18" x14ac:dyDescent="0.25">
      <c r="A280" s="915">
        <v>278</v>
      </c>
      <c r="B280" s="915" t="s">
        <v>647</v>
      </c>
      <c r="C280" s="916" t="s">
        <v>216</v>
      </c>
      <c r="D280" s="915" t="s">
        <v>92</v>
      </c>
      <c r="E280" s="915" t="s">
        <v>794</v>
      </c>
      <c r="F280" s="915" t="s">
        <v>798</v>
      </c>
      <c r="G280" s="915" t="s">
        <v>794</v>
      </c>
      <c r="H280" s="915"/>
      <c r="I280" s="913"/>
      <c r="J280" s="913"/>
      <c r="K280" s="915"/>
      <c r="L280" s="915"/>
      <c r="M280" s="913"/>
      <c r="N280" s="917"/>
      <c r="O280" s="915"/>
      <c r="P280" s="915"/>
      <c r="Q280" s="913"/>
      <c r="R280" s="912"/>
      <c r="S280" s="911"/>
    </row>
    <row r="281" spans="1:19" ht="18" x14ac:dyDescent="0.25">
      <c r="A281" s="915">
        <v>279</v>
      </c>
      <c r="B281" s="915" t="s">
        <v>648</v>
      </c>
      <c r="C281" s="916" t="s">
        <v>216</v>
      </c>
      <c r="D281" s="915" t="s">
        <v>92</v>
      </c>
      <c r="E281" s="915" t="s">
        <v>794</v>
      </c>
      <c r="F281" s="915" t="s">
        <v>798</v>
      </c>
      <c r="G281" s="915" t="s">
        <v>794</v>
      </c>
      <c r="H281" s="915"/>
      <c r="I281" s="913"/>
      <c r="J281" s="913"/>
      <c r="K281" s="915"/>
      <c r="L281" s="915"/>
      <c r="M281" s="913"/>
      <c r="N281" s="917"/>
      <c r="O281" s="915"/>
      <c r="P281" s="915"/>
      <c r="Q281" s="913"/>
      <c r="R281" s="912"/>
      <c r="S281" s="911"/>
    </row>
    <row r="282" spans="1:19" ht="18" x14ac:dyDescent="0.25">
      <c r="A282" s="915">
        <v>280</v>
      </c>
      <c r="B282" s="915" t="s">
        <v>803</v>
      </c>
      <c r="C282" s="916" t="s">
        <v>375</v>
      </c>
      <c r="D282" s="915" t="s">
        <v>92</v>
      </c>
      <c r="E282" s="915" t="s">
        <v>798</v>
      </c>
      <c r="F282" s="915"/>
      <c r="G282" s="915" t="s">
        <v>794</v>
      </c>
      <c r="H282" s="915"/>
      <c r="I282" s="913"/>
      <c r="J282" s="913"/>
      <c r="K282" s="915"/>
      <c r="L282" s="915"/>
      <c r="M282" s="913"/>
      <c r="N282" s="917"/>
      <c r="O282" s="915"/>
      <c r="P282" s="915"/>
      <c r="Q282" s="913"/>
      <c r="R282" s="912"/>
      <c r="S282" s="911"/>
    </row>
    <row r="283" spans="1:19" ht="18" x14ac:dyDescent="0.25">
      <c r="A283" s="915">
        <v>281</v>
      </c>
      <c r="B283" s="915" t="s">
        <v>650</v>
      </c>
      <c r="C283" s="916" t="s">
        <v>217</v>
      </c>
      <c r="D283" s="915" t="s">
        <v>92</v>
      </c>
      <c r="E283" s="915" t="s">
        <v>794</v>
      </c>
      <c r="F283" s="915" t="s">
        <v>798</v>
      </c>
      <c r="G283" s="915" t="s">
        <v>794</v>
      </c>
      <c r="H283" s="915"/>
      <c r="I283" s="913"/>
      <c r="J283" s="913"/>
      <c r="K283" s="915"/>
      <c r="L283" s="915"/>
      <c r="M283" s="913"/>
      <c r="N283" s="917"/>
      <c r="O283" s="915"/>
      <c r="P283" s="915"/>
      <c r="Q283" s="913"/>
      <c r="R283" s="912"/>
      <c r="S283" s="911"/>
    </row>
    <row r="284" spans="1:19" ht="18" x14ac:dyDescent="0.25">
      <c r="A284" s="915">
        <v>282</v>
      </c>
      <c r="B284" s="915" t="s">
        <v>651</v>
      </c>
      <c r="C284" s="916" t="s">
        <v>217</v>
      </c>
      <c r="D284" s="915" t="s">
        <v>92</v>
      </c>
      <c r="E284" s="915" t="s">
        <v>794</v>
      </c>
      <c r="F284" s="915" t="s">
        <v>798</v>
      </c>
      <c r="G284" s="915" t="s">
        <v>794</v>
      </c>
      <c r="H284" s="915"/>
      <c r="I284" s="913"/>
      <c r="J284" s="913"/>
      <c r="K284" s="915"/>
      <c r="L284" s="915"/>
      <c r="M284" s="913"/>
      <c r="N284" s="917"/>
      <c r="O284" s="915"/>
      <c r="P284" s="915"/>
      <c r="Q284" s="913"/>
      <c r="R284" s="912"/>
      <c r="S284" s="911"/>
    </row>
    <row r="285" spans="1:19" ht="18" x14ac:dyDescent="0.25">
      <c r="A285" s="915">
        <v>283</v>
      </c>
      <c r="B285" s="915" t="s">
        <v>652</v>
      </c>
      <c r="C285" s="916" t="s">
        <v>217</v>
      </c>
      <c r="D285" s="915" t="s">
        <v>92</v>
      </c>
      <c r="E285" s="915" t="s">
        <v>794</v>
      </c>
      <c r="F285" s="915" t="s">
        <v>798</v>
      </c>
      <c r="G285" s="915" t="s">
        <v>794</v>
      </c>
      <c r="H285" s="915"/>
      <c r="I285" s="913"/>
      <c r="J285" s="913"/>
      <c r="K285" s="915"/>
      <c r="L285" s="915"/>
      <c r="M285" s="913"/>
      <c r="N285" s="917"/>
      <c r="O285" s="915"/>
      <c r="P285" s="915"/>
      <c r="Q285" s="913"/>
      <c r="R285" s="912"/>
      <c r="S285" s="911"/>
    </row>
    <row r="286" spans="1:19" ht="18" x14ac:dyDescent="0.25">
      <c r="A286" s="915">
        <v>284</v>
      </c>
      <c r="B286" s="915" t="s">
        <v>802</v>
      </c>
      <c r="C286" s="916" t="s">
        <v>658</v>
      </c>
      <c r="D286" s="915" t="s">
        <v>92</v>
      </c>
      <c r="E286" s="915" t="s">
        <v>794</v>
      </c>
      <c r="F286" s="915" t="s">
        <v>795</v>
      </c>
      <c r="G286" s="915" t="s">
        <v>798</v>
      </c>
      <c r="H286" s="915"/>
      <c r="I286" s="913"/>
      <c r="J286" s="913"/>
      <c r="K286" s="915"/>
      <c r="L286" s="915"/>
      <c r="M286" s="913"/>
      <c r="N286" s="917"/>
      <c r="O286" s="915"/>
      <c r="P286" s="915"/>
      <c r="Q286" s="913"/>
      <c r="R286" s="912"/>
      <c r="S286" s="911"/>
    </row>
    <row r="287" spans="1:19" ht="18" x14ac:dyDescent="0.25">
      <c r="A287" s="915">
        <v>285</v>
      </c>
      <c r="B287" s="915" t="s">
        <v>801</v>
      </c>
      <c r="C287" s="916" t="s">
        <v>786</v>
      </c>
      <c r="D287" s="915" t="s">
        <v>92</v>
      </c>
      <c r="E287" s="915" t="s">
        <v>794</v>
      </c>
      <c r="F287" s="915" t="s">
        <v>795</v>
      </c>
      <c r="G287" s="915" t="s">
        <v>798</v>
      </c>
      <c r="H287" s="915"/>
      <c r="I287" s="913"/>
      <c r="J287" s="913"/>
      <c r="K287" s="915"/>
      <c r="L287" s="915"/>
      <c r="M287" s="913"/>
      <c r="N287" s="917"/>
      <c r="O287" s="915"/>
      <c r="P287" s="915"/>
      <c r="Q287" s="913"/>
      <c r="R287" s="912"/>
      <c r="S287" s="911"/>
    </row>
    <row r="288" spans="1:19" ht="18" x14ac:dyDescent="0.25">
      <c r="A288" s="915">
        <v>286</v>
      </c>
      <c r="B288" s="915" t="s">
        <v>655</v>
      </c>
      <c r="C288" s="916" t="s">
        <v>217</v>
      </c>
      <c r="D288" s="915" t="s">
        <v>92</v>
      </c>
      <c r="E288" s="915" t="s">
        <v>794</v>
      </c>
      <c r="F288" s="915" t="s">
        <v>798</v>
      </c>
      <c r="G288" s="915" t="s">
        <v>794</v>
      </c>
      <c r="H288" s="915"/>
      <c r="I288" s="913"/>
      <c r="J288" s="913"/>
      <c r="K288" s="915"/>
      <c r="L288" s="915"/>
      <c r="M288" s="913"/>
      <c r="N288" s="917"/>
      <c r="O288" s="915"/>
      <c r="P288" s="915"/>
      <c r="Q288" s="913"/>
      <c r="R288" s="912"/>
      <c r="S288" s="911"/>
    </row>
    <row r="289" spans="1:19" ht="18" x14ac:dyDescent="0.25">
      <c r="A289" s="915">
        <v>287</v>
      </c>
      <c r="B289" s="915" t="s">
        <v>800</v>
      </c>
      <c r="C289" s="916" t="s">
        <v>374</v>
      </c>
      <c r="D289" s="915" t="s">
        <v>92</v>
      </c>
      <c r="E289" s="915" t="s">
        <v>794</v>
      </c>
      <c r="F289" s="915" t="s">
        <v>795</v>
      </c>
      <c r="G289" s="915" t="s">
        <v>794</v>
      </c>
      <c r="H289" s="915"/>
      <c r="I289" s="913"/>
      <c r="J289" s="913"/>
      <c r="K289" s="915"/>
      <c r="L289" s="915"/>
      <c r="M289" s="913"/>
      <c r="N289" s="917" t="s">
        <v>798</v>
      </c>
      <c r="O289" s="915">
        <v>68.265000000000001</v>
      </c>
      <c r="P289" s="915"/>
      <c r="Q289" s="913"/>
      <c r="R289" s="912"/>
      <c r="S289" s="911"/>
    </row>
    <row r="290" spans="1:19" ht="18" x14ac:dyDescent="0.25">
      <c r="A290" s="915">
        <v>288</v>
      </c>
      <c r="B290" s="915" t="s">
        <v>657</v>
      </c>
      <c r="C290" s="916" t="s">
        <v>217</v>
      </c>
      <c r="D290" s="915" t="s">
        <v>547</v>
      </c>
      <c r="E290" s="915" t="s">
        <v>794</v>
      </c>
      <c r="F290" s="915" t="s">
        <v>798</v>
      </c>
      <c r="G290" s="915" t="s">
        <v>794</v>
      </c>
      <c r="H290" s="915"/>
      <c r="I290" s="913"/>
      <c r="J290" s="913"/>
      <c r="K290" s="915"/>
      <c r="L290" s="915"/>
      <c r="M290" s="913"/>
      <c r="N290" s="915"/>
      <c r="O290" s="915"/>
      <c r="P290" s="915"/>
      <c r="Q290" s="913"/>
      <c r="R290" s="912"/>
      <c r="S290" s="911"/>
    </row>
    <row r="291" spans="1:19" ht="18" x14ac:dyDescent="0.25">
      <c r="A291" s="915">
        <v>289</v>
      </c>
      <c r="B291" s="915" t="s">
        <v>659</v>
      </c>
      <c r="C291" s="916" t="s">
        <v>217</v>
      </c>
      <c r="D291" s="915" t="s">
        <v>547</v>
      </c>
      <c r="E291" s="915" t="s">
        <v>794</v>
      </c>
      <c r="F291" s="915" t="s">
        <v>798</v>
      </c>
      <c r="G291" s="915" t="s">
        <v>794</v>
      </c>
      <c r="H291" s="915"/>
      <c r="I291" s="913"/>
      <c r="J291" s="913"/>
      <c r="K291" s="915"/>
      <c r="L291" s="915"/>
      <c r="M291" s="913"/>
      <c r="N291" s="915"/>
      <c r="O291" s="915"/>
      <c r="P291" s="915"/>
      <c r="Q291" s="913"/>
      <c r="R291" s="912"/>
      <c r="S291" s="911"/>
    </row>
    <row r="292" spans="1:19" ht="18" x14ac:dyDescent="0.25">
      <c r="A292" s="915">
        <v>290</v>
      </c>
      <c r="B292" s="915" t="s">
        <v>799</v>
      </c>
      <c r="C292" s="916" t="s">
        <v>288</v>
      </c>
      <c r="D292" s="915" t="s">
        <v>92</v>
      </c>
      <c r="E292" s="915" t="s">
        <v>798</v>
      </c>
      <c r="F292" s="915" t="s">
        <v>798</v>
      </c>
      <c r="G292" s="915" t="s">
        <v>794</v>
      </c>
      <c r="H292" s="915"/>
      <c r="I292" s="913"/>
      <c r="J292" s="913"/>
      <c r="K292" s="915"/>
      <c r="L292" s="915"/>
      <c r="M292" s="913"/>
      <c r="N292" s="915"/>
      <c r="O292" s="915"/>
      <c r="P292" s="915"/>
      <c r="Q292" s="913"/>
      <c r="R292" s="912"/>
      <c r="S292" s="911"/>
    </row>
    <row r="293" spans="1:19" ht="18" x14ac:dyDescent="0.25">
      <c r="A293" s="915">
        <v>291</v>
      </c>
      <c r="B293" s="915" t="s">
        <v>797</v>
      </c>
      <c r="C293" s="916" t="s">
        <v>663</v>
      </c>
      <c r="D293" s="915" t="s">
        <v>92</v>
      </c>
      <c r="E293" s="915" t="s">
        <v>794</v>
      </c>
      <c r="F293" s="915" t="s">
        <v>795</v>
      </c>
      <c r="G293" s="915" t="s">
        <v>794</v>
      </c>
      <c r="H293" s="915"/>
      <c r="I293" s="913"/>
      <c r="J293" s="913"/>
      <c r="K293" s="915"/>
      <c r="L293" s="915"/>
      <c r="M293" s="913"/>
      <c r="N293" s="915"/>
      <c r="O293" s="915"/>
      <c r="P293" s="915"/>
      <c r="Q293" s="913"/>
      <c r="R293" s="912"/>
      <c r="S293" s="911"/>
    </row>
    <row r="294" spans="1:19" ht="18" x14ac:dyDescent="0.25">
      <c r="A294" s="915">
        <v>292</v>
      </c>
      <c r="B294" s="915" t="s">
        <v>796</v>
      </c>
      <c r="C294" s="916" t="s">
        <v>374</v>
      </c>
      <c r="D294" s="915" t="s">
        <v>92</v>
      </c>
      <c r="E294" s="915" t="s">
        <v>794</v>
      </c>
      <c r="F294" s="915" t="s">
        <v>795</v>
      </c>
      <c r="G294" s="915" t="s">
        <v>794</v>
      </c>
      <c r="H294" s="915"/>
      <c r="I294" s="913"/>
      <c r="J294" s="913"/>
      <c r="K294" s="915"/>
      <c r="L294" s="915"/>
      <c r="M294" s="913"/>
      <c r="N294" s="915"/>
      <c r="O294" s="915"/>
      <c r="P294" s="915"/>
      <c r="Q294" s="913"/>
      <c r="R294" s="912"/>
      <c r="S294" s="911"/>
    </row>
    <row r="295" spans="1:19" s="910" customFormat="1" ht="20.399999999999999" x14ac:dyDescent="0.35">
      <c r="A295" s="1437" t="s">
        <v>793</v>
      </c>
      <c r="B295" s="1437"/>
      <c r="C295" s="914"/>
      <c r="D295" s="914"/>
      <c r="E295" s="914"/>
      <c r="F295" s="914"/>
      <c r="G295" s="914"/>
      <c r="H295" s="915"/>
      <c r="I295" s="913"/>
      <c r="J295" s="913"/>
      <c r="K295" s="915"/>
      <c r="L295" s="914"/>
      <c r="M295" s="913"/>
      <c r="N295" s="915"/>
      <c r="O295" s="915"/>
      <c r="P295" s="914"/>
      <c r="Q295" s="913"/>
      <c r="R295" s="912"/>
      <c r="S295" s="911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4" sqref="N24"/>
    </sheetView>
  </sheetViews>
  <sheetFormatPr defaultColWidth="6.109375" defaultRowHeight="13.2" x14ac:dyDescent="0.25"/>
  <cols>
    <col min="1" max="1" width="6.109375" style="905" customWidth="1"/>
    <col min="2" max="2" width="13.33203125" style="919" customWidth="1"/>
    <col min="3" max="3" width="13.44140625" style="919" customWidth="1"/>
    <col min="4" max="4" width="17.77734375" style="906" customWidth="1"/>
    <col min="5" max="5" width="14.33203125" style="978" customWidth="1"/>
    <col min="6" max="6" width="14" style="919" customWidth="1"/>
    <col min="7" max="7" width="13.109375" style="905" customWidth="1"/>
    <col min="8" max="8" width="14.44140625" style="919" customWidth="1"/>
    <col min="9" max="9" width="12" style="905" customWidth="1"/>
    <col min="10" max="10" width="12.33203125" style="905" customWidth="1"/>
    <col min="11" max="11" width="21.88671875" style="919" customWidth="1"/>
    <col min="12" max="12" width="13" style="919" customWidth="1"/>
    <col min="13" max="13" width="10.6640625" style="906" customWidth="1"/>
    <col min="14" max="14" width="17.77734375" style="919" customWidth="1"/>
    <col min="15" max="15" width="18.44140625" style="905" customWidth="1"/>
    <col min="16" max="16" width="14.6640625" style="905" customWidth="1"/>
    <col min="17" max="17" width="16.6640625" style="905" customWidth="1"/>
    <col min="18" max="18" width="22.6640625" style="1006" customWidth="1"/>
    <col min="19" max="19" width="8.21875" style="919" customWidth="1"/>
    <col min="20" max="20" width="9.33203125" style="919" customWidth="1"/>
    <col min="21" max="21" width="23" style="905" customWidth="1"/>
    <col min="22" max="250" width="9.33203125" style="905" customWidth="1"/>
    <col min="251" max="252" width="6.109375" style="905"/>
    <col min="253" max="253" width="20" style="905" customWidth="1"/>
    <col min="254" max="254" width="16.6640625" style="905" customWidth="1"/>
    <col min="255" max="255" width="17.77734375" style="905" customWidth="1"/>
    <col min="256" max="256" width="10.77734375" style="905" customWidth="1"/>
    <col min="257" max="257" width="12.77734375" style="905" customWidth="1"/>
    <col min="258" max="258" width="12.6640625" style="905" customWidth="1"/>
    <col min="259" max="259" width="9.33203125" style="905" customWidth="1"/>
    <col min="260" max="260" width="11.44140625" style="905" customWidth="1"/>
    <col min="261" max="261" width="9.33203125" style="905" customWidth="1"/>
    <col min="262" max="262" width="12.33203125" style="905" customWidth="1"/>
    <col min="263" max="263" width="12.109375" style="905" customWidth="1"/>
    <col min="264" max="264" width="10.6640625" style="905" customWidth="1"/>
    <col min="265" max="265" width="13.6640625" style="905" customWidth="1"/>
    <col min="266" max="266" width="10.6640625" style="905" customWidth="1"/>
    <col min="267" max="267" width="16.6640625" style="905" customWidth="1"/>
    <col min="268" max="268" width="14.6640625" style="905" customWidth="1"/>
    <col min="269" max="269" width="15.33203125" style="905" customWidth="1"/>
    <col min="270" max="270" width="30.77734375" style="905" customWidth="1"/>
    <col min="271" max="273" width="9.33203125" style="905" customWidth="1"/>
    <col min="274" max="274" width="17.44140625" style="905" customWidth="1"/>
    <col min="275" max="506" width="9.33203125" style="905" customWidth="1"/>
    <col min="507" max="508" width="6.109375" style="905"/>
    <col min="509" max="509" width="20" style="905" customWidth="1"/>
    <col min="510" max="510" width="16.6640625" style="905" customWidth="1"/>
    <col min="511" max="511" width="17.77734375" style="905" customWidth="1"/>
    <col min="512" max="512" width="10.77734375" style="905" customWidth="1"/>
    <col min="513" max="513" width="12.77734375" style="905" customWidth="1"/>
    <col min="514" max="514" width="12.6640625" style="905" customWidth="1"/>
    <col min="515" max="515" width="9.33203125" style="905" customWidth="1"/>
    <col min="516" max="516" width="11.44140625" style="905" customWidth="1"/>
    <col min="517" max="517" width="9.33203125" style="905" customWidth="1"/>
    <col min="518" max="518" width="12.33203125" style="905" customWidth="1"/>
    <col min="519" max="519" width="12.109375" style="905" customWidth="1"/>
    <col min="520" max="520" width="10.6640625" style="905" customWidth="1"/>
    <col min="521" max="521" width="13.6640625" style="905" customWidth="1"/>
    <col min="522" max="522" width="10.6640625" style="905" customWidth="1"/>
    <col min="523" max="523" width="16.6640625" style="905" customWidth="1"/>
    <col min="524" max="524" width="14.6640625" style="905" customWidth="1"/>
    <col min="525" max="525" width="15.33203125" style="905" customWidth="1"/>
    <col min="526" max="526" width="30.77734375" style="905" customWidth="1"/>
    <col min="527" max="529" width="9.33203125" style="905" customWidth="1"/>
    <col min="530" max="530" width="17.44140625" style="905" customWidth="1"/>
    <col min="531" max="762" width="9.33203125" style="905" customWidth="1"/>
    <col min="763" max="764" width="6.109375" style="905"/>
    <col min="765" max="765" width="20" style="905" customWidth="1"/>
    <col min="766" max="766" width="16.6640625" style="905" customWidth="1"/>
    <col min="767" max="767" width="17.77734375" style="905" customWidth="1"/>
    <col min="768" max="768" width="10.77734375" style="905" customWidth="1"/>
    <col min="769" max="769" width="12.77734375" style="905" customWidth="1"/>
    <col min="770" max="770" width="12.6640625" style="905" customWidth="1"/>
    <col min="771" max="771" width="9.33203125" style="905" customWidth="1"/>
    <col min="772" max="772" width="11.44140625" style="905" customWidth="1"/>
    <col min="773" max="773" width="9.33203125" style="905" customWidth="1"/>
    <col min="774" max="774" width="12.33203125" style="905" customWidth="1"/>
    <col min="775" max="775" width="12.109375" style="905" customWidth="1"/>
    <col min="776" max="776" width="10.6640625" style="905" customWidth="1"/>
    <col min="777" max="777" width="13.6640625" style="905" customWidth="1"/>
    <col min="778" max="778" width="10.6640625" style="905" customWidth="1"/>
    <col min="779" max="779" width="16.6640625" style="905" customWidth="1"/>
    <col min="780" max="780" width="14.6640625" style="905" customWidth="1"/>
    <col min="781" max="781" width="15.33203125" style="905" customWidth="1"/>
    <col min="782" max="782" width="30.77734375" style="905" customWidth="1"/>
    <col min="783" max="785" width="9.33203125" style="905" customWidth="1"/>
    <col min="786" max="786" width="17.44140625" style="905" customWidth="1"/>
    <col min="787" max="1018" width="9.33203125" style="905" customWidth="1"/>
    <col min="1019" max="1020" width="6.109375" style="905"/>
    <col min="1021" max="1021" width="20" style="905" customWidth="1"/>
    <col min="1022" max="1022" width="16.6640625" style="905" customWidth="1"/>
    <col min="1023" max="1023" width="17.77734375" style="905" customWidth="1"/>
    <col min="1024" max="1024" width="10.77734375" style="905" customWidth="1"/>
    <col min="1025" max="1025" width="12.77734375" style="905" customWidth="1"/>
    <col min="1026" max="1026" width="12.6640625" style="905" customWidth="1"/>
    <col min="1027" max="1027" width="9.33203125" style="905" customWidth="1"/>
    <col min="1028" max="1028" width="11.44140625" style="905" customWidth="1"/>
    <col min="1029" max="1029" width="9.33203125" style="905" customWidth="1"/>
    <col min="1030" max="1030" width="12.33203125" style="905" customWidth="1"/>
    <col min="1031" max="1031" width="12.109375" style="905" customWidth="1"/>
    <col min="1032" max="1032" width="10.6640625" style="905" customWidth="1"/>
    <col min="1033" max="1033" width="13.6640625" style="905" customWidth="1"/>
    <col min="1034" max="1034" width="10.6640625" style="905" customWidth="1"/>
    <col min="1035" max="1035" width="16.6640625" style="905" customWidth="1"/>
    <col min="1036" max="1036" width="14.6640625" style="905" customWidth="1"/>
    <col min="1037" max="1037" width="15.33203125" style="905" customWidth="1"/>
    <col min="1038" max="1038" width="30.77734375" style="905" customWidth="1"/>
    <col min="1039" max="1041" width="9.33203125" style="905" customWidth="1"/>
    <col min="1042" max="1042" width="17.44140625" style="905" customWidth="1"/>
    <col min="1043" max="1274" width="9.33203125" style="905" customWidth="1"/>
    <col min="1275" max="1276" width="6.109375" style="905"/>
    <col min="1277" max="1277" width="20" style="905" customWidth="1"/>
    <col min="1278" max="1278" width="16.6640625" style="905" customWidth="1"/>
    <col min="1279" max="1279" width="17.77734375" style="905" customWidth="1"/>
    <col min="1280" max="1280" width="10.77734375" style="905" customWidth="1"/>
    <col min="1281" max="1281" width="12.77734375" style="905" customWidth="1"/>
    <col min="1282" max="1282" width="12.6640625" style="905" customWidth="1"/>
    <col min="1283" max="1283" width="9.33203125" style="905" customWidth="1"/>
    <col min="1284" max="1284" width="11.44140625" style="905" customWidth="1"/>
    <col min="1285" max="1285" width="9.33203125" style="905" customWidth="1"/>
    <col min="1286" max="1286" width="12.33203125" style="905" customWidth="1"/>
    <col min="1287" max="1287" width="12.109375" style="905" customWidth="1"/>
    <col min="1288" max="1288" width="10.6640625" style="905" customWidth="1"/>
    <col min="1289" max="1289" width="13.6640625" style="905" customWidth="1"/>
    <col min="1290" max="1290" width="10.6640625" style="905" customWidth="1"/>
    <col min="1291" max="1291" width="16.6640625" style="905" customWidth="1"/>
    <col min="1292" max="1292" width="14.6640625" style="905" customWidth="1"/>
    <col min="1293" max="1293" width="15.33203125" style="905" customWidth="1"/>
    <col min="1294" max="1294" width="30.77734375" style="905" customWidth="1"/>
    <col min="1295" max="1297" width="9.33203125" style="905" customWidth="1"/>
    <col min="1298" max="1298" width="17.44140625" style="905" customWidth="1"/>
    <col min="1299" max="1530" width="9.33203125" style="905" customWidth="1"/>
    <col min="1531" max="1532" width="6.109375" style="905"/>
    <col min="1533" max="1533" width="20" style="905" customWidth="1"/>
    <col min="1534" max="1534" width="16.6640625" style="905" customWidth="1"/>
    <col min="1535" max="1535" width="17.77734375" style="905" customWidth="1"/>
    <col min="1536" max="1536" width="10.77734375" style="905" customWidth="1"/>
    <col min="1537" max="1537" width="12.77734375" style="905" customWidth="1"/>
    <col min="1538" max="1538" width="12.6640625" style="905" customWidth="1"/>
    <col min="1539" max="1539" width="9.33203125" style="905" customWidth="1"/>
    <col min="1540" max="1540" width="11.44140625" style="905" customWidth="1"/>
    <col min="1541" max="1541" width="9.33203125" style="905" customWidth="1"/>
    <col min="1542" max="1542" width="12.33203125" style="905" customWidth="1"/>
    <col min="1543" max="1543" width="12.109375" style="905" customWidth="1"/>
    <col min="1544" max="1544" width="10.6640625" style="905" customWidth="1"/>
    <col min="1545" max="1545" width="13.6640625" style="905" customWidth="1"/>
    <col min="1546" max="1546" width="10.6640625" style="905" customWidth="1"/>
    <col min="1547" max="1547" width="16.6640625" style="905" customWidth="1"/>
    <col min="1548" max="1548" width="14.6640625" style="905" customWidth="1"/>
    <col min="1549" max="1549" width="15.33203125" style="905" customWidth="1"/>
    <col min="1550" max="1550" width="30.77734375" style="905" customWidth="1"/>
    <col min="1551" max="1553" width="9.33203125" style="905" customWidth="1"/>
    <col min="1554" max="1554" width="17.44140625" style="905" customWidth="1"/>
    <col min="1555" max="1786" width="9.33203125" style="905" customWidth="1"/>
    <col min="1787" max="1788" width="6.109375" style="905"/>
    <col min="1789" max="1789" width="20" style="905" customWidth="1"/>
    <col min="1790" max="1790" width="16.6640625" style="905" customWidth="1"/>
    <col min="1791" max="1791" width="17.77734375" style="905" customWidth="1"/>
    <col min="1792" max="1792" width="10.77734375" style="905" customWidth="1"/>
    <col min="1793" max="1793" width="12.77734375" style="905" customWidth="1"/>
    <col min="1794" max="1794" width="12.6640625" style="905" customWidth="1"/>
    <col min="1795" max="1795" width="9.33203125" style="905" customWidth="1"/>
    <col min="1796" max="1796" width="11.44140625" style="905" customWidth="1"/>
    <col min="1797" max="1797" width="9.33203125" style="905" customWidth="1"/>
    <col min="1798" max="1798" width="12.33203125" style="905" customWidth="1"/>
    <col min="1799" max="1799" width="12.109375" style="905" customWidth="1"/>
    <col min="1800" max="1800" width="10.6640625" style="905" customWidth="1"/>
    <col min="1801" max="1801" width="13.6640625" style="905" customWidth="1"/>
    <col min="1802" max="1802" width="10.6640625" style="905" customWidth="1"/>
    <col min="1803" max="1803" width="16.6640625" style="905" customWidth="1"/>
    <col min="1804" max="1804" width="14.6640625" style="905" customWidth="1"/>
    <col min="1805" max="1805" width="15.33203125" style="905" customWidth="1"/>
    <col min="1806" max="1806" width="30.77734375" style="905" customWidth="1"/>
    <col min="1807" max="1809" width="9.33203125" style="905" customWidth="1"/>
    <col min="1810" max="1810" width="17.44140625" style="905" customWidth="1"/>
    <col min="1811" max="2042" width="9.33203125" style="905" customWidth="1"/>
    <col min="2043" max="2044" width="6.109375" style="905"/>
    <col min="2045" max="2045" width="20" style="905" customWidth="1"/>
    <col min="2046" max="2046" width="16.6640625" style="905" customWidth="1"/>
    <col min="2047" max="2047" width="17.77734375" style="905" customWidth="1"/>
    <col min="2048" max="2048" width="10.77734375" style="905" customWidth="1"/>
    <col min="2049" max="2049" width="12.77734375" style="905" customWidth="1"/>
    <col min="2050" max="2050" width="12.6640625" style="905" customWidth="1"/>
    <col min="2051" max="2051" width="9.33203125" style="905" customWidth="1"/>
    <col min="2052" max="2052" width="11.44140625" style="905" customWidth="1"/>
    <col min="2053" max="2053" width="9.33203125" style="905" customWidth="1"/>
    <col min="2054" max="2054" width="12.33203125" style="905" customWidth="1"/>
    <col min="2055" max="2055" width="12.109375" style="905" customWidth="1"/>
    <col min="2056" max="2056" width="10.6640625" style="905" customWidth="1"/>
    <col min="2057" max="2057" width="13.6640625" style="905" customWidth="1"/>
    <col min="2058" max="2058" width="10.6640625" style="905" customWidth="1"/>
    <col min="2059" max="2059" width="16.6640625" style="905" customWidth="1"/>
    <col min="2060" max="2060" width="14.6640625" style="905" customWidth="1"/>
    <col min="2061" max="2061" width="15.33203125" style="905" customWidth="1"/>
    <col min="2062" max="2062" width="30.77734375" style="905" customWidth="1"/>
    <col min="2063" max="2065" width="9.33203125" style="905" customWidth="1"/>
    <col min="2066" max="2066" width="17.44140625" style="905" customWidth="1"/>
    <col min="2067" max="2298" width="9.33203125" style="905" customWidth="1"/>
    <col min="2299" max="2300" width="6.109375" style="905"/>
    <col min="2301" max="2301" width="20" style="905" customWidth="1"/>
    <col min="2302" max="2302" width="16.6640625" style="905" customWidth="1"/>
    <col min="2303" max="2303" width="17.77734375" style="905" customWidth="1"/>
    <col min="2304" max="2304" width="10.77734375" style="905" customWidth="1"/>
    <col min="2305" max="2305" width="12.77734375" style="905" customWidth="1"/>
    <col min="2306" max="2306" width="12.6640625" style="905" customWidth="1"/>
    <col min="2307" max="2307" width="9.33203125" style="905" customWidth="1"/>
    <col min="2308" max="2308" width="11.44140625" style="905" customWidth="1"/>
    <col min="2309" max="2309" width="9.33203125" style="905" customWidth="1"/>
    <col min="2310" max="2310" width="12.33203125" style="905" customWidth="1"/>
    <col min="2311" max="2311" width="12.109375" style="905" customWidth="1"/>
    <col min="2312" max="2312" width="10.6640625" style="905" customWidth="1"/>
    <col min="2313" max="2313" width="13.6640625" style="905" customWidth="1"/>
    <col min="2314" max="2314" width="10.6640625" style="905" customWidth="1"/>
    <col min="2315" max="2315" width="16.6640625" style="905" customWidth="1"/>
    <col min="2316" max="2316" width="14.6640625" style="905" customWidth="1"/>
    <col min="2317" max="2317" width="15.33203125" style="905" customWidth="1"/>
    <col min="2318" max="2318" width="30.77734375" style="905" customWidth="1"/>
    <col min="2319" max="2321" width="9.33203125" style="905" customWidth="1"/>
    <col min="2322" max="2322" width="17.44140625" style="905" customWidth="1"/>
    <col min="2323" max="2554" width="9.33203125" style="905" customWidth="1"/>
    <col min="2555" max="2556" width="6.109375" style="905"/>
    <col min="2557" max="2557" width="20" style="905" customWidth="1"/>
    <col min="2558" max="2558" width="16.6640625" style="905" customWidth="1"/>
    <col min="2559" max="2559" width="17.77734375" style="905" customWidth="1"/>
    <col min="2560" max="2560" width="10.77734375" style="905" customWidth="1"/>
    <col min="2561" max="2561" width="12.77734375" style="905" customWidth="1"/>
    <col min="2562" max="2562" width="12.6640625" style="905" customWidth="1"/>
    <col min="2563" max="2563" width="9.33203125" style="905" customWidth="1"/>
    <col min="2564" max="2564" width="11.44140625" style="905" customWidth="1"/>
    <col min="2565" max="2565" width="9.33203125" style="905" customWidth="1"/>
    <col min="2566" max="2566" width="12.33203125" style="905" customWidth="1"/>
    <col min="2567" max="2567" width="12.109375" style="905" customWidth="1"/>
    <col min="2568" max="2568" width="10.6640625" style="905" customWidth="1"/>
    <col min="2569" max="2569" width="13.6640625" style="905" customWidth="1"/>
    <col min="2570" max="2570" width="10.6640625" style="905" customWidth="1"/>
    <col min="2571" max="2571" width="16.6640625" style="905" customWidth="1"/>
    <col min="2572" max="2572" width="14.6640625" style="905" customWidth="1"/>
    <col min="2573" max="2573" width="15.33203125" style="905" customWidth="1"/>
    <col min="2574" max="2574" width="30.77734375" style="905" customWidth="1"/>
    <col min="2575" max="2577" width="9.33203125" style="905" customWidth="1"/>
    <col min="2578" max="2578" width="17.44140625" style="905" customWidth="1"/>
    <col min="2579" max="2810" width="9.33203125" style="905" customWidth="1"/>
    <col min="2811" max="2812" width="6.109375" style="905"/>
    <col min="2813" max="2813" width="20" style="905" customWidth="1"/>
    <col min="2814" max="2814" width="16.6640625" style="905" customWidth="1"/>
    <col min="2815" max="2815" width="17.77734375" style="905" customWidth="1"/>
    <col min="2816" max="2816" width="10.77734375" style="905" customWidth="1"/>
    <col min="2817" max="2817" width="12.77734375" style="905" customWidth="1"/>
    <col min="2818" max="2818" width="12.6640625" style="905" customWidth="1"/>
    <col min="2819" max="2819" width="9.33203125" style="905" customWidth="1"/>
    <col min="2820" max="2820" width="11.44140625" style="905" customWidth="1"/>
    <col min="2821" max="2821" width="9.33203125" style="905" customWidth="1"/>
    <col min="2822" max="2822" width="12.33203125" style="905" customWidth="1"/>
    <col min="2823" max="2823" width="12.109375" style="905" customWidth="1"/>
    <col min="2824" max="2824" width="10.6640625" style="905" customWidth="1"/>
    <col min="2825" max="2825" width="13.6640625" style="905" customWidth="1"/>
    <col min="2826" max="2826" width="10.6640625" style="905" customWidth="1"/>
    <col min="2827" max="2827" width="16.6640625" style="905" customWidth="1"/>
    <col min="2828" max="2828" width="14.6640625" style="905" customWidth="1"/>
    <col min="2829" max="2829" width="15.33203125" style="905" customWidth="1"/>
    <col min="2830" max="2830" width="30.77734375" style="905" customWidth="1"/>
    <col min="2831" max="2833" width="9.33203125" style="905" customWidth="1"/>
    <col min="2834" max="2834" width="17.44140625" style="905" customWidth="1"/>
    <col min="2835" max="3066" width="9.33203125" style="905" customWidth="1"/>
    <col min="3067" max="3068" width="6.109375" style="905"/>
    <col min="3069" max="3069" width="20" style="905" customWidth="1"/>
    <col min="3070" max="3070" width="16.6640625" style="905" customWidth="1"/>
    <col min="3071" max="3071" width="17.77734375" style="905" customWidth="1"/>
    <col min="3072" max="3072" width="10.77734375" style="905" customWidth="1"/>
    <col min="3073" max="3073" width="12.77734375" style="905" customWidth="1"/>
    <col min="3074" max="3074" width="12.6640625" style="905" customWidth="1"/>
    <col min="3075" max="3075" width="9.33203125" style="905" customWidth="1"/>
    <col min="3076" max="3076" width="11.44140625" style="905" customWidth="1"/>
    <col min="3077" max="3077" width="9.33203125" style="905" customWidth="1"/>
    <col min="3078" max="3078" width="12.33203125" style="905" customWidth="1"/>
    <col min="3079" max="3079" width="12.109375" style="905" customWidth="1"/>
    <col min="3080" max="3080" width="10.6640625" style="905" customWidth="1"/>
    <col min="3081" max="3081" width="13.6640625" style="905" customWidth="1"/>
    <col min="3082" max="3082" width="10.6640625" style="905" customWidth="1"/>
    <col min="3083" max="3083" width="16.6640625" style="905" customWidth="1"/>
    <col min="3084" max="3084" width="14.6640625" style="905" customWidth="1"/>
    <col min="3085" max="3085" width="15.33203125" style="905" customWidth="1"/>
    <col min="3086" max="3086" width="30.77734375" style="905" customWidth="1"/>
    <col min="3087" max="3089" width="9.33203125" style="905" customWidth="1"/>
    <col min="3090" max="3090" width="17.44140625" style="905" customWidth="1"/>
    <col min="3091" max="3322" width="9.33203125" style="905" customWidth="1"/>
    <col min="3323" max="3324" width="6.109375" style="905"/>
    <col min="3325" max="3325" width="20" style="905" customWidth="1"/>
    <col min="3326" max="3326" width="16.6640625" style="905" customWidth="1"/>
    <col min="3327" max="3327" width="17.77734375" style="905" customWidth="1"/>
    <col min="3328" max="3328" width="10.77734375" style="905" customWidth="1"/>
    <col min="3329" max="3329" width="12.77734375" style="905" customWidth="1"/>
    <col min="3330" max="3330" width="12.6640625" style="905" customWidth="1"/>
    <col min="3331" max="3331" width="9.33203125" style="905" customWidth="1"/>
    <col min="3332" max="3332" width="11.44140625" style="905" customWidth="1"/>
    <col min="3333" max="3333" width="9.33203125" style="905" customWidth="1"/>
    <col min="3334" max="3334" width="12.33203125" style="905" customWidth="1"/>
    <col min="3335" max="3335" width="12.109375" style="905" customWidth="1"/>
    <col min="3336" max="3336" width="10.6640625" style="905" customWidth="1"/>
    <col min="3337" max="3337" width="13.6640625" style="905" customWidth="1"/>
    <col min="3338" max="3338" width="10.6640625" style="905" customWidth="1"/>
    <col min="3339" max="3339" width="16.6640625" style="905" customWidth="1"/>
    <col min="3340" max="3340" width="14.6640625" style="905" customWidth="1"/>
    <col min="3341" max="3341" width="15.33203125" style="905" customWidth="1"/>
    <col min="3342" max="3342" width="30.77734375" style="905" customWidth="1"/>
    <col min="3343" max="3345" width="9.33203125" style="905" customWidth="1"/>
    <col min="3346" max="3346" width="17.44140625" style="905" customWidth="1"/>
    <col min="3347" max="3578" width="9.33203125" style="905" customWidth="1"/>
    <col min="3579" max="3580" width="6.109375" style="905"/>
    <col min="3581" max="3581" width="20" style="905" customWidth="1"/>
    <col min="3582" max="3582" width="16.6640625" style="905" customWidth="1"/>
    <col min="3583" max="3583" width="17.77734375" style="905" customWidth="1"/>
    <col min="3584" max="3584" width="10.77734375" style="905" customWidth="1"/>
    <col min="3585" max="3585" width="12.77734375" style="905" customWidth="1"/>
    <col min="3586" max="3586" width="12.6640625" style="905" customWidth="1"/>
    <col min="3587" max="3587" width="9.33203125" style="905" customWidth="1"/>
    <col min="3588" max="3588" width="11.44140625" style="905" customWidth="1"/>
    <col min="3589" max="3589" width="9.33203125" style="905" customWidth="1"/>
    <col min="3590" max="3590" width="12.33203125" style="905" customWidth="1"/>
    <col min="3591" max="3591" width="12.109375" style="905" customWidth="1"/>
    <col min="3592" max="3592" width="10.6640625" style="905" customWidth="1"/>
    <col min="3593" max="3593" width="13.6640625" style="905" customWidth="1"/>
    <col min="3594" max="3594" width="10.6640625" style="905" customWidth="1"/>
    <col min="3595" max="3595" width="16.6640625" style="905" customWidth="1"/>
    <col min="3596" max="3596" width="14.6640625" style="905" customWidth="1"/>
    <col min="3597" max="3597" width="15.33203125" style="905" customWidth="1"/>
    <col min="3598" max="3598" width="30.77734375" style="905" customWidth="1"/>
    <col min="3599" max="3601" width="9.33203125" style="905" customWidth="1"/>
    <col min="3602" max="3602" width="17.44140625" style="905" customWidth="1"/>
    <col min="3603" max="3834" width="9.33203125" style="905" customWidth="1"/>
    <col min="3835" max="3836" width="6.109375" style="905"/>
    <col min="3837" max="3837" width="20" style="905" customWidth="1"/>
    <col min="3838" max="3838" width="16.6640625" style="905" customWidth="1"/>
    <col min="3839" max="3839" width="17.77734375" style="905" customWidth="1"/>
    <col min="3840" max="3840" width="10.77734375" style="905" customWidth="1"/>
    <col min="3841" max="3841" width="12.77734375" style="905" customWidth="1"/>
    <col min="3842" max="3842" width="12.6640625" style="905" customWidth="1"/>
    <col min="3843" max="3843" width="9.33203125" style="905" customWidth="1"/>
    <col min="3844" max="3844" width="11.44140625" style="905" customWidth="1"/>
    <col min="3845" max="3845" width="9.33203125" style="905" customWidth="1"/>
    <col min="3846" max="3846" width="12.33203125" style="905" customWidth="1"/>
    <col min="3847" max="3847" width="12.109375" style="905" customWidth="1"/>
    <col min="3848" max="3848" width="10.6640625" style="905" customWidth="1"/>
    <col min="3849" max="3849" width="13.6640625" style="905" customWidth="1"/>
    <col min="3850" max="3850" width="10.6640625" style="905" customWidth="1"/>
    <col min="3851" max="3851" width="16.6640625" style="905" customWidth="1"/>
    <col min="3852" max="3852" width="14.6640625" style="905" customWidth="1"/>
    <col min="3853" max="3853" width="15.33203125" style="905" customWidth="1"/>
    <col min="3854" max="3854" width="30.77734375" style="905" customWidth="1"/>
    <col min="3855" max="3857" width="9.33203125" style="905" customWidth="1"/>
    <col min="3858" max="3858" width="17.44140625" style="905" customWidth="1"/>
    <col min="3859" max="4090" width="9.33203125" style="905" customWidth="1"/>
    <col min="4091" max="4092" width="6.109375" style="905"/>
    <col min="4093" max="4093" width="20" style="905" customWidth="1"/>
    <col min="4094" max="4094" width="16.6640625" style="905" customWidth="1"/>
    <col min="4095" max="4095" width="17.77734375" style="905" customWidth="1"/>
    <col min="4096" max="4096" width="10.77734375" style="905" customWidth="1"/>
    <col min="4097" max="4097" width="12.77734375" style="905" customWidth="1"/>
    <col min="4098" max="4098" width="12.6640625" style="905" customWidth="1"/>
    <col min="4099" max="4099" width="9.33203125" style="905" customWidth="1"/>
    <col min="4100" max="4100" width="11.44140625" style="905" customWidth="1"/>
    <col min="4101" max="4101" width="9.33203125" style="905" customWidth="1"/>
    <col min="4102" max="4102" width="12.33203125" style="905" customWidth="1"/>
    <col min="4103" max="4103" width="12.109375" style="905" customWidth="1"/>
    <col min="4104" max="4104" width="10.6640625" style="905" customWidth="1"/>
    <col min="4105" max="4105" width="13.6640625" style="905" customWidth="1"/>
    <col min="4106" max="4106" width="10.6640625" style="905" customWidth="1"/>
    <col min="4107" max="4107" width="16.6640625" style="905" customWidth="1"/>
    <col min="4108" max="4108" width="14.6640625" style="905" customWidth="1"/>
    <col min="4109" max="4109" width="15.33203125" style="905" customWidth="1"/>
    <col min="4110" max="4110" width="30.77734375" style="905" customWidth="1"/>
    <col min="4111" max="4113" width="9.33203125" style="905" customWidth="1"/>
    <col min="4114" max="4114" width="17.44140625" style="905" customWidth="1"/>
    <col min="4115" max="4346" width="9.33203125" style="905" customWidth="1"/>
    <col min="4347" max="4348" width="6.109375" style="905"/>
    <col min="4349" max="4349" width="20" style="905" customWidth="1"/>
    <col min="4350" max="4350" width="16.6640625" style="905" customWidth="1"/>
    <col min="4351" max="4351" width="17.77734375" style="905" customWidth="1"/>
    <col min="4352" max="4352" width="10.77734375" style="905" customWidth="1"/>
    <col min="4353" max="4353" width="12.77734375" style="905" customWidth="1"/>
    <col min="4354" max="4354" width="12.6640625" style="905" customWidth="1"/>
    <col min="4355" max="4355" width="9.33203125" style="905" customWidth="1"/>
    <col min="4356" max="4356" width="11.44140625" style="905" customWidth="1"/>
    <col min="4357" max="4357" width="9.33203125" style="905" customWidth="1"/>
    <col min="4358" max="4358" width="12.33203125" style="905" customWidth="1"/>
    <col min="4359" max="4359" width="12.109375" style="905" customWidth="1"/>
    <col min="4360" max="4360" width="10.6640625" style="905" customWidth="1"/>
    <col min="4361" max="4361" width="13.6640625" style="905" customWidth="1"/>
    <col min="4362" max="4362" width="10.6640625" style="905" customWidth="1"/>
    <col min="4363" max="4363" width="16.6640625" style="905" customWidth="1"/>
    <col min="4364" max="4364" width="14.6640625" style="905" customWidth="1"/>
    <col min="4365" max="4365" width="15.33203125" style="905" customWidth="1"/>
    <col min="4366" max="4366" width="30.77734375" style="905" customWidth="1"/>
    <col min="4367" max="4369" width="9.33203125" style="905" customWidth="1"/>
    <col min="4370" max="4370" width="17.44140625" style="905" customWidth="1"/>
    <col min="4371" max="4602" width="9.33203125" style="905" customWidth="1"/>
    <col min="4603" max="4604" width="6.109375" style="905"/>
    <col min="4605" max="4605" width="20" style="905" customWidth="1"/>
    <col min="4606" max="4606" width="16.6640625" style="905" customWidth="1"/>
    <col min="4607" max="4607" width="17.77734375" style="905" customWidth="1"/>
    <col min="4608" max="4608" width="10.77734375" style="905" customWidth="1"/>
    <col min="4609" max="4609" width="12.77734375" style="905" customWidth="1"/>
    <col min="4610" max="4610" width="12.6640625" style="905" customWidth="1"/>
    <col min="4611" max="4611" width="9.33203125" style="905" customWidth="1"/>
    <col min="4612" max="4612" width="11.44140625" style="905" customWidth="1"/>
    <col min="4613" max="4613" width="9.33203125" style="905" customWidth="1"/>
    <col min="4614" max="4614" width="12.33203125" style="905" customWidth="1"/>
    <col min="4615" max="4615" width="12.109375" style="905" customWidth="1"/>
    <col min="4616" max="4616" width="10.6640625" style="905" customWidth="1"/>
    <col min="4617" max="4617" width="13.6640625" style="905" customWidth="1"/>
    <col min="4618" max="4618" width="10.6640625" style="905" customWidth="1"/>
    <col min="4619" max="4619" width="16.6640625" style="905" customWidth="1"/>
    <col min="4620" max="4620" width="14.6640625" style="905" customWidth="1"/>
    <col min="4621" max="4621" width="15.33203125" style="905" customWidth="1"/>
    <col min="4622" max="4622" width="30.77734375" style="905" customWidth="1"/>
    <col min="4623" max="4625" width="9.33203125" style="905" customWidth="1"/>
    <col min="4626" max="4626" width="17.44140625" style="905" customWidth="1"/>
    <col min="4627" max="4858" width="9.33203125" style="905" customWidth="1"/>
    <col min="4859" max="4860" width="6.109375" style="905"/>
    <col min="4861" max="4861" width="20" style="905" customWidth="1"/>
    <col min="4862" max="4862" width="16.6640625" style="905" customWidth="1"/>
    <col min="4863" max="4863" width="17.77734375" style="905" customWidth="1"/>
    <col min="4864" max="4864" width="10.77734375" style="905" customWidth="1"/>
    <col min="4865" max="4865" width="12.77734375" style="905" customWidth="1"/>
    <col min="4866" max="4866" width="12.6640625" style="905" customWidth="1"/>
    <col min="4867" max="4867" width="9.33203125" style="905" customWidth="1"/>
    <col min="4868" max="4868" width="11.44140625" style="905" customWidth="1"/>
    <col min="4869" max="4869" width="9.33203125" style="905" customWidth="1"/>
    <col min="4870" max="4870" width="12.33203125" style="905" customWidth="1"/>
    <col min="4871" max="4871" width="12.109375" style="905" customWidth="1"/>
    <col min="4872" max="4872" width="10.6640625" style="905" customWidth="1"/>
    <col min="4873" max="4873" width="13.6640625" style="905" customWidth="1"/>
    <col min="4874" max="4874" width="10.6640625" style="905" customWidth="1"/>
    <col min="4875" max="4875" width="16.6640625" style="905" customWidth="1"/>
    <col min="4876" max="4876" width="14.6640625" style="905" customWidth="1"/>
    <col min="4877" max="4877" width="15.33203125" style="905" customWidth="1"/>
    <col min="4878" max="4878" width="30.77734375" style="905" customWidth="1"/>
    <col min="4879" max="4881" width="9.33203125" style="905" customWidth="1"/>
    <col min="4882" max="4882" width="17.44140625" style="905" customWidth="1"/>
    <col min="4883" max="5114" width="9.33203125" style="905" customWidth="1"/>
    <col min="5115" max="5116" width="6.109375" style="905"/>
    <col min="5117" max="5117" width="20" style="905" customWidth="1"/>
    <col min="5118" max="5118" width="16.6640625" style="905" customWidth="1"/>
    <col min="5119" max="5119" width="17.77734375" style="905" customWidth="1"/>
    <col min="5120" max="5120" width="10.77734375" style="905" customWidth="1"/>
    <col min="5121" max="5121" width="12.77734375" style="905" customWidth="1"/>
    <col min="5122" max="5122" width="12.6640625" style="905" customWidth="1"/>
    <col min="5123" max="5123" width="9.33203125" style="905" customWidth="1"/>
    <col min="5124" max="5124" width="11.44140625" style="905" customWidth="1"/>
    <col min="5125" max="5125" width="9.33203125" style="905" customWidth="1"/>
    <col min="5126" max="5126" width="12.33203125" style="905" customWidth="1"/>
    <col min="5127" max="5127" width="12.109375" style="905" customWidth="1"/>
    <col min="5128" max="5128" width="10.6640625" style="905" customWidth="1"/>
    <col min="5129" max="5129" width="13.6640625" style="905" customWidth="1"/>
    <col min="5130" max="5130" width="10.6640625" style="905" customWidth="1"/>
    <col min="5131" max="5131" width="16.6640625" style="905" customWidth="1"/>
    <col min="5132" max="5132" width="14.6640625" style="905" customWidth="1"/>
    <col min="5133" max="5133" width="15.33203125" style="905" customWidth="1"/>
    <col min="5134" max="5134" width="30.77734375" style="905" customWidth="1"/>
    <col min="5135" max="5137" width="9.33203125" style="905" customWidth="1"/>
    <col min="5138" max="5138" width="17.44140625" style="905" customWidth="1"/>
    <col min="5139" max="5370" width="9.33203125" style="905" customWidth="1"/>
    <col min="5371" max="5372" width="6.109375" style="905"/>
    <col min="5373" max="5373" width="20" style="905" customWidth="1"/>
    <col min="5374" max="5374" width="16.6640625" style="905" customWidth="1"/>
    <col min="5375" max="5375" width="17.77734375" style="905" customWidth="1"/>
    <col min="5376" max="5376" width="10.77734375" style="905" customWidth="1"/>
    <col min="5377" max="5377" width="12.77734375" style="905" customWidth="1"/>
    <col min="5378" max="5378" width="12.6640625" style="905" customWidth="1"/>
    <col min="5379" max="5379" width="9.33203125" style="905" customWidth="1"/>
    <col min="5380" max="5380" width="11.44140625" style="905" customWidth="1"/>
    <col min="5381" max="5381" width="9.33203125" style="905" customWidth="1"/>
    <col min="5382" max="5382" width="12.33203125" style="905" customWidth="1"/>
    <col min="5383" max="5383" width="12.109375" style="905" customWidth="1"/>
    <col min="5384" max="5384" width="10.6640625" style="905" customWidth="1"/>
    <col min="5385" max="5385" width="13.6640625" style="905" customWidth="1"/>
    <col min="5386" max="5386" width="10.6640625" style="905" customWidth="1"/>
    <col min="5387" max="5387" width="16.6640625" style="905" customWidth="1"/>
    <col min="5388" max="5388" width="14.6640625" style="905" customWidth="1"/>
    <col min="5389" max="5389" width="15.33203125" style="905" customWidth="1"/>
    <col min="5390" max="5390" width="30.77734375" style="905" customWidth="1"/>
    <col min="5391" max="5393" width="9.33203125" style="905" customWidth="1"/>
    <col min="5394" max="5394" width="17.44140625" style="905" customWidth="1"/>
    <col min="5395" max="5626" width="9.33203125" style="905" customWidth="1"/>
    <col min="5627" max="5628" width="6.109375" style="905"/>
    <col min="5629" max="5629" width="20" style="905" customWidth="1"/>
    <col min="5630" max="5630" width="16.6640625" style="905" customWidth="1"/>
    <col min="5631" max="5631" width="17.77734375" style="905" customWidth="1"/>
    <col min="5632" max="5632" width="10.77734375" style="905" customWidth="1"/>
    <col min="5633" max="5633" width="12.77734375" style="905" customWidth="1"/>
    <col min="5634" max="5634" width="12.6640625" style="905" customWidth="1"/>
    <col min="5635" max="5635" width="9.33203125" style="905" customWidth="1"/>
    <col min="5636" max="5636" width="11.44140625" style="905" customWidth="1"/>
    <col min="5637" max="5637" width="9.33203125" style="905" customWidth="1"/>
    <col min="5638" max="5638" width="12.33203125" style="905" customWidth="1"/>
    <col min="5639" max="5639" width="12.109375" style="905" customWidth="1"/>
    <col min="5640" max="5640" width="10.6640625" style="905" customWidth="1"/>
    <col min="5641" max="5641" width="13.6640625" style="905" customWidth="1"/>
    <col min="5642" max="5642" width="10.6640625" style="905" customWidth="1"/>
    <col min="5643" max="5643" width="16.6640625" style="905" customWidth="1"/>
    <col min="5644" max="5644" width="14.6640625" style="905" customWidth="1"/>
    <col min="5645" max="5645" width="15.33203125" style="905" customWidth="1"/>
    <col min="5646" max="5646" width="30.77734375" style="905" customWidth="1"/>
    <col min="5647" max="5649" width="9.33203125" style="905" customWidth="1"/>
    <col min="5650" max="5650" width="17.44140625" style="905" customWidth="1"/>
    <col min="5651" max="5882" width="9.33203125" style="905" customWidth="1"/>
    <col min="5883" max="5884" width="6.109375" style="905"/>
    <col min="5885" max="5885" width="20" style="905" customWidth="1"/>
    <col min="5886" max="5886" width="16.6640625" style="905" customWidth="1"/>
    <col min="5887" max="5887" width="17.77734375" style="905" customWidth="1"/>
    <col min="5888" max="5888" width="10.77734375" style="905" customWidth="1"/>
    <col min="5889" max="5889" width="12.77734375" style="905" customWidth="1"/>
    <col min="5890" max="5890" width="12.6640625" style="905" customWidth="1"/>
    <col min="5891" max="5891" width="9.33203125" style="905" customWidth="1"/>
    <col min="5892" max="5892" width="11.44140625" style="905" customWidth="1"/>
    <col min="5893" max="5893" width="9.33203125" style="905" customWidth="1"/>
    <col min="5894" max="5894" width="12.33203125" style="905" customWidth="1"/>
    <col min="5895" max="5895" width="12.109375" style="905" customWidth="1"/>
    <col min="5896" max="5896" width="10.6640625" style="905" customWidth="1"/>
    <col min="5897" max="5897" width="13.6640625" style="905" customWidth="1"/>
    <col min="5898" max="5898" width="10.6640625" style="905" customWidth="1"/>
    <col min="5899" max="5899" width="16.6640625" style="905" customWidth="1"/>
    <col min="5900" max="5900" width="14.6640625" style="905" customWidth="1"/>
    <col min="5901" max="5901" width="15.33203125" style="905" customWidth="1"/>
    <col min="5902" max="5902" width="30.77734375" style="905" customWidth="1"/>
    <col min="5903" max="5905" width="9.33203125" style="905" customWidth="1"/>
    <col min="5906" max="5906" width="17.44140625" style="905" customWidth="1"/>
    <col min="5907" max="6138" width="9.33203125" style="905" customWidth="1"/>
    <col min="6139" max="6140" width="6.109375" style="905"/>
    <col min="6141" max="6141" width="20" style="905" customWidth="1"/>
    <col min="6142" max="6142" width="16.6640625" style="905" customWidth="1"/>
    <col min="6143" max="6143" width="17.77734375" style="905" customWidth="1"/>
    <col min="6144" max="6144" width="10.77734375" style="905" customWidth="1"/>
    <col min="6145" max="6145" width="12.77734375" style="905" customWidth="1"/>
    <col min="6146" max="6146" width="12.6640625" style="905" customWidth="1"/>
    <col min="6147" max="6147" width="9.33203125" style="905" customWidth="1"/>
    <col min="6148" max="6148" width="11.44140625" style="905" customWidth="1"/>
    <col min="6149" max="6149" width="9.33203125" style="905" customWidth="1"/>
    <col min="6150" max="6150" width="12.33203125" style="905" customWidth="1"/>
    <col min="6151" max="6151" width="12.109375" style="905" customWidth="1"/>
    <col min="6152" max="6152" width="10.6640625" style="905" customWidth="1"/>
    <col min="6153" max="6153" width="13.6640625" style="905" customWidth="1"/>
    <col min="6154" max="6154" width="10.6640625" style="905" customWidth="1"/>
    <col min="6155" max="6155" width="16.6640625" style="905" customWidth="1"/>
    <col min="6156" max="6156" width="14.6640625" style="905" customWidth="1"/>
    <col min="6157" max="6157" width="15.33203125" style="905" customWidth="1"/>
    <col min="6158" max="6158" width="30.77734375" style="905" customWidth="1"/>
    <col min="6159" max="6161" width="9.33203125" style="905" customWidth="1"/>
    <col min="6162" max="6162" width="17.44140625" style="905" customWidth="1"/>
    <col min="6163" max="6394" width="9.33203125" style="905" customWidth="1"/>
    <col min="6395" max="6396" width="6.109375" style="905"/>
    <col min="6397" max="6397" width="20" style="905" customWidth="1"/>
    <col min="6398" max="6398" width="16.6640625" style="905" customWidth="1"/>
    <col min="6399" max="6399" width="17.77734375" style="905" customWidth="1"/>
    <col min="6400" max="6400" width="10.77734375" style="905" customWidth="1"/>
    <col min="6401" max="6401" width="12.77734375" style="905" customWidth="1"/>
    <col min="6402" max="6402" width="12.6640625" style="905" customWidth="1"/>
    <col min="6403" max="6403" width="9.33203125" style="905" customWidth="1"/>
    <col min="6404" max="6404" width="11.44140625" style="905" customWidth="1"/>
    <col min="6405" max="6405" width="9.33203125" style="905" customWidth="1"/>
    <col min="6406" max="6406" width="12.33203125" style="905" customWidth="1"/>
    <col min="6407" max="6407" width="12.109375" style="905" customWidth="1"/>
    <col min="6408" max="6408" width="10.6640625" style="905" customWidth="1"/>
    <col min="6409" max="6409" width="13.6640625" style="905" customWidth="1"/>
    <col min="6410" max="6410" width="10.6640625" style="905" customWidth="1"/>
    <col min="6411" max="6411" width="16.6640625" style="905" customWidth="1"/>
    <col min="6412" max="6412" width="14.6640625" style="905" customWidth="1"/>
    <col min="6413" max="6413" width="15.33203125" style="905" customWidth="1"/>
    <col min="6414" max="6414" width="30.77734375" style="905" customWidth="1"/>
    <col min="6415" max="6417" width="9.33203125" style="905" customWidth="1"/>
    <col min="6418" max="6418" width="17.44140625" style="905" customWidth="1"/>
    <col min="6419" max="6650" width="9.33203125" style="905" customWidth="1"/>
    <col min="6651" max="6652" width="6.109375" style="905"/>
    <col min="6653" max="6653" width="20" style="905" customWidth="1"/>
    <col min="6654" max="6654" width="16.6640625" style="905" customWidth="1"/>
    <col min="6655" max="6655" width="17.77734375" style="905" customWidth="1"/>
    <col min="6656" max="6656" width="10.77734375" style="905" customWidth="1"/>
    <col min="6657" max="6657" width="12.77734375" style="905" customWidth="1"/>
    <col min="6658" max="6658" width="12.6640625" style="905" customWidth="1"/>
    <col min="6659" max="6659" width="9.33203125" style="905" customWidth="1"/>
    <col min="6660" max="6660" width="11.44140625" style="905" customWidth="1"/>
    <col min="6661" max="6661" width="9.33203125" style="905" customWidth="1"/>
    <col min="6662" max="6662" width="12.33203125" style="905" customWidth="1"/>
    <col min="6663" max="6663" width="12.109375" style="905" customWidth="1"/>
    <col min="6664" max="6664" width="10.6640625" style="905" customWidth="1"/>
    <col min="6665" max="6665" width="13.6640625" style="905" customWidth="1"/>
    <col min="6666" max="6666" width="10.6640625" style="905" customWidth="1"/>
    <col min="6667" max="6667" width="16.6640625" style="905" customWidth="1"/>
    <col min="6668" max="6668" width="14.6640625" style="905" customWidth="1"/>
    <col min="6669" max="6669" width="15.33203125" style="905" customWidth="1"/>
    <col min="6670" max="6670" width="30.77734375" style="905" customWidth="1"/>
    <col min="6671" max="6673" width="9.33203125" style="905" customWidth="1"/>
    <col min="6674" max="6674" width="17.44140625" style="905" customWidth="1"/>
    <col min="6675" max="6906" width="9.33203125" style="905" customWidth="1"/>
    <col min="6907" max="6908" width="6.109375" style="905"/>
    <col min="6909" max="6909" width="20" style="905" customWidth="1"/>
    <col min="6910" max="6910" width="16.6640625" style="905" customWidth="1"/>
    <col min="6911" max="6911" width="17.77734375" style="905" customWidth="1"/>
    <col min="6912" max="6912" width="10.77734375" style="905" customWidth="1"/>
    <col min="6913" max="6913" width="12.77734375" style="905" customWidth="1"/>
    <col min="6914" max="6914" width="12.6640625" style="905" customWidth="1"/>
    <col min="6915" max="6915" width="9.33203125" style="905" customWidth="1"/>
    <col min="6916" max="6916" width="11.44140625" style="905" customWidth="1"/>
    <col min="6917" max="6917" width="9.33203125" style="905" customWidth="1"/>
    <col min="6918" max="6918" width="12.33203125" style="905" customWidth="1"/>
    <col min="6919" max="6919" width="12.109375" style="905" customWidth="1"/>
    <col min="6920" max="6920" width="10.6640625" style="905" customWidth="1"/>
    <col min="6921" max="6921" width="13.6640625" style="905" customWidth="1"/>
    <col min="6922" max="6922" width="10.6640625" style="905" customWidth="1"/>
    <col min="6923" max="6923" width="16.6640625" style="905" customWidth="1"/>
    <col min="6924" max="6924" width="14.6640625" style="905" customWidth="1"/>
    <col min="6925" max="6925" width="15.33203125" style="905" customWidth="1"/>
    <col min="6926" max="6926" width="30.77734375" style="905" customWidth="1"/>
    <col min="6927" max="6929" width="9.33203125" style="905" customWidth="1"/>
    <col min="6930" max="6930" width="17.44140625" style="905" customWidth="1"/>
    <col min="6931" max="7162" width="9.33203125" style="905" customWidth="1"/>
    <col min="7163" max="7164" width="6.109375" style="905"/>
    <col min="7165" max="7165" width="20" style="905" customWidth="1"/>
    <col min="7166" max="7166" width="16.6640625" style="905" customWidth="1"/>
    <col min="7167" max="7167" width="17.77734375" style="905" customWidth="1"/>
    <col min="7168" max="7168" width="10.77734375" style="905" customWidth="1"/>
    <col min="7169" max="7169" width="12.77734375" style="905" customWidth="1"/>
    <col min="7170" max="7170" width="12.6640625" style="905" customWidth="1"/>
    <col min="7171" max="7171" width="9.33203125" style="905" customWidth="1"/>
    <col min="7172" max="7172" width="11.44140625" style="905" customWidth="1"/>
    <col min="7173" max="7173" width="9.33203125" style="905" customWidth="1"/>
    <col min="7174" max="7174" width="12.33203125" style="905" customWidth="1"/>
    <col min="7175" max="7175" width="12.109375" style="905" customWidth="1"/>
    <col min="7176" max="7176" width="10.6640625" style="905" customWidth="1"/>
    <col min="7177" max="7177" width="13.6640625" style="905" customWidth="1"/>
    <col min="7178" max="7178" width="10.6640625" style="905" customWidth="1"/>
    <col min="7179" max="7179" width="16.6640625" style="905" customWidth="1"/>
    <col min="7180" max="7180" width="14.6640625" style="905" customWidth="1"/>
    <col min="7181" max="7181" width="15.33203125" style="905" customWidth="1"/>
    <col min="7182" max="7182" width="30.77734375" style="905" customWidth="1"/>
    <col min="7183" max="7185" width="9.33203125" style="905" customWidth="1"/>
    <col min="7186" max="7186" width="17.44140625" style="905" customWidth="1"/>
    <col min="7187" max="7418" width="9.33203125" style="905" customWidth="1"/>
    <col min="7419" max="7420" width="6.109375" style="905"/>
    <col min="7421" max="7421" width="20" style="905" customWidth="1"/>
    <col min="7422" max="7422" width="16.6640625" style="905" customWidth="1"/>
    <col min="7423" max="7423" width="17.77734375" style="905" customWidth="1"/>
    <col min="7424" max="7424" width="10.77734375" style="905" customWidth="1"/>
    <col min="7425" max="7425" width="12.77734375" style="905" customWidth="1"/>
    <col min="7426" max="7426" width="12.6640625" style="905" customWidth="1"/>
    <col min="7427" max="7427" width="9.33203125" style="905" customWidth="1"/>
    <col min="7428" max="7428" width="11.44140625" style="905" customWidth="1"/>
    <col min="7429" max="7429" width="9.33203125" style="905" customWidth="1"/>
    <col min="7430" max="7430" width="12.33203125" style="905" customWidth="1"/>
    <col min="7431" max="7431" width="12.109375" style="905" customWidth="1"/>
    <col min="7432" max="7432" width="10.6640625" style="905" customWidth="1"/>
    <col min="7433" max="7433" width="13.6640625" style="905" customWidth="1"/>
    <col min="7434" max="7434" width="10.6640625" style="905" customWidth="1"/>
    <col min="7435" max="7435" width="16.6640625" style="905" customWidth="1"/>
    <col min="7436" max="7436" width="14.6640625" style="905" customWidth="1"/>
    <col min="7437" max="7437" width="15.33203125" style="905" customWidth="1"/>
    <col min="7438" max="7438" width="30.77734375" style="905" customWidth="1"/>
    <col min="7439" max="7441" width="9.33203125" style="905" customWidth="1"/>
    <col min="7442" max="7442" width="17.44140625" style="905" customWidth="1"/>
    <col min="7443" max="7674" width="9.33203125" style="905" customWidth="1"/>
    <col min="7675" max="7676" width="6.109375" style="905"/>
    <col min="7677" max="7677" width="20" style="905" customWidth="1"/>
    <col min="7678" max="7678" width="16.6640625" style="905" customWidth="1"/>
    <col min="7679" max="7679" width="17.77734375" style="905" customWidth="1"/>
    <col min="7680" max="7680" width="10.77734375" style="905" customWidth="1"/>
    <col min="7681" max="7681" width="12.77734375" style="905" customWidth="1"/>
    <col min="7682" max="7682" width="12.6640625" style="905" customWidth="1"/>
    <col min="7683" max="7683" width="9.33203125" style="905" customWidth="1"/>
    <col min="7684" max="7684" width="11.44140625" style="905" customWidth="1"/>
    <col min="7685" max="7685" width="9.33203125" style="905" customWidth="1"/>
    <col min="7686" max="7686" width="12.33203125" style="905" customWidth="1"/>
    <col min="7687" max="7687" width="12.109375" style="905" customWidth="1"/>
    <col min="7688" max="7688" width="10.6640625" style="905" customWidth="1"/>
    <col min="7689" max="7689" width="13.6640625" style="905" customWidth="1"/>
    <col min="7690" max="7690" width="10.6640625" style="905" customWidth="1"/>
    <col min="7691" max="7691" width="16.6640625" style="905" customWidth="1"/>
    <col min="7692" max="7692" width="14.6640625" style="905" customWidth="1"/>
    <col min="7693" max="7693" width="15.33203125" style="905" customWidth="1"/>
    <col min="7694" max="7694" width="30.77734375" style="905" customWidth="1"/>
    <col min="7695" max="7697" width="9.33203125" style="905" customWidth="1"/>
    <col min="7698" max="7698" width="17.44140625" style="905" customWidth="1"/>
    <col min="7699" max="7930" width="9.33203125" style="905" customWidth="1"/>
    <col min="7931" max="7932" width="6.109375" style="905"/>
    <col min="7933" max="7933" width="20" style="905" customWidth="1"/>
    <col min="7934" max="7934" width="16.6640625" style="905" customWidth="1"/>
    <col min="7935" max="7935" width="17.77734375" style="905" customWidth="1"/>
    <col min="7936" max="7936" width="10.77734375" style="905" customWidth="1"/>
    <col min="7937" max="7937" width="12.77734375" style="905" customWidth="1"/>
    <col min="7938" max="7938" width="12.6640625" style="905" customWidth="1"/>
    <col min="7939" max="7939" width="9.33203125" style="905" customWidth="1"/>
    <col min="7940" max="7940" width="11.44140625" style="905" customWidth="1"/>
    <col min="7941" max="7941" width="9.33203125" style="905" customWidth="1"/>
    <col min="7942" max="7942" width="12.33203125" style="905" customWidth="1"/>
    <col min="7943" max="7943" width="12.109375" style="905" customWidth="1"/>
    <col min="7944" max="7944" width="10.6640625" style="905" customWidth="1"/>
    <col min="7945" max="7945" width="13.6640625" style="905" customWidth="1"/>
    <col min="7946" max="7946" width="10.6640625" style="905" customWidth="1"/>
    <col min="7947" max="7947" width="16.6640625" style="905" customWidth="1"/>
    <col min="7948" max="7948" width="14.6640625" style="905" customWidth="1"/>
    <col min="7949" max="7949" width="15.33203125" style="905" customWidth="1"/>
    <col min="7950" max="7950" width="30.77734375" style="905" customWidth="1"/>
    <col min="7951" max="7953" width="9.33203125" style="905" customWidth="1"/>
    <col min="7954" max="7954" width="17.44140625" style="905" customWidth="1"/>
    <col min="7955" max="8186" width="9.33203125" style="905" customWidth="1"/>
    <col min="8187" max="8188" width="6.109375" style="905"/>
    <col min="8189" max="8189" width="20" style="905" customWidth="1"/>
    <col min="8190" max="8190" width="16.6640625" style="905" customWidth="1"/>
    <col min="8191" max="8191" width="17.77734375" style="905" customWidth="1"/>
    <col min="8192" max="8192" width="10.77734375" style="905" customWidth="1"/>
    <col min="8193" max="8193" width="12.77734375" style="905" customWidth="1"/>
    <col min="8194" max="8194" width="12.6640625" style="905" customWidth="1"/>
    <col min="8195" max="8195" width="9.33203125" style="905" customWidth="1"/>
    <col min="8196" max="8196" width="11.44140625" style="905" customWidth="1"/>
    <col min="8197" max="8197" width="9.33203125" style="905" customWidth="1"/>
    <col min="8198" max="8198" width="12.33203125" style="905" customWidth="1"/>
    <col min="8199" max="8199" width="12.109375" style="905" customWidth="1"/>
    <col min="8200" max="8200" width="10.6640625" style="905" customWidth="1"/>
    <col min="8201" max="8201" width="13.6640625" style="905" customWidth="1"/>
    <col min="8202" max="8202" width="10.6640625" style="905" customWidth="1"/>
    <col min="8203" max="8203" width="16.6640625" style="905" customWidth="1"/>
    <col min="8204" max="8204" width="14.6640625" style="905" customWidth="1"/>
    <col min="8205" max="8205" width="15.33203125" style="905" customWidth="1"/>
    <col min="8206" max="8206" width="30.77734375" style="905" customWidth="1"/>
    <col min="8207" max="8209" width="9.33203125" style="905" customWidth="1"/>
    <col min="8210" max="8210" width="17.44140625" style="905" customWidth="1"/>
    <col min="8211" max="8442" width="9.33203125" style="905" customWidth="1"/>
    <col min="8443" max="8444" width="6.109375" style="905"/>
    <col min="8445" max="8445" width="20" style="905" customWidth="1"/>
    <col min="8446" max="8446" width="16.6640625" style="905" customWidth="1"/>
    <col min="8447" max="8447" width="17.77734375" style="905" customWidth="1"/>
    <col min="8448" max="8448" width="10.77734375" style="905" customWidth="1"/>
    <col min="8449" max="8449" width="12.77734375" style="905" customWidth="1"/>
    <col min="8450" max="8450" width="12.6640625" style="905" customWidth="1"/>
    <col min="8451" max="8451" width="9.33203125" style="905" customWidth="1"/>
    <col min="8452" max="8452" width="11.44140625" style="905" customWidth="1"/>
    <col min="8453" max="8453" width="9.33203125" style="905" customWidth="1"/>
    <col min="8454" max="8454" width="12.33203125" style="905" customWidth="1"/>
    <col min="8455" max="8455" width="12.109375" style="905" customWidth="1"/>
    <col min="8456" max="8456" width="10.6640625" style="905" customWidth="1"/>
    <col min="8457" max="8457" width="13.6640625" style="905" customWidth="1"/>
    <col min="8458" max="8458" width="10.6640625" style="905" customWidth="1"/>
    <col min="8459" max="8459" width="16.6640625" style="905" customWidth="1"/>
    <col min="8460" max="8460" width="14.6640625" style="905" customWidth="1"/>
    <col min="8461" max="8461" width="15.33203125" style="905" customWidth="1"/>
    <col min="8462" max="8462" width="30.77734375" style="905" customWidth="1"/>
    <col min="8463" max="8465" width="9.33203125" style="905" customWidth="1"/>
    <col min="8466" max="8466" width="17.44140625" style="905" customWidth="1"/>
    <col min="8467" max="8698" width="9.33203125" style="905" customWidth="1"/>
    <col min="8699" max="8700" width="6.109375" style="905"/>
    <col min="8701" max="8701" width="20" style="905" customWidth="1"/>
    <col min="8702" max="8702" width="16.6640625" style="905" customWidth="1"/>
    <col min="8703" max="8703" width="17.77734375" style="905" customWidth="1"/>
    <col min="8704" max="8704" width="10.77734375" style="905" customWidth="1"/>
    <col min="8705" max="8705" width="12.77734375" style="905" customWidth="1"/>
    <col min="8706" max="8706" width="12.6640625" style="905" customWidth="1"/>
    <col min="8707" max="8707" width="9.33203125" style="905" customWidth="1"/>
    <col min="8708" max="8708" width="11.44140625" style="905" customWidth="1"/>
    <col min="8709" max="8709" width="9.33203125" style="905" customWidth="1"/>
    <col min="8710" max="8710" width="12.33203125" style="905" customWidth="1"/>
    <col min="8711" max="8711" width="12.109375" style="905" customWidth="1"/>
    <col min="8712" max="8712" width="10.6640625" style="905" customWidth="1"/>
    <col min="8713" max="8713" width="13.6640625" style="905" customWidth="1"/>
    <col min="8714" max="8714" width="10.6640625" style="905" customWidth="1"/>
    <col min="8715" max="8715" width="16.6640625" style="905" customWidth="1"/>
    <col min="8716" max="8716" width="14.6640625" style="905" customWidth="1"/>
    <col min="8717" max="8717" width="15.33203125" style="905" customWidth="1"/>
    <col min="8718" max="8718" width="30.77734375" style="905" customWidth="1"/>
    <col min="8719" max="8721" width="9.33203125" style="905" customWidth="1"/>
    <col min="8722" max="8722" width="17.44140625" style="905" customWidth="1"/>
    <col min="8723" max="8954" width="9.33203125" style="905" customWidth="1"/>
    <col min="8955" max="8956" width="6.109375" style="905"/>
    <col min="8957" max="8957" width="20" style="905" customWidth="1"/>
    <col min="8958" max="8958" width="16.6640625" style="905" customWidth="1"/>
    <col min="8959" max="8959" width="17.77734375" style="905" customWidth="1"/>
    <col min="8960" max="8960" width="10.77734375" style="905" customWidth="1"/>
    <col min="8961" max="8961" width="12.77734375" style="905" customWidth="1"/>
    <col min="8962" max="8962" width="12.6640625" style="905" customWidth="1"/>
    <col min="8963" max="8963" width="9.33203125" style="905" customWidth="1"/>
    <col min="8964" max="8964" width="11.44140625" style="905" customWidth="1"/>
    <col min="8965" max="8965" width="9.33203125" style="905" customWidth="1"/>
    <col min="8966" max="8966" width="12.33203125" style="905" customWidth="1"/>
    <col min="8967" max="8967" width="12.109375" style="905" customWidth="1"/>
    <col min="8968" max="8968" width="10.6640625" style="905" customWidth="1"/>
    <col min="8969" max="8969" width="13.6640625" style="905" customWidth="1"/>
    <col min="8970" max="8970" width="10.6640625" style="905" customWidth="1"/>
    <col min="8971" max="8971" width="16.6640625" style="905" customWidth="1"/>
    <col min="8972" max="8972" width="14.6640625" style="905" customWidth="1"/>
    <col min="8973" max="8973" width="15.33203125" style="905" customWidth="1"/>
    <col min="8974" max="8974" width="30.77734375" style="905" customWidth="1"/>
    <col min="8975" max="8977" width="9.33203125" style="905" customWidth="1"/>
    <col min="8978" max="8978" width="17.44140625" style="905" customWidth="1"/>
    <col min="8979" max="9210" width="9.33203125" style="905" customWidth="1"/>
    <col min="9211" max="9212" width="6.109375" style="905"/>
    <col min="9213" max="9213" width="20" style="905" customWidth="1"/>
    <col min="9214" max="9214" width="16.6640625" style="905" customWidth="1"/>
    <col min="9215" max="9215" width="17.77734375" style="905" customWidth="1"/>
    <col min="9216" max="9216" width="10.77734375" style="905" customWidth="1"/>
    <col min="9217" max="9217" width="12.77734375" style="905" customWidth="1"/>
    <col min="9218" max="9218" width="12.6640625" style="905" customWidth="1"/>
    <col min="9219" max="9219" width="9.33203125" style="905" customWidth="1"/>
    <col min="9220" max="9220" width="11.44140625" style="905" customWidth="1"/>
    <col min="9221" max="9221" width="9.33203125" style="905" customWidth="1"/>
    <col min="9222" max="9222" width="12.33203125" style="905" customWidth="1"/>
    <col min="9223" max="9223" width="12.109375" style="905" customWidth="1"/>
    <col min="9224" max="9224" width="10.6640625" style="905" customWidth="1"/>
    <col min="9225" max="9225" width="13.6640625" style="905" customWidth="1"/>
    <col min="9226" max="9226" width="10.6640625" style="905" customWidth="1"/>
    <col min="9227" max="9227" width="16.6640625" style="905" customWidth="1"/>
    <col min="9228" max="9228" width="14.6640625" style="905" customWidth="1"/>
    <col min="9229" max="9229" width="15.33203125" style="905" customWidth="1"/>
    <col min="9230" max="9230" width="30.77734375" style="905" customWidth="1"/>
    <col min="9231" max="9233" width="9.33203125" style="905" customWidth="1"/>
    <col min="9234" max="9234" width="17.44140625" style="905" customWidth="1"/>
    <col min="9235" max="9466" width="9.33203125" style="905" customWidth="1"/>
    <col min="9467" max="9468" width="6.109375" style="905"/>
    <col min="9469" max="9469" width="20" style="905" customWidth="1"/>
    <col min="9470" max="9470" width="16.6640625" style="905" customWidth="1"/>
    <col min="9471" max="9471" width="17.77734375" style="905" customWidth="1"/>
    <col min="9472" max="9472" width="10.77734375" style="905" customWidth="1"/>
    <col min="9473" max="9473" width="12.77734375" style="905" customWidth="1"/>
    <col min="9474" max="9474" width="12.6640625" style="905" customWidth="1"/>
    <col min="9475" max="9475" width="9.33203125" style="905" customWidth="1"/>
    <col min="9476" max="9476" width="11.44140625" style="905" customWidth="1"/>
    <col min="9477" max="9477" width="9.33203125" style="905" customWidth="1"/>
    <col min="9478" max="9478" width="12.33203125" style="905" customWidth="1"/>
    <col min="9479" max="9479" width="12.109375" style="905" customWidth="1"/>
    <col min="9480" max="9480" width="10.6640625" style="905" customWidth="1"/>
    <col min="9481" max="9481" width="13.6640625" style="905" customWidth="1"/>
    <col min="9482" max="9482" width="10.6640625" style="905" customWidth="1"/>
    <col min="9483" max="9483" width="16.6640625" style="905" customWidth="1"/>
    <col min="9484" max="9484" width="14.6640625" style="905" customWidth="1"/>
    <col min="9485" max="9485" width="15.33203125" style="905" customWidth="1"/>
    <col min="9486" max="9486" width="30.77734375" style="905" customWidth="1"/>
    <col min="9487" max="9489" width="9.33203125" style="905" customWidth="1"/>
    <col min="9490" max="9490" width="17.44140625" style="905" customWidth="1"/>
    <col min="9491" max="9722" width="9.33203125" style="905" customWidth="1"/>
    <col min="9723" max="9724" width="6.109375" style="905"/>
    <col min="9725" max="9725" width="20" style="905" customWidth="1"/>
    <col min="9726" max="9726" width="16.6640625" style="905" customWidth="1"/>
    <col min="9727" max="9727" width="17.77734375" style="905" customWidth="1"/>
    <col min="9728" max="9728" width="10.77734375" style="905" customWidth="1"/>
    <col min="9729" max="9729" width="12.77734375" style="905" customWidth="1"/>
    <col min="9730" max="9730" width="12.6640625" style="905" customWidth="1"/>
    <col min="9731" max="9731" width="9.33203125" style="905" customWidth="1"/>
    <col min="9732" max="9732" width="11.44140625" style="905" customWidth="1"/>
    <col min="9733" max="9733" width="9.33203125" style="905" customWidth="1"/>
    <col min="9734" max="9734" width="12.33203125" style="905" customWidth="1"/>
    <col min="9735" max="9735" width="12.109375" style="905" customWidth="1"/>
    <col min="9736" max="9736" width="10.6640625" style="905" customWidth="1"/>
    <col min="9737" max="9737" width="13.6640625" style="905" customWidth="1"/>
    <col min="9738" max="9738" width="10.6640625" style="905" customWidth="1"/>
    <col min="9739" max="9739" width="16.6640625" style="905" customWidth="1"/>
    <col min="9740" max="9740" width="14.6640625" style="905" customWidth="1"/>
    <col min="9741" max="9741" width="15.33203125" style="905" customWidth="1"/>
    <col min="9742" max="9742" width="30.77734375" style="905" customWidth="1"/>
    <col min="9743" max="9745" width="9.33203125" style="905" customWidth="1"/>
    <col min="9746" max="9746" width="17.44140625" style="905" customWidth="1"/>
    <col min="9747" max="9978" width="9.33203125" style="905" customWidth="1"/>
    <col min="9979" max="9980" width="6.109375" style="905"/>
    <col min="9981" max="9981" width="20" style="905" customWidth="1"/>
    <col min="9982" max="9982" width="16.6640625" style="905" customWidth="1"/>
    <col min="9983" max="9983" width="17.77734375" style="905" customWidth="1"/>
    <col min="9984" max="9984" width="10.77734375" style="905" customWidth="1"/>
    <col min="9985" max="9985" width="12.77734375" style="905" customWidth="1"/>
    <col min="9986" max="9986" width="12.6640625" style="905" customWidth="1"/>
    <col min="9987" max="9987" width="9.33203125" style="905" customWidth="1"/>
    <col min="9988" max="9988" width="11.44140625" style="905" customWidth="1"/>
    <col min="9989" max="9989" width="9.33203125" style="905" customWidth="1"/>
    <col min="9990" max="9990" width="12.33203125" style="905" customWidth="1"/>
    <col min="9991" max="9991" width="12.109375" style="905" customWidth="1"/>
    <col min="9992" max="9992" width="10.6640625" style="905" customWidth="1"/>
    <col min="9993" max="9993" width="13.6640625" style="905" customWidth="1"/>
    <col min="9994" max="9994" width="10.6640625" style="905" customWidth="1"/>
    <col min="9995" max="9995" width="16.6640625" style="905" customWidth="1"/>
    <col min="9996" max="9996" width="14.6640625" style="905" customWidth="1"/>
    <col min="9997" max="9997" width="15.33203125" style="905" customWidth="1"/>
    <col min="9998" max="9998" width="30.77734375" style="905" customWidth="1"/>
    <col min="9999" max="10001" width="9.33203125" style="905" customWidth="1"/>
    <col min="10002" max="10002" width="17.44140625" style="905" customWidth="1"/>
    <col min="10003" max="10234" width="9.33203125" style="905" customWidth="1"/>
    <col min="10235" max="10236" width="6.109375" style="905"/>
    <col min="10237" max="10237" width="20" style="905" customWidth="1"/>
    <col min="10238" max="10238" width="16.6640625" style="905" customWidth="1"/>
    <col min="10239" max="10239" width="17.77734375" style="905" customWidth="1"/>
    <col min="10240" max="10240" width="10.77734375" style="905" customWidth="1"/>
    <col min="10241" max="10241" width="12.77734375" style="905" customWidth="1"/>
    <col min="10242" max="10242" width="12.6640625" style="905" customWidth="1"/>
    <col min="10243" max="10243" width="9.33203125" style="905" customWidth="1"/>
    <col min="10244" max="10244" width="11.44140625" style="905" customWidth="1"/>
    <col min="10245" max="10245" width="9.33203125" style="905" customWidth="1"/>
    <col min="10246" max="10246" width="12.33203125" style="905" customWidth="1"/>
    <col min="10247" max="10247" width="12.109375" style="905" customWidth="1"/>
    <col min="10248" max="10248" width="10.6640625" style="905" customWidth="1"/>
    <col min="10249" max="10249" width="13.6640625" style="905" customWidth="1"/>
    <col min="10250" max="10250" width="10.6640625" style="905" customWidth="1"/>
    <col min="10251" max="10251" width="16.6640625" style="905" customWidth="1"/>
    <col min="10252" max="10252" width="14.6640625" style="905" customWidth="1"/>
    <col min="10253" max="10253" width="15.33203125" style="905" customWidth="1"/>
    <col min="10254" max="10254" width="30.77734375" style="905" customWidth="1"/>
    <col min="10255" max="10257" width="9.33203125" style="905" customWidth="1"/>
    <col min="10258" max="10258" width="17.44140625" style="905" customWidth="1"/>
    <col min="10259" max="10490" width="9.33203125" style="905" customWidth="1"/>
    <col min="10491" max="10492" width="6.109375" style="905"/>
    <col min="10493" max="10493" width="20" style="905" customWidth="1"/>
    <col min="10494" max="10494" width="16.6640625" style="905" customWidth="1"/>
    <col min="10495" max="10495" width="17.77734375" style="905" customWidth="1"/>
    <col min="10496" max="10496" width="10.77734375" style="905" customWidth="1"/>
    <col min="10497" max="10497" width="12.77734375" style="905" customWidth="1"/>
    <col min="10498" max="10498" width="12.6640625" style="905" customWidth="1"/>
    <col min="10499" max="10499" width="9.33203125" style="905" customWidth="1"/>
    <col min="10500" max="10500" width="11.44140625" style="905" customWidth="1"/>
    <col min="10501" max="10501" width="9.33203125" style="905" customWidth="1"/>
    <col min="10502" max="10502" width="12.33203125" style="905" customWidth="1"/>
    <col min="10503" max="10503" width="12.109375" style="905" customWidth="1"/>
    <col min="10504" max="10504" width="10.6640625" style="905" customWidth="1"/>
    <col min="10505" max="10505" width="13.6640625" style="905" customWidth="1"/>
    <col min="10506" max="10506" width="10.6640625" style="905" customWidth="1"/>
    <col min="10507" max="10507" width="16.6640625" style="905" customWidth="1"/>
    <col min="10508" max="10508" width="14.6640625" style="905" customWidth="1"/>
    <col min="10509" max="10509" width="15.33203125" style="905" customWidth="1"/>
    <col min="10510" max="10510" width="30.77734375" style="905" customWidth="1"/>
    <col min="10511" max="10513" width="9.33203125" style="905" customWidth="1"/>
    <col min="10514" max="10514" width="17.44140625" style="905" customWidth="1"/>
    <col min="10515" max="10746" width="9.33203125" style="905" customWidth="1"/>
    <col min="10747" max="10748" width="6.109375" style="905"/>
    <col min="10749" max="10749" width="20" style="905" customWidth="1"/>
    <col min="10750" max="10750" width="16.6640625" style="905" customWidth="1"/>
    <col min="10751" max="10751" width="17.77734375" style="905" customWidth="1"/>
    <col min="10752" max="10752" width="10.77734375" style="905" customWidth="1"/>
    <col min="10753" max="10753" width="12.77734375" style="905" customWidth="1"/>
    <col min="10754" max="10754" width="12.6640625" style="905" customWidth="1"/>
    <col min="10755" max="10755" width="9.33203125" style="905" customWidth="1"/>
    <col min="10756" max="10756" width="11.44140625" style="905" customWidth="1"/>
    <col min="10757" max="10757" width="9.33203125" style="905" customWidth="1"/>
    <col min="10758" max="10758" width="12.33203125" style="905" customWidth="1"/>
    <col min="10759" max="10759" width="12.109375" style="905" customWidth="1"/>
    <col min="10760" max="10760" width="10.6640625" style="905" customWidth="1"/>
    <col min="10761" max="10761" width="13.6640625" style="905" customWidth="1"/>
    <col min="10762" max="10762" width="10.6640625" style="905" customWidth="1"/>
    <col min="10763" max="10763" width="16.6640625" style="905" customWidth="1"/>
    <col min="10764" max="10764" width="14.6640625" style="905" customWidth="1"/>
    <col min="10765" max="10765" width="15.33203125" style="905" customWidth="1"/>
    <col min="10766" max="10766" width="30.77734375" style="905" customWidth="1"/>
    <col min="10767" max="10769" width="9.33203125" style="905" customWidth="1"/>
    <col min="10770" max="10770" width="17.44140625" style="905" customWidth="1"/>
    <col min="10771" max="11002" width="9.33203125" style="905" customWidth="1"/>
    <col min="11003" max="11004" width="6.109375" style="905"/>
    <col min="11005" max="11005" width="20" style="905" customWidth="1"/>
    <col min="11006" max="11006" width="16.6640625" style="905" customWidth="1"/>
    <col min="11007" max="11007" width="17.77734375" style="905" customWidth="1"/>
    <col min="11008" max="11008" width="10.77734375" style="905" customWidth="1"/>
    <col min="11009" max="11009" width="12.77734375" style="905" customWidth="1"/>
    <col min="11010" max="11010" width="12.6640625" style="905" customWidth="1"/>
    <col min="11011" max="11011" width="9.33203125" style="905" customWidth="1"/>
    <col min="11012" max="11012" width="11.44140625" style="905" customWidth="1"/>
    <col min="11013" max="11013" width="9.33203125" style="905" customWidth="1"/>
    <col min="11014" max="11014" width="12.33203125" style="905" customWidth="1"/>
    <col min="11015" max="11015" width="12.109375" style="905" customWidth="1"/>
    <col min="11016" max="11016" width="10.6640625" style="905" customWidth="1"/>
    <col min="11017" max="11017" width="13.6640625" style="905" customWidth="1"/>
    <col min="11018" max="11018" width="10.6640625" style="905" customWidth="1"/>
    <col min="11019" max="11019" width="16.6640625" style="905" customWidth="1"/>
    <col min="11020" max="11020" width="14.6640625" style="905" customWidth="1"/>
    <col min="11021" max="11021" width="15.33203125" style="905" customWidth="1"/>
    <col min="11022" max="11022" width="30.77734375" style="905" customWidth="1"/>
    <col min="11023" max="11025" width="9.33203125" style="905" customWidth="1"/>
    <col min="11026" max="11026" width="17.44140625" style="905" customWidth="1"/>
    <col min="11027" max="11258" width="9.33203125" style="905" customWidth="1"/>
    <col min="11259" max="11260" width="6.109375" style="905"/>
    <col min="11261" max="11261" width="20" style="905" customWidth="1"/>
    <col min="11262" max="11262" width="16.6640625" style="905" customWidth="1"/>
    <col min="11263" max="11263" width="17.77734375" style="905" customWidth="1"/>
    <col min="11264" max="11264" width="10.77734375" style="905" customWidth="1"/>
    <col min="11265" max="11265" width="12.77734375" style="905" customWidth="1"/>
    <col min="11266" max="11266" width="12.6640625" style="905" customWidth="1"/>
    <col min="11267" max="11267" width="9.33203125" style="905" customWidth="1"/>
    <col min="11268" max="11268" width="11.44140625" style="905" customWidth="1"/>
    <col min="11269" max="11269" width="9.33203125" style="905" customWidth="1"/>
    <col min="11270" max="11270" width="12.33203125" style="905" customWidth="1"/>
    <col min="11271" max="11271" width="12.109375" style="905" customWidth="1"/>
    <col min="11272" max="11272" width="10.6640625" style="905" customWidth="1"/>
    <col min="11273" max="11273" width="13.6640625" style="905" customWidth="1"/>
    <col min="11274" max="11274" width="10.6640625" style="905" customWidth="1"/>
    <col min="11275" max="11275" width="16.6640625" style="905" customWidth="1"/>
    <col min="11276" max="11276" width="14.6640625" style="905" customWidth="1"/>
    <col min="11277" max="11277" width="15.33203125" style="905" customWidth="1"/>
    <col min="11278" max="11278" width="30.77734375" style="905" customWidth="1"/>
    <col min="11279" max="11281" width="9.33203125" style="905" customWidth="1"/>
    <col min="11282" max="11282" width="17.44140625" style="905" customWidth="1"/>
    <col min="11283" max="11514" width="9.33203125" style="905" customWidth="1"/>
    <col min="11515" max="11516" width="6.109375" style="905"/>
    <col min="11517" max="11517" width="20" style="905" customWidth="1"/>
    <col min="11518" max="11518" width="16.6640625" style="905" customWidth="1"/>
    <col min="11519" max="11519" width="17.77734375" style="905" customWidth="1"/>
    <col min="11520" max="11520" width="10.77734375" style="905" customWidth="1"/>
    <col min="11521" max="11521" width="12.77734375" style="905" customWidth="1"/>
    <col min="11522" max="11522" width="12.6640625" style="905" customWidth="1"/>
    <col min="11523" max="11523" width="9.33203125" style="905" customWidth="1"/>
    <col min="11524" max="11524" width="11.44140625" style="905" customWidth="1"/>
    <col min="11525" max="11525" width="9.33203125" style="905" customWidth="1"/>
    <col min="11526" max="11526" width="12.33203125" style="905" customWidth="1"/>
    <col min="11527" max="11527" width="12.109375" style="905" customWidth="1"/>
    <col min="11528" max="11528" width="10.6640625" style="905" customWidth="1"/>
    <col min="11529" max="11529" width="13.6640625" style="905" customWidth="1"/>
    <col min="11530" max="11530" width="10.6640625" style="905" customWidth="1"/>
    <col min="11531" max="11531" width="16.6640625" style="905" customWidth="1"/>
    <col min="11532" max="11532" width="14.6640625" style="905" customWidth="1"/>
    <col min="11533" max="11533" width="15.33203125" style="905" customWidth="1"/>
    <col min="11534" max="11534" width="30.77734375" style="905" customWidth="1"/>
    <col min="11535" max="11537" width="9.33203125" style="905" customWidth="1"/>
    <col min="11538" max="11538" width="17.44140625" style="905" customWidth="1"/>
    <col min="11539" max="11770" width="9.33203125" style="905" customWidth="1"/>
    <col min="11771" max="11772" width="6.109375" style="905"/>
    <col min="11773" max="11773" width="20" style="905" customWidth="1"/>
    <col min="11774" max="11774" width="16.6640625" style="905" customWidth="1"/>
    <col min="11775" max="11775" width="17.77734375" style="905" customWidth="1"/>
    <col min="11776" max="11776" width="10.77734375" style="905" customWidth="1"/>
    <col min="11777" max="11777" width="12.77734375" style="905" customWidth="1"/>
    <col min="11778" max="11778" width="12.6640625" style="905" customWidth="1"/>
    <col min="11779" max="11779" width="9.33203125" style="905" customWidth="1"/>
    <col min="11780" max="11780" width="11.44140625" style="905" customWidth="1"/>
    <col min="11781" max="11781" width="9.33203125" style="905" customWidth="1"/>
    <col min="11782" max="11782" width="12.33203125" style="905" customWidth="1"/>
    <col min="11783" max="11783" width="12.109375" style="905" customWidth="1"/>
    <col min="11784" max="11784" width="10.6640625" style="905" customWidth="1"/>
    <col min="11785" max="11785" width="13.6640625" style="905" customWidth="1"/>
    <col min="11786" max="11786" width="10.6640625" style="905" customWidth="1"/>
    <col min="11787" max="11787" width="16.6640625" style="905" customWidth="1"/>
    <col min="11788" max="11788" width="14.6640625" style="905" customWidth="1"/>
    <col min="11789" max="11789" width="15.33203125" style="905" customWidth="1"/>
    <col min="11790" max="11790" width="30.77734375" style="905" customWidth="1"/>
    <col min="11791" max="11793" width="9.33203125" style="905" customWidth="1"/>
    <col min="11794" max="11794" width="17.44140625" style="905" customWidth="1"/>
    <col min="11795" max="12026" width="9.33203125" style="905" customWidth="1"/>
    <col min="12027" max="12028" width="6.109375" style="905"/>
    <col min="12029" max="12029" width="20" style="905" customWidth="1"/>
    <col min="12030" max="12030" width="16.6640625" style="905" customWidth="1"/>
    <col min="12031" max="12031" width="17.77734375" style="905" customWidth="1"/>
    <col min="12032" max="12032" width="10.77734375" style="905" customWidth="1"/>
    <col min="12033" max="12033" width="12.77734375" style="905" customWidth="1"/>
    <col min="12034" max="12034" width="12.6640625" style="905" customWidth="1"/>
    <col min="12035" max="12035" width="9.33203125" style="905" customWidth="1"/>
    <col min="12036" max="12036" width="11.44140625" style="905" customWidth="1"/>
    <col min="12037" max="12037" width="9.33203125" style="905" customWidth="1"/>
    <col min="12038" max="12038" width="12.33203125" style="905" customWidth="1"/>
    <col min="12039" max="12039" width="12.109375" style="905" customWidth="1"/>
    <col min="12040" max="12040" width="10.6640625" style="905" customWidth="1"/>
    <col min="12041" max="12041" width="13.6640625" style="905" customWidth="1"/>
    <col min="12042" max="12042" width="10.6640625" style="905" customWidth="1"/>
    <col min="12043" max="12043" width="16.6640625" style="905" customWidth="1"/>
    <col min="12044" max="12044" width="14.6640625" style="905" customWidth="1"/>
    <col min="12045" max="12045" width="15.33203125" style="905" customWidth="1"/>
    <col min="12046" max="12046" width="30.77734375" style="905" customWidth="1"/>
    <col min="12047" max="12049" width="9.33203125" style="905" customWidth="1"/>
    <col min="12050" max="12050" width="17.44140625" style="905" customWidth="1"/>
    <col min="12051" max="12282" width="9.33203125" style="905" customWidth="1"/>
    <col min="12283" max="12284" width="6.109375" style="905"/>
    <col min="12285" max="12285" width="20" style="905" customWidth="1"/>
    <col min="12286" max="12286" width="16.6640625" style="905" customWidth="1"/>
    <col min="12287" max="12287" width="17.77734375" style="905" customWidth="1"/>
    <col min="12288" max="12288" width="10.77734375" style="905" customWidth="1"/>
    <col min="12289" max="12289" width="12.77734375" style="905" customWidth="1"/>
    <col min="12290" max="12290" width="12.6640625" style="905" customWidth="1"/>
    <col min="12291" max="12291" width="9.33203125" style="905" customWidth="1"/>
    <col min="12292" max="12292" width="11.44140625" style="905" customWidth="1"/>
    <col min="12293" max="12293" width="9.33203125" style="905" customWidth="1"/>
    <col min="12294" max="12294" width="12.33203125" style="905" customWidth="1"/>
    <col min="12295" max="12295" width="12.109375" style="905" customWidth="1"/>
    <col min="12296" max="12296" width="10.6640625" style="905" customWidth="1"/>
    <col min="12297" max="12297" width="13.6640625" style="905" customWidth="1"/>
    <col min="12298" max="12298" width="10.6640625" style="905" customWidth="1"/>
    <col min="12299" max="12299" width="16.6640625" style="905" customWidth="1"/>
    <col min="12300" max="12300" width="14.6640625" style="905" customWidth="1"/>
    <col min="12301" max="12301" width="15.33203125" style="905" customWidth="1"/>
    <col min="12302" max="12302" width="30.77734375" style="905" customWidth="1"/>
    <col min="12303" max="12305" width="9.33203125" style="905" customWidth="1"/>
    <col min="12306" max="12306" width="17.44140625" style="905" customWidth="1"/>
    <col min="12307" max="12538" width="9.33203125" style="905" customWidth="1"/>
    <col min="12539" max="12540" width="6.109375" style="905"/>
    <col min="12541" max="12541" width="20" style="905" customWidth="1"/>
    <col min="12542" max="12542" width="16.6640625" style="905" customWidth="1"/>
    <col min="12543" max="12543" width="17.77734375" style="905" customWidth="1"/>
    <col min="12544" max="12544" width="10.77734375" style="905" customWidth="1"/>
    <col min="12545" max="12545" width="12.77734375" style="905" customWidth="1"/>
    <col min="12546" max="12546" width="12.6640625" style="905" customWidth="1"/>
    <col min="12547" max="12547" width="9.33203125" style="905" customWidth="1"/>
    <col min="12548" max="12548" width="11.44140625" style="905" customWidth="1"/>
    <col min="12549" max="12549" width="9.33203125" style="905" customWidth="1"/>
    <col min="12550" max="12550" width="12.33203125" style="905" customWidth="1"/>
    <col min="12551" max="12551" width="12.109375" style="905" customWidth="1"/>
    <col min="12552" max="12552" width="10.6640625" style="905" customWidth="1"/>
    <col min="12553" max="12553" width="13.6640625" style="905" customWidth="1"/>
    <col min="12554" max="12554" width="10.6640625" style="905" customWidth="1"/>
    <col min="12555" max="12555" width="16.6640625" style="905" customWidth="1"/>
    <col min="12556" max="12556" width="14.6640625" style="905" customWidth="1"/>
    <col min="12557" max="12557" width="15.33203125" style="905" customWidth="1"/>
    <col min="12558" max="12558" width="30.77734375" style="905" customWidth="1"/>
    <col min="12559" max="12561" width="9.33203125" style="905" customWidth="1"/>
    <col min="12562" max="12562" width="17.44140625" style="905" customWidth="1"/>
    <col min="12563" max="12794" width="9.33203125" style="905" customWidth="1"/>
    <col min="12795" max="12796" width="6.109375" style="905"/>
    <col min="12797" max="12797" width="20" style="905" customWidth="1"/>
    <col min="12798" max="12798" width="16.6640625" style="905" customWidth="1"/>
    <col min="12799" max="12799" width="17.77734375" style="905" customWidth="1"/>
    <col min="12800" max="12800" width="10.77734375" style="905" customWidth="1"/>
    <col min="12801" max="12801" width="12.77734375" style="905" customWidth="1"/>
    <col min="12802" max="12802" width="12.6640625" style="905" customWidth="1"/>
    <col min="12803" max="12803" width="9.33203125" style="905" customWidth="1"/>
    <col min="12804" max="12804" width="11.44140625" style="905" customWidth="1"/>
    <col min="12805" max="12805" width="9.33203125" style="905" customWidth="1"/>
    <col min="12806" max="12806" width="12.33203125" style="905" customWidth="1"/>
    <col min="12807" max="12807" width="12.109375" style="905" customWidth="1"/>
    <col min="12808" max="12808" width="10.6640625" style="905" customWidth="1"/>
    <col min="12809" max="12809" width="13.6640625" style="905" customWidth="1"/>
    <col min="12810" max="12810" width="10.6640625" style="905" customWidth="1"/>
    <col min="12811" max="12811" width="16.6640625" style="905" customWidth="1"/>
    <col min="12812" max="12812" width="14.6640625" style="905" customWidth="1"/>
    <col min="12813" max="12813" width="15.33203125" style="905" customWidth="1"/>
    <col min="12814" max="12814" width="30.77734375" style="905" customWidth="1"/>
    <col min="12815" max="12817" width="9.33203125" style="905" customWidth="1"/>
    <col min="12818" max="12818" width="17.44140625" style="905" customWidth="1"/>
    <col min="12819" max="13050" width="9.33203125" style="905" customWidth="1"/>
    <col min="13051" max="13052" width="6.109375" style="905"/>
    <col min="13053" max="13053" width="20" style="905" customWidth="1"/>
    <col min="13054" max="13054" width="16.6640625" style="905" customWidth="1"/>
    <col min="13055" max="13055" width="17.77734375" style="905" customWidth="1"/>
    <col min="13056" max="13056" width="10.77734375" style="905" customWidth="1"/>
    <col min="13057" max="13057" width="12.77734375" style="905" customWidth="1"/>
    <col min="13058" max="13058" width="12.6640625" style="905" customWidth="1"/>
    <col min="13059" max="13059" width="9.33203125" style="905" customWidth="1"/>
    <col min="13060" max="13060" width="11.44140625" style="905" customWidth="1"/>
    <col min="13061" max="13061" width="9.33203125" style="905" customWidth="1"/>
    <col min="13062" max="13062" width="12.33203125" style="905" customWidth="1"/>
    <col min="13063" max="13063" width="12.109375" style="905" customWidth="1"/>
    <col min="13064" max="13064" width="10.6640625" style="905" customWidth="1"/>
    <col min="13065" max="13065" width="13.6640625" style="905" customWidth="1"/>
    <col min="13066" max="13066" width="10.6640625" style="905" customWidth="1"/>
    <col min="13067" max="13067" width="16.6640625" style="905" customWidth="1"/>
    <col min="13068" max="13068" width="14.6640625" style="905" customWidth="1"/>
    <col min="13069" max="13069" width="15.33203125" style="905" customWidth="1"/>
    <col min="13070" max="13070" width="30.77734375" style="905" customWidth="1"/>
    <col min="13071" max="13073" width="9.33203125" style="905" customWidth="1"/>
    <col min="13074" max="13074" width="17.44140625" style="905" customWidth="1"/>
    <col min="13075" max="13306" width="9.33203125" style="905" customWidth="1"/>
    <col min="13307" max="13308" width="6.109375" style="905"/>
    <col min="13309" max="13309" width="20" style="905" customWidth="1"/>
    <col min="13310" max="13310" width="16.6640625" style="905" customWidth="1"/>
    <col min="13311" max="13311" width="17.77734375" style="905" customWidth="1"/>
    <col min="13312" max="13312" width="10.77734375" style="905" customWidth="1"/>
    <col min="13313" max="13313" width="12.77734375" style="905" customWidth="1"/>
    <col min="13314" max="13314" width="12.6640625" style="905" customWidth="1"/>
    <col min="13315" max="13315" width="9.33203125" style="905" customWidth="1"/>
    <col min="13316" max="13316" width="11.44140625" style="905" customWidth="1"/>
    <col min="13317" max="13317" width="9.33203125" style="905" customWidth="1"/>
    <col min="13318" max="13318" width="12.33203125" style="905" customWidth="1"/>
    <col min="13319" max="13319" width="12.109375" style="905" customWidth="1"/>
    <col min="13320" max="13320" width="10.6640625" style="905" customWidth="1"/>
    <col min="13321" max="13321" width="13.6640625" style="905" customWidth="1"/>
    <col min="13322" max="13322" width="10.6640625" style="905" customWidth="1"/>
    <col min="13323" max="13323" width="16.6640625" style="905" customWidth="1"/>
    <col min="13324" max="13324" width="14.6640625" style="905" customWidth="1"/>
    <col min="13325" max="13325" width="15.33203125" style="905" customWidth="1"/>
    <col min="13326" max="13326" width="30.77734375" style="905" customWidth="1"/>
    <col min="13327" max="13329" width="9.33203125" style="905" customWidth="1"/>
    <col min="13330" max="13330" width="17.44140625" style="905" customWidth="1"/>
    <col min="13331" max="13562" width="9.33203125" style="905" customWidth="1"/>
    <col min="13563" max="13564" width="6.109375" style="905"/>
    <col min="13565" max="13565" width="20" style="905" customWidth="1"/>
    <col min="13566" max="13566" width="16.6640625" style="905" customWidth="1"/>
    <col min="13567" max="13567" width="17.77734375" style="905" customWidth="1"/>
    <col min="13568" max="13568" width="10.77734375" style="905" customWidth="1"/>
    <col min="13569" max="13569" width="12.77734375" style="905" customWidth="1"/>
    <col min="13570" max="13570" width="12.6640625" style="905" customWidth="1"/>
    <col min="13571" max="13571" width="9.33203125" style="905" customWidth="1"/>
    <col min="13572" max="13572" width="11.44140625" style="905" customWidth="1"/>
    <col min="13573" max="13573" width="9.33203125" style="905" customWidth="1"/>
    <col min="13574" max="13574" width="12.33203125" style="905" customWidth="1"/>
    <col min="13575" max="13575" width="12.109375" style="905" customWidth="1"/>
    <col min="13576" max="13576" width="10.6640625" style="905" customWidth="1"/>
    <col min="13577" max="13577" width="13.6640625" style="905" customWidth="1"/>
    <col min="13578" max="13578" width="10.6640625" style="905" customWidth="1"/>
    <col min="13579" max="13579" width="16.6640625" style="905" customWidth="1"/>
    <col min="13580" max="13580" width="14.6640625" style="905" customWidth="1"/>
    <col min="13581" max="13581" width="15.33203125" style="905" customWidth="1"/>
    <col min="13582" max="13582" width="30.77734375" style="905" customWidth="1"/>
    <col min="13583" max="13585" width="9.33203125" style="905" customWidth="1"/>
    <col min="13586" max="13586" width="17.44140625" style="905" customWidth="1"/>
    <col min="13587" max="13818" width="9.33203125" style="905" customWidth="1"/>
    <col min="13819" max="13820" width="6.109375" style="905"/>
    <col min="13821" max="13821" width="20" style="905" customWidth="1"/>
    <col min="13822" max="13822" width="16.6640625" style="905" customWidth="1"/>
    <col min="13823" max="13823" width="17.77734375" style="905" customWidth="1"/>
    <col min="13824" max="13824" width="10.77734375" style="905" customWidth="1"/>
    <col min="13825" max="13825" width="12.77734375" style="905" customWidth="1"/>
    <col min="13826" max="13826" width="12.6640625" style="905" customWidth="1"/>
    <col min="13827" max="13827" width="9.33203125" style="905" customWidth="1"/>
    <col min="13828" max="13828" width="11.44140625" style="905" customWidth="1"/>
    <col min="13829" max="13829" width="9.33203125" style="905" customWidth="1"/>
    <col min="13830" max="13830" width="12.33203125" style="905" customWidth="1"/>
    <col min="13831" max="13831" width="12.109375" style="905" customWidth="1"/>
    <col min="13832" max="13832" width="10.6640625" style="905" customWidth="1"/>
    <col min="13833" max="13833" width="13.6640625" style="905" customWidth="1"/>
    <col min="13834" max="13834" width="10.6640625" style="905" customWidth="1"/>
    <col min="13835" max="13835" width="16.6640625" style="905" customWidth="1"/>
    <col min="13836" max="13836" width="14.6640625" style="905" customWidth="1"/>
    <col min="13837" max="13837" width="15.33203125" style="905" customWidth="1"/>
    <col min="13838" max="13838" width="30.77734375" style="905" customWidth="1"/>
    <col min="13839" max="13841" width="9.33203125" style="905" customWidth="1"/>
    <col min="13842" max="13842" width="17.44140625" style="905" customWidth="1"/>
    <col min="13843" max="14074" width="9.33203125" style="905" customWidth="1"/>
    <col min="14075" max="14076" width="6.109375" style="905"/>
    <col min="14077" max="14077" width="20" style="905" customWidth="1"/>
    <col min="14078" max="14078" width="16.6640625" style="905" customWidth="1"/>
    <col min="14079" max="14079" width="17.77734375" style="905" customWidth="1"/>
    <col min="14080" max="14080" width="10.77734375" style="905" customWidth="1"/>
    <col min="14081" max="14081" width="12.77734375" style="905" customWidth="1"/>
    <col min="14082" max="14082" width="12.6640625" style="905" customWidth="1"/>
    <col min="14083" max="14083" width="9.33203125" style="905" customWidth="1"/>
    <col min="14084" max="14084" width="11.44140625" style="905" customWidth="1"/>
    <col min="14085" max="14085" width="9.33203125" style="905" customWidth="1"/>
    <col min="14086" max="14086" width="12.33203125" style="905" customWidth="1"/>
    <col min="14087" max="14087" width="12.109375" style="905" customWidth="1"/>
    <col min="14088" max="14088" width="10.6640625" style="905" customWidth="1"/>
    <col min="14089" max="14089" width="13.6640625" style="905" customWidth="1"/>
    <col min="14090" max="14090" width="10.6640625" style="905" customWidth="1"/>
    <col min="14091" max="14091" width="16.6640625" style="905" customWidth="1"/>
    <col min="14092" max="14092" width="14.6640625" style="905" customWidth="1"/>
    <col min="14093" max="14093" width="15.33203125" style="905" customWidth="1"/>
    <col min="14094" max="14094" width="30.77734375" style="905" customWidth="1"/>
    <col min="14095" max="14097" width="9.33203125" style="905" customWidth="1"/>
    <col min="14098" max="14098" width="17.44140625" style="905" customWidth="1"/>
    <col min="14099" max="14330" width="9.33203125" style="905" customWidth="1"/>
    <col min="14331" max="14332" width="6.109375" style="905"/>
    <col min="14333" max="14333" width="20" style="905" customWidth="1"/>
    <col min="14334" max="14334" width="16.6640625" style="905" customWidth="1"/>
    <col min="14335" max="14335" width="17.77734375" style="905" customWidth="1"/>
    <col min="14336" max="14336" width="10.77734375" style="905" customWidth="1"/>
    <col min="14337" max="14337" width="12.77734375" style="905" customWidth="1"/>
    <col min="14338" max="14338" width="12.6640625" style="905" customWidth="1"/>
    <col min="14339" max="14339" width="9.33203125" style="905" customWidth="1"/>
    <col min="14340" max="14340" width="11.44140625" style="905" customWidth="1"/>
    <col min="14341" max="14341" width="9.33203125" style="905" customWidth="1"/>
    <col min="14342" max="14342" width="12.33203125" style="905" customWidth="1"/>
    <col min="14343" max="14343" width="12.109375" style="905" customWidth="1"/>
    <col min="14344" max="14344" width="10.6640625" style="905" customWidth="1"/>
    <col min="14345" max="14345" width="13.6640625" style="905" customWidth="1"/>
    <col min="14346" max="14346" width="10.6640625" style="905" customWidth="1"/>
    <col min="14347" max="14347" width="16.6640625" style="905" customWidth="1"/>
    <col min="14348" max="14348" width="14.6640625" style="905" customWidth="1"/>
    <col min="14349" max="14349" width="15.33203125" style="905" customWidth="1"/>
    <col min="14350" max="14350" width="30.77734375" style="905" customWidth="1"/>
    <col min="14351" max="14353" width="9.33203125" style="905" customWidth="1"/>
    <col min="14354" max="14354" width="17.44140625" style="905" customWidth="1"/>
    <col min="14355" max="14586" width="9.33203125" style="905" customWidth="1"/>
    <col min="14587" max="14588" width="6.109375" style="905"/>
    <col min="14589" max="14589" width="20" style="905" customWidth="1"/>
    <col min="14590" max="14590" width="16.6640625" style="905" customWidth="1"/>
    <col min="14591" max="14591" width="17.77734375" style="905" customWidth="1"/>
    <col min="14592" max="14592" width="10.77734375" style="905" customWidth="1"/>
    <col min="14593" max="14593" width="12.77734375" style="905" customWidth="1"/>
    <col min="14594" max="14594" width="12.6640625" style="905" customWidth="1"/>
    <col min="14595" max="14595" width="9.33203125" style="905" customWidth="1"/>
    <col min="14596" max="14596" width="11.44140625" style="905" customWidth="1"/>
    <col min="14597" max="14597" width="9.33203125" style="905" customWidth="1"/>
    <col min="14598" max="14598" width="12.33203125" style="905" customWidth="1"/>
    <col min="14599" max="14599" width="12.109375" style="905" customWidth="1"/>
    <col min="14600" max="14600" width="10.6640625" style="905" customWidth="1"/>
    <col min="14601" max="14601" width="13.6640625" style="905" customWidth="1"/>
    <col min="14602" max="14602" width="10.6640625" style="905" customWidth="1"/>
    <col min="14603" max="14603" width="16.6640625" style="905" customWidth="1"/>
    <col min="14604" max="14604" width="14.6640625" style="905" customWidth="1"/>
    <col min="14605" max="14605" width="15.33203125" style="905" customWidth="1"/>
    <col min="14606" max="14606" width="30.77734375" style="905" customWidth="1"/>
    <col min="14607" max="14609" width="9.33203125" style="905" customWidth="1"/>
    <col min="14610" max="14610" width="17.44140625" style="905" customWidth="1"/>
    <col min="14611" max="14842" width="9.33203125" style="905" customWidth="1"/>
    <col min="14843" max="14844" width="6.109375" style="905"/>
    <col min="14845" max="14845" width="20" style="905" customWidth="1"/>
    <col min="14846" max="14846" width="16.6640625" style="905" customWidth="1"/>
    <col min="14847" max="14847" width="17.77734375" style="905" customWidth="1"/>
    <col min="14848" max="14848" width="10.77734375" style="905" customWidth="1"/>
    <col min="14849" max="14849" width="12.77734375" style="905" customWidth="1"/>
    <col min="14850" max="14850" width="12.6640625" style="905" customWidth="1"/>
    <col min="14851" max="14851" width="9.33203125" style="905" customWidth="1"/>
    <col min="14852" max="14852" width="11.44140625" style="905" customWidth="1"/>
    <col min="14853" max="14853" width="9.33203125" style="905" customWidth="1"/>
    <col min="14854" max="14854" width="12.33203125" style="905" customWidth="1"/>
    <col min="14855" max="14855" width="12.109375" style="905" customWidth="1"/>
    <col min="14856" max="14856" width="10.6640625" style="905" customWidth="1"/>
    <col min="14857" max="14857" width="13.6640625" style="905" customWidth="1"/>
    <col min="14858" max="14858" width="10.6640625" style="905" customWidth="1"/>
    <col min="14859" max="14859" width="16.6640625" style="905" customWidth="1"/>
    <col min="14860" max="14860" width="14.6640625" style="905" customWidth="1"/>
    <col min="14861" max="14861" width="15.33203125" style="905" customWidth="1"/>
    <col min="14862" max="14862" width="30.77734375" style="905" customWidth="1"/>
    <col min="14863" max="14865" width="9.33203125" style="905" customWidth="1"/>
    <col min="14866" max="14866" width="17.44140625" style="905" customWidth="1"/>
    <col min="14867" max="15098" width="9.33203125" style="905" customWidth="1"/>
    <col min="15099" max="15100" width="6.109375" style="905"/>
    <col min="15101" max="15101" width="20" style="905" customWidth="1"/>
    <col min="15102" max="15102" width="16.6640625" style="905" customWidth="1"/>
    <col min="15103" max="15103" width="17.77734375" style="905" customWidth="1"/>
    <col min="15104" max="15104" width="10.77734375" style="905" customWidth="1"/>
    <col min="15105" max="15105" width="12.77734375" style="905" customWidth="1"/>
    <col min="15106" max="15106" width="12.6640625" style="905" customWidth="1"/>
    <col min="15107" max="15107" width="9.33203125" style="905" customWidth="1"/>
    <col min="15108" max="15108" width="11.44140625" style="905" customWidth="1"/>
    <col min="15109" max="15109" width="9.33203125" style="905" customWidth="1"/>
    <col min="15110" max="15110" width="12.33203125" style="905" customWidth="1"/>
    <col min="15111" max="15111" width="12.109375" style="905" customWidth="1"/>
    <col min="15112" max="15112" width="10.6640625" style="905" customWidth="1"/>
    <col min="15113" max="15113" width="13.6640625" style="905" customWidth="1"/>
    <col min="15114" max="15114" width="10.6640625" style="905" customWidth="1"/>
    <col min="15115" max="15115" width="16.6640625" style="905" customWidth="1"/>
    <col min="15116" max="15116" width="14.6640625" style="905" customWidth="1"/>
    <col min="15117" max="15117" width="15.33203125" style="905" customWidth="1"/>
    <col min="15118" max="15118" width="30.77734375" style="905" customWidth="1"/>
    <col min="15119" max="15121" width="9.33203125" style="905" customWidth="1"/>
    <col min="15122" max="15122" width="17.44140625" style="905" customWidth="1"/>
    <col min="15123" max="15354" width="9.33203125" style="905" customWidth="1"/>
    <col min="15355" max="15356" width="6.109375" style="905"/>
    <col min="15357" max="15357" width="20" style="905" customWidth="1"/>
    <col min="15358" max="15358" width="16.6640625" style="905" customWidth="1"/>
    <col min="15359" max="15359" width="17.77734375" style="905" customWidth="1"/>
    <col min="15360" max="15360" width="10.77734375" style="905" customWidth="1"/>
    <col min="15361" max="15361" width="12.77734375" style="905" customWidth="1"/>
    <col min="15362" max="15362" width="12.6640625" style="905" customWidth="1"/>
    <col min="15363" max="15363" width="9.33203125" style="905" customWidth="1"/>
    <col min="15364" max="15364" width="11.44140625" style="905" customWidth="1"/>
    <col min="15365" max="15365" width="9.33203125" style="905" customWidth="1"/>
    <col min="15366" max="15366" width="12.33203125" style="905" customWidth="1"/>
    <col min="15367" max="15367" width="12.109375" style="905" customWidth="1"/>
    <col min="15368" max="15368" width="10.6640625" style="905" customWidth="1"/>
    <col min="15369" max="15369" width="13.6640625" style="905" customWidth="1"/>
    <col min="15370" max="15370" width="10.6640625" style="905" customWidth="1"/>
    <col min="15371" max="15371" width="16.6640625" style="905" customWidth="1"/>
    <col min="15372" max="15372" width="14.6640625" style="905" customWidth="1"/>
    <col min="15373" max="15373" width="15.33203125" style="905" customWidth="1"/>
    <col min="15374" max="15374" width="30.77734375" style="905" customWidth="1"/>
    <col min="15375" max="15377" width="9.33203125" style="905" customWidth="1"/>
    <col min="15378" max="15378" width="17.44140625" style="905" customWidth="1"/>
    <col min="15379" max="15610" width="9.33203125" style="905" customWidth="1"/>
    <col min="15611" max="15612" width="6.109375" style="905"/>
    <col min="15613" max="15613" width="20" style="905" customWidth="1"/>
    <col min="15614" max="15614" width="16.6640625" style="905" customWidth="1"/>
    <col min="15615" max="15615" width="17.77734375" style="905" customWidth="1"/>
    <col min="15616" max="15616" width="10.77734375" style="905" customWidth="1"/>
    <col min="15617" max="15617" width="12.77734375" style="905" customWidth="1"/>
    <col min="15618" max="15618" width="12.6640625" style="905" customWidth="1"/>
    <col min="15619" max="15619" width="9.33203125" style="905" customWidth="1"/>
    <col min="15620" max="15620" width="11.44140625" style="905" customWidth="1"/>
    <col min="15621" max="15621" width="9.33203125" style="905" customWidth="1"/>
    <col min="15622" max="15622" width="12.33203125" style="905" customWidth="1"/>
    <col min="15623" max="15623" width="12.109375" style="905" customWidth="1"/>
    <col min="15624" max="15624" width="10.6640625" style="905" customWidth="1"/>
    <col min="15625" max="15625" width="13.6640625" style="905" customWidth="1"/>
    <col min="15626" max="15626" width="10.6640625" style="905" customWidth="1"/>
    <col min="15627" max="15627" width="16.6640625" style="905" customWidth="1"/>
    <col min="15628" max="15628" width="14.6640625" style="905" customWidth="1"/>
    <col min="15629" max="15629" width="15.33203125" style="905" customWidth="1"/>
    <col min="15630" max="15630" width="30.77734375" style="905" customWidth="1"/>
    <col min="15631" max="15633" width="9.33203125" style="905" customWidth="1"/>
    <col min="15634" max="15634" width="17.44140625" style="905" customWidth="1"/>
    <col min="15635" max="15866" width="9.33203125" style="905" customWidth="1"/>
    <col min="15867" max="15868" width="6.109375" style="905"/>
    <col min="15869" max="15869" width="20" style="905" customWidth="1"/>
    <col min="15870" max="15870" width="16.6640625" style="905" customWidth="1"/>
    <col min="15871" max="15871" width="17.77734375" style="905" customWidth="1"/>
    <col min="15872" max="15872" width="10.77734375" style="905" customWidth="1"/>
    <col min="15873" max="15873" width="12.77734375" style="905" customWidth="1"/>
    <col min="15874" max="15874" width="12.6640625" style="905" customWidth="1"/>
    <col min="15875" max="15875" width="9.33203125" style="905" customWidth="1"/>
    <col min="15876" max="15876" width="11.44140625" style="905" customWidth="1"/>
    <col min="15877" max="15877" width="9.33203125" style="905" customWidth="1"/>
    <col min="15878" max="15878" width="12.33203125" style="905" customWidth="1"/>
    <col min="15879" max="15879" width="12.109375" style="905" customWidth="1"/>
    <col min="15880" max="15880" width="10.6640625" style="905" customWidth="1"/>
    <col min="15881" max="15881" width="13.6640625" style="905" customWidth="1"/>
    <col min="15882" max="15882" width="10.6640625" style="905" customWidth="1"/>
    <col min="15883" max="15883" width="16.6640625" style="905" customWidth="1"/>
    <col min="15884" max="15884" width="14.6640625" style="905" customWidth="1"/>
    <col min="15885" max="15885" width="15.33203125" style="905" customWidth="1"/>
    <col min="15886" max="15886" width="30.77734375" style="905" customWidth="1"/>
    <col min="15887" max="15889" width="9.33203125" style="905" customWidth="1"/>
    <col min="15890" max="15890" width="17.44140625" style="905" customWidth="1"/>
    <col min="15891" max="16122" width="9.33203125" style="905" customWidth="1"/>
    <col min="16123" max="16124" width="6.109375" style="905"/>
    <col min="16125" max="16125" width="20" style="905" customWidth="1"/>
    <col min="16126" max="16126" width="16.6640625" style="905" customWidth="1"/>
    <col min="16127" max="16127" width="17.77734375" style="905" customWidth="1"/>
    <col min="16128" max="16128" width="10.77734375" style="905" customWidth="1"/>
    <col min="16129" max="16129" width="12.77734375" style="905" customWidth="1"/>
    <col min="16130" max="16130" width="12.6640625" style="905" customWidth="1"/>
    <col min="16131" max="16131" width="9.33203125" style="905" customWidth="1"/>
    <col min="16132" max="16132" width="11.44140625" style="905" customWidth="1"/>
    <col min="16133" max="16133" width="9.33203125" style="905" customWidth="1"/>
    <col min="16134" max="16134" width="12.33203125" style="905" customWidth="1"/>
    <col min="16135" max="16135" width="12.109375" style="905" customWidth="1"/>
    <col min="16136" max="16136" width="10.6640625" style="905" customWidth="1"/>
    <col min="16137" max="16137" width="13.6640625" style="905" customWidth="1"/>
    <col min="16138" max="16138" width="10.6640625" style="905" customWidth="1"/>
    <col min="16139" max="16139" width="16.6640625" style="905" customWidth="1"/>
    <col min="16140" max="16140" width="14.6640625" style="905" customWidth="1"/>
    <col min="16141" max="16141" width="15.33203125" style="905" customWidth="1"/>
    <col min="16142" max="16142" width="30.77734375" style="905" customWidth="1"/>
    <col min="16143" max="16145" width="9.33203125" style="905" customWidth="1"/>
    <col min="16146" max="16146" width="17.44140625" style="905" customWidth="1"/>
    <col min="16147" max="16378" width="9.33203125" style="905" customWidth="1"/>
    <col min="16379" max="16384" width="6.109375" style="905"/>
  </cols>
  <sheetData>
    <row r="1" spans="1:21" ht="18" x14ac:dyDescent="0.25">
      <c r="A1" s="1440" t="s">
        <v>939</v>
      </c>
      <c r="B1" s="1441"/>
      <c r="C1" s="1441"/>
      <c r="D1" s="1441"/>
      <c r="E1" s="1441"/>
      <c r="F1" s="1441"/>
      <c r="G1" s="1441"/>
      <c r="H1" s="1441"/>
      <c r="I1" s="1441"/>
      <c r="J1" s="1441"/>
      <c r="K1" s="1441"/>
      <c r="L1" s="1441"/>
      <c r="M1" s="1441"/>
      <c r="N1" s="1441"/>
      <c r="O1" s="1441"/>
      <c r="P1" s="1441"/>
      <c r="Q1" s="1441"/>
      <c r="R1" s="1441"/>
      <c r="S1" s="1441"/>
      <c r="T1" s="1441"/>
      <c r="U1" s="1441"/>
    </row>
    <row r="2" spans="1:21" ht="18" x14ac:dyDescent="0.25">
      <c r="A2" s="1442" t="s">
        <v>835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925" t="s">
        <v>836</v>
      </c>
      <c r="N2" s="926" t="s">
        <v>837</v>
      </c>
      <c r="O2" s="927" t="s">
        <v>838</v>
      </c>
      <c r="P2" s="928" t="s">
        <v>180</v>
      </c>
      <c r="Q2" s="929" t="s">
        <v>813</v>
      </c>
      <c r="R2" s="999"/>
      <c r="S2" s="930"/>
      <c r="T2" s="930"/>
      <c r="U2" s="930"/>
    </row>
    <row r="3" spans="1:21" s="934" customFormat="1" ht="49.8" customHeight="1" x14ac:dyDescent="0.3">
      <c r="A3" s="931" t="s">
        <v>69</v>
      </c>
      <c r="B3" s="932" t="s">
        <v>839</v>
      </c>
      <c r="C3" s="932" t="s">
        <v>840</v>
      </c>
      <c r="D3" s="932" t="s">
        <v>841</v>
      </c>
      <c r="E3" s="933" t="s">
        <v>842</v>
      </c>
      <c r="F3" s="932" t="s">
        <v>843</v>
      </c>
      <c r="G3" s="932" t="s">
        <v>844</v>
      </c>
      <c r="H3" s="932" t="s">
        <v>845</v>
      </c>
      <c r="I3" s="932" t="s">
        <v>846</v>
      </c>
      <c r="J3" s="932" t="s">
        <v>847</v>
      </c>
      <c r="K3" s="932" t="s">
        <v>848</v>
      </c>
      <c r="L3" s="932" t="s">
        <v>849</v>
      </c>
      <c r="M3" s="932" t="s">
        <v>850</v>
      </c>
      <c r="N3" s="932" t="s">
        <v>851</v>
      </c>
      <c r="O3" s="932" t="s">
        <v>852</v>
      </c>
      <c r="P3" s="932" t="s">
        <v>853</v>
      </c>
      <c r="Q3" s="932" t="s">
        <v>854</v>
      </c>
      <c r="R3" s="932" t="s">
        <v>855</v>
      </c>
      <c r="S3" s="932" t="s">
        <v>856</v>
      </c>
      <c r="T3" s="932" t="s">
        <v>857</v>
      </c>
      <c r="U3" s="932" t="s">
        <v>858</v>
      </c>
    </row>
    <row r="4" spans="1:21" s="941" customFormat="1" ht="17.399999999999999" customHeight="1" x14ac:dyDescent="0.3">
      <c r="A4" s="935">
        <v>1</v>
      </c>
      <c r="B4" s="935" t="s">
        <v>859</v>
      </c>
      <c r="C4" s="935" t="s">
        <v>860</v>
      </c>
      <c r="D4" s="936">
        <v>3.30661</v>
      </c>
      <c r="E4" s="937" t="s">
        <v>861</v>
      </c>
      <c r="F4" s="938">
        <v>8</v>
      </c>
      <c r="G4" s="938"/>
      <c r="H4" s="935">
        <f>F4-G4</f>
        <v>8</v>
      </c>
      <c r="I4" s="935"/>
      <c r="J4" s="938">
        <v>8</v>
      </c>
      <c r="K4" s="938"/>
      <c r="L4" s="935">
        <f>J4-K4</f>
        <v>8</v>
      </c>
      <c r="M4" s="939"/>
      <c r="N4" s="939"/>
      <c r="O4" s="940"/>
      <c r="P4" s="940"/>
      <c r="Q4" s="940" t="s">
        <v>862</v>
      </c>
      <c r="R4" s="1000"/>
      <c r="S4" s="935"/>
      <c r="T4" s="935"/>
      <c r="U4" s="940"/>
    </row>
    <row r="5" spans="1:21" s="941" customFormat="1" ht="17.399999999999999" customHeight="1" x14ac:dyDescent="0.3">
      <c r="A5" s="935">
        <f>A4+1</f>
        <v>2</v>
      </c>
      <c r="B5" s="935" t="s">
        <v>860</v>
      </c>
      <c r="C5" s="942" t="s">
        <v>863</v>
      </c>
      <c r="D5" s="936">
        <v>4.5817700000000006</v>
      </c>
      <c r="E5" s="937" t="s">
        <v>861</v>
      </c>
      <c r="F5" s="938">
        <v>12</v>
      </c>
      <c r="G5" s="938">
        <v>4</v>
      </c>
      <c r="H5" s="935">
        <f>F5-G5</f>
        <v>8</v>
      </c>
      <c r="I5" s="935"/>
      <c r="J5" s="938">
        <v>12</v>
      </c>
      <c r="K5" s="938"/>
      <c r="L5" s="935">
        <f t="shared" ref="L5:L66" si="0">J5-K5</f>
        <v>12</v>
      </c>
      <c r="M5" s="939"/>
      <c r="N5" s="987"/>
      <c r="O5" s="935"/>
      <c r="P5" s="935"/>
      <c r="Q5" s="940" t="s">
        <v>862</v>
      </c>
      <c r="R5" s="1000"/>
      <c r="S5" s="935"/>
      <c r="T5" s="935"/>
      <c r="U5" s="940"/>
    </row>
    <row r="6" spans="1:21" s="941" customFormat="1" ht="17.399999999999999" customHeight="1" x14ac:dyDescent="0.3">
      <c r="A6" s="935">
        <f t="shared" ref="A6:A66" si="1">A5+1</f>
        <v>3</v>
      </c>
      <c r="B6" s="935" t="s">
        <v>863</v>
      </c>
      <c r="C6" s="942" t="s">
        <v>864</v>
      </c>
      <c r="D6" s="936">
        <v>1.5190399999999999</v>
      </c>
      <c r="E6" s="937" t="s">
        <v>861</v>
      </c>
      <c r="F6" s="938">
        <v>4</v>
      </c>
      <c r="G6" s="938">
        <v>4</v>
      </c>
      <c r="H6" s="935">
        <f t="shared" ref="H6:H66" si="2">F6-G6</f>
        <v>0</v>
      </c>
      <c r="I6" s="935" t="s">
        <v>864</v>
      </c>
      <c r="J6" s="938">
        <v>4</v>
      </c>
      <c r="K6" s="938"/>
      <c r="L6" s="935">
        <f t="shared" si="0"/>
        <v>4</v>
      </c>
      <c r="M6" s="939"/>
      <c r="N6" s="987"/>
      <c r="O6" s="935"/>
      <c r="P6" s="935"/>
      <c r="Q6" s="940" t="s">
        <v>862</v>
      </c>
      <c r="R6" s="1000"/>
      <c r="S6" s="935"/>
      <c r="T6" s="935"/>
      <c r="U6" s="940"/>
    </row>
    <row r="7" spans="1:21" s="941" customFormat="1" ht="17.399999999999999" customHeight="1" x14ac:dyDescent="0.3">
      <c r="A7" s="935">
        <f t="shared" si="1"/>
        <v>4</v>
      </c>
      <c r="B7" s="935" t="s">
        <v>864</v>
      </c>
      <c r="C7" s="942" t="s">
        <v>865</v>
      </c>
      <c r="D7" s="936">
        <v>4.30037</v>
      </c>
      <c r="E7" s="937" t="s">
        <v>861</v>
      </c>
      <c r="F7" s="938">
        <v>11</v>
      </c>
      <c r="G7" s="938">
        <v>6</v>
      </c>
      <c r="H7" s="935">
        <f t="shared" si="2"/>
        <v>5</v>
      </c>
      <c r="I7" s="935"/>
      <c r="J7" s="938">
        <v>11</v>
      </c>
      <c r="K7" s="938">
        <v>1</v>
      </c>
      <c r="L7" s="935">
        <f t="shared" si="0"/>
        <v>10</v>
      </c>
      <c r="M7" s="939"/>
      <c r="N7" s="987"/>
      <c r="O7" s="935" t="s">
        <v>866</v>
      </c>
      <c r="P7" s="935"/>
      <c r="Q7" s="940" t="s">
        <v>862</v>
      </c>
      <c r="R7" s="1000"/>
      <c r="S7" s="935"/>
      <c r="T7" s="935"/>
      <c r="U7" s="940"/>
    </row>
    <row r="8" spans="1:21" s="941" customFormat="1" ht="17.399999999999999" customHeight="1" x14ac:dyDescent="0.3">
      <c r="A8" s="935">
        <f t="shared" si="1"/>
        <v>5</v>
      </c>
      <c r="B8" s="935" t="s">
        <v>865</v>
      </c>
      <c r="C8" s="942" t="s">
        <v>867</v>
      </c>
      <c r="D8" s="936">
        <v>1.995949</v>
      </c>
      <c r="E8" s="937" t="s">
        <v>861</v>
      </c>
      <c r="F8" s="938">
        <v>5</v>
      </c>
      <c r="G8" s="938">
        <v>2</v>
      </c>
      <c r="H8" s="935">
        <f t="shared" si="2"/>
        <v>3</v>
      </c>
      <c r="I8" s="935"/>
      <c r="J8" s="938">
        <v>5</v>
      </c>
      <c r="K8" s="938">
        <v>1</v>
      </c>
      <c r="L8" s="935">
        <f t="shared" si="0"/>
        <v>4</v>
      </c>
      <c r="M8" s="939"/>
      <c r="N8" s="987"/>
      <c r="O8" s="935"/>
      <c r="P8" s="935"/>
      <c r="Q8" s="940" t="s">
        <v>862</v>
      </c>
      <c r="R8" s="943"/>
      <c r="S8" s="935"/>
      <c r="T8" s="935"/>
      <c r="U8" s="940"/>
    </row>
    <row r="9" spans="1:21" s="941" customFormat="1" ht="17.399999999999999" customHeight="1" x14ac:dyDescent="0.3">
      <c r="A9" s="935">
        <f t="shared" si="1"/>
        <v>6</v>
      </c>
      <c r="B9" s="935" t="s">
        <v>867</v>
      </c>
      <c r="C9" s="942" t="s">
        <v>508</v>
      </c>
      <c r="D9" s="936">
        <v>2.77169</v>
      </c>
      <c r="E9" s="937" t="s">
        <v>861</v>
      </c>
      <c r="F9" s="938">
        <v>7</v>
      </c>
      <c r="G9" s="938">
        <v>6</v>
      </c>
      <c r="H9" s="935">
        <f t="shared" si="2"/>
        <v>1</v>
      </c>
      <c r="I9" s="935" t="s">
        <v>867</v>
      </c>
      <c r="J9" s="938">
        <v>7</v>
      </c>
      <c r="K9" s="938">
        <v>4</v>
      </c>
      <c r="L9" s="935">
        <f t="shared" si="0"/>
        <v>3</v>
      </c>
      <c r="M9" s="939"/>
      <c r="N9" s="987"/>
      <c r="O9" s="935"/>
      <c r="P9" s="935"/>
      <c r="Q9" s="940" t="s">
        <v>862</v>
      </c>
      <c r="R9" s="1000"/>
      <c r="S9" s="935"/>
      <c r="T9" s="935"/>
      <c r="U9" s="940"/>
    </row>
    <row r="10" spans="1:21" s="941" customFormat="1" ht="39" customHeight="1" x14ac:dyDescent="0.3">
      <c r="A10" s="935">
        <f t="shared" si="1"/>
        <v>7</v>
      </c>
      <c r="B10" s="935" t="s">
        <v>508</v>
      </c>
      <c r="C10" s="942" t="s">
        <v>509</v>
      </c>
      <c r="D10" s="998">
        <v>0.23843999999999999</v>
      </c>
      <c r="E10" s="937" t="s">
        <v>868</v>
      </c>
      <c r="F10" s="938">
        <v>1</v>
      </c>
      <c r="G10" s="938">
        <v>0</v>
      </c>
      <c r="H10" s="935">
        <f t="shared" si="2"/>
        <v>1</v>
      </c>
      <c r="I10" s="935"/>
      <c r="J10" s="938">
        <v>1</v>
      </c>
      <c r="K10" s="938"/>
      <c r="L10" s="935">
        <f t="shared" si="0"/>
        <v>1</v>
      </c>
      <c r="M10" s="939"/>
      <c r="N10" s="987"/>
      <c r="O10" s="935"/>
      <c r="P10" s="935"/>
      <c r="Q10" s="940" t="s">
        <v>862</v>
      </c>
      <c r="R10" s="1001" t="s">
        <v>869</v>
      </c>
      <c r="S10" s="935">
        <v>1</v>
      </c>
      <c r="T10" s="935"/>
      <c r="U10" s="940"/>
    </row>
    <row r="11" spans="1:21" s="941" customFormat="1" ht="31.2" x14ac:dyDescent="0.3">
      <c r="A11" s="935">
        <f t="shared" si="1"/>
        <v>8</v>
      </c>
      <c r="B11" s="935" t="s">
        <v>509</v>
      </c>
      <c r="C11" s="942" t="s">
        <v>870</v>
      </c>
      <c r="D11" s="998">
        <v>1.4364520000000001</v>
      </c>
      <c r="E11" s="937" t="s">
        <v>861</v>
      </c>
      <c r="F11" s="938">
        <v>4</v>
      </c>
      <c r="G11" s="938">
        <v>2</v>
      </c>
      <c r="H11" s="935">
        <f t="shared" si="2"/>
        <v>2</v>
      </c>
      <c r="I11" s="935"/>
      <c r="J11" s="938">
        <v>4</v>
      </c>
      <c r="K11" s="938">
        <v>2</v>
      </c>
      <c r="L11" s="935">
        <f t="shared" si="0"/>
        <v>2</v>
      </c>
      <c r="M11" s="939"/>
      <c r="N11" s="987"/>
      <c r="O11" s="935"/>
      <c r="P11" s="935"/>
      <c r="Q11" s="940" t="s">
        <v>862</v>
      </c>
      <c r="R11" s="1001" t="s">
        <v>871</v>
      </c>
      <c r="S11" s="935"/>
      <c r="T11" s="935"/>
      <c r="U11" s="940"/>
    </row>
    <row r="12" spans="1:21" s="941" customFormat="1" ht="23.4" customHeight="1" x14ac:dyDescent="0.3">
      <c r="A12" s="935">
        <f t="shared" si="1"/>
        <v>9</v>
      </c>
      <c r="B12" s="935" t="s">
        <v>870</v>
      </c>
      <c r="C12" s="942" t="s">
        <v>511</v>
      </c>
      <c r="D12" s="998">
        <v>5.2326450000000007</v>
      </c>
      <c r="E12" s="937" t="s">
        <v>861</v>
      </c>
      <c r="F12" s="938">
        <v>13</v>
      </c>
      <c r="G12" s="938">
        <v>8</v>
      </c>
      <c r="H12" s="935">
        <f t="shared" si="2"/>
        <v>5</v>
      </c>
      <c r="I12" s="935" t="s">
        <v>870</v>
      </c>
      <c r="J12" s="938">
        <v>13</v>
      </c>
      <c r="K12" s="938">
        <v>7</v>
      </c>
      <c r="L12" s="935">
        <f t="shared" si="0"/>
        <v>6</v>
      </c>
      <c r="M12" s="939"/>
      <c r="N12" s="939"/>
      <c r="O12" s="935"/>
      <c r="P12" s="935"/>
      <c r="Q12" s="940" t="s">
        <v>862</v>
      </c>
      <c r="R12" s="943"/>
      <c r="S12" s="935"/>
      <c r="T12" s="935">
        <v>2</v>
      </c>
      <c r="U12" s="940"/>
    </row>
    <row r="13" spans="1:21" s="941" customFormat="1" ht="37.200000000000003" customHeight="1" x14ac:dyDescent="0.3">
      <c r="A13" s="935">
        <f t="shared" si="1"/>
        <v>10</v>
      </c>
      <c r="B13" s="935" t="s">
        <v>511</v>
      </c>
      <c r="C13" s="942" t="s">
        <v>512</v>
      </c>
      <c r="D13" s="998">
        <v>0.21474199999999999</v>
      </c>
      <c r="E13" s="937" t="s">
        <v>868</v>
      </c>
      <c r="F13" s="938">
        <v>1</v>
      </c>
      <c r="G13" s="938"/>
      <c r="H13" s="935">
        <f t="shared" si="2"/>
        <v>1</v>
      </c>
      <c r="I13" s="935"/>
      <c r="J13" s="938">
        <v>1</v>
      </c>
      <c r="K13" s="938"/>
      <c r="L13" s="935">
        <f t="shared" si="0"/>
        <v>1</v>
      </c>
      <c r="M13" s="939"/>
      <c r="N13" s="939"/>
      <c r="O13" s="935"/>
      <c r="P13" s="935"/>
      <c r="Q13" s="940" t="s">
        <v>862</v>
      </c>
      <c r="R13" s="943" t="s">
        <v>872</v>
      </c>
      <c r="S13" s="935"/>
      <c r="T13" s="935"/>
      <c r="U13" s="940"/>
    </row>
    <row r="14" spans="1:21" s="941" customFormat="1" ht="38.4" customHeight="1" x14ac:dyDescent="0.3">
      <c r="A14" s="935">
        <f t="shared" si="1"/>
        <v>11</v>
      </c>
      <c r="B14" s="935" t="s">
        <v>512</v>
      </c>
      <c r="C14" s="942" t="s">
        <v>873</v>
      </c>
      <c r="D14" s="998">
        <v>1.5880540000000001</v>
      </c>
      <c r="E14" s="937" t="s">
        <v>861</v>
      </c>
      <c r="F14" s="938">
        <v>4</v>
      </c>
      <c r="G14" s="938">
        <v>3</v>
      </c>
      <c r="H14" s="935">
        <f t="shared" si="2"/>
        <v>1</v>
      </c>
      <c r="I14" s="935"/>
      <c r="J14" s="938">
        <v>4</v>
      </c>
      <c r="K14" s="938">
        <v>3</v>
      </c>
      <c r="L14" s="935">
        <f t="shared" si="0"/>
        <v>1</v>
      </c>
      <c r="M14" s="939"/>
      <c r="N14" s="939"/>
      <c r="O14" s="935"/>
      <c r="P14" s="935"/>
      <c r="Q14" s="940" t="s">
        <v>862</v>
      </c>
      <c r="R14" s="943" t="s">
        <v>874</v>
      </c>
      <c r="S14" s="935"/>
      <c r="T14" s="935"/>
      <c r="U14" s="940"/>
    </row>
    <row r="15" spans="1:21" s="941" customFormat="1" ht="21.6" customHeight="1" x14ac:dyDescent="0.3">
      <c r="A15" s="935">
        <f>A14+1</f>
        <v>12</v>
      </c>
      <c r="B15" s="935" t="s">
        <v>873</v>
      </c>
      <c r="C15" s="942" t="s">
        <v>875</v>
      </c>
      <c r="D15" s="998">
        <v>2.3158370000000001</v>
      </c>
      <c r="E15" s="937" t="s">
        <v>861</v>
      </c>
      <c r="F15" s="938">
        <v>6</v>
      </c>
      <c r="G15" s="938">
        <v>5</v>
      </c>
      <c r="H15" s="935">
        <f t="shared" si="2"/>
        <v>1</v>
      </c>
      <c r="I15" s="935"/>
      <c r="J15" s="938">
        <v>6</v>
      </c>
      <c r="K15" s="938">
        <v>4</v>
      </c>
      <c r="L15" s="935">
        <f t="shared" si="0"/>
        <v>2</v>
      </c>
      <c r="M15" s="939"/>
      <c r="N15" s="939"/>
      <c r="O15" s="935"/>
      <c r="P15" s="935"/>
      <c r="Q15" s="940" t="s">
        <v>862</v>
      </c>
      <c r="R15" s="943"/>
      <c r="S15" s="935"/>
      <c r="T15" s="935"/>
      <c r="U15" s="940"/>
    </row>
    <row r="16" spans="1:21" s="941" customFormat="1" ht="21.6" customHeight="1" x14ac:dyDescent="0.3">
      <c r="A16" s="935">
        <f t="shared" si="1"/>
        <v>13</v>
      </c>
      <c r="B16" s="935" t="s">
        <v>875</v>
      </c>
      <c r="C16" s="942" t="s">
        <v>515</v>
      </c>
      <c r="D16" s="998">
        <v>3.8450509999999998</v>
      </c>
      <c r="E16" s="937" t="s">
        <v>861</v>
      </c>
      <c r="F16" s="938">
        <v>9</v>
      </c>
      <c r="G16" s="938">
        <v>4</v>
      </c>
      <c r="H16" s="935">
        <f t="shared" si="2"/>
        <v>5</v>
      </c>
      <c r="I16" s="935"/>
      <c r="J16" s="938">
        <v>9</v>
      </c>
      <c r="K16" s="938">
        <v>1</v>
      </c>
      <c r="L16" s="935">
        <f t="shared" si="0"/>
        <v>8</v>
      </c>
      <c r="M16" s="939"/>
      <c r="N16" s="939"/>
      <c r="O16" s="935"/>
      <c r="P16" s="935"/>
      <c r="Q16" s="940" t="s">
        <v>862</v>
      </c>
      <c r="R16" s="943"/>
      <c r="S16" s="935"/>
      <c r="T16" s="935"/>
      <c r="U16" s="940"/>
    </row>
    <row r="17" spans="1:21" s="941" customFormat="1" ht="31.2" x14ac:dyDescent="0.3">
      <c r="A17" s="935">
        <f t="shared" si="1"/>
        <v>14</v>
      </c>
      <c r="B17" s="935" t="s">
        <v>515</v>
      </c>
      <c r="C17" s="942" t="s">
        <v>516</v>
      </c>
      <c r="D17" s="998">
        <v>0.24749199999999999</v>
      </c>
      <c r="E17" s="937" t="s">
        <v>868</v>
      </c>
      <c r="F17" s="938">
        <v>1</v>
      </c>
      <c r="G17" s="938"/>
      <c r="H17" s="935">
        <f t="shared" si="2"/>
        <v>1</v>
      </c>
      <c r="I17" s="935"/>
      <c r="J17" s="938">
        <v>1</v>
      </c>
      <c r="K17" s="938"/>
      <c r="L17" s="935">
        <f t="shared" si="0"/>
        <v>1</v>
      </c>
      <c r="M17" s="939"/>
      <c r="N17" s="939"/>
      <c r="O17" s="935"/>
      <c r="P17" s="935"/>
      <c r="Q17" s="940" t="s">
        <v>862</v>
      </c>
      <c r="R17" s="943" t="s">
        <v>876</v>
      </c>
      <c r="S17" s="935"/>
      <c r="T17" s="935"/>
      <c r="U17" s="940"/>
    </row>
    <row r="18" spans="1:21" s="941" customFormat="1" ht="31.2" x14ac:dyDescent="0.3">
      <c r="A18" s="935">
        <f t="shared" si="1"/>
        <v>15</v>
      </c>
      <c r="B18" s="935" t="s">
        <v>516</v>
      </c>
      <c r="C18" s="942" t="s">
        <v>877</v>
      </c>
      <c r="D18" s="998">
        <v>1.819982</v>
      </c>
      <c r="E18" s="937" t="s">
        <v>861</v>
      </c>
      <c r="F18" s="938">
        <v>5</v>
      </c>
      <c r="G18" s="938"/>
      <c r="H18" s="935">
        <f t="shared" si="2"/>
        <v>5</v>
      </c>
      <c r="I18" s="935"/>
      <c r="J18" s="938">
        <v>5</v>
      </c>
      <c r="K18" s="938"/>
      <c r="L18" s="935">
        <f t="shared" si="0"/>
        <v>5</v>
      </c>
      <c r="M18" s="939"/>
      <c r="N18" s="939"/>
      <c r="O18" s="935"/>
      <c r="P18" s="935"/>
      <c r="Q18" s="940" t="s">
        <v>862</v>
      </c>
      <c r="R18" s="943" t="s">
        <v>878</v>
      </c>
      <c r="S18" s="935"/>
      <c r="T18" s="935"/>
      <c r="U18" s="940"/>
    </row>
    <row r="19" spans="1:21" s="941" customFormat="1" ht="15.6" x14ac:dyDescent="0.3">
      <c r="A19" s="935">
        <f t="shared" si="1"/>
        <v>16</v>
      </c>
      <c r="B19" s="935" t="s">
        <v>877</v>
      </c>
      <c r="C19" s="942" t="s">
        <v>879</v>
      </c>
      <c r="D19" s="998">
        <v>1.6119270000000001</v>
      </c>
      <c r="E19" s="937" t="s">
        <v>861</v>
      </c>
      <c r="F19" s="938">
        <v>4</v>
      </c>
      <c r="G19" s="938"/>
      <c r="H19" s="935">
        <f t="shared" si="2"/>
        <v>4</v>
      </c>
      <c r="I19" s="935"/>
      <c r="J19" s="938">
        <v>4</v>
      </c>
      <c r="K19" s="938"/>
      <c r="L19" s="935">
        <f t="shared" si="0"/>
        <v>4</v>
      </c>
      <c r="M19" s="939"/>
      <c r="N19" s="939"/>
      <c r="O19" s="935"/>
      <c r="P19" s="935"/>
      <c r="Q19" s="940" t="s">
        <v>862</v>
      </c>
      <c r="R19" s="943"/>
      <c r="S19" s="935"/>
      <c r="T19" s="935"/>
      <c r="U19" s="940"/>
    </row>
    <row r="20" spans="1:21" s="941" customFormat="1" ht="15.6" x14ac:dyDescent="0.3">
      <c r="A20" s="935">
        <f t="shared" si="1"/>
        <v>17</v>
      </c>
      <c r="B20" s="935" t="s">
        <v>879</v>
      </c>
      <c r="C20" s="942" t="s">
        <v>880</v>
      </c>
      <c r="D20" s="998">
        <v>0.43904700000000002</v>
      </c>
      <c r="E20" s="937" t="s">
        <v>868</v>
      </c>
      <c r="F20" s="938">
        <v>1</v>
      </c>
      <c r="G20" s="938"/>
      <c r="H20" s="935">
        <f t="shared" si="2"/>
        <v>1</v>
      </c>
      <c r="I20" s="935"/>
      <c r="J20" s="938">
        <v>1</v>
      </c>
      <c r="K20" s="938"/>
      <c r="L20" s="935">
        <f t="shared" si="0"/>
        <v>1</v>
      </c>
      <c r="M20" s="939"/>
      <c r="N20" s="939"/>
      <c r="O20" s="935"/>
      <c r="P20" s="935"/>
      <c r="Q20" s="940" t="s">
        <v>862</v>
      </c>
      <c r="R20" s="1000"/>
      <c r="S20" s="935"/>
      <c r="T20" s="935">
        <v>2</v>
      </c>
      <c r="U20" s="940"/>
    </row>
    <row r="21" spans="1:21" s="941" customFormat="1" ht="15.6" x14ac:dyDescent="0.3">
      <c r="A21" s="935">
        <f t="shared" si="1"/>
        <v>18</v>
      </c>
      <c r="B21" s="935" t="s">
        <v>880</v>
      </c>
      <c r="C21" s="942" t="s">
        <v>881</v>
      </c>
      <c r="D21" s="998">
        <v>1.3994899999999999</v>
      </c>
      <c r="E21" s="937" t="s">
        <v>861</v>
      </c>
      <c r="F21" s="938">
        <v>4</v>
      </c>
      <c r="G21" s="938">
        <v>1</v>
      </c>
      <c r="H21" s="935">
        <f t="shared" si="2"/>
        <v>3</v>
      </c>
      <c r="I21" s="935"/>
      <c r="J21" s="938">
        <v>4</v>
      </c>
      <c r="K21" s="938"/>
      <c r="L21" s="935">
        <f t="shared" si="0"/>
        <v>4</v>
      </c>
      <c r="M21" s="939"/>
      <c r="N21" s="939"/>
      <c r="O21" s="935"/>
      <c r="P21" s="935"/>
      <c r="Q21" s="940" t="s">
        <v>862</v>
      </c>
      <c r="R21" s="1000"/>
      <c r="S21" s="935">
        <v>1</v>
      </c>
      <c r="T21" s="935"/>
      <c r="U21" s="940"/>
    </row>
    <row r="22" spans="1:21" s="941" customFormat="1" ht="15.6" x14ac:dyDescent="0.3">
      <c r="A22" s="935">
        <f t="shared" si="1"/>
        <v>19</v>
      </c>
      <c r="B22" s="935" t="s">
        <v>881</v>
      </c>
      <c r="C22" s="942" t="s">
        <v>882</v>
      </c>
      <c r="D22" s="936">
        <v>0.886818</v>
      </c>
      <c r="E22" s="937" t="s">
        <v>861</v>
      </c>
      <c r="F22" s="938">
        <v>2</v>
      </c>
      <c r="G22" s="938">
        <v>1</v>
      </c>
      <c r="H22" s="935">
        <f t="shared" si="2"/>
        <v>1</v>
      </c>
      <c r="I22" s="935"/>
      <c r="J22" s="938">
        <v>2</v>
      </c>
      <c r="K22" s="938"/>
      <c r="L22" s="935">
        <f t="shared" si="0"/>
        <v>2</v>
      </c>
      <c r="M22" s="939"/>
      <c r="N22" s="939"/>
      <c r="O22" s="935"/>
      <c r="P22" s="935"/>
      <c r="Q22" s="940" t="s">
        <v>862</v>
      </c>
      <c r="R22" s="1000"/>
      <c r="S22" s="935"/>
      <c r="T22" s="935"/>
      <c r="U22" s="940"/>
    </row>
    <row r="23" spans="1:21" s="941" customFormat="1" ht="15.6" x14ac:dyDescent="0.3">
      <c r="A23" s="935">
        <f t="shared" si="1"/>
        <v>20</v>
      </c>
      <c r="B23" s="935" t="s">
        <v>882</v>
      </c>
      <c r="C23" s="942" t="s">
        <v>883</v>
      </c>
      <c r="D23" s="936">
        <v>1.84124</v>
      </c>
      <c r="E23" s="937" t="s">
        <v>861</v>
      </c>
      <c r="F23" s="938">
        <v>5</v>
      </c>
      <c r="G23" s="938">
        <v>1</v>
      </c>
      <c r="H23" s="935">
        <f t="shared" si="2"/>
        <v>4</v>
      </c>
      <c r="I23" s="935"/>
      <c r="J23" s="938">
        <v>5</v>
      </c>
      <c r="K23" s="938"/>
      <c r="L23" s="935">
        <f>J23-K23</f>
        <v>5</v>
      </c>
      <c r="M23" s="939"/>
      <c r="N23" s="939"/>
      <c r="O23" s="935"/>
      <c r="P23" s="935"/>
      <c r="Q23" s="940" t="s">
        <v>862</v>
      </c>
      <c r="R23" s="1000"/>
      <c r="S23" s="935"/>
      <c r="T23" s="935"/>
      <c r="U23" s="940"/>
    </row>
    <row r="24" spans="1:21" s="941" customFormat="1" ht="15.6" x14ac:dyDescent="0.3">
      <c r="A24" s="935">
        <f t="shared" si="1"/>
        <v>21</v>
      </c>
      <c r="B24" s="935" t="s">
        <v>883</v>
      </c>
      <c r="C24" s="942" t="s">
        <v>884</v>
      </c>
      <c r="D24" s="936">
        <v>1.1608510000000001</v>
      </c>
      <c r="E24" s="937" t="s">
        <v>861</v>
      </c>
      <c r="F24" s="938">
        <v>3</v>
      </c>
      <c r="G24" s="938"/>
      <c r="H24" s="935">
        <f t="shared" si="2"/>
        <v>3</v>
      </c>
      <c r="I24" s="935"/>
      <c r="J24" s="938">
        <v>3</v>
      </c>
      <c r="K24" s="938"/>
      <c r="L24" s="935">
        <f t="shared" si="0"/>
        <v>3</v>
      </c>
      <c r="M24" s="939"/>
      <c r="N24" s="939"/>
      <c r="O24" s="935"/>
      <c r="P24" s="935"/>
      <c r="Q24" s="940" t="s">
        <v>862</v>
      </c>
      <c r="R24" s="1000"/>
      <c r="S24" s="935"/>
      <c r="T24" s="935"/>
      <c r="U24" s="940"/>
    </row>
    <row r="25" spans="1:21" s="941" customFormat="1" ht="15.6" x14ac:dyDescent="0.3">
      <c r="A25" s="935">
        <f t="shared" si="1"/>
        <v>22</v>
      </c>
      <c r="B25" s="935" t="s">
        <v>884</v>
      </c>
      <c r="C25" s="942" t="s">
        <v>885</v>
      </c>
      <c r="D25" s="936">
        <v>1.261628</v>
      </c>
      <c r="E25" s="937" t="s">
        <v>861</v>
      </c>
      <c r="F25" s="938">
        <v>3</v>
      </c>
      <c r="G25" s="938"/>
      <c r="H25" s="935">
        <f t="shared" si="2"/>
        <v>3</v>
      </c>
      <c r="I25" s="935"/>
      <c r="J25" s="938">
        <v>3</v>
      </c>
      <c r="K25" s="938"/>
      <c r="L25" s="935">
        <f t="shared" si="0"/>
        <v>3</v>
      </c>
      <c r="M25" s="939"/>
      <c r="N25" s="939"/>
      <c r="O25" s="935"/>
      <c r="P25" s="935"/>
      <c r="Q25" s="940" t="s">
        <v>862</v>
      </c>
      <c r="R25" s="943"/>
      <c r="S25" s="935"/>
      <c r="T25" s="935"/>
      <c r="U25" s="940"/>
    </row>
    <row r="26" spans="1:21" s="941" customFormat="1" ht="15.6" x14ac:dyDescent="0.3">
      <c r="A26" s="935">
        <f t="shared" si="1"/>
        <v>23</v>
      </c>
      <c r="B26" s="935" t="s">
        <v>885</v>
      </c>
      <c r="C26" s="942" t="s">
        <v>519</v>
      </c>
      <c r="D26" s="936">
        <v>1.9669839999999998</v>
      </c>
      <c r="E26" s="937" t="s">
        <v>861</v>
      </c>
      <c r="F26" s="938">
        <v>5</v>
      </c>
      <c r="G26" s="938">
        <v>4</v>
      </c>
      <c r="H26" s="935">
        <f t="shared" si="2"/>
        <v>1</v>
      </c>
      <c r="I26" s="935" t="s">
        <v>885</v>
      </c>
      <c r="J26" s="938">
        <v>5</v>
      </c>
      <c r="K26" s="938"/>
      <c r="L26" s="935">
        <f t="shared" si="0"/>
        <v>5</v>
      </c>
      <c r="M26" s="939"/>
      <c r="N26" s="939"/>
      <c r="O26" s="935"/>
      <c r="P26" s="935"/>
      <c r="Q26" s="940" t="s">
        <v>862</v>
      </c>
      <c r="R26" s="943"/>
      <c r="S26" s="935"/>
      <c r="T26" s="935"/>
      <c r="U26" s="940"/>
    </row>
    <row r="27" spans="1:21" s="941" customFormat="1" ht="31.2" x14ac:dyDescent="0.3">
      <c r="A27" s="935">
        <f t="shared" si="1"/>
        <v>24</v>
      </c>
      <c r="B27" s="935" t="s">
        <v>519</v>
      </c>
      <c r="C27" s="942" t="s">
        <v>520</v>
      </c>
      <c r="D27" s="936">
        <v>0.24851799999999999</v>
      </c>
      <c r="E27" s="937" t="s">
        <v>868</v>
      </c>
      <c r="F27" s="938">
        <v>1</v>
      </c>
      <c r="G27" s="938"/>
      <c r="H27" s="935">
        <f t="shared" si="2"/>
        <v>1</v>
      </c>
      <c r="I27" s="935"/>
      <c r="J27" s="938">
        <v>1</v>
      </c>
      <c r="K27" s="938"/>
      <c r="L27" s="935">
        <f t="shared" si="0"/>
        <v>1</v>
      </c>
      <c r="M27" s="939"/>
      <c r="N27" s="939"/>
      <c r="O27" s="935"/>
      <c r="P27" s="935"/>
      <c r="Q27" s="940" t="s">
        <v>886</v>
      </c>
      <c r="R27" s="943" t="s">
        <v>887</v>
      </c>
      <c r="S27" s="935"/>
      <c r="T27" s="935"/>
      <c r="U27" s="940"/>
    </row>
    <row r="28" spans="1:21" s="941" customFormat="1" ht="31.2" x14ac:dyDescent="0.3">
      <c r="A28" s="935">
        <f t="shared" si="1"/>
        <v>25</v>
      </c>
      <c r="B28" s="935" t="s">
        <v>520</v>
      </c>
      <c r="C28" s="942" t="s">
        <v>888</v>
      </c>
      <c r="D28" s="936">
        <v>0.82768399999999998</v>
      </c>
      <c r="E28" s="937" t="s">
        <v>861</v>
      </c>
      <c r="F28" s="938">
        <v>2</v>
      </c>
      <c r="G28" s="938"/>
      <c r="H28" s="935">
        <f t="shared" si="2"/>
        <v>2</v>
      </c>
      <c r="I28" s="935"/>
      <c r="J28" s="938">
        <v>2</v>
      </c>
      <c r="K28" s="938"/>
      <c r="L28" s="935">
        <f t="shared" si="0"/>
        <v>2</v>
      </c>
      <c r="M28" s="939"/>
      <c r="N28" s="939"/>
      <c r="O28" s="935"/>
      <c r="P28" s="935"/>
      <c r="Q28" s="940" t="s">
        <v>886</v>
      </c>
      <c r="R28" s="943" t="s">
        <v>889</v>
      </c>
      <c r="S28" s="935"/>
      <c r="T28" s="935"/>
      <c r="U28" s="940"/>
    </row>
    <row r="29" spans="1:21" s="941" customFormat="1" ht="15.6" x14ac:dyDescent="0.3">
      <c r="A29" s="935">
        <f t="shared" si="1"/>
        <v>26</v>
      </c>
      <c r="B29" s="935" t="s">
        <v>888</v>
      </c>
      <c r="C29" s="942" t="s">
        <v>522</v>
      </c>
      <c r="D29" s="936">
        <v>1.2133530000000001</v>
      </c>
      <c r="E29" s="937" t="s">
        <v>861</v>
      </c>
      <c r="F29" s="938">
        <v>3</v>
      </c>
      <c r="G29" s="938">
        <v>2</v>
      </c>
      <c r="H29" s="935">
        <f t="shared" si="2"/>
        <v>1</v>
      </c>
      <c r="I29" s="935"/>
      <c r="J29" s="938">
        <v>3</v>
      </c>
      <c r="K29" s="938"/>
      <c r="L29" s="935">
        <f t="shared" si="0"/>
        <v>3</v>
      </c>
      <c r="M29" s="939"/>
      <c r="N29" s="939"/>
      <c r="O29" s="935"/>
      <c r="P29" s="935"/>
      <c r="Q29" s="940" t="s">
        <v>886</v>
      </c>
      <c r="R29" s="1000"/>
      <c r="S29" s="935"/>
      <c r="T29" s="935"/>
      <c r="U29" s="940"/>
    </row>
    <row r="30" spans="1:21" s="941" customFormat="1" ht="15.6" x14ac:dyDescent="0.3">
      <c r="A30" s="935">
        <f t="shared" si="1"/>
        <v>27</v>
      </c>
      <c r="B30" s="935" t="s">
        <v>522</v>
      </c>
      <c r="C30" s="942" t="s">
        <v>523</v>
      </c>
      <c r="D30" s="936">
        <v>0.25011899999999998</v>
      </c>
      <c r="E30" s="937" t="s">
        <v>868</v>
      </c>
      <c r="F30" s="938">
        <v>1</v>
      </c>
      <c r="G30" s="938"/>
      <c r="H30" s="935">
        <f t="shared" si="2"/>
        <v>1</v>
      </c>
      <c r="I30" s="935"/>
      <c r="J30" s="938">
        <v>1</v>
      </c>
      <c r="K30" s="938"/>
      <c r="L30" s="935">
        <f t="shared" si="0"/>
        <v>1</v>
      </c>
      <c r="M30" s="939"/>
      <c r="N30" s="939"/>
      <c r="O30" s="935"/>
      <c r="P30" s="935"/>
      <c r="Q30" s="940" t="s">
        <v>886</v>
      </c>
      <c r="R30" s="1000"/>
      <c r="S30" s="935"/>
      <c r="T30" s="935"/>
      <c r="U30" s="940"/>
    </row>
    <row r="31" spans="1:21" s="941" customFormat="1" ht="15.6" x14ac:dyDescent="0.3">
      <c r="A31" s="935">
        <f t="shared" si="1"/>
        <v>28</v>
      </c>
      <c r="B31" s="935" t="s">
        <v>523</v>
      </c>
      <c r="C31" s="942" t="s">
        <v>525</v>
      </c>
      <c r="D31" s="936">
        <v>1.6107</v>
      </c>
      <c r="E31" s="937" t="s">
        <v>861</v>
      </c>
      <c r="F31" s="938">
        <v>4</v>
      </c>
      <c r="G31" s="938"/>
      <c r="H31" s="935">
        <f t="shared" si="2"/>
        <v>4</v>
      </c>
      <c r="I31" s="935"/>
      <c r="J31" s="938">
        <v>4</v>
      </c>
      <c r="K31" s="938"/>
      <c r="L31" s="935">
        <f t="shared" si="0"/>
        <v>4</v>
      </c>
      <c r="M31" s="939"/>
      <c r="N31" s="939"/>
      <c r="O31" s="935"/>
      <c r="P31" s="935"/>
      <c r="Q31" s="940" t="s">
        <v>886</v>
      </c>
      <c r="R31" s="1000"/>
      <c r="S31" s="935"/>
      <c r="T31" s="935"/>
      <c r="U31" s="940"/>
    </row>
    <row r="32" spans="1:21" s="941" customFormat="1" ht="31.2" x14ac:dyDescent="0.3">
      <c r="A32" s="935">
        <f t="shared" si="1"/>
        <v>29</v>
      </c>
      <c r="B32" s="935" t="s">
        <v>525</v>
      </c>
      <c r="C32" s="942" t="s">
        <v>526</v>
      </c>
      <c r="D32" s="936">
        <v>0.19644999999999999</v>
      </c>
      <c r="E32" s="937" t="s">
        <v>868</v>
      </c>
      <c r="F32" s="938">
        <v>1</v>
      </c>
      <c r="G32" s="938"/>
      <c r="H32" s="935">
        <f t="shared" si="2"/>
        <v>1</v>
      </c>
      <c r="I32" s="935"/>
      <c r="J32" s="938">
        <v>1</v>
      </c>
      <c r="K32" s="938"/>
      <c r="L32" s="935">
        <f t="shared" si="0"/>
        <v>1</v>
      </c>
      <c r="M32" s="939"/>
      <c r="N32" s="939" t="s">
        <v>890</v>
      </c>
      <c r="O32" s="935"/>
      <c r="P32" s="935"/>
      <c r="Q32" s="940" t="s">
        <v>886</v>
      </c>
      <c r="R32" s="943" t="s">
        <v>891</v>
      </c>
      <c r="S32" s="935"/>
      <c r="T32" s="935"/>
      <c r="U32" s="940"/>
    </row>
    <row r="33" spans="1:21" s="941" customFormat="1" ht="31.2" x14ac:dyDescent="0.3">
      <c r="A33" s="935">
        <f t="shared" si="1"/>
        <v>30</v>
      </c>
      <c r="B33" s="935" t="s">
        <v>526</v>
      </c>
      <c r="C33" s="942" t="s">
        <v>892</v>
      </c>
      <c r="D33" s="936">
        <v>4.26058</v>
      </c>
      <c r="E33" s="937" t="s">
        <v>861</v>
      </c>
      <c r="F33" s="938">
        <v>11</v>
      </c>
      <c r="G33" s="938">
        <v>9</v>
      </c>
      <c r="H33" s="935">
        <f t="shared" si="2"/>
        <v>2</v>
      </c>
      <c r="I33" s="935"/>
      <c r="J33" s="938">
        <v>11</v>
      </c>
      <c r="K33" s="938">
        <v>7</v>
      </c>
      <c r="L33" s="935">
        <f t="shared" si="0"/>
        <v>4</v>
      </c>
      <c r="M33" s="939"/>
      <c r="N33" s="939"/>
      <c r="O33" s="935"/>
      <c r="P33" s="935"/>
      <c r="Q33" s="940" t="s">
        <v>886</v>
      </c>
      <c r="R33" s="943" t="s">
        <v>893</v>
      </c>
      <c r="S33" s="935"/>
      <c r="T33" s="935"/>
      <c r="U33" s="940"/>
    </row>
    <row r="34" spans="1:21" s="941" customFormat="1" ht="15.6" x14ac:dyDescent="0.3">
      <c r="A34" s="935">
        <f t="shared" si="1"/>
        <v>31</v>
      </c>
      <c r="B34" s="935" t="s">
        <v>892</v>
      </c>
      <c r="C34" s="942" t="s">
        <v>894</v>
      </c>
      <c r="D34" s="936">
        <v>1.5550899999999999</v>
      </c>
      <c r="E34" s="937" t="s">
        <v>861</v>
      </c>
      <c r="F34" s="938">
        <v>4</v>
      </c>
      <c r="G34" s="938">
        <v>1</v>
      </c>
      <c r="H34" s="935">
        <f t="shared" si="2"/>
        <v>3</v>
      </c>
      <c r="I34" s="935"/>
      <c r="J34" s="938">
        <v>4</v>
      </c>
      <c r="K34" s="938"/>
      <c r="L34" s="935">
        <f t="shared" si="0"/>
        <v>4</v>
      </c>
      <c r="M34" s="939"/>
      <c r="N34" s="939"/>
      <c r="O34" s="935"/>
      <c r="P34" s="935"/>
      <c r="Q34" s="940" t="s">
        <v>886</v>
      </c>
      <c r="R34" s="1000"/>
      <c r="S34" s="935"/>
      <c r="T34" s="935"/>
      <c r="U34" s="940"/>
    </row>
    <row r="35" spans="1:21" s="941" customFormat="1" ht="15.6" x14ac:dyDescent="0.3">
      <c r="A35" s="935">
        <f t="shared" si="1"/>
        <v>32</v>
      </c>
      <c r="B35" s="935" t="s">
        <v>894</v>
      </c>
      <c r="C35" s="942" t="s">
        <v>895</v>
      </c>
      <c r="D35" s="936">
        <v>1.577645</v>
      </c>
      <c r="E35" s="937" t="s">
        <v>861</v>
      </c>
      <c r="F35" s="938">
        <v>4</v>
      </c>
      <c r="G35" s="938">
        <v>3</v>
      </c>
      <c r="H35" s="935">
        <f t="shared" si="2"/>
        <v>1</v>
      </c>
      <c r="I35" s="935"/>
      <c r="J35" s="938">
        <v>4</v>
      </c>
      <c r="K35" s="938">
        <v>2</v>
      </c>
      <c r="L35" s="935">
        <f t="shared" si="0"/>
        <v>2</v>
      </c>
      <c r="M35" s="939"/>
      <c r="N35" s="939"/>
      <c r="O35" s="935"/>
      <c r="P35" s="935"/>
      <c r="Q35" s="940" t="s">
        <v>886</v>
      </c>
      <c r="R35" s="1000"/>
      <c r="S35" s="935"/>
      <c r="T35" s="935"/>
      <c r="U35" s="940"/>
    </row>
    <row r="36" spans="1:21" s="941" customFormat="1" ht="15.6" x14ac:dyDescent="0.3">
      <c r="A36" s="935">
        <f t="shared" si="1"/>
        <v>33</v>
      </c>
      <c r="B36" s="935" t="s">
        <v>895</v>
      </c>
      <c r="C36" s="942" t="s">
        <v>896</v>
      </c>
      <c r="D36" s="936">
        <v>2.4962070000000001</v>
      </c>
      <c r="E36" s="937" t="s">
        <v>861</v>
      </c>
      <c r="F36" s="938">
        <v>6</v>
      </c>
      <c r="G36" s="938">
        <v>3</v>
      </c>
      <c r="H36" s="935">
        <f t="shared" si="2"/>
        <v>3</v>
      </c>
      <c r="I36" s="935"/>
      <c r="J36" s="938">
        <v>6</v>
      </c>
      <c r="K36" s="938">
        <v>2</v>
      </c>
      <c r="L36" s="935">
        <f t="shared" si="0"/>
        <v>4</v>
      </c>
      <c r="M36" s="939"/>
      <c r="N36" s="939"/>
      <c r="O36" s="935"/>
      <c r="P36" s="935"/>
      <c r="Q36" s="940" t="s">
        <v>886</v>
      </c>
      <c r="R36" s="1000"/>
      <c r="S36" s="935"/>
      <c r="T36" s="935"/>
      <c r="U36" s="940"/>
    </row>
    <row r="37" spans="1:21" s="941" customFormat="1" ht="15.6" x14ac:dyDescent="0.3">
      <c r="A37" s="935">
        <f t="shared" si="1"/>
        <v>34</v>
      </c>
      <c r="B37" s="935" t="s">
        <v>896</v>
      </c>
      <c r="C37" s="942" t="s">
        <v>897</v>
      </c>
      <c r="D37" s="936">
        <v>1.6442950000000001</v>
      </c>
      <c r="E37" s="937" t="s">
        <v>861</v>
      </c>
      <c r="F37" s="938">
        <v>4</v>
      </c>
      <c r="G37" s="938">
        <v>2</v>
      </c>
      <c r="H37" s="935">
        <f t="shared" si="2"/>
        <v>2</v>
      </c>
      <c r="I37" s="935"/>
      <c r="J37" s="938">
        <v>4</v>
      </c>
      <c r="K37" s="938">
        <v>1</v>
      </c>
      <c r="L37" s="935">
        <f t="shared" si="0"/>
        <v>3</v>
      </c>
      <c r="M37" s="939"/>
      <c r="N37" s="939"/>
      <c r="O37" s="935"/>
      <c r="P37" s="935"/>
      <c r="Q37" s="940" t="s">
        <v>886</v>
      </c>
      <c r="R37" s="1000"/>
      <c r="S37" s="935"/>
      <c r="T37" s="935"/>
      <c r="U37" s="940"/>
    </row>
    <row r="38" spans="1:21" s="941" customFormat="1" ht="15.6" x14ac:dyDescent="0.3">
      <c r="A38" s="935">
        <f t="shared" si="1"/>
        <v>35</v>
      </c>
      <c r="B38" s="935" t="s">
        <v>897</v>
      </c>
      <c r="C38" s="942" t="s">
        <v>898</v>
      </c>
      <c r="D38" s="936">
        <v>1.280796</v>
      </c>
      <c r="E38" s="937" t="s">
        <v>861</v>
      </c>
      <c r="F38" s="938">
        <v>3</v>
      </c>
      <c r="G38" s="938">
        <v>1</v>
      </c>
      <c r="H38" s="935">
        <f t="shared" si="2"/>
        <v>2</v>
      </c>
      <c r="I38" s="935"/>
      <c r="J38" s="938">
        <v>3</v>
      </c>
      <c r="K38" s="938">
        <v>1</v>
      </c>
      <c r="L38" s="935">
        <f t="shared" si="0"/>
        <v>2</v>
      </c>
      <c r="M38" s="939"/>
      <c r="N38" s="939"/>
      <c r="O38" s="935"/>
      <c r="P38" s="935"/>
      <c r="Q38" s="940" t="s">
        <v>886</v>
      </c>
      <c r="R38" s="1000"/>
      <c r="S38" s="935"/>
      <c r="T38" s="935"/>
      <c r="U38" s="940"/>
    </row>
    <row r="39" spans="1:21" s="941" customFormat="1" ht="15.6" x14ac:dyDescent="0.3">
      <c r="A39" s="935">
        <f t="shared" si="1"/>
        <v>36</v>
      </c>
      <c r="B39" s="935" t="s">
        <v>898</v>
      </c>
      <c r="C39" s="942" t="s">
        <v>899</v>
      </c>
      <c r="D39" s="936">
        <v>1.1532519999999999</v>
      </c>
      <c r="E39" s="937" t="s">
        <v>861</v>
      </c>
      <c r="F39" s="938">
        <v>3</v>
      </c>
      <c r="G39" s="938">
        <v>2</v>
      </c>
      <c r="H39" s="935">
        <f t="shared" si="2"/>
        <v>1</v>
      </c>
      <c r="I39" s="935"/>
      <c r="J39" s="938">
        <v>3</v>
      </c>
      <c r="K39" s="938">
        <v>2</v>
      </c>
      <c r="L39" s="935">
        <f t="shared" si="0"/>
        <v>1</v>
      </c>
      <c r="M39" s="939"/>
      <c r="N39" s="939"/>
      <c r="O39" s="935"/>
      <c r="P39" s="935"/>
      <c r="Q39" s="940" t="s">
        <v>886</v>
      </c>
      <c r="R39" s="1000"/>
      <c r="S39" s="935"/>
      <c r="T39" s="935"/>
      <c r="U39" s="940"/>
    </row>
    <row r="40" spans="1:21" s="941" customFormat="1" ht="15.6" x14ac:dyDescent="0.3">
      <c r="A40" s="935">
        <f t="shared" si="1"/>
        <v>37</v>
      </c>
      <c r="B40" s="935" t="s">
        <v>899</v>
      </c>
      <c r="C40" s="942" t="s">
        <v>900</v>
      </c>
      <c r="D40" s="936">
        <v>2.7389489999999999</v>
      </c>
      <c r="E40" s="937" t="s">
        <v>861</v>
      </c>
      <c r="F40" s="938">
        <v>7</v>
      </c>
      <c r="G40" s="938">
        <v>6</v>
      </c>
      <c r="H40" s="935">
        <f t="shared" si="2"/>
        <v>1</v>
      </c>
      <c r="I40" s="935"/>
      <c r="J40" s="938">
        <v>7</v>
      </c>
      <c r="K40" s="938">
        <v>5</v>
      </c>
      <c r="L40" s="935">
        <f t="shared" si="0"/>
        <v>2</v>
      </c>
      <c r="M40" s="939"/>
      <c r="N40" s="939"/>
      <c r="O40" s="935"/>
      <c r="P40" s="935"/>
      <c r="Q40" s="940" t="s">
        <v>886</v>
      </c>
      <c r="R40" s="1000"/>
      <c r="S40" s="935"/>
      <c r="T40" s="935"/>
      <c r="U40" s="940"/>
    </row>
    <row r="41" spans="1:21" s="941" customFormat="1" ht="15.6" x14ac:dyDescent="0.3">
      <c r="A41" s="935">
        <f t="shared" si="1"/>
        <v>38</v>
      </c>
      <c r="B41" s="935" t="s">
        <v>900</v>
      </c>
      <c r="C41" s="942" t="s">
        <v>901</v>
      </c>
      <c r="D41" s="936">
        <v>1.8151700000000002</v>
      </c>
      <c r="E41" s="937" t="s">
        <v>861</v>
      </c>
      <c r="F41" s="938">
        <v>5</v>
      </c>
      <c r="G41" s="938">
        <v>2</v>
      </c>
      <c r="H41" s="935">
        <f t="shared" si="2"/>
        <v>3</v>
      </c>
      <c r="I41" s="935"/>
      <c r="J41" s="938">
        <v>5</v>
      </c>
      <c r="K41" s="938">
        <v>2</v>
      </c>
      <c r="L41" s="935">
        <f t="shared" si="0"/>
        <v>3</v>
      </c>
      <c r="M41" s="939"/>
      <c r="N41" s="939"/>
      <c r="O41" s="935"/>
      <c r="P41" s="935"/>
      <c r="Q41" s="940" t="s">
        <v>886</v>
      </c>
      <c r="R41" s="1000"/>
      <c r="S41" s="935"/>
      <c r="T41" s="935"/>
      <c r="U41" s="940"/>
    </row>
    <row r="42" spans="1:21" s="941" customFormat="1" ht="15.6" x14ac:dyDescent="0.3">
      <c r="A42" s="935">
        <f t="shared" si="1"/>
        <v>39</v>
      </c>
      <c r="B42" s="935" t="s">
        <v>901</v>
      </c>
      <c r="C42" s="942" t="s">
        <v>902</v>
      </c>
      <c r="D42" s="936">
        <v>0.75884899999999988</v>
      </c>
      <c r="E42" s="937" t="s">
        <v>861</v>
      </c>
      <c r="F42" s="938">
        <v>2</v>
      </c>
      <c r="G42" s="938"/>
      <c r="H42" s="935">
        <f t="shared" si="2"/>
        <v>2</v>
      </c>
      <c r="I42" s="935"/>
      <c r="J42" s="938">
        <v>2</v>
      </c>
      <c r="K42" s="938"/>
      <c r="L42" s="935">
        <f t="shared" si="0"/>
        <v>2</v>
      </c>
      <c r="M42" s="939"/>
      <c r="N42" s="939"/>
      <c r="O42" s="935"/>
      <c r="P42" s="935"/>
      <c r="Q42" s="940" t="s">
        <v>886</v>
      </c>
      <c r="R42" s="1000"/>
      <c r="S42" s="935"/>
      <c r="T42" s="935"/>
      <c r="U42" s="940"/>
    </row>
    <row r="43" spans="1:21" s="948" customFormat="1" ht="18" x14ac:dyDescent="0.35">
      <c r="A43" s="935">
        <f t="shared" si="1"/>
        <v>40</v>
      </c>
      <c r="B43" s="935" t="s">
        <v>902</v>
      </c>
      <c r="C43" s="942" t="s">
        <v>528</v>
      </c>
      <c r="D43" s="936">
        <v>0.46849200000000002</v>
      </c>
      <c r="E43" s="937" t="s">
        <v>868</v>
      </c>
      <c r="F43" s="938">
        <v>1</v>
      </c>
      <c r="G43" s="938"/>
      <c r="H43" s="935">
        <f t="shared" si="2"/>
        <v>1</v>
      </c>
      <c r="I43" s="944"/>
      <c r="J43" s="938">
        <v>1</v>
      </c>
      <c r="K43" s="938"/>
      <c r="L43" s="935">
        <f t="shared" si="0"/>
        <v>1</v>
      </c>
      <c r="M43" s="945"/>
      <c r="N43" s="939"/>
      <c r="O43" s="935"/>
      <c r="P43" s="935"/>
      <c r="Q43" s="940" t="s">
        <v>886</v>
      </c>
      <c r="R43" s="1000"/>
      <c r="S43" s="946"/>
      <c r="T43" s="946"/>
      <c r="U43" s="947"/>
    </row>
    <row r="44" spans="1:21" s="948" customFormat="1" ht="31.2" x14ac:dyDescent="0.35">
      <c r="A44" s="935">
        <f t="shared" si="1"/>
        <v>41</v>
      </c>
      <c r="B44" s="935" t="s">
        <v>528</v>
      </c>
      <c r="C44" s="942" t="s">
        <v>529</v>
      </c>
      <c r="D44" s="936">
        <v>0.29200099999999996</v>
      </c>
      <c r="E44" s="937" t="s">
        <v>868</v>
      </c>
      <c r="F44" s="938">
        <v>1</v>
      </c>
      <c r="G44" s="938"/>
      <c r="H44" s="935">
        <f t="shared" si="2"/>
        <v>1</v>
      </c>
      <c r="I44" s="949"/>
      <c r="J44" s="938">
        <v>1</v>
      </c>
      <c r="K44" s="938"/>
      <c r="L44" s="935">
        <f t="shared" si="0"/>
        <v>1</v>
      </c>
      <c r="M44" s="945"/>
      <c r="N44" s="939"/>
      <c r="O44" s="935"/>
      <c r="P44" s="935"/>
      <c r="Q44" s="940" t="s">
        <v>886</v>
      </c>
      <c r="R44" s="943" t="s">
        <v>903</v>
      </c>
      <c r="S44" s="946"/>
      <c r="T44" s="946"/>
      <c r="U44" s="947"/>
    </row>
    <row r="45" spans="1:21" s="948" customFormat="1" ht="31.2" x14ac:dyDescent="0.35">
      <c r="A45" s="935">
        <f t="shared" si="1"/>
        <v>42</v>
      </c>
      <c r="B45" s="935" t="s">
        <v>529</v>
      </c>
      <c r="C45" s="942" t="s">
        <v>904</v>
      </c>
      <c r="D45" s="936">
        <v>0.76249700000000009</v>
      </c>
      <c r="E45" s="937" t="s">
        <v>861</v>
      </c>
      <c r="F45" s="938">
        <v>2</v>
      </c>
      <c r="G45" s="938">
        <v>1</v>
      </c>
      <c r="H45" s="935">
        <f t="shared" si="2"/>
        <v>1</v>
      </c>
      <c r="I45" s="949"/>
      <c r="J45" s="938">
        <v>2</v>
      </c>
      <c r="K45" s="938"/>
      <c r="L45" s="935">
        <f t="shared" si="0"/>
        <v>2</v>
      </c>
      <c r="M45" s="945"/>
      <c r="N45" s="939"/>
      <c r="O45" s="935"/>
      <c r="P45" s="935"/>
      <c r="Q45" s="940" t="s">
        <v>886</v>
      </c>
      <c r="R45" s="943" t="s">
        <v>905</v>
      </c>
      <c r="S45" s="946"/>
      <c r="T45" s="946"/>
      <c r="U45" s="947"/>
    </row>
    <row r="46" spans="1:21" s="948" customFormat="1" ht="18" x14ac:dyDescent="0.35">
      <c r="A46" s="935">
        <f t="shared" si="1"/>
        <v>43</v>
      </c>
      <c r="B46" s="935" t="s">
        <v>904</v>
      </c>
      <c r="C46" s="942" t="s">
        <v>906</v>
      </c>
      <c r="D46" s="936">
        <v>2.4598969999999998</v>
      </c>
      <c r="E46" s="937" t="s">
        <v>861</v>
      </c>
      <c r="F46" s="938">
        <v>6</v>
      </c>
      <c r="G46" s="938">
        <v>1</v>
      </c>
      <c r="H46" s="935">
        <f t="shared" si="2"/>
        <v>5</v>
      </c>
      <c r="I46" s="949"/>
      <c r="J46" s="938">
        <v>6</v>
      </c>
      <c r="K46" s="938"/>
      <c r="L46" s="935">
        <f t="shared" si="0"/>
        <v>6</v>
      </c>
      <c r="M46" s="945"/>
      <c r="N46" s="939"/>
      <c r="O46" s="935"/>
      <c r="P46" s="935"/>
      <c r="Q46" s="940" t="s">
        <v>886</v>
      </c>
      <c r="R46" s="1000"/>
      <c r="S46" s="946"/>
      <c r="T46" s="946"/>
      <c r="U46" s="947"/>
    </row>
    <row r="47" spans="1:21" s="948" customFormat="1" ht="18" x14ac:dyDescent="0.35">
      <c r="A47" s="935">
        <f t="shared" si="1"/>
        <v>44</v>
      </c>
      <c r="B47" s="935" t="s">
        <v>906</v>
      </c>
      <c r="C47" s="942" t="s">
        <v>907</v>
      </c>
      <c r="D47" s="936">
        <v>1.141945</v>
      </c>
      <c r="E47" s="937" t="s">
        <v>861</v>
      </c>
      <c r="F47" s="938">
        <v>3</v>
      </c>
      <c r="G47" s="938"/>
      <c r="H47" s="935">
        <f t="shared" si="2"/>
        <v>3</v>
      </c>
      <c r="I47" s="949"/>
      <c r="J47" s="938">
        <v>3</v>
      </c>
      <c r="K47" s="938"/>
      <c r="L47" s="935">
        <f t="shared" si="0"/>
        <v>3</v>
      </c>
      <c r="M47" s="945"/>
      <c r="N47" s="939"/>
      <c r="O47" s="935"/>
      <c r="P47" s="935"/>
      <c r="Q47" s="940" t="s">
        <v>886</v>
      </c>
      <c r="R47" s="1000"/>
      <c r="S47" s="946"/>
      <c r="T47" s="946"/>
      <c r="U47" s="947"/>
    </row>
    <row r="48" spans="1:21" s="948" customFormat="1" ht="18" x14ac:dyDescent="0.35">
      <c r="A48" s="935">
        <f t="shared" si="1"/>
        <v>45</v>
      </c>
      <c r="B48" s="935" t="s">
        <v>907</v>
      </c>
      <c r="C48" s="942" t="s">
        <v>908</v>
      </c>
      <c r="D48" s="936">
        <v>1.2207429999999999</v>
      </c>
      <c r="E48" s="937" t="s">
        <v>861</v>
      </c>
      <c r="F48" s="938">
        <v>3</v>
      </c>
      <c r="G48" s="938"/>
      <c r="H48" s="935">
        <f t="shared" si="2"/>
        <v>3</v>
      </c>
      <c r="I48" s="935"/>
      <c r="J48" s="938">
        <v>3</v>
      </c>
      <c r="K48" s="938"/>
      <c r="L48" s="935">
        <f t="shared" si="0"/>
        <v>3</v>
      </c>
      <c r="M48" s="945"/>
      <c r="N48" s="939"/>
      <c r="O48" s="935"/>
      <c r="P48" s="935"/>
      <c r="Q48" s="940" t="s">
        <v>886</v>
      </c>
      <c r="R48" s="1000"/>
      <c r="S48" s="946"/>
      <c r="T48" s="946"/>
      <c r="U48" s="947"/>
    </row>
    <row r="49" spans="1:21" s="948" customFormat="1" ht="18" x14ac:dyDescent="0.35">
      <c r="A49" s="935">
        <f t="shared" si="1"/>
        <v>46</v>
      </c>
      <c r="B49" s="935" t="s">
        <v>908</v>
      </c>
      <c r="C49" s="942" t="s">
        <v>909</v>
      </c>
      <c r="D49" s="936">
        <v>1.7272069999999999</v>
      </c>
      <c r="E49" s="937" t="s">
        <v>861</v>
      </c>
      <c r="F49" s="938">
        <v>4</v>
      </c>
      <c r="G49" s="938"/>
      <c r="H49" s="935">
        <f t="shared" si="2"/>
        <v>4</v>
      </c>
      <c r="I49" s="935"/>
      <c r="J49" s="938">
        <v>4</v>
      </c>
      <c r="K49" s="938"/>
      <c r="L49" s="935">
        <f t="shared" si="0"/>
        <v>4</v>
      </c>
      <c r="M49" s="945"/>
      <c r="N49" s="939"/>
      <c r="O49" s="935"/>
      <c r="P49" s="935"/>
      <c r="Q49" s="940" t="s">
        <v>886</v>
      </c>
      <c r="R49" s="943"/>
      <c r="S49" s="946"/>
      <c r="T49" s="946"/>
      <c r="U49" s="947"/>
    </row>
    <row r="50" spans="1:21" s="948" customFormat="1" ht="17.25" customHeight="1" x14ac:dyDescent="0.35">
      <c r="A50" s="935">
        <f t="shared" si="1"/>
        <v>47</v>
      </c>
      <c r="B50" s="935" t="s">
        <v>909</v>
      </c>
      <c r="C50" s="942" t="s">
        <v>531</v>
      </c>
      <c r="D50" s="936">
        <v>1.794759</v>
      </c>
      <c r="E50" s="937" t="s">
        <v>861</v>
      </c>
      <c r="F50" s="938">
        <v>4</v>
      </c>
      <c r="G50" s="938">
        <v>1</v>
      </c>
      <c r="H50" s="935">
        <f t="shared" si="2"/>
        <v>3</v>
      </c>
      <c r="I50" s="935"/>
      <c r="J50" s="938">
        <v>4</v>
      </c>
      <c r="K50" s="938"/>
      <c r="L50" s="935">
        <f t="shared" si="0"/>
        <v>4</v>
      </c>
      <c r="M50" s="945"/>
      <c r="N50" s="939"/>
      <c r="O50" s="935"/>
      <c r="P50" s="935"/>
      <c r="Q50" s="940" t="s">
        <v>886</v>
      </c>
      <c r="R50" s="1000"/>
      <c r="S50" s="946"/>
      <c r="T50" s="946"/>
      <c r="U50" s="947"/>
    </row>
    <row r="51" spans="1:21" s="948" customFormat="1" ht="36" customHeight="1" x14ac:dyDescent="0.35">
      <c r="A51" s="935">
        <f t="shared" si="1"/>
        <v>48</v>
      </c>
      <c r="B51" s="935" t="s">
        <v>531</v>
      </c>
      <c r="C51" s="942" t="s">
        <v>532</v>
      </c>
      <c r="D51" s="936">
        <v>0.26546499999999995</v>
      </c>
      <c r="E51" s="937" t="s">
        <v>868</v>
      </c>
      <c r="F51" s="938">
        <v>1</v>
      </c>
      <c r="G51" s="938"/>
      <c r="H51" s="935">
        <f t="shared" si="2"/>
        <v>1</v>
      </c>
      <c r="I51" s="935"/>
      <c r="J51" s="938">
        <v>1</v>
      </c>
      <c r="K51" s="938"/>
      <c r="L51" s="935">
        <f t="shared" si="0"/>
        <v>1</v>
      </c>
      <c r="M51" s="945"/>
      <c r="N51" s="950"/>
      <c r="O51" s="935"/>
      <c r="P51" s="935"/>
      <c r="Q51" s="940" t="s">
        <v>886</v>
      </c>
      <c r="R51" s="943" t="s">
        <v>910</v>
      </c>
      <c r="S51" s="946"/>
      <c r="T51" s="946"/>
      <c r="U51" s="947"/>
    </row>
    <row r="52" spans="1:21" s="948" customFormat="1" ht="31.2" x14ac:dyDescent="0.35">
      <c r="A52" s="935">
        <f t="shared" si="1"/>
        <v>49</v>
      </c>
      <c r="B52" s="935" t="s">
        <v>532</v>
      </c>
      <c r="C52" s="942" t="s">
        <v>911</v>
      </c>
      <c r="D52" s="936">
        <v>3.6580979999999994</v>
      </c>
      <c r="E52" s="937" t="s">
        <v>861</v>
      </c>
      <c r="F52" s="938">
        <v>9</v>
      </c>
      <c r="G52" s="938"/>
      <c r="H52" s="935">
        <f t="shared" si="2"/>
        <v>9</v>
      </c>
      <c r="I52" s="935"/>
      <c r="J52" s="938">
        <v>9</v>
      </c>
      <c r="K52" s="938"/>
      <c r="L52" s="935">
        <f t="shared" si="0"/>
        <v>9</v>
      </c>
      <c r="M52" s="945"/>
      <c r="N52" s="939"/>
      <c r="O52" s="935"/>
      <c r="P52" s="935"/>
      <c r="Q52" s="940" t="s">
        <v>886</v>
      </c>
      <c r="R52" s="943" t="s">
        <v>912</v>
      </c>
      <c r="S52" s="946"/>
      <c r="T52" s="946"/>
      <c r="U52" s="947"/>
    </row>
    <row r="53" spans="1:21" s="948" customFormat="1" ht="24" customHeight="1" x14ac:dyDescent="0.35">
      <c r="A53" s="935">
        <f t="shared" si="1"/>
        <v>50</v>
      </c>
      <c r="B53" s="935" t="s">
        <v>911</v>
      </c>
      <c r="C53" s="942" t="s">
        <v>534</v>
      </c>
      <c r="D53" s="936">
        <v>1.937659</v>
      </c>
      <c r="E53" s="937" t="s">
        <v>861</v>
      </c>
      <c r="F53" s="938">
        <v>5</v>
      </c>
      <c r="G53" s="938"/>
      <c r="H53" s="935">
        <f t="shared" si="2"/>
        <v>5</v>
      </c>
      <c r="I53" s="935"/>
      <c r="J53" s="938">
        <v>5</v>
      </c>
      <c r="K53" s="938"/>
      <c r="L53" s="935">
        <f t="shared" si="0"/>
        <v>5</v>
      </c>
      <c r="M53" s="945"/>
      <c r="N53" s="951"/>
      <c r="O53" s="935"/>
      <c r="P53" s="935" t="s">
        <v>792</v>
      </c>
      <c r="Q53" s="940" t="s">
        <v>886</v>
      </c>
      <c r="R53" s="1000"/>
      <c r="S53" s="946"/>
      <c r="T53" s="946"/>
      <c r="U53" s="947"/>
    </row>
    <row r="54" spans="1:21" s="948" customFormat="1" ht="46.8" x14ac:dyDescent="0.35">
      <c r="A54" s="935">
        <f t="shared" si="1"/>
        <v>51</v>
      </c>
      <c r="B54" s="935" t="s">
        <v>534</v>
      </c>
      <c r="C54" s="942" t="s">
        <v>535</v>
      </c>
      <c r="D54" s="936">
        <v>2.3279969999999999</v>
      </c>
      <c r="E54" s="937" t="s">
        <v>861</v>
      </c>
      <c r="F54" s="938">
        <v>6</v>
      </c>
      <c r="G54" s="938"/>
      <c r="H54" s="935">
        <f t="shared" si="2"/>
        <v>6</v>
      </c>
      <c r="I54" s="935"/>
      <c r="J54" s="938">
        <v>6</v>
      </c>
      <c r="K54" s="938"/>
      <c r="L54" s="935">
        <f t="shared" si="0"/>
        <v>6</v>
      </c>
      <c r="M54" s="945"/>
      <c r="N54" s="951"/>
      <c r="O54" s="935"/>
      <c r="P54" s="935"/>
      <c r="Q54" s="940" t="s">
        <v>886</v>
      </c>
      <c r="R54" s="943" t="s">
        <v>913</v>
      </c>
      <c r="S54" s="946">
        <v>1</v>
      </c>
      <c r="T54" s="946"/>
      <c r="U54" s="947"/>
    </row>
    <row r="55" spans="1:21" s="948" customFormat="1" ht="18" x14ac:dyDescent="0.35">
      <c r="A55" s="935">
        <f t="shared" si="1"/>
        <v>52</v>
      </c>
      <c r="B55" s="935" t="s">
        <v>535</v>
      </c>
      <c r="C55" s="942" t="s">
        <v>914</v>
      </c>
      <c r="D55" s="936">
        <v>4.9858339999999997</v>
      </c>
      <c r="E55" s="937" t="s">
        <v>861</v>
      </c>
      <c r="F55" s="938">
        <v>13</v>
      </c>
      <c r="G55" s="938">
        <v>7</v>
      </c>
      <c r="H55" s="935">
        <f t="shared" si="2"/>
        <v>6</v>
      </c>
      <c r="I55" s="949"/>
      <c r="J55" s="938">
        <v>13</v>
      </c>
      <c r="K55" s="938">
        <v>6</v>
      </c>
      <c r="L55" s="935">
        <f t="shared" si="0"/>
        <v>7</v>
      </c>
      <c r="M55" s="945"/>
      <c r="N55" s="951"/>
      <c r="O55" s="935"/>
      <c r="P55" s="935"/>
      <c r="Q55" s="940" t="s">
        <v>886</v>
      </c>
      <c r="R55" s="1000"/>
      <c r="S55" s="946"/>
      <c r="T55" s="946"/>
      <c r="U55" s="947"/>
    </row>
    <row r="56" spans="1:21" s="948" customFormat="1" ht="18" x14ac:dyDescent="0.35">
      <c r="A56" s="935">
        <f t="shared" si="1"/>
        <v>53</v>
      </c>
      <c r="B56" s="935" t="s">
        <v>914</v>
      </c>
      <c r="C56" s="942" t="s">
        <v>915</v>
      </c>
      <c r="D56" s="936">
        <v>3.6491700000000002</v>
      </c>
      <c r="E56" s="937" t="s">
        <v>861</v>
      </c>
      <c r="F56" s="938">
        <v>9</v>
      </c>
      <c r="G56" s="938">
        <v>9</v>
      </c>
      <c r="H56" s="935">
        <f t="shared" si="2"/>
        <v>0</v>
      </c>
      <c r="I56" s="935"/>
      <c r="J56" s="938">
        <v>9</v>
      </c>
      <c r="K56" s="938">
        <v>8</v>
      </c>
      <c r="L56" s="935">
        <f t="shared" si="0"/>
        <v>1</v>
      </c>
      <c r="M56" s="945"/>
      <c r="N56" s="951"/>
      <c r="O56" s="935"/>
      <c r="P56" s="935"/>
      <c r="Q56" s="940" t="s">
        <v>886</v>
      </c>
      <c r="R56" s="943"/>
      <c r="S56" s="946"/>
      <c r="T56" s="946"/>
      <c r="U56" s="947"/>
    </row>
    <row r="57" spans="1:21" s="948" customFormat="1" ht="18" x14ac:dyDescent="0.35">
      <c r="A57" s="935">
        <f t="shared" si="1"/>
        <v>54</v>
      </c>
      <c r="B57" s="935" t="s">
        <v>915</v>
      </c>
      <c r="C57" s="942" t="s">
        <v>916</v>
      </c>
      <c r="D57" s="936">
        <v>3.9240050000000002</v>
      </c>
      <c r="E57" s="937" t="s">
        <v>861</v>
      </c>
      <c r="F57" s="938">
        <v>10</v>
      </c>
      <c r="G57" s="938">
        <v>7</v>
      </c>
      <c r="H57" s="935">
        <f t="shared" si="2"/>
        <v>3</v>
      </c>
      <c r="I57" s="935"/>
      <c r="J57" s="938">
        <v>10</v>
      </c>
      <c r="K57" s="938">
        <v>7</v>
      </c>
      <c r="L57" s="935">
        <f t="shared" si="0"/>
        <v>3</v>
      </c>
      <c r="M57" s="945"/>
      <c r="N57" s="951"/>
      <c r="O57" s="935"/>
      <c r="P57" s="935"/>
      <c r="Q57" s="940" t="s">
        <v>886</v>
      </c>
      <c r="R57" s="1000"/>
      <c r="S57" s="946"/>
      <c r="T57" s="946"/>
      <c r="U57" s="947"/>
    </row>
    <row r="58" spans="1:21" s="948" customFormat="1" ht="18" x14ac:dyDescent="0.35">
      <c r="A58" s="935">
        <f t="shared" si="1"/>
        <v>55</v>
      </c>
      <c r="B58" s="935" t="s">
        <v>916</v>
      </c>
      <c r="C58" s="942" t="s">
        <v>917</v>
      </c>
      <c r="D58" s="936">
        <v>2.704596</v>
      </c>
      <c r="E58" s="937" t="s">
        <v>861</v>
      </c>
      <c r="F58" s="938">
        <v>7</v>
      </c>
      <c r="G58" s="938">
        <v>5</v>
      </c>
      <c r="H58" s="935">
        <f t="shared" si="2"/>
        <v>2</v>
      </c>
      <c r="I58" s="935"/>
      <c r="J58" s="938">
        <v>7</v>
      </c>
      <c r="K58" s="938">
        <v>5</v>
      </c>
      <c r="L58" s="935">
        <f t="shared" si="0"/>
        <v>2</v>
      </c>
      <c r="M58" s="945"/>
      <c r="N58" s="951"/>
      <c r="O58" s="935"/>
      <c r="P58" s="935"/>
      <c r="Q58" s="940" t="s">
        <v>886</v>
      </c>
      <c r="R58" s="1000"/>
      <c r="S58" s="946"/>
      <c r="T58" s="946"/>
      <c r="U58" s="947"/>
    </row>
    <row r="59" spans="1:21" s="948" customFormat="1" ht="18" x14ac:dyDescent="0.35">
      <c r="A59" s="935">
        <f t="shared" si="1"/>
        <v>56</v>
      </c>
      <c r="B59" s="935" t="s">
        <v>917</v>
      </c>
      <c r="C59" s="942" t="s">
        <v>918</v>
      </c>
      <c r="D59" s="936">
        <v>1.524132</v>
      </c>
      <c r="E59" s="937" t="s">
        <v>861</v>
      </c>
      <c r="F59" s="938">
        <v>4</v>
      </c>
      <c r="G59" s="938"/>
      <c r="H59" s="935">
        <f t="shared" si="2"/>
        <v>4</v>
      </c>
      <c r="I59" s="935"/>
      <c r="J59" s="938">
        <v>4</v>
      </c>
      <c r="K59" s="938"/>
      <c r="L59" s="935">
        <f t="shared" si="0"/>
        <v>4</v>
      </c>
      <c r="M59" s="945"/>
      <c r="N59" s="951"/>
      <c r="O59" s="935"/>
      <c r="P59" s="935"/>
      <c r="Q59" s="940" t="s">
        <v>886</v>
      </c>
      <c r="R59" s="943"/>
      <c r="S59" s="946"/>
      <c r="T59" s="946"/>
      <c r="U59" s="947"/>
    </row>
    <row r="60" spans="1:21" s="948" customFormat="1" ht="18" x14ac:dyDescent="0.35">
      <c r="A60" s="935">
        <f t="shared" si="1"/>
        <v>57</v>
      </c>
      <c r="B60" s="935" t="s">
        <v>918</v>
      </c>
      <c r="C60" s="942" t="s">
        <v>919</v>
      </c>
      <c r="D60" s="936">
        <v>4.6981070000000003</v>
      </c>
      <c r="E60" s="937" t="s">
        <v>861</v>
      </c>
      <c r="F60" s="938">
        <v>12</v>
      </c>
      <c r="G60" s="938"/>
      <c r="H60" s="935">
        <f t="shared" si="2"/>
        <v>12</v>
      </c>
      <c r="I60" s="935"/>
      <c r="J60" s="938">
        <v>12</v>
      </c>
      <c r="K60" s="938"/>
      <c r="L60" s="935">
        <f t="shared" si="0"/>
        <v>12</v>
      </c>
      <c r="M60" s="945"/>
      <c r="N60" s="951"/>
      <c r="O60" s="935"/>
      <c r="P60" s="935"/>
      <c r="Q60" s="940" t="s">
        <v>886</v>
      </c>
      <c r="R60" s="1000"/>
      <c r="S60" s="946"/>
      <c r="T60" s="946"/>
      <c r="U60" s="947"/>
    </row>
    <row r="61" spans="1:21" s="948" customFormat="1" ht="18" x14ac:dyDescent="0.35">
      <c r="A61" s="935">
        <f t="shared" si="1"/>
        <v>58</v>
      </c>
      <c r="B61" s="935" t="s">
        <v>919</v>
      </c>
      <c r="C61" s="942" t="s">
        <v>538</v>
      </c>
      <c r="D61" s="936">
        <v>1.5484100000000001</v>
      </c>
      <c r="E61" s="937" t="s">
        <v>861</v>
      </c>
      <c r="F61" s="938">
        <v>4</v>
      </c>
      <c r="G61" s="938"/>
      <c r="H61" s="935">
        <f t="shared" si="2"/>
        <v>4</v>
      </c>
      <c r="I61" s="935"/>
      <c r="J61" s="938">
        <v>4</v>
      </c>
      <c r="K61" s="938"/>
      <c r="L61" s="935">
        <f t="shared" si="0"/>
        <v>4</v>
      </c>
      <c r="M61" s="945"/>
      <c r="N61" s="929" t="s">
        <v>813</v>
      </c>
      <c r="O61" s="935"/>
      <c r="P61" s="935"/>
      <c r="Q61" s="940" t="s">
        <v>886</v>
      </c>
      <c r="R61" s="943"/>
      <c r="S61" s="946"/>
      <c r="T61" s="946"/>
      <c r="U61" s="947"/>
    </row>
    <row r="62" spans="1:21" s="948" customFormat="1" ht="31.8" x14ac:dyDescent="0.35">
      <c r="A62" s="935">
        <f t="shared" si="1"/>
        <v>59</v>
      </c>
      <c r="B62" s="935" t="s">
        <v>538</v>
      </c>
      <c r="C62" s="942" t="s">
        <v>539</v>
      </c>
      <c r="D62" s="936">
        <v>0.26331500000000002</v>
      </c>
      <c r="E62" s="937" t="s">
        <v>868</v>
      </c>
      <c r="F62" s="938">
        <v>1</v>
      </c>
      <c r="G62" s="938"/>
      <c r="H62" s="935">
        <f t="shared" si="2"/>
        <v>1</v>
      </c>
      <c r="I62" s="935"/>
      <c r="J62" s="938">
        <v>1</v>
      </c>
      <c r="K62" s="938"/>
      <c r="L62" s="935">
        <f t="shared" si="0"/>
        <v>1</v>
      </c>
      <c r="M62" s="945"/>
      <c r="O62" s="935"/>
      <c r="P62" s="935"/>
      <c r="Q62" s="940" t="s">
        <v>886</v>
      </c>
      <c r="R62" s="1001" t="s">
        <v>920</v>
      </c>
      <c r="S62" s="946"/>
      <c r="T62" s="946"/>
      <c r="U62" s="947"/>
    </row>
    <row r="63" spans="1:21" s="948" customFormat="1" ht="31.8" x14ac:dyDescent="0.35">
      <c r="A63" s="935">
        <f t="shared" si="1"/>
        <v>60</v>
      </c>
      <c r="B63" s="935" t="s">
        <v>539</v>
      </c>
      <c r="C63" s="942" t="s">
        <v>921</v>
      </c>
      <c r="D63" s="936">
        <v>0.78080500000000008</v>
      </c>
      <c r="E63" s="937" t="s">
        <v>861</v>
      </c>
      <c r="F63" s="938">
        <v>2</v>
      </c>
      <c r="G63" s="938"/>
      <c r="H63" s="935">
        <f t="shared" si="2"/>
        <v>2</v>
      </c>
      <c r="I63" s="935"/>
      <c r="J63" s="938">
        <v>2</v>
      </c>
      <c r="K63" s="938"/>
      <c r="L63" s="935">
        <f t="shared" si="0"/>
        <v>2</v>
      </c>
      <c r="M63" s="945"/>
      <c r="N63" s="939"/>
      <c r="O63" s="935"/>
      <c r="P63" s="935"/>
      <c r="Q63" s="940" t="s">
        <v>886</v>
      </c>
      <c r="R63" s="1001" t="s">
        <v>922</v>
      </c>
      <c r="S63" s="946"/>
      <c r="T63" s="946"/>
      <c r="U63" s="947"/>
    </row>
    <row r="64" spans="1:21" s="948" customFormat="1" ht="31.2" x14ac:dyDescent="0.35">
      <c r="A64" s="935">
        <f t="shared" si="1"/>
        <v>61</v>
      </c>
      <c r="B64" s="935" t="s">
        <v>921</v>
      </c>
      <c r="C64" s="942" t="s">
        <v>541</v>
      </c>
      <c r="D64" s="936">
        <v>1.1265260000000001</v>
      </c>
      <c r="E64" s="937" t="s">
        <v>861</v>
      </c>
      <c r="F64" s="938">
        <v>4</v>
      </c>
      <c r="G64" s="938"/>
      <c r="H64" s="935">
        <f t="shared" si="2"/>
        <v>4</v>
      </c>
      <c r="I64" s="935"/>
      <c r="J64" s="938">
        <v>4</v>
      </c>
      <c r="K64" s="938"/>
      <c r="L64" s="935">
        <f t="shared" si="0"/>
        <v>4</v>
      </c>
      <c r="M64" s="945"/>
      <c r="N64" s="939"/>
      <c r="O64" s="935"/>
      <c r="P64" s="935" t="s">
        <v>792</v>
      </c>
      <c r="Q64" s="940" t="s">
        <v>886</v>
      </c>
      <c r="R64" s="943" t="s">
        <v>923</v>
      </c>
      <c r="S64" s="946"/>
      <c r="T64" s="946"/>
      <c r="U64" s="947"/>
    </row>
    <row r="65" spans="1:21" s="948" customFormat="1" ht="31.2" x14ac:dyDescent="0.35">
      <c r="A65" s="935">
        <f t="shared" si="1"/>
        <v>62</v>
      </c>
      <c r="B65" s="935" t="s">
        <v>541</v>
      </c>
      <c r="C65" s="942" t="s">
        <v>542</v>
      </c>
      <c r="D65" s="936">
        <v>0.194628</v>
      </c>
      <c r="E65" s="937" t="s">
        <v>868</v>
      </c>
      <c r="F65" s="938">
        <v>1</v>
      </c>
      <c r="G65" s="938"/>
      <c r="H65" s="935">
        <f t="shared" si="2"/>
        <v>1</v>
      </c>
      <c r="I65" s="935"/>
      <c r="J65" s="938">
        <v>1</v>
      </c>
      <c r="K65" s="938"/>
      <c r="L65" s="935">
        <f t="shared" si="0"/>
        <v>1</v>
      </c>
      <c r="M65" s="945"/>
      <c r="N65" s="939"/>
      <c r="O65" s="935"/>
      <c r="P65" s="935" t="s">
        <v>792</v>
      </c>
      <c r="Q65" s="940" t="s">
        <v>886</v>
      </c>
      <c r="R65" s="943" t="s">
        <v>924</v>
      </c>
      <c r="S65" s="946"/>
      <c r="T65" s="946"/>
      <c r="U65" s="947"/>
    </row>
    <row r="66" spans="1:21" s="948" customFormat="1" ht="46.8" x14ac:dyDescent="0.35">
      <c r="A66" s="935">
        <f t="shared" si="1"/>
        <v>63</v>
      </c>
      <c r="B66" s="935" t="s">
        <v>542</v>
      </c>
      <c r="C66" s="942" t="s">
        <v>544</v>
      </c>
      <c r="D66" s="936">
        <v>0.20314099999999999</v>
      </c>
      <c r="E66" s="937" t="s">
        <v>868</v>
      </c>
      <c r="F66" s="938">
        <v>1</v>
      </c>
      <c r="G66" s="938"/>
      <c r="H66" s="935">
        <f t="shared" si="2"/>
        <v>1</v>
      </c>
      <c r="I66" s="935"/>
      <c r="J66" s="938">
        <v>1</v>
      </c>
      <c r="K66" s="938"/>
      <c r="L66" s="935">
        <f t="shared" si="0"/>
        <v>1</v>
      </c>
      <c r="M66" s="945"/>
      <c r="N66" s="939"/>
      <c r="O66" s="935"/>
      <c r="P66" s="935"/>
      <c r="Q66" s="940" t="s">
        <v>886</v>
      </c>
      <c r="R66" s="943" t="s">
        <v>925</v>
      </c>
      <c r="S66" s="946"/>
      <c r="T66" s="946"/>
      <c r="U66" s="947"/>
    </row>
    <row r="67" spans="1:21" s="948" customFormat="1" ht="18" x14ac:dyDescent="0.35">
      <c r="A67" s="951"/>
      <c r="B67" s="1444" t="s">
        <v>793</v>
      </c>
      <c r="C67" s="1444"/>
      <c r="D67" s="952">
        <f>SUM(D4:D66)</f>
        <v>113.26919499999994</v>
      </c>
      <c r="E67" s="953"/>
      <c r="F67" s="952">
        <f t="shared" ref="F67:L67" si="3">SUM(F4:F66)</f>
        <v>292</v>
      </c>
      <c r="G67" s="952">
        <f t="shared" si="3"/>
        <v>113</v>
      </c>
      <c r="H67" s="952">
        <f t="shared" si="3"/>
        <v>179</v>
      </c>
      <c r="I67" s="952">
        <f t="shared" si="3"/>
        <v>0</v>
      </c>
      <c r="J67" s="952">
        <f t="shared" si="3"/>
        <v>292</v>
      </c>
      <c r="K67" s="952">
        <f t="shared" si="3"/>
        <v>71</v>
      </c>
      <c r="L67" s="952">
        <f t="shared" si="3"/>
        <v>221</v>
      </c>
      <c r="M67" s="952">
        <f>SUM(M4:M63)</f>
        <v>0</v>
      </c>
      <c r="N67" s="952">
        <f>SUM(N4:N63)</f>
        <v>0</v>
      </c>
      <c r="O67" s="952">
        <f t="shared" ref="O67:U67" si="4">SUM(O4:O63)</f>
        <v>0</v>
      </c>
      <c r="P67" s="952">
        <f t="shared" si="4"/>
        <v>0</v>
      </c>
      <c r="Q67" s="952"/>
      <c r="R67" s="1002"/>
      <c r="S67" s="952">
        <f>SUM(S4:S66)</f>
        <v>3</v>
      </c>
      <c r="T67" s="952">
        <f>SUM(T4:T66)</f>
        <v>4</v>
      </c>
      <c r="U67" s="952">
        <f t="shared" si="4"/>
        <v>0</v>
      </c>
    </row>
    <row r="68" spans="1:21" s="948" customFormat="1" ht="18" x14ac:dyDescent="0.35">
      <c r="B68" s="954"/>
      <c r="C68" s="954"/>
      <c r="D68" s="955"/>
      <c r="E68" s="956"/>
      <c r="F68" s="957"/>
      <c r="G68" s="957"/>
      <c r="H68" s="957"/>
      <c r="I68" s="957"/>
      <c r="J68" s="957"/>
      <c r="K68" s="957"/>
      <c r="L68" s="957"/>
      <c r="M68" s="958"/>
      <c r="N68" s="957"/>
      <c r="O68" s="957"/>
      <c r="P68" s="957"/>
      <c r="Q68" s="957"/>
      <c r="R68" s="959"/>
      <c r="S68" s="954"/>
      <c r="T68" s="954"/>
    </row>
    <row r="71" spans="1:21" s="961" customFormat="1" ht="15.6" x14ac:dyDescent="0.3">
      <c r="A71" s="1445" t="s">
        <v>69</v>
      </c>
      <c r="B71" s="1447" t="s">
        <v>926</v>
      </c>
      <c r="C71" s="1438" t="s">
        <v>927</v>
      </c>
      <c r="D71" s="1439"/>
      <c r="E71" s="1438" t="s">
        <v>928</v>
      </c>
      <c r="F71" s="1439"/>
      <c r="G71" s="1449" t="s">
        <v>929</v>
      </c>
      <c r="H71" s="1450"/>
      <c r="I71" s="1438" t="s">
        <v>930</v>
      </c>
      <c r="J71" s="1439"/>
      <c r="K71" s="1438" t="s">
        <v>180</v>
      </c>
      <c r="L71" s="1439"/>
      <c r="M71" s="1438" t="s">
        <v>813</v>
      </c>
      <c r="N71" s="1439"/>
      <c r="O71" s="1438" t="s">
        <v>57</v>
      </c>
      <c r="P71" s="1439"/>
      <c r="Q71" s="1438" t="s">
        <v>50</v>
      </c>
      <c r="R71" s="1439"/>
      <c r="S71" s="960"/>
      <c r="T71" s="960"/>
    </row>
    <row r="72" spans="1:21" s="961" customFormat="1" ht="15.6" x14ac:dyDescent="0.3">
      <c r="A72" s="1446"/>
      <c r="B72" s="1448"/>
      <c r="C72" s="962" t="s">
        <v>931</v>
      </c>
      <c r="D72" s="962" t="s">
        <v>150</v>
      </c>
      <c r="E72" s="963" t="s">
        <v>158</v>
      </c>
      <c r="F72" s="962" t="s">
        <v>150</v>
      </c>
      <c r="G72" s="962" t="s">
        <v>158</v>
      </c>
      <c r="H72" s="962" t="s">
        <v>150</v>
      </c>
      <c r="I72" s="962" t="s">
        <v>158</v>
      </c>
      <c r="J72" s="962" t="s">
        <v>150</v>
      </c>
      <c r="K72" s="962" t="s">
        <v>158</v>
      </c>
      <c r="L72" s="962" t="s">
        <v>150</v>
      </c>
      <c r="M72" s="962" t="s">
        <v>931</v>
      </c>
      <c r="N72" s="962" t="s">
        <v>150</v>
      </c>
      <c r="O72" s="962" t="s">
        <v>931</v>
      </c>
      <c r="P72" s="962" t="s">
        <v>150</v>
      </c>
      <c r="Q72" s="962" t="s">
        <v>792</v>
      </c>
      <c r="R72" s="1003" t="s">
        <v>57</v>
      </c>
    </row>
    <row r="73" spans="1:21" s="961" customFormat="1" ht="15.6" x14ac:dyDescent="0.3">
      <c r="A73" s="964">
        <v>1</v>
      </c>
      <c r="B73" s="964" t="s">
        <v>932</v>
      </c>
      <c r="C73" s="965">
        <f>SUM(SUMIF(E4:E66,"M",D4:D66))</f>
        <v>109.74734499999995</v>
      </c>
      <c r="D73" s="966">
        <f>COUNTIF(E4:E66,"M")</f>
        <v>50</v>
      </c>
      <c r="E73" s="967">
        <f>SUMIFS(D4:D66,N4:N66,"FS Completed",E4:E66,"M")</f>
        <v>0</v>
      </c>
      <c r="F73" s="964">
        <f>COUNTIFS(N4:N66,"FS Completed",E4:E66,"M")</f>
        <v>0</v>
      </c>
      <c r="G73" s="965">
        <f>SUMIFS(D4:D66,N4:N66,"RS Completed",E4:E66,"M")</f>
        <v>0</v>
      </c>
      <c r="H73" s="964">
        <f>COUNTIFS(N4:N66,"RS Completed",E4:E66,"M")</f>
        <v>0</v>
      </c>
      <c r="I73" s="965">
        <f>SUMIFS(D4:D66,O4:O66,"Y",E4:E66,"M")</f>
        <v>4.30037</v>
      </c>
      <c r="J73" s="964">
        <f>COUNTIFS(O4:O66,"Y",E4:E66,"M")</f>
        <v>1</v>
      </c>
      <c r="K73" s="965">
        <f>SUMIFS(D4:D66,N4:N66,"WIP",E4:E66,"M")</f>
        <v>0</v>
      </c>
      <c r="L73" s="964">
        <f>COUNTIFS(N4:N66,"WIP",E4:E66,"M")</f>
        <v>0</v>
      </c>
      <c r="M73" s="965">
        <f>SUMIFS(D4:D66,N4:N66,"ROW",E4:E66,"M")</f>
        <v>1.5484100000000001</v>
      </c>
      <c r="N73" s="964">
        <f>COUNTIFS(N4:N66,"ROW",E4:E66,"M")</f>
        <v>1</v>
      </c>
      <c r="O73" s="965">
        <f>C73-E73</f>
        <v>109.74734499999995</v>
      </c>
      <c r="P73" s="968">
        <f>D73-F73</f>
        <v>50</v>
      </c>
      <c r="Q73" s="969">
        <f>SUMIFS(D4:D66,P4:P66,"Completed",E4:E66,"M")</f>
        <v>3.0641850000000002</v>
      </c>
      <c r="R73" s="1004">
        <f>C73-Q73</f>
        <v>106.68315999999996</v>
      </c>
    </row>
    <row r="74" spans="1:21" s="961" customFormat="1" ht="15.6" x14ac:dyDescent="0.3">
      <c r="A74" s="964">
        <v>2</v>
      </c>
      <c r="B74" s="964" t="s">
        <v>933</v>
      </c>
      <c r="C74" s="965">
        <f>SUM(SUMIF(E4:E66,"T",D4:D66))</f>
        <v>3.5218499999999997</v>
      </c>
      <c r="D74" s="966">
        <f>COUNTIF(E5:E66,"T")</f>
        <v>13</v>
      </c>
      <c r="E74" s="967">
        <f>SUMIFS(D4:D66,N4:N66,"FS Completed",E4:E66,"T")</f>
        <v>0.19644999999999999</v>
      </c>
      <c r="F74" s="964">
        <f>COUNTIFS(N4:N66,"FS Completed",E4:E66,"T")</f>
        <v>1</v>
      </c>
      <c r="G74" s="965">
        <f>SUMIFS(D4:D66,N4:N66,"RS Completed",E4:E66,"T")</f>
        <v>0</v>
      </c>
      <c r="H74" s="964">
        <f>COUNTIFS(N4:N66,"RS Completed",E4:E66,"T")</f>
        <v>0</v>
      </c>
      <c r="I74" s="965">
        <f>SUMIFS(D4:D66,O4:O66,"Y",E4:E66,"T")</f>
        <v>0</v>
      </c>
      <c r="J74" s="964">
        <f>COUNTIFS(O4:O66,"Y",E4:E66,"T")</f>
        <v>0</v>
      </c>
      <c r="K74" s="965">
        <f>SUMIFS(D4:D66,N4:N66,"WIP",E4:E66,"T")</f>
        <v>0</v>
      </c>
      <c r="L74" s="964">
        <f>COUNTIFS(N4:N66,"WIP",E4:E66,"T")</f>
        <v>0</v>
      </c>
      <c r="M74" s="965">
        <f>SUMIFS(D4:D66,N4:N66,"ROW",E4:E66,"T")</f>
        <v>0</v>
      </c>
      <c r="N74" s="964">
        <f>COUNTIFS(N4:N66,"ROW",E4:E66,"M")</f>
        <v>1</v>
      </c>
      <c r="O74" s="965">
        <f>C74-E74</f>
        <v>3.3253999999999997</v>
      </c>
      <c r="P74" s="968">
        <f>D74-F74</f>
        <v>12</v>
      </c>
      <c r="Q74" s="969">
        <f>SUMIFS(D4:D66,P4:P66,"Completed",E4:E66,"T")</f>
        <v>0.194628</v>
      </c>
      <c r="R74" s="1004">
        <f>C74-Q74</f>
        <v>3.3272219999999999</v>
      </c>
      <c r="S74" s="960"/>
    </row>
    <row r="75" spans="1:21" s="975" customFormat="1" ht="15.6" x14ac:dyDescent="0.3">
      <c r="A75" s="970"/>
      <c r="B75" s="970" t="s">
        <v>176</v>
      </c>
      <c r="C75" s="971">
        <f t="shared" ref="C75:P75" si="5">SUM(C73:C74)</f>
        <v>113.26919499999995</v>
      </c>
      <c r="D75" s="962">
        <f>SUM(D73:D74)</f>
        <v>63</v>
      </c>
      <c r="E75" s="972">
        <f t="shared" si="5"/>
        <v>0.19644999999999999</v>
      </c>
      <c r="F75" s="970">
        <f t="shared" si="5"/>
        <v>1</v>
      </c>
      <c r="G75" s="973">
        <f t="shared" si="5"/>
        <v>0</v>
      </c>
      <c r="H75" s="962">
        <f t="shared" si="5"/>
        <v>0</v>
      </c>
      <c r="I75" s="973">
        <f t="shared" si="5"/>
        <v>4.30037</v>
      </c>
      <c r="J75" s="962">
        <f t="shared" si="5"/>
        <v>1</v>
      </c>
      <c r="K75" s="973">
        <f t="shared" si="5"/>
        <v>0</v>
      </c>
      <c r="L75" s="962">
        <f t="shared" si="5"/>
        <v>0</v>
      </c>
      <c r="M75" s="973">
        <f t="shared" si="5"/>
        <v>1.5484100000000001</v>
      </c>
      <c r="N75" s="962">
        <f t="shared" si="5"/>
        <v>2</v>
      </c>
      <c r="O75" s="973">
        <f t="shared" si="5"/>
        <v>113.07274499999995</v>
      </c>
      <c r="P75" s="962">
        <f t="shared" si="5"/>
        <v>62</v>
      </c>
      <c r="Q75" s="931">
        <f>Q73+Q74</f>
        <v>3.258813</v>
      </c>
      <c r="R75" s="1005">
        <f>R73+R74</f>
        <v>110.01038199999996</v>
      </c>
      <c r="S75" s="974"/>
      <c r="T75" s="974"/>
    </row>
    <row r="77" spans="1:21" x14ac:dyDescent="0.25">
      <c r="E77" s="976"/>
      <c r="F77" s="977"/>
    </row>
    <row r="79" spans="1:21" ht="34.799999999999997" x14ac:dyDescent="0.35">
      <c r="F79" s="979" t="s">
        <v>854</v>
      </c>
      <c r="G79" s="980" t="s">
        <v>934</v>
      </c>
      <c r="H79" s="981" t="s">
        <v>935</v>
      </c>
      <c r="I79" s="981" t="s">
        <v>936</v>
      </c>
      <c r="J79" s="981" t="s">
        <v>937</v>
      </c>
      <c r="K79" s="981" t="s">
        <v>938</v>
      </c>
      <c r="L79" s="982"/>
      <c r="M79" s="983"/>
    </row>
    <row r="80" spans="1:21" ht="18" x14ac:dyDescent="0.35">
      <c r="F80" s="984" t="s">
        <v>886</v>
      </c>
      <c r="G80" s="985">
        <f>SUMIFS(D4:D66,Q4:Q66,"Narayanpet")</f>
        <v>67.287086000000002</v>
      </c>
      <c r="H80" s="915">
        <f>SUMIFS(F4:F66,Q4:Q66,"Narayanpet")</f>
        <v>174</v>
      </c>
      <c r="I80" s="915">
        <f>SUMIFS(G4:G66,Q4:Q66,"Narayanpet")</f>
        <v>62</v>
      </c>
      <c r="J80" s="915">
        <f>SUMIFS(K4:K66,Q4:Q66,"Narayanpet")</f>
        <v>48</v>
      </c>
      <c r="K80" s="915">
        <f>SUMIFS(D4:D66,N4:N66,"FS Completed",Q4:Q66,"Narayanpet")</f>
        <v>0.19644999999999999</v>
      </c>
      <c r="L80" s="982"/>
      <c r="M80" s="983"/>
    </row>
    <row r="81" spans="6:13" ht="18" x14ac:dyDescent="0.35">
      <c r="F81" s="984" t="s">
        <v>862</v>
      </c>
      <c r="G81" s="985">
        <f>SUMIFS(D4:D66,Q4:Q66,"Vikarabad")</f>
        <v>45.982109000000001</v>
      </c>
      <c r="H81" s="915">
        <f>SUMIFS(F4:F66,Q4:Q66,"Vikarabad")</f>
        <v>118</v>
      </c>
      <c r="I81" s="915">
        <f>SUMIFS(G4:G66,Q4:Q66,"Vikarabad")</f>
        <v>51</v>
      </c>
      <c r="J81" s="915">
        <f>SUMIFS(K4:K66,Q4:Q66,"Vikarabad")</f>
        <v>23</v>
      </c>
      <c r="K81" s="915">
        <f>SUMIFS(D4:D66,N4:N66,"FS Completed",Q4:Q66,"Vikarabad")</f>
        <v>0</v>
      </c>
      <c r="L81" s="982"/>
      <c r="M81" s="983"/>
    </row>
    <row r="82" spans="6:13" ht="18" x14ac:dyDescent="0.35">
      <c r="F82" s="986" t="s">
        <v>176</v>
      </c>
      <c r="G82" s="986">
        <f>G80+G81</f>
        <v>113.269195</v>
      </c>
      <c r="H82" s="986">
        <f t="shared" ref="H82:K82" si="6">H80+H81</f>
        <v>292</v>
      </c>
      <c r="I82" s="986">
        <f t="shared" si="6"/>
        <v>113</v>
      </c>
      <c r="J82" s="986">
        <f t="shared" si="6"/>
        <v>71</v>
      </c>
      <c r="K82" s="986">
        <f t="shared" si="6"/>
        <v>0.19644999999999999</v>
      </c>
      <c r="L82" s="982"/>
      <c r="M82" s="98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698" t="s">
        <v>746</v>
      </c>
      <c r="B1" s="699" t="s">
        <v>747</v>
      </c>
      <c r="C1" s="699" t="s">
        <v>748</v>
      </c>
      <c r="D1" s="699" t="s">
        <v>749</v>
      </c>
      <c r="E1" s="699" t="s">
        <v>750</v>
      </c>
      <c r="F1" s="700" t="s">
        <v>751</v>
      </c>
      <c r="G1" s="701" t="s">
        <v>752</v>
      </c>
      <c r="H1" s="702" t="s">
        <v>753</v>
      </c>
      <c r="I1" s="703" t="s">
        <v>754</v>
      </c>
      <c r="J1" s="700" t="s">
        <v>755</v>
      </c>
      <c r="K1" s="699" t="s">
        <v>756</v>
      </c>
      <c r="L1" s="700" t="s">
        <v>757</v>
      </c>
      <c r="M1" s="704" t="s">
        <v>758</v>
      </c>
      <c r="N1" s="698" t="s">
        <v>759</v>
      </c>
      <c r="O1" s="705" t="s">
        <v>760</v>
      </c>
      <c r="P1" s="706" t="s">
        <v>761</v>
      </c>
      <c r="Q1" s="707" t="s">
        <v>71</v>
      </c>
      <c r="R1" s="699" t="s">
        <v>99</v>
      </c>
      <c r="S1" s="699" t="s">
        <v>82</v>
      </c>
      <c r="T1" s="699" t="s">
        <v>84</v>
      </c>
      <c r="U1" s="699" t="s">
        <v>762</v>
      </c>
      <c r="V1" s="699" t="s">
        <v>763</v>
      </c>
      <c r="W1" s="70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2026-05-24T12:37:53Z</cp:lastPrinted>
  <dcterms:created xsi:type="dcterms:W3CDTF">2025-09-08T16:55:31Z</dcterms:created>
  <dcterms:modified xsi:type="dcterms:W3CDTF">2026-05-25T15:11:09Z</dcterms:modified>
</cp:coreProperties>
</file>